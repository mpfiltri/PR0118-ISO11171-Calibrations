
<file path=[Content_Types].xml><?xml version="1.0" encoding="utf-8"?>
<Types xmlns="http://schemas.openxmlformats.org/package/2006/content-type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omments1.xml" ContentType="application/vnd.openxmlformats-officedocument.spreadsheetml.comments+xml"/>
  <Override PartName="/xl/charts/chart1.xml" ContentType="application/vnd.openxmlformats-officedocument.drawingml.chart+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127"/>
  <workbookPr/>
  <mc:AlternateContent xmlns:mc="http://schemas.openxmlformats.org/markup-compatibility/2006">
    <mc:Choice Requires="x15">
      <x15ac:absPath xmlns:x15ac="http://schemas.microsoft.com/office/spreadsheetml/2010/11/ac" url="D:\mp\projects\PR0118 - ISO 11171 Calibrations\"/>
    </mc:Choice>
  </mc:AlternateContent>
  <xr:revisionPtr revIDLastSave="0" documentId="8_{EBC45710-5A11-439F-8E9C-A7B9F113620E}" xr6:coauthVersionLast="47" xr6:coauthVersionMax="47" xr10:uidLastSave="{00000000-0000-0000-0000-000000000000}"/>
  <bookViews>
    <workbookView xWindow="-98" yWindow="-98" windowWidth="28996" windowHeight="17745" tabRatio="500" activeTab="1" xr2:uid="{00000000-000D-0000-FFFF-FFFF00000000}"/>
  </bookViews>
  <sheets>
    <sheet name="D1" sheetId="1" r:id="rId1"/>
    <sheet name="Annex D" sheetId="2" r:id="rId2"/>
  </sheets>
  <calcPr calcId="191029"/>
  <extLst>
    <ext xmlns:loext="http://schemas.libreoffice.org/" uri="{7626C862-2A13-11E5-B345-FEFF819CDC9F}">
      <loext:extCalcPr stringRefSyntax="ExcelA1"/>
    </ext>
  </extLst>
</workbook>
</file>

<file path=xl/calcChain.xml><?xml version="1.0" encoding="utf-8"?>
<calcChain xmlns="http://schemas.openxmlformats.org/spreadsheetml/2006/main">
  <c r="O1002" i="2" l="1"/>
  <c r="O1001" i="2"/>
  <c r="O1000" i="2"/>
  <c r="O999" i="2"/>
  <c r="O998" i="2"/>
  <c r="O997" i="2"/>
  <c r="O996" i="2"/>
  <c r="O995" i="2"/>
  <c r="O994" i="2"/>
  <c r="O993" i="2"/>
  <c r="O992" i="2"/>
  <c r="O991" i="2"/>
  <c r="O990" i="2"/>
  <c r="O989" i="2"/>
  <c r="O988" i="2"/>
  <c r="O987" i="2"/>
  <c r="O986" i="2"/>
  <c r="O985" i="2"/>
  <c r="O984" i="2"/>
  <c r="O983" i="2"/>
  <c r="O982" i="2"/>
  <c r="O981" i="2"/>
  <c r="O980" i="2"/>
  <c r="O979" i="2"/>
  <c r="O978" i="2"/>
  <c r="O977" i="2"/>
  <c r="O976" i="2"/>
  <c r="O975" i="2"/>
  <c r="O974" i="2"/>
  <c r="O973" i="2"/>
  <c r="O972" i="2"/>
  <c r="O971" i="2"/>
  <c r="O970" i="2"/>
  <c r="O969" i="2"/>
  <c r="O968" i="2"/>
  <c r="O967" i="2"/>
  <c r="O966" i="2"/>
  <c r="O965" i="2"/>
  <c r="O964" i="2"/>
  <c r="O963" i="2"/>
  <c r="O962" i="2"/>
  <c r="O961" i="2"/>
  <c r="O960" i="2"/>
  <c r="O959" i="2"/>
  <c r="O958" i="2"/>
  <c r="O957" i="2"/>
  <c r="O956" i="2"/>
  <c r="O955" i="2"/>
  <c r="O954" i="2"/>
  <c r="O953" i="2"/>
  <c r="O952" i="2"/>
  <c r="O951" i="2"/>
  <c r="O950" i="2"/>
  <c r="O949" i="2"/>
  <c r="O948" i="2"/>
  <c r="O947" i="2"/>
  <c r="O946" i="2"/>
  <c r="O945" i="2"/>
  <c r="O944" i="2"/>
  <c r="O943" i="2"/>
  <c r="O942" i="2"/>
  <c r="O941" i="2"/>
  <c r="O940" i="2"/>
  <c r="O939" i="2"/>
  <c r="O938" i="2"/>
  <c r="O937" i="2"/>
  <c r="O936" i="2"/>
  <c r="O935" i="2"/>
  <c r="O934" i="2"/>
  <c r="O933" i="2"/>
  <c r="O932" i="2"/>
  <c r="O931" i="2"/>
  <c r="O930" i="2"/>
  <c r="O929" i="2"/>
  <c r="O928" i="2"/>
  <c r="O927" i="2"/>
  <c r="O926" i="2"/>
  <c r="O925" i="2"/>
  <c r="O924" i="2"/>
  <c r="O923" i="2"/>
  <c r="O922" i="2"/>
  <c r="O921" i="2"/>
  <c r="O920" i="2"/>
  <c r="O919" i="2"/>
  <c r="O918" i="2"/>
  <c r="O917" i="2"/>
  <c r="O916" i="2"/>
  <c r="O915" i="2"/>
  <c r="O914" i="2"/>
  <c r="O913" i="2"/>
  <c r="O912" i="2"/>
  <c r="O911" i="2"/>
  <c r="O910" i="2"/>
  <c r="O909" i="2"/>
  <c r="O908" i="2"/>
  <c r="O907" i="2"/>
  <c r="O906" i="2"/>
  <c r="O905" i="2"/>
  <c r="O904" i="2"/>
  <c r="O903" i="2"/>
  <c r="O902" i="2"/>
  <c r="O901" i="2"/>
  <c r="O900" i="2"/>
  <c r="O899" i="2"/>
  <c r="O898" i="2"/>
  <c r="O897" i="2"/>
  <c r="O896" i="2"/>
  <c r="O895" i="2"/>
  <c r="O894" i="2"/>
  <c r="O893" i="2"/>
  <c r="O892" i="2"/>
  <c r="O891" i="2"/>
  <c r="O890" i="2"/>
  <c r="O889" i="2"/>
  <c r="O888" i="2"/>
  <c r="O887" i="2"/>
  <c r="O886" i="2"/>
  <c r="O885" i="2"/>
  <c r="O884" i="2"/>
  <c r="O883" i="2"/>
  <c r="O882" i="2"/>
  <c r="O881" i="2"/>
  <c r="O880" i="2"/>
  <c r="O879" i="2"/>
  <c r="O878" i="2"/>
  <c r="O877" i="2"/>
  <c r="O876" i="2"/>
  <c r="O875" i="2"/>
  <c r="O874" i="2"/>
  <c r="O873" i="2"/>
  <c r="O872" i="2"/>
  <c r="O871" i="2"/>
  <c r="O870" i="2"/>
  <c r="O869" i="2"/>
  <c r="O868" i="2"/>
  <c r="O867" i="2"/>
  <c r="O866" i="2"/>
  <c r="O865" i="2"/>
  <c r="O864" i="2"/>
  <c r="O863" i="2"/>
  <c r="O862" i="2"/>
  <c r="O861" i="2"/>
  <c r="O860" i="2"/>
  <c r="O859" i="2"/>
  <c r="O858" i="2"/>
  <c r="O857" i="2"/>
  <c r="O856" i="2"/>
  <c r="O855" i="2"/>
  <c r="O854" i="2"/>
  <c r="O853" i="2"/>
  <c r="O852" i="2"/>
  <c r="O851" i="2"/>
  <c r="O850" i="2"/>
  <c r="O849" i="2"/>
  <c r="O848" i="2"/>
  <c r="O847" i="2"/>
  <c r="O846" i="2"/>
  <c r="O845" i="2"/>
  <c r="O844" i="2"/>
  <c r="O843" i="2"/>
  <c r="O842" i="2"/>
  <c r="O841" i="2"/>
  <c r="O840" i="2"/>
  <c r="O839" i="2"/>
  <c r="O838" i="2"/>
  <c r="O837" i="2"/>
  <c r="O836" i="2"/>
  <c r="O835" i="2"/>
  <c r="O834" i="2"/>
  <c r="O833" i="2"/>
  <c r="O832" i="2"/>
  <c r="O831" i="2"/>
  <c r="O830" i="2"/>
  <c r="O829" i="2"/>
  <c r="O828" i="2"/>
  <c r="O827" i="2"/>
  <c r="O826" i="2"/>
  <c r="O825" i="2"/>
  <c r="O824" i="2"/>
  <c r="O823" i="2"/>
  <c r="O822" i="2"/>
  <c r="O821" i="2"/>
  <c r="O820" i="2"/>
  <c r="O819" i="2"/>
  <c r="O818" i="2"/>
  <c r="O817" i="2"/>
  <c r="O816" i="2"/>
  <c r="O815" i="2"/>
  <c r="O814" i="2"/>
  <c r="O813" i="2"/>
  <c r="O812" i="2"/>
  <c r="O811" i="2"/>
  <c r="O810" i="2"/>
  <c r="O809" i="2"/>
  <c r="O808" i="2"/>
  <c r="O807" i="2"/>
  <c r="O806" i="2"/>
  <c r="O805" i="2"/>
  <c r="O804" i="2"/>
  <c r="O803" i="2"/>
  <c r="O802" i="2"/>
  <c r="O801" i="2"/>
  <c r="O800" i="2"/>
  <c r="O799" i="2"/>
  <c r="O798" i="2"/>
  <c r="O797" i="2"/>
  <c r="O796" i="2"/>
  <c r="O795" i="2"/>
  <c r="O794" i="2"/>
  <c r="O793" i="2"/>
  <c r="O792" i="2"/>
  <c r="O791" i="2"/>
  <c r="O790" i="2"/>
  <c r="O789" i="2"/>
  <c r="O788" i="2"/>
  <c r="O787" i="2"/>
  <c r="O786" i="2"/>
  <c r="O785" i="2"/>
  <c r="O784" i="2"/>
  <c r="O783" i="2"/>
  <c r="O782" i="2"/>
  <c r="O781" i="2"/>
  <c r="O780" i="2"/>
  <c r="O779" i="2"/>
  <c r="O778" i="2"/>
  <c r="O777" i="2"/>
  <c r="O776" i="2"/>
  <c r="O775" i="2"/>
  <c r="O774" i="2"/>
  <c r="O773" i="2"/>
  <c r="O772" i="2"/>
  <c r="O771" i="2"/>
  <c r="O770" i="2"/>
  <c r="O769" i="2"/>
  <c r="O768" i="2"/>
  <c r="O767" i="2"/>
  <c r="O766" i="2"/>
  <c r="O765" i="2"/>
  <c r="O764" i="2"/>
  <c r="O763" i="2"/>
  <c r="O762" i="2"/>
  <c r="O761" i="2"/>
  <c r="O760" i="2"/>
  <c r="O759" i="2"/>
  <c r="O758" i="2"/>
  <c r="O757" i="2"/>
  <c r="O756" i="2"/>
  <c r="O755" i="2"/>
  <c r="O754" i="2"/>
  <c r="O753" i="2"/>
  <c r="O752" i="2"/>
  <c r="O751" i="2"/>
  <c r="O750" i="2"/>
  <c r="O749" i="2"/>
  <c r="O748" i="2"/>
  <c r="O747" i="2"/>
  <c r="O746" i="2"/>
  <c r="O745" i="2"/>
  <c r="O744" i="2"/>
  <c r="O743" i="2"/>
  <c r="O742" i="2"/>
  <c r="O741" i="2"/>
  <c r="O740" i="2"/>
  <c r="O739" i="2"/>
  <c r="O738" i="2"/>
  <c r="O737" i="2"/>
  <c r="O736" i="2"/>
  <c r="O735" i="2"/>
  <c r="O734" i="2"/>
  <c r="O733" i="2"/>
  <c r="O732" i="2"/>
  <c r="O731" i="2"/>
  <c r="O730" i="2"/>
  <c r="O729" i="2"/>
  <c r="O728" i="2"/>
  <c r="O727" i="2"/>
  <c r="O726" i="2"/>
  <c r="O725" i="2"/>
  <c r="O724" i="2"/>
  <c r="O723" i="2"/>
  <c r="O722" i="2"/>
  <c r="O721" i="2"/>
  <c r="O720" i="2"/>
  <c r="O719" i="2"/>
  <c r="O718" i="2"/>
  <c r="O717" i="2"/>
  <c r="O716" i="2"/>
  <c r="O715" i="2"/>
  <c r="O714" i="2"/>
  <c r="O713" i="2"/>
  <c r="O712" i="2"/>
  <c r="O711" i="2"/>
  <c r="O710" i="2"/>
  <c r="O709" i="2"/>
  <c r="O708" i="2"/>
  <c r="O707" i="2"/>
  <c r="O706" i="2"/>
  <c r="O705" i="2"/>
  <c r="O704" i="2"/>
  <c r="O703" i="2"/>
  <c r="O702" i="2"/>
  <c r="O701" i="2"/>
  <c r="O700" i="2"/>
  <c r="O699" i="2"/>
  <c r="O698" i="2"/>
  <c r="O697" i="2"/>
  <c r="O696" i="2"/>
  <c r="O695" i="2"/>
  <c r="O694" i="2"/>
  <c r="O693" i="2"/>
  <c r="O692" i="2"/>
  <c r="O691" i="2"/>
  <c r="O690" i="2"/>
  <c r="O689" i="2"/>
  <c r="O688" i="2"/>
  <c r="O687" i="2"/>
  <c r="O686" i="2"/>
  <c r="N685" i="2"/>
  <c r="N684" i="2"/>
  <c r="N683" i="2"/>
  <c r="N682" i="2"/>
  <c r="N681" i="2"/>
  <c r="N680" i="2"/>
  <c r="N679" i="2"/>
  <c r="N678" i="2"/>
  <c r="N677" i="2"/>
  <c r="N676" i="2"/>
  <c r="N675" i="2"/>
  <c r="N674" i="2"/>
  <c r="N673" i="2"/>
  <c r="N672" i="2"/>
  <c r="N671" i="2"/>
  <c r="N670" i="2"/>
  <c r="N669" i="2"/>
  <c r="N668" i="2"/>
  <c r="N667" i="2"/>
  <c r="N666" i="2"/>
  <c r="N665" i="2"/>
  <c r="N664" i="2"/>
  <c r="N663" i="2"/>
  <c r="N662" i="2"/>
  <c r="N661" i="2"/>
  <c r="N660" i="2"/>
  <c r="N659" i="2"/>
  <c r="N658" i="2"/>
  <c r="N657" i="2"/>
  <c r="N656" i="2"/>
  <c r="N655" i="2"/>
  <c r="N654" i="2"/>
  <c r="N653" i="2"/>
  <c r="N652" i="2"/>
  <c r="N651" i="2"/>
  <c r="N650" i="2"/>
  <c r="N649" i="2"/>
  <c r="N648" i="2"/>
  <c r="N647" i="2"/>
  <c r="N646" i="2"/>
  <c r="N645" i="2"/>
  <c r="N644" i="2"/>
  <c r="N643" i="2"/>
  <c r="N642" i="2"/>
  <c r="N641" i="2"/>
  <c r="N640" i="2"/>
  <c r="N639" i="2"/>
  <c r="N638" i="2"/>
  <c r="N637" i="2"/>
  <c r="N636" i="2"/>
  <c r="N635" i="2"/>
  <c r="N634" i="2"/>
  <c r="N633" i="2"/>
  <c r="N632" i="2"/>
  <c r="N631" i="2"/>
  <c r="N630" i="2"/>
  <c r="N629" i="2"/>
  <c r="N628" i="2"/>
  <c r="N627" i="2"/>
  <c r="N626" i="2"/>
  <c r="N625" i="2"/>
  <c r="N624" i="2"/>
  <c r="N623" i="2"/>
  <c r="N622" i="2"/>
  <c r="N621" i="2"/>
  <c r="N620" i="2"/>
  <c r="N619" i="2"/>
  <c r="N618" i="2"/>
  <c r="N617" i="2"/>
  <c r="N616" i="2"/>
  <c r="N615" i="2"/>
  <c r="N614" i="2"/>
  <c r="N613" i="2"/>
  <c r="N612" i="2"/>
  <c r="N611" i="2"/>
  <c r="N610" i="2"/>
  <c r="N609" i="2"/>
  <c r="N608" i="2"/>
  <c r="N607" i="2"/>
  <c r="N606" i="2"/>
  <c r="N605" i="2"/>
  <c r="N604" i="2"/>
  <c r="N603" i="2"/>
  <c r="N602" i="2"/>
  <c r="N601" i="2"/>
  <c r="N600" i="2"/>
  <c r="N599" i="2"/>
  <c r="N598" i="2"/>
  <c r="N597" i="2"/>
  <c r="N596" i="2"/>
  <c r="N595" i="2"/>
  <c r="N594" i="2"/>
  <c r="N593" i="2"/>
  <c r="N592" i="2"/>
  <c r="N591" i="2"/>
  <c r="N590" i="2"/>
  <c r="N589" i="2"/>
  <c r="N588" i="2"/>
  <c r="N587" i="2"/>
  <c r="N586" i="2"/>
  <c r="N585" i="2"/>
  <c r="N584" i="2"/>
  <c r="N583" i="2"/>
  <c r="N582" i="2"/>
  <c r="N581" i="2"/>
  <c r="N580" i="2"/>
  <c r="N579" i="2"/>
  <c r="N578" i="2"/>
  <c r="N577" i="2"/>
  <c r="N576" i="2"/>
  <c r="N575" i="2"/>
  <c r="N574" i="2"/>
  <c r="N573" i="2"/>
  <c r="N572" i="2"/>
  <c r="N571" i="2"/>
  <c r="N570" i="2"/>
  <c r="N569" i="2"/>
  <c r="N568" i="2"/>
  <c r="N567" i="2"/>
  <c r="N566" i="2"/>
  <c r="N565" i="2"/>
  <c r="N564" i="2"/>
  <c r="N563" i="2"/>
  <c r="N562" i="2"/>
  <c r="N561" i="2"/>
  <c r="N560" i="2"/>
  <c r="N559" i="2"/>
  <c r="N558" i="2"/>
  <c r="N557" i="2"/>
  <c r="N556" i="2"/>
  <c r="N555" i="2"/>
  <c r="N554" i="2"/>
  <c r="N553" i="2"/>
  <c r="N552" i="2"/>
  <c r="N551" i="2"/>
  <c r="N550" i="2"/>
  <c r="N549" i="2"/>
  <c r="N548" i="2"/>
  <c r="N547" i="2"/>
  <c r="N546" i="2"/>
  <c r="N545" i="2"/>
  <c r="N544" i="2"/>
  <c r="N543" i="2"/>
  <c r="N542" i="2"/>
  <c r="N541" i="2"/>
  <c r="N540" i="2"/>
  <c r="N539" i="2"/>
  <c r="N538" i="2"/>
  <c r="N537" i="2"/>
  <c r="N536" i="2"/>
  <c r="N535" i="2"/>
  <c r="N534" i="2"/>
  <c r="N533" i="2"/>
  <c r="N532" i="2"/>
  <c r="N531" i="2"/>
  <c r="N530" i="2"/>
  <c r="N529" i="2"/>
  <c r="N528" i="2"/>
  <c r="N527" i="2"/>
  <c r="N526" i="2"/>
  <c r="N525" i="2"/>
  <c r="N524" i="2"/>
  <c r="N523" i="2"/>
  <c r="N522" i="2"/>
  <c r="N521" i="2"/>
  <c r="N520" i="2"/>
  <c r="N519" i="2"/>
  <c r="N518" i="2"/>
  <c r="N517" i="2"/>
  <c r="N516" i="2"/>
  <c r="N515" i="2"/>
  <c r="N514" i="2"/>
  <c r="N513" i="2"/>
  <c r="N512" i="2"/>
  <c r="N511" i="2"/>
  <c r="N510" i="2"/>
  <c r="N509" i="2"/>
  <c r="N508" i="2"/>
  <c r="N507" i="2"/>
  <c r="N506" i="2"/>
  <c r="N505" i="2"/>
  <c r="N504" i="2"/>
  <c r="N503" i="2"/>
  <c r="N502" i="2"/>
  <c r="N501" i="2"/>
  <c r="N500" i="2"/>
  <c r="N499" i="2"/>
  <c r="N498" i="2"/>
  <c r="N497" i="2"/>
  <c r="N496" i="2"/>
  <c r="N495" i="2"/>
  <c r="N494" i="2"/>
  <c r="N493" i="2"/>
  <c r="N492" i="2"/>
  <c r="N491" i="2"/>
  <c r="N490" i="2"/>
  <c r="N489" i="2"/>
  <c r="N488" i="2"/>
  <c r="N487" i="2"/>
  <c r="N486" i="2"/>
  <c r="N485" i="2"/>
  <c r="N484" i="2"/>
  <c r="N483" i="2"/>
  <c r="N482" i="2"/>
  <c r="N481" i="2"/>
  <c r="N480" i="2"/>
  <c r="N479" i="2"/>
  <c r="N478" i="2"/>
  <c r="N477" i="2"/>
  <c r="N476" i="2"/>
  <c r="N475" i="2"/>
  <c r="N474" i="2"/>
  <c r="N473" i="2"/>
  <c r="N472" i="2"/>
  <c r="N471" i="2"/>
  <c r="N470" i="2"/>
  <c r="N469" i="2"/>
  <c r="N468" i="2"/>
  <c r="N467" i="2"/>
  <c r="N466" i="2"/>
  <c r="N465" i="2"/>
  <c r="N464" i="2"/>
  <c r="N463" i="2"/>
  <c r="N462" i="2"/>
  <c r="N461" i="2"/>
  <c r="N460" i="2"/>
  <c r="N459" i="2"/>
  <c r="N458" i="2"/>
  <c r="N457" i="2"/>
  <c r="N456" i="2"/>
  <c r="N455" i="2"/>
  <c r="N454" i="2"/>
  <c r="N453" i="2"/>
  <c r="N452" i="2"/>
  <c r="N451" i="2"/>
  <c r="N450" i="2"/>
  <c r="N449" i="2"/>
  <c r="N448" i="2"/>
  <c r="N447" i="2"/>
  <c r="N446" i="2"/>
  <c r="N445" i="2"/>
  <c r="N444" i="2"/>
  <c r="N443" i="2"/>
  <c r="N442" i="2"/>
  <c r="N441" i="2"/>
  <c r="N440" i="2"/>
  <c r="N439" i="2"/>
  <c r="N438" i="2"/>
  <c r="N437" i="2"/>
  <c r="N436" i="2"/>
  <c r="N435" i="2"/>
  <c r="N434" i="2"/>
  <c r="N433" i="2"/>
  <c r="N432" i="2"/>
  <c r="N431" i="2"/>
  <c r="N430" i="2"/>
  <c r="N429" i="2"/>
  <c r="N428" i="2"/>
  <c r="N427" i="2"/>
  <c r="N426" i="2"/>
  <c r="N425" i="2"/>
  <c r="N424" i="2"/>
  <c r="N423" i="2"/>
  <c r="N422" i="2"/>
  <c r="N421" i="2"/>
  <c r="N420" i="2"/>
  <c r="N419" i="2"/>
  <c r="N418" i="2"/>
  <c r="N417" i="2"/>
  <c r="N416" i="2"/>
  <c r="N415" i="2"/>
  <c r="N414" i="2"/>
  <c r="N413" i="2"/>
  <c r="N412" i="2"/>
  <c r="N411" i="2"/>
  <c r="N410" i="2"/>
  <c r="N409" i="2"/>
  <c r="N408" i="2"/>
  <c r="N407" i="2"/>
  <c r="N406" i="2"/>
  <c r="N405" i="2"/>
  <c r="N404" i="2"/>
  <c r="N403" i="2"/>
  <c r="N402" i="2"/>
  <c r="N401" i="2"/>
  <c r="N400" i="2"/>
  <c r="N399" i="2"/>
  <c r="N398" i="2"/>
  <c r="N397" i="2"/>
  <c r="N396" i="2"/>
  <c r="N395" i="2"/>
  <c r="N394" i="2"/>
  <c r="N393" i="2"/>
  <c r="N392" i="2"/>
  <c r="N391" i="2"/>
  <c r="N390" i="2"/>
  <c r="N389" i="2"/>
  <c r="N388" i="2"/>
  <c r="N387" i="2"/>
  <c r="N386" i="2"/>
  <c r="N385" i="2"/>
  <c r="N384" i="2"/>
  <c r="N383" i="2"/>
  <c r="N382" i="2"/>
  <c r="N381" i="2"/>
  <c r="N380" i="2"/>
  <c r="N379" i="2"/>
  <c r="N378" i="2"/>
  <c r="N377" i="2"/>
  <c r="N376" i="2"/>
  <c r="N375" i="2"/>
  <c r="N374" i="2"/>
  <c r="N373" i="2"/>
  <c r="N372" i="2"/>
  <c r="N371" i="2"/>
  <c r="N370" i="2"/>
  <c r="N369" i="2"/>
  <c r="N368" i="2"/>
  <c r="N367" i="2"/>
  <c r="N366" i="2"/>
  <c r="N365" i="2"/>
  <c r="N364" i="2"/>
  <c r="N363" i="2"/>
  <c r="N362" i="2"/>
  <c r="N361" i="2"/>
  <c r="N360" i="2"/>
  <c r="N359" i="2"/>
  <c r="N358" i="2"/>
  <c r="N357" i="2"/>
  <c r="N356" i="2"/>
  <c r="N355" i="2"/>
  <c r="N354" i="2"/>
  <c r="N353" i="2"/>
  <c r="N352" i="2"/>
  <c r="N351" i="2"/>
  <c r="N350" i="2"/>
  <c r="N349" i="2"/>
  <c r="N348" i="2"/>
  <c r="N347" i="2"/>
  <c r="N346" i="2"/>
  <c r="N345" i="2"/>
  <c r="N344" i="2"/>
  <c r="N343" i="2"/>
  <c r="N342" i="2"/>
  <c r="N341" i="2"/>
  <c r="N340" i="2"/>
  <c r="N339" i="2"/>
  <c r="N338" i="2"/>
  <c r="N337" i="2"/>
  <c r="N336" i="2"/>
  <c r="N335" i="2"/>
  <c r="N334" i="2"/>
  <c r="N333" i="2"/>
  <c r="N332" i="2"/>
  <c r="N331" i="2"/>
  <c r="N330" i="2"/>
  <c r="N329" i="2"/>
  <c r="N328" i="2"/>
  <c r="N327" i="2"/>
  <c r="N326" i="2"/>
  <c r="N325" i="2"/>
  <c r="N324" i="2"/>
  <c r="N323" i="2"/>
  <c r="N322" i="2"/>
  <c r="N321" i="2"/>
  <c r="N320" i="2"/>
  <c r="N319" i="2"/>
  <c r="N318" i="2"/>
  <c r="N317" i="2"/>
  <c r="N316" i="2"/>
  <c r="N315" i="2"/>
  <c r="N314" i="2"/>
  <c r="N313" i="2"/>
  <c r="N312" i="2"/>
  <c r="N311" i="2"/>
  <c r="N310" i="2"/>
  <c r="N309" i="2"/>
  <c r="N308" i="2"/>
  <c r="N307" i="2"/>
  <c r="N306" i="2"/>
  <c r="N305" i="2"/>
  <c r="N304" i="2"/>
  <c r="N303" i="2"/>
  <c r="N302" i="2"/>
  <c r="N301" i="2"/>
  <c r="N300" i="2"/>
  <c r="N299" i="2"/>
  <c r="N298" i="2"/>
  <c r="N297" i="2"/>
  <c r="N296" i="2"/>
  <c r="N295" i="2"/>
  <c r="N294" i="2"/>
  <c r="N293" i="2"/>
  <c r="N292" i="2"/>
  <c r="N291" i="2"/>
  <c r="N290" i="2"/>
  <c r="N289" i="2"/>
  <c r="N288" i="2"/>
  <c r="N287" i="2"/>
  <c r="N286" i="2"/>
  <c r="N285" i="2"/>
  <c r="N284" i="2"/>
  <c r="N283" i="2"/>
  <c r="N282" i="2"/>
  <c r="N281" i="2"/>
  <c r="N280" i="2"/>
  <c r="N279" i="2"/>
  <c r="N278" i="2"/>
  <c r="N277" i="2"/>
  <c r="N276" i="2"/>
  <c r="N275" i="2"/>
  <c r="N274" i="2"/>
  <c r="N273" i="2"/>
  <c r="N272" i="2"/>
  <c r="N271" i="2"/>
  <c r="N270" i="2"/>
  <c r="N269" i="2"/>
  <c r="N268" i="2"/>
  <c r="N267" i="2"/>
  <c r="N266" i="2"/>
  <c r="N265" i="2"/>
  <c r="N264" i="2"/>
  <c r="N263" i="2"/>
  <c r="N262" i="2"/>
  <c r="N261" i="2"/>
  <c r="N260" i="2"/>
  <c r="N259" i="2"/>
  <c r="N258" i="2"/>
  <c r="N257" i="2"/>
  <c r="N256" i="2"/>
  <c r="N255" i="2"/>
  <c r="N254" i="2"/>
  <c r="N253" i="2"/>
  <c r="N252" i="2"/>
  <c r="N251" i="2"/>
  <c r="N250" i="2"/>
  <c r="N249" i="2"/>
  <c r="N248" i="2"/>
  <c r="N247" i="2"/>
  <c r="N246" i="2"/>
  <c r="N245" i="2"/>
  <c r="N244" i="2"/>
  <c r="N243" i="2"/>
  <c r="N242" i="2"/>
  <c r="N241" i="2"/>
  <c r="N240" i="2"/>
  <c r="N239" i="2"/>
  <c r="N238" i="2"/>
  <c r="N237" i="2"/>
  <c r="N236" i="2"/>
  <c r="N235" i="2"/>
  <c r="N234" i="2"/>
  <c r="N233" i="2"/>
  <c r="N232" i="2"/>
  <c r="N231" i="2"/>
  <c r="N230" i="2"/>
  <c r="N229" i="2"/>
  <c r="N228" i="2"/>
  <c r="N227" i="2"/>
  <c r="N226" i="2"/>
  <c r="N225" i="2"/>
  <c r="N224" i="2"/>
  <c r="N223" i="2"/>
  <c r="N222" i="2"/>
  <c r="N221" i="2"/>
  <c r="N220" i="2"/>
  <c r="N219" i="2"/>
  <c r="N218" i="2"/>
  <c r="N217" i="2"/>
  <c r="N216" i="2"/>
  <c r="N215" i="2"/>
  <c r="N214" i="2"/>
  <c r="N213" i="2"/>
  <c r="N212" i="2"/>
  <c r="N211" i="2"/>
  <c r="N210" i="2"/>
  <c r="N209" i="2"/>
  <c r="N208" i="2"/>
  <c r="N207" i="2"/>
  <c r="N206" i="2"/>
  <c r="N205" i="2"/>
  <c r="N204" i="2"/>
  <c r="N203" i="2"/>
  <c r="N202" i="2"/>
  <c r="N201" i="2"/>
  <c r="N200" i="2"/>
  <c r="N199" i="2"/>
  <c r="N198" i="2"/>
  <c r="N197" i="2"/>
  <c r="N196" i="2"/>
  <c r="N195" i="2"/>
  <c r="N194" i="2"/>
  <c r="N193" i="2"/>
  <c r="N192" i="2"/>
  <c r="N191" i="2"/>
  <c r="N190" i="2"/>
  <c r="N189" i="2"/>
  <c r="N188" i="2"/>
  <c r="N187" i="2"/>
  <c r="N186" i="2"/>
  <c r="N185" i="2"/>
  <c r="N184" i="2"/>
  <c r="N183" i="2"/>
  <c r="N182" i="2"/>
  <c r="N181" i="2"/>
  <c r="N180" i="2"/>
  <c r="N179" i="2"/>
  <c r="N178" i="2"/>
  <c r="N177" i="2"/>
  <c r="N176" i="2"/>
  <c r="N175" i="2"/>
  <c r="N174" i="2"/>
  <c r="N173" i="2"/>
  <c r="N172" i="2"/>
  <c r="N171" i="2"/>
  <c r="N170" i="2"/>
  <c r="N169" i="2"/>
  <c r="N168" i="2"/>
  <c r="N167" i="2"/>
  <c r="N166" i="2"/>
  <c r="N165" i="2"/>
  <c r="N164" i="2"/>
  <c r="N163" i="2"/>
  <c r="N162" i="2"/>
  <c r="N161" i="2"/>
  <c r="N160" i="2"/>
  <c r="N159" i="2"/>
  <c r="N158" i="2"/>
  <c r="N157" i="2"/>
  <c r="N156" i="2"/>
  <c r="N155" i="2"/>
  <c r="N154" i="2"/>
  <c r="N153" i="2"/>
  <c r="N152" i="2"/>
  <c r="N151" i="2"/>
  <c r="N150" i="2"/>
  <c r="N149" i="2"/>
  <c r="N148" i="2"/>
  <c r="N147" i="2"/>
  <c r="N146" i="2"/>
  <c r="N145" i="2"/>
  <c r="N144" i="2"/>
  <c r="N143" i="2"/>
  <c r="N142" i="2"/>
  <c r="N141" i="2"/>
  <c r="N140" i="2"/>
  <c r="N139" i="2"/>
  <c r="N138" i="2"/>
  <c r="N137" i="2"/>
  <c r="N136" i="2"/>
  <c r="N135" i="2"/>
  <c r="N134" i="2"/>
  <c r="N133" i="2"/>
  <c r="N132" i="2"/>
  <c r="N131" i="2"/>
  <c r="N130" i="2"/>
  <c r="N129" i="2"/>
  <c r="N128" i="2"/>
  <c r="N127" i="2"/>
  <c r="N126" i="2"/>
  <c r="N125" i="2"/>
  <c r="N124" i="2"/>
  <c r="N123" i="2"/>
  <c r="N122" i="2"/>
  <c r="N121" i="2"/>
  <c r="N120" i="2"/>
  <c r="N119" i="2"/>
  <c r="N118" i="2"/>
  <c r="N117" i="2"/>
  <c r="N116" i="2"/>
  <c r="N115" i="2"/>
  <c r="N114" i="2"/>
  <c r="N113" i="2"/>
  <c r="N112" i="2"/>
  <c r="N111" i="2"/>
  <c r="N110" i="2"/>
  <c r="N109" i="2"/>
  <c r="N108" i="2"/>
  <c r="N107" i="2"/>
  <c r="N106" i="2"/>
  <c r="N105" i="2"/>
  <c r="N104" i="2"/>
  <c r="N103" i="2"/>
  <c r="N102" i="2"/>
  <c r="N101" i="2"/>
  <c r="N100" i="2"/>
  <c r="N99" i="2"/>
  <c r="N98" i="2"/>
  <c r="N97" i="2"/>
  <c r="N96" i="2"/>
  <c r="N95" i="2"/>
  <c r="N94" i="2"/>
  <c r="N93" i="2"/>
  <c r="N92" i="2"/>
  <c r="N91" i="2"/>
  <c r="N90" i="2"/>
  <c r="N89" i="2"/>
  <c r="N88" i="2"/>
  <c r="N87" i="2"/>
  <c r="N86" i="2"/>
  <c r="R85" i="2"/>
  <c r="N85" i="2"/>
  <c r="N84" i="2"/>
  <c r="N83" i="2"/>
  <c r="N82" i="2"/>
  <c r="N81" i="2"/>
  <c r="N80" i="2"/>
  <c r="N79" i="2"/>
  <c r="N78" i="2"/>
  <c r="N77" i="2"/>
  <c r="N76" i="2"/>
  <c r="N75" i="2"/>
  <c r="N74" i="2"/>
  <c r="N73" i="2"/>
  <c r="N72" i="2"/>
  <c r="N71" i="2"/>
  <c r="N70" i="2"/>
  <c r="N69" i="2"/>
  <c r="N68" i="2"/>
  <c r="N67" i="2"/>
  <c r="N66" i="2"/>
  <c r="N65" i="2"/>
  <c r="N64" i="2"/>
  <c r="N63" i="2"/>
  <c r="B63" i="2"/>
  <c r="B64" i="2" s="1"/>
  <c r="N62" i="2"/>
  <c r="B62" i="2"/>
  <c r="B65" i="2" s="1"/>
  <c r="R61" i="2"/>
  <c r="N61" i="2"/>
  <c r="B61" i="2"/>
  <c r="N60" i="2"/>
  <c r="N59" i="2"/>
  <c r="N58" i="2"/>
  <c r="N57" i="2"/>
  <c r="N56" i="2"/>
  <c r="N55" i="2"/>
  <c r="N54" i="2"/>
  <c r="N53" i="2"/>
  <c r="N52" i="2"/>
  <c r="N51" i="2"/>
  <c r="N50" i="2"/>
  <c r="N49" i="2"/>
  <c r="N48" i="2"/>
  <c r="N47" i="2"/>
  <c r="N46" i="2"/>
  <c r="N45" i="2"/>
  <c r="N44" i="2"/>
  <c r="N43" i="2"/>
  <c r="N42" i="2"/>
  <c r="N41" i="2"/>
  <c r="N40" i="2"/>
  <c r="N39" i="2"/>
  <c r="N38" i="2"/>
  <c r="N37" i="2"/>
  <c r="N36" i="2"/>
  <c r="N35" i="2"/>
  <c r="N34" i="2"/>
  <c r="N33" i="2"/>
  <c r="N32" i="2"/>
  <c r="N31" i="2"/>
  <c r="N30" i="2"/>
  <c r="N29" i="2"/>
  <c r="N28" i="2"/>
  <c r="N27" i="2"/>
  <c r="N26" i="2"/>
  <c r="A26" i="2"/>
  <c r="N25" i="2"/>
  <c r="N24" i="2"/>
  <c r="N23" i="2"/>
  <c r="I23" i="2"/>
  <c r="N22" i="2"/>
  <c r="N21" i="2"/>
  <c r="N20" i="2"/>
  <c r="N19" i="2"/>
  <c r="N18" i="2"/>
  <c r="N17" i="2"/>
  <c r="N16" i="2"/>
  <c r="I16" i="2"/>
  <c r="I17" i="2" s="1"/>
  <c r="N15" i="2"/>
  <c r="N14" i="2"/>
  <c r="N13" i="2"/>
  <c r="N12" i="2"/>
  <c r="I12" i="2"/>
  <c r="I13" i="2" s="1"/>
  <c r="I19" i="2" s="1"/>
  <c r="I21" i="2" s="1"/>
  <c r="N11" i="2"/>
  <c r="N10" i="2"/>
  <c r="N9" i="2"/>
  <c r="A9" i="2"/>
  <c r="A10" i="2" s="1"/>
  <c r="A11" i="2" s="1"/>
  <c r="N8" i="2"/>
  <c r="N7" i="2"/>
  <c r="N6" i="2"/>
  <c r="N5" i="2"/>
  <c r="A35" i="2" s="1"/>
  <c r="I38" i="1"/>
  <c r="F38" i="1"/>
  <c r="E38" i="1"/>
  <c r="D38" i="1"/>
  <c r="C38" i="1"/>
  <c r="B38" i="1"/>
  <c r="L38" i="1" s="1"/>
  <c r="F37" i="1"/>
  <c r="E37" i="1"/>
  <c r="D37" i="1"/>
  <c r="C37" i="1"/>
  <c r="B37" i="1"/>
  <c r="L37" i="1" s="1"/>
  <c r="F36" i="1"/>
  <c r="E36" i="1"/>
  <c r="L36" i="1" s="1"/>
  <c r="D36" i="1"/>
  <c r="C36" i="1"/>
  <c r="B36" i="1"/>
  <c r="I36" i="1" s="1"/>
  <c r="I35" i="1"/>
  <c r="F35" i="1"/>
  <c r="E35" i="1"/>
  <c r="D35" i="1"/>
  <c r="C35" i="1"/>
  <c r="L35" i="1" s="1"/>
  <c r="B35" i="1"/>
  <c r="F34" i="1"/>
  <c r="E34" i="1"/>
  <c r="D34" i="1"/>
  <c r="C34" i="1"/>
  <c r="B34" i="1"/>
  <c r="L34" i="1" s="1"/>
  <c r="L33" i="1"/>
  <c r="F33" i="1"/>
  <c r="I33" i="1" s="1"/>
  <c r="E33" i="1"/>
  <c r="D33" i="1"/>
  <c r="C33" i="1"/>
  <c r="B33" i="1"/>
  <c r="G33" i="1" s="1"/>
  <c r="I32" i="1"/>
  <c r="G32" i="1"/>
  <c r="K32" i="1" s="1"/>
  <c r="F32" i="1"/>
  <c r="E32" i="1"/>
  <c r="D32" i="1"/>
  <c r="L32" i="1" s="1"/>
  <c r="C32" i="1"/>
  <c r="B32" i="1"/>
  <c r="F31" i="1"/>
  <c r="E31" i="1"/>
  <c r="D31" i="1"/>
  <c r="C31" i="1"/>
  <c r="B31" i="1"/>
  <c r="L31" i="1" s="1"/>
  <c r="G30" i="1"/>
  <c r="K30" i="1" s="1"/>
  <c r="F30" i="1"/>
  <c r="E30" i="1"/>
  <c r="D30" i="1"/>
  <c r="C30" i="1"/>
  <c r="B30" i="1"/>
  <c r="I30" i="1" s="1"/>
  <c r="F29" i="1"/>
  <c r="E29" i="1"/>
  <c r="D29" i="1"/>
  <c r="C29" i="1"/>
  <c r="B29" i="1"/>
  <c r="L29" i="1" s="1"/>
  <c r="F28" i="1"/>
  <c r="E28" i="1"/>
  <c r="D28" i="1"/>
  <c r="C28" i="1"/>
  <c r="B28" i="1"/>
  <c r="L28" i="1" s="1"/>
  <c r="F27" i="1"/>
  <c r="E27" i="1"/>
  <c r="D27" i="1"/>
  <c r="C27" i="1"/>
  <c r="G27" i="1" s="1"/>
  <c r="B27" i="1"/>
  <c r="L27" i="1" s="1"/>
  <c r="L26" i="1"/>
  <c r="I26" i="1"/>
  <c r="F26" i="1"/>
  <c r="E26" i="1"/>
  <c r="D26" i="1"/>
  <c r="C26" i="1"/>
  <c r="B26" i="1"/>
  <c r="G26" i="1" s="1"/>
  <c r="F25" i="1"/>
  <c r="G25" i="1" s="1"/>
  <c r="E25" i="1"/>
  <c r="D25" i="1"/>
  <c r="I25" i="1" s="1"/>
  <c r="C25" i="1"/>
  <c r="B25" i="1"/>
  <c r="L25" i="1" s="1"/>
  <c r="F24" i="1"/>
  <c r="E24" i="1"/>
  <c r="D24" i="1"/>
  <c r="C24" i="1"/>
  <c r="B24" i="1"/>
  <c r="I24" i="1" s="1"/>
  <c r="L23" i="1"/>
  <c r="F23" i="1"/>
  <c r="E23" i="1"/>
  <c r="D23" i="1"/>
  <c r="G23" i="1" s="1"/>
  <c r="C23" i="1"/>
  <c r="B23" i="1"/>
  <c r="I23" i="1" s="1"/>
  <c r="G22" i="1"/>
  <c r="H22" i="1" s="1"/>
  <c r="J22" i="1" s="1"/>
  <c r="F22" i="1"/>
  <c r="E22" i="1"/>
  <c r="D22" i="1"/>
  <c r="C22" i="1"/>
  <c r="B22" i="1"/>
  <c r="L22" i="1" s="1"/>
  <c r="F21" i="1"/>
  <c r="E21" i="1"/>
  <c r="D21" i="1"/>
  <c r="C21" i="1"/>
  <c r="B21" i="1"/>
  <c r="L21" i="1" s="1"/>
  <c r="F20" i="1"/>
  <c r="E20" i="1"/>
  <c r="D20" i="1"/>
  <c r="C20" i="1"/>
  <c r="L20" i="1" s="1"/>
  <c r="B20" i="1"/>
  <c r="I20" i="1" s="1"/>
  <c r="F19" i="1"/>
  <c r="I19" i="1" s="1"/>
  <c r="E19" i="1"/>
  <c r="D19" i="1"/>
  <c r="C19" i="1"/>
  <c r="L19" i="1" s="1"/>
  <c r="B19" i="1"/>
  <c r="F18" i="1"/>
  <c r="E18" i="1"/>
  <c r="D18" i="1"/>
  <c r="C18" i="1"/>
  <c r="I18" i="1" s="1"/>
  <c r="B18" i="1"/>
  <c r="L18" i="1" s="1"/>
  <c r="L17" i="1"/>
  <c r="F17" i="1"/>
  <c r="I17" i="1" s="1"/>
  <c r="E17" i="1"/>
  <c r="D17" i="1"/>
  <c r="C17" i="1"/>
  <c r="B17" i="1"/>
  <c r="G17" i="1" s="1"/>
  <c r="I16" i="1"/>
  <c r="G16" i="1"/>
  <c r="K16" i="1" s="1"/>
  <c r="F16" i="1"/>
  <c r="E16" i="1"/>
  <c r="D16" i="1"/>
  <c r="L16" i="1" s="1"/>
  <c r="C16" i="1"/>
  <c r="B16" i="1"/>
  <c r="F15" i="1"/>
  <c r="E15" i="1"/>
  <c r="D15" i="1"/>
  <c r="C15" i="1"/>
  <c r="B15" i="1"/>
  <c r="L15" i="1" s="1"/>
  <c r="G14" i="1"/>
  <c r="K14" i="1" s="1"/>
  <c r="F14" i="1"/>
  <c r="E14" i="1"/>
  <c r="D14" i="1"/>
  <c r="C14" i="1"/>
  <c r="B14" i="1"/>
  <c r="I14" i="1" s="1"/>
  <c r="F13" i="1"/>
  <c r="E13" i="1"/>
  <c r="D13" i="1"/>
  <c r="C13" i="1"/>
  <c r="B13" i="1"/>
  <c r="L13" i="1" s="1"/>
  <c r="F12" i="1"/>
  <c r="E12" i="1"/>
  <c r="D12" i="1"/>
  <c r="C12" i="1"/>
  <c r="L12" i="1" s="1"/>
  <c r="B12" i="1"/>
  <c r="F11" i="1"/>
  <c r="E11" i="1"/>
  <c r="D11" i="1"/>
  <c r="C11" i="1"/>
  <c r="B11" i="1"/>
  <c r="L11" i="1" s="1"/>
  <c r="L10" i="1"/>
  <c r="I10" i="1"/>
  <c r="F10" i="1"/>
  <c r="E10" i="1"/>
  <c r="D10" i="1"/>
  <c r="C10" i="1"/>
  <c r="B10" i="1"/>
  <c r="G10" i="1" s="1"/>
  <c r="F9" i="1"/>
  <c r="E9" i="1"/>
  <c r="D9" i="1"/>
  <c r="L9" i="1" s="1"/>
  <c r="C9" i="1"/>
  <c r="B9" i="1"/>
  <c r="G8" i="1"/>
  <c r="B6" i="1"/>
  <c r="O75" i="2" l="1"/>
  <c r="O683" i="2"/>
  <c r="O675" i="2"/>
  <c r="O667" i="2"/>
  <c r="O659" i="2"/>
  <c r="O651" i="2"/>
  <c r="O643" i="2"/>
  <c r="O635" i="2"/>
  <c r="O627" i="2"/>
  <c r="O619" i="2"/>
  <c r="O611" i="2"/>
  <c r="O603" i="2"/>
  <c r="O595" i="2"/>
  <c r="O587" i="2"/>
  <c r="O579" i="2"/>
  <c r="O571" i="2"/>
  <c r="O563" i="2"/>
  <c r="O555" i="2"/>
  <c r="O547" i="2"/>
  <c r="O539" i="2"/>
  <c r="O531" i="2"/>
  <c r="O523" i="2"/>
  <c r="O515" i="2"/>
  <c r="O507" i="2"/>
  <c r="O499" i="2"/>
  <c r="O491" i="2"/>
  <c r="O483" i="2"/>
  <c r="O475" i="2"/>
  <c r="O467" i="2"/>
  <c r="O459" i="2"/>
  <c r="O451" i="2"/>
  <c r="O443" i="2"/>
  <c r="O435" i="2"/>
  <c r="O427" i="2"/>
  <c r="O419" i="2"/>
  <c r="O411" i="2"/>
  <c r="O403" i="2"/>
  <c r="O395" i="2"/>
  <c r="O387" i="2"/>
  <c r="O379" i="2"/>
  <c r="O371" i="2"/>
  <c r="O363" i="2"/>
  <c r="O355" i="2"/>
  <c r="O347" i="2"/>
  <c r="O339" i="2"/>
  <c r="O331" i="2"/>
  <c r="O323" i="2"/>
  <c r="O315" i="2"/>
  <c r="O307" i="2"/>
  <c r="O299" i="2"/>
  <c r="O291" i="2"/>
  <c r="O283" i="2"/>
  <c r="O275" i="2"/>
  <c r="O267" i="2"/>
  <c r="O259" i="2"/>
  <c r="O251" i="2"/>
  <c r="O243" i="2"/>
  <c r="O235" i="2"/>
  <c r="O227" i="2"/>
  <c r="O219" i="2"/>
  <c r="O211" i="2"/>
  <c r="O203" i="2"/>
  <c r="O195" i="2"/>
  <c r="O187" i="2"/>
  <c r="O179" i="2"/>
  <c r="O171" i="2"/>
  <c r="O163" i="2"/>
  <c r="O155" i="2"/>
  <c r="O147" i="2"/>
  <c r="O139" i="2"/>
  <c r="O131" i="2"/>
  <c r="O123" i="2"/>
  <c r="O115" i="2"/>
  <c r="O107" i="2"/>
  <c r="O102" i="2"/>
  <c r="O97" i="2"/>
  <c r="O92" i="2"/>
  <c r="O81" i="2"/>
  <c r="O53" i="2"/>
  <c r="O86" i="2"/>
  <c r="O70" i="2"/>
  <c r="O65" i="2"/>
  <c r="O682" i="2"/>
  <c r="O674" i="2"/>
  <c r="O666" i="2"/>
  <c r="O658" i="2"/>
  <c r="O650" i="2"/>
  <c r="O642" i="2"/>
  <c r="O634" i="2"/>
  <c r="O626" i="2"/>
  <c r="O618" i="2"/>
  <c r="O610" i="2"/>
  <c r="O602" i="2"/>
  <c r="O594" i="2"/>
  <c r="O586" i="2"/>
  <c r="O578" i="2"/>
  <c r="O570" i="2"/>
  <c r="O562" i="2"/>
  <c r="O554" i="2"/>
  <c r="O546" i="2"/>
  <c r="O538" i="2"/>
  <c r="O530" i="2"/>
  <c r="O522" i="2"/>
  <c r="O514" i="2"/>
  <c r="O506" i="2"/>
  <c r="O498" i="2"/>
  <c r="O490" i="2"/>
  <c r="O482" i="2"/>
  <c r="O474" i="2"/>
  <c r="O466" i="2"/>
  <c r="O458" i="2"/>
  <c r="O450" i="2"/>
  <c r="O442" i="2"/>
  <c r="O434" i="2"/>
  <c r="O426" i="2"/>
  <c r="O418" i="2"/>
  <c r="O410" i="2"/>
  <c r="O402" i="2"/>
  <c r="O394" i="2"/>
  <c r="O386" i="2"/>
  <c r="O378" i="2"/>
  <c r="O370" i="2"/>
  <c r="O362" i="2"/>
  <c r="O354" i="2"/>
  <c r="O346" i="2"/>
  <c r="O338" i="2"/>
  <c r="O330" i="2"/>
  <c r="O322" i="2"/>
  <c r="O314" i="2"/>
  <c r="O306" i="2"/>
  <c r="O298" i="2"/>
  <c r="O290" i="2"/>
  <c r="O282" i="2"/>
  <c r="O274" i="2"/>
  <c r="O266" i="2"/>
  <c r="O258" i="2"/>
  <c r="O250" i="2"/>
  <c r="O242" i="2"/>
  <c r="O234" i="2"/>
  <c r="O226" i="2"/>
  <c r="O218" i="2"/>
  <c r="O210" i="2"/>
  <c r="O202" i="2"/>
  <c r="O194" i="2"/>
  <c r="O186" i="2"/>
  <c r="O178" i="2"/>
  <c r="O170" i="2"/>
  <c r="O162" i="2"/>
  <c r="O154" i="2"/>
  <c r="O146" i="2"/>
  <c r="O138" i="2"/>
  <c r="O130" i="2"/>
  <c r="O122" i="2"/>
  <c r="O114" i="2"/>
  <c r="O106" i="2"/>
  <c r="O101" i="2"/>
  <c r="O91" i="2"/>
  <c r="O80" i="2"/>
  <c r="O74" i="2"/>
  <c r="O52" i="2"/>
  <c r="O46" i="2"/>
  <c r="O30" i="2"/>
  <c r="O13" i="2"/>
  <c r="O8" i="2"/>
  <c r="O681" i="2"/>
  <c r="O673" i="2"/>
  <c r="O665" i="2"/>
  <c r="O657" i="2"/>
  <c r="O649" i="2"/>
  <c r="O641" i="2"/>
  <c r="O633" i="2"/>
  <c r="O625" i="2"/>
  <c r="O617" i="2"/>
  <c r="O609" i="2"/>
  <c r="O601" i="2"/>
  <c r="O593" i="2"/>
  <c r="O585" i="2"/>
  <c r="O577" i="2"/>
  <c r="O569" i="2"/>
  <c r="O561" i="2"/>
  <c r="O553" i="2"/>
  <c r="O545" i="2"/>
  <c r="O537" i="2"/>
  <c r="O529" i="2"/>
  <c r="O521" i="2"/>
  <c r="O513" i="2"/>
  <c r="O505" i="2"/>
  <c r="O497" i="2"/>
  <c r="O489" i="2"/>
  <c r="O481" i="2"/>
  <c r="O473" i="2"/>
  <c r="O465" i="2"/>
  <c r="O457" i="2"/>
  <c r="O449" i="2"/>
  <c r="O441" i="2"/>
  <c r="O433" i="2"/>
  <c r="O425" i="2"/>
  <c r="O417" i="2"/>
  <c r="O409" i="2"/>
  <c r="O401" i="2"/>
  <c r="O393" i="2"/>
  <c r="O385" i="2"/>
  <c r="O377" i="2"/>
  <c r="O369" i="2"/>
  <c r="O361" i="2"/>
  <c r="O353" i="2"/>
  <c r="O345" i="2"/>
  <c r="O337" i="2"/>
  <c r="O329" i="2"/>
  <c r="O90" i="2"/>
  <c r="O73" i="2"/>
  <c r="O69" i="2"/>
  <c r="O680" i="2"/>
  <c r="O672" i="2"/>
  <c r="O664" i="2"/>
  <c r="O656" i="2"/>
  <c r="O648" i="2"/>
  <c r="O640" i="2"/>
  <c r="O632" i="2"/>
  <c r="O624" i="2"/>
  <c r="O616" i="2"/>
  <c r="O608" i="2"/>
  <c r="O600" i="2"/>
  <c r="O592" i="2"/>
  <c r="O584" i="2"/>
  <c r="O576" i="2"/>
  <c r="O568" i="2"/>
  <c r="O560" i="2"/>
  <c r="O552" i="2"/>
  <c r="O544" i="2"/>
  <c r="O536" i="2"/>
  <c r="O528" i="2"/>
  <c r="O520" i="2"/>
  <c r="O512" i="2"/>
  <c r="O504" i="2"/>
  <c r="O496" i="2"/>
  <c r="O488" i="2"/>
  <c r="O480" i="2"/>
  <c r="O472" i="2"/>
  <c r="O464" i="2"/>
  <c r="O456" i="2"/>
  <c r="O448" i="2"/>
  <c r="O440" i="2"/>
  <c r="O432" i="2"/>
  <c r="O424" i="2"/>
  <c r="O416" i="2"/>
  <c r="O408" i="2"/>
  <c r="O400" i="2"/>
  <c r="O392" i="2"/>
  <c r="O384" i="2"/>
  <c r="O376" i="2"/>
  <c r="O368" i="2"/>
  <c r="O360" i="2"/>
  <c r="O352" i="2"/>
  <c r="O344" i="2"/>
  <c r="O336" i="2"/>
  <c r="O328" i="2"/>
  <c r="O320" i="2"/>
  <c r="O312" i="2"/>
  <c r="O304" i="2"/>
  <c r="O296" i="2"/>
  <c r="O288" i="2"/>
  <c r="O280" i="2"/>
  <c r="O272" i="2"/>
  <c r="O264" i="2"/>
  <c r="O256" i="2"/>
  <c r="O248" i="2"/>
  <c r="O240" i="2"/>
  <c r="O232" i="2"/>
  <c r="O224" i="2"/>
  <c r="O216" i="2"/>
  <c r="O208" i="2"/>
  <c r="O200" i="2"/>
  <c r="O192" i="2"/>
  <c r="O184" i="2"/>
  <c r="O176" i="2"/>
  <c r="O168" i="2"/>
  <c r="O160" i="2"/>
  <c r="O152" i="2"/>
  <c r="O144" i="2"/>
  <c r="O136" i="2"/>
  <c r="O128" i="2"/>
  <c r="O120" i="2"/>
  <c r="O112" i="2"/>
  <c r="O78" i="2"/>
  <c r="O58" i="2"/>
  <c r="O50" i="2"/>
  <c r="O685" i="2"/>
  <c r="O677" i="2"/>
  <c r="O669" i="2"/>
  <c r="O661" i="2"/>
  <c r="O653" i="2"/>
  <c r="O645" i="2"/>
  <c r="O637" i="2"/>
  <c r="O629" i="2"/>
  <c r="O621" i="2"/>
  <c r="O613" i="2"/>
  <c r="O605" i="2"/>
  <c r="O597" i="2"/>
  <c r="O589" i="2"/>
  <c r="O581" i="2"/>
  <c r="O573" i="2"/>
  <c r="O565" i="2"/>
  <c r="O557" i="2"/>
  <c r="O549" i="2"/>
  <c r="O541" i="2"/>
  <c r="O533" i="2"/>
  <c r="O525" i="2"/>
  <c r="O517" i="2"/>
  <c r="O509" i="2"/>
  <c r="O501" i="2"/>
  <c r="O493" i="2"/>
  <c r="O485" i="2"/>
  <c r="O477" i="2"/>
  <c r="O469" i="2"/>
  <c r="O461" i="2"/>
  <c r="O453" i="2"/>
  <c r="O445" i="2"/>
  <c r="O437" i="2"/>
  <c r="O429" i="2"/>
  <c r="O421" i="2"/>
  <c r="O413" i="2"/>
  <c r="O405" i="2"/>
  <c r="O397" i="2"/>
  <c r="O389" i="2"/>
  <c r="O381" i="2"/>
  <c r="O373" i="2"/>
  <c r="O365" i="2"/>
  <c r="O357" i="2"/>
  <c r="O349" i="2"/>
  <c r="O341" i="2"/>
  <c r="O333" i="2"/>
  <c r="O325" i="2"/>
  <c r="O317" i="2"/>
  <c r="O309" i="2"/>
  <c r="O301" i="2"/>
  <c r="O293" i="2"/>
  <c r="O285" i="2"/>
  <c r="O277" i="2"/>
  <c r="O269" i="2"/>
  <c r="O261" i="2"/>
  <c r="O253" i="2"/>
  <c r="O245" i="2"/>
  <c r="O237" i="2"/>
  <c r="O229" i="2"/>
  <c r="O221" i="2"/>
  <c r="O213" i="2"/>
  <c r="O205" i="2"/>
  <c r="O197" i="2"/>
  <c r="O189" i="2"/>
  <c r="O181" i="2"/>
  <c r="O173" i="2"/>
  <c r="O165" i="2"/>
  <c r="O157" i="2"/>
  <c r="O149" i="2"/>
  <c r="O141" i="2"/>
  <c r="O133" i="2"/>
  <c r="O125" i="2"/>
  <c r="O117" i="2"/>
  <c r="O109" i="2"/>
  <c r="O103" i="2"/>
  <c r="O98" i="2"/>
  <c r="O94" i="2"/>
  <c r="O684" i="2"/>
  <c r="O676" i="2"/>
  <c r="O668" i="2"/>
  <c r="O660" i="2"/>
  <c r="O652" i="2"/>
  <c r="O644" i="2"/>
  <c r="O636" i="2"/>
  <c r="O628" i="2"/>
  <c r="O620" i="2"/>
  <c r="O612" i="2"/>
  <c r="O604" i="2"/>
  <c r="O596" i="2"/>
  <c r="O588" i="2"/>
  <c r="O580" i="2"/>
  <c r="O572" i="2"/>
  <c r="O564" i="2"/>
  <c r="O556" i="2"/>
  <c r="O548" i="2"/>
  <c r="O540" i="2"/>
  <c r="O532" i="2"/>
  <c r="O524" i="2"/>
  <c r="O516" i="2"/>
  <c r="O508" i="2"/>
  <c r="O500" i="2"/>
  <c r="O492" i="2"/>
  <c r="O484" i="2"/>
  <c r="O476" i="2"/>
  <c r="O468" i="2"/>
  <c r="O460" i="2"/>
  <c r="O452" i="2"/>
  <c r="O444" i="2"/>
  <c r="O436" i="2"/>
  <c r="O428" i="2"/>
  <c r="O420" i="2"/>
  <c r="O412" i="2"/>
  <c r="O404" i="2"/>
  <c r="O396" i="2"/>
  <c r="O388" i="2"/>
  <c r="O380" i="2"/>
  <c r="O372" i="2"/>
  <c r="O364" i="2"/>
  <c r="O356" i="2"/>
  <c r="O348" i="2"/>
  <c r="O340" i="2"/>
  <c r="O332" i="2"/>
  <c r="O324" i="2"/>
  <c r="O316" i="2"/>
  <c r="O308" i="2"/>
  <c r="O300" i="2"/>
  <c r="O292" i="2"/>
  <c r="O284" i="2"/>
  <c r="O276" i="2"/>
  <c r="O268" i="2"/>
  <c r="O260" i="2"/>
  <c r="O252" i="2"/>
  <c r="O244" i="2"/>
  <c r="O236" i="2"/>
  <c r="O228" i="2"/>
  <c r="O220" i="2"/>
  <c r="O212" i="2"/>
  <c r="O204" i="2"/>
  <c r="O196" i="2"/>
  <c r="O188" i="2"/>
  <c r="O180" i="2"/>
  <c r="O172" i="2"/>
  <c r="O164" i="2"/>
  <c r="O156" i="2"/>
  <c r="O148" i="2"/>
  <c r="O140" i="2"/>
  <c r="O132" i="2"/>
  <c r="O124" i="2"/>
  <c r="O116" i="2"/>
  <c r="O108" i="2"/>
  <c r="O93" i="2"/>
  <c r="O265" i="2"/>
  <c r="O254" i="2"/>
  <c r="O207" i="2"/>
  <c r="O137" i="2"/>
  <c r="O126" i="2"/>
  <c r="O96" i="2"/>
  <c r="O82" i="2"/>
  <c r="O41" i="2"/>
  <c r="O37" i="2"/>
  <c r="O18" i="2"/>
  <c r="O88" i="2"/>
  <c r="O6" i="2"/>
  <c r="O57" i="2"/>
  <c r="O655" i="2"/>
  <c r="O630" i="2"/>
  <c r="O591" i="2"/>
  <c r="O566" i="2"/>
  <c r="O527" i="2"/>
  <c r="O502" i="2"/>
  <c r="O463" i="2"/>
  <c r="O438" i="2"/>
  <c r="O374" i="2"/>
  <c r="O335" i="2"/>
  <c r="O311" i="2"/>
  <c r="O241" i="2"/>
  <c r="O230" i="2"/>
  <c r="O54" i="2"/>
  <c r="O246" i="2"/>
  <c r="O222" i="2"/>
  <c r="O287" i="2"/>
  <c r="O217" i="2"/>
  <c r="O206" i="2"/>
  <c r="O159" i="2"/>
  <c r="O67" i="2"/>
  <c r="O61" i="2"/>
  <c r="O29" i="2"/>
  <c r="O12" i="2"/>
  <c r="O679" i="2"/>
  <c r="O654" i="2"/>
  <c r="O615" i="2"/>
  <c r="O590" i="2"/>
  <c r="O551" i="2"/>
  <c r="O526" i="2"/>
  <c r="O487" i="2"/>
  <c r="O462" i="2"/>
  <c r="O423" i="2"/>
  <c r="O398" i="2"/>
  <c r="O359" i="2"/>
  <c r="O334" i="2"/>
  <c r="O321" i="2"/>
  <c r="O310" i="2"/>
  <c r="O263" i="2"/>
  <c r="O193" i="2"/>
  <c r="O182" i="2"/>
  <c r="O135" i="2"/>
  <c r="O95" i="2"/>
  <c r="O40" i="2"/>
  <c r="O36" i="2"/>
  <c r="O17" i="2"/>
  <c r="O5" i="2"/>
  <c r="O169" i="2"/>
  <c r="O79" i="2"/>
  <c r="O72" i="2"/>
  <c r="O28" i="2"/>
  <c r="O9" i="2"/>
  <c r="O303" i="2"/>
  <c r="O175" i="2"/>
  <c r="O48" i="2"/>
  <c r="O297" i="2"/>
  <c r="O286" i="2"/>
  <c r="O239" i="2"/>
  <c r="O158" i="2"/>
  <c r="O111" i="2"/>
  <c r="O87" i="2"/>
  <c r="O45" i="2"/>
  <c r="O22" i="2"/>
  <c r="O678" i="2"/>
  <c r="O639" i="2"/>
  <c r="O614" i="2"/>
  <c r="O575" i="2"/>
  <c r="O550" i="2"/>
  <c r="O511" i="2"/>
  <c r="O486" i="2"/>
  <c r="O447" i="2"/>
  <c r="O422" i="2"/>
  <c r="O383" i="2"/>
  <c r="O358" i="2"/>
  <c r="O273" i="2"/>
  <c r="O262" i="2"/>
  <c r="O215" i="2"/>
  <c r="O145" i="2"/>
  <c r="O134" i="2"/>
  <c r="O66" i="2"/>
  <c r="O60" i="2"/>
  <c r="O51" i="2"/>
  <c r="A36" i="2"/>
  <c r="O11" i="2"/>
  <c r="O4" i="2"/>
  <c r="O64" i="2"/>
  <c r="O430" i="2"/>
  <c r="O129" i="2"/>
  <c r="O63" i="2"/>
  <c r="O319" i="2"/>
  <c r="O249" i="2"/>
  <c r="O238" i="2"/>
  <c r="O191" i="2"/>
  <c r="O121" i="2"/>
  <c r="O110" i="2"/>
  <c r="O100" i="2"/>
  <c r="O35" i="2"/>
  <c r="O21" i="2"/>
  <c r="O3" i="2"/>
  <c r="O49" i="2"/>
  <c r="O33" i="2"/>
  <c r="O663" i="2"/>
  <c r="O638" i="2"/>
  <c r="O599" i="2"/>
  <c r="O574" i="2"/>
  <c r="O535" i="2"/>
  <c r="O510" i="2"/>
  <c r="O471" i="2"/>
  <c r="O446" i="2"/>
  <c r="O407" i="2"/>
  <c r="O382" i="2"/>
  <c r="O343" i="2"/>
  <c r="O295" i="2"/>
  <c r="O225" i="2"/>
  <c r="O214" i="2"/>
  <c r="O167" i="2"/>
  <c r="O59" i="2"/>
  <c r="O44" i="2"/>
  <c r="O27" i="2"/>
  <c r="O16" i="2"/>
  <c r="O2" i="2"/>
  <c r="O34" i="2"/>
  <c r="O647" i="2"/>
  <c r="O519" i="2"/>
  <c r="O366" i="2"/>
  <c r="O327" i="2"/>
  <c r="O257" i="2"/>
  <c r="O199" i="2"/>
  <c r="O76" i="2"/>
  <c r="O105" i="2"/>
  <c r="O318" i="2"/>
  <c r="O271" i="2"/>
  <c r="O201" i="2"/>
  <c r="O190" i="2"/>
  <c r="O143" i="2"/>
  <c r="O85" i="2"/>
  <c r="O77" i="2"/>
  <c r="O71" i="2"/>
  <c r="O39" i="2"/>
  <c r="O10" i="2"/>
  <c r="O99" i="2"/>
  <c r="O622" i="2"/>
  <c r="O558" i="2"/>
  <c r="O494" i="2"/>
  <c r="O391" i="2"/>
  <c r="O118" i="2"/>
  <c r="O233" i="2"/>
  <c r="O662" i="2"/>
  <c r="O623" i="2"/>
  <c r="O598" i="2"/>
  <c r="O559" i="2"/>
  <c r="O534" i="2"/>
  <c r="O495" i="2"/>
  <c r="O470" i="2"/>
  <c r="O431" i="2"/>
  <c r="O406" i="2"/>
  <c r="O367" i="2"/>
  <c r="O342" i="2"/>
  <c r="O305" i="2"/>
  <c r="O294" i="2"/>
  <c r="O247" i="2"/>
  <c r="O177" i="2"/>
  <c r="O166" i="2"/>
  <c r="O119" i="2"/>
  <c r="O281" i="2"/>
  <c r="O270" i="2"/>
  <c r="O223" i="2"/>
  <c r="O153" i="2"/>
  <c r="O142" i="2"/>
  <c r="O84" i="2"/>
  <c r="O43" i="2"/>
  <c r="O26" i="2"/>
  <c r="O20" i="2"/>
  <c r="O15" i="2"/>
  <c r="O583" i="2"/>
  <c r="O671" i="2"/>
  <c r="O646" i="2"/>
  <c r="O607" i="2"/>
  <c r="O582" i="2"/>
  <c r="O543" i="2"/>
  <c r="O518" i="2"/>
  <c r="O479" i="2"/>
  <c r="O454" i="2"/>
  <c r="O415" i="2"/>
  <c r="O390" i="2"/>
  <c r="O351" i="2"/>
  <c r="O326" i="2"/>
  <c r="O279" i="2"/>
  <c r="O209" i="2"/>
  <c r="O198" i="2"/>
  <c r="O151" i="2"/>
  <c r="O83" i="2"/>
  <c r="O56" i="2"/>
  <c r="O42" i="2"/>
  <c r="O38" i="2"/>
  <c r="O32" i="2"/>
  <c r="O25" i="2"/>
  <c r="O19" i="2"/>
  <c r="O14" i="2"/>
  <c r="O313" i="2"/>
  <c r="O302" i="2"/>
  <c r="O255" i="2"/>
  <c r="O185" i="2"/>
  <c r="O174" i="2"/>
  <c r="O127" i="2"/>
  <c r="O89" i="2"/>
  <c r="O62" i="2"/>
  <c r="O670" i="2"/>
  <c r="O631" i="2"/>
  <c r="O606" i="2"/>
  <c r="O567" i="2"/>
  <c r="O542" i="2"/>
  <c r="O503" i="2"/>
  <c r="O478" i="2"/>
  <c r="O439" i="2"/>
  <c r="O414" i="2"/>
  <c r="O375" i="2"/>
  <c r="O350" i="2"/>
  <c r="O289" i="2"/>
  <c r="O278" i="2"/>
  <c r="O231" i="2"/>
  <c r="O161" i="2"/>
  <c r="O150" i="2"/>
  <c r="O104" i="2"/>
  <c r="O68" i="2"/>
  <c r="O55" i="2"/>
  <c r="O47" i="2"/>
  <c r="A38" i="2"/>
  <c r="O31" i="2"/>
  <c r="O24" i="2"/>
  <c r="O7" i="2"/>
  <c r="O399" i="2"/>
  <c r="O183" i="2"/>
  <c r="O113" i="2"/>
  <c r="O23" i="2"/>
  <c r="O455" i="2"/>
  <c r="A18" i="2"/>
  <c r="A13" i="2"/>
  <c r="A15" i="2" s="1"/>
  <c r="A17" i="2" s="1"/>
  <c r="K25" i="1"/>
  <c r="H25" i="1"/>
  <c r="J25" i="1" s="1"/>
  <c r="H17" i="1"/>
  <c r="J17" i="1" s="1"/>
  <c r="K17" i="1"/>
  <c r="K26" i="1"/>
  <c r="H26" i="1"/>
  <c r="J26" i="1" s="1"/>
  <c r="H23" i="1"/>
  <c r="J23" i="1" s="1"/>
  <c r="K23" i="1"/>
  <c r="K10" i="1"/>
  <c r="H10" i="1"/>
  <c r="J10" i="1" s="1"/>
  <c r="K27" i="1"/>
  <c r="H27" i="1"/>
  <c r="J27" i="1" s="1"/>
  <c r="H33" i="1"/>
  <c r="J33" i="1" s="1"/>
  <c r="K33" i="1"/>
  <c r="G9" i="1"/>
  <c r="L24" i="1"/>
  <c r="G13" i="1"/>
  <c r="L14" i="1"/>
  <c r="G29" i="1"/>
  <c r="L30" i="1"/>
  <c r="I13" i="1"/>
  <c r="H16" i="1"/>
  <c r="J16" i="1" s="1"/>
  <c r="G19" i="1"/>
  <c r="I29" i="1"/>
  <c r="H32" i="1"/>
  <c r="J32" i="1" s="1"/>
  <c r="G35" i="1"/>
  <c r="G12" i="1"/>
  <c r="I22" i="1"/>
  <c r="G28" i="1"/>
  <c r="I9" i="1"/>
  <c r="G31" i="1"/>
  <c r="I12" i="1"/>
  <c r="G18" i="1"/>
  <c r="K22" i="1"/>
  <c r="I28" i="1"/>
  <c r="G34" i="1"/>
  <c r="I15" i="1"/>
  <c r="G21" i="1"/>
  <c r="I31" i="1"/>
  <c r="G37" i="1"/>
  <c r="G15" i="1"/>
  <c r="I34" i="1"/>
  <c r="G24" i="1"/>
  <c r="G11" i="1"/>
  <c r="I21" i="1"/>
  <c r="I37" i="1"/>
  <c r="I11" i="1"/>
  <c r="H14" i="1"/>
  <c r="J14" i="1" s="1"/>
  <c r="I27" i="1"/>
  <c r="H30" i="1"/>
  <c r="J30" i="1" s="1"/>
  <c r="G20" i="1"/>
  <c r="G36" i="1"/>
  <c r="G38" i="1"/>
  <c r="K31" i="1" l="1"/>
  <c r="H31" i="1"/>
  <c r="J31" i="1" s="1"/>
  <c r="K9" i="1"/>
  <c r="H9" i="1"/>
  <c r="J9" i="1" s="1"/>
  <c r="A19" i="2"/>
  <c r="A20" i="2" s="1"/>
  <c r="A21" i="2"/>
  <c r="A27" i="2" s="1"/>
  <c r="A28" i="2" s="1"/>
  <c r="K24" i="1"/>
  <c r="H24" i="1"/>
  <c r="J24" i="1" s="1"/>
  <c r="H12" i="1"/>
  <c r="J12" i="1" s="1"/>
  <c r="K12" i="1"/>
  <c r="K35" i="1"/>
  <c r="H35" i="1"/>
  <c r="J35" i="1" s="1"/>
  <c r="K37" i="1"/>
  <c r="H37" i="1"/>
  <c r="J37" i="1" s="1"/>
  <c r="H28" i="1"/>
  <c r="J28" i="1" s="1"/>
  <c r="K28" i="1"/>
  <c r="K11" i="1"/>
  <c r="H11" i="1"/>
  <c r="J11" i="1" s="1"/>
  <c r="K15" i="1"/>
  <c r="H15" i="1"/>
  <c r="J15" i="1" s="1"/>
  <c r="H19" i="1"/>
  <c r="J19" i="1" s="1"/>
  <c r="K19" i="1"/>
  <c r="K21" i="1"/>
  <c r="H21" i="1"/>
  <c r="J21" i="1" s="1"/>
  <c r="K38" i="1"/>
  <c r="H38" i="1"/>
  <c r="J38" i="1" s="1"/>
  <c r="A37" i="2"/>
  <c r="C40" i="2" a="1"/>
  <c r="C40" i="2" s="1"/>
  <c r="A40" i="2" s="1"/>
  <c r="C39" i="2" a="1"/>
  <c r="C39" i="2" s="1"/>
  <c r="A39" i="2" s="1"/>
  <c r="R81" i="2" s="1"/>
  <c r="K20" i="1"/>
  <c r="H20" i="1"/>
  <c r="J20" i="1" s="1"/>
  <c r="H29" i="1"/>
  <c r="J29" i="1" s="1"/>
  <c r="K29" i="1"/>
  <c r="K36" i="1"/>
  <c r="H36" i="1"/>
  <c r="J36" i="1" s="1"/>
  <c r="K18" i="1"/>
  <c r="H18" i="1"/>
  <c r="J18" i="1" s="1"/>
  <c r="K13" i="1"/>
  <c r="H13" i="1"/>
  <c r="J13" i="1" s="1"/>
  <c r="K34" i="1"/>
  <c r="H34" i="1"/>
  <c r="J34" i="1" s="1"/>
  <c r="A41" i="2" l="1"/>
  <c r="A44" i="2" s="1"/>
  <c r="A48" i="2" s="1"/>
  <c r="R58" i="2"/>
  <c r="R83" i="2"/>
  <c r="R86" i="2" s="1"/>
  <c r="A43" i="2"/>
  <c r="A46" i="2" s="1"/>
  <c r="A47" i="2" s="1"/>
  <c r="A50" i="2" s="1"/>
  <c r="R82" i="2"/>
  <c r="R84" i="2" s="1"/>
  <c r="R87" i="2" s="1"/>
  <c r="S103" i="2" s="1"/>
  <c r="A42" i="2"/>
  <c r="A45" i="2" s="1"/>
  <c r="A49" i="2" s="1"/>
  <c r="S102" i="2" l="1"/>
  <c r="S104" i="2"/>
  <c r="S95" i="2"/>
  <c r="R89" i="2"/>
  <c r="S97" i="2" s="1"/>
  <c r="R88" i="2"/>
  <c r="S94" i="2"/>
  <c r="R65" i="2"/>
  <c r="R69" i="2" s="1" a="1"/>
  <c r="R69" i="2" s="1"/>
  <c r="R67" i="2"/>
  <c r="R71" i="2" s="1" a="1"/>
  <c r="R71" i="2" s="1"/>
  <c r="R66" i="2"/>
  <c r="R70" i="2" s="1" a="1"/>
  <c r="R70" i="2" s="1"/>
  <c r="R68" i="2"/>
  <c r="R72" i="2" s="1" a="1"/>
  <c r="R72" i="2" s="1"/>
  <c r="R73" i="2" l="1"/>
  <c r="R74" i="2"/>
  <c r="R103" i="2" s="1"/>
  <c r="S96" i="2"/>
  <c r="R90" i="2"/>
  <c r="R104" i="2" l="1"/>
  <c r="R102" i="2"/>
  <c r="S99" i="2"/>
  <c r="S98" i="2"/>
  <c r="R95" i="2"/>
  <c r="R76" i="2"/>
  <c r="R97" i="2" s="1"/>
  <c r="R94" i="2"/>
  <c r="R75" i="2"/>
  <c r="R77" i="2" l="1"/>
  <c r="R96" i="2"/>
  <c r="R99" i="2" l="1"/>
  <c r="R98" i="2"/>
</calcChain>
</file>

<file path=xl/comments1.xml><?xml version="1.0" encoding="utf-8"?>
<comments xmlns="http://schemas.openxmlformats.org/spreadsheetml/2006/main" xmlns:mc="http://schemas.openxmlformats.org/markup-compatibility/2006" xmlns:xr="http://schemas.microsoft.com/office/spreadsheetml/2014/revision" mc:Ignorable="xr">
  <authors>
    <author>Unknown Author</author>
  </authors>
  <commentList>
    <comment ref="A59" authorId="0" shapeId="0" xr:uid="{00000000-0006-0000-0100-000001000000}">
      <text>
        <r>
          <rPr>
            <sz val="10"/>
            <rFont val="Arial"/>
            <family val="2"/>
          </rPr>
          <t xml:space="preserve">jd:
After geometric and dead time correction but before beam flow correction factor multiplication.
</t>
        </r>
      </text>
    </comment>
    <comment ref="B65" authorId="0" shapeId="0" xr:uid="{00000000-0006-0000-0100-000002000000}">
      <text>
        <r>
          <rPr>
            <sz val="10"/>
            <rFont val="Arial"/>
            <family val="2"/>
          </rPr>
          <t>jd:
This value can be used to set the device beam flow correction parameter. Its function is to correct for the flow curve and also any divergence of the illuminating light beam.</t>
        </r>
      </text>
    </comment>
  </commentList>
</comments>
</file>

<file path=xl/sharedStrings.xml><?xml version="1.0" encoding="utf-8"?>
<sst xmlns="http://schemas.openxmlformats.org/spreadsheetml/2006/main" count="223" uniqueCount="206">
  <si>
    <t>Data Preprocessing and Quality Assessment per ISO 11171 Clause 6.6</t>
  </si>
  <si>
    <t>BOTTLE 1</t>
  </si>
  <si>
    <t>CHECK CALIBRATION THRESHOLDS ENTERED ON PARTICLE COUNTER</t>
  </si>
  <si>
    <t>Serial #</t>
  </si>
  <si>
    <t>11171-00040</t>
  </si>
  <si>
    <t>Dilution Ratio</t>
  </si>
  <si>
    <t>Date</t>
  </si>
  <si>
    <t>RM</t>
  </si>
  <si>
    <t>10.0um</t>
  </si>
  <si>
    <t>BOTTLE</t>
  </si>
  <si>
    <t>Portion 1</t>
  </si>
  <si>
    <t>Portion 2</t>
  </si>
  <si>
    <t>Portion 3</t>
  </si>
  <si>
    <t>Portion 4</t>
  </si>
  <si>
    <t>Portion 5</t>
  </si>
  <si>
    <t>X / ml</t>
  </si>
  <si>
    <t>NTOTAL</t>
  </si>
  <si>
    <t>CV</t>
  </si>
  <si>
    <t>DQMAX</t>
  </si>
  <si>
    <t>DQ</t>
  </si>
  <si>
    <t>NC</t>
  </si>
  <si>
    <t>Scanned ml</t>
  </si>
  <si>
    <t>count_4</t>
  </si>
  <si>
    <t>count_5</t>
  </si>
  <si>
    <t>count_6</t>
  </si>
  <si>
    <t>count_7</t>
  </si>
  <si>
    <t>count_8</t>
  </si>
  <si>
    <t>count_9</t>
  </si>
  <si>
    <t>count_10</t>
  </si>
  <si>
    <t>count_11</t>
  </si>
  <si>
    <t>count_12</t>
  </si>
  <si>
    <t>count_13</t>
  </si>
  <si>
    <t>count_14</t>
  </si>
  <si>
    <t>count_15</t>
  </si>
  <si>
    <t>count_16</t>
  </si>
  <si>
    <t>count_17</t>
  </si>
  <si>
    <t>count_18</t>
  </si>
  <si>
    <t>count_19</t>
  </si>
  <si>
    <t>count_20</t>
  </si>
  <si>
    <t>count_21</t>
  </si>
  <si>
    <t>count_22</t>
  </si>
  <si>
    <t>count_23</t>
  </si>
  <si>
    <t>count_24</t>
  </si>
  <si>
    <t>count_25</t>
  </si>
  <si>
    <t>count_26</t>
  </si>
  <si>
    <t>count_27</t>
  </si>
  <si>
    <t>count_28</t>
  </si>
  <si>
    <t>count_29</t>
  </si>
  <si>
    <t>count_30</t>
  </si>
  <si>
    <t>count_38</t>
  </si>
  <si>
    <t>count_50</t>
  </si>
  <si>
    <t>count_70</t>
  </si>
  <si>
    <t>Table C.2</t>
  </si>
  <si>
    <t>Mean counted X</t>
  </si>
  <si>
    <t>CV_MAX</t>
  </si>
  <si>
    <t>X &gt;=</t>
  </si>
  <si>
    <t>X &lt;</t>
  </si>
  <si>
    <t>DQMAX / SAMPLE</t>
  </si>
  <si>
    <t>N=3</t>
  </si>
  <si>
    <t>N=6</t>
  </si>
  <si>
    <t>N=10</t>
  </si>
  <si>
    <t>N=20</t>
  </si>
  <si>
    <t>N=40</t>
  </si>
  <si>
    <t>NAME\mL</t>
  </si>
  <si>
    <t xml:space="preserve">CvDIAM_10 &lt; +/-15%
→ CvSIGNAL_10 &lt; +/-32%
</t>
  </si>
  <si>
    <t>10um spheres</t>
  </si>
  <si>
    <t>Annex D - Resolution</t>
  </si>
  <si>
    <t>#</t>
  </si>
  <si>
    <t>count</t>
  </si>
  <si>
    <t>Average</t>
  </si>
  <si>
    <t>Max/2</t>
  </si>
  <si>
    <t>Operator</t>
  </si>
  <si>
    <t>JMD</t>
  </si>
  <si>
    <t>LC10 spheres batch 300730</t>
  </si>
  <si>
    <t>Particle Counter</t>
  </si>
  <si>
    <t>10.0±0.3</t>
  </si>
  <si>
    <t>μm certified mean diamater</t>
  </si>
  <si>
    <t>Firmware</t>
  </si>
  <si>
    <t>5.16-DEV</t>
  </si>
  <si>
    <t>Concentration / ml</t>
  </si>
  <si>
    <t>NIST TRACEABLE</t>
  </si>
  <si>
    <t>Variation with Flow</t>
  </si>
  <si>
    <t>microns</t>
  </si>
  <si>
    <t>diameter</t>
  </si>
  <si>
    <t>Spheres Concentration Calculator</t>
  </si>
  <si>
    <t>m^3</t>
  </si>
  <si>
    <t>volume of a sphere</t>
  </si>
  <si>
    <t>Target Concentration / ml</t>
  </si>
  <si>
    <t>Flow ml/min</t>
  </si>
  <si>
    <t>kg</t>
  </si>
  <si>
    <t>mass of a sphere</t>
  </si>
  <si>
    <t>Fluid Density</t>
  </si>
  <si>
    <t>Count / ml</t>
  </si>
  <si>
    <t>Number</t>
  </si>
  <si>
    <t>spheres per mg</t>
  </si>
  <si>
    <t>Concentrate / ml</t>
  </si>
  <si>
    <t>Capture</t>
  </si>
  <si>
    <t>Target concentration per ml</t>
  </si>
  <si>
    <t>Dilution</t>
  </si>
  <si>
    <t>mg/l</t>
  </si>
  <si>
    <t>spheres to add per liter</t>
  </si>
  <si>
    <t>Ratio Diluent:Concentrate</t>
  </si>
  <si>
    <t>litres</t>
  </si>
  <si>
    <t>Bottle / Rig volume</t>
  </si>
  <si>
    <t>Bottle Number</t>
  </si>
  <si>
    <t>D1</t>
  </si>
  <si>
    <t>mg</t>
  </si>
  <si>
    <t>Total mass of spheres to add</t>
  </si>
  <si>
    <t>Bottle Size / ml</t>
  </si>
  <si>
    <t>Actual mass added</t>
  </si>
  <si>
    <t>Bottle Capacity / g</t>
  </si>
  <si>
    <t>N/ml</t>
  </si>
  <si>
    <t>Initial Concentration</t>
  </si>
  <si>
    <t>Concentrate to Add / g</t>
  </si>
  <si>
    <t>Spheres added</t>
  </si>
  <si>
    <t>Concentrate Added / g</t>
  </si>
  <si>
    <t>ml</t>
  </si>
  <si>
    <t>Adjusted volume required</t>
  </si>
  <si>
    <t>Diluent to add / g</t>
  </si>
  <si>
    <t>Extra volume to add</t>
  </si>
  <si>
    <t>/ml</t>
  </si>
  <si>
    <t>Final Concentration</t>
  </si>
  <si>
    <t>Expected Final Fluid Volume / ml</t>
  </si>
  <si>
    <t>Diluent Added / g</t>
  </si>
  <si>
    <t>Final Concentration / ml</t>
  </si>
  <si>
    <t>Desired fluid quantity</t>
  </si>
  <si>
    <t>Desired final sphere concentration for analysis</t>
  </si>
  <si>
    <t>/bottle</t>
  </si>
  <si>
    <t>Desired sphere quantity total</t>
  </si>
  <si>
    <t>Required amount of concentrate</t>
  </si>
  <si>
    <t>Required amount of diluent</t>
  </si>
  <si>
    <t>Peak data value (smoothed)</t>
  </si>
  <si>
    <t>Peak row index</t>
  </si>
  <si>
    <t>Peak bin (d, signal)</t>
  </si>
  <si>
    <t>Half-max value</t>
  </si>
  <si>
    <t>Left half-max bin (S_L)</t>
  </si>
  <si>
    <t>Right half-max bin (S_R)</t>
  </si>
  <si>
    <t>Left HWHM (signal)</t>
  </si>
  <si>
    <t>Right HWHM (signal)</t>
  </si>
  <si>
    <t>FWHM (signal, measured)</t>
  </si>
  <si>
    <t>R_L signal frac</t>
  </si>
  <si>
    <t>R_R signal frac</t>
  </si>
  <si>
    <t>Std.Dev. (signal)</t>
  </si>
  <si>
    <t>CVSIGNAL &lt; 30%</t>
  </si>
  <si>
    <t>R_L diameter % (x100)</t>
  </si>
  <si>
    <t>R_R diameter % (x100)</t>
  </si>
  <si>
    <t>CVDIAMETER &lt; 15%</t>
  </si>
  <si>
    <t>Boxcar_n</t>
  </si>
  <si>
    <t>ISO 11171 Annex D — Resolution Comparison</t>
  </si>
  <si>
    <t>Flow</t>
  </si>
  <si>
    <t>ml/min</t>
  </si>
  <si>
    <t>Detection Threshold</t>
  </si>
  <si>
    <t>ADU</t>
  </si>
  <si>
    <t>Shared inputs</t>
  </si>
  <si>
    <t>Peak bin (signal, apparent size C)</t>
  </si>
  <si>
    <t>Volume scanned</t>
  </si>
  <si>
    <t>Apparent sphere size d (µm)</t>
  </si>
  <si>
    <t>Total Sample Pumped</t>
  </si>
  <si>
    <t>True sphere diameter CV (fraction)</t>
  </si>
  <si>
    <t>Illuminated Fraction</t>
  </si>
  <si>
    <t>Sphere σ  s_I (µm) = CV·d</t>
  </si>
  <si>
    <t>Total Counted</t>
  </si>
  <si>
    <t>Sphere Concentration</t>
  </si>
  <si>
    <t>METHOD 1 — Official ISO D.3–D.6 (four-channel log-ratio)</t>
  </si>
  <si>
    <t>Total in sample</t>
  </si>
  <si>
    <t>Channel size factors: A=0.56·size, B=0.9, C=1.0(d), D=1.1</t>
  </si>
  <si>
    <t>Capture Fraction</t>
  </si>
  <si>
    <t>Channel A signal bin (0.56² · C)</t>
  </si>
  <si>
    <t>NB SET SPHERE CONC.</t>
  </si>
  <si>
    <t>Channel B signal bin (0.9² · C)</t>
  </si>
  <si>
    <t>Channel C signal bin (peak)</t>
  </si>
  <si>
    <t>Channel D signal bin (1.1² · C)</t>
  </si>
  <si>
    <t>N_A = Σcount in [A,B)</t>
  </si>
  <si>
    <t>N_B = Σcount in [B,C)</t>
  </si>
  <si>
    <t>N_C = Σcount in [C,D)</t>
  </si>
  <si>
    <t>N_D = Σcount in [D, D+(D-C))</t>
  </si>
  <si>
    <t>s_L (µm)  [D.3] = d/(6·ln[1+2(N_B/N_A)])</t>
  </si>
  <si>
    <t>s_R (µm)  [D.4] = d/(6·ln[1+2(N_C/N_D)])</t>
  </si>
  <si>
    <t>R_L %  [D.5] = 100·√(s_L²−s_I²)/d</t>
  </si>
  <si>
    <t>R_R %  [D.6] = 100·√(s_R²−s_I²)/d</t>
  </si>
  <si>
    <t>R %  = max(R_L,R_R)</t>
  </si>
  <si>
    <t>METHOD 2 — Asymmetric half-max + d² scaling + s_I deconvolution</t>
  </si>
  <si>
    <t>Uses smoothed N; widths interpolated each side (signal units)</t>
  </si>
  <si>
    <t>Left half-max bin S_L (signal)</t>
  </si>
  <si>
    <t>Right half-max bin S_R (signal)</t>
  </si>
  <si>
    <t>Left half-max size (µm) = d·√(S_L/C)</t>
  </si>
  <si>
    <t>Right half-max size (µm) = d·√(S_R/C)</t>
  </si>
  <si>
    <t>HWHM factor √(2·ln2)</t>
  </si>
  <si>
    <t>s_L (µm) = (d − leftSize)/√(2ln2)</t>
  </si>
  <si>
    <t>s_R (µm) = (rightSize − d)/√(2ln2)</t>
  </si>
  <si>
    <t>R_L %  = 100·√(s_L²−s_I²)/d</t>
  </si>
  <si>
    <t>R_R %  = 100·√(s_R²−s_I²)/d</t>
  </si>
  <si>
    <t>COMPARISON</t>
  </si>
  <si>
    <t>Quantity</t>
  </si>
  <si>
    <t>Method 1 (ISO)</t>
  </si>
  <si>
    <t>Method 2 (FWHM)</t>
  </si>
  <si>
    <t>s_L (µm)</t>
  </si>
  <si>
    <t>s_R (µm)</t>
  </si>
  <si>
    <t>R_L (%)</t>
  </si>
  <si>
    <t>R_R (%)</t>
  </si>
  <si>
    <t>R (%)</t>
  </si>
  <si>
    <t>Pass (&lt;10%)?</t>
  </si>
  <si>
    <t>— Raw resolution (no s_I deconvolution) —</t>
  </si>
  <si>
    <t>R_L raw % = 100·s_L/d</t>
  </si>
  <si>
    <t>R_R raw % = 100·s_R/d</t>
  </si>
  <si>
    <t>R raw % = max</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</si>
</sst>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6">
    <numFmt numFmtId="164" formatCode="yyyy\-mm\-dd"/>
    <numFmt numFmtId="165" formatCode="0.000"/>
    <numFmt numFmtId="166" formatCode="0.0"/>
    <numFmt numFmtId="167" formatCode="0.0%"/>
    <numFmt numFmtId="168" formatCode="0.000E+00"/>
    <numFmt numFmtId="169" formatCode="0.0000"/>
  </numFmts>
  <fonts count="18" x14ac:knownFonts="1">
    <font>
      <sz val="10"/>
      <name val="Arial"/>
      <family val="2"/>
      <charset val="1"/>
    </font>
    <font>
      <sz val="10"/>
      <name val="Arial"/>
      <family val="2"/>
    </font>
    <font>
      <sz val="11"/>
      <color rgb="FF333333"/>
      <name val="Arial"/>
      <family val="2"/>
      <charset val="1"/>
    </font>
    <font>
      <sz val="32"/>
      <name val="Arial"/>
      <family val="2"/>
      <charset val="1"/>
    </font>
    <font>
      <b/>
      <sz val="10"/>
      <color rgb="FFFC5C00"/>
      <name val="Arial"/>
      <family val="2"/>
      <charset val="1"/>
    </font>
    <font>
      <b/>
      <sz val="10"/>
      <name val="Arial"/>
      <family val="2"/>
      <charset val="1"/>
    </font>
    <font>
      <sz val="10"/>
      <color rgb="FF006600"/>
      <name val="Arial"/>
      <family val="2"/>
      <charset val="1"/>
    </font>
    <font>
      <sz val="24"/>
      <color rgb="FFC00000"/>
      <name val="Arial Black"/>
      <family val="2"/>
      <charset val="1"/>
    </font>
    <font>
      <b/>
      <sz val="11"/>
      <color rgb="FF333333"/>
      <name val="Arial"/>
      <family val="2"/>
      <charset val="1"/>
    </font>
    <font>
      <sz val="10"/>
      <color rgb="FF333333"/>
      <name val="Arial"/>
      <family val="2"/>
      <charset val="1"/>
    </font>
    <font>
      <sz val="10"/>
      <color theme="1"/>
      <name val="Arial"/>
      <family val="2"/>
      <charset val="1"/>
    </font>
    <font>
      <i/>
      <sz val="10"/>
      <name val="Arial"/>
      <family val="2"/>
      <charset val="1"/>
    </font>
    <font>
      <i/>
      <sz val="10"/>
      <color rgb="FF333333"/>
      <name val="Arial"/>
      <family val="2"/>
      <charset val="1"/>
    </font>
    <font>
      <b/>
      <sz val="10"/>
      <color rgb="FF333333"/>
      <name val="Arial"/>
      <family val="2"/>
      <charset val="1"/>
    </font>
    <font>
      <b/>
      <sz val="12"/>
      <name val="Cambria"/>
      <family val="1"/>
    </font>
    <font>
      <b/>
      <sz val="11"/>
      <name val="Cambria"/>
      <family val="1"/>
    </font>
    <font>
      <i/>
      <sz val="9"/>
      <name val="Cambria"/>
      <family val="1"/>
    </font>
    <font>
      <i/>
      <sz val="11"/>
      <name val="Cambria"/>
      <family val="1"/>
    </font>
  </fonts>
  <fills count="7">
    <fill>
      <patternFill patternType="none"/>
    </fill>
    <fill>
      <patternFill patternType="gray125"/>
    </fill>
    <fill>
      <patternFill patternType="solid">
        <fgColor rgb="FFCCFFCC"/>
        <bgColor rgb="FFE8F5E9"/>
      </patternFill>
    </fill>
    <fill>
      <patternFill patternType="solid">
        <fgColor theme="5" tint="0.79989013336588644"/>
        <bgColor rgb="FFCCCCFF"/>
      </patternFill>
    </fill>
    <fill>
      <patternFill patternType="solid">
        <fgColor rgb="FFFFF8E1"/>
        <bgColor rgb="FFE8F5E9"/>
      </patternFill>
    </fill>
    <fill>
      <patternFill patternType="solid">
        <fgColor rgb="FFE8F5E9"/>
        <bgColor rgb="FFE3F2FD"/>
      </patternFill>
    </fill>
    <fill>
      <patternFill patternType="solid">
        <fgColor rgb="FFE3F2FD"/>
        <bgColor rgb="FFE8F5E9"/>
      </patternFill>
    </fill>
  </fills>
  <borders count="12">
    <border>
      <left/>
      <right/>
      <top/>
      <bottom/>
      <diagonal/>
    </border>
    <border>
      <left style="thin">
        <color auto="1"/>
      </left>
      <right style="thin">
        <color auto="1"/>
      </right>
      <top style="thin">
        <color auto="1"/>
      </top>
      <bottom/>
      <diagonal/>
    </border>
    <border>
      <left style="thin">
        <color auto="1"/>
      </left>
      <right style="thin">
        <color auto="1"/>
      </right>
      <top/>
      <bottom/>
      <diagonal/>
    </border>
    <border>
      <left style="thin">
        <color auto="1"/>
      </left>
      <right style="thin">
        <color auto="1"/>
      </right>
      <top/>
      <bottom style="thin">
        <color auto="1"/>
      </bottom>
      <diagonal/>
    </border>
    <border>
      <left style="thin">
        <color auto="1"/>
      </left>
      <right/>
      <top style="thin">
        <color auto="1"/>
      </top>
      <bottom/>
      <diagonal/>
    </border>
    <border>
      <left/>
      <right/>
      <top style="thin">
        <color auto="1"/>
      </top>
      <bottom/>
      <diagonal/>
    </border>
    <border>
      <left/>
      <right style="thin">
        <color auto="1"/>
      </right>
      <top style="thin">
        <color auto="1"/>
      </top>
      <bottom/>
      <diagonal/>
    </border>
    <border>
      <left style="thin">
        <color auto="1"/>
      </left>
      <right/>
      <top/>
      <bottom style="thin">
        <color auto="1"/>
      </bottom>
      <diagonal/>
    </border>
    <border>
      <left/>
      <right/>
      <top/>
      <bottom style="thin">
        <color auto="1"/>
      </bottom>
      <diagonal/>
    </border>
    <border>
      <left/>
      <right style="thin">
        <color auto="1"/>
      </right>
      <top/>
      <bottom style="thin">
        <color auto="1"/>
      </bottom>
      <diagonal/>
    </border>
    <border>
      <left style="thin">
        <color auto="1"/>
      </left>
      <right/>
      <top/>
      <bottom/>
      <diagonal/>
    </border>
    <border>
      <left/>
      <right style="thin">
        <color auto="1"/>
      </right>
      <top/>
      <bottom/>
      <diagonal/>
    </border>
  </borders>
  <cellStyleXfs count="3">
    <xf numFmtId="0" fontId="0" fillId="0" borderId="0"/>
    <xf numFmtId="9" fontId="1" fillId="0" borderId="0" applyBorder="0" applyAlignment="0" applyProtection="0"/>
    <xf numFmtId="0" fontId="2" fillId="0" borderId="0"/>
  </cellStyleXfs>
  <cellXfs count="94">
    <xf numFmtId="0" fontId="0" fillId="0" borderId="0" xfId="0"/>
    <xf numFmtId="0" fontId="2" fillId="0" borderId="0" xfId="0" applyFont="1" applyAlignment="1">
      <alignment vertical="center"/>
    </xf>
    <xf numFmtId="0" fontId="7" fillId="0" borderId="0" xfId="0" applyFont="1" applyAlignment="1">
      <alignment vertical="center" wrapText="1"/>
    </xf>
    <xf numFmtId="0" fontId="3" fillId="0" borderId="0" xfId="0" applyFont="1" applyAlignment="1">
      <alignment horizontal="left" vertical="center"/>
    </xf>
    <xf numFmtId="0" fontId="4" fillId="0" borderId="0" xfId="0" applyFont="1"/>
    <xf numFmtId="0" fontId="5" fillId="0" borderId="1" xfId="0" applyFont="1" applyBorder="1"/>
    <xf numFmtId="0" fontId="5" fillId="0" borderId="0" xfId="0" applyFont="1"/>
    <xf numFmtId="164" fontId="5" fillId="0" borderId="2" xfId="0" applyNumberFormat="1" applyFont="1" applyBorder="1"/>
    <xf numFmtId="0" fontId="3" fillId="0" borderId="0" xfId="0" applyFont="1"/>
    <xf numFmtId="0" fontId="5" fillId="0" borderId="2" xfId="0" applyFont="1" applyBorder="1" applyAlignment="1">
      <alignment horizontal="right"/>
    </xf>
    <xf numFmtId="164" fontId="0" fillId="0" borderId="0" xfId="0" applyNumberFormat="1"/>
    <xf numFmtId="0" fontId="5" fillId="0" borderId="3" xfId="0" applyFont="1" applyBorder="1" applyAlignment="1">
      <alignment horizontal="right" wrapText="1"/>
    </xf>
    <xf numFmtId="0" fontId="5" fillId="0" borderId="0" xfId="0" applyFont="1" applyAlignment="1">
      <alignment horizontal="right"/>
    </xf>
    <xf numFmtId="0" fontId="0" fillId="0" borderId="0" xfId="0" applyAlignment="1">
      <alignment horizontal="right"/>
    </xf>
    <xf numFmtId="165" fontId="0" fillId="0" borderId="0" xfId="0" applyNumberFormat="1"/>
    <xf numFmtId="166" fontId="5" fillId="0" borderId="0" xfId="0" applyNumberFormat="1" applyFont="1" applyAlignment="1">
      <alignment horizontal="right"/>
    </xf>
    <xf numFmtId="167" fontId="0" fillId="0" borderId="0" xfId="0" applyNumberFormat="1"/>
    <xf numFmtId="1" fontId="0" fillId="0" borderId="0" xfId="0" applyNumberFormat="1"/>
    <xf numFmtId="166" fontId="5" fillId="0" borderId="0" xfId="0" applyNumberFormat="1" applyFont="1"/>
    <xf numFmtId="1" fontId="0" fillId="0" borderId="0" xfId="0" applyNumberFormat="1" applyAlignment="1">
      <alignment horizontal="right"/>
    </xf>
    <xf numFmtId="0" fontId="0" fillId="0" borderId="4" xfId="0" applyBorder="1"/>
    <xf numFmtId="0" fontId="0" fillId="0" borderId="5" xfId="0" applyBorder="1" applyAlignment="1">
      <alignment horizontal="right"/>
    </xf>
    <xf numFmtId="0" fontId="0" fillId="0" borderId="4" xfId="0" applyBorder="1" applyAlignment="1">
      <alignment horizontal="right"/>
    </xf>
    <xf numFmtId="0" fontId="0" fillId="0" borderId="5" xfId="0" applyBorder="1"/>
    <xf numFmtId="0" fontId="0" fillId="0" borderId="6" xfId="0" applyBorder="1"/>
    <xf numFmtId="0" fontId="0" fillId="0" borderId="7" xfId="0" applyBorder="1" applyAlignment="1">
      <alignment horizontal="right"/>
    </xf>
    <xf numFmtId="0" fontId="0" fillId="0" borderId="8" xfId="0" applyBorder="1" applyAlignment="1">
      <alignment horizontal="right"/>
    </xf>
    <xf numFmtId="0" fontId="0" fillId="0" borderId="9" xfId="0" applyBorder="1" applyAlignment="1">
      <alignment horizontal="right"/>
    </xf>
    <xf numFmtId="0" fontId="0" fillId="0" borderId="10" xfId="0" applyBorder="1"/>
    <xf numFmtId="0" fontId="0" fillId="0" borderId="11" xfId="0" applyBorder="1"/>
    <xf numFmtId="0" fontId="0" fillId="0" borderId="7" xfId="0" applyBorder="1"/>
    <xf numFmtId="0" fontId="0" fillId="0" borderId="8" xfId="0" applyBorder="1"/>
    <xf numFmtId="0" fontId="0" fillId="0" borderId="9" xfId="0" applyBorder="1"/>
    <xf numFmtId="166" fontId="0" fillId="0" borderId="0" xfId="0" applyNumberFormat="1"/>
    <xf numFmtId="0" fontId="2" fillId="0" borderId="0" xfId="0" applyFont="1"/>
    <xf numFmtId="0" fontId="6" fillId="2" borderId="0" xfId="0" applyFont="1" applyFill="1" applyAlignment="1">
      <alignment vertical="center" wrapText="1"/>
    </xf>
    <xf numFmtId="0" fontId="2" fillId="0" borderId="0" xfId="0" applyFont="1" applyAlignment="1">
      <alignment vertical="center"/>
    </xf>
    <xf numFmtId="0" fontId="2" fillId="0" borderId="0" xfId="0" applyFont="1" applyAlignment="1">
      <alignment horizontal="right"/>
    </xf>
    <xf numFmtId="164" fontId="2" fillId="0" borderId="0" xfId="0" applyNumberFormat="1" applyFont="1"/>
    <xf numFmtId="10" fontId="2" fillId="0" borderId="0" xfId="0" applyNumberFormat="1" applyFont="1"/>
    <xf numFmtId="0" fontId="2" fillId="0" borderId="0" xfId="0" applyFont="1" applyProtection="1">
      <protection locked="0"/>
    </xf>
    <xf numFmtId="1" fontId="2" fillId="0" borderId="0" xfId="0" applyNumberFormat="1" applyFont="1" applyProtection="1">
      <protection locked="0"/>
    </xf>
    <xf numFmtId="0" fontId="5" fillId="0" borderId="4" xfId="0" applyFont="1" applyBorder="1" applyProtection="1">
      <protection locked="0"/>
    </xf>
    <xf numFmtId="0" fontId="0" fillId="0" borderId="5" xfId="0" applyBorder="1" applyProtection="1">
      <protection locked="0"/>
    </xf>
    <xf numFmtId="0" fontId="2" fillId="0" borderId="4" xfId="0" applyFont="1" applyBorder="1"/>
    <xf numFmtId="0" fontId="2" fillId="0" borderId="5" xfId="0" applyFont="1" applyBorder="1"/>
    <xf numFmtId="0" fontId="8" fillId="0" borderId="6" xfId="0" applyFont="1" applyBorder="1" applyAlignment="1">
      <alignment horizontal="right"/>
    </xf>
    <xf numFmtId="168" fontId="0" fillId="0" borderId="10" xfId="0" applyNumberFormat="1" applyBorder="1" applyProtection="1">
      <protection locked="0"/>
    </xf>
    <xf numFmtId="0" fontId="0" fillId="0" borderId="0" xfId="0" applyProtection="1">
      <protection locked="0"/>
    </xf>
    <xf numFmtId="0" fontId="9" fillId="0" borderId="10" xfId="0" applyFont="1" applyBorder="1"/>
    <xf numFmtId="0" fontId="0" fillId="0" borderId="0" xfId="0" applyAlignment="1">
      <alignment horizontal="right" vertical="center"/>
    </xf>
    <xf numFmtId="0" fontId="10" fillId="3" borderId="11" xfId="0" applyFont="1" applyFill="1" applyBorder="1"/>
    <xf numFmtId="0" fontId="11" fillId="0" borderId="0" xfId="0" applyFont="1" applyAlignment="1">
      <alignment horizontal="right" vertical="center"/>
    </xf>
    <xf numFmtId="0" fontId="11" fillId="0" borderId="11" xfId="0" applyFont="1" applyBorder="1"/>
    <xf numFmtId="167" fontId="2" fillId="0" borderId="0" xfId="0" applyNumberFormat="1" applyFont="1"/>
    <xf numFmtId="0" fontId="5" fillId="0" borderId="10" xfId="0" applyFont="1" applyBorder="1" applyProtection="1">
      <protection locked="0"/>
    </xf>
    <xf numFmtId="0" fontId="12" fillId="0" borderId="0" xfId="0" applyFont="1" applyAlignment="1">
      <alignment horizontal="right"/>
    </xf>
    <xf numFmtId="0" fontId="12" fillId="0" borderId="0" xfId="0" applyFont="1"/>
    <xf numFmtId="2" fontId="0" fillId="0" borderId="10" xfId="0" applyNumberFormat="1" applyBorder="1" applyProtection="1">
      <protection locked="0"/>
    </xf>
    <xf numFmtId="0" fontId="5" fillId="0" borderId="11" xfId="0" applyFont="1" applyBorder="1" applyAlignment="1">
      <alignment horizontal="right"/>
    </xf>
    <xf numFmtId="169" fontId="0" fillId="0" borderId="10" xfId="0" applyNumberFormat="1" applyBorder="1" applyAlignment="1" applyProtection="1">
      <alignment horizontal="right"/>
      <protection locked="0"/>
    </xf>
    <xf numFmtId="0" fontId="12" fillId="0" borderId="11" xfId="0" applyFont="1" applyBorder="1"/>
    <xf numFmtId="169" fontId="5" fillId="0" borderId="10" xfId="0" applyNumberFormat="1" applyFont="1" applyBorder="1" applyProtection="1">
      <protection locked="0"/>
    </xf>
    <xf numFmtId="2" fontId="12" fillId="0" borderId="0" xfId="0" applyNumberFormat="1" applyFont="1"/>
    <xf numFmtId="1" fontId="5" fillId="0" borderId="10" xfId="0" applyNumberFormat="1" applyFont="1" applyBorder="1" applyProtection="1">
      <protection locked="0"/>
    </xf>
    <xf numFmtId="2" fontId="5" fillId="0" borderId="11" xfId="0" applyNumberFormat="1" applyFont="1" applyBorder="1"/>
    <xf numFmtId="166" fontId="0" fillId="0" borderId="10" xfId="0" applyNumberFormat="1" applyBorder="1"/>
    <xf numFmtId="0" fontId="9" fillId="0" borderId="0" xfId="0" applyFont="1"/>
    <xf numFmtId="2" fontId="10" fillId="3" borderId="11" xfId="0" applyNumberFormat="1" applyFont="1" applyFill="1" applyBorder="1"/>
    <xf numFmtId="0" fontId="9" fillId="0" borderId="7" xfId="0" applyFont="1" applyBorder="1"/>
    <xf numFmtId="0" fontId="9" fillId="0" borderId="0" xfId="0" applyFont="1" applyAlignment="1">
      <alignment horizontal="right"/>
    </xf>
    <xf numFmtId="2" fontId="13" fillId="0" borderId="0" xfId="0" applyNumberFormat="1" applyFont="1"/>
    <xf numFmtId="1" fontId="5" fillId="0" borderId="10" xfId="0" applyNumberFormat="1" applyFont="1" applyBorder="1"/>
    <xf numFmtId="1" fontId="12" fillId="0" borderId="0" xfId="0" applyNumberFormat="1" applyFont="1"/>
    <xf numFmtId="0" fontId="0" fillId="0" borderId="8" xfId="0" applyBorder="1" applyAlignment="1">
      <alignment horizontal="right" vertical="center"/>
    </xf>
    <xf numFmtId="165" fontId="6" fillId="2" borderId="9" xfId="0" applyNumberFormat="1" applyFont="1" applyFill="1" applyBorder="1"/>
    <xf numFmtId="2" fontId="0" fillId="0" borderId="0" xfId="0" applyNumberFormat="1"/>
    <xf numFmtId="2" fontId="2" fillId="0" borderId="0" xfId="0" applyNumberFormat="1" applyFont="1"/>
    <xf numFmtId="0" fontId="14" fillId="0" borderId="0" xfId="0" applyFont="1"/>
    <xf numFmtId="0" fontId="15" fillId="0" borderId="0" xfId="0" applyFont="1"/>
    <xf numFmtId="2" fontId="0" fillId="4" borderId="0" xfId="0" applyNumberFormat="1" applyFill="1"/>
    <xf numFmtId="0" fontId="0" fillId="4" borderId="0" xfId="0" applyFill="1"/>
    <xf numFmtId="1" fontId="6" fillId="2" borderId="9" xfId="0" applyNumberFormat="1" applyFont="1" applyFill="1" applyBorder="1"/>
    <xf numFmtId="0" fontId="15" fillId="5" borderId="0" xfId="0" applyFont="1" applyFill="1"/>
    <xf numFmtId="1" fontId="2" fillId="0" borderId="0" xfId="0" applyNumberFormat="1" applyFont="1"/>
    <xf numFmtId="0" fontId="16" fillId="0" borderId="0" xfId="0" applyFont="1"/>
    <xf numFmtId="165" fontId="8" fillId="0" borderId="0" xfId="0" applyNumberFormat="1" applyFont="1"/>
    <xf numFmtId="0" fontId="15" fillId="6" borderId="0" xfId="0" applyFont="1" applyFill="1"/>
    <xf numFmtId="0" fontId="17" fillId="0" borderId="0" xfId="0" applyFont="1"/>
    <xf numFmtId="166" fontId="2" fillId="0" borderId="0" xfId="0" applyNumberFormat="1" applyFont="1"/>
    <xf numFmtId="166" fontId="15" fillId="5" borderId="0" xfId="0" applyNumberFormat="1" applyFont="1" applyFill="1"/>
    <xf numFmtId="166" fontId="15" fillId="6" borderId="0" xfId="0" applyNumberFormat="1" applyFont="1" applyFill="1"/>
    <xf numFmtId="166" fontId="15" fillId="0" borderId="0" xfId="0" applyNumberFormat="1" applyFont="1"/>
    <xf numFmtId="9" fontId="1" fillId="0" borderId="0" xfId="1"/>
  </cellXfs>
  <cellStyles count="3">
    <cellStyle name="Normal" xfId="0" builtinId="0"/>
    <cellStyle name="Normal 2" xfId="2" xr:uid="{00000000-0005-0000-0000-000006000000}"/>
    <cellStyle name="Percent" xfId="1" builtinId="5"/>
  </cellStyles>
  <dxfs count="4">
    <dxf>
      <font>
        <sz val="10"/>
        <color rgb="FF006600"/>
        <name val="Arial"/>
        <family val="2"/>
        <charset val="1"/>
      </font>
      <fill>
        <patternFill>
          <bgColor rgb="FFCCFFCC"/>
        </patternFill>
      </fill>
    </dxf>
    <dxf>
      <font>
        <sz val="10"/>
        <color rgb="FF006600"/>
        <name val="Arial"/>
        <family val="2"/>
        <charset val="1"/>
      </font>
      <fill>
        <patternFill>
          <bgColor rgb="FFCCFFCC"/>
        </patternFill>
      </fill>
    </dxf>
    <dxf>
      <font>
        <sz val="10"/>
        <color rgb="FF006600"/>
      </font>
      <fill>
        <patternFill>
          <bgColor rgb="FFCCFFCC"/>
        </patternFill>
      </fill>
    </dxf>
    <dxf>
      <font>
        <sz val="10"/>
        <color rgb="FF006600"/>
      </font>
      <fill>
        <patternFill>
          <bgColor rgb="FFCCFFCC"/>
        </patternFill>
      </fill>
    </dxf>
  </dxfs>
  <tableStyles count="0" defaultTableStyle="TableStyleMedium2" defaultPivotStyle="PivotStyleLight16"/>
  <colors>
    <indexedColors>
      <rgbColor rgb="FF000000"/>
      <rgbColor rgb="FFE8F5E9"/>
      <rgbColor rgb="FFC00000"/>
      <rgbColor rgb="FF00FF00"/>
      <rgbColor rgb="FF0000FF"/>
      <rgbColor rgb="FFFFFF00"/>
      <rgbColor rgb="FFFF00FF"/>
      <rgbColor rgb="FF00FFFF"/>
      <rgbColor rgb="FF800000"/>
      <rgbColor rgb="FF006600"/>
      <rgbColor rgb="FF000080"/>
      <rgbColor rgb="FF808000"/>
      <rgbColor rgb="FF800080"/>
      <rgbColor rgb="FF008080"/>
      <rgbColor rgb="FFB3B3B3"/>
      <rgbColor rgb="FF808080"/>
      <rgbColor rgb="FF9999FF"/>
      <rgbColor rgb="FF993366"/>
      <rgbColor rgb="FFFFF8E1"/>
      <rgbColor rgb="FFE3F2FD"/>
      <rgbColor rgb="FF660066"/>
      <rgbColor rgb="FFFF8080"/>
      <rgbColor rgb="FF0066CC"/>
      <rgbColor rgb="FFCCCCFF"/>
      <rgbColor rgb="FF000080"/>
      <rgbColor rgb="FFFF00FF"/>
      <rgbColor rgb="FFFFFF00"/>
      <rgbColor rgb="FF00FFFF"/>
      <rgbColor rgb="FF800080"/>
      <rgbColor rgb="FF800000"/>
      <rgbColor rgb="FF008080"/>
      <rgbColor rgb="FF0000FF"/>
      <rgbColor rgb="FF00CCFF"/>
      <rgbColor rgb="FFBBE6FE"/>
      <rgbColor rgb="FFCCFFCC"/>
      <rgbColor rgb="FFFFFF99"/>
      <rgbColor rgb="FF99CCFF"/>
      <rgbColor rgb="FFFF99CC"/>
      <rgbColor rgb="FFCC99FF"/>
      <rgbColor rgb="FFFFCC99"/>
      <rgbColor rgb="FF3366FF"/>
      <rgbColor rgb="FF33CCCC"/>
      <rgbColor rgb="FF99CC00"/>
      <rgbColor rgb="FFFFCC00"/>
      <rgbColor rgb="FFFF9900"/>
      <rgbColor rgb="FFFC5C00"/>
      <rgbColor rgb="FF666699"/>
      <rgbColor rgb="FF969696"/>
      <rgbColor rgb="FF004586"/>
      <rgbColor rgb="FF339966"/>
      <rgbColor rgb="FF003300"/>
      <rgbColor rgb="FF333300"/>
      <rgbColor rgb="FFFF420E"/>
      <rgbColor rgb="FF993366"/>
      <rgbColor rgb="FF333399"/>
      <rgbColor rgb="FF333333"/>
      <rgbColor rgb="00003366"/>
      <rgbColor rgb="00339966"/>
      <rgbColor rgb="00003300"/>
      <rgbColor rgb="00333300"/>
      <rgbColor rgb="00993300"/>
      <rgbColor rgb="00993366"/>
      <rgbColor rgb="00333399"/>
      <rgbColor rgb="00333333"/>
    </indexed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3" Type="http://schemas.openxmlformats.org/officeDocument/2006/relationships/theme" Target="theme/theme1.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calcChain" Target="calcChain.xml"/><Relationship Id="rId5" Type="http://schemas.openxmlformats.org/officeDocument/2006/relationships/sharedStrings" Target="sharedStrings.xml"/><Relationship Id="rId4" Type="http://schemas.openxmlformats.org/officeDocument/2006/relationships/styles" Target="styles.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c:style val="2"/>
  <c:chart>
    <c:autoTitleDeleted val="1"/>
    <c:plotArea>
      <c:layout/>
      <c:scatterChart>
        <c:scatterStyle val="lineMarker"/>
        <c:varyColors val="0"/>
        <c:ser>
          <c:idx val="0"/>
          <c:order val="0"/>
          <c:tx>
            <c:strRef>
              <c:f>'Annex D'!$M$1</c:f>
              <c:strCache>
                <c:ptCount val="1"/>
                <c:pt idx="0">
                  <c:v>count</c:v>
                </c:pt>
              </c:strCache>
            </c:strRef>
          </c:tx>
          <c:spPr>
            <a:ln w="28800">
              <a:noFill/>
            </a:ln>
          </c:spPr>
          <c:marker>
            <c:symbol val="square"/>
            <c:size val="2"/>
            <c:spPr>
              <a:solidFill>
                <a:srgbClr val="004586"/>
              </a:solidFill>
            </c:spPr>
          </c:marker>
          <c:dLbls>
            <c:spPr>
              <a:noFill/>
              <a:ln>
                <a:noFill/>
              </a:ln>
              <a:effectLst/>
            </c:spPr>
            <c:txPr>
              <a:bodyPr wrap="square"/>
              <a:lstStyle/>
              <a:p>
                <a:pPr>
                  <a:defRPr sz="1000" b="0" strike="noStrike" spc="-1">
                    <a:solidFill>
                      <a:srgbClr val="000000"/>
                    </a:solidFill>
                    <a:latin typeface="Arial"/>
                    <a:ea typeface="DejaVu Sans"/>
                  </a:defRPr>
                </a:pPr>
                <a:endParaRPr lang="en-US"/>
              </a:p>
            </c:txPr>
            <c:dLblPos val="r"/>
            <c:showLegendKey val="0"/>
            <c:showVal val="0"/>
            <c:showCatName val="0"/>
            <c:showSerName val="0"/>
            <c:showPercent val="0"/>
            <c:showBubbleSize val="1"/>
            <c:separator>; </c:separator>
            <c:showLeaderLines val="0"/>
            <c:extLst>
              <c:ext xmlns:c15="http://schemas.microsoft.com/office/drawing/2012/chart" uri="{CE6537A1-D6FC-4f65-9D91-7224C49458BB}">
                <c15:showLeaderLines val="0"/>
              </c:ext>
            </c:extLst>
          </c:dLbls>
          <c:xVal>
            <c:numRef>
              <c:f>'Annex D'!$L$2:$L$1002</c:f>
              <c:numCache>
                <c:formatCode>General</c:formatCode>
                <c:ptCount val="100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pt idx="101">
                  <c:v>101</c:v>
                </c:pt>
                <c:pt idx="102">
                  <c:v>102</c:v>
                </c:pt>
                <c:pt idx="103">
                  <c:v>103</c:v>
                </c:pt>
                <c:pt idx="104">
                  <c:v>104</c:v>
                </c:pt>
                <c:pt idx="105">
                  <c:v>105</c:v>
                </c:pt>
                <c:pt idx="106">
                  <c:v>106</c:v>
                </c:pt>
                <c:pt idx="107">
                  <c:v>107</c:v>
                </c:pt>
                <c:pt idx="108">
                  <c:v>108</c:v>
                </c:pt>
                <c:pt idx="109">
                  <c:v>109</c:v>
                </c:pt>
                <c:pt idx="110">
                  <c:v>110</c:v>
                </c:pt>
                <c:pt idx="111">
                  <c:v>111</c:v>
                </c:pt>
                <c:pt idx="112">
                  <c:v>112</c:v>
                </c:pt>
                <c:pt idx="113">
                  <c:v>113</c:v>
                </c:pt>
                <c:pt idx="114">
                  <c:v>114</c:v>
                </c:pt>
                <c:pt idx="115">
                  <c:v>115</c:v>
                </c:pt>
                <c:pt idx="116">
                  <c:v>116</c:v>
                </c:pt>
                <c:pt idx="117">
                  <c:v>117</c:v>
                </c:pt>
                <c:pt idx="118">
                  <c:v>118</c:v>
                </c:pt>
                <c:pt idx="119">
                  <c:v>119</c:v>
                </c:pt>
                <c:pt idx="120">
                  <c:v>120</c:v>
                </c:pt>
                <c:pt idx="121">
                  <c:v>121</c:v>
                </c:pt>
                <c:pt idx="122">
                  <c:v>122</c:v>
                </c:pt>
                <c:pt idx="123">
                  <c:v>123</c:v>
                </c:pt>
                <c:pt idx="124">
                  <c:v>124</c:v>
                </c:pt>
                <c:pt idx="125">
                  <c:v>125</c:v>
                </c:pt>
                <c:pt idx="126">
                  <c:v>126</c:v>
                </c:pt>
                <c:pt idx="127">
                  <c:v>127</c:v>
                </c:pt>
                <c:pt idx="128">
                  <c:v>128</c:v>
                </c:pt>
                <c:pt idx="129">
                  <c:v>129</c:v>
                </c:pt>
                <c:pt idx="130">
                  <c:v>130</c:v>
                </c:pt>
                <c:pt idx="131">
                  <c:v>131</c:v>
                </c:pt>
                <c:pt idx="132">
                  <c:v>132</c:v>
                </c:pt>
                <c:pt idx="133">
                  <c:v>133</c:v>
                </c:pt>
                <c:pt idx="134">
                  <c:v>134</c:v>
                </c:pt>
                <c:pt idx="135">
                  <c:v>135</c:v>
                </c:pt>
                <c:pt idx="136">
                  <c:v>136</c:v>
                </c:pt>
                <c:pt idx="137">
                  <c:v>137</c:v>
                </c:pt>
                <c:pt idx="138">
                  <c:v>138</c:v>
                </c:pt>
                <c:pt idx="139">
                  <c:v>139</c:v>
                </c:pt>
                <c:pt idx="140">
                  <c:v>140</c:v>
                </c:pt>
                <c:pt idx="141">
                  <c:v>141</c:v>
                </c:pt>
                <c:pt idx="142">
                  <c:v>142</c:v>
                </c:pt>
                <c:pt idx="143">
                  <c:v>143</c:v>
                </c:pt>
                <c:pt idx="144">
                  <c:v>144</c:v>
                </c:pt>
                <c:pt idx="145">
                  <c:v>145</c:v>
                </c:pt>
                <c:pt idx="146">
                  <c:v>146</c:v>
                </c:pt>
                <c:pt idx="147">
                  <c:v>147</c:v>
                </c:pt>
                <c:pt idx="148">
                  <c:v>148</c:v>
                </c:pt>
                <c:pt idx="149">
                  <c:v>149</c:v>
                </c:pt>
                <c:pt idx="150">
                  <c:v>150</c:v>
                </c:pt>
                <c:pt idx="151">
                  <c:v>151</c:v>
                </c:pt>
                <c:pt idx="152">
                  <c:v>152</c:v>
                </c:pt>
                <c:pt idx="153">
                  <c:v>153</c:v>
                </c:pt>
                <c:pt idx="154">
                  <c:v>154</c:v>
                </c:pt>
                <c:pt idx="155">
                  <c:v>155</c:v>
                </c:pt>
                <c:pt idx="156">
                  <c:v>156</c:v>
                </c:pt>
                <c:pt idx="157">
                  <c:v>157</c:v>
                </c:pt>
                <c:pt idx="158">
                  <c:v>158</c:v>
                </c:pt>
                <c:pt idx="159">
                  <c:v>159</c:v>
                </c:pt>
                <c:pt idx="160">
                  <c:v>160</c:v>
                </c:pt>
                <c:pt idx="161">
                  <c:v>161</c:v>
                </c:pt>
                <c:pt idx="162">
                  <c:v>162</c:v>
                </c:pt>
                <c:pt idx="163">
                  <c:v>163</c:v>
                </c:pt>
                <c:pt idx="164">
                  <c:v>164</c:v>
                </c:pt>
                <c:pt idx="165">
                  <c:v>165</c:v>
                </c:pt>
                <c:pt idx="166">
                  <c:v>166</c:v>
                </c:pt>
                <c:pt idx="167">
                  <c:v>167</c:v>
                </c:pt>
                <c:pt idx="168">
                  <c:v>168</c:v>
                </c:pt>
                <c:pt idx="169">
                  <c:v>169</c:v>
                </c:pt>
                <c:pt idx="170">
                  <c:v>170</c:v>
                </c:pt>
                <c:pt idx="171">
                  <c:v>171</c:v>
                </c:pt>
                <c:pt idx="172">
                  <c:v>172</c:v>
                </c:pt>
                <c:pt idx="173">
                  <c:v>173</c:v>
                </c:pt>
                <c:pt idx="174">
                  <c:v>174</c:v>
                </c:pt>
                <c:pt idx="175">
                  <c:v>175</c:v>
                </c:pt>
                <c:pt idx="176">
                  <c:v>176</c:v>
                </c:pt>
                <c:pt idx="177">
                  <c:v>177</c:v>
                </c:pt>
                <c:pt idx="178">
                  <c:v>178</c:v>
                </c:pt>
                <c:pt idx="179">
                  <c:v>179</c:v>
                </c:pt>
                <c:pt idx="180">
                  <c:v>180</c:v>
                </c:pt>
                <c:pt idx="181">
                  <c:v>181</c:v>
                </c:pt>
                <c:pt idx="182">
                  <c:v>182</c:v>
                </c:pt>
                <c:pt idx="183">
                  <c:v>183</c:v>
                </c:pt>
                <c:pt idx="184">
                  <c:v>184</c:v>
                </c:pt>
                <c:pt idx="185">
                  <c:v>185</c:v>
                </c:pt>
                <c:pt idx="186">
                  <c:v>186</c:v>
                </c:pt>
                <c:pt idx="187">
                  <c:v>187</c:v>
                </c:pt>
                <c:pt idx="188">
                  <c:v>188</c:v>
                </c:pt>
                <c:pt idx="189">
                  <c:v>189</c:v>
                </c:pt>
                <c:pt idx="190">
                  <c:v>190</c:v>
                </c:pt>
                <c:pt idx="191">
                  <c:v>191</c:v>
                </c:pt>
                <c:pt idx="192">
                  <c:v>192</c:v>
                </c:pt>
                <c:pt idx="193">
                  <c:v>193</c:v>
                </c:pt>
                <c:pt idx="194">
                  <c:v>194</c:v>
                </c:pt>
                <c:pt idx="195">
                  <c:v>195</c:v>
                </c:pt>
                <c:pt idx="196">
                  <c:v>196</c:v>
                </c:pt>
                <c:pt idx="197">
                  <c:v>197</c:v>
                </c:pt>
                <c:pt idx="198">
                  <c:v>198</c:v>
                </c:pt>
                <c:pt idx="199">
                  <c:v>199</c:v>
                </c:pt>
                <c:pt idx="200">
                  <c:v>200</c:v>
                </c:pt>
                <c:pt idx="201">
                  <c:v>201</c:v>
                </c:pt>
                <c:pt idx="202">
                  <c:v>202</c:v>
                </c:pt>
                <c:pt idx="203">
                  <c:v>203</c:v>
                </c:pt>
                <c:pt idx="204">
                  <c:v>204</c:v>
                </c:pt>
                <c:pt idx="205">
                  <c:v>205</c:v>
                </c:pt>
                <c:pt idx="206">
                  <c:v>206</c:v>
                </c:pt>
                <c:pt idx="207">
                  <c:v>207</c:v>
                </c:pt>
                <c:pt idx="208">
                  <c:v>208</c:v>
                </c:pt>
                <c:pt idx="209">
                  <c:v>209</c:v>
                </c:pt>
                <c:pt idx="210">
                  <c:v>210</c:v>
                </c:pt>
                <c:pt idx="211">
                  <c:v>211</c:v>
                </c:pt>
                <c:pt idx="212">
                  <c:v>212</c:v>
                </c:pt>
                <c:pt idx="213">
                  <c:v>213</c:v>
                </c:pt>
                <c:pt idx="214">
                  <c:v>214</c:v>
                </c:pt>
                <c:pt idx="215">
                  <c:v>215</c:v>
                </c:pt>
                <c:pt idx="216">
                  <c:v>216</c:v>
                </c:pt>
                <c:pt idx="217">
                  <c:v>217</c:v>
                </c:pt>
                <c:pt idx="218">
                  <c:v>218</c:v>
                </c:pt>
                <c:pt idx="219">
                  <c:v>219</c:v>
                </c:pt>
                <c:pt idx="220">
                  <c:v>220</c:v>
                </c:pt>
                <c:pt idx="221">
                  <c:v>221</c:v>
                </c:pt>
                <c:pt idx="222">
                  <c:v>222</c:v>
                </c:pt>
                <c:pt idx="223">
                  <c:v>223</c:v>
                </c:pt>
                <c:pt idx="224">
                  <c:v>224</c:v>
                </c:pt>
                <c:pt idx="225">
                  <c:v>225</c:v>
                </c:pt>
                <c:pt idx="226">
                  <c:v>226</c:v>
                </c:pt>
                <c:pt idx="227">
                  <c:v>227</c:v>
                </c:pt>
                <c:pt idx="228">
                  <c:v>228</c:v>
                </c:pt>
                <c:pt idx="229">
                  <c:v>229</c:v>
                </c:pt>
                <c:pt idx="230">
                  <c:v>230</c:v>
                </c:pt>
                <c:pt idx="231">
                  <c:v>231</c:v>
                </c:pt>
                <c:pt idx="232">
                  <c:v>232</c:v>
                </c:pt>
                <c:pt idx="233">
                  <c:v>233</c:v>
                </c:pt>
                <c:pt idx="234">
                  <c:v>234</c:v>
                </c:pt>
                <c:pt idx="235">
                  <c:v>235</c:v>
                </c:pt>
                <c:pt idx="236">
                  <c:v>236</c:v>
                </c:pt>
                <c:pt idx="237">
                  <c:v>237</c:v>
                </c:pt>
                <c:pt idx="238">
                  <c:v>238</c:v>
                </c:pt>
                <c:pt idx="239">
                  <c:v>239</c:v>
                </c:pt>
                <c:pt idx="240">
                  <c:v>240</c:v>
                </c:pt>
                <c:pt idx="241">
                  <c:v>241</c:v>
                </c:pt>
                <c:pt idx="242">
                  <c:v>242</c:v>
                </c:pt>
                <c:pt idx="243">
                  <c:v>243</c:v>
                </c:pt>
                <c:pt idx="244">
                  <c:v>244</c:v>
                </c:pt>
                <c:pt idx="245">
                  <c:v>245</c:v>
                </c:pt>
                <c:pt idx="246">
                  <c:v>246</c:v>
                </c:pt>
                <c:pt idx="247">
                  <c:v>247</c:v>
                </c:pt>
                <c:pt idx="248">
                  <c:v>248</c:v>
                </c:pt>
                <c:pt idx="249">
                  <c:v>249</c:v>
                </c:pt>
                <c:pt idx="250">
                  <c:v>250</c:v>
                </c:pt>
                <c:pt idx="251">
                  <c:v>251</c:v>
                </c:pt>
                <c:pt idx="252">
                  <c:v>252</c:v>
                </c:pt>
                <c:pt idx="253">
                  <c:v>253</c:v>
                </c:pt>
                <c:pt idx="254">
                  <c:v>254</c:v>
                </c:pt>
                <c:pt idx="255">
                  <c:v>255</c:v>
                </c:pt>
                <c:pt idx="256">
                  <c:v>256</c:v>
                </c:pt>
                <c:pt idx="257">
                  <c:v>257</c:v>
                </c:pt>
                <c:pt idx="258">
                  <c:v>258</c:v>
                </c:pt>
                <c:pt idx="259">
                  <c:v>259</c:v>
                </c:pt>
                <c:pt idx="260">
                  <c:v>260</c:v>
                </c:pt>
                <c:pt idx="261">
                  <c:v>261</c:v>
                </c:pt>
                <c:pt idx="262">
                  <c:v>262</c:v>
                </c:pt>
                <c:pt idx="263">
                  <c:v>263</c:v>
                </c:pt>
                <c:pt idx="264">
                  <c:v>264</c:v>
                </c:pt>
                <c:pt idx="265">
                  <c:v>265</c:v>
                </c:pt>
                <c:pt idx="266">
                  <c:v>266</c:v>
                </c:pt>
                <c:pt idx="267">
                  <c:v>267</c:v>
                </c:pt>
                <c:pt idx="268">
                  <c:v>268</c:v>
                </c:pt>
                <c:pt idx="269">
                  <c:v>269</c:v>
                </c:pt>
                <c:pt idx="270">
                  <c:v>270</c:v>
                </c:pt>
                <c:pt idx="271">
                  <c:v>271</c:v>
                </c:pt>
                <c:pt idx="272">
                  <c:v>272</c:v>
                </c:pt>
                <c:pt idx="273">
                  <c:v>273</c:v>
                </c:pt>
                <c:pt idx="274">
                  <c:v>274</c:v>
                </c:pt>
                <c:pt idx="275">
                  <c:v>275</c:v>
                </c:pt>
                <c:pt idx="276">
                  <c:v>276</c:v>
                </c:pt>
                <c:pt idx="277">
                  <c:v>277</c:v>
                </c:pt>
                <c:pt idx="278">
                  <c:v>278</c:v>
                </c:pt>
                <c:pt idx="279">
                  <c:v>279</c:v>
                </c:pt>
                <c:pt idx="280">
                  <c:v>280</c:v>
                </c:pt>
                <c:pt idx="281">
                  <c:v>281</c:v>
                </c:pt>
                <c:pt idx="282">
                  <c:v>282</c:v>
                </c:pt>
                <c:pt idx="283">
                  <c:v>283</c:v>
                </c:pt>
                <c:pt idx="284">
                  <c:v>284</c:v>
                </c:pt>
                <c:pt idx="285">
                  <c:v>285</c:v>
                </c:pt>
                <c:pt idx="286">
                  <c:v>286</c:v>
                </c:pt>
                <c:pt idx="287">
                  <c:v>287</c:v>
                </c:pt>
                <c:pt idx="288">
                  <c:v>288</c:v>
                </c:pt>
                <c:pt idx="289">
                  <c:v>289</c:v>
                </c:pt>
                <c:pt idx="290">
                  <c:v>290</c:v>
                </c:pt>
                <c:pt idx="291">
                  <c:v>291</c:v>
                </c:pt>
                <c:pt idx="292">
                  <c:v>292</c:v>
                </c:pt>
                <c:pt idx="293">
                  <c:v>293</c:v>
                </c:pt>
                <c:pt idx="294">
                  <c:v>294</c:v>
                </c:pt>
                <c:pt idx="295">
                  <c:v>295</c:v>
                </c:pt>
                <c:pt idx="296">
                  <c:v>296</c:v>
                </c:pt>
                <c:pt idx="297">
                  <c:v>297</c:v>
                </c:pt>
                <c:pt idx="298">
                  <c:v>298</c:v>
                </c:pt>
                <c:pt idx="299">
                  <c:v>299</c:v>
                </c:pt>
                <c:pt idx="300">
                  <c:v>300</c:v>
                </c:pt>
                <c:pt idx="301">
                  <c:v>301</c:v>
                </c:pt>
                <c:pt idx="302">
                  <c:v>302</c:v>
                </c:pt>
                <c:pt idx="303">
                  <c:v>303</c:v>
                </c:pt>
                <c:pt idx="304">
                  <c:v>304</c:v>
                </c:pt>
                <c:pt idx="305">
                  <c:v>305</c:v>
                </c:pt>
                <c:pt idx="306">
                  <c:v>306</c:v>
                </c:pt>
                <c:pt idx="307">
                  <c:v>307</c:v>
                </c:pt>
                <c:pt idx="308">
                  <c:v>308</c:v>
                </c:pt>
                <c:pt idx="309">
                  <c:v>309</c:v>
                </c:pt>
                <c:pt idx="310">
                  <c:v>310</c:v>
                </c:pt>
                <c:pt idx="311">
                  <c:v>311</c:v>
                </c:pt>
                <c:pt idx="312">
                  <c:v>312</c:v>
                </c:pt>
                <c:pt idx="313">
                  <c:v>313</c:v>
                </c:pt>
                <c:pt idx="314">
                  <c:v>314</c:v>
                </c:pt>
                <c:pt idx="315">
                  <c:v>315</c:v>
                </c:pt>
                <c:pt idx="316">
                  <c:v>316</c:v>
                </c:pt>
                <c:pt idx="317">
                  <c:v>317</c:v>
                </c:pt>
                <c:pt idx="318">
                  <c:v>318</c:v>
                </c:pt>
                <c:pt idx="319">
                  <c:v>319</c:v>
                </c:pt>
                <c:pt idx="320">
                  <c:v>320</c:v>
                </c:pt>
                <c:pt idx="321">
                  <c:v>321</c:v>
                </c:pt>
                <c:pt idx="322">
                  <c:v>322</c:v>
                </c:pt>
                <c:pt idx="323">
                  <c:v>323</c:v>
                </c:pt>
                <c:pt idx="324">
                  <c:v>324</c:v>
                </c:pt>
                <c:pt idx="325">
                  <c:v>325</c:v>
                </c:pt>
                <c:pt idx="326">
                  <c:v>326</c:v>
                </c:pt>
                <c:pt idx="327">
                  <c:v>327</c:v>
                </c:pt>
                <c:pt idx="328">
                  <c:v>328</c:v>
                </c:pt>
                <c:pt idx="329">
                  <c:v>329</c:v>
                </c:pt>
                <c:pt idx="330">
                  <c:v>330</c:v>
                </c:pt>
                <c:pt idx="331">
                  <c:v>331</c:v>
                </c:pt>
                <c:pt idx="332">
                  <c:v>332</c:v>
                </c:pt>
                <c:pt idx="333">
                  <c:v>333</c:v>
                </c:pt>
                <c:pt idx="334">
                  <c:v>334</c:v>
                </c:pt>
                <c:pt idx="335">
                  <c:v>335</c:v>
                </c:pt>
                <c:pt idx="336">
                  <c:v>336</c:v>
                </c:pt>
                <c:pt idx="337">
                  <c:v>337</c:v>
                </c:pt>
                <c:pt idx="338">
                  <c:v>338</c:v>
                </c:pt>
                <c:pt idx="339">
                  <c:v>339</c:v>
                </c:pt>
                <c:pt idx="340">
                  <c:v>340</c:v>
                </c:pt>
                <c:pt idx="341">
                  <c:v>341</c:v>
                </c:pt>
                <c:pt idx="342">
                  <c:v>342</c:v>
                </c:pt>
                <c:pt idx="343">
                  <c:v>343</c:v>
                </c:pt>
                <c:pt idx="344">
                  <c:v>344</c:v>
                </c:pt>
                <c:pt idx="345">
                  <c:v>345</c:v>
                </c:pt>
                <c:pt idx="346">
                  <c:v>346</c:v>
                </c:pt>
                <c:pt idx="347">
                  <c:v>347</c:v>
                </c:pt>
                <c:pt idx="348">
                  <c:v>348</c:v>
                </c:pt>
                <c:pt idx="349">
                  <c:v>349</c:v>
                </c:pt>
                <c:pt idx="350">
                  <c:v>350</c:v>
                </c:pt>
                <c:pt idx="351">
                  <c:v>351</c:v>
                </c:pt>
                <c:pt idx="352">
                  <c:v>352</c:v>
                </c:pt>
                <c:pt idx="353">
                  <c:v>353</c:v>
                </c:pt>
                <c:pt idx="354">
                  <c:v>354</c:v>
                </c:pt>
                <c:pt idx="355">
                  <c:v>355</c:v>
                </c:pt>
                <c:pt idx="356">
                  <c:v>356</c:v>
                </c:pt>
                <c:pt idx="357">
                  <c:v>357</c:v>
                </c:pt>
                <c:pt idx="358">
                  <c:v>358</c:v>
                </c:pt>
                <c:pt idx="359">
                  <c:v>359</c:v>
                </c:pt>
                <c:pt idx="360">
                  <c:v>360</c:v>
                </c:pt>
                <c:pt idx="361">
                  <c:v>361</c:v>
                </c:pt>
                <c:pt idx="362">
                  <c:v>362</c:v>
                </c:pt>
                <c:pt idx="363">
                  <c:v>363</c:v>
                </c:pt>
                <c:pt idx="364">
                  <c:v>364</c:v>
                </c:pt>
                <c:pt idx="365">
                  <c:v>365</c:v>
                </c:pt>
                <c:pt idx="366">
                  <c:v>366</c:v>
                </c:pt>
                <c:pt idx="367">
                  <c:v>367</c:v>
                </c:pt>
                <c:pt idx="368">
                  <c:v>368</c:v>
                </c:pt>
                <c:pt idx="369">
                  <c:v>369</c:v>
                </c:pt>
                <c:pt idx="370">
                  <c:v>370</c:v>
                </c:pt>
                <c:pt idx="371">
                  <c:v>371</c:v>
                </c:pt>
                <c:pt idx="372">
                  <c:v>372</c:v>
                </c:pt>
                <c:pt idx="373">
                  <c:v>373</c:v>
                </c:pt>
                <c:pt idx="374">
                  <c:v>374</c:v>
                </c:pt>
                <c:pt idx="375">
                  <c:v>375</c:v>
                </c:pt>
                <c:pt idx="376">
                  <c:v>376</c:v>
                </c:pt>
                <c:pt idx="377">
                  <c:v>377</c:v>
                </c:pt>
                <c:pt idx="378">
                  <c:v>378</c:v>
                </c:pt>
                <c:pt idx="379">
                  <c:v>379</c:v>
                </c:pt>
                <c:pt idx="380">
                  <c:v>380</c:v>
                </c:pt>
                <c:pt idx="381">
                  <c:v>381</c:v>
                </c:pt>
                <c:pt idx="382">
                  <c:v>382</c:v>
                </c:pt>
                <c:pt idx="383">
                  <c:v>383</c:v>
                </c:pt>
                <c:pt idx="384">
                  <c:v>384</c:v>
                </c:pt>
                <c:pt idx="385">
                  <c:v>385</c:v>
                </c:pt>
                <c:pt idx="386">
                  <c:v>386</c:v>
                </c:pt>
                <c:pt idx="387">
                  <c:v>387</c:v>
                </c:pt>
                <c:pt idx="388">
                  <c:v>388</c:v>
                </c:pt>
                <c:pt idx="389">
                  <c:v>389</c:v>
                </c:pt>
                <c:pt idx="390">
                  <c:v>390</c:v>
                </c:pt>
                <c:pt idx="391">
                  <c:v>391</c:v>
                </c:pt>
                <c:pt idx="392">
                  <c:v>392</c:v>
                </c:pt>
                <c:pt idx="393">
                  <c:v>393</c:v>
                </c:pt>
                <c:pt idx="394">
                  <c:v>394</c:v>
                </c:pt>
                <c:pt idx="395">
                  <c:v>395</c:v>
                </c:pt>
                <c:pt idx="396">
                  <c:v>396</c:v>
                </c:pt>
                <c:pt idx="397">
                  <c:v>397</c:v>
                </c:pt>
                <c:pt idx="398">
                  <c:v>398</c:v>
                </c:pt>
                <c:pt idx="399">
                  <c:v>399</c:v>
                </c:pt>
                <c:pt idx="400">
                  <c:v>400</c:v>
                </c:pt>
                <c:pt idx="401">
                  <c:v>401</c:v>
                </c:pt>
                <c:pt idx="402">
                  <c:v>402</c:v>
                </c:pt>
                <c:pt idx="403">
                  <c:v>403</c:v>
                </c:pt>
                <c:pt idx="404">
                  <c:v>404</c:v>
                </c:pt>
                <c:pt idx="405">
                  <c:v>405</c:v>
                </c:pt>
                <c:pt idx="406">
                  <c:v>406</c:v>
                </c:pt>
                <c:pt idx="407">
                  <c:v>407</c:v>
                </c:pt>
                <c:pt idx="408">
                  <c:v>408</c:v>
                </c:pt>
                <c:pt idx="409">
                  <c:v>409</c:v>
                </c:pt>
                <c:pt idx="410">
                  <c:v>410</c:v>
                </c:pt>
                <c:pt idx="411">
                  <c:v>411</c:v>
                </c:pt>
                <c:pt idx="412">
                  <c:v>412</c:v>
                </c:pt>
                <c:pt idx="413">
                  <c:v>413</c:v>
                </c:pt>
                <c:pt idx="414">
                  <c:v>414</c:v>
                </c:pt>
                <c:pt idx="415">
                  <c:v>415</c:v>
                </c:pt>
                <c:pt idx="416">
                  <c:v>416</c:v>
                </c:pt>
                <c:pt idx="417">
                  <c:v>417</c:v>
                </c:pt>
                <c:pt idx="418">
                  <c:v>418</c:v>
                </c:pt>
                <c:pt idx="419">
                  <c:v>419</c:v>
                </c:pt>
                <c:pt idx="420">
                  <c:v>420</c:v>
                </c:pt>
                <c:pt idx="421">
                  <c:v>421</c:v>
                </c:pt>
                <c:pt idx="422">
                  <c:v>422</c:v>
                </c:pt>
                <c:pt idx="423">
                  <c:v>423</c:v>
                </c:pt>
                <c:pt idx="424">
                  <c:v>424</c:v>
                </c:pt>
                <c:pt idx="425">
                  <c:v>425</c:v>
                </c:pt>
                <c:pt idx="426">
                  <c:v>426</c:v>
                </c:pt>
                <c:pt idx="427">
                  <c:v>427</c:v>
                </c:pt>
                <c:pt idx="428">
                  <c:v>428</c:v>
                </c:pt>
                <c:pt idx="429">
                  <c:v>429</c:v>
                </c:pt>
                <c:pt idx="430">
                  <c:v>430</c:v>
                </c:pt>
                <c:pt idx="431">
                  <c:v>431</c:v>
                </c:pt>
                <c:pt idx="432">
                  <c:v>432</c:v>
                </c:pt>
                <c:pt idx="433">
                  <c:v>433</c:v>
                </c:pt>
                <c:pt idx="434">
                  <c:v>434</c:v>
                </c:pt>
                <c:pt idx="435">
                  <c:v>435</c:v>
                </c:pt>
                <c:pt idx="436">
                  <c:v>436</c:v>
                </c:pt>
                <c:pt idx="437">
                  <c:v>437</c:v>
                </c:pt>
                <c:pt idx="438">
                  <c:v>438</c:v>
                </c:pt>
                <c:pt idx="439">
                  <c:v>439</c:v>
                </c:pt>
                <c:pt idx="440">
                  <c:v>440</c:v>
                </c:pt>
                <c:pt idx="441">
                  <c:v>441</c:v>
                </c:pt>
                <c:pt idx="442">
                  <c:v>442</c:v>
                </c:pt>
                <c:pt idx="443">
                  <c:v>443</c:v>
                </c:pt>
                <c:pt idx="444">
                  <c:v>444</c:v>
                </c:pt>
                <c:pt idx="445">
                  <c:v>445</c:v>
                </c:pt>
                <c:pt idx="446">
                  <c:v>446</c:v>
                </c:pt>
                <c:pt idx="447">
                  <c:v>447</c:v>
                </c:pt>
                <c:pt idx="448">
                  <c:v>448</c:v>
                </c:pt>
                <c:pt idx="449">
                  <c:v>449</c:v>
                </c:pt>
                <c:pt idx="450">
                  <c:v>450</c:v>
                </c:pt>
                <c:pt idx="451">
                  <c:v>451</c:v>
                </c:pt>
                <c:pt idx="452">
                  <c:v>452</c:v>
                </c:pt>
                <c:pt idx="453">
                  <c:v>453</c:v>
                </c:pt>
                <c:pt idx="454">
                  <c:v>454</c:v>
                </c:pt>
                <c:pt idx="455">
                  <c:v>455</c:v>
                </c:pt>
                <c:pt idx="456">
                  <c:v>456</c:v>
                </c:pt>
                <c:pt idx="457">
                  <c:v>457</c:v>
                </c:pt>
                <c:pt idx="458">
                  <c:v>458</c:v>
                </c:pt>
                <c:pt idx="459">
                  <c:v>459</c:v>
                </c:pt>
                <c:pt idx="460">
                  <c:v>460</c:v>
                </c:pt>
                <c:pt idx="461">
                  <c:v>461</c:v>
                </c:pt>
                <c:pt idx="462">
                  <c:v>462</c:v>
                </c:pt>
                <c:pt idx="463">
                  <c:v>463</c:v>
                </c:pt>
                <c:pt idx="464">
                  <c:v>464</c:v>
                </c:pt>
                <c:pt idx="465">
                  <c:v>465</c:v>
                </c:pt>
                <c:pt idx="466">
                  <c:v>466</c:v>
                </c:pt>
                <c:pt idx="467">
                  <c:v>467</c:v>
                </c:pt>
                <c:pt idx="468">
                  <c:v>468</c:v>
                </c:pt>
                <c:pt idx="469">
                  <c:v>469</c:v>
                </c:pt>
                <c:pt idx="470">
                  <c:v>470</c:v>
                </c:pt>
                <c:pt idx="471">
                  <c:v>471</c:v>
                </c:pt>
                <c:pt idx="472">
                  <c:v>472</c:v>
                </c:pt>
                <c:pt idx="473">
                  <c:v>473</c:v>
                </c:pt>
                <c:pt idx="474">
                  <c:v>474</c:v>
                </c:pt>
                <c:pt idx="475">
                  <c:v>475</c:v>
                </c:pt>
                <c:pt idx="476">
                  <c:v>476</c:v>
                </c:pt>
                <c:pt idx="477">
                  <c:v>477</c:v>
                </c:pt>
                <c:pt idx="478">
                  <c:v>478</c:v>
                </c:pt>
                <c:pt idx="479">
                  <c:v>479</c:v>
                </c:pt>
                <c:pt idx="480">
                  <c:v>480</c:v>
                </c:pt>
                <c:pt idx="481">
                  <c:v>481</c:v>
                </c:pt>
                <c:pt idx="482">
                  <c:v>482</c:v>
                </c:pt>
                <c:pt idx="483">
                  <c:v>483</c:v>
                </c:pt>
                <c:pt idx="484">
                  <c:v>484</c:v>
                </c:pt>
                <c:pt idx="485">
                  <c:v>485</c:v>
                </c:pt>
                <c:pt idx="486">
                  <c:v>486</c:v>
                </c:pt>
                <c:pt idx="487">
                  <c:v>487</c:v>
                </c:pt>
                <c:pt idx="488">
                  <c:v>488</c:v>
                </c:pt>
                <c:pt idx="489">
                  <c:v>489</c:v>
                </c:pt>
                <c:pt idx="490">
                  <c:v>490</c:v>
                </c:pt>
                <c:pt idx="491">
                  <c:v>491</c:v>
                </c:pt>
                <c:pt idx="492">
                  <c:v>492</c:v>
                </c:pt>
                <c:pt idx="493">
                  <c:v>493</c:v>
                </c:pt>
                <c:pt idx="494">
                  <c:v>494</c:v>
                </c:pt>
                <c:pt idx="495">
                  <c:v>495</c:v>
                </c:pt>
                <c:pt idx="496">
                  <c:v>496</c:v>
                </c:pt>
                <c:pt idx="497">
                  <c:v>497</c:v>
                </c:pt>
                <c:pt idx="498">
                  <c:v>498</c:v>
                </c:pt>
                <c:pt idx="499">
                  <c:v>499</c:v>
                </c:pt>
                <c:pt idx="500">
                  <c:v>500</c:v>
                </c:pt>
                <c:pt idx="501">
                  <c:v>501</c:v>
                </c:pt>
                <c:pt idx="502">
                  <c:v>502</c:v>
                </c:pt>
                <c:pt idx="503">
                  <c:v>503</c:v>
                </c:pt>
                <c:pt idx="504">
                  <c:v>504</c:v>
                </c:pt>
                <c:pt idx="505">
                  <c:v>505</c:v>
                </c:pt>
                <c:pt idx="506">
                  <c:v>506</c:v>
                </c:pt>
                <c:pt idx="507">
                  <c:v>507</c:v>
                </c:pt>
                <c:pt idx="508">
                  <c:v>508</c:v>
                </c:pt>
                <c:pt idx="509">
                  <c:v>509</c:v>
                </c:pt>
                <c:pt idx="510">
                  <c:v>510</c:v>
                </c:pt>
                <c:pt idx="511">
                  <c:v>511</c:v>
                </c:pt>
                <c:pt idx="512">
                  <c:v>512</c:v>
                </c:pt>
                <c:pt idx="513">
                  <c:v>513</c:v>
                </c:pt>
                <c:pt idx="514">
                  <c:v>514</c:v>
                </c:pt>
                <c:pt idx="515">
                  <c:v>515</c:v>
                </c:pt>
                <c:pt idx="516">
                  <c:v>516</c:v>
                </c:pt>
                <c:pt idx="517">
                  <c:v>517</c:v>
                </c:pt>
                <c:pt idx="518">
                  <c:v>518</c:v>
                </c:pt>
                <c:pt idx="519">
                  <c:v>519</c:v>
                </c:pt>
                <c:pt idx="520">
                  <c:v>520</c:v>
                </c:pt>
                <c:pt idx="521">
                  <c:v>521</c:v>
                </c:pt>
                <c:pt idx="522">
                  <c:v>522</c:v>
                </c:pt>
                <c:pt idx="523">
                  <c:v>523</c:v>
                </c:pt>
                <c:pt idx="524">
                  <c:v>524</c:v>
                </c:pt>
                <c:pt idx="525">
                  <c:v>525</c:v>
                </c:pt>
                <c:pt idx="526">
                  <c:v>526</c:v>
                </c:pt>
                <c:pt idx="527">
                  <c:v>527</c:v>
                </c:pt>
                <c:pt idx="528">
                  <c:v>528</c:v>
                </c:pt>
                <c:pt idx="529">
                  <c:v>529</c:v>
                </c:pt>
                <c:pt idx="530">
                  <c:v>530</c:v>
                </c:pt>
                <c:pt idx="531">
                  <c:v>531</c:v>
                </c:pt>
                <c:pt idx="532">
                  <c:v>532</c:v>
                </c:pt>
                <c:pt idx="533">
                  <c:v>533</c:v>
                </c:pt>
                <c:pt idx="534">
                  <c:v>534</c:v>
                </c:pt>
                <c:pt idx="535">
                  <c:v>535</c:v>
                </c:pt>
                <c:pt idx="536">
                  <c:v>536</c:v>
                </c:pt>
                <c:pt idx="537">
                  <c:v>537</c:v>
                </c:pt>
                <c:pt idx="538">
                  <c:v>538</c:v>
                </c:pt>
                <c:pt idx="539">
                  <c:v>539</c:v>
                </c:pt>
                <c:pt idx="540">
                  <c:v>540</c:v>
                </c:pt>
                <c:pt idx="541">
                  <c:v>541</c:v>
                </c:pt>
                <c:pt idx="542">
                  <c:v>542</c:v>
                </c:pt>
                <c:pt idx="543">
                  <c:v>543</c:v>
                </c:pt>
                <c:pt idx="544">
                  <c:v>544</c:v>
                </c:pt>
                <c:pt idx="545">
                  <c:v>545</c:v>
                </c:pt>
                <c:pt idx="546">
                  <c:v>546</c:v>
                </c:pt>
                <c:pt idx="547">
                  <c:v>547</c:v>
                </c:pt>
                <c:pt idx="548">
                  <c:v>548</c:v>
                </c:pt>
                <c:pt idx="549">
                  <c:v>549</c:v>
                </c:pt>
                <c:pt idx="550">
                  <c:v>550</c:v>
                </c:pt>
                <c:pt idx="551">
                  <c:v>551</c:v>
                </c:pt>
                <c:pt idx="552">
                  <c:v>552</c:v>
                </c:pt>
                <c:pt idx="553">
                  <c:v>553</c:v>
                </c:pt>
                <c:pt idx="554">
                  <c:v>554</c:v>
                </c:pt>
                <c:pt idx="555">
                  <c:v>555</c:v>
                </c:pt>
                <c:pt idx="556">
                  <c:v>556</c:v>
                </c:pt>
                <c:pt idx="557">
                  <c:v>557</c:v>
                </c:pt>
                <c:pt idx="558">
                  <c:v>558</c:v>
                </c:pt>
                <c:pt idx="559">
                  <c:v>559</c:v>
                </c:pt>
                <c:pt idx="560">
                  <c:v>560</c:v>
                </c:pt>
                <c:pt idx="561">
                  <c:v>561</c:v>
                </c:pt>
                <c:pt idx="562">
                  <c:v>562</c:v>
                </c:pt>
                <c:pt idx="563">
                  <c:v>563</c:v>
                </c:pt>
                <c:pt idx="564">
                  <c:v>564</c:v>
                </c:pt>
                <c:pt idx="565">
                  <c:v>565</c:v>
                </c:pt>
                <c:pt idx="566">
                  <c:v>566</c:v>
                </c:pt>
                <c:pt idx="567">
                  <c:v>567</c:v>
                </c:pt>
                <c:pt idx="568">
                  <c:v>568</c:v>
                </c:pt>
                <c:pt idx="569">
                  <c:v>569</c:v>
                </c:pt>
                <c:pt idx="570">
                  <c:v>570</c:v>
                </c:pt>
                <c:pt idx="571">
                  <c:v>571</c:v>
                </c:pt>
                <c:pt idx="572">
                  <c:v>572</c:v>
                </c:pt>
                <c:pt idx="573">
                  <c:v>573</c:v>
                </c:pt>
                <c:pt idx="574">
                  <c:v>574</c:v>
                </c:pt>
                <c:pt idx="575">
                  <c:v>575</c:v>
                </c:pt>
                <c:pt idx="576">
                  <c:v>576</c:v>
                </c:pt>
                <c:pt idx="577">
                  <c:v>577</c:v>
                </c:pt>
                <c:pt idx="578">
                  <c:v>578</c:v>
                </c:pt>
                <c:pt idx="579">
                  <c:v>579</c:v>
                </c:pt>
                <c:pt idx="580">
                  <c:v>580</c:v>
                </c:pt>
                <c:pt idx="581">
                  <c:v>581</c:v>
                </c:pt>
                <c:pt idx="582">
                  <c:v>582</c:v>
                </c:pt>
                <c:pt idx="583">
                  <c:v>583</c:v>
                </c:pt>
                <c:pt idx="584">
                  <c:v>584</c:v>
                </c:pt>
                <c:pt idx="585">
                  <c:v>585</c:v>
                </c:pt>
                <c:pt idx="586">
                  <c:v>586</c:v>
                </c:pt>
                <c:pt idx="587">
                  <c:v>587</c:v>
                </c:pt>
                <c:pt idx="588">
                  <c:v>588</c:v>
                </c:pt>
                <c:pt idx="589">
                  <c:v>589</c:v>
                </c:pt>
                <c:pt idx="590">
                  <c:v>590</c:v>
                </c:pt>
                <c:pt idx="591">
                  <c:v>591</c:v>
                </c:pt>
                <c:pt idx="592">
                  <c:v>592</c:v>
                </c:pt>
                <c:pt idx="593">
                  <c:v>593</c:v>
                </c:pt>
                <c:pt idx="594">
                  <c:v>594</c:v>
                </c:pt>
                <c:pt idx="595">
                  <c:v>595</c:v>
                </c:pt>
                <c:pt idx="596">
                  <c:v>596</c:v>
                </c:pt>
                <c:pt idx="597">
                  <c:v>597</c:v>
                </c:pt>
                <c:pt idx="598">
                  <c:v>598</c:v>
                </c:pt>
                <c:pt idx="599">
                  <c:v>599</c:v>
                </c:pt>
                <c:pt idx="600">
                  <c:v>600</c:v>
                </c:pt>
                <c:pt idx="601">
                  <c:v>601</c:v>
                </c:pt>
                <c:pt idx="602">
                  <c:v>602</c:v>
                </c:pt>
                <c:pt idx="603">
                  <c:v>603</c:v>
                </c:pt>
                <c:pt idx="604">
                  <c:v>604</c:v>
                </c:pt>
                <c:pt idx="605">
                  <c:v>605</c:v>
                </c:pt>
                <c:pt idx="606">
                  <c:v>606</c:v>
                </c:pt>
                <c:pt idx="607">
                  <c:v>607</c:v>
                </c:pt>
                <c:pt idx="608">
                  <c:v>608</c:v>
                </c:pt>
                <c:pt idx="609">
                  <c:v>609</c:v>
                </c:pt>
                <c:pt idx="610">
                  <c:v>610</c:v>
                </c:pt>
                <c:pt idx="611">
                  <c:v>611</c:v>
                </c:pt>
                <c:pt idx="612">
                  <c:v>612</c:v>
                </c:pt>
                <c:pt idx="613">
                  <c:v>613</c:v>
                </c:pt>
                <c:pt idx="614">
                  <c:v>614</c:v>
                </c:pt>
                <c:pt idx="615">
                  <c:v>615</c:v>
                </c:pt>
                <c:pt idx="616">
                  <c:v>616</c:v>
                </c:pt>
                <c:pt idx="617">
                  <c:v>617</c:v>
                </c:pt>
                <c:pt idx="618">
                  <c:v>618</c:v>
                </c:pt>
                <c:pt idx="619">
                  <c:v>619</c:v>
                </c:pt>
                <c:pt idx="620">
                  <c:v>620</c:v>
                </c:pt>
                <c:pt idx="621">
                  <c:v>621</c:v>
                </c:pt>
                <c:pt idx="622">
                  <c:v>622</c:v>
                </c:pt>
                <c:pt idx="623">
                  <c:v>623</c:v>
                </c:pt>
                <c:pt idx="624">
                  <c:v>624</c:v>
                </c:pt>
                <c:pt idx="625">
                  <c:v>625</c:v>
                </c:pt>
                <c:pt idx="626">
                  <c:v>626</c:v>
                </c:pt>
                <c:pt idx="627">
                  <c:v>627</c:v>
                </c:pt>
                <c:pt idx="628">
                  <c:v>628</c:v>
                </c:pt>
                <c:pt idx="629">
                  <c:v>629</c:v>
                </c:pt>
                <c:pt idx="630">
                  <c:v>630</c:v>
                </c:pt>
                <c:pt idx="631">
                  <c:v>631</c:v>
                </c:pt>
                <c:pt idx="632">
                  <c:v>632</c:v>
                </c:pt>
                <c:pt idx="633">
                  <c:v>633</c:v>
                </c:pt>
                <c:pt idx="634">
                  <c:v>634</c:v>
                </c:pt>
                <c:pt idx="635">
                  <c:v>635</c:v>
                </c:pt>
                <c:pt idx="636">
                  <c:v>636</c:v>
                </c:pt>
                <c:pt idx="637">
                  <c:v>637</c:v>
                </c:pt>
                <c:pt idx="638">
                  <c:v>638</c:v>
                </c:pt>
                <c:pt idx="639">
                  <c:v>639</c:v>
                </c:pt>
                <c:pt idx="640">
                  <c:v>640</c:v>
                </c:pt>
                <c:pt idx="641">
                  <c:v>641</c:v>
                </c:pt>
                <c:pt idx="642">
                  <c:v>642</c:v>
                </c:pt>
                <c:pt idx="643">
                  <c:v>643</c:v>
                </c:pt>
                <c:pt idx="644">
                  <c:v>644</c:v>
                </c:pt>
                <c:pt idx="645">
                  <c:v>645</c:v>
                </c:pt>
                <c:pt idx="646">
                  <c:v>646</c:v>
                </c:pt>
                <c:pt idx="647">
                  <c:v>647</c:v>
                </c:pt>
                <c:pt idx="648">
                  <c:v>648</c:v>
                </c:pt>
                <c:pt idx="649">
                  <c:v>649</c:v>
                </c:pt>
                <c:pt idx="650">
                  <c:v>650</c:v>
                </c:pt>
                <c:pt idx="651">
                  <c:v>651</c:v>
                </c:pt>
                <c:pt idx="652">
                  <c:v>652</c:v>
                </c:pt>
                <c:pt idx="653">
                  <c:v>653</c:v>
                </c:pt>
                <c:pt idx="654">
                  <c:v>654</c:v>
                </c:pt>
                <c:pt idx="655">
                  <c:v>655</c:v>
                </c:pt>
                <c:pt idx="656">
                  <c:v>656</c:v>
                </c:pt>
                <c:pt idx="657">
                  <c:v>657</c:v>
                </c:pt>
                <c:pt idx="658">
                  <c:v>658</c:v>
                </c:pt>
                <c:pt idx="659">
                  <c:v>659</c:v>
                </c:pt>
                <c:pt idx="660">
                  <c:v>660</c:v>
                </c:pt>
                <c:pt idx="661">
                  <c:v>661</c:v>
                </c:pt>
                <c:pt idx="662">
                  <c:v>662</c:v>
                </c:pt>
                <c:pt idx="663">
                  <c:v>663</c:v>
                </c:pt>
                <c:pt idx="664">
                  <c:v>664</c:v>
                </c:pt>
                <c:pt idx="665">
                  <c:v>665</c:v>
                </c:pt>
                <c:pt idx="666">
                  <c:v>666</c:v>
                </c:pt>
                <c:pt idx="667">
                  <c:v>667</c:v>
                </c:pt>
                <c:pt idx="668">
                  <c:v>668</c:v>
                </c:pt>
                <c:pt idx="669">
                  <c:v>669</c:v>
                </c:pt>
                <c:pt idx="670">
                  <c:v>670</c:v>
                </c:pt>
                <c:pt idx="671">
                  <c:v>671</c:v>
                </c:pt>
                <c:pt idx="672">
                  <c:v>672</c:v>
                </c:pt>
                <c:pt idx="673">
                  <c:v>673</c:v>
                </c:pt>
                <c:pt idx="674">
                  <c:v>674</c:v>
                </c:pt>
                <c:pt idx="675">
                  <c:v>675</c:v>
                </c:pt>
                <c:pt idx="676">
                  <c:v>676</c:v>
                </c:pt>
                <c:pt idx="677">
                  <c:v>677</c:v>
                </c:pt>
                <c:pt idx="678">
                  <c:v>678</c:v>
                </c:pt>
                <c:pt idx="679">
                  <c:v>679</c:v>
                </c:pt>
                <c:pt idx="680">
                  <c:v>680</c:v>
                </c:pt>
                <c:pt idx="681">
                  <c:v>681</c:v>
                </c:pt>
                <c:pt idx="682">
                  <c:v>682</c:v>
                </c:pt>
                <c:pt idx="683">
                  <c:v>683</c:v>
                </c:pt>
                <c:pt idx="684">
                  <c:v>684</c:v>
                </c:pt>
                <c:pt idx="685">
                  <c:v>685</c:v>
                </c:pt>
                <c:pt idx="686">
                  <c:v>686</c:v>
                </c:pt>
                <c:pt idx="687">
                  <c:v>687</c:v>
                </c:pt>
                <c:pt idx="688">
                  <c:v>688</c:v>
                </c:pt>
                <c:pt idx="689">
                  <c:v>689</c:v>
                </c:pt>
                <c:pt idx="690">
                  <c:v>690</c:v>
                </c:pt>
                <c:pt idx="691">
                  <c:v>691</c:v>
                </c:pt>
                <c:pt idx="692">
                  <c:v>692</c:v>
                </c:pt>
                <c:pt idx="693">
                  <c:v>693</c:v>
                </c:pt>
                <c:pt idx="694">
                  <c:v>694</c:v>
                </c:pt>
                <c:pt idx="695">
                  <c:v>695</c:v>
                </c:pt>
                <c:pt idx="696">
                  <c:v>696</c:v>
                </c:pt>
                <c:pt idx="697">
                  <c:v>697</c:v>
                </c:pt>
                <c:pt idx="698">
                  <c:v>698</c:v>
                </c:pt>
                <c:pt idx="699">
                  <c:v>699</c:v>
                </c:pt>
                <c:pt idx="700">
                  <c:v>700</c:v>
                </c:pt>
                <c:pt idx="701">
                  <c:v>701</c:v>
                </c:pt>
                <c:pt idx="702">
                  <c:v>702</c:v>
                </c:pt>
                <c:pt idx="703">
                  <c:v>703</c:v>
                </c:pt>
                <c:pt idx="704">
                  <c:v>704</c:v>
                </c:pt>
                <c:pt idx="705">
                  <c:v>705</c:v>
                </c:pt>
                <c:pt idx="706">
                  <c:v>706</c:v>
                </c:pt>
                <c:pt idx="707">
                  <c:v>707</c:v>
                </c:pt>
                <c:pt idx="708">
                  <c:v>708</c:v>
                </c:pt>
                <c:pt idx="709">
                  <c:v>709</c:v>
                </c:pt>
                <c:pt idx="710">
                  <c:v>710</c:v>
                </c:pt>
                <c:pt idx="711">
                  <c:v>711</c:v>
                </c:pt>
                <c:pt idx="712">
                  <c:v>712</c:v>
                </c:pt>
                <c:pt idx="713">
                  <c:v>713</c:v>
                </c:pt>
                <c:pt idx="714">
                  <c:v>714</c:v>
                </c:pt>
                <c:pt idx="715">
                  <c:v>715</c:v>
                </c:pt>
                <c:pt idx="716">
                  <c:v>716</c:v>
                </c:pt>
                <c:pt idx="717">
                  <c:v>717</c:v>
                </c:pt>
                <c:pt idx="718">
                  <c:v>718</c:v>
                </c:pt>
                <c:pt idx="719">
                  <c:v>719</c:v>
                </c:pt>
                <c:pt idx="720">
                  <c:v>720</c:v>
                </c:pt>
                <c:pt idx="721">
                  <c:v>721</c:v>
                </c:pt>
                <c:pt idx="722">
                  <c:v>722</c:v>
                </c:pt>
                <c:pt idx="723">
                  <c:v>723</c:v>
                </c:pt>
                <c:pt idx="724">
                  <c:v>724</c:v>
                </c:pt>
                <c:pt idx="725">
                  <c:v>725</c:v>
                </c:pt>
                <c:pt idx="726">
                  <c:v>726</c:v>
                </c:pt>
                <c:pt idx="727">
                  <c:v>727</c:v>
                </c:pt>
                <c:pt idx="728">
                  <c:v>728</c:v>
                </c:pt>
                <c:pt idx="729">
                  <c:v>729</c:v>
                </c:pt>
                <c:pt idx="730">
                  <c:v>730</c:v>
                </c:pt>
                <c:pt idx="731">
                  <c:v>731</c:v>
                </c:pt>
                <c:pt idx="732">
                  <c:v>732</c:v>
                </c:pt>
                <c:pt idx="733">
                  <c:v>733</c:v>
                </c:pt>
                <c:pt idx="734">
                  <c:v>734</c:v>
                </c:pt>
                <c:pt idx="735">
                  <c:v>735</c:v>
                </c:pt>
                <c:pt idx="736">
                  <c:v>736</c:v>
                </c:pt>
                <c:pt idx="737">
                  <c:v>737</c:v>
                </c:pt>
                <c:pt idx="738">
                  <c:v>738</c:v>
                </c:pt>
                <c:pt idx="739">
                  <c:v>739</c:v>
                </c:pt>
                <c:pt idx="740">
                  <c:v>740</c:v>
                </c:pt>
                <c:pt idx="741">
                  <c:v>741</c:v>
                </c:pt>
                <c:pt idx="742">
                  <c:v>742</c:v>
                </c:pt>
                <c:pt idx="743">
                  <c:v>743</c:v>
                </c:pt>
                <c:pt idx="744">
                  <c:v>744</c:v>
                </c:pt>
                <c:pt idx="745">
                  <c:v>745</c:v>
                </c:pt>
                <c:pt idx="746">
                  <c:v>746</c:v>
                </c:pt>
                <c:pt idx="747">
                  <c:v>747</c:v>
                </c:pt>
                <c:pt idx="748">
                  <c:v>748</c:v>
                </c:pt>
                <c:pt idx="749">
                  <c:v>749</c:v>
                </c:pt>
                <c:pt idx="750">
                  <c:v>750</c:v>
                </c:pt>
                <c:pt idx="751">
                  <c:v>751</c:v>
                </c:pt>
                <c:pt idx="752">
                  <c:v>752</c:v>
                </c:pt>
                <c:pt idx="753">
                  <c:v>753</c:v>
                </c:pt>
                <c:pt idx="754">
                  <c:v>754</c:v>
                </c:pt>
                <c:pt idx="755">
                  <c:v>755</c:v>
                </c:pt>
                <c:pt idx="756">
                  <c:v>756</c:v>
                </c:pt>
                <c:pt idx="757">
                  <c:v>757</c:v>
                </c:pt>
                <c:pt idx="758">
                  <c:v>758</c:v>
                </c:pt>
                <c:pt idx="759">
                  <c:v>759</c:v>
                </c:pt>
                <c:pt idx="760">
                  <c:v>760</c:v>
                </c:pt>
                <c:pt idx="761">
                  <c:v>761</c:v>
                </c:pt>
                <c:pt idx="762">
                  <c:v>762</c:v>
                </c:pt>
                <c:pt idx="763">
                  <c:v>763</c:v>
                </c:pt>
                <c:pt idx="764">
                  <c:v>764</c:v>
                </c:pt>
                <c:pt idx="765">
                  <c:v>765</c:v>
                </c:pt>
                <c:pt idx="766">
                  <c:v>766</c:v>
                </c:pt>
                <c:pt idx="767">
                  <c:v>767</c:v>
                </c:pt>
                <c:pt idx="768">
                  <c:v>768</c:v>
                </c:pt>
                <c:pt idx="769">
                  <c:v>769</c:v>
                </c:pt>
                <c:pt idx="770">
                  <c:v>770</c:v>
                </c:pt>
                <c:pt idx="771">
                  <c:v>771</c:v>
                </c:pt>
                <c:pt idx="772">
                  <c:v>772</c:v>
                </c:pt>
                <c:pt idx="773">
                  <c:v>773</c:v>
                </c:pt>
                <c:pt idx="774">
                  <c:v>774</c:v>
                </c:pt>
                <c:pt idx="775">
                  <c:v>775</c:v>
                </c:pt>
                <c:pt idx="776">
                  <c:v>776</c:v>
                </c:pt>
                <c:pt idx="777">
                  <c:v>777</c:v>
                </c:pt>
                <c:pt idx="778">
                  <c:v>778</c:v>
                </c:pt>
                <c:pt idx="779">
                  <c:v>779</c:v>
                </c:pt>
                <c:pt idx="780">
                  <c:v>780</c:v>
                </c:pt>
                <c:pt idx="781">
                  <c:v>781</c:v>
                </c:pt>
                <c:pt idx="782">
                  <c:v>782</c:v>
                </c:pt>
                <c:pt idx="783">
                  <c:v>783</c:v>
                </c:pt>
                <c:pt idx="784">
                  <c:v>784</c:v>
                </c:pt>
                <c:pt idx="785">
                  <c:v>785</c:v>
                </c:pt>
                <c:pt idx="786">
                  <c:v>786</c:v>
                </c:pt>
                <c:pt idx="787">
                  <c:v>787</c:v>
                </c:pt>
                <c:pt idx="788">
                  <c:v>788</c:v>
                </c:pt>
                <c:pt idx="789">
                  <c:v>789</c:v>
                </c:pt>
                <c:pt idx="790">
                  <c:v>790</c:v>
                </c:pt>
                <c:pt idx="791">
                  <c:v>791</c:v>
                </c:pt>
                <c:pt idx="792">
                  <c:v>792</c:v>
                </c:pt>
                <c:pt idx="793">
                  <c:v>793</c:v>
                </c:pt>
                <c:pt idx="794">
                  <c:v>794</c:v>
                </c:pt>
                <c:pt idx="795">
                  <c:v>795</c:v>
                </c:pt>
                <c:pt idx="796">
                  <c:v>796</c:v>
                </c:pt>
                <c:pt idx="797">
                  <c:v>797</c:v>
                </c:pt>
                <c:pt idx="798">
                  <c:v>798</c:v>
                </c:pt>
                <c:pt idx="799">
                  <c:v>799</c:v>
                </c:pt>
                <c:pt idx="800">
                  <c:v>800</c:v>
                </c:pt>
                <c:pt idx="801">
                  <c:v>801</c:v>
                </c:pt>
                <c:pt idx="802">
                  <c:v>802</c:v>
                </c:pt>
                <c:pt idx="803">
                  <c:v>803</c:v>
                </c:pt>
                <c:pt idx="804">
                  <c:v>804</c:v>
                </c:pt>
                <c:pt idx="805">
                  <c:v>805</c:v>
                </c:pt>
                <c:pt idx="806">
                  <c:v>806</c:v>
                </c:pt>
                <c:pt idx="807">
                  <c:v>807</c:v>
                </c:pt>
                <c:pt idx="808">
                  <c:v>808</c:v>
                </c:pt>
                <c:pt idx="809">
                  <c:v>809</c:v>
                </c:pt>
                <c:pt idx="810">
                  <c:v>810</c:v>
                </c:pt>
                <c:pt idx="811">
                  <c:v>811</c:v>
                </c:pt>
                <c:pt idx="812">
                  <c:v>812</c:v>
                </c:pt>
                <c:pt idx="813">
                  <c:v>813</c:v>
                </c:pt>
                <c:pt idx="814">
                  <c:v>814</c:v>
                </c:pt>
                <c:pt idx="815">
                  <c:v>815</c:v>
                </c:pt>
                <c:pt idx="816">
                  <c:v>816</c:v>
                </c:pt>
                <c:pt idx="817">
                  <c:v>817</c:v>
                </c:pt>
                <c:pt idx="818">
                  <c:v>818</c:v>
                </c:pt>
                <c:pt idx="819">
                  <c:v>819</c:v>
                </c:pt>
                <c:pt idx="820">
                  <c:v>820</c:v>
                </c:pt>
                <c:pt idx="821">
                  <c:v>821</c:v>
                </c:pt>
                <c:pt idx="822">
                  <c:v>822</c:v>
                </c:pt>
                <c:pt idx="823">
                  <c:v>823</c:v>
                </c:pt>
                <c:pt idx="824">
                  <c:v>824</c:v>
                </c:pt>
                <c:pt idx="825">
                  <c:v>825</c:v>
                </c:pt>
                <c:pt idx="826">
                  <c:v>826</c:v>
                </c:pt>
                <c:pt idx="827">
                  <c:v>827</c:v>
                </c:pt>
                <c:pt idx="828">
                  <c:v>828</c:v>
                </c:pt>
                <c:pt idx="829">
                  <c:v>829</c:v>
                </c:pt>
                <c:pt idx="830">
                  <c:v>830</c:v>
                </c:pt>
                <c:pt idx="831">
                  <c:v>831</c:v>
                </c:pt>
                <c:pt idx="832">
                  <c:v>832</c:v>
                </c:pt>
                <c:pt idx="833">
                  <c:v>833</c:v>
                </c:pt>
                <c:pt idx="834">
                  <c:v>834</c:v>
                </c:pt>
                <c:pt idx="835">
                  <c:v>835</c:v>
                </c:pt>
                <c:pt idx="836">
                  <c:v>836</c:v>
                </c:pt>
                <c:pt idx="837">
                  <c:v>837</c:v>
                </c:pt>
                <c:pt idx="838">
                  <c:v>838</c:v>
                </c:pt>
                <c:pt idx="839">
                  <c:v>839</c:v>
                </c:pt>
                <c:pt idx="840">
                  <c:v>840</c:v>
                </c:pt>
                <c:pt idx="841">
                  <c:v>841</c:v>
                </c:pt>
                <c:pt idx="842">
                  <c:v>842</c:v>
                </c:pt>
                <c:pt idx="843">
                  <c:v>843</c:v>
                </c:pt>
                <c:pt idx="844">
                  <c:v>844</c:v>
                </c:pt>
                <c:pt idx="845">
                  <c:v>845</c:v>
                </c:pt>
                <c:pt idx="846">
                  <c:v>846</c:v>
                </c:pt>
                <c:pt idx="847">
                  <c:v>847</c:v>
                </c:pt>
                <c:pt idx="848">
                  <c:v>848</c:v>
                </c:pt>
                <c:pt idx="849">
                  <c:v>849</c:v>
                </c:pt>
                <c:pt idx="850">
                  <c:v>850</c:v>
                </c:pt>
                <c:pt idx="851">
                  <c:v>851</c:v>
                </c:pt>
                <c:pt idx="852">
                  <c:v>852</c:v>
                </c:pt>
                <c:pt idx="853">
                  <c:v>853</c:v>
                </c:pt>
                <c:pt idx="854">
                  <c:v>854</c:v>
                </c:pt>
                <c:pt idx="855">
                  <c:v>855</c:v>
                </c:pt>
                <c:pt idx="856">
                  <c:v>856</c:v>
                </c:pt>
                <c:pt idx="857">
                  <c:v>857</c:v>
                </c:pt>
                <c:pt idx="858">
                  <c:v>858</c:v>
                </c:pt>
                <c:pt idx="859">
                  <c:v>859</c:v>
                </c:pt>
                <c:pt idx="860">
                  <c:v>860</c:v>
                </c:pt>
                <c:pt idx="861">
                  <c:v>861</c:v>
                </c:pt>
                <c:pt idx="862">
                  <c:v>862</c:v>
                </c:pt>
                <c:pt idx="863">
                  <c:v>863</c:v>
                </c:pt>
                <c:pt idx="864">
                  <c:v>864</c:v>
                </c:pt>
                <c:pt idx="865">
                  <c:v>865</c:v>
                </c:pt>
                <c:pt idx="866">
                  <c:v>866</c:v>
                </c:pt>
                <c:pt idx="867">
                  <c:v>867</c:v>
                </c:pt>
                <c:pt idx="868">
                  <c:v>868</c:v>
                </c:pt>
                <c:pt idx="869">
                  <c:v>869</c:v>
                </c:pt>
                <c:pt idx="870">
                  <c:v>870</c:v>
                </c:pt>
                <c:pt idx="871">
                  <c:v>871</c:v>
                </c:pt>
                <c:pt idx="872">
                  <c:v>872</c:v>
                </c:pt>
                <c:pt idx="873">
                  <c:v>873</c:v>
                </c:pt>
                <c:pt idx="874">
                  <c:v>874</c:v>
                </c:pt>
                <c:pt idx="875">
                  <c:v>875</c:v>
                </c:pt>
                <c:pt idx="876">
                  <c:v>876</c:v>
                </c:pt>
                <c:pt idx="877">
                  <c:v>877</c:v>
                </c:pt>
                <c:pt idx="878">
                  <c:v>878</c:v>
                </c:pt>
                <c:pt idx="879">
                  <c:v>879</c:v>
                </c:pt>
                <c:pt idx="880">
                  <c:v>880</c:v>
                </c:pt>
                <c:pt idx="881">
                  <c:v>881</c:v>
                </c:pt>
                <c:pt idx="882">
                  <c:v>882</c:v>
                </c:pt>
                <c:pt idx="883">
                  <c:v>883</c:v>
                </c:pt>
                <c:pt idx="884">
                  <c:v>884</c:v>
                </c:pt>
                <c:pt idx="885">
                  <c:v>885</c:v>
                </c:pt>
                <c:pt idx="886">
                  <c:v>886</c:v>
                </c:pt>
                <c:pt idx="887">
                  <c:v>887</c:v>
                </c:pt>
                <c:pt idx="888">
                  <c:v>888</c:v>
                </c:pt>
                <c:pt idx="889">
                  <c:v>889</c:v>
                </c:pt>
                <c:pt idx="890">
                  <c:v>890</c:v>
                </c:pt>
                <c:pt idx="891">
                  <c:v>891</c:v>
                </c:pt>
                <c:pt idx="892">
                  <c:v>892</c:v>
                </c:pt>
                <c:pt idx="893">
                  <c:v>893</c:v>
                </c:pt>
                <c:pt idx="894">
                  <c:v>894</c:v>
                </c:pt>
                <c:pt idx="895">
                  <c:v>895</c:v>
                </c:pt>
                <c:pt idx="896">
                  <c:v>896</c:v>
                </c:pt>
                <c:pt idx="897">
                  <c:v>897</c:v>
                </c:pt>
                <c:pt idx="898">
                  <c:v>898</c:v>
                </c:pt>
                <c:pt idx="899">
                  <c:v>899</c:v>
                </c:pt>
                <c:pt idx="900">
                  <c:v>900</c:v>
                </c:pt>
                <c:pt idx="901">
                  <c:v>901</c:v>
                </c:pt>
                <c:pt idx="902">
                  <c:v>902</c:v>
                </c:pt>
                <c:pt idx="903">
                  <c:v>903</c:v>
                </c:pt>
                <c:pt idx="904">
                  <c:v>904</c:v>
                </c:pt>
                <c:pt idx="905">
                  <c:v>905</c:v>
                </c:pt>
                <c:pt idx="906">
                  <c:v>906</c:v>
                </c:pt>
                <c:pt idx="907">
                  <c:v>907</c:v>
                </c:pt>
                <c:pt idx="908">
                  <c:v>908</c:v>
                </c:pt>
                <c:pt idx="909">
                  <c:v>909</c:v>
                </c:pt>
                <c:pt idx="910">
                  <c:v>910</c:v>
                </c:pt>
                <c:pt idx="911">
                  <c:v>911</c:v>
                </c:pt>
                <c:pt idx="912">
                  <c:v>912</c:v>
                </c:pt>
                <c:pt idx="913">
                  <c:v>913</c:v>
                </c:pt>
                <c:pt idx="914">
                  <c:v>914</c:v>
                </c:pt>
                <c:pt idx="915">
                  <c:v>915</c:v>
                </c:pt>
                <c:pt idx="916">
                  <c:v>916</c:v>
                </c:pt>
                <c:pt idx="917">
                  <c:v>917</c:v>
                </c:pt>
                <c:pt idx="918">
                  <c:v>918</c:v>
                </c:pt>
                <c:pt idx="919">
                  <c:v>919</c:v>
                </c:pt>
                <c:pt idx="920">
                  <c:v>920</c:v>
                </c:pt>
                <c:pt idx="921">
                  <c:v>921</c:v>
                </c:pt>
                <c:pt idx="922">
                  <c:v>922</c:v>
                </c:pt>
                <c:pt idx="923">
                  <c:v>923</c:v>
                </c:pt>
                <c:pt idx="924">
                  <c:v>924</c:v>
                </c:pt>
                <c:pt idx="925">
                  <c:v>925</c:v>
                </c:pt>
                <c:pt idx="926">
                  <c:v>926</c:v>
                </c:pt>
                <c:pt idx="927">
                  <c:v>927</c:v>
                </c:pt>
                <c:pt idx="928">
                  <c:v>928</c:v>
                </c:pt>
                <c:pt idx="929">
                  <c:v>929</c:v>
                </c:pt>
                <c:pt idx="930">
                  <c:v>930</c:v>
                </c:pt>
                <c:pt idx="931">
                  <c:v>931</c:v>
                </c:pt>
                <c:pt idx="932">
                  <c:v>932</c:v>
                </c:pt>
                <c:pt idx="933">
                  <c:v>933</c:v>
                </c:pt>
                <c:pt idx="934">
                  <c:v>934</c:v>
                </c:pt>
                <c:pt idx="935">
                  <c:v>935</c:v>
                </c:pt>
                <c:pt idx="936">
                  <c:v>936</c:v>
                </c:pt>
                <c:pt idx="937">
                  <c:v>937</c:v>
                </c:pt>
                <c:pt idx="938">
                  <c:v>938</c:v>
                </c:pt>
                <c:pt idx="939">
                  <c:v>939</c:v>
                </c:pt>
                <c:pt idx="940">
                  <c:v>940</c:v>
                </c:pt>
                <c:pt idx="941">
                  <c:v>941</c:v>
                </c:pt>
                <c:pt idx="942">
                  <c:v>942</c:v>
                </c:pt>
                <c:pt idx="943">
                  <c:v>943</c:v>
                </c:pt>
                <c:pt idx="944">
                  <c:v>944</c:v>
                </c:pt>
                <c:pt idx="945">
                  <c:v>945</c:v>
                </c:pt>
                <c:pt idx="946">
                  <c:v>946</c:v>
                </c:pt>
                <c:pt idx="947">
                  <c:v>947</c:v>
                </c:pt>
                <c:pt idx="948">
                  <c:v>948</c:v>
                </c:pt>
                <c:pt idx="949">
                  <c:v>949</c:v>
                </c:pt>
                <c:pt idx="950">
                  <c:v>950</c:v>
                </c:pt>
                <c:pt idx="951">
                  <c:v>951</c:v>
                </c:pt>
                <c:pt idx="952">
                  <c:v>952</c:v>
                </c:pt>
                <c:pt idx="953">
                  <c:v>953</c:v>
                </c:pt>
                <c:pt idx="954">
                  <c:v>954</c:v>
                </c:pt>
                <c:pt idx="955">
                  <c:v>955</c:v>
                </c:pt>
                <c:pt idx="956">
                  <c:v>956</c:v>
                </c:pt>
                <c:pt idx="957">
                  <c:v>957</c:v>
                </c:pt>
                <c:pt idx="958">
                  <c:v>958</c:v>
                </c:pt>
                <c:pt idx="959">
                  <c:v>959</c:v>
                </c:pt>
                <c:pt idx="960">
                  <c:v>960</c:v>
                </c:pt>
                <c:pt idx="961">
                  <c:v>961</c:v>
                </c:pt>
                <c:pt idx="962">
                  <c:v>962</c:v>
                </c:pt>
                <c:pt idx="963">
                  <c:v>963</c:v>
                </c:pt>
                <c:pt idx="964">
                  <c:v>964</c:v>
                </c:pt>
                <c:pt idx="965">
                  <c:v>965</c:v>
                </c:pt>
                <c:pt idx="966">
                  <c:v>966</c:v>
                </c:pt>
                <c:pt idx="967">
                  <c:v>967</c:v>
                </c:pt>
                <c:pt idx="968">
                  <c:v>968</c:v>
                </c:pt>
                <c:pt idx="969">
                  <c:v>969</c:v>
                </c:pt>
                <c:pt idx="970">
                  <c:v>970</c:v>
                </c:pt>
                <c:pt idx="971">
                  <c:v>971</c:v>
                </c:pt>
                <c:pt idx="972">
                  <c:v>972</c:v>
                </c:pt>
                <c:pt idx="973">
                  <c:v>973</c:v>
                </c:pt>
                <c:pt idx="974">
                  <c:v>974</c:v>
                </c:pt>
                <c:pt idx="975">
                  <c:v>975</c:v>
                </c:pt>
                <c:pt idx="976">
                  <c:v>976</c:v>
                </c:pt>
                <c:pt idx="977">
                  <c:v>977</c:v>
                </c:pt>
                <c:pt idx="978">
                  <c:v>978</c:v>
                </c:pt>
                <c:pt idx="979">
                  <c:v>979</c:v>
                </c:pt>
                <c:pt idx="980">
                  <c:v>980</c:v>
                </c:pt>
                <c:pt idx="981">
                  <c:v>981</c:v>
                </c:pt>
                <c:pt idx="982">
                  <c:v>982</c:v>
                </c:pt>
                <c:pt idx="983">
                  <c:v>983</c:v>
                </c:pt>
                <c:pt idx="984">
                  <c:v>984</c:v>
                </c:pt>
                <c:pt idx="985">
                  <c:v>985</c:v>
                </c:pt>
                <c:pt idx="986">
                  <c:v>986</c:v>
                </c:pt>
                <c:pt idx="987">
                  <c:v>987</c:v>
                </c:pt>
                <c:pt idx="988">
                  <c:v>988</c:v>
                </c:pt>
                <c:pt idx="989">
                  <c:v>989</c:v>
                </c:pt>
                <c:pt idx="990">
                  <c:v>990</c:v>
                </c:pt>
                <c:pt idx="991">
                  <c:v>991</c:v>
                </c:pt>
                <c:pt idx="992">
                  <c:v>992</c:v>
                </c:pt>
                <c:pt idx="993">
                  <c:v>993</c:v>
                </c:pt>
                <c:pt idx="994">
                  <c:v>994</c:v>
                </c:pt>
                <c:pt idx="995">
                  <c:v>995</c:v>
                </c:pt>
                <c:pt idx="996">
                  <c:v>996</c:v>
                </c:pt>
                <c:pt idx="997">
                  <c:v>997</c:v>
                </c:pt>
                <c:pt idx="998">
                  <c:v>998</c:v>
                </c:pt>
                <c:pt idx="999">
                  <c:v>999</c:v>
                </c:pt>
                <c:pt idx="1000">
                  <c:v>1000</c:v>
                </c:pt>
              </c:numCache>
            </c:numRef>
          </c:xVal>
          <c:yVal>
            <c:numRef>
              <c:f>'Annex D'!$M$2:$M$1002</c:f>
              <c:numCache>
                <c:formatCode>General</c:formatCode>
                <c:ptCount val="1001"/>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28</c:v>
                </c:pt>
                <c:pt idx="127">
                  <c:v>27</c:v>
                </c:pt>
                <c:pt idx="128">
                  <c:v>36</c:v>
                </c:pt>
                <c:pt idx="129">
                  <c:v>32</c:v>
                </c:pt>
                <c:pt idx="130">
                  <c:v>27</c:v>
                </c:pt>
                <c:pt idx="131">
                  <c:v>44</c:v>
                </c:pt>
                <c:pt idx="132">
                  <c:v>38</c:v>
                </c:pt>
                <c:pt idx="133">
                  <c:v>38</c:v>
                </c:pt>
                <c:pt idx="134">
                  <c:v>30</c:v>
                </c:pt>
                <c:pt idx="135">
                  <c:v>39</c:v>
                </c:pt>
                <c:pt idx="136">
                  <c:v>37</c:v>
                </c:pt>
                <c:pt idx="137">
                  <c:v>39</c:v>
                </c:pt>
                <c:pt idx="138">
                  <c:v>38</c:v>
                </c:pt>
                <c:pt idx="139">
                  <c:v>47</c:v>
                </c:pt>
                <c:pt idx="140">
                  <c:v>45</c:v>
                </c:pt>
                <c:pt idx="141">
                  <c:v>52</c:v>
                </c:pt>
                <c:pt idx="142">
                  <c:v>51</c:v>
                </c:pt>
                <c:pt idx="143">
                  <c:v>56</c:v>
                </c:pt>
                <c:pt idx="144">
                  <c:v>62</c:v>
                </c:pt>
                <c:pt idx="145">
                  <c:v>70</c:v>
                </c:pt>
                <c:pt idx="146">
                  <c:v>63</c:v>
                </c:pt>
                <c:pt idx="147">
                  <c:v>55</c:v>
                </c:pt>
                <c:pt idx="148">
                  <c:v>78</c:v>
                </c:pt>
                <c:pt idx="149">
                  <c:v>83</c:v>
                </c:pt>
                <c:pt idx="150">
                  <c:v>84</c:v>
                </c:pt>
                <c:pt idx="151">
                  <c:v>97</c:v>
                </c:pt>
                <c:pt idx="152">
                  <c:v>108</c:v>
                </c:pt>
                <c:pt idx="153">
                  <c:v>99</c:v>
                </c:pt>
                <c:pt idx="154">
                  <c:v>144</c:v>
                </c:pt>
                <c:pt idx="155">
                  <c:v>118</c:v>
                </c:pt>
                <c:pt idx="156">
                  <c:v>129</c:v>
                </c:pt>
                <c:pt idx="157">
                  <c:v>159</c:v>
                </c:pt>
                <c:pt idx="158">
                  <c:v>151</c:v>
                </c:pt>
                <c:pt idx="159">
                  <c:v>169</c:v>
                </c:pt>
                <c:pt idx="160">
                  <c:v>202</c:v>
                </c:pt>
                <c:pt idx="161">
                  <c:v>199</c:v>
                </c:pt>
                <c:pt idx="162">
                  <c:v>215</c:v>
                </c:pt>
                <c:pt idx="163">
                  <c:v>231</c:v>
                </c:pt>
                <c:pt idx="164">
                  <c:v>247</c:v>
                </c:pt>
                <c:pt idx="165">
                  <c:v>300</c:v>
                </c:pt>
                <c:pt idx="166">
                  <c:v>269</c:v>
                </c:pt>
                <c:pt idx="167">
                  <c:v>322</c:v>
                </c:pt>
                <c:pt idx="168">
                  <c:v>384</c:v>
                </c:pt>
                <c:pt idx="169">
                  <c:v>367</c:v>
                </c:pt>
                <c:pt idx="170">
                  <c:v>377</c:v>
                </c:pt>
                <c:pt idx="171">
                  <c:v>400</c:v>
                </c:pt>
                <c:pt idx="172">
                  <c:v>431</c:v>
                </c:pt>
                <c:pt idx="173">
                  <c:v>436</c:v>
                </c:pt>
                <c:pt idx="174">
                  <c:v>517</c:v>
                </c:pt>
                <c:pt idx="175">
                  <c:v>524</c:v>
                </c:pt>
                <c:pt idx="176">
                  <c:v>530</c:v>
                </c:pt>
                <c:pt idx="177">
                  <c:v>543</c:v>
                </c:pt>
                <c:pt idx="178">
                  <c:v>623</c:v>
                </c:pt>
                <c:pt idx="179">
                  <c:v>639</c:v>
                </c:pt>
                <c:pt idx="180">
                  <c:v>669</c:v>
                </c:pt>
                <c:pt idx="181">
                  <c:v>650</c:v>
                </c:pt>
                <c:pt idx="182">
                  <c:v>647</c:v>
                </c:pt>
                <c:pt idx="183">
                  <c:v>724</c:v>
                </c:pt>
                <c:pt idx="184">
                  <c:v>734</c:v>
                </c:pt>
                <c:pt idx="185">
                  <c:v>737</c:v>
                </c:pt>
                <c:pt idx="186">
                  <c:v>864</c:v>
                </c:pt>
                <c:pt idx="187">
                  <c:v>788</c:v>
                </c:pt>
                <c:pt idx="188">
                  <c:v>838</c:v>
                </c:pt>
                <c:pt idx="189">
                  <c:v>899</c:v>
                </c:pt>
                <c:pt idx="190">
                  <c:v>836</c:v>
                </c:pt>
                <c:pt idx="191">
                  <c:v>842</c:v>
                </c:pt>
                <c:pt idx="192">
                  <c:v>914</c:v>
                </c:pt>
                <c:pt idx="193">
                  <c:v>878</c:v>
                </c:pt>
                <c:pt idx="194">
                  <c:v>810</c:v>
                </c:pt>
                <c:pt idx="195">
                  <c:v>872</c:v>
                </c:pt>
                <c:pt idx="196">
                  <c:v>800</c:v>
                </c:pt>
                <c:pt idx="197">
                  <c:v>816</c:v>
                </c:pt>
                <c:pt idx="198">
                  <c:v>903</c:v>
                </c:pt>
                <c:pt idx="199">
                  <c:v>847</c:v>
                </c:pt>
                <c:pt idx="200">
                  <c:v>865</c:v>
                </c:pt>
                <c:pt idx="201">
                  <c:v>837</c:v>
                </c:pt>
                <c:pt idx="202">
                  <c:v>787</c:v>
                </c:pt>
                <c:pt idx="203">
                  <c:v>789</c:v>
                </c:pt>
                <c:pt idx="204">
                  <c:v>766</c:v>
                </c:pt>
                <c:pt idx="205">
                  <c:v>757</c:v>
                </c:pt>
                <c:pt idx="206">
                  <c:v>740</c:v>
                </c:pt>
                <c:pt idx="207">
                  <c:v>696</c:v>
                </c:pt>
                <c:pt idx="208">
                  <c:v>654</c:v>
                </c:pt>
                <c:pt idx="209">
                  <c:v>667</c:v>
                </c:pt>
                <c:pt idx="210">
                  <c:v>660</c:v>
                </c:pt>
                <c:pt idx="211">
                  <c:v>604</c:v>
                </c:pt>
                <c:pt idx="212">
                  <c:v>565</c:v>
                </c:pt>
                <c:pt idx="213">
                  <c:v>592</c:v>
                </c:pt>
                <c:pt idx="214">
                  <c:v>521</c:v>
                </c:pt>
                <c:pt idx="215">
                  <c:v>536</c:v>
                </c:pt>
                <c:pt idx="216">
                  <c:v>477</c:v>
                </c:pt>
                <c:pt idx="217">
                  <c:v>436</c:v>
                </c:pt>
                <c:pt idx="218">
                  <c:v>443</c:v>
                </c:pt>
                <c:pt idx="219">
                  <c:v>396</c:v>
                </c:pt>
                <c:pt idx="220">
                  <c:v>400</c:v>
                </c:pt>
                <c:pt idx="221">
                  <c:v>384</c:v>
                </c:pt>
                <c:pt idx="222">
                  <c:v>325</c:v>
                </c:pt>
                <c:pt idx="223">
                  <c:v>318</c:v>
                </c:pt>
                <c:pt idx="224">
                  <c:v>297</c:v>
                </c:pt>
                <c:pt idx="225">
                  <c:v>282</c:v>
                </c:pt>
                <c:pt idx="226">
                  <c:v>254</c:v>
                </c:pt>
                <c:pt idx="227">
                  <c:v>222</c:v>
                </c:pt>
                <c:pt idx="228">
                  <c:v>220</c:v>
                </c:pt>
                <c:pt idx="229">
                  <c:v>193</c:v>
                </c:pt>
                <c:pt idx="230">
                  <c:v>200</c:v>
                </c:pt>
                <c:pt idx="231">
                  <c:v>155</c:v>
                </c:pt>
                <c:pt idx="232">
                  <c:v>168</c:v>
                </c:pt>
                <c:pt idx="233">
                  <c:v>131</c:v>
                </c:pt>
                <c:pt idx="234">
                  <c:v>151</c:v>
                </c:pt>
                <c:pt idx="235">
                  <c:v>130</c:v>
                </c:pt>
                <c:pt idx="236">
                  <c:v>126</c:v>
                </c:pt>
                <c:pt idx="237">
                  <c:v>101</c:v>
                </c:pt>
                <c:pt idx="238">
                  <c:v>91</c:v>
                </c:pt>
                <c:pt idx="239">
                  <c:v>90</c:v>
                </c:pt>
                <c:pt idx="240">
                  <c:v>75</c:v>
                </c:pt>
                <c:pt idx="241">
                  <c:v>81</c:v>
                </c:pt>
                <c:pt idx="242">
                  <c:v>67</c:v>
                </c:pt>
                <c:pt idx="243">
                  <c:v>69</c:v>
                </c:pt>
                <c:pt idx="244">
                  <c:v>53</c:v>
                </c:pt>
                <c:pt idx="245">
                  <c:v>60</c:v>
                </c:pt>
                <c:pt idx="246">
                  <c:v>53</c:v>
                </c:pt>
                <c:pt idx="247">
                  <c:v>41</c:v>
                </c:pt>
                <c:pt idx="248">
                  <c:v>39</c:v>
                </c:pt>
                <c:pt idx="249">
                  <c:v>29</c:v>
                </c:pt>
                <c:pt idx="250">
                  <c:v>30</c:v>
                </c:pt>
                <c:pt idx="251">
                  <c:v>30</c:v>
                </c:pt>
                <c:pt idx="252">
                  <c:v>30</c:v>
                </c:pt>
                <c:pt idx="253">
                  <c:v>30</c:v>
                </c:pt>
                <c:pt idx="254">
                  <c:v>15</c:v>
                </c:pt>
                <c:pt idx="255">
                  <c:v>19</c:v>
                </c:pt>
                <c:pt idx="256">
                  <c:v>16</c:v>
                </c:pt>
                <c:pt idx="257">
                  <c:v>18</c:v>
                </c:pt>
                <c:pt idx="258">
                  <c:v>9</c:v>
                </c:pt>
                <c:pt idx="259">
                  <c:v>11</c:v>
                </c:pt>
                <c:pt idx="260">
                  <c:v>10</c:v>
                </c:pt>
                <c:pt idx="261">
                  <c:v>17</c:v>
                </c:pt>
                <c:pt idx="262">
                  <c:v>7</c:v>
                </c:pt>
                <c:pt idx="263">
                  <c:v>15</c:v>
                </c:pt>
                <c:pt idx="264">
                  <c:v>13</c:v>
                </c:pt>
                <c:pt idx="265">
                  <c:v>6</c:v>
                </c:pt>
                <c:pt idx="266">
                  <c:v>9</c:v>
                </c:pt>
                <c:pt idx="267">
                  <c:v>16</c:v>
                </c:pt>
                <c:pt idx="268">
                  <c:v>9</c:v>
                </c:pt>
                <c:pt idx="269">
                  <c:v>5</c:v>
                </c:pt>
                <c:pt idx="270">
                  <c:v>8</c:v>
                </c:pt>
                <c:pt idx="271">
                  <c:v>4</c:v>
                </c:pt>
                <c:pt idx="272">
                  <c:v>12</c:v>
                </c:pt>
                <c:pt idx="273">
                  <c:v>4</c:v>
                </c:pt>
                <c:pt idx="274">
                  <c:v>6</c:v>
                </c:pt>
                <c:pt idx="275">
                  <c:v>2</c:v>
                </c:pt>
                <c:pt idx="276">
                  <c:v>5</c:v>
                </c:pt>
                <c:pt idx="277">
                  <c:v>7</c:v>
                </c:pt>
                <c:pt idx="278">
                  <c:v>5</c:v>
                </c:pt>
                <c:pt idx="279">
                  <c:v>7</c:v>
                </c:pt>
                <c:pt idx="280">
                  <c:v>4</c:v>
                </c:pt>
                <c:pt idx="281">
                  <c:v>4</c:v>
                </c:pt>
                <c:pt idx="282">
                  <c:v>6</c:v>
                </c:pt>
                <c:pt idx="283">
                  <c:v>9</c:v>
                </c:pt>
                <c:pt idx="284">
                  <c:v>5</c:v>
                </c:pt>
                <c:pt idx="285">
                  <c:v>5</c:v>
                </c:pt>
                <c:pt idx="286">
                  <c:v>6</c:v>
                </c:pt>
                <c:pt idx="287">
                  <c:v>4</c:v>
                </c:pt>
                <c:pt idx="288">
                  <c:v>2</c:v>
                </c:pt>
                <c:pt idx="289">
                  <c:v>4</c:v>
                </c:pt>
                <c:pt idx="290">
                  <c:v>2</c:v>
                </c:pt>
                <c:pt idx="291">
                  <c:v>3</c:v>
                </c:pt>
                <c:pt idx="292">
                  <c:v>10</c:v>
                </c:pt>
                <c:pt idx="293">
                  <c:v>5</c:v>
                </c:pt>
                <c:pt idx="294">
                  <c:v>5</c:v>
                </c:pt>
                <c:pt idx="295">
                  <c:v>3</c:v>
                </c:pt>
                <c:pt idx="296">
                  <c:v>4</c:v>
                </c:pt>
                <c:pt idx="297">
                  <c:v>4</c:v>
                </c:pt>
                <c:pt idx="298">
                  <c:v>5</c:v>
                </c:pt>
                <c:pt idx="299">
                  <c:v>2</c:v>
                </c:pt>
                <c:pt idx="300">
                  <c:v>6</c:v>
                </c:pt>
                <c:pt idx="301">
                  <c:v>4</c:v>
                </c:pt>
                <c:pt idx="302">
                  <c:v>3</c:v>
                </c:pt>
                <c:pt idx="303">
                  <c:v>7</c:v>
                </c:pt>
                <c:pt idx="304">
                  <c:v>1</c:v>
                </c:pt>
                <c:pt idx="305">
                  <c:v>6</c:v>
                </c:pt>
                <c:pt idx="306">
                  <c:v>5</c:v>
                </c:pt>
                <c:pt idx="307">
                  <c:v>1</c:v>
                </c:pt>
                <c:pt idx="308">
                  <c:v>6</c:v>
                </c:pt>
                <c:pt idx="309">
                  <c:v>6</c:v>
                </c:pt>
                <c:pt idx="310">
                  <c:v>4</c:v>
                </c:pt>
                <c:pt idx="311">
                  <c:v>5</c:v>
                </c:pt>
                <c:pt idx="312">
                  <c:v>2</c:v>
                </c:pt>
                <c:pt idx="313">
                  <c:v>3</c:v>
                </c:pt>
                <c:pt idx="314">
                  <c:v>4</c:v>
                </c:pt>
                <c:pt idx="315">
                  <c:v>3</c:v>
                </c:pt>
                <c:pt idx="316">
                  <c:v>3</c:v>
                </c:pt>
                <c:pt idx="317">
                  <c:v>3</c:v>
                </c:pt>
                <c:pt idx="318">
                  <c:v>2</c:v>
                </c:pt>
                <c:pt idx="319">
                  <c:v>6</c:v>
                </c:pt>
                <c:pt idx="320">
                  <c:v>1</c:v>
                </c:pt>
                <c:pt idx="321">
                  <c:v>5</c:v>
                </c:pt>
                <c:pt idx="322">
                  <c:v>2</c:v>
                </c:pt>
                <c:pt idx="323">
                  <c:v>4</c:v>
                </c:pt>
                <c:pt idx="324">
                  <c:v>6</c:v>
                </c:pt>
                <c:pt idx="325">
                  <c:v>4</c:v>
                </c:pt>
                <c:pt idx="326">
                  <c:v>4</c:v>
                </c:pt>
                <c:pt idx="327">
                  <c:v>3</c:v>
                </c:pt>
                <c:pt idx="328">
                  <c:v>2</c:v>
                </c:pt>
                <c:pt idx="329">
                  <c:v>2</c:v>
                </c:pt>
                <c:pt idx="330">
                  <c:v>4</c:v>
                </c:pt>
                <c:pt idx="331">
                  <c:v>3</c:v>
                </c:pt>
                <c:pt idx="332">
                  <c:v>6</c:v>
                </c:pt>
                <c:pt idx="333">
                  <c:v>4</c:v>
                </c:pt>
                <c:pt idx="334">
                  <c:v>7</c:v>
                </c:pt>
                <c:pt idx="335">
                  <c:v>3</c:v>
                </c:pt>
                <c:pt idx="336">
                  <c:v>6</c:v>
                </c:pt>
                <c:pt idx="337">
                  <c:v>3</c:v>
                </c:pt>
                <c:pt idx="338">
                  <c:v>6</c:v>
                </c:pt>
                <c:pt idx="339">
                  <c:v>5</c:v>
                </c:pt>
                <c:pt idx="340">
                  <c:v>3</c:v>
                </c:pt>
                <c:pt idx="341">
                  <c:v>10</c:v>
                </c:pt>
                <c:pt idx="342">
                  <c:v>5</c:v>
                </c:pt>
                <c:pt idx="343">
                  <c:v>5</c:v>
                </c:pt>
                <c:pt idx="344">
                  <c:v>3</c:v>
                </c:pt>
                <c:pt idx="345">
                  <c:v>5</c:v>
                </c:pt>
                <c:pt idx="346">
                  <c:v>5</c:v>
                </c:pt>
                <c:pt idx="347">
                  <c:v>5</c:v>
                </c:pt>
                <c:pt idx="348">
                  <c:v>7</c:v>
                </c:pt>
                <c:pt idx="349">
                  <c:v>1</c:v>
                </c:pt>
                <c:pt idx="350">
                  <c:v>3</c:v>
                </c:pt>
                <c:pt idx="351">
                  <c:v>7</c:v>
                </c:pt>
                <c:pt idx="352">
                  <c:v>2</c:v>
                </c:pt>
                <c:pt idx="353">
                  <c:v>9</c:v>
                </c:pt>
                <c:pt idx="354">
                  <c:v>5</c:v>
                </c:pt>
                <c:pt idx="355">
                  <c:v>2</c:v>
                </c:pt>
                <c:pt idx="356">
                  <c:v>3</c:v>
                </c:pt>
                <c:pt idx="357">
                  <c:v>6</c:v>
                </c:pt>
                <c:pt idx="358">
                  <c:v>7</c:v>
                </c:pt>
                <c:pt idx="359">
                  <c:v>5</c:v>
                </c:pt>
                <c:pt idx="360">
                  <c:v>8</c:v>
                </c:pt>
                <c:pt idx="361">
                  <c:v>5</c:v>
                </c:pt>
                <c:pt idx="362">
                  <c:v>4</c:v>
                </c:pt>
                <c:pt idx="363">
                  <c:v>5</c:v>
                </c:pt>
                <c:pt idx="364">
                  <c:v>7</c:v>
                </c:pt>
                <c:pt idx="365">
                  <c:v>4</c:v>
                </c:pt>
                <c:pt idx="366">
                  <c:v>5</c:v>
                </c:pt>
                <c:pt idx="367">
                  <c:v>3</c:v>
                </c:pt>
                <c:pt idx="368">
                  <c:v>3</c:v>
                </c:pt>
                <c:pt idx="369">
                  <c:v>5</c:v>
                </c:pt>
                <c:pt idx="370">
                  <c:v>5</c:v>
                </c:pt>
                <c:pt idx="371">
                  <c:v>2</c:v>
                </c:pt>
                <c:pt idx="372">
                  <c:v>6</c:v>
                </c:pt>
                <c:pt idx="373">
                  <c:v>4</c:v>
                </c:pt>
                <c:pt idx="374">
                  <c:v>8</c:v>
                </c:pt>
                <c:pt idx="375">
                  <c:v>4</c:v>
                </c:pt>
                <c:pt idx="376">
                  <c:v>5</c:v>
                </c:pt>
                <c:pt idx="377">
                  <c:v>8</c:v>
                </c:pt>
                <c:pt idx="378">
                  <c:v>4</c:v>
                </c:pt>
                <c:pt idx="379">
                  <c:v>5</c:v>
                </c:pt>
                <c:pt idx="380">
                  <c:v>5</c:v>
                </c:pt>
                <c:pt idx="381">
                  <c:v>6</c:v>
                </c:pt>
                <c:pt idx="382">
                  <c:v>7</c:v>
                </c:pt>
                <c:pt idx="383">
                  <c:v>4</c:v>
                </c:pt>
                <c:pt idx="384">
                  <c:v>4</c:v>
                </c:pt>
                <c:pt idx="385">
                  <c:v>4</c:v>
                </c:pt>
                <c:pt idx="386">
                  <c:v>8</c:v>
                </c:pt>
                <c:pt idx="387">
                  <c:v>7</c:v>
                </c:pt>
                <c:pt idx="388">
                  <c:v>4</c:v>
                </c:pt>
                <c:pt idx="389">
                  <c:v>5</c:v>
                </c:pt>
                <c:pt idx="390">
                  <c:v>4</c:v>
                </c:pt>
                <c:pt idx="391">
                  <c:v>2</c:v>
                </c:pt>
                <c:pt idx="392">
                  <c:v>2</c:v>
                </c:pt>
                <c:pt idx="393">
                  <c:v>3</c:v>
                </c:pt>
                <c:pt idx="394">
                  <c:v>1</c:v>
                </c:pt>
                <c:pt idx="395">
                  <c:v>5</c:v>
                </c:pt>
                <c:pt idx="396">
                  <c:v>3</c:v>
                </c:pt>
                <c:pt idx="397">
                  <c:v>5</c:v>
                </c:pt>
                <c:pt idx="398">
                  <c:v>10</c:v>
                </c:pt>
                <c:pt idx="399">
                  <c:v>0</c:v>
                </c:pt>
                <c:pt idx="400">
                  <c:v>6</c:v>
                </c:pt>
                <c:pt idx="401">
                  <c:v>3</c:v>
                </c:pt>
                <c:pt idx="402">
                  <c:v>6</c:v>
                </c:pt>
                <c:pt idx="403">
                  <c:v>5</c:v>
                </c:pt>
                <c:pt idx="404">
                  <c:v>6</c:v>
                </c:pt>
                <c:pt idx="405">
                  <c:v>5</c:v>
                </c:pt>
                <c:pt idx="406">
                  <c:v>6</c:v>
                </c:pt>
                <c:pt idx="407">
                  <c:v>5</c:v>
                </c:pt>
                <c:pt idx="408">
                  <c:v>7</c:v>
                </c:pt>
                <c:pt idx="409">
                  <c:v>1</c:v>
                </c:pt>
                <c:pt idx="410">
                  <c:v>3</c:v>
                </c:pt>
                <c:pt idx="411">
                  <c:v>6</c:v>
                </c:pt>
                <c:pt idx="412">
                  <c:v>1</c:v>
                </c:pt>
                <c:pt idx="413">
                  <c:v>3</c:v>
                </c:pt>
                <c:pt idx="414">
                  <c:v>3</c:v>
                </c:pt>
                <c:pt idx="415">
                  <c:v>2</c:v>
                </c:pt>
                <c:pt idx="416">
                  <c:v>2</c:v>
                </c:pt>
                <c:pt idx="417">
                  <c:v>3</c:v>
                </c:pt>
                <c:pt idx="418">
                  <c:v>3</c:v>
                </c:pt>
                <c:pt idx="419">
                  <c:v>3</c:v>
                </c:pt>
                <c:pt idx="420">
                  <c:v>5</c:v>
                </c:pt>
                <c:pt idx="421">
                  <c:v>1</c:v>
                </c:pt>
                <c:pt idx="422">
                  <c:v>0</c:v>
                </c:pt>
                <c:pt idx="423">
                  <c:v>1</c:v>
                </c:pt>
                <c:pt idx="424">
                  <c:v>2</c:v>
                </c:pt>
                <c:pt idx="425">
                  <c:v>2</c:v>
                </c:pt>
                <c:pt idx="426">
                  <c:v>1</c:v>
                </c:pt>
                <c:pt idx="427">
                  <c:v>3</c:v>
                </c:pt>
                <c:pt idx="428">
                  <c:v>2</c:v>
                </c:pt>
                <c:pt idx="429">
                  <c:v>5</c:v>
                </c:pt>
                <c:pt idx="430">
                  <c:v>2</c:v>
                </c:pt>
                <c:pt idx="431">
                  <c:v>0</c:v>
                </c:pt>
                <c:pt idx="432">
                  <c:v>2</c:v>
                </c:pt>
                <c:pt idx="433">
                  <c:v>2</c:v>
                </c:pt>
                <c:pt idx="434">
                  <c:v>2</c:v>
                </c:pt>
                <c:pt idx="435">
                  <c:v>2</c:v>
                </c:pt>
                <c:pt idx="436">
                  <c:v>0</c:v>
                </c:pt>
                <c:pt idx="437">
                  <c:v>3</c:v>
                </c:pt>
                <c:pt idx="438">
                  <c:v>1</c:v>
                </c:pt>
                <c:pt idx="439">
                  <c:v>1</c:v>
                </c:pt>
                <c:pt idx="440">
                  <c:v>1</c:v>
                </c:pt>
                <c:pt idx="441">
                  <c:v>0</c:v>
                </c:pt>
                <c:pt idx="442">
                  <c:v>1</c:v>
                </c:pt>
                <c:pt idx="443">
                  <c:v>0</c:v>
                </c:pt>
                <c:pt idx="444">
                  <c:v>3</c:v>
                </c:pt>
                <c:pt idx="445">
                  <c:v>1</c:v>
                </c:pt>
                <c:pt idx="446">
                  <c:v>0</c:v>
                </c:pt>
                <c:pt idx="447">
                  <c:v>1</c:v>
                </c:pt>
                <c:pt idx="448">
                  <c:v>1</c:v>
                </c:pt>
                <c:pt idx="449">
                  <c:v>0</c:v>
                </c:pt>
                <c:pt idx="450">
                  <c:v>4</c:v>
                </c:pt>
                <c:pt idx="451">
                  <c:v>2</c:v>
                </c:pt>
                <c:pt idx="452">
                  <c:v>0</c:v>
                </c:pt>
                <c:pt idx="453">
                  <c:v>0</c:v>
                </c:pt>
                <c:pt idx="454">
                  <c:v>0</c:v>
                </c:pt>
                <c:pt idx="455">
                  <c:v>3</c:v>
                </c:pt>
                <c:pt idx="456">
                  <c:v>1</c:v>
                </c:pt>
                <c:pt idx="457">
                  <c:v>0</c:v>
                </c:pt>
                <c:pt idx="458">
                  <c:v>1</c:v>
                </c:pt>
                <c:pt idx="459">
                  <c:v>0</c:v>
                </c:pt>
                <c:pt idx="460">
                  <c:v>0</c:v>
                </c:pt>
                <c:pt idx="461">
                  <c:v>2</c:v>
                </c:pt>
                <c:pt idx="462">
                  <c:v>0</c:v>
                </c:pt>
                <c:pt idx="463">
                  <c:v>0</c:v>
                </c:pt>
                <c:pt idx="464">
                  <c:v>0</c:v>
                </c:pt>
                <c:pt idx="465">
                  <c:v>0</c:v>
                </c:pt>
                <c:pt idx="466">
                  <c:v>1</c:v>
                </c:pt>
                <c:pt idx="467">
                  <c:v>1</c:v>
                </c:pt>
                <c:pt idx="468">
                  <c:v>0</c:v>
                </c:pt>
                <c:pt idx="469">
                  <c:v>0</c:v>
                </c:pt>
                <c:pt idx="470">
                  <c:v>0</c:v>
                </c:pt>
                <c:pt idx="471">
                  <c:v>1</c:v>
                </c:pt>
                <c:pt idx="472">
                  <c:v>1</c:v>
                </c:pt>
                <c:pt idx="473">
                  <c:v>1</c:v>
                </c:pt>
                <c:pt idx="474">
                  <c:v>1</c:v>
                </c:pt>
                <c:pt idx="475">
                  <c:v>0</c:v>
                </c:pt>
                <c:pt idx="476">
                  <c:v>0</c:v>
                </c:pt>
                <c:pt idx="477">
                  <c:v>0</c:v>
                </c:pt>
                <c:pt idx="478">
                  <c:v>0</c:v>
                </c:pt>
                <c:pt idx="479">
                  <c:v>2</c:v>
                </c:pt>
                <c:pt idx="480">
                  <c:v>0</c:v>
                </c:pt>
                <c:pt idx="481">
                  <c:v>0</c:v>
                </c:pt>
                <c:pt idx="482">
                  <c:v>0</c:v>
                </c:pt>
                <c:pt idx="483">
                  <c:v>1</c:v>
                </c:pt>
                <c:pt idx="484">
                  <c:v>1</c:v>
                </c:pt>
                <c:pt idx="485">
                  <c:v>1</c:v>
                </c:pt>
                <c:pt idx="486">
                  <c:v>0</c:v>
                </c:pt>
                <c:pt idx="487">
                  <c:v>0</c:v>
                </c:pt>
                <c:pt idx="488">
                  <c:v>0</c:v>
                </c:pt>
                <c:pt idx="489">
                  <c:v>0</c:v>
                </c:pt>
                <c:pt idx="490">
                  <c:v>1</c:v>
                </c:pt>
                <c:pt idx="491">
                  <c:v>2</c:v>
                </c:pt>
                <c:pt idx="492">
                  <c:v>0</c:v>
                </c:pt>
                <c:pt idx="493">
                  <c:v>0</c:v>
                </c:pt>
                <c:pt idx="494">
                  <c:v>0</c:v>
                </c:pt>
                <c:pt idx="495">
                  <c:v>0</c:v>
                </c:pt>
                <c:pt idx="496">
                  <c:v>1</c:v>
                </c:pt>
                <c:pt idx="497">
                  <c:v>0</c:v>
                </c:pt>
                <c:pt idx="498">
                  <c:v>0</c:v>
                </c:pt>
                <c:pt idx="499">
                  <c:v>0</c:v>
                </c:pt>
                <c:pt idx="500">
                  <c:v>0</c:v>
                </c:pt>
                <c:pt idx="501">
                  <c:v>0</c:v>
                </c:pt>
                <c:pt idx="502">
                  <c:v>1</c:v>
                </c:pt>
                <c:pt idx="503">
                  <c:v>0</c:v>
                </c:pt>
                <c:pt idx="504">
                  <c:v>0</c:v>
                </c:pt>
                <c:pt idx="505">
                  <c:v>1</c:v>
                </c:pt>
                <c:pt idx="506">
                  <c:v>0</c:v>
                </c:pt>
                <c:pt idx="507">
                  <c:v>1</c:v>
                </c:pt>
                <c:pt idx="508">
                  <c:v>1</c:v>
                </c:pt>
                <c:pt idx="509">
                  <c:v>0</c:v>
                </c:pt>
                <c:pt idx="510">
                  <c:v>1</c:v>
                </c:pt>
                <c:pt idx="511">
                  <c:v>0</c:v>
                </c:pt>
                <c:pt idx="512">
                  <c:v>1</c:v>
                </c:pt>
                <c:pt idx="513">
                  <c:v>0</c:v>
                </c:pt>
                <c:pt idx="514">
                  <c:v>1</c:v>
                </c:pt>
                <c:pt idx="515">
                  <c:v>0</c:v>
                </c:pt>
                <c:pt idx="516">
                  <c:v>0</c:v>
                </c:pt>
                <c:pt idx="517">
                  <c:v>1</c:v>
                </c:pt>
                <c:pt idx="518">
                  <c:v>0</c:v>
                </c:pt>
                <c:pt idx="519">
                  <c:v>1</c:v>
                </c:pt>
                <c:pt idx="520">
                  <c:v>1</c:v>
                </c:pt>
                <c:pt idx="521">
                  <c:v>0</c:v>
                </c:pt>
                <c:pt idx="522">
                  <c:v>0</c:v>
                </c:pt>
                <c:pt idx="523">
                  <c:v>0</c:v>
                </c:pt>
                <c:pt idx="524">
                  <c:v>1</c:v>
                </c:pt>
                <c:pt idx="525">
                  <c:v>0</c:v>
                </c:pt>
                <c:pt idx="526">
                  <c:v>0</c:v>
                </c:pt>
                <c:pt idx="527">
                  <c:v>0</c:v>
                </c:pt>
                <c:pt idx="528">
                  <c:v>1</c:v>
                </c:pt>
                <c:pt idx="529">
                  <c:v>0</c:v>
                </c:pt>
                <c:pt idx="530">
                  <c:v>0</c:v>
                </c:pt>
                <c:pt idx="531">
                  <c:v>0</c:v>
                </c:pt>
                <c:pt idx="532">
                  <c:v>1</c:v>
                </c:pt>
                <c:pt idx="533">
                  <c:v>1</c:v>
                </c:pt>
                <c:pt idx="534">
                  <c:v>1</c:v>
                </c:pt>
                <c:pt idx="535">
                  <c:v>0</c:v>
                </c:pt>
                <c:pt idx="536">
                  <c:v>0</c:v>
                </c:pt>
                <c:pt idx="537">
                  <c:v>0</c:v>
                </c:pt>
                <c:pt idx="538">
                  <c:v>0</c:v>
                </c:pt>
                <c:pt idx="539">
                  <c:v>0</c:v>
                </c:pt>
                <c:pt idx="540">
                  <c:v>0</c:v>
                </c:pt>
                <c:pt idx="541">
                  <c:v>0</c:v>
                </c:pt>
                <c:pt idx="542">
                  <c:v>1</c:v>
                </c:pt>
                <c:pt idx="543">
                  <c:v>0</c:v>
                </c:pt>
                <c:pt idx="544">
                  <c:v>0</c:v>
                </c:pt>
                <c:pt idx="545">
                  <c:v>0</c:v>
                </c:pt>
                <c:pt idx="546">
                  <c:v>0</c:v>
                </c:pt>
                <c:pt idx="547">
                  <c:v>1</c:v>
                </c:pt>
                <c:pt idx="548">
                  <c:v>1</c:v>
                </c:pt>
                <c:pt idx="549">
                  <c:v>0</c:v>
                </c:pt>
                <c:pt idx="550">
                  <c:v>1</c:v>
                </c:pt>
                <c:pt idx="551">
                  <c:v>0</c:v>
                </c:pt>
                <c:pt idx="552">
                  <c:v>1</c:v>
                </c:pt>
                <c:pt idx="553">
                  <c:v>0</c:v>
                </c:pt>
                <c:pt idx="554">
                  <c:v>1</c:v>
                </c:pt>
                <c:pt idx="555">
                  <c:v>1</c:v>
                </c:pt>
                <c:pt idx="556">
                  <c:v>0</c:v>
                </c:pt>
                <c:pt idx="557">
                  <c:v>0</c:v>
                </c:pt>
                <c:pt idx="558">
                  <c:v>0</c:v>
                </c:pt>
                <c:pt idx="559">
                  <c:v>1</c:v>
                </c:pt>
                <c:pt idx="560">
                  <c:v>1</c:v>
                </c:pt>
                <c:pt idx="561">
                  <c:v>0</c:v>
                </c:pt>
                <c:pt idx="562">
                  <c:v>1</c:v>
                </c:pt>
                <c:pt idx="563">
                  <c:v>0</c:v>
                </c:pt>
                <c:pt idx="564">
                  <c:v>0</c:v>
                </c:pt>
                <c:pt idx="565">
                  <c:v>1</c:v>
                </c:pt>
                <c:pt idx="566">
                  <c:v>0</c:v>
                </c:pt>
                <c:pt idx="567">
                  <c:v>0</c:v>
                </c:pt>
                <c:pt idx="568">
                  <c:v>0</c:v>
                </c:pt>
                <c:pt idx="569">
                  <c:v>1</c:v>
                </c:pt>
                <c:pt idx="570">
                  <c:v>0</c:v>
                </c:pt>
                <c:pt idx="571">
                  <c:v>0</c:v>
                </c:pt>
                <c:pt idx="572">
                  <c:v>0</c:v>
                </c:pt>
                <c:pt idx="573">
                  <c:v>1</c:v>
                </c:pt>
                <c:pt idx="574">
                  <c:v>0</c:v>
                </c:pt>
                <c:pt idx="575">
                  <c:v>1</c:v>
                </c:pt>
                <c:pt idx="576">
                  <c:v>0</c:v>
                </c:pt>
                <c:pt idx="577">
                  <c:v>0</c:v>
                </c:pt>
                <c:pt idx="578">
                  <c:v>1</c:v>
                </c:pt>
                <c:pt idx="579">
                  <c:v>0</c:v>
                </c:pt>
                <c:pt idx="580">
                  <c:v>1</c:v>
                </c:pt>
                <c:pt idx="581">
                  <c:v>0</c:v>
                </c:pt>
                <c:pt idx="582">
                  <c:v>1</c:v>
                </c:pt>
                <c:pt idx="583">
                  <c:v>0</c:v>
                </c:pt>
                <c:pt idx="584">
                  <c:v>1</c:v>
                </c:pt>
                <c:pt idx="585">
                  <c:v>2</c:v>
                </c:pt>
                <c:pt idx="586">
                  <c:v>0</c:v>
                </c:pt>
                <c:pt idx="587">
                  <c:v>0</c:v>
                </c:pt>
                <c:pt idx="588">
                  <c:v>0</c:v>
                </c:pt>
                <c:pt idx="589">
                  <c:v>1</c:v>
                </c:pt>
                <c:pt idx="590">
                  <c:v>0</c:v>
                </c:pt>
                <c:pt idx="591">
                  <c:v>0</c:v>
                </c:pt>
                <c:pt idx="592">
                  <c:v>0</c:v>
                </c:pt>
                <c:pt idx="593">
                  <c:v>3</c:v>
                </c:pt>
                <c:pt idx="594">
                  <c:v>2</c:v>
                </c:pt>
                <c:pt idx="595">
                  <c:v>0</c:v>
                </c:pt>
                <c:pt idx="596">
                  <c:v>0</c:v>
                </c:pt>
                <c:pt idx="597">
                  <c:v>0</c:v>
                </c:pt>
                <c:pt idx="598">
                  <c:v>1</c:v>
                </c:pt>
                <c:pt idx="599">
                  <c:v>0</c:v>
                </c:pt>
                <c:pt idx="600">
                  <c:v>0</c:v>
                </c:pt>
                <c:pt idx="601">
                  <c:v>2</c:v>
                </c:pt>
                <c:pt idx="602">
                  <c:v>0</c:v>
                </c:pt>
                <c:pt idx="603">
                  <c:v>0</c:v>
                </c:pt>
                <c:pt idx="604">
                  <c:v>3</c:v>
                </c:pt>
                <c:pt idx="605">
                  <c:v>1</c:v>
                </c:pt>
                <c:pt idx="606">
                  <c:v>0</c:v>
                </c:pt>
                <c:pt idx="607">
                  <c:v>1</c:v>
                </c:pt>
                <c:pt idx="608">
                  <c:v>0</c:v>
                </c:pt>
                <c:pt idx="609">
                  <c:v>0</c:v>
                </c:pt>
                <c:pt idx="610">
                  <c:v>0</c:v>
                </c:pt>
                <c:pt idx="611">
                  <c:v>0</c:v>
                </c:pt>
                <c:pt idx="612">
                  <c:v>0</c:v>
                </c:pt>
                <c:pt idx="613">
                  <c:v>0</c:v>
                </c:pt>
                <c:pt idx="614">
                  <c:v>0</c:v>
                </c:pt>
                <c:pt idx="615">
                  <c:v>0</c:v>
                </c:pt>
                <c:pt idx="616">
                  <c:v>0</c:v>
                </c:pt>
                <c:pt idx="617">
                  <c:v>0</c:v>
                </c:pt>
                <c:pt idx="618">
                  <c:v>1</c:v>
                </c:pt>
                <c:pt idx="619">
                  <c:v>1</c:v>
                </c:pt>
                <c:pt idx="620">
                  <c:v>0</c:v>
                </c:pt>
                <c:pt idx="621">
                  <c:v>0</c:v>
                </c:pt>
                <c:pt idx="622">
                  <c:v>0</c:v>
                </c:pt>
                <c:pt idx="623">
                  <c:v>0</c:v>
                </c:pt>
                <c:pt idx="624">
                  <c:v>1</c:v>
                </c:pt>
                <c:pt idx="625">
                  <c:v>0</c:v>
                </c:pt>
                <c:pt idx="626">
                  <c:v>0</c:v>
                </c:pt>
                <c:pt idx="627">
                  <c:v>0</c:v>
                </c:pt>
                <c:pt idx="628">
                  <c:v>0</c:v>
                </c:pt>
                <c:pt idx="629">
                  <c:v>0</c:v>
                </c:pt>
                <c:pt idx="630">
                  <c:v>1</c:v>
                </c:pt>
                <c:pt idx="631">
                  <c:v>0</c:v>
                </c:pt>
                <c:pt idx="632">
                  <c:v>1</c:v>
                </c:pt>
                <c:pt idx="633">
                  <c:v>3</c:v>
                </c:pt>
                <c:pt idx="634">
                  <c:v>1</c:v>
                </c:pt>
                <c:pt idx="635">
                  <c:v>1</c:v>
                </c:pt>
                <c:pt idx="636">
                  <c:v>0</c:v>
                </c:pt>
                <c:pt idx="637">
                  <c:v>1</c:v>
                </c:pt>
                <c:pt idx="638">
                  <c:v>0</c:v>
                </c:pt>
                <c:pt idx="639">
                  <c:v>0</c:v>
                </c:pt>
                <c:pt idx="640">
                  <c:v>1</c:v>
                </c:pt>
                <c:pt idx="641">
                  <c:v>1</c:v>
                </c:pt>
                <c:pt idx="642">
                  <c:v>0</c:v>
                </c:pt>
                <c:pt idx="643">
                  <c:v>0</c:v>
                </c:pt>
                <c:pt idx="644">
                  <c:v>0</c:v>
                </c:pt>
                <c:pt idx="645">
                  <c:v>1</c:v>
                </c:pt>
                <c:pt idx="646">
                  <c:v>0</c:v>
                </c:pt>
                <c:pt idx="647">
                  <c:v>1</c:v>
                </c:pt>
                <c:pt idx="648">
                  <c:v>0</c:v>
                </c:pt>
                <c:pt idx="649">
                  <c:v>0</c:v>
                </c:pt>
                <c:pt idx="650">
                  <c:v>0</c:v>
                </c:pt>
                <c:pt idx="651">
                  <c:v>0</c:v>
                </c:pt>
                <c:pt idx="652">
                  <c:v>0</c:v>
                </c:pt>
                <c:pt idx="653">
                  <c:v>2</c:v>
                </c:pt>
                <c:pt idx="654">
                  <c:v>1</c:v>
                </c:pt>
                <c:pt idx="655">
                  <c:v>0</c:v>
                </c:pt>
                <c:pt idx="656">
                  <c:v>0</c:v>
                </c:pt>
                <c:pt idx="657">
                  <c:v>0</c:v>
                </c:pt>
                <c:pt idx="658">
                  <c:v>1</c:v>
                </c:pt>
                <c:pt idx="659">
                  <c:v>0</c:v>
                </c:pt>
                <c:pt idx="660">
                  <c:v>0</c:v>
                </c:pt>
                <c:pt idx="661">
                  <c:v>1</c:v>
                </c:pt>
                <c:pt idx="662">
                  <c:v>0</c:v>
                </c:pt>
                <c:pt idx="663">
                  <c:v>0</c:v>
                </c:pt>
                <c:pt idx="664">
                  <c:v>1</c:v>
                </c:pt>
                <c:pt idx="665">
                  <c:v>1</c:v>
                </c:pt>
                <c:pt idx="666">
                  <c:v>0</c:v>
                </c:pt>
                <c:pt idx="667">
                  <c:v>1</c:v>
                </c:pt>
                <c:pt idx="668">
                  <c:v>2</c:v>
                </c:pt>
                <c:pt idx="669">
                  <c:v>0</c:v>
                </c:pt>
                <c:pt idx="670">
                  <c:v>0</c:v>
                </c:pt>
                <c:pt idx="671">
                  <c:v>1</c:v>
                </c:pt>
                <c:pt idx="672">
                  <c:v>0</c:v>
                </c:pt>
                <c:pt idx="673">
                  <c:v>0</c:v>
                </c:pt>
                <c:pt idx="674">
                  <c:v>0</c:v>
                </c:pt>
                <c:pt idx="675">
                  <c:v>0</c:v>
                </c:pt>
                <c:pt idx="676">
                  <c:v>0</c:v>
                </c:pt>
                <c:pt idx="677">
                  <c:v>0</c:v>
                </c:pt>
                <c:pt idx="678">
                  <c:v>0</c:v>
                </c:pt>
                <c:pt idx="679">
                  <c:v>0</c:v>
                </c:pt>
                <c:pt idx="680">
                  <c:v>0</c:v>
                </c:pt>
                <c:pt idx="681">
                  <c:v>1</c:v>
                </c:pt>
                <c:pt idx="682">
                  <c:v>0</c:v>
                </c:pt>
                <c:pt idx="683">
                  <c:v>0</c:v>
                </c:pt>
                <c:pt idx="684">
                  <c:v>1</c:v>
                </c:pt>
                <c:pt idx="685">
                  <c:v>0</c:v>
                </c:pt>
                <c:pt idx="686">
                  <c:v>0</c:v>
                </c:pt>
                <c:pt idx="687">
                  <c:v>2</c:v>
                </c:pt>
                <c:pt idx="688">
                  <c:v>1</c:v>
                </c:pt>
                <c:pt idx="689">
                  <c:v>0</c:v>
                </c:pt>
                <c:pt idx="690">
                  <c:v>1</c:v>
                </c:pt>
                <c:pt idx="691">
                  <c:v>2</c:v>
                </c:pt>
                <c:pt idx="692">
                  <c:v>0</c:v>
                </c:pt>
                <c:pt idx="693">
                  <c:v>1</c:v>
                </c:pt>
                <c:pt idx="694">
                  <c:v>0</c:v>
                </c:pt>
                <c:pt idx="695">
                  <c:v>1</c:v>
                </c:pt>
                <c:pt idx="696">
                  <c:v>0</c:v>
                </c:pt>
                <c:pt idx="697">
                  <c:v>0</c:v>
                </c:pt>
                <c:pt idx="698">
                  <c:v>0</c:v>
                </c:pt>
                <c:pt idx="699">
                  <c:v>0</c:v>
                </c:pt>
                <c:pt idx="700">
                  <c:v>0</c:v>
                </c:pt>
                <c:pt idx="701">
                  <c:v>0</c:v>
                </c:pt>
                <c:pt idx="702">
                  <c:v>0</c:v>
                </c:pt>
                <c:pt idx="703">
                  <c:v>1</c:v>
                </c:pt>
                <c:pt idx="704">
                  <c:v>1</c:v>
                </c:pt>
                <c:pt idx="705">
                  <c:v>0</c:v>
                </c:pt>
                <c:pt idx="706">
                  <c:v>0</c:v>
                </c:pt>
                <c:pt idx="707">
                  <c:v>0</c:v>
                </c:pt>
                <c:pt idx="708">
                  <c:v>1</c:v>
                </c:pt>
                <c:pt idx="709">
                  <c:v>0</c:v>
                </c:pt>
                <c:pt idx="710">
                  <c:v>0</c:v>
                </c:pt>
                <c:pt idx="711">
                  <c:v>0</c:v>
                </c:pt>
                <c:pt idx="712">
                  <c:v>1</c:v>
                </c:pt>
                <c:pt idx="713">
                  <c:v>1</c:v>
                </c:pt>
                <c:pt idx="714">
                  <c:v>0</c:v>
                </c:pt>
                <c:pt idx="715">
                  <c:v>1</c:v>
                </c:pt>
                <c:pt idx="716">
                  <c:v>0</c:v>
                </c:pt>
                <c:pt idx="717">
                  <c:v>0</c:v>
                </c:pt>
                <c:pt idx="718">
                  <c:v>0</c:v>
                </c:pt>
                <c:pt idx="719">
                  <c:v>0</c:v>
                </c:pt>
                <c:pt idx="720">
                  <c:v>0</c:v>
                </c:pt>
                <c:pt idx="721">
                  <c:v>0</c:v>
                </c:pt>
                <c:pt idx="722">
                  <c:v>0</c:v>
                </c:pt>
                <c:pt idx="723">
                  <c:v>0</c:v>
                </c:pt>
                <c:pt idx="724">
                  <c:v>0</c:v>
                </c:pt>
                <c:pt idx="725">
                  <c:v>0</c:v>
                </c:pt>
                <c:pt idx="726">
                  <c:v>0</c:v>
                </c:pt>
                <c:pt idx="727">
                  <c:v>0</c:v>
                </c:pt>
                <c:pt idx="728">
                  <c:v>0</c:v>
                </c:pt>
                <c:pt idx="729">
                  <c:v>0</c:v>
                </c:pt>
                <c:pt idx="730">
                  <c:v>0</c:v>
                </c:pt>
                <c:pt idx="731">
                  <c:v>0</c:v>
                </c:pt>
                <c:pt idx="732">
                  <c:v>2</c:v>
                </c:pt>
                <c:pt idx="733">
                  <c:v>0</c:v>
                </c:pt>
                <c:pt idx="734">
                  <c:v>0</c:v>
                </c:pt>
                <c:pt idx="735">
                  <c:v>0</c:v>
                </c:pt>
                <c:pt idx="736">
                  <c:v>0</c:v>
                </c:pt>
                <c:pt idx="737">
                  <c:v>0</c:v>
                </c:pt>
                <c:pt idx="738">
                  <c:v>0</c:v>
                </c:pt>
                <c:pt idx="739">
                  <c:v>0</c:v>
                </c:pt>
                <c:pt idx="740">
                  <c:v>1</c:v>
                </c:pt>
                <c:pt idx="741">
                  <c:v>0</c:v>
                </c:pt>
                <c:pt idx="742">
                  <c:v>0</c:v>
                </c:pt>
                <c:pt idx="743">
                  <c:v>0</c:v>
                </c:pt>
                <c:pt idx="744">
                  <c:v>1</c:v>
                </c:pt>
                <c:pt idx="745">
                  <c:v>1</c:v>
                </c:pt>
                <c:pt idx="746">
                  <c:v>1</c:v>
                </c:pt>
                <c:pt idx="747">
                  <c:v>0</c:v>
                </c:pt>
                <c:pt idx="748">
                  <c:v>1</c:v>
                </c:pt>
                <c:pt idx="749">
                  <c:v>0</c:v>
                </c:pt>
                <c:pt idx="750">
                  <c:v>0</c:v>
                </c:pt>
                <c:pt idx="751">
                  <c:v>1</c:v>
                </c:pt>
                <c:pt idx="752">
                  <c:v>0</c:v>
                </c:pt>
                <c:pt idx="753">
                  <c:v>0</c:v>
                </c:pt>
                <c:pt idx="754">
                  <c:v>0</c:v>
                </c:pt>
                <c:pt idx="755">
                  <c:v>0</c:v>
                </c:pt>
                <c:pt idx="756">
                  <c:v>0</c:v>
                </c:pt>
                <c:pt idx="757">
                  <c:v>1</c:v>
                </c:pt>
                <c:pt idx="758">
                  <c:v>0</c:v>
                </c:pt>
                <c:pt idx="759">
                  <c:v>0</c:v>
                </c:pt>
                <c:pt idx="760">
                  <c:v>0</c:v>
                </c:pt>
                <c:pt idx="761">
                  <c:v>1</c:v>
                </c:pt>
                <c:pt idx="762">
                  <c:v>0</c:v>
                </c:pt>
                <c:pt idx="763">
                  <c:v>0</c:v>
                </c:pt>
                <c:pt idx="764">
                  <c:v>1</c:v>
                </c:pt>
                <c:pt idx="765">
                  <c:v>0</c:v>
                </c:pt>
                <c:pt idx="766">
                  <c:v>0</c:v>
                </c:pt>
                <c:pt idx="767">
                  <c:v>0</c:v>
                </c:pt>
                <c:pt idx="768">
                  <c:v>0</c:v>
                </c:pt>
                <c:pt idx="769">
                  <c:v>1</c:v>
                </c:pt>
                <c:pt idx="770">
                  <c:v>1</c:v>
                </c:pt>
                <c:pt idx="771">
                  <c:v>0</c:v>
                </c:pt>
                <c:pt idx="772">
                  <c:v>2</c:v>
                </c:pt>
                <c:pt idx="773">
                  <c:v>0</c:v>
                </c:pt>
                <c:pt idx="774">
                  <c:v>0</c:v>
                </c:pt>
                <c:pt idx="775">
                  <c:v>0</c:v>
                </c:pt>
                <c:pt idx="776">
                  <c:v>0</c:v>
                </c:pt>
                <c:pt idx="777">
                  <c:v>1</c:v>
                </c:pt>
                <c:pt idx="778">
                  <c:v>0</c:v>
                </c:pt>
                <c:pt idx="779">
                  <c:v>0</c:v>
                </c:pt>
                <c:pt idx="780">
                  <c:v>0</c:v>
                </c:pt>
                <c:pt idx="781">
                  <c:v>0</c:v>
                </c:pt>
                <c:pt idx="782">
                  <c:v>0</c:v>
                </c:pt>
                <c:pt idx="783">
                  <c:v>0</c:v>
                </c:pt>
                <c:pt idx="784">
                  <c:v>2</c:v>
                </c:pt>
                <c:pt idx="785">
                  <c:v>0</c:v>
                </c:pt>
                <c:pt idx="786">
                  <c:v>0</c:v>
                </c:pt>
                <c:pt idx="787">
                  <c:v>0</c:v>
                </c:pt>
                <c:pt idx="788">
                  <c:v>1</c:v>
                </c:pt>
                <c:pt idx="789">
                  <c:v>0</c:v>
                </c:pt>
                <c:pt idx="790">
                  <c:v>0</c:v>
                </c:pt>
                <c:pt idx="791">
                  <c:v>1</c:v>
                </c:pt>
                <c:pt idx="792">
                  <c:v>0</c:v>
                </c:pt>
                <c:pt idx="793">
                  <c:v>1</c:v>
                </c:pt>
                <c:pt idx="794">
                  <c:v>0</c:v>
                </c:pt>
                <c:pt idx="795">
                  <c:v>0</c:v>
                </c:pt>
                <c:pt idx="796">
                  <c:v>0</c:v>
                </c:pt>
                <c:pt idx="797">
                  <c:v>0</c:v>
                </c:pt>
                <c:pt idx="798">
                  <c:v>1</c:v>
                </c:pt>
                <c:pt idx="799">
                  <c:v>0</c:v>
                </c:pt>
                <c:pt idx="800">
                  <c:v>0</c:v>
                </c:pt>
                <c:pt idx="801">
                  <c:v>0</c:v>
                </c:pt>
                <c:pt idx="802">
                  <c:v>0</c:v>
                </c:pt>
                <c:pt idx="803">
                  <c:v>0</c:v>
                </c:pt>
                <c:pt idx="804">
                  <c:v>0</c:v>
                </c:pt>
                <c:pt idx="805">
                  <c:v>2</c:v>
                </c:pt>
                <c:pt idx="806">
                  <c:v>0</c:v>
                </c:pt>
                <c:pt idx="807">
                  <c:v>1</c:v>
                </c:pt>
                <c:pt idx="808">
                  <c:v>1</c:v>
                </c:pt>
                <c:pt idx="809">
                  <c:v>0</c:v>
                </c:pt>
                <c:pt idx="810">
                  <c:v>0</c:v>
                </c:pt>
                <c:pt idx="811">
                  <c:v>0</c:v>
                </c:pt>
                <c:pt idx="812">
                  <c:v>0</c:v>
                </c:pt>
                <c:pt idx="813">
                  <c:v>0</c:v>
                </c:pt>
                <c:pt idx="814">
                  <c:v>0</c:v>
                </c:pt>
                <c:pt idx="815">
                  <c:v>0</c:v>
                </c:pt>
                <c:pt idx="816">
                  <c:v>0</c:v>
                </c:pt>
                <c:pt idx="817">
                  <c:v>0</c:v>
                </c:pt>
                <c:pt idx="818">
                  <c:v>0</c:v>
                </c:pt>
                <c:pt idx="819">
                  <c:v>2</c:v>
                </c:pt>
                <c:pt idx="820">
                  <c:v>0</c:v>
                </c:pt>
                <c:pt idx="821">
                  <c:v>0</c:v>
                </c:pt>
                <c:pt idx="822">
                  <c:v>0</c:v>
                </c:pt>
                <c:pt idx="823">
                  <c:v>0</c:v>
                </c:pt>
                <c:pt idx="824">
                  <c:v>0</c:v>
                </c:pt>
                <c:pt idx="825">
                  <c:v>0</c:v>
                </c:pt>
                <c:pt idx="826">
                  <c:v>0</c:v>
                </c:pt>
                <c:pt idx="827">
                  <c:v>0</c:v>
                </c:pt>
                <c:pt idx="828">
                  <c:v>0</c:v>
                </c:pt>
                <c:pt idx="829">
                  <c:v>1</c:v>
                </c:pt>
                <c:pt idx="830">
                  <c:v>0</c:v>
                </c:pt>
                <c:pt idx="831">
                  <c:v>0</c:v>
                </c:pt>
                <c:pt idx="832">
                  <c:v>0</c:v>
                </c:pt>
                <c:pt idx="833">
                  <c:v>0</c:v>
                </c:pt>
                <c:pt idx="834">
                  <c:v>0</c:v>
                </c:pt>
                <c:pt idx="835">
                  <c:v>0</c:v>
                </c:pt>
                <c:pt idx="836">
                  <c:v>0</c:v>
                </c:pt>
                <c:pt idx="837">
                  <c:v>0</c:v>
                </c:pt>
                <c:pt idx="838">
                  <c:v>1</c:v>
                </c:pt>
                <c:pt idx="839">
                  <c:v>0</c:v>
                </c:pt>
                <c:pt idx="840">
                  <c:v>0</c:v>
                </c:pt>
                <c:pt idx="841">
                  <c:v>0</c:v>
                </c:pt>
                <c:pt idx="842">
                  <c:v>0</c:v>
                </c:pt>
                <c:pt idx="843">
                  <c:v>0</c:v>
                </c:pt>
                <c:pt idx="844">
                  <c:v>0</c:v>
                </c:pt>
                <c:pt idx="845">
                  <c:v>1</c:v>
                </c:pt>
                <c:pt idx="846">
                  <c:v>0</c:v>
                </c:pt>
                <c:pt idx="847">
                  <c:v>0</c:v>
                </c:pt>
                <c:pt idx="848">
                  <c:v>0</c:v>
                </c:pt>
                <c:pt idx="849">
                  <c:v>0</c:v>
                </c:pt>
                <c:pt idx="850">
                  <c:v>0</c:v>
                </c:pt>
                <c:pt idx="851">
                  <c:v>0</c:v>
                </c:pt>
                <c:pt idx="852">
                  <c:v>0</c:v>
                </c:pt>
                <c:pt idx="853">
                  <c:v>0</c:v>
                </c:pt>
                <c:pt idx="854">
                  <c:v>0</c:v>
                </c:pt>
                <c:pt idx="855">
                  <c:v>1</c:v>
                </c:pt>
                <c:pt idx="856">
                  <c:v>1</c:v>
                </c:pt>
                <c:pt idx="857">
                  <c:v>0</c:v>
                </c:pt>
                <c:pt idx="858">
                  <c:v>0</c:v>
                </c:pt>
                <c:pt idx="859">
                  <c:v>0</c:v>
                </c:pt>
                <c:pt idx="860">
                  <c:v>0</c:v>
                </c:pt>
                <c:pt idx="861">
                  <c:v>0</c:v>
                </c:pt>
                <c:pt idx="862">
                  <c:v>0</c:v>
                </c:pt>
                <c:pt idx="863">
                  <c:v>1</c:v>
                </c:pt>
                <c:pt idx="864">
                  <c:v>0</c:v>
                </c:pt>
                <c:pt idx="865">
                  <c:v>0</c:v>
                </c:pt>
                <c:pt idx="866">
                  <c:v>0</c:v>
                </c:pt>
                <c:pt idx="867">
                  <c:v>0</c:v>
                </c:pt>
                <c:pt idx="868">
                  <c:v>0</c:v>
                </c:pt>
                <c:pt idx="869">
                  <c:v>0</c:v>
                </c:pt>
                <c:pt idx="870">
                  <c:v>0</c:v>
                </c:pt>
                <c:pt idx="871">
                  <c:v>0</c:v>
                </c:pt>
                <c:pt idx="872">
                  <c:v>0</c:v>
                </c:pt>
                <c:pt idx="873">
                  <c:v>0</c:v>
                </c:pt>
                <c:pt idx="874">
                  <c:v>0</c:v>
                </c:pt>
                <c:pt idx="875">
                  <c:v>1</c:v>
                </c:pt>
                <c:pt idx="876">
                  <c:v>0</c:v>
                </c:pt>
                <c:pt idx="877">
                  <c:v>0</c:v>
                </c:pt>
                <c:pt idx="878">
                  <c:v>0</c:v>
                </c:pt>
                <c:pt idx="879">
                  <c:v>0</c:v>
                </c:pt>
                <c:pt idx="880">
                  <c:v>0</c:v>
                </c:pt>
                <c:pt idx="881">
                  <c:v>0</c:v>
                </c:pt>
                <c:pt idx="882">
                  <c:v>0</c:v>
                </c:pt>
                <c:pt idx="883">
                  <c:v>0</c:v>
                </c:pt>
                <c:pt idx="884">
                  <c:v>0</c:v>
                </c:pt>
                <c:pt idx="885">
                  <c:v>0</c:v>
                </c:pt>
                <c:pt idx="886">
                  <c:v>0</c:v>
                </c:pt>
                <c:pt idx="887">
                  <c:v>0</c:v>
                </c:pt>
                <c:pt idx="888">
                  <c:v>0</c:v>
                </c:pt>
                <c:pt idx="889">
                  <c:v>0</c:v>
                </c:pt>
                <c:pt idx="890">
                  <c:v>1</c:v>
                </c:pt>
                <c:pt idx="891">
                  <c:v>0</c:v>
                </c:pt>
                <c:pt idx="892">
                  <c:v>1</c:v>
                </c:pt>
                <c:pt idx="893">
                  <c:v>0</c:v>
                </c:pt>
                <c:pt idx="894">
                  <c:v>0</c:v>
                </c:pt>
                <c:pt idx="895">
                  <c:v>0</c:v>
                </c:pt>
                <c:pt idx="896">
                  <c:v>1</c:v>
                </c:pt>
                <c:pt idx="897">
                  <c:v>0</c:v>
                </c:pt>
                <c:pt idx="898">
                  <c:v>0</c:v>
                </c:pt>
                <c:pt idx="899">
                  <c:v>0</c:v>
                </c:pt>
                <c:pt idx="900">
                  <c:v>0</c:v>
                </c:pt>
                <c:pt idx="901">
                  <c:v>0</c:v>
                </c:pt>
                <c:pt idx="902">
                  <c:v>0</c:v>
                </c:pt>
                <c:pt idx="903">
                  <c:v>0</c:v>
                </c:pt>
                <c:pt idx="904">
                  <c:v>0</c:v>
                </c:pt>
                <c:pt idx="905">
                  <c:v>0</c:v>
                </c:pt>
                <c:pt idx="906">
                  <c:v>0</c:v>
                </c:pt>
                <c:pt idx="907">
                  <c:v>0</c:v>
                </c:pt>
                <c:pt idx="908">
                  <c:v>0</c:v>
                </c:pt>
                <c:pt idx="909">
                  <c:v>0</c:v>
                </c:pt>
                <c:pt idx="910">
                  <c:v>0</c:v>
                </c:pt>
                <c:pt idx="911">
                  <c:v>0</c:v>
                </c:pt>
                <c:pt idx="912">
                  <c:v>0</c:v>
                </c:pt>
                <c:pt idx="913">
                  <c:v>1</c:v>
                </c:pt>
                <c:pt idx="914">
                  <c:v>1</c:v>
                </c:pt>
                <c:pt idx="915">
                  <c:v>0</c:v>
                </c:pt>
                <c:pt idx="916">
                  <c:v>1</c:v>
                </c:pt>
                <c:pt idx="917">
                  <c:v>0</c:v>
                </c:pt>
                <c:pt idx="918">
                  <c:v>0</c:v>
                </c:pt>
                <c:pt idx="919">
                  <c:v>1</c:v>
                </c:pt>
                <c:pt idx="920">
                  <c:v>0</c:v>
                </c:pt>
                <c:pt idx="921">
                  <c:v>0</c:v>
                </c:pt>
                <c:pt idx="922">
                  <c:v>0</c:v>
                </c:pt>
                <c:pt idx="923">
                  <c:v>0</c:v>
                </c:pt>
                <c:pt idx="924">
                  <c:v>1</c:v>
                </c:pt>
                <c:pt idx="925">
                  <c:v>0</c:v>
                </c:pt>
                <c:pt idx="926">
                  <c:v>0</c:v>
                </c:pt>
                <c:pt idx="927">
                  <c:v>0</c:v>
                </c:pt>
                <c:pt idx="928">
                  <c:v>0</c:v>
                </c:pt>
                <c:pt idx="929">
                  <c:v>0</c:v>
                </c:pt>
                <c:pt idx="930">
                  <c:v>0</c:v>
                </c:pt>
                <c:pt idx="931">
                  <c:v>0</c:v>
                </c:pt>
                <c:pt idx="932">
                  <c:v>0</c:v>
                </c:pt>
                <c:pt idx="933">
                  <c:v>0</c:v>
                </c:pt>
                <c:pt idx="934">
                  <c:v>0</c:v>
                </c:pt>
                <c:pt idx="935">
                  <c:v>0</c:v>
                </c:pt>
                <c:pt idx="936">
                  <c:v>0</c:v>
                </c:pt>
                <c:pt idx="937">
                  <c:v>0</c:v>
                </c:pt>
                <c:pt idx="938">
                  <c:v>0</c:v>
                </c:pt>
                <c:pt idx="939">
                  <c:v>1</c:v>
                </c:pt>
                <c:pt idx="940">
                  <c:v>0</c:v>
                </c:pt>
                <c:pt idx="941">
                  <c:v>0</c:v>
                </c:pt>
                <c:pt idx="942">
                  <c:v>1</c:v>
                </c:pt>
                <c:pt idx="943">
                  <c:v>0</c:v>
                </c:pt>
                <c:pt idx="944">
                  <c:v>0</c:v>
                </c:pt>
                <c:pt idx="945">
                  <c:v>0</c:v>
                </c:pt>
                <c:pt idx="946">
                  <c:v>0</c:v>
                </c:pt>
                <c:pt idx="947">
                  <c:v>0</c:v>
                </c:pt>
                <c:pt idx="948">
                  <c:v>0</c:v>
                </c:pt>
                <c:pt idx="949">
                  <c:v>0</c:v>
                </c:pt>
                <c:pt idx="950">
                  <c:v>0</c:v>
                </c:pt>
                <c:pt idx="951">
                  <c:v>0</c:v>
                </c:pt>
                <c:pt idx="952">
                  <c:v>0</c:v>
                </c:pt>
                <c:pt idx="953">
                  <c:v>1</c:v>
                </c:pt>
                <c:pt idx="954">
                  <c:v>0</c:v>
                </c:pt>
                <c:pt idx="955">
                  <c:v>0</c:v>
                </c:pt>
                <c:pt idx="956">
                  <c:v>0</c:v>
                </c:pt>
                <c:pt idx="957">
                  <c:v>0</c:v>
                </c:pt>
                <c:pt idx="958">
                  <c:v>0</c:v>
                </c:pt>
                <c:pt idx="959">
                  <c:v>0</c:v>
                </c:pt>
                <c:pt idx="960">
                  <c:v>0</c:v>
                </c:pt>
                <c:pt idx="961">
                  <c:v>1</c:v>
                </c:pt>
                <c:pt idx="962">
                  <c:v>0</c:v>
                </c:pt>
                <c:pt idx="963">
                  <c:v>0</c:v>
                </c:pt>
                <c:pt idx="964">
                  <c:v>0</c:v>
                </c:pt>
                <c:pt idx="965">
                  <c:v>0</c:v>
                </c:pt>
                <c:pt idx="966">
                  <c:v>0</c:v>
                </c:pt>
                <c:pt idx="967">
                  <c:v>0</c:v>
                </c:pt>
                <c:pt idx="968">
                  <c:v>0</c:v>
                </c:pt>
                <c:pt idx="969">
                  <c:v>0</c:v>
                </c:pt>
                <c:pt idx="970">
                  <c:v>0</c:v>
                </c:pt>
                <c:pt idx="971">
                  <c:v>0</c:v>
                </c:pt>
                <c:pt idx="972">
                  <c:v>0</c:v>
                </c:pt>
                <c:pt idx="973">
                  <c:v>0</c:v>
                </c:pt>
                <c:pt idx="974">
                  <c:v>0</c:v>
                </c:pt>
                <c:pt idx="975">
                  <c:v>0</c:v>
                </c:pt>
                <c:pt idx="976">
                  <c:v>0</c:v>
                </c:pt>
                <c:pt idx="977">
                  <c:v>0</c:v>
                </c:pt>
                <c:pt idx="978">
                  <c:v>0</c:v>
                </c:pt>
                <c:pt idx="979">
                  <c:v>0</c:v>
                </c:pt>
                <c:pt idx="980">
                  <c:v>0</c:v>
                </c:pt>
                <c:pt idx="981">
                  <c:v>0</c:v>
                </c:pt>
                <c:pt idx="982">
                  <c:v>0</c:v>
                </c:pt>
                <c:pt idx="983">
                  <c:v>0</c:v>
                </c:pt>
                <c:pt idx="984">
                  <c:v>0</c:v>
                </c:pt>
                <c:pt idx="985">
                  <c:v>0</c:v>
                </c:pt>
                <c:pt idx="986">
                  <c:v>0</c:v>
                </c:pt>
                <c:pt idx="987">
                  <c:v>0</c:v>
                </c:pt>
                <c:pt idx="988">
                  <c:v>0</c:v>
                </c:pt>
                <c:pt idx="989">
                  <c:v>0</c:v>
                </c:pt>
                <c:pt idx="990">
                  <c:v>0</c:v>
                </c:pt>
                <c:pt idx="991">
                  <c:v>0</c:v>
                </c:pt>
                <c:pt idx="992">
                  <c:v>0</c:v>
                </c:pt>
                <c:pt idx="993">
                  <c:v>0</c:v>
                </c:pt>
                <c:pt idx="994">
                  <c:v>0</c:v>
                </c:pt>
                <c:pt idx="995">
                  <c:v>0</c:v>
                </c:pt>
                <c:pt idx="996">
                  <c:v>0</c:v>
                </c:pt>
                <c:pt idx="997">
                  <c:v>0</c:v>
                </c:pt>
                <c:pt idx="998">
                  <c:v>0</c:v>
                </c:pt>
                <c:pt idx="999">
                  <c:v>0</c:v>
                </c:pt>
                <c:pt idx="1000">
                  <c:v>0</c:v>
                </c:pt>
              </c:numCache>
            </c:numRef>
          </c:yVal>
          <c:smooth val="0"/>
          <c:extLst>
            <c:ext xmlns:c16="http://schemas.microsoft.com/office/drawing/2014/chart" uri="{C3380CC4-5D6E-409C-BE32-E72D297353CC}">
              <c16:uniqueId val="{00000000-665F-49A8-86F0-7840CF079DC7}"/>
            </c:ext>
          </c:extLst>
        </c:ser>
        <c:ser>
          <c:idx val="1"/>
          <c:order val="1"/>
          <c:tx>
            <c:strRef>
              <c:f>'Annex D'!$N$1</c:f>
              <c:strCache>
                <c:ptCount val="1"/>
                <c:pt idx="0">
                  <c:v>Average</c:v>
                </c:pt>
              </c:strCache>
            </c:strRef>
          </c:tx>
          <c:spPr>
            <a:ln w="28800">
              <a:noFill/>
            </a:ln>
          </c:spPr>
          <c:marker>
            <c:symbol val="diamond"/>
            <c:size val="2"/>
            <c:spPr>
              <a:solidFill>
                <a:srgbClr val="FF420E"/>
              </a:solidFill>
            </c:spPr>
          </c:marker>
          <c:dLbls>
            <c:spPr>
              <a:noFill/>
              <a:ln>
                <a:noFill/>
              </a:ln>
              <a:effectLst/>
            </c:spPr>
            <c:txPr>
              <a:bodyPr wrap="square"/>
              <a:lstStyle/>
              <a:p>
                <a:pPr>
                  <a:defRPr sz="1000" b="0" strike="noStrike" spc="-1">
                    <a:solidFill>
                      <a:srgbClr val="000000"/>
                    </a:solidFill>
                    <a:latin typeface="Arial"/>
                    <a:ea typeface="DejaVu Sans"/>
                  </a:defRPr>
                </a:pPr>
                <a:endParaRPr lang="en-US"/>
              </a:p>
            </c:txPr>
            <c:dLblPos val="r"/>
            <c:showLegendKey val="0"/>
            <c:showVal val="0"/>
            <c:showCatName val="0"/>
            <c:showSerName val="0"/>
            <c:showPercent val="0"/>
            <c:showBubbleSize val="1"/>
            <c:separator>; </c:separator>
            <c:showLeaderLines val="0"/>
            <c:extLst>
              <c:ext xmlns:c15="http://schemas.microsoft.com/office/drawing/2012/chart" uri="{CE6537A1-D6FC-4f65-9D91-7224C49458BB}">
                <c15:showLeaderLines val="0"/>
              </c:ext>
            </c:extLst>
          </c:dLbls>
          <c:xVal>
            <c:numRef>
              <c:f>'Annex D'!$L$2:$L$1002</c:f>
              <c:numCache>
                <c:formatCode>General</c:formatCode>
                <c:ptCount val="100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pt idx="101">
                  <c:v>101</c:v>
                </c:pt>
                <c:pt idx="102">
                  <c:v>102</c:v>
                </c:pt>
                <c:pt idx="103">
                  <c:v>103</c:v>
                </c:pt>
                <c:pt idx="104">
                  <c:v>104</c:v>
                </c:pt>
                <c:pt idx="105">
                  <c:v>105</c:v>
                </c:pt>
                <c:pt idx="106">
                  <c:v>106</c:v>
                </c:pt>
                <c:pt idx="107">
                  <c:v>107</c:v>
                </c:pt>
                <c:pt idx="108">
                  <c:v>108</c:v>
                </c:pt>
                <c:pt idx="109">
                  <c:v>109</c:v>
                </c:pt>
                <c:pt idx="110">
                  <c:v>110</c:v>
                </c:pt>
                <c:pt idx="111">
                  <c:v>111</c:v>
                </c:pt>
                <c:pt idx="112">
                  <c:v>112</c:v>
                </c:pt>
                <c:pt idx="113">
                  <c:v>113</c:v>
                </c:pt>
                <c:pt idx="114">
                  <c:v>114</c:v>
                </c:pt>
                <c:pt idx="115">
                  <c:v>115</c:v>
                </c:pt>
                <c:pt idx="116">
                  <c:v>116</c:v>
                </c:pt>
                <c:pt idx="117">
                  <c:v>117</c:v>
                </c:pt>
                <c:pt idx="118">
                  <c:v>118</c:v>
                </c:pt>
                <c:pt idx="119">
                  <c:v>119</c:v>
                </c:pt>
                <c:pt idx="120">
                  <c:v>120</c:v>
                </c:pt>
                <c:pt idx="121">
                  <c:v>121</c:v>
                </c:pt>
                <c:pt idx="122">
                  <c:v>122</c:v>
                </c:pt>
                <c:pt idx="123">
                  <c:v>123</c:v>
                </c:pt>
                <c:pt idx="124">
                  <c:v>124</c:v>
                </c:pt>
                <c:pt idx="125">
                  <c:v>125</c:v>
                </c:pt>
                <c:pt idx="126">
                  <c:v>126</c:v>
                </c:pt>
                <c:pt idx="127">
                  <c:v>127</c:v>
                </c:pt>
                <c:pt idx="128">
                  <c:v>128</c:v>
                </c:pt>
                <c:pt idx="129">
                  <c:v>129</c:v>
                </c:pt>
                <c:pt idx="130">
                  <c:v>130</c:v>
                </c:pt>
                <c:pt idx="131">
                  <c:v>131</c:v>
                </c:pt>
                <c:pt idx="132">
                  <c:v>132</c:v>
                </c:pt>
                <c:pt idx="133">
                  <c:v>133</c:v>
                </c:pt>
                <c:pt idx="134">
                  <c:v>134</c:v>
                </c:pt>
                <c:pt idx="135">
                  <c:v>135</c:v>
                </c:pt>
                <c:pt idx="136">
                  <c:v>136</c:v>
                </c:pt>
                <c:pt idx="137">
                  <c:v>137</c:v>
                </c:pt>
                <c:pt idx="138">
                  <c:v>138</c:v>
                </c:pt>
                <c:pt idx="139">
                  <c:v>139</c:v>
                </c:pt>
                <c:pt idx="140">
                  <c:v>140</c:v>
                </c:pt>
                <c:pt idx="141">
                  <c:v>141</c:v>
                </c:pt>
                <c:pt idx="142">
                  <c:v>142</c:v>
                </c:pt>
                <c:pt idx="143">
                  <c:v>143</c:v>
                </c:pt>
                <c:pt idx="144">
                  <c:v>144</c:v>
                </c:pt>
                <c:pt idx="145">
                  <c:v>145</c:v>
                </c:pt>
                <c:pt idx="146">
                  <c:v>146</c:v>
                </c:pt>
                <c:pt idx="147">
                  <c:v>147</c:v>
                </c:pt>
                <c:pt idx="148">
                  <c:v>148</c:v>
                </c:pt>
                <c:pt idx="149">
                  <c:v>149</c:v>
                </c:pt>
                <c:pt idx="150">
                  <c:v>150</c:v>
                </c:pt>
                <c:pt idx="151">
                  <c:v>151</c:v>
                </c:pt>
                <c:pt idx="152">
                  <c:v>152</c:v>
                </c:pt>
                <c:pt idx="153">
                  <c:v>153</c:v>
                </c:pt>
                <c:pt idx="154">
                  <c:v>154</c:v>
                </c:pt>
                <c:pt idx="155">
                  <c:v>155</c:v>
                </c:pt>
                <c:pt idx="156">
                  <c:v>156</c:v>
                </c:pt>
                <c:pt idx="157">
                  <c:v>157</c:v>
                </c:pt>
                <c:pt idx="158">
                  <c:v>158</c:v>
                </c:pt>
                <c:pt idx="159">
                  <c:v>159</c:v>
                </c:pt>
                <c:pt idx="160">
                  <c:v>160</c:v>
                </c:pt>
                <c:pt idx="161">
                  <c:v>161</c:v>
                </c:pt>
                <c:pt idx="162">
                  <c:v>162</c:v>
                </c:pt>
                <c:pt idx="163">
                  <c:v>163</c:v>
                </c:pt>
                <c:pt idx="164">
                  <c:v>164</c:v>
                </c:pt>
                <c:pt idx="165">
                  <c:v>165</c:v>
                </c:pt>
                <c:pt idx="166">
                  <c:v>166</c:v>
                </c:pt>
                <c:pt idx="167">
                  <c:v>167</c:v>
                </c:pt>
                <c:pt idx="168">
                  <c:v>168</c:v>
                </c:pt>
                <c:pt idx="169">
                  <c:v>169</c:v>
                </c:pt>
                <c:pt idx="170">
                  <c:v>170</c:v>
                </c:pt>
                <c:pt idx="171">
                  <c:v>171</c:v>
                </c:pt>
                <c:pt idx="172">
                  <c:v>172</c:v>
                </c:pt>
                <c:pt idx="173">
                  <c:v>173</c:v>
                </c:pt>
                <c:pt idx="174">
                  <c:v>174</c:v>
                </c:pt>
                <c:pt idx="175">
                  <c:v>175</c:v>
                </c:pt>
                <c:pt idx="176">
                  <c:v>176</c:v>
                </c:pt>
                <c:pt idx="177">
                  <c:v>177</c:v>
                </c:pt>
                <c:pt idx="178">
                  <c:v>178</c:v>
                </c:pt>
                <c:pt idx="179">
                  <c:v>179</c:v>
                </c:pt>
                <c:pt idx="180">
                  <c:v>180</c:v>
                </c:pt>
                <c:pt idx="181">
                  <c:v>181</c:v>
                </c:pt>
                <c:pt idx="182">
                  <c:v>182</c:v>
                </c:pt>
                <c:pt idx="183">
                  <c:v>183</c:v>
                </c:pt>
                <c:pt idx="184">
                  <c:v>184</c:v>
                </c:pt>
                <c:pt idx="185">
                  <c:v>185</c:v>
                </c:pt>
                <c:pt idx="186">
                  <c:v>186</c:v>
                </c:pt>
                <c:pt idx="187">
                  <c:v>187</c:v>
                </c:pt>
                <c:pt idx="188">
                  <c:v>188</c:v>
                </c:pt>
                <c:pt idx="189">
                  <c:v>189</c:v>
                </c:pt>
                <c:pt idx="190">
                  <c:v>190</c:v>
                </c:pt>
                <c:pt idx="191">
                  <c:v>191</c:v>
                </c:pt>
                <c:pt idx="192">
                  <c:v>192</c:v>
                </c:pt>
                <c:pt idx="193">
                  <c:v>193</c:v>
                </c:pt>
                <c:pt idx="194">
                  <c:v>194</c:v>
                </c:pt>
                <c:pt idx="195">
                  <c:v>195</c:v>
                </c:pt>
                <c:pt idx="196">
                  <c:v>196</c:v>
                </c:pt>
                <c:pt idx="197">
                  <c:v>197</c:v>
                </c:pt>
                <c:pt idx="198">
                  <c:v>198</c:v>
                </c:pt>
                <c:pt idx="199">
                  <c:v>199</c:v>
                </c:pt>
                <c:pt idx="200">
                  <c:v>200</c:v>
                </c:pt>
                <c:pt idx="201">
                  <c:v>201</c:v>
                </c:pt>
                <c:pt idx="202">
                  <c:v>202</c:v>
                </c:pt>
                <c:pt idx="203">
                  <c:v>203</c:v>
                </c:pt>
                <c:pt idx="204">
                  <c:v>204</c:v>
                </c:pt>
                <c:pt idx="205">
                  <c:v>205</c:v>
                </c:pt>
                <c:pt idx="206">
                  <c:v>206</c:v>
                </c:pt>
                <c:pt idx="207">
                  <c:v>207</c:v>
                </c:pt>
                <c:pt idx="208">
                  <c:v>208</c:v>
                </c:pt>
                <c:pt idx="209">
                  <c:v>209</c:v>
                </c:pt>
                <c:pt idx="210">
                  <c:v>210</c:v>
                </c:pt>
                <c:pt idx="211">
                  <c:v>211</c:v>
                </c:pt>
                <c:pt idx="212">
                  <c:v>212</c:v>
                </c:pt>
                <c:pt idx="213">
                  <c:v>213</c:v>
                </c:pt>
                <c:pt idx="214">
                  <c:v>214</c:v>
                </c:pt>
                <c:pt idx="215">
                  <c:v>215</c:v>
                </c:pt>
                <c:pt idx="216">
                  <c:v>216</c:v>
                </c:pt>
                <c:pt idx="217">
                  <c:v>217</c:v>
                </c:pt>
                <c:pt idx="218">
                  <c:v>218</c:v>
                </c:pt>
                <c:pt idx="219">
                  <c:v>219</c:v>
                </c:pt>
                <c:pt idx="220">
                  <c:v>220</c:v>
                </c:pt>
                <c:pt idx="221">
                  <c:v>221</c:v>
                </c:pt>
                <c:pt idx="222">
                  <c:v>222</c:v>
                </c:pt>
                <c:pt idx="223">
                  <c:v>223</c:v>
                </c:pt>
                <c:pt idx="224">
                  <c:v>224</c:v>
                </c:pt>
                <c:pt idx="225">
                  <c:v>225</c:v>
                </c:pt>
                <c:pt idx="226">
                  <c:v>226</c:v>
                </c:pt>
                <c:pt idx="227">
                  <c:v>227</c:v>
                </c:pt>
                <c:pt idx="228">
                  <c:v>228</c:v>
                </c:pt>
                <c:pt idx="229">
                  <c:v>229</c:v>
                </c:pt>
                <c:pt idx="230">
                  <c:v>230</c:v>
                </c:pt>
                <c:pt idx="231">
                  <c:v>231</c:v>
                </c:pt>
                <c:pt idx="232">
                  <c:v>232</c:v>
                </c:pt>
                <c:pt idx="233">
                  <c:v>233</c:v>
                </c:pt>
                <c:pt idx="234">
                  <c:v>234</c:v>
                </c:pt>
                <c:pt idx="235">
                  <c:v>235</c:v>
                </c:pt>
                <c:pt idx="236">
                  <c:v>236</c:v>
                </c:pt>
                <c:pt idx="237">
                  <c:v>237</c:v>
                </c:pt>
                <c:pt idx="238">
                  <c:v>238</c:v>
                </c:pt>
                <c:pt idx="239">
                  <c:v>239</c:v>
                </c:pt>
                <c:pt idx="240">
                  <c:v>240</c:v>
                </c:pt>
                <c:pt idx="241">
                  <c:v>241</c:v>
                </c:pt>
                <c:pt idx="242">
                  <c:v>242</c:v>
                </c:pt>
                <c:pt idx="243">
                  <c:v>243</c:v>
                </c:pt>
                <c:pt idx="244">
                  <c:v>244</c:v>
                </c:pt>
                <c:pt idx="245">
                  <c:v>245</c:v>
                </c:pt>
                <c:pt idx="246">
                  <c:v>246</c:v>
                </c:pt>
                <c:pt idx="247">
                  <c:v>247</c:v>
                </c:pt>
                <c:pt idx="248">
                  <c:v>248</c:v>
                </c:pt>
                <c:pt idx="249">
                  <c:v>249</c:v>
                </c:pt>
                <c:pt idx="250">
                  <c:v>250</c:v>
                </c:pt>
                <c:pt idx="251">
                  <c:v>251</c:v>
                </c:pt>
                <c:pt idx="252">
                  <c:v>252</c:v>
                </c:pt>
                <c:pt idx="253">
                  <c:v>253</c:v>
                </c:pt>
                <c:pt idx="254">
                  <c:v>254</c:v>
                </c:pt>
                <c:pt idx="255">
                  <c:v>255</c:v>
                </c:pt>
                <c:pt idx="256">
                  <c:v>256</c:v>
                </c:pt>
                <c:pt idx="257">
                  <c:v>257</c:v>
                </c:pt>
                <c:pt idx="258">
                  <c:v>258</c:v>
                </c:pt>
                <c:pt idx="259">
                  <c:v>259</c:v>
                </c:pt>
                <c:pt idx="260">
                  <c:v>260</c:v>
                </c:pt>
                <c:pt idx="261">
                  <c:v>261</c:v>
                </c:pt>
                <c:pt idx="262">
                  <c:v>262</c:v>
                </c:pt>
                <c:pt idx="263">
                  <c:v>263</c:v>
                </c:pt>
                <c:pt idx="264">
                  <c:v>264</c:v>
                </c:pt>
                <c:pt idx="265">
                  <c:v>265</c:v>
                </c:pt>
                <c:pt idx="266">
                  <c:v>266</c:v>
                </c:pt>
                <c:pt idx="267">
                  <c:v>267</c:v>
                </c:pt>
                <c:pt idx="268">
                  <c:v>268</c:v>
                </c:pt>
                <c:pt idx="269">
                  <c:v>269</c:v>
                </c:pt>
                <c:pt idx="270">
                  <c:v>270</c:v>
                </c:pt>
                <c:pt idx="271">
                  <c:v>271</c:v>
                </c:pt>
                <c:pt idx="272">
                  <c:v>272</c:v>
                </c:pt>
                <c:pt idx="273">
                  <c:v>273</c:v>
                </c:pt>
                <c:pt idx="274">
                  <c:v>274</c:v>
                </c:pt>
                <c:pt idx="275">
                  <c:v>275</c:v>
                </c:pt>
                <c:pt idx="276">
                  <c:v>276</c:v>
                </c:pt>
                <c:pt idx="277">
                  <c:v>277</c:v>
                </c:pt>
                <c:pt idx="278">
                  <c:v>278</c:v>
                </c:pt>
                <c:pt idx="279">
                  <c:v>279</c:v>
                </c:pt>
                <c:pt idx="280">
                  <c:v>280</c:v>
                </c:pt>
                <c:pt idx="281">
                  <c:v>281</c:v>
                </c:pt>
                <c:pt idx="282">
                  <c:v>282</c:v>
                </c:pt>
                <c:pt idx="283">
                  <c:v>283</c:v>
                </c:pt>
                <c:pt idx="284">
                  <c:v>284</c:v>
                </c:pt>
                <c:pt idx="285">
                  <c:v>285</c:v>
                </c:pt>
                <c:pt idx="286">
                  <c:v>286</c:v>
                </c:pt>
                <c:pt idx="287">
                  <c:v>287</c:v>
                </c:pt>
                <c:pt idx="288">
                  <c:v>288</c:v>
                </c:pt>
                <c:pt idx="289">
                  <c:v>289</c:v>
                </c:pt>
                <c:pt idx="290">
                  <c:v>290</c:v>
                </c:pt>
                <c:pt idx="291">
                  <c:v>291</c:v>
                </c:pt>
                <c:pt idx="292">
                  <c:v>292</c:v>
                </c:pt>
                <c:pt idx="293">
                  <c:v>293</c:v>
                </c:pt>
                <c:pt idx="294">
                  <c:v>294</c:v>
                </c:pt>
                <c:pt idx="295">
                  <c:v>295</c:v>
                </c:pt>
                <c:pt idx="296">
                  <c:v>296</c:v>
                </c:pt>
                <c:pt idx="297">
                  <c:v>297</c:v>
                </c:pt>
                <c:pt idx="298">
                  <c:v>298</c:v>
                </c:pt>
                <c:pt idx="299">
                  <c:v>299</c:v>
                </c:pt>
                <c:pt idx="300">
                  <c:v>300</c:v>
                </c:pt>
                <c:pt idx="301">
                  <c:v>301</c:v>
                </c:pt>
                <c:pt idx="302">
                  <c:v>302</c:v>
                </c:pt>
                <c:pt idx="303">
                  <c:v>303</c:v>
                </c:pt>
                <c:pt idx="304">
                  <c:v>304</c:v>
                </c:pt>
                <c:pt idx="305">
                  <c:v>305</c:v>
                </c:pt>
                <c:pt idx="306">
                  <c:v>306</c:v>
                </c:pt>
                <c:pt idx="307">
                  <c:v>307</c:v>
                </c:pt>
                <c:pt idx="308">
                  <c:v>308</c:v>
                </c:pt>
                <c:pt idx="309">
                  <c:v>309</c:v>
                </c:pt>
                <c:pt idx="310">
                  <c:v>310</c:v>
                </c:pt>
                <c:pt idx="311">
                  <c:v>311</c:v>
                </c:pt>
                <c:pt idx="312">
                  <c:v>312</c:v>
                </c:pt>
                <c:pt idx="313">
                  <c:v>313</c:v>
                </c:pt>
                <c:pt idx="314">
                  <c:v>314</c:v>
                </c:pt>
                <c:pt idx="315">
                  <c:v>315</c:v>
                </c:pt>
                <c:pt idx="316">
                  <c:v>316</c:v>
                </c:pt>
                <c:pt idx="317">
                  <c:v>317</c:v>
                </c:pt>
                <c:pt idx="318">
                  <c:v>318</c:v>
                </c:pt>
                <c:pt idx="319">
                  <c:v>319</c:v>
                </c:pt>
                <c:pt idx="320">
                  <c:v>320</c:v>
                </c:pt>
                <c:pt idx="321">
                  <c:v>321</c:v>
                </c:pt>
                <c:pt idx="322">
                  <c:v>322</c:v>
                </c:pt>
                <c:pt idx="323">
                  <c:v>323</c:v>
                </c:pt>
                <c:pt idx="324">
                  <c:v>324</c:v>
                </c:pt>
                <c:pt idx="325">
                  <c:v>325</c:v>
                </c:pt>
                <c:pt idx="326">
                  <c:v>326</c:v>
                </c:pt>
                <c:pt idx="327">
                  <c:v>327</c:v>
                </c:pt>
                <c:pt idx="328">
                  <c:v>328</c:v>
                </c:pt>
                <c:pt idx="329">
                  <c:v>329</c:v>
                </c:pt>
                <c:pt idx="330">
                  <c:v>330</c:v>
                </c:pt>
                <c:pt idx="331">
                  <c:v>331</c:v>
                </c:pt>
                <c:pt idx="332">
                  <c:v>332</c:v>
                </c:pt>
                <c:pt idx="333">
                  <c:v>333</c:v>
                </c:pt>
                <c:pt idx="334">
                  <c:v>334</c:v>
                </c:pt>
                <c:pt idx="335">
                  <c:v>335</c:v>
                </c:pt>
                <c:pt idx="336">
                  <c:v>336</c:v>
                </c:pt>
                <c:pt idx="337">
                  <c:v>337</c:v>
                </c:pt>
                <c:pt idx="338">
                  <c:v>338</c:v>
                </c:pt>
                <c:pt idx="339">
                  <c:v>339</c:v>
                </c:pt>
                <c:pt idx="340">
                  <c:v>340</c:v>
                </c:pt>
                <c:pt idx="341">
                  <c:v>341</c:v>
                </c:pt>
                <c:pt idx="342">
                  <c:v>342</c:v>
                </c:pt>
                <c:pt idx="343">
                  <c:v>343</c:v>
                </c:pt>
                <c:pt idx="344">
                  <c:v>344</c:v>
                </c:pt>
                <c:pt idx="345">
                  <c:v>345</c:v>
                </c:pt>
                <c:pt idx="346">
                  <c:v>346</c:v>
                </c:pt>
                <c:pt idx="347">
                  <c:v>347</c:v>
                </c:pt>
                <c:pt idx="348">
                  <c:v>348</c:v>
                </c:pt>
                <c:pt idx="349">
                  <c:v>349</c:v>
                </c:pt>
                <c:pt idx="350">
                  <c:v>350</c:v>
                </c:pt>
                <c:pt idx="351">
                  <c:v>351</c:v>
                </c:pt>
                <c:pt idx="352">
                  <c:v>352</c:v>
                </c:pt>
                <c:pt idx="353">
                  <c:v>353</c:v>
                </c:pt>
                <c:pt idx="354">
                  <c:v>354</c:v>
                </c:pt>
                <c:pt idx="355">
                  <c:v>355</c:v>
                </c:pt>
                <c:pt idx="356">
                  <c:v>356</c:v>
                </c:pt>
                <c:pt idx="357">
                  <c:v>357</c:v>
                </c:pt>
                <c:pt idx="358">
                  <c:v>358</c:v>
                </c:pt>
                <c:pt idx="359">
                  <c:v>359</c:v>
                </c:pt>
                <c:pt idx="360">
                  <c:v>360</c:v>
                </c:pt>
                <c:pt idx="361">
                  <c:v>361</c:v>
                </c:pt>
                <c:pt idx="362">
                  <c:v>362</c:v>
                </c:pt>
                <c:pt idx="363">
                  <c:v>363</c:v>
                </c:pt>
                <c:pt idx="364">
                  <c:v>364</c:v>
                </c:pt>
                <c:pt idx="365">
                  <c:v>365</c:v>
                </c:pt>
                <c:pt idx="366">
                  <c:v>366</c:v>
                </c:pt>
                <c:pt idx="367">
                  <c:v>367</c:v>
                </c:pt>
                <c:pt idx="368">
                  <c:v>368</c:v>
                </c:pt>
                <c:pt idx="369">
                  <c:v>369</c:v>
                </c:pt>
                <c:pt idx="370">
                  <c:v>370</c:v>
                </c:pt>
                <c:pt idx="371">
                  <c:v>371</c:v>
                </c:pt>
                <c:pt idx="372">
                  <c:v>372</c:v>
                </c:pt>
                <c:pt idx="373">
                  <c:v>373</c:v>
                </c:pt>
                <c:pt idx="374">
                  <c:v>374</c:v>
                </c:pt>
                <c:pt idx="375">
                  <c:v>375</c:v>
                </c:pt>
                <c:pt idx="376">
                  <c:v>376</c:v>
                </c:pt>
                <c:pt idx="377">
                  <c:v>377</c:v>
                </c:pt>
                <c:pt idx="378">
                  <c:v>378</c:v>
                </c:pt>
                <c:pt idx="379">
                  <c:v>379</c:v>
                </c:pt>
                <c:pt idx="380">
                  <c:v>380</c:v>
                </c:pt>
                <c:pt idx="381">
                  <c:v>381</c:v>
                </c:pt>
                <c:pt idx="382">
                  <c:v>382</c:v>
                </c:pt>
                <c:pt idx="383">
                  <c:v>383</c:v>
                </c:pt>
                <c:pt idx="384">
                  <c:v>384</c:v>
                </c:pt>
                <c:pt idx="385">
                  <c:v>385</c:v>
                </c:pt>
                <c:pt idx="386">
                  <c:v>386</c:v>
                </c:pt>
                <c:pt idx="387">
                  <c:v>387</c:v>
                </c:pt>
                <c:pt idx="388">
                  <c:v>388</c:v>
                </c:pt>
                <c:pt idx="389">
                  <c:v>389</c:v>
                </c:pt>
                <c:pt idx="390">
                  <c:v>390</c:v>
                </c:pt>
                <c:pt idx="391">
                  <c:v>391</c:v>
                </c:pt>
                <c:pt idx="392">
                  <c:v>392</c:v>
                </c:pt>
                <c:pt idx="393">
                  <c:v>393</c:v>
                </c:pt>
                <c:pt idx="394">
                  <c:v>394</c:v>
                </c:pt>
                <c:pt idx="395">
                  <c:v>395</c:v>
                </c:pt>
                <c:pt idx="396">
                  <c:v>396</c:v>
                </c:pt>
                <c:pt idx="397">
                  <c:v>397</c:v>
                </c:pt>
                <c:pt idx="398">
                  <c:v>398</c:v>
                </c:pt>
                <c:pt idx="399">
                  <c:v>399</c:v>
                </c:pt>
                <c:pt idx="400">
                  <c:v>400</c:v>
                </c:pt>
                <c:pt idx="401">
                  <c:v>401</c:v>
                </c:pt>
                <c:pt idx="402">
                  <c:v>402</c:v>
                </c:pt>
                <c:pt idx="403">
                  <c:v>403</c:v>
                </c:pt>
                <c:pt idx="404">
                  <c:v>404</c:v>
                </c:pt>
                <c:pt idx="405">
                  <c:v>405</c:v>
                </c:pt>
                <c:pt idx="406">
                  <c:v>406</c:v>
                </c:pt>
                <c:pt idx="407">
                  <c:v>407</c:v>
                </c:pt>
                <c:pt idx="408">
                  <c:v>408</c:v>
                </c:pt>
                <c:pt idx="409">
                  <c:v>409</c:v>
                </c:pt>
                <c:pt idx="410">
                  <c:v>410</c:v>
                </c:pt>
                <c:pt idx="411">
                  <c:v>411</c:v>
                </c:pt>
                <c:pt idx="412">
                  <c:v>412</c:v>
                </c:pt>
                <c:pt idx="413">
                  <c:v>413</c:v>
                </c:pt>
                <c:pt idx="414">
                  <c:v>414</c:v>
                </c:pt>
                <c:pt idx="415">
                  <c:v>415</c:v>
                </c:pt>
                <c:pt idx="416">
                  <c:v>416</c:v>
                </c:pt>
                <c:pt idx="417">
                  <c:v>417</c:v>
                </c:pt>
                <c:pt idx="418">
                  <c:v>418</c:v>
                </c:pt>
                <c:pt idx="419">
                  <c:v>419</c:v>
                </c:pt>
                <c:pt idx="420">
                  <c:v>420</c:v>
                </c:pt>
                <c:pt idx="421">
                  <c:v>421</c:v>
                </c:pt>
                <c:pt idx="422">
                  <c:v>422</c:v>
                </c:pt>
                <c:pt idx="423">
                  <c:v>423</c:v>
                </c:pt>
                <c:pt idx="424">
                  <c:v>424</c:v>
                </c:pt>
                <c:pt idx="425">
                  <c:v>425</c:v>
                </c:pt>
                <c:pt idx="426">
                  <c:v>426</c:v>
                </c:pt>
                <c:pt idx="427">
                  <c:v>427</c:v>
                </c:pt>
                <c:pt idx="428">
                  <c:v>428</c:v>
                </c:pt>
                <c:pt idx="429">
                  <c:v>429</c:v>
                </c:pt>
                <c:pt idx="430">
                  <c:v>430</c:v>
                </c:pt>
                <c:pt idx="431">
                  <c:v>431</c:v>
                </c:pt>
                <c:pt idx="432">
                  <c:v>432</c:v>
                </c:pt>
                <c:pt idx="433">
                  <c:v>433</c:v>
                </c:pt>
                <c:pt idx="434">
                  <c:v>434</c:v>
                </c:pt>
                <c:pt idx="435">
                  <c:v>435</c:v>
                </c:pt>
                <c:pt idx="436">
                  <c:v>436</c:v>
                </c:pt>
                <c:pt idx="437">
                  <c:v>437</c:v>
                </c:pt>
                <c:pt idx="438">
                  <c:v>438</c:v>
                </c:pt>
                <c:pt idx="439">
                  <c:v>439</c:v>
                </c:pt>
                <c:pt idx="440">
                  <c:v>440</c:v>
                </c:pt>
                <c:pt idx="441">
                  <c:v>441</c:v>
                </c:pt>
                <c:pt idx="442">
                  <c:v>442</c:v>
                </c:pt>
                <c:pt idx="443">
                  <c:v>443</c:v>
                </c:pt>
                <c:pt idx="444">
                  <c:v>444</c:v>
                </c:pt>
                <c:pt idx="445">
                  <c:v>445</c:v>
                </c:pt>
                <c:pt idx="446">
                  <c:v>446</c:v>
                </c:pt>
                <c:pt idx="447">
                  <c:v>447</c:v>
                </c:pt>
                <c:pt idx="448">
                  <c:v>448</c:v>
                </c:pt>
                <c:pt idx="449">
                  <c:v>449</c:v>
                </c:pt>
                <c:pt idx="450">
                  <c:v>450</c:v>
                </c:pt>
                <c:pt idx="451">
                  <c:v>451</c:v>
                </c:pt>
                <c:pt idx="452">
                  <c:v>452</c:v>
                </c:pt>
                <c:pt idx="453">
                  <c:v>453</c:v>
                </c:pt>
                <c:pt idx="454">
                  <c:v>454</c:v>
                </c:pt>
                <c:pt idx="455">
                  <c:v>455</c:v>
                </c:pt>
                <c:pt idx="456">
                  <c:v>456</c:v>
                </c:pt>
                <c:pt idx="457">
                  <c:v>457</c:v>
                </c:pt>
                <c:pt idx="458">
                  <c:v>458</c:v>
                </c:pt>
                <c:pt idx="459">
                  <c:v>459</c:v>
                </c:pt>
                <c:pt idx="460">
                  <c:v>460</c:v>
                </c:pt>
                <c:pt idx="461">
                  <c:v>461</c:v>
                </c:pt>
                <c:pt idx="462">
                  <c:v>462</c:v>
                </c:pt>
                <c:pt idx="463">
                  <c:v>463</c:v>
                </c:pt>
                <c:pt idx="464">
                  <c:v>464</c:v>
                </c:pt>
                <c:pt idx="465">
                  <c:v>465</c:v>
                </c:pt>
                <c:pt idx="466">
                  <c:v>466</c:v>
                </c:pt>
                <c:pt idx="467">
                  <c:v>467</c:v>
                </c:pt>
                <c:pt idx="468">
                  <c:v>468</c:v>
                </c:pt>
                <c:pt idx="469">
                  <c:v>469</c:v>
                </c:pt>
                <c:pt idx="470">
                  <c:v>470</c:v>
                </c:pt>
                <c:pt idx="471">
                  <c:v>471</c:v>
                </c:pt>
                <c:pt idx="472">
                  <c:v>472</c:v>
                </c:pt>
                <c:pt idx="473">
                  <c:v>473</c:v>
                </c:pt>
                <c:pt idx="474">
                  <c:v>474</c:v>
                </c:pt>
                <c:pt idx="475">
                  <c:v>475</c:v>
                </c:pt>
                <c:pt idx="476">
                  <c:v>476</c:v>
                </c:pt>
                <c:pt idx="477">
                  <c:v>477</c:v>
                </c:pt>
                <c:pt idx="478">
                  <c:v>478</c:v>
                </c:pt>
                <c:pt idx="479">
                  <c:v>479</c:v>
                </c:pt>
                <c:pt idx="480">
                  <c:v>480</c:v>
                </c:pt>
                <c:pt idx="481">
                  <c:v>481</c:v>
                </c:pt>
                <c:pt idx="482">
                  <c:v>482</c:v>
                </c:pt>
                <c:pt idx="483">
                  <c:v>483</c:v>
                </c:pt>
                <c:pt idx="484">
                  <c:v>484</c:v>
                </c:pt>
                <c:pt idx="485">
                  <c:v>485</c:v>
                </c:pt>
                <c:pt idx="486">
                  <c:v>486</c:v>
                </c:pt>
                <c:pt idx="487">
                  <c:v>487</c:v>
                </c:pt>
                <c:pt idx="488">
                  <c:v>488</c:v>
                </c:pt>
                <c:pt idx="489">
                  <c:v>489</c:v>
                </c:pt>
                <c:pt idx="490">
                  <c:v>490</c:v>
                </c:pt>
                <c:pt idx="491">
                  <c:v>491</c:v>
                </c:pt>
                <c:pt idx="492">
                  <c:v>492</c:v>
                </c:pt>
                <c:pt idx="493">
                  <c:v>493</c:v>
                </c:pt>
                <c:pt idx="494">
                  <c:v>494</c:v>
                </c:pt>
                <c:pt idx="495">
                  <c:v>495</c:v>
                </c:pt>
                <c:pt idx="496">
                  <c:v>496</c:v>
                </c:pt>
                <c:pt idx="497">
                  <c:v>497</c:v>
                </c:pt>
                <c:pt idx="498">
                  <c:v>498</c:v>
                </c:pt>
                <c:pt idx="499">
                  <c:v>499</c:v>
                </c:pt>
                <c:pt idx="500">
                  <c:v>500</c:v>
                </c:pt>
                <c:pt idx="501">
                  <c:v>501</c:v>
                </c:pt>
                <c:pt idx="502">
                  <c:v>502</c:v>
                </c:pt>
                <c:pt idx="503">
                  <c:v>503</c:v>
                </c:pt>
                <c:pt idx="504">
                  <c:v>504</c:v>
                </c:pt>
                <c:pt idx="505">
                  <c:v>505</c:v>
                </c:pt>
                <c:pt idx="506">
                  <c:v>506</c:v>
                </c:pt>
                <c:pt idx="507">
                  <c:v>507</c:v>
                </c:pt>
                <c:pt idx="508">
                  <c:v>508</c:v>
                </c:pt>
                <c:pt idx="509">
                  <c:v>509</c:v>
                </c:pt>
                <c:pt idx="510">
                  <c:v>510</c:v>
                </c:pt>
                <c:pt idx="511">
                  <c:v>511</c:v>
                </c:pt>
                <c:pt idx="512">
                  <c:v>512</c:v>
                </c:pt>
                <c:pt idx="513">
                  <c:v>513</c:v>
                </c:pt>
                <c:pt idx="514">
                  <c:v>514</c:v>
                </c:pt>
                <c:pt idx="515">
                  <c:v>515</c:v>
                </c:pt>
                <c:pt idx="516">
                  <c:v>516</c:v>
                </c:pt>
                <c:pt idx="517">
                  <c:v>517</c:v>
                </c:pt>
                <c:pt idx="518">
                  <c:v>518</c:v>
                </c:pt>
                <c:pt idx="519">
                  <c:v>519</c:v>
                </c:pt>
                <c:pt idx="520">
                  <c:v>520</c:v>
                </c:pt>
                <c:pt idx="521">
                  <c:v>521</c:v>
                </c:pt>
                <c:pt idx="522">
                  <c:v>522</c:v>
                </c:pt>
                <c:pt idx="523">
                  <c:v>523</c:v>
                </c:pt>
                <c:pt idx="524">
                  <c:v>524</c:v>
                </c:pt>
                <c:pt idx="525">
                  <c:v>525</c:v>
                </c:pt>
                <c:pt idx="526">
                  <c:v>526</c:v>
                </c:pt>
                <c:pt idx="527">
                  <c:v>527</c:v>
                </c:pt>
                <c:pt idx="528">
                  <c:v>528</c:v>
                </c:pt>
                <c:pt idx="529">
                  <c:v>529</c:v>
                </c:pt>
                <c:pt idx="530">
                  <c:v>530</c:v>
                </c:pt>
                <c:pt idx="531">
                  <c:v>531</c:v>
                </c:pt>
                <c:pt idx="532">
                  <c:v>532</c:v>
                </c:pt>
                <c:pt idx="533">
                  <c:v>533</c:v>
                </c:pt>
                <c:pt idx="534">
                  <c:v>534</c:v>
                </c:pt>
                <c:pt idx="535">
                  <c:v>535</c:v>
                </c:pt>
                <c:pt idx="536">
                  <c:v>536</c:v>
                </c:pt>
                <c:pt idx="537">
                  <c:v>537</c:v>
                </c:pt>
                <c:pt idx="538">
                  <c:v>538</c:v>
                </c:pt>
                <c:pt idx="539">
                  <c:v>539</c:v>
                </c:pt>
                <c:pt idx="540">
                  <c:v>540</c:v>
                </c:pt>
                <c:pt idx="541">
                  <c:v>541</c:v>
                </c:pt>
                <c:pt idx="542">
                  <c:v>542</c:v>
                </c:pt>
                <c:pt idx="543">
                  <c:v>543</c:v>
                </c:pt>
                <c:pt idx="544">
                  <c:v>544</c:v>
                </c:pt>
                <c:pt idx="545">
                  <c:v>545</c:v>
                </c:pt>
                <c:pt idx="546">
                  <c:v>546</c:v>
                </c:pt>
                <c:pt idx="547">
                  <c:v>547</c:v>
                </c:pt>
                <c:pt idx="548">
                  <c:v>548</c:v>
                </c:pt>
                <c:pt idx="549">
                  <c:v>549</c:v>
                </c:pt>
                <c:pt idx="550">
                  <c:v>550</c:v>
                </c:pt>
                <c:pt idx="551">
                  <c:v>551</c:v>
                </c:pt>
                <c:pt idx="552">
                  <c:v>552</c:v>
                </c:pt>
                <c:pt idx="553">
                  <c:v>553</c:v>
                </c:pt>
                <c:pt idx="554">
                  <c:v>554</c:v>
                </c:pt>
                <c:pt idx="555">
                  <c:v>555</c:v>
                </c:pt>
                <c:pt idx="556">
                  <c:v>556</c:v>
                </c:pt>
                <c:pt idx="557">
                  <c:v>557</c:v>
                </c:pt>
                <c:pt idx="558">
                  <c:v>558</c:v>
                </c:pt>
                <c:pt idx="559">
                  <c:v>559</c:v>
                </c:pt>
                <c:pt idx="560">
                  <c:v>560</c:v>
                </c:pt>
                <c:pt idx="561">
                  <c:v>561</c:v>
                </c:pt>
                <c:pt idx="562">
                  <c:v>562</c:v>
                </c:pt>
                <c:pt idx="563">
                  <c:v>563</c:v>
                </c:pt>
                <c:pt idx="564">
                  <c:v>564</c:v>
                </c:pt>
                <c:pt idx="565">
                  <c:v>565</c:v>
                </c:pt>
                <c:pt idx="566">
                  <c:v>566</c:v>
                </c:pt>
                <c:pt idx="567">
                  <c:v>567</c:v>
                </c:pt>
                <c:pt idx="568">
                  <c:v>568</c:v>
                </c:pt>
                <c:pt idx="569">
                  <c:v>569</c:v>
                </c:pt>
                <c:pt idx="570">
                  <c:v>570</c:v>
                </c:pt>
                <c:pt idx="571">
                  <c:v>571</c:v>
                </c:pt>
                <c:pt idx="572">
                  <c:v>572</c:v>
                </c:pt>
                <c:pt idx="573">
                  <c:v>573</c:v>
                </c:pt>
                <c:pt idx="574">
                  <c:v>574</c:v>
                </c:pt>
                <c:pt idx="575">
                  <c:v>575</c:v>
                </c:pt>
                <c:pt idx="576">
                  <c:v>576</c:v>
                </c:pt>
                <c:pt idx="577">
                  <c:v>577</c:v>
                </c:pt>
                <c:pt idx="578">
                  <c:v>578</c:v>
                </c:pt>
                <c:pt idx="579">
                  <c:v>579</c:v>
                </c:pt>
                <c:pt idx="580">
                  <c:v>580</c:v>
                </c:pt>
                <c:pt idx="581">
                  <c:v>581</c:v>
                </c:pt>
                <c:pt idx="582">
                  <c:v>582</c:v>
                </c:pt>
                <c:pt idx="583">
                  <c:v>583</c:v>
                </c:pt>
                <c:pt idx="584">
                  <c:v>584</c:v>
                </c:pt>
                <c:pt idx="585">
                  <c:v>585</c:v>
                </c:pt>
                <c:pt idx="586">
                  <c:v>586</c:v>
                </c:pt>
                <c:pt idx="587">
                  <c:v>587</c:v>
                </c:pt>
                <c:pt idx="588">
                  <c:v>588</c:v>
                </c:pt>
                <c:pt idx="589">
                  <c:v>589</c:v>
                </c:pt>
                <c:pt idx="590">
                  <c:v>590</c:v>
                </c:pt>
                <c:pt idx="591">
                  <c:v>591</c:v>
                </c:pt>
                <c:pt idx="592">
                  <c:v>592</c:v>
                </c:pt>
                <c:pt idx="593">
                  <c:v>593</c:v>
                </c:pt>
                <c:pt idx="594">
                  <c:v>594</c:v>
                </c:pt>
                <c:pt idx="595">
                  <c:v>595</c:v>
                </c:pt>
                <c:pt idx="596">
                  <c:v>596</c:v>
                </c:pt>
                <c:pt idx="597">
                  <c:v>597</c:v>
                </c:pt>
                <c:pt idx="598">
                  <c:v>598</c:v>
                </c:pt>
                <c:pt idx="599">
                  <c:v>599</c:v>
                </c:pt>
                <c:pt idx="600">
                  <c:v>600</c:v>
                </c:pt>
                <c:pt idx="601">
                  <c:v>601</c:v>
                </c:pt>
                <c:pt idx="602">
                  <c:v>602</c:v>
                </c:pt>
                <c:pt idx="603">
                  <c:v>603</c:v>
                </c:pt>
                <c:pt idx="604">
                  <c:v>604</c:v>
                </c:pt>
                <c:pt idx="605">
                  <c:v>605</c:v>
                </c:pt>
                <c:pt idx="606">
                  <c:v>606</c:v>
                </c:pt>
                <c:pt idx="607">
                  <c:v>607</c:v>
                </c:pt>
                <c:pt idx="608">
                  <c:v>608</c:v>
                </c:pt>
                <c:pt idx="609">
                  <c:v>609</c:v>
                </c:pt>
                <c:pt idx="610">
                  <c:v>610</c:v>
                </c:pt>
                <c:pt idx="611">
                  <c:v>611</c:v>
                </c:pt>
                <c:pt idx="612">
                  <c:v>612</c:v>
                </c:pt>
                <c:pt idx="613">
                  <c:v>613</c:v>
                </c:pt>
                <c:pt idx="614">
                  <c:v>614</c:v>
                </c:pt>
                <c:pt idx="615">
                  <c:v>615</c:v>
                </c:pt>
                <c:pt idx="616">
                  <c:v>616</c:v>
                </c:pt>
                <c:pt idx="617">
                  <c:v>617</c:v>
                </c:pt>
                <c:pt idx="618">
                  <c:v>618</c:v>
                </c:pt>
                <c:pt idx="619">
                  <c:v>619</c:v>
                </c:pt>
                <c:pt idx="620">
                  <c:v>620</c:v>
                </c:pt>
                <c:pt idx="621">
                  <c:v>621</c:v>
                </c:pt>
                <c:pt idx="622">
                  <c:v>622</c:v>
                </c:pt>
                <c:pt idx="623">
                  <c:v>623</c:v>
                </c:pt>
                <c:pt idx="624">
                  <c:v>624</c:v>
                </c:pt>
                <c:pt idx="625">
                  <c:v>625</c:v>
                </c:pt>
                <c:pt idx="626">
                  <c:v>626</c:v>
                </c:pt>
                <c:pt idx="627">
                  <c:v>627</c:v>
                </c:pt>
                <c:pt idx="628">
                  <c:v>628</c:v>
                </c:pt>
                <c:pt idx="629">
                  <c:v>629</c:v>
                </c:pt>
                <c:pt idx="630">
                  <c:v>630</c:v>
                </c:pt>
                <c:pt idx="631">
                  <c:v>631</c:v>
                </c:pt>
                <c:pt idx="632">
                  <c:v>632</c:v>
                </c:pt>
                <c:pt idx="633">
                  <c:v>633</c:v>
                </c:pt>
                <c:pt idx="634">
                  <c:v>634</c:v>
                </c:pt>
                <c:pt idx="635">
                  <c:v>635</c:v>
                </c:pt>
                <c:pt idx="636">
                  <c:v>636</c:v>
                </c:pt>
                <c:pt idx="637">
                  <c:v>637</c:v>
                </c:pt>
                <c:pt idx="638">
                  <c:v>638</c:v>
                </c:pt>
                <c:pt idx="639">
                  <c:v>639</c:v>
                </c:pt>
                <c:pt idx="640">
                  <c:v>640</c:v>
                </c:pt>
                <c:pt idx="641">
                  <c:v>641</c:v>
                </c:pt>
                <c:pt idx="642">
                  <c:v>642</c:v>
                </c:pt>
                <c:pt idx="643">
                  <c:v>643</c:v>
                </c:pt>
                <c:pt idx="644">
                  <c:v>644</c:v>
                </c:pt>
                <c:pt idx="645">
                  <c:v>645</c:v>
                </c:pt>
                <c:pt idx="646">
                  <c:v>646</c:v>
                </c:pt>
                <c:pt idx="647">
                  <c:v>647</c:v>
                </c:pt>
                <c:pt idx="648">
                  <c:v>648</c:v>
                </c:pt>
                <c:pt idx="649">
                  <c:v>649</c:v>
                </c:pt>
                <c:pt idx="650">
                  <c:v>650</c:v>
                </c:pt>
                <c:pt idx="651">
                  <c:v>651</c:v>
                </c:pt>
                <c:pt idx="652">
                  <c:v>652</c:v>
                </c:pt>
                <c:pt idx="653">
                  <c:v>653</c:v>
                </c:pt>
                <c:pt idx="654">
                  <c:v>654</c:v>
                </c:pt>
                <c:pt idx="655">
                  <c:v>655</c:v>
                </c:pt>
                <c:pt idx="656">
                  <c:v>656</c:v>
                </c:pt>
                <c:pt idx="657">
                  <c:v>657</c:v>
                </c:pt>
                <c:pt idx="658">
                  <c:v>658</c:v>
                </c:pt>
                <c:pt idx="659">
                  <c:v>659</c:v>
                </c:pt>
                <c:pt idx="660">
                  <c:v>660</c:v>
                </c:pt>
                <c:pt idx="661">
                  <c:v>661</c:v>
                </c:pt>
                <c:pt idx="662">
                  <c:v>662</c:v>
                </c:pt>
                <c:pt idx="663">
                  <c:v>663</c:v>
                </c:pt>
                <c:pt idx="664">
                  <c:v>664</c:v>
                </c:pt>
                <c:pt idx="665">
                  <c:v>665</c:v>
                </c:pt>
                <c:pt idx="666">
                  <c:v>666</c:v>
                </c:pt>
                <c:pt idx="667">
                  <c:v>667</c:v>
                </c:pt>
                <c:pt idx="668">
                  <c:v>668</c:v>
                </c:pt>
                <c:pt idx="669">
                  <c:v>669</c:v>
                </c:pt>
                <c:pt idx="670">
                  <c:v>670</c:v>
                </c:pt>
                <c:pt idx="671">
                  <c:v>671</c:v>
                </c:pt>
                <c:pt idx="672">
                  <c:v>672</c:v>
                </c:pt>
                <c:pt idx="673">
                  <c:v>673</c:v>
                </c:pt>
                <c:pt idx="674">
                  <c:v>674</c:v>
                </c:pt>
                <c:pt idx="675">
                  <c:v>675</c:v>
                </c:pt>
                <c:pt idx="676">
                  <c:v>676</c:v>
                </c:pt>
                <c:pt idx="677">
                  <c:v>677</c:v>
                </c:pt>
                <c:pt idx="678">
                  <c:v>678</c:v>
                </c:pt>
                <c:pt idx="679">
                  <c:v>679</c:v>
                </c:pt>
                <c:pt idx="680">
                  <c:v>680</c:v>
                </c:pt>
                <c:pt idx="681">
                  <c:v>681</c:v>
                </c:pt>
                <c:pt idx="682">
                  <c:v>682</c:v>
                </c:pt>
                <c:pt idx="683">
                  <c:v>683</c:v>
                </c:pt>
                <c:pt idx="684">
                  <c:v>684</c:v>
                </c:pt>
                <c:pt idx="685">
                  <c:v>685</c:v>
                </c:pt>
                <c:pt idx="686">
                  <c:v>686</c:v>
                </c:pt>
                <c:pt idx="687">
                  <c:v>687</c:v>
                </c:pt>
                <c:pt idx="688">
                  <c:v>688</c:v>
                </c:pt>
                <c:pt idx="689">
                  <c:v>689</c:v>
                </c:pt>
                <c:pt idx="690">
                  <c:v>690</c:v>
                </c:pt>
                <c:pt idx="691">
                  <c:v>691</c:v>
                </c:pt>
                <c:pt idx="692">
                  <c:v>692</c:v>
                </c:pt>
                <c:pt idx="693">
                  <c:v>693</c:v>
                </c:pt>
                <c:pt idx="694">
                  <c:v>694</c:v>
                </c:pt>
                <c:pt idx="695">
                  <c:v>695</c:v>
                </c:pt>
                <c:pt idx="696">
                  <c:v>696</c:v>
                </c:pt>
                <c:pt idx="697">
                  <c:v>697</c:v>
                </c:pt>
                <c:pt idx="698">
                  <c:v>698</c:v>
                </c:pt>
                <c:pt idx="699">
                  <c:v>699</c:v>
                </c:pt>
                <c:pt idx="700">
                  <c:v>700</c:v>
                </c:pt>
                <c:pt idx="701">
                  <c:v>701</c:v>
                </c:pt>
                <c:pt idx="702">
                  <c:v>702</c:v>
                </c:pt>
                <c:pt idx="703">
                  <c:v>703</c:v>
                </c:pt>
                <c:pt idx="704">
                  <c:v>704</c:v>
                </c:pt>
                <c:pt idx="705">
                  <c:v>705</c:v>
                </c:pt>
                <c:pt idx="706">
                  <c:v>706</c:v>
                </c:pt>
                <c:pt idx="707">
                  <c:v>707</c:v>
                </c:pt>
                <c:pt idx="708">
                  <c:v>708</c:v>
                </c:pt>
                <c:pt idx="709">
                  <c:v>709</c:v>
                </c:pt>
                <c:pt idx="710">
                  <c:v>710</c:v>
                </c:pt>
                <c:pt idx="711">
                  <c:v>711</c:v>
                </c:pt>
                <c:pt idx="712">
                  <c:v>712</c:v>
                </c:pt>
                <c:pt idx="713">
                  <c:v>713</c:v>
                </c:pt>
                <c:pt idx="714">
                  <c:v>714</c:v>
                </c:pt>
                <c:pt idx="715">
                  <c:v>715</c:v>
                </c:pt>
                <c:pt idx="716">
                  <c:v>716</c:v>
                </c:pt>
                <c:pt idx="717">
                  <c:v>717</c:v>
                </c:pt>
                <c:pt idx="718">
                  <c:v>718</c:v>
                </c:pt>
                <c:pt idx="719">
                  <c:v>719</c:v>
                </c:pt>
                <c:pt idx="720">
                  <c:v>720</c:v>
                </c:pt>
                <c:pt idx="721">
                  <c:v>721</c:v>
                </c:pt>
                <c:pt idx="722">
                  <c:v>722</c:v>
                </c:pt>
                <c:pt idx="723">
                  <c:v>723</c:v>
                </c:pt>
                <c:pt idx="724">
                  <c:v>724</c:v>
                </c:pt>
                <c:pt idx="725">
                  <c:v>725</c:v>
                </c:pt>
                <c:pt idx="726">
                  <c:v>726</c:v>
                </c:pt>
                <c:pt idx="727">
                  <c:v>727</c:v>
                </c:pt>
                <c:pt idx="728">
                  <c:v>728</c:v>
                </c:pt>
                <c:pt idx="729">
                  <c:v>729</c:v>
                </c:pt>
                <c:pt idx="730">
                  <c:v>730</c:v>
                </c:pt>
                <c:pt idx="731">
                  <c:v>731</c:v>
                </c:pt>
                <c:pt idx="732">
                  <c:v>732</c:v>
                </c:pt>
                <c:pt idx="733">
                  <c:v>733</c:v>
                </c:pt>
                <c:pt idx="734">
                  <c:v>734</c:v>
                </c:pt>
                <c:pt idx="735">
                  <c:v>735</c:v>
                </c:pt>
                <c:pt idx="736">
                  <c:v>736</c:v>
                </c:pt>
                <c:pt idx="737">
                  <c:v>737</c:v>
                </c:pt>
                <c:pt idx="738">
                  <c:v>738</c:v>
                </c:pt>
                <c:pt idx="739">
                  <c:v>739</c:v>
                </c:pt>
                <c:pt idx="740">
                  <c:v>740</c:v>
                </c:pt>
                <c:pt idx="741">
                  <c:v>741</c:v>
                </c:pt>
                <c:pt idx="742">
                  <c:v>742</c:v>
                </c:pt>
                <c:pt idx="743">
                  <c:v>743</c:v>
                </c:pt>
                <c:pt idx="744">
                  <c:v>744</c:v>
                </c:pt>
                <c:pt idx="745">
                  <c:v>745</c:v>
                </c:pt>
                <c:pt idx="746">
                  <c:v>746</c:v>
                </c:pt>
                <c:pt idx="747">
                  <c:v>747</c:v>
                </c:pt>
                <c:pt idx="748">
                  <c:v>748</c:v>
                </c:pt>
                <c:pt idx="749">
                  <c:v>749</c:v>
                </c:pt>
                <c:pt idx="750">
                  <c:v>750</c:v>
                </c:pt>
                <c:pt idx="751">
                  <c:v>751</c:v>
                </c:pt>
                <c:pt idx="752">
                  <c:v>752</c:v>
                </c:pt>
                <c:pt idx="753">
                  <c:v>753</c:v>
                </c:pt>
                <c:pt idx="754">
                  <c:v>754</c:v>
                </c:pt>
                <c:pt idx="755">
                  <c:v>755</c:v>
                </c:pt>
                <c:pt idx="756">
                  <c:v>756</c:v>
                </c:pt>
                <c:pt idx="757">
                  <c:v>757</c:v>
                </c:pt>
                <c:pt idx="758">
                  <c:v>758</c:v>
                </c:pt>
                <c:pt idx="759">
                  <c:v>759</c:v>
                </c:pt>
                <c:pt idx="760">
                  <c:v>760</c:v>
                </c:pt>
                <c:pt idx="761">
                  <c:v>761</c:v>
                </c:pt>
                <c:pt idx="762">
                  <c:v>762</c:v>
                </c:pt>
                <c:pt idx="763">
                  <c:v>763</c:v>
                </c:pt>
                <c:pt idx="764">
                  <c:v>764</c:v>
                </c:pt>
                <c:pt idx="765">
                  <c:v>765</c:v>
                </c:pt>
                <c:pt idx="766">
                  <c:v>766</c:v>
                </c:pt>
                <c:pt idx="767">
                  <c:v>767</c:v>
                </c:pt>
                <c:pt idx="768">
                  <c:v>768</c:v>
                </c:pt>
                <c:pt idx="769">
                  <c:v>769</c:v>
                </c:pt>
                <c:pt idx="770">
                  <c:v>770</c:v>
                </c:pt>
                <c:pt idx="771">
                  <c:v>771</c:v>
                </c:pt>
                <c:pt idx="772">
                  <c:v>772</c:v>
                </c:pt>
                <c:pt idx="773">
                  <c:v>773</c:v>
                </c:pt>
                <c:pt idx="774">
                  <c:v>774</c:v>
                </c:pt>
                <c:pt idx="775">
                  <c:v>775</c:v>
                </c:pt>
                <c:pt idx="776">
                  <c:v>776</c:v>
                </c:pt>
                <c:pt idx="777">
                  <c:v>777</c:v>
                </c:pt>
                <c:pt idx="778">
                  <c:v>778</c:v>
                </c:pt>
                <c:pt idx="779">
                  <c:v>779</c:v>
                </c:pt>
                <c:pt idx="780">
                  <c:v>780</c:v>
                </c:pt>
                <c:pt idx="781">
                  <c:v>781</c:v>
                </c:pt>
                <c:pt idx="782">
                  <c:v>782</c:v>
                </c:pt>
                <c:pt idx="783">
                  <c:v>783</c:v>
                </c:pt>
                <c:pt idx="784">
                  <c:v>784</c:v>
                </c:pt>
                <c:pt idx="785">
                  <c:v>785</c:v>
                </c:pt>
                <c:pt idx="786">
                  <c:v>786</c:v>
                </c:pt>
                <c:pt idx="787">
                  <c:v>787</c:v>
                </c:pt>
                <c:pt idx="788">
                  <c:v>788</c:v>
                </c:pt>
                <c:pt idx="789">
                  <c:v>789</c:v>
                </c:pt>
                <c:pt idx="790">
                  <c:v>790</c:v>
                </c:pt>
                <c:pt idx="791">
                  <c:v>791</c:v>
                </c:pt>
                <c:pt idx="792">
                  <c:v>792</c:v>
                </c:pt>
                <c:pt idx="793">
                  <c:v>793</c:v>
                </c:pt>
                <c:pt idx="794">
                  <c:v>794</c:v>
                </c:pt>
                <c:pt idx="795">
                  <c:v>795</c:v>
                </c:pt>
                <c:pt idx="796">
                  <c:v>796</c:v>
                </c:pt>
                <c:pt idx="797">
                  <c:v>797</c:v>
                </c:pt>
                <c:pt idx="798">
                  <c:v>798</c:v>
                </c:pt>
                <c:pt idx="799">
                  <c:v>799</c:v>
                </c:pt>
                <c:pt idx="800">
                  <c:v>800</c:v>
                </c:pt>
                <c:pt idx="801">
                  <c:v>801</c:v>
                </c:pt>
                <c:pt idx="802">
                  <c:v>802</c:v>
                </c:pt>
                <c:pt idx="803">
                  <c:v>803</c:v>
                </c:pt>
                <c:pt idx="804">
                  <c:v>804</c:v>
                </c:pt>
                <c:pt idx="805">
                  <c:v>805</c:v>
                </c:pt>
                <c:pt idx="806">
                  <c:v>806</c:v>
                </c:pt>
                <c:pt idx="807">
                  <c:v>807</c:v>
                </c:pt>
                <c:pt idx="808">
                  <c:v>808</c:v>
                </c:pt>
                <c:pt idx="809">
                  <c:v>809</c:v>
                </c:pt>
                <c:pt idx="810">
                  <c:v>810</c:v>
                </c:pt>
                <c:pt idx="811">
                  <c:v>811</c:v>
                </c:pt>
                <c:pt idx="812">
                  <c:v>812</c:v>
                </c:pt>
                <c:pt idx="813">
                  <c:v>813</c:v>
                </c:pt>
                <c:pt idx="814">
                  <c:v>814</c:v>
                </c:pt>
                <c:pt idx="815">
                  <c:v>815</c:v>
                </c:pt>
                <c:pt idx="816">
                  <c:v>816</c:v>
                </c:pt>
                <c:pt idx="817">
                  <c:v>817</c:v>
                </c:pt>
                <c:pt idx="818">
                  <c:v>818</c:v>
                </c:pt>
                <c:pt idx="819">
                  <c:v>819</c:v>
                </c:pt>
                <c:pt idx="820">
                  <c:v>820</c:v>
                </c:pt>
                <c:pt idx="821">
                  <c:v>821</c:v>
                </c:pt>
                <c:pt idx="822">
                  <c:v>822</c:v>
                </c:pt>
                <c:pt idx="823">
                  <c:v>823</c:v>
                </c:pt>
                <c:pt idx="824">
                  <c:v>824</c:v>
                </c:pt>
                <c:pt idx="825">
                  <c:v>825</c:v>
                </c:pt>
                <c:pt idx="826">
                  <c:v>826</c:v>
                </c:pt>
                <c:pt idx="827">
                  <c:v>827</c:v>
                </c:pt>
                <c:pt idx="828">
                  <c:v>828</c:v>
                </c:pt>
                <c:pt idx="829">
                  <c:v>829</c:v>
                </c:pt>
                <c:pt idx="830">
                  <c:v>830</c:v>
                </c:pt>
                <c:pt idx="831">
                  <c:v>831</c:v>
                </c:pt>
                <c:pt idx="832">
                  <c:v>832</c:v>
                </c:pt>
                <c:pt idx="833">
                  <c:v>833</c:v>
                </c:pt>
                <c:pt idx="834">
                  <c:v>834</c:v>
                </c:pt>
                <c:pt idx="835">
                  <c:v>835</c:v>
                </c:pt>
                <c:pt idx="836">
                  <c:v>836</c:v>
                </c:pt>
                <c:pt idx="837">
                  <c:v>837</c:v>
                </c:pt>
                <c:pt idx="838">
                  <c:v>838</c:v>
                </c:pt>
                <c:pt idx="839">
                  <c:v>839</c:v>
                </c:pt>
                <c:pt idx="840">
                  <c:v>840</c:v>
                </c:pt>
                <c:pt idx="841">
                  <c:v>841</c:v>
                </c:pt>
                <c:pt idx="842">
                  <c:v>842</c:v>
                </c:pt>
                <c:pt idx="843">
                  <c:v>843</c:v>
                </c:pt>
                <c:pt idx="844">
                  <c:v>844</c:v>
                </c:pt>
                <c:pt idx="845">
                  <c:v>845</c:v>
                </c:pt>
                <c:pt idx="846">
                  <c:v>846</c:v>
                </c:pt>
                <c:pt idx="847">
                  <c:v>847</c:v>
                </c:pt>
                <c:pt idx="848">
                  <c:v>848</c:v>
                </c:pt>
                <c:pt idx="849">
                  <c:v>849</c:v>
                </c:pt>
                <c:pt idx="850">
                  <c:v>850</c:v>
                </c:pt>
                <c:pt idx="851">
                  <c:v>851</c:v>
                </c:pt>
                <c:pt idx="852">
                  <c:v>852</c:v>
                </c:pt>
                <c:pt idx="853">
                  <c:v>853</c:v>
                </c:pt>
                <c:pt idx="854">
                  <c:v>854</c:v>
                </c:pt>
                <c:pt idx="855">
                  <c:v>855</c:v>
                </c:pt>
                <c:pt idx="856">
                  <c:v>856</c:v>
                </c:pt>
                <c:pt idx="857">
                  <c:v>857</c:v>
                </c:pt>
                <c:pt idx="858">
                  <c:v>858</c:v>
                </c:pt>
                <c:pt idx="859">
                  <c:v>859</c:v>
                </c:pt>
                <c:pt idx="860">
                  <c:v>860</c:v>
                </c:pt>
                <c:pt idx="861">
                  <c:v>861</c:v>
                </c:pt>
                <c:pt idx="862">
                  <c:v>862</c:v>
                </c:pt>
                <c:pt idx="863">
                  <c:v>863</c:v>
                </c:pt>
                <c:pt idx="864">
                  <c:v>864</c:v>
                </c:pt>
                <c:pt idx="865">
                  <c:v>865</c:v>
                </c:pt>
                <c:pt idx="866">
                  <c:v>866</c:v>
                </c:pt>
                <c:pt idx="867">
                  <c:v>867</c:v>
                </c:pt>
                <c:pt idx="868">
                  <c:v>868</c:v>
                </c:pt>
                <c:pt idx="869">
                  <c:v>869</c:v>
                </c:pt>
                <c:pt idx="870">
                  <c:v>870</c:v>
                </c:pt>
                <c:pt idx="871">
                  <c:v>871</c:v>
                </c:pt>
                <c:pt idx="872">
                  <c:v>872</c:v>
                </c:pt>
                <c:pt idx="873">
                  <c:v>873</c:v>
                </c:pt>
                <c:pt idx="874">
                  <c:v>874</c:v>
                </c:pt>
                <c:pt idx="875">
                  <c:v>875</c:v>
                </c:pt>
                <c:pt idx="876">
                  <c:v>876</c:v>
                </c:pt>
                <c:pt idx="877">
                  <c:v>877</c:v>
                </c:pt>
                <c:pt idx="878">
                  <c:v>878</c:v>
                </c:pt>
                <c:pt idx="879">
                  <c:v>879</c:v>
                </c:pt>
                <c:pt idx="880">
                  <c:v>880</c:v>
                </c:pt>
                <c:pt idx="881">
                  <c:v>881</c:v>
                </c:pt>
                <c:pt idx="882">
                  <c:v>882</c:v>
                </c:pt>
                <c:pt idx="883">
                  <c:v>883</c:v>
                </c:pt>
                <c:pt idx="884">
                  <c:v>884</c:v>
                </c:pt>
                <c:pt idx="885">
                  <c:v>885</c:v>
                </c:pt>
                <c:pt idx="886">
                  <c:v>886</c:v>
                </c:pt>
                <c:pt idx="887">
                  <c:v>887</c:v>
                </c:pt>
                <c:pt idx="888">
                  <c:v>888</c:v>
                </c:pt>
                <c:pt idx="889">
                  <c:v>889</c:v>
                </c:pt>
                <c:pt idx="890">
                  <c:v>890</c:v>
                </c:pt>
                <c:pt idx="891">
                  <c:v>891</c:v>
                </c:pt>
                <c:pt idx="892">
                  <c:v>892</c:v>
                </c:pt>
                <c:pt idx="893">
                  <c:v>893</c:v>
                </c:pt>
                <c:pt idx="894">
                  <c:v>894</c:v>
                </c:pt>
                <c:pt idx="895">
                  <c:v>895</c:v>
                </c:pt>
                <c:pt idx="896">
                  <c:v>896</c:v>
                </c:pt>
                <c:pt idx="897">
                  <c:v>897</c:v>
                </c:pt>
                <c:pt idx="898">
                  <c:v>898</c:v>
                </c:pt>
                <c:pt idx="899">
                  <c:v>899</c:v>
                </c:pt>
                <c:pt idx="900">
                  <c:v>900</c:v>
                </c:pt>
                <c:pt idx="901">
                  <c:v>901</c:v>
                </c:pt>
                <c:pt idx="902">
                  <c:v>902</c:v>
                </c:pt>
                <c:pt idx="903">
                  <c:v>903</c:v>
                </c:pt>
                <c:pt idx="904">
                  <c:v>904</c:v>
                </c:pt>
                <c:pt idx="905">
                  <c:v>905</c:v>
                </c:pt>
                <c:pt idx="906">
                  <c:v>906</c:v>
                </c:pt>
                <c:pt idx="907">
                  <c:v>907</c:v>
                </c:pt>
                <c:pt idx="908">
                  <c:v>908</c:v>
                </c:pt>
                <c:pt idx="909">
                  <c:v>909</c:v>
                </c:pt>
                <c:pt idx="910">
                  <c:v>910</c:v>
                </c:pt>
                <c:pt idx="911">
                  <c:v>911</c:v>
                </c:pt>
                <c:pt idx="912">
                  <c:v>912</c:v>
                </c:pt>
                <c:pt idx="913">
                  <c:v>913</c:v>
                </c:pt>
                <c:pt idx="914">
                  <c:v>914</c:v>
                </c:pt>
                <c:pt idx="915">
                  <c:v>915</c:v>
                </c:pt>
                <c:pt idx="916">
                  <c:v>916</c:v>
                </c:pt>
                <c:pt idx="917">
                  <c:v>917</c:v>
                </c:pt>
                <c:pt idx="918">
                  <c:v>918</c:v>
                </c:pt>
                <c:pt idx="919">
                  <c:v>919</c:v>
                </c:pt>
                <c:pt idx="920">
                  <c:v>920</c:v>
                </c:pt>
                <c:pt idx="921">
                  <c:v>921</c:v>
                </c:pt>
                <c:pt idx="922">
                  <c:v>922</c:v>
                </c:pt>
                <c:pt idx="923">
                  <c:v>923</c:v>
                </c:pt>
                <c:pt idx="924">
                  <c:v>924</c:v>
                </c:pt>
                <c:pt idx="925">
                  <c:v>925</c:v>
                </c:pt>
                <c:pt idx="926">
                  <c:v>926</c:v>
                </c:pt>
                <c:pt idx="927">
                  <c:v>927</c:v>
                </c:pt>
                <c:pt idx="928">
                  <c:v>928</c:v>
                </c:pt>
                <c:pt idx="929">
                  <c:v>929</c:v>
                </c:pt>
                <c:pt idx="930">
                  <c:v>930</c:v>
                </c:pt>
                <c:pt idx="931">
                  <c:v>931</c:v>
                </c:pt>
                <c:pt idx="932">
                  <c:v>932</c:v>
                </c:pt>
                <c:pt idx="933">
                  <c:v>933</c:v>
                </c:pt>
                <c:pt idx="934">
                  <c:v>934</c:v>
                </c:pt>
                <c:pt idx="935">
                  <c:v>935</c:v>
                </c:pt>
                <c:pt idx="936">
                  <c:v>936</c:v>
                </c:pt>
                <c:pt idx="937">
                  <c:v>937</c:v>
                </c:pt>
                <c:pt idx="938">
                  <c:v>938</c:v>
                </c:pt>
                <c:pt idx="939">
                  <c:v>939</c:v>
                </c:pt>
                <c:pt idx="940">
                  <c:v>940</c:v>
                </c:pt>
                <c:pt idx="941">
                  <c:v>941</c:v>
                </c:pt>
                <c:pt idx="942">
                  <c:v>942</c:v>
                </c:pt>
                <c:pt idx="943">
                  <c:v>943</c:v>
                </c:pt>
                <c:pt idx="944">
                  <c:v>944</c:v>
                </c:pt>
                <c:pt idx="945">
                  <c:v>945</c:v>
                </c:pt>
                <c:pt idx="946">
                  <c:v>946</c:v>
                </c:pt>
                <c:pt idx="947">
                  <c:v>947</c:v>
                </c:pt>
                <c:pt idx="948">
                  <c:v>948</c:v>
                </c:pt>
                <c:pt idx="949">
                  <c:v>949</c:v>
                </c:pt>
                <c:pt idx="950">
                  <c:v>950</c:v>
                </c:pt>
                <c:pt idx="951">
                  <c:v>951</c:v>
                </c:pt>
                <c:pt idx="952">
                  <c:v>952</c:v>
                </c:pt>
                <c:pt idx="953">
                  <c:v>953</c:v>
                </c:pt>
                <c:pt idx="954">
                  <c:v>954</c:v>
                </c:pt>
                <c:pt idx="955">
                  <c:v>955</c:v>
                </c:pt>
                <c:pt idx="956">
                  <c:v>956</c:v>
                </c:pt>
                <c:pt idx="957">
                  <c:v>957</c:v>
                </c:pt>
                <c:pt idx="958">
                  <c:v>958</c:v>
                </c:pt>
                <c:pt idx="959">
                  <c:v>959</c:v>
                </c:pt>
                <c:pt idx="960">
                  <c:v>960</c:v>
                </c:pt>
                <c:pt idx="961">
                  <c:v>961</c:v>
                </c:pt>
                <c:pt idx="962">
                  <c:v>962</c:v>
                </c:pt>
                <c:pt idx="963">
                  <c:v>963</c:v>
                </c:pt>
                <c:pt idx="964">
                  <c:v>964</c:v>
                </c:pt>
                <c:pt idx="965">
                  <c:v>965</c:v>
                </c:pt>
                <c:pt idx="966">
                  <c:v>966</c:v>
                </c:pt>
                <c:pt idx="967">
                  <c:v>967</c:v>
                </c:pt>
                <c:pt idx="968">
                  <c:v>968</c:v>
                </c:pt>
                <c:pt idx="969">
                  <c:v>969</c:v>
                </c:pt>
                <c:pt idx="970">
                  <c:v>970</c:v>
                </c:pt>
                <c:pt idx="971">
                  <c:v>971</c:v>
                </c:pt>
                <c:pt idx="972">
                  <c:v>972</c:v>
                </c:pt>
                <c:pt idx="973">
                  <c:v>973</c:v>
                </c:pt>
                <c:pt idx="974">
                  <c:v>974</c:v>
                </c:pt>
                <c:pt idx="975">
                  <c:v>975</c:v>
                </c:pt>
                <c:pt idx="976">
                  <c:v>976</c:v>
                </c:pt>
                <c:pt idx="977">
                  <c:v>977</c:v>
                </c:pt>
                <c:pt idx="978">
                  <c:v>978</c:v>
                </c:pt>
                <c:pt idx="979">
                  <c:v>979</c:v>
                </c:pt>
                <c:pt idx="980">
                  <c:v>980</c:v>
                </c:pt>
                <c:pt idx="981">
                  <c:v>981</c:v>
                </c:pt>
                <c:pt idx="982">
                  <c:v>982</c:v>
                </c:pt>
                <c:pt idx="983">
                  <c:v>983</c:v>
                </c:pt>
                <c:pt idx="984">
                  <c:v>984</c:v>
                </c:pt>
                <c:pt idx="985">
                  <c:v>985</c:v>
                </c:pt>
                <c:pt idx="986">
                  <c:v>986</c:v>
                </c:pt>
                <c:pt idx="987">
                  <c:v>987</c:v>
                </c:pt>
                <c:pt idx="988">
                  <c:v>988</c:v>
                </c:pt>
                <c:pt idx="989">
                  <c:v>989</c:v>
                </c:pt>
                <c:pt idx="990">
                  <c:v>990</c:v>
                </c:pt>
                <c:pt idx="991">
                  <c:v>991</c:v>
                </c:pt>
                <c:pt idx="992">
                  <c:v>992</c:v>
                </c:pt>
                <c:pt idx="993">
                  <c:v>993</c:v>
                </c:pt>
                <c:pt idx="994">
                  <c:v>994</c:v>
                </c:pt>
                <c:pt idx="995">
                  <c:v>995</c:v>
                </c:pt>
                <c:pt idx="996">
                  <c:v>996</c:v>
                </c:pt>
                <c:pt idx="997">
                  <c:v>997</c:v>
                </c:pt>
                <c:pt idx="998">
                  <c:v>998</c:v>
                </c:pt>
                <c:pt idx="999">
                  <c:v>999</c:v>
                </c:pt>
                <c:pt idx="1000">
                  <c:v>1000</c:v>
                </c:pt>
              </c:numCache>
            </c:numRef>
          </c:xVal>
          <c:yVal>
            <c:numRef>
              <c:f>'Annex D'!$N$2:$N$1002</c:f>
              <c:numCache>
                <c:formatCode>General</c:formatCode>
                <c:ptCount val="1001"/>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3.5</c:v>
                </c:pt>
                <c:pt idx="123">
                  <c:v>6.875</c:v>
                </c:pt>
                <c:pt idx="124">
                  <c:v>11.375</c:v>
                </c:pt>
                <c:pt idx="125">
                  <c:v>15.375</c:v>
                </c:pt>
                <c:pt idx="126">
                  <c:v>18.75</c:v>
                </c:pt>
                <c:pt idx="127">
                  <c:v>24.25</c:v>
                </c:pt>
                <c:pt idx="128">
                  <c:v>29</c:v>
                </c:pt>
                <c:pt idx="129">
                  <c:v>33.75</c:v>
                </c:pt>
                <c:pt idx="130">
                  <c:v>34</c:v>
                </c:pt>
                <c:pt idx="131">
                  <c:v>35.5</c:v>
                </c:pt>
                <c:pt idx="132">
                  <c:v>35.625</c:v>
                </c:pt>
                <c:pt idx="133">
                  <c:v>36.5</c:v>
                </c:pt>
                <c:pt idx="134">
                  <c:v>37.875</c:v>
                </c:pt>
                <c:pt idx="135">
                  <c:v>38.25</c:v>
                </c:pt>
                <c:pt idx="136">
                  <c:v>39.125</c:v>
                </c:pt>
                <c:pt idx="137">
                  <c:v>40.875</c:v>
                </c:pt>
                <c:pt idx="138">
                  <c:v>43.5</c:v>
                </c:pt>
                <c:pt idx="139">
                  <c:v>45.625</c:v>
                </c:pt>
                <c:pt idx="140">
                  <c:v>48.75</c:v>
                </c:pt>
                <c:pt idx="141">
                  <c:v>52.625</c:v>
                </c:pt>
                <c:pt idx="142">
                  <c:v>55.75</c:v>
                </c:pt>
                <c:pt idx="143">
                  <c:v>56.75</c:v>
                </c:pt>
                <c:pt idx="144">
                  <c:v>60.875</c:v>
                </c:pt>
                <c:pt idx="145">
                  <c:v>64.75</c:v>
                </c:pt>
                <c:pt idx="146">
                  <c:v>68.875</c:v>
                </c:pt>
                <c:pt idx="147">
                  <c:v>74</c:v>
                </c:pt>
                <c:pt idx="148">
                  <c:v>79.75</c:v>
                </c:pt>
                <c:pt idx="149">
                  <c:v>83.375</c:v>
                </c:pt>
                <c:pt idx="150">
                  <c:v>93.5</c:v>
                </c:pt>
                <c:pt idx="151">
                  <c:v>101.375</c:v>
                </c:pt>
                <c:pt idx="152">
                  <c:v>107.75</c:v>
                </c:pt>
                <c:pt idx="153">
                  <c:v>117.25</c:v>
                </c:pt>
                <c:pt idx="154">
                  <c:v>125.625</c:v>
                </c:pt>
                <c:pt idx="155">
                  <c:v>134.625</c:v>
                </c:pt>
                <c:pt idx="156">
                  <c:v>146.375</c:v>
                </c:pt>
                <c:pt idx="157">
                  <c:v>158.875</c:v>
                </c:pt>
                <c:pt idx="158">
                  <c:v>167.75</c:v>
                </c:pt>
                <c:pt idx="159">
                  <c:v>181.875</c:v>
                </c:pt>
                <c:pt idx="160">
                  <c:v>196.625</c:v>
                </c:pt>
                <c:pt idx="161">
                  <c:v>214.25</c:v>
                </c:pt>
                <c:pt idx="162">
                  <c:v>229</c:v>
                </c:pt>
                <c:pt idx="163">
                  <c:v>248.125</c:v>
                </c:pt>
                <c:pt idx="164">
                  <c:v>270.875</c:v>
                </c:pt>
                <c:pt idx="165">
                  <c:v>291.875</c:v>
                </c:pt>
                <c:pt idx="166">
                  <c:v>312.125</c:v>
                </c:pt>
                <c:pt idx="167">
                  <c:v>333.25</c:v>
                </c:pt>
                <c:pt idx="168">
                  <c:v>356.25</c:v>
                </c:pt>
                <c:pt idx="169">
                  <c:v>373.25</c:v>
                </c:pt>
                <c:pt idx="170">
                  <c:v>404.25</c:v>
                </c:pt>
                <c:pt idx="171">
                  <c:v>429.5</c:v>
                </c:pt>
                <c:pt idx="172">
                  <c:v>447.75</c:v>
                </c:pt>
                <c:pt idx="173">
                  <c:v>469.75</c:v>
                </c:pt>
                <c:pt idx="174">
                  <c:v>500.5</c:v>
                </c:pt>
                <c:pt idx="175">
                  <c:v>530.375</c:v>
                </c:pt>
                <c:pt idx="176">
                  <c:v>560.125</c:v>
                </c:pt>
                <c:pt idx="177">
                  <c:v>586.875</c:v>
                </c:pt>
                <c:pt idx="178">
                  <c:v>603.125</c:v>
                </c:pt>
                <c:pt idx="179">
                  <c:v>628.125</c:v>
                </c:pt>
                <c:pt idx="180">
                  <c:v>653.625</c:v>
                </c:pt>
                <c:pt idx="181">
                  <c:v>677.875</c:v>
                </c:pt>
                <c:pt idx="182">
                  <c:v>708</c:v>
                </c:pt>
                <c:pt idx="183">
                  <c:v>726.625</c:v>
                </c:pt>
                <c:pt idx="184">
                  <c:v>747.75</c:v>
                </c:pt>
                <c:pt idx="185">
                  <c:v>778.875</c:v>
                </c:pt>
                <c:pt idx="186">
                  <c:v>802.5</c:v>
                </c:pt>
                <c:pt idx="187">
                  <c:v>817.25</c:v>
                </c:pt>
                <c:pt idx="188">
                  <c:v>839.75</c:v>
                </c:pt>
                <c:pt idx="189">
                  <c:v>857.375</c:v>
                </c:pt>
                <c:pt idx="190">
                  <c:v>850.625</c:v>
                </c:pt>
                <c:pt idx="191">
                  <c:v>861.125</c:v>
                </c:pt>
                <c:pt idx="192">
                  <c:v>856.375</c:v>
                </c:pt>
                <c:pt idx="193">
                  <c:v>846</c:v>
                </c:pt>
                <c:pt idx="194">
                  <c:v>854.375</c:v>
                </c:pt>
                <c:pt idx="195">
                  <c:v>855</c:v>
                </c:pt>
                <c:pt idx="196">
                  <c:v>848.875</c:v>
                </c:pt>
                <c:pt idx="197">
                  <c:v>843.75</c:v>
                </c:pt>
                <c:pt idx="198">
                  <c:v>840.875</c:v>
                </c:pt>
                <c:pt idx="199">
                  <c:v>830.5</c:v>
                </c:pt>
                <c:pt idx="200">
                  <c:v>826.25</c:v>
                </c:pt>
                <c:pt idx="201">
                  <c:v>818.875</c:v>
                </c:pt>
                <c:pt idx="202">
                  <c:v>798.5</c:v>
                </c:pt>
                <c:pt idx="203">
                  <c:v>779.625</c:v>
                </c:pt>
                <c:pt idx="204">
                  <c:v>753.25</c:v>
                </c:pt>
                <c:pt idx="205">
                  <c:v>732</c:v>
                </c:pt>
                <c:pt idx="206">
                  <c:v>716.125</c:v>
                </c:pt>
                <c:pt idx="207">
                  <c:v>693</c:v>
                </c:pt>
                <c:pt idx="208">
                  <c:v>667.875</c:v>
                </c:pt>
                <c:pt idx="209">
                  <c:v>647.25</c:v>
                </c:pt>
                <c:pt idx="210">
                  <c:v>619.875</c:v>
                </c:pt>
                <c:pt idx="211">
                  <c:v>599.875</c:v>
                </c:pt>
                <c:pt idx="212">
                  <c:v>577.75</c:v>
                </c:pt>
                <c:pt idx="213">
                  <c:v>548.875</c:v>
                </c:pt>
                <c:pt idx="214">
                  <c:v>521.75</c:v>
                </c:pt>
                <c:pt idx="215">
                  <c:v>495.75</c:v>
                </c:pt>
                <c:pt idx="216">
                  <c:v>475.125</c:v>
                </c:pt>
                <c:pt idx="217">
                  <c:v>449.125</c:v>
                </c:pt>
                <c:pt idx="218">
                  <c:v>424.625</c:v>
                </c:pt>
                <c:pt idx="219">
                  <c:v>397.375</c:v>
                </c:pt>
                <c:pt idx="220">
                  <c:v>374.875</c:v>
                </c:pt>
                <c:pt idx="221">
                  <c:v>355.625</c:v>
                </c:pt>
                <c:pt idx="222">
                  <c:v>332</c:v>
                </c:pt>
                <c:pt idx="223">
                  <c:v>310.25</c:v>
                </c:pt>
                <c:pt idx="224">
                  <c:v>287.75</c:v>
                </c:pt>
                <c:pt idx="225">
                  <c:v>263.875</c:v>
                </c:pt>
                <c:pt idx="226">
                  <c:v>248.25</c:v>
                </c:pt>
                <c:pt idx="227">
                  <c:v>227.875</c:v>
                </c:pt>
                <c:pt idx="228">
                  <c:v>211.75</c:v>
                </c:pt>
                <c:pt idx="229">
                  <c:v>192.875</c:v>
                </c:pt>
                <c:pt idx="230">
                  <c:v>180</c:v>
                </c:pt>
                <c:pt idx="231">
                  <c:v>168.5</c:v>
                </c:pt>
                <c:pt idx="232">
                  <c:v>156.75</c:v>
                </c:pt>
                <c:pt idx="233">
                  <c:v>145.25</c:v>
                </c:pt>
                <c:pt idx="234">
                  <c:v>131.625</c:v>
                </c:pt>
                <c:pt idx="235">
                  <c:v>123.5</c:v>
                </c:pt>
                <c:pt idx="236">
                  <c:v>111.875</c:v>
                </c:pt>
                <c:pt idx="237">
                  <c:v>105.625</c:v>
                </c:pt>
                <c:pt idx="238">
                  <c:v>95.125</c:v>
                </c:pt>
                <c:pt idx="239">
                  <c:v>87.5</c:v>
                </c:pt>
                <c:pt idx="240">
                  <c:v>78.375</c:v>
                </c:pt>
                <c:pt idx="241">
                  <c:v>73.25</c:v>
                </c:pt>
                <c:pt idx="242">
                  <c:v>68.5</c:v>
                </c:pt>
                <c:pt idx="243">
                  <c:v>62.375</c:v>
                </c:pt>
                <c:pt idx="244">
                  <c:v>57.875</c:v>
                </c:pt>
                <c:pt idx="245">
                  <c:v>51.375</c:v>
                </c:pt>
                <c:pt idx="246">
                  <c:v>46.75</c:v>
                </c:pt>
                <c:pt idx="247">
                  <c:v>41.875</c:v>
                </c:pt>
                <c:pt idx="248">
                  <c:v>39</c:v>
                </c:pt>
                <c:pt idx="249">
                  <c:v>35.25</c:v>
                </c:pt>
                <c:pt idx="250">
                  <c:v>30.5</c:v>
                </c:pt>
                <c:pt idx="251">
                  <c:v>27.75</c:v>
                </c:pt>
                <c:pt idx="252">
                  <c:v>24.875</c:v>
                </c:pt>
                <c:pt idx="253">
                  <c:v>23.5</c:v>
                </c:pt>
                <c:pt idx="254">
                  <c:v>20.875</c:v>
                </c:pt>
                <c:pt idx="255">
                  <c:v>18.5</c:v>
                </c:pt>
                <c:pt idx="256">
                  <c:v>16</c:v>
                </c:pt>
                <c:pt idx="257">
                  <c:v>14.375</c:v>
                </c:pt>
                <c:pt idx="258">
                  <c:v>13.375</c:v>
                </c:pt>
                <c:pt idx="259">
                  <c:v>12.875</c:v>
                </c:pt>
                <c:pt idx="260">
                  <c:v>12.5</c:v>
                </c:pt>
                <c:pt idx="261">
                  <c:v>11</c:v>
                </c:pt>
                <c:pt idx="262">
                  <c:v>11</c:v>
                </c:pt>
                <c:pt idx="263">
                  <c:v>11.625</c:v>
                </c:pt>
                <c:pt idx="264">
                  <c:v>11.5</c:v>
                </c:pt>
                <c:pt idx="265">
                  <c:v>10</c:v>
                </c:pt>
                <c:pt idx="266">
                  <c:v>10.125</c:v>
                </c:pt>
                <c:pt idx="267">
                  <c:v>8.75</c:v>
                </c:pt>
                <c:pt idx="268">
                  <c:v>8.625</c:v>
                </c:pt>
                <c:pt idx="269">
                  <c:v>8.375</c:v>
                </c:pt>
                <c:pt idx="270">
                  <c:v>8</c:v>
                </c:pt>
                <c:pt idx="271">
                  <c:v>6.25</c:v>
                </c:pt>
                <c:pt idx="272">
                  <c:v>5.75</c:v>
                </c:pt>
                <c:pt idx="273">
                  <c:v>6</c:v>
                </c:pt>
                <c:pt idx="274">
                  <c:v>5.625</c:v>
                </c:pt>
                <c:pt idx="275">
                  <c:v>6</c:v>
                </c:pt>
                <c:pt idx="276">
                  <c:v>5</c:v>
                </c:pt>
                <c:pt idx="277">
                  <c:v>5</c:v>
                </c:pt>
                <c:pt idx="278">
                  <c:v>5</c:v>
                </c:pt>
                <c:pt idx="279">
                  <c:v>5.875</c:v>
                </c:pt>
                <c:pt idx="280">
                  <c:v>5.875</c:v>
                </c:pt>
                <c:pt idx="281">
                  <c:v>5.625</c:v>
                </c:pt>
                <c:pt idx="282">
                  <c:v>5.75</c:v>
                </c:pt>
                <c:pt idx="283">
                  <c:v>5.375</c:v>
                </c:pt>
                <c:pt idx="284">
                  <c:v>5.125</c:v>
                </c:pt>
                <c:pt idx="285">
                  <c:v>5.125</c:v>
                </c:pt>
                <c:pt idx="286">
                  <c:v>4.625</c:v>
                </c:pt>
                <c:pt idx="287">
                  <c:v>3.875</c:v>
                </c:pt>
                <c:pt idx="288">
                  <c:v>4.5</c:v>
                </c:pt>
                <c:pt idx="289">
                  <c:v>4.5</c:v>
                </c:pt>
                <c:pt idx="290">
                  <c:v>4.375</c:v>
                </c:pt>
                <c:pt idx="291">
                  <c:v>4.25</c:v>
                </c:pt>
                <c:pt idx="292">
                  <c:v>4.5</c:v>
                </c:pt>
                <c:pt idx="293">
                  <c:v>4.5</c:v>
                </c:pt>
                <c:pt idx="294">
                  <c:v>4.875</c:v>
                </c:pt>
                <c:pt idx="295">
                  <c:v>4.75</c:v>
                </c:pt>
                <c:pt idx="296">
                  <c:v>4.25</c:v>
                </c:pt>
                <c:pt idx="297">
                  <c:v>4.125</c:v>
                </c:pt>
                <c:pt idx="298">
                  <c:v>3.875</c:v>
                </c:pt>
                <c:pt idx="299">
                  <c:v>4.375</c:v>
                </c:pt>
                <c:pt idx="300">
                  <c:v>4</c:v>
                </c:pt>
                <c:pt idx="301">
                  <c:v>4.25</c:v>
                </c:pt>
                <c:pt idx="302">
                  <c:v>4.25</c:v>
                </c:pt>
                <c:pt idx="303">
                  <c:v>4.125</c:v>
                </c:pt>
                <c:pt idx="304">
                  <c:v>4.125</c:v>
                </c:pt>
                <c:pt idx="305">
                  <c:v>4.375</c:v>
                </c:pt>
                <c:pt idx="306">
                  <c:v>4.5</c:v>
                </c:pt>
                <c:pt idx="307">
                  <c:v>4.25</c:v>
                </c:pt>
                <c:pt idx="308">
                  <c:v>4.375</c:v>
                </c:pt>
                <c:pt idx="309">
                  <c:v>4</c:v>
                </c:pt>
                <c:pt idx="310">
                  <c:v>3.875</c:v>
                </c:pt>
                <c:pt idx="311">
                  <c:v>4.125</c:v>
                </c:pt>
                <c:pt idx="312">
                  <c:v>3.75</c:v>
                </c:pt>
                <c:pt idx="313">
                  <c:v>3.375</c:v>
                </c:pt>
                <c:pt idx="314">
                  <c:v>3.125</c:v>
                </c:pt>
                <c:pt idx="315">
                  <c:v>3.25</c:v>
                </c:pt>
                <c:pt idx="316">
                  <c:v>3.125</c:v>
                </c:pt>
                <c:pt idx="317">
                  <c:v>3.375</c:v>
                </c:pt>
                <c:pt idx="318">
                  <c:v>3.125</c:v>
                </c:pt>
                <c:pt idx="319">
                  <c:v>3.25</c:v>
                </c:pt>
                <c:pt idx="320">
                  <c:v>3.625</c:v>
                </c:pt>
                <c:pt idx="321">
                  <c:v>3.75</c:v>
                </c:pt>
                <c:pt idx="322">
                  <c:v>4</c:v>
                </c:pt>
                <c:pt idx="323">
                  <c:v>3.625</c:v>
                </c:pt>
                <c:pt idx="324">
                  <c:v>3.75</c:v>
                </c:pt>
                <c:pt idx="325">
                  <c:v>3.375</c:v>
                </c:pt>
                <c:pt idx="326">
                  <c:v>3.625</c:v>
                </c:pt>
                <c:pt idx="327">
                  <c:v>3.5</c:v>
                </c:pt>
                <c:pt idx="328">
                  <c:v>3.5</c:v>
                </c:pt>
                <c:pt idx="329">
                  <c:v>3.5</c:v>
                </c:pt>
                <c:pt idx="330">
                  <c:v>3.875</c:v>
                </c:pt>
                <c:pt idx="331">
                  <c:v>3.875</c:v>
                </c:pt>
                <c:pt idx="332">
                  <c:v>4.375</c:v>
                </c:pt>
                <c:pt idx="333">
                  <c:v>4.5</c:v>
                </c:pt>
                <c:pt idx="334">
                  <c:v>4.75</c:v>
                </c:pt>
                <c:pt idx="335">
                  <c:v>5</c:v>
                </c:pt>
                <c:pt idx="336">
                  <c:v>4.625</c:v>
                </c:pt>
                <c:pt idx="337">
                  <c:v>5.375</c:v>
                </c:pt>
                <c:pt idx="338">
                  <c:v>5.125</c:v>
                </c:pt>
                <c:pt idx="339">
                  <c:v>5.375</c:v>
                </c:pt>
                <c:pt idx="340">
                  <c:v>5</c:v>
                </c:pt>
                <c:pt idx="341">
                  <c:v>5.25</c:v>
                </c:pt>
                <c:pt idx="342">
                  <c:v>5.125</c:v>
                </c:pt>
                <c:pt idx="343">
                  <c:v>5.125</c:v>
                </c:pt>
                <c:pt idx="344">
                  <c:v>5.625</c:v>
                </c:pt>
                <c:pt idx="345">
                  <c:v>4.5</c:v>
                </c:pt>
                <c:pt idx="346">
                  <c:v>4.25</c:v>
                </c:pt>
                <c:pt idx="347">
                  <c:v>4.5</c:v>
                </c:pt>
                <c:pt idx="348">
                  <c:v>4.375</c:v>
                </c:pt>
                <c:pt idx="349">
                  <c:v>4.875</c:v>
                </c:pt>
                <c:pt idx="350">
                  <c:v>4.875</c:v>
                </c:pt>
                <c:pt idx="351">
                  <c:v>4.5</c:v>
                </c:pt>
                <c:pt idx="352">
                  <c:v>4</c:v>
                </c:pt>
                <c:pt idx="353">
                  <c:v>4.625</c:v>
                </c:pt>
                <c:pt idx="354">
                  <c:v>5.125</c:v>
                </c:pt>
                <c:pt idx="355">
                  <c:v>4.875</c:v>
                </c:pt>
                <c:pt idx="356">
                  <c:v>5.625</c:v>
                </c:pt>
                <c:pt idx="357">
                  <c:v>5.125</c:v>
                </c:pt>
                <c:pt idx="358">
                  <c:v>5</c:v>
                </c:pt>
                <c:pt idx="359">
                  <c:v>5.375</c:v>
                </c:pt>
                <c:pt idx="360">
                  <c:v>5.875</c:v>
                </c:pt>
                <c:pt idx="361">
                  <c:v>5.625</c:v>
                </c:pt>
                <c:pt idx="362">
                  <c:v>5.375</c:v>
                </c:pt>
                <c:pt idx="363">
                  <c:v>5.125</c:v>
                </c:pt>
                <c:pt idx="364">
                  <c:v>4.5</c:v>
                </c:pt>
                <c:pt idx="365">
                  <c:v>4.5</c:v>
                </c:pt>
                <c:pt idx="366">
                  <c:v>4.625</c:v>
                </c:pt>
                <c:pt idx="367">
                  <c:v>4.25</c:v>
                </c:pt>
                <c:pt idx="368">
                  <c:v>4.125</c:v>
                </c:pt>
                <c:pt idx="369">
                  <c:v>4.125</c:v>
                </c:pt>
                <c:pt idx="370">
                  <c:v>4.5</c:v>
                </c:pt>
                <c:pt idx="371">
                  <c:v>4.625</c:v>
                </c:pt>
                <c:pt idx="372">
                  <c:v>4.875</c:v>
                </c:pt>
                <c:pt idx="373">
                  <c:v>5.25</c:v>
                </c:pt>
                <c:pt idx="374">
                  <c:v>5.125</c:v>
                </c:pt>
                <c:pt idx="375">
                  <c:v>5.5</c:v>
                </c:pt>
                <c:pt idx="376">
                  <c:v>5.375</c:v>
                </c:pt>
                <c:pt idx="377">
                  <c:v>5.625</c:v>
                </c:pt>
                <c:pt idx="378">
                  <c:v>5.5</c:v>
                </c:pt>
                <c:pt idx="379">
                  <c:v>5.5</c:v>
                </c:pt>
                <c:pt idx="380">
                  <c:v>5.375</c:v>
                </c:pt>
                <c:pt idx="381">
                  <c:v>4.875</c:v>
                </c:pt>
                <c:pt idx="382">
                  <c:v>5.375</c:v>
                </c:pt>
                <c:pt idx="383">
                  <c:v>5.625</c:v>
                </c:pt>
                <c:pt idx="384">
                  <c:v>5.5</c:v>
                </c:pt>
                <c:pt idx="385">
                  <c:v>5.375</c:v>
                </c:pt>
                <c:pt idx="386">
                  <c:v>5</c:v>
                </c:pt>
                <c:pt idx="387">
                  <c:v>4.75</c:v>
                </c:pt>
                <c:pt idx="388">
                  <c:v>4.5</c:v>
                </c:pt>
                <c:pt idx="389">
                  <c:v>4.375</c:v>
                </c:pt>
                <c:pt idx="390">
                  <c:v>3.5</c:v>
                </c:pt>
                <c:pt idx="391">
                  <c:v>3.25</c:v>
                </c:pt>
                <c:pt idx="392">
                  <c:v>3.125</c:v>
                </c:pt>
                <c:pt idx="393">
                  <c:v>3.125</c:v>
                </c:pt>
                <c:pt idx="394">
                  <c:v>3.875</c:v>
                </c:pt>
                <c:pt idx="395">
                  <c:v>3.625</c:v>
                </c:pt>
                <c:pt idx="396">
                  <c:v>4.125</c:v>
                </c:pt>
                <c:pt idx="397">
                  <c:v>4.125</c:v>
                </c:pt>
                <c:pt idx="398">
                  <c:v>4.75</c:v>
                </c:pt>
                <c:pt idx="399">
                  <c:v>4.75</c:v>
                </c:pt>
                <c:pt idx="400">
                  <c:v>5.125</c:v>
                </c:pt>
                <c:pt idx="401">
                  <c:v>5.125</c:v>
                </c:pt>
                <c:pt idx="402">
                  <c:v>4.625</c:v>
                </c:pt>
                <c:pt idx="403">
                  <c:v>5.25</c:v>
                </c:pt>
                <c:pt idx="404">
                  <c:v>5.375</c:v>
                </c:pt>
                <c:pt idx="405">
                  <c:v>5.125</c:v>
                </c:pt>
                <c:pt idx="406">
                  <c:v>4.75</c:v>
                </c:pt>
                <c:pt idx="407">
                  <c:v>4.875</c:v>
                </c:pt>
                <c:pt idx="408">
                  <c:v>4.25</c:v>
                </c:pt>
                <c:pt idx="409">
                  <c:v>4</c:v>
                </c:pt>
                <c:pt idx="410">
                  <c:v>3.625</c:v>
                </c:pt>
                <c:pt idx="411">
                  <c:v>3.25</c:v>
                </c:pt>
                <c:pt idx="412">
                  <c:v>2.625</c:v>
                </c:pt>
                <c:pt idx="413">
                  <c:v>2.875</c:v>
                </c:pt>
                <c:pt idx="414">
                  <c:v>2.875</c:v>
                </c:pt>
                <c:pt idx="415">
                  <c:v>2.5</c:v>
                </c:pt>
                <c:pt idx="416">
                  <c:v>3</c:v>
                </c:pt>
                <c:pt idx="417">
                  <c:v>2.75</c:v>
                </c:pt>
                <c:pt idx="418">
                  <c:v>2.375</c:v>
                </c:pt>
                <c:pt idx="419">
                  <c:v>2.25</c:v>
                </c:pt>
                <c:pt idx="420">
                  <c:v>2.25</c:v>
                </c:pt>
                <c:pt idx="421">
                  <c:v>2.125</c:v>
                </c:pt>
                <c:pt idx="422">
                  <c:v>1.875</c:v>
                </c:pt>
                <c:pt idx="423">
                  <c:v>1.875</c:v>
                </c:pt>
                <c:pt idx="424">
                  <c:v>1.5</c:v>
                </c:pt>
                <c:pt idx="425">
                  <c:v>2</c:v>
                </c:pt>
                <c:pt idx="426">
                  <c:v>2.25</c:v>
                </c:pt>
                <c:pt idx="427">
                  <c:v>2.125</c:v>
                </c:pt>
                <c:pt idx="428">
                  <c:v>2.125</c:v>
                </c:pt>
                <c:pt idx="429">
                  <c:v>2.125</c:v>
                </c:pt>
                <c:pt idx="430">
                  <c:v>2.25</c:v>
                </c:pt>
                <c:pt idx="431">
                  <c:v>2.125</c:v>
                </c:pt>
                <c:pt idx="432">
                  <c:v>1.875</c:v>
                </c:pt>
                <c:pt idx="433">
                  <c:v>1.625</c:v>
                </c:pt>
                <c:pt idx="434">
                  <c:v>1.5</c:v>
                </c:pt>
                <c:pt idx="435">
                  <c:v>1.625</c:v>
                </c:pt>
                <c:pt idx="436">
                  <c:v>1.5</c:v>
                </c:pt>
                <c:pt idx="437">
                  <c:v>1.25</c:v>
                </c:pt>
                <c:pt idx="438">
                  <c:v>1.125</c:v>
                </c:pt>
                <c:pt idx="439">
                  <c:v>0.875</c:v>
                </c:pt>
                <c:pt idx="440">
                  <c:v>1.25</c:v>
                </c:pt>
                <c:pt idx="441">
                  <c:v>1</c:v>
                </c:pt>
                <c:pt idx="442">
                  <c:v>0.875</c:v>
                </c:pt>
                <c:pt idx="443">
                  <c:v>0.875</c:v>
                </c:pt>
                <c:pt idx="444">
                  <c:v>0.875</c:v>
                </c:pt>
                <c:pt idx="445">
                  <c:v>0.875</c:v>
                </c:pt>
                <c:pt idx="446">
                  <c:v>1.25</c:v>
                </c:pt>
                <c:pt idx="447">
                  <c:v>1.5</c:v>
                </c:pt>
                <c:pt idx="448">
                  <c:v>1.125</c:v>
                </c:pt>
                <c:pt idx="449">
                  <c:v>1</c:v>
                </c:pt>
                <c:pt idx="450">
                  <c:v>1</c:v>
                </c:pt>
                <c:pt idx="451">
                  <c:v>1.25</c:v>
                </c:pt>
                <c:pt idx="452">
                  <c:v>1.25</c:v>
                </c:pt>
                <c:pt idx="453">
                  <c:v>1.25</c:v>
                </c:pt>
                <c:pt idx="454">
                  <c:v>0.875</c:v>
                </c:pt>
                <c:pt idx="455">
                  <c:v>0.625</c:v>
                </c:pt>
                <c:pt idx="456">
                  <c:v>0.625</c:v>
                </c:pt>
                <c:pt idx="457">
                  <c:v>0.875</c:v>
                </c:pt>
                <c:pt idx="458">
                  <c:v>0.875</c:v>
                </c:pt>
                <c:pt idx="459">
                  <c:v>0.5</c:v>
                </c:pt>
                <c:pt idx="460">
                  <c:v>0.375</c:v>
                </c:pt>
                <c:pt idx="461">
                  <c:v>0.375</c:v>
                </c:pt>
                <c:pt idx="462">
                  <c:v>0.375</c:v>
                </c:pt>
                <c:pt idx="463">
                  <c:v>0.5</c:v>
                </c:pt>
                <c:pt idx="464">
                  <c:v>0.5</c:v>
                </c:pt>
                <c:pt idx="465">
                  <c:v>0.25</c:v>
                </c:pt>
                <c:pt idx="466">
                  <c:v>0.25</c:v>
                </c:pt>
                <c:pt idx="467">
                  <c:v>0.375</c:v>
                </c:pt>
                <c:pt idx="468">
                  <c:v>0.5</c:v>
                </c:pt>
                <c:pt idx="469">
                  <c:v>0.625</c:v>
                </c:pt>
                <c:pt idx="470">
                  <c:v>0.625</c:v>
                </c:pt>
                <c:pt idx="471">
                  <c:v>0.5</c:v>
                </c:pt>
                <c:pt idx="472">
                  <c:v>0.5</c:v>
                </c:pt>
                <c:pt idx="473">
                  <c:v>0.5</c:v>
                </c:pt>
                <c:pt idx="474">
                  <c:v>0.5</c:v>
                </c:pt>
                <c:pt idx="475">
                  <c:v>0.625</c:v>
                </c:pt>
                <c:pt idx="476">
                  <c:v>0.5</c:v>
                </c:pt>
                <c:pt idx="477">
                  <c:v>0.375</c:v>
                </c:pt>
                <c:pt idx="478">
                  <c:v>0.25</c:v>
                </c:pt>
                <c:pt idx="479">
                  <c:v>0.375</c:v>
                </c:pt>
                <c:pt idx="480">
                  <c:v>0.5</c:v>
                </c:pt>
                <c:pt idx="481">
                  <c:v>0.625</c:v>
                </c:pt>
                <c:pt idx="482">
                  <c:v>0.625</c:v>
                </c:pt>
                <c:pt idx="483">
                  <c:v>0.375</c:v>
                </c:pt>
                <c:pt idx="484">
                  <c:v>0.375</c:v>
                </c:pt>
                <c:pt idx="485">
                  <c:v>0.375</c:v>
                </c:pt>
                <c:pt idx="486">
                  <c:v>0.5</c:v>
                </c:pt>
                <c:pt idx="487">
                  <c:v>0.625</c:v>
                </c:pt>
                <c:pt idx="488">
                  <c:v>0.5</c:v>
                </c:pt>
                <c:pt idx="489">
                  <c:v>0.375</c:v>
                </c:pt>
                <c:pt idx="490">
                  <c:v>0.375</c:v>
                </c:pt>
                <c:pt idx="491">
                  <c:v>0.375</c:v>
                </c:pt>
                <c:pt idx="492">
                  <c:v>0.5</c:v>
                </c:pt>
                <c:pt idx="493">
                  <c:v>0.5</c:v>
                </c:pt>
                <c:pt idx="494">
                  <c:v>0.375</c:v>
                </c:pt>
                <c:pt idx="495">
                  <c:v>0.125</c:v>
                </c:pt>
                <c:pt idx="496">
                  <c:v>0.125</c:v>
                </c:pt>
                <c:pt idx="497">
                  <c:v>0.125</c:v>
                </c:pt>
                <c:pt idx="498">
                  <c:v>0.25</c:v>
                </c:pt>
                <c:pt idx="499">
                  <c:v>0.25</c:v>
                </c:pt>
                <c:pt idx="500">
                  <c:v>0.125</c:v>
                </c:pt>
                <c:pt idx="501">
                  <c:v>0.25</c:v>
                </c:pt>
                <c:pt idx="502">
                  <c:v>0.25</c:v>
                </c:pt>
                <c:pt idx="503">
                  <c:v>0.375</c:v>
                </c:pt>
                <c:pt idx="504">
                  <c:v>0.5</c:v>
                </c:pt>
                <c:pt idx="505">
                  <c:v>0.5</c:v>
                </c:pt>
                <c:pt idx="506">
                  <c:v>0.5</c:v>
                </c:pt>
                <c:pt idx="507">
                  <c:v>0.5</c:v>
                </c:pt>
                <c:pt idx="508">
                  <c:v>0.625</c:v>
                </c:pt>
                <c:pt idx="509">
                  <c:v>0.5</c:v>
                </c:pt>
                <c:pt idx="510">
                  <c:v>0.625</c:v>
                </c:pt>
                <c:pt idx="511">
                  <c:v>0.5</c:v>
                </c:pt>
                <c:pt idx="512">
                  <c:v>0.375</c:v>
                </c:pt>
                <c:pt idx="513">
                  <c:v>0.5</c:v>
                </c:pt>
                <c:pt idx="514">
                  <c:v>0.375</c:v>
                </c:pt>
                <c:pt idx="515">
                  <c:v>0.5</c:v>
                </c:pt>
                <c:pt idx="516">
                  <c:v>0.5</c:v>
                </c:pt>
                <c:pt idx="517">
                  <c:v>0.5</c:v>
                </c:pt>
                <c:pt idx="518">
                  <c:v>0.375</c:v>
                </c:pt>
                <c:pt idx="519">
                  <c:v>0.375</c:v>
                </c:pt>
                <c:pt idx="520">
                  <c:v>0.5</c:v>
                </c:pt>
                <c:pt idx="521">
                  <c:v>0.375</c:v>
                </c:pt>
                <c:pt idx="522">
                  <c:v>0.375</c:v>
                </c:pt>
                <c:pt idx="523">
                  <c:v>0.25</c:v>
                </c:pt>
                <c:pt idx="524">
                  <c:v>0.25</c:v>
                </c:pt>
                <c:pt idx="525">
                  <c:v>0.25</c:v>
                </c:pt>
                <c:pt idx="526">
                  <c:v>0.25</c:v>
                </c:pt>
                <c:pt idx="527">
                  <c:v>0.25</c:v>
                </c:pt>
                <c:pt idx="528">
                  <c:v>0.25</c:v>
                </c:pt>
                <c:pt idx="529">
                  <c:v>0.375</c:v>
                </c:pt>
                <c:pt idx="530">
                  <c:v>0.5</c:v>
                </c:pt>
                <c:pt idx="531">
                  <c:v>0.5</c:v>
                </c:pt>
                <c:pt idx="532">
                  <c:v>0.375</c:v>
                </c:pt>
                <c:pt idx="533">
                  <c:v>0.375</c:v>
                </c:pt>
                <c:pt idx="534">
                  <c:v>0.375</c:v>
                </c:pt>
                <c:pt idx="535">
                  <c:v>0.375</c:v>
                </c:pt>
                <c:pt idx="536">
                  <c:v>0.25</c:v>
                </c:pt>
                <c:pt idx="537">
                  <c:v>0.125</c:v>
                </c:pt>
                <c:pt idx="538">
                  <c:v>0.125</c:v>
                </c:pt>
                <c:pt idx="539">
                  <c:v>0.125</c:v>
                </c:pt>
                <c:pt idx="540">
                  <c:v>0.125</c:v>
                </c:pt>
                <c:pt idx="541">
                  <c:v>0.125</c:v>
                </c:pt>
                <c:pt idx="542">
                  <c:v>0.125</c:v>
                </c:pt>
                <c:pt idx="543">
                  <c:v>0.25</c:v>
                </c:pt>
                <c:pt idx="544">
                  <c:v>0.375</c:v>
                </c:pt>
                <c:pt idx="545">
                  <c:v>0.375</c:v>
                </c:pt>
                <c:pt idx="546">
                  <c:v>0.375</c:v>
                </c:pt>
                <c:pt idx="547">
                  <c:v>0.375</c:v>
                </c:pt>
                <c:pt idx="548">
                  <c:v>0.5</c:v>
                </c:pt>
                <c:pt idx="549">
                  <c:v>0.5</c:v>
                </c:pt>
                <c:pt idx="550">
                  <c:v>0.625</c:v>
                </c:pt>
                <c:pt idx="551">
                  <c:v>0.625</c:v>
                </c:pt>
                <c:pt idx="552">
                  <c:v>0.5</c:v>
                </c:pt>
                <c:pt idx="553">
                  <c:v>0.5</c:v>
                </c:pt>
                <c:pt idx="554">
                  <c:v>0.375</c:v>
                </c:pt>
                <c:pt idx="555">
                  <c:v>0.5</c:v>
                </c:pt>
                <c:pt idx="556">
                  <c:v>0.5</c:v>
                </c:pt>
                <c:pt idx="557">
                  <c:v>0.5</c:v>
                </c:pt>
                <c:pt idx="558">
                  <c:v>0.5</c:v>
                </c:pt>
                <c:pt idx="559">
                  <c:v>0.375</c:v>
                </c:pt>
                <c:pt idx="560">
                  <c:v>0.375</c:v>
                </c:pt>
                <c:pt idx="561">
                  <c:v>0.5</c:v>
                </c:pt>
                <c:pt idx="562">
                  <c:v>0.5</c:v>
                </c:pt>
                <c:pt idx="563">
                  <c:v>0.375</c:v>
                </c:pt>
                <c:pt idx="564">
                  <c:v>0.25</c:v>
                </c:pt>
                <c:pt idx="565">
                  <c:v>0.375</c:v>
                </c:pt>
                <c:pt idx="566">
                  <c:v>0.25</c:v>
                </c:pt>
                <c:pt idx="567">
                  <c:v>0.25</c:v>
                </c:pt>
                <c:pt idx="568">
                  <c:v>0.25</c:v>
                </c:pt>
                <c:pt idx="569">
                  <c:v>0.25</c:v>
                </c:pt>
                <c:pt idx="570">
                  <c:v>0.25</c:v>
                </c:pt>
                <c:pt idx="571">
                  <c:v>0.375</c:v>
                </c:pt>
                <c:pt idx="572">
                  <c:v>0.375</c:v>
                </c:pt>
                <c:pt idx="573">
                  <c:v>0.25</c:v>
                </c:pt>
                <c:pt idx="574">
                  <c:v>0.375</c:v>
                </c:pt>
                <c:pt idx="575">
                  <c:v>0.375</c:v>
                </c:pt>
                <c:pt idx="576">
                  <c:v>0.5</c:v>
                </c:pt>
                <c:pt idx="577">
                  <c:v>0.375</c:v>
                </c:pt>
                <c:pt idx="578">
                  <c:v>0.5</c:v>
                </c:pt>
                <c:pt idx="579">
                  <c:v>0.375</c:v>
                </c:pt>
                <c:pt idx="580">
                  <c:v>0.5</c:v>
                </c:pt>
                <c:pt idx="581">
                  <c:v>0.75</c:v>
                </c:pt>
                <c:pt idx="582">
                  <c:v>0.625</c:v>
                </c:pt>
                <c:pt idx="583">
                  <c:v>0.625</c:v>
                </c:pt>
                <c:pt idx="584">
                  <c:v>0.5</c:v>
                </c:pt>
                <c:pt idx="585">
                  <c:v>0.625</c:v>
                </c:pt>
                <c:pt idx="586">
                  <c:v>0.5</c:v>
                </c:pt>
                <c:pt idx="587">
                  <c:v>0.5</c:v>
                </c:pt>
                <c:pt idx="588">
                  <c:v>0.375</c:v>
                </c:pt>
                <c:pt idx="589">
                  <c:v>0.5</c:v>
                </c:pt>
                <c:pt idx="590">
                  <c:v>0.75</c:v>
                </c:pt>
                <c:pt idx="591">
                  <c:v>0.75</c:v>
                </c:pt>
                <c:pt idx="592">
                  <c:v>0.75</c:v>
                </c:pt>
                <c:pt idx="593">
                  <c:v>0.625</c:v>
                </c:pt>
                <c:pt idx="594">
                  <c:v>0.75</c:v>
                </c:pt>
                <c:pt idx="595">
                  <c:v>0.75</c:v>
                </c:pt>
                <c:pt idx="596">
                  <c:v>0.75</c:v>
                </c:pt>
                <c:pt idx="597">
                  <c:v>0.625</c:v>
                </c:pt>
                <c:pt idx="598">
                  <c:v>0.375</c:v>
                </c:pt>
                <c:pt idx="599">
                  <c:v>0.375</c:v>
                </c:pt>
                <c:pt idx="600">
                  <c:v>0.75</c:v>
                </c:pt>
                <c:pt idx="601">
                  <c:v>0.875</c:v>
                </c:pt>
                <c:pt idx="602">
                  <c:v>0.75</c:v>
                </c:pt>
                <c:pt idx="603">
                  <c:v>0.875</c:v>
                </c:pt>
                <c:pt idx="604">
                  <c:v>0.875</c:v>
                </c:pt>
                <c:pt idx="605">
                  <c:v>0.625</c:v>
                </c:pt>
                <c:pt idx="606">
                  <c:v>0.625</c:v>
                </c:pt>
                <c:pt idx="607">
                  <c:v>0.625</c:v>
                </c:pt>
                <c:pt idx="608">
                  <c:v>0.25</c:v>
                </c:pt>
                <c:pt idx="609">
                  <c:v>0.125</c:v>
                </c:pt>
                <c:pt idx="610">
                  <c:v>0.125</c:v>
                </c:pt>
                <c:pt idx="611">
                  <c:v>0</c:v>
                </c:pt>
                <c:pt idx="612">
                  <c:v>0</c:v>
                </c:pt>
                <c:pt idx="613">
                  <c:v>0</c:v>
                </c:pt>
                <c:pt idx="614">
                  <c:v>0.125</c:v>
                </c:pt>
                <c:pt idx="615">
                  <c:v>0.25</c:v>
                </c:pt>
                <c:pt idx="616">
                  <c:v>0.25</c:v>
                </c:pt>
                <c:pt idx="617">
                  <c:v>0.25</c:v>
                </c:pt>
                <c:pt idx="618">
                  <c:v>0.25</c:v>
                </c:pt>
                <c:pt idx="619">
                  <c:v>0.25</c:v>
                </c:pt>
                <c:pt idx="620">
                  <c:v>0.375</c:v>
                </c:pt>
                <c:pt idx="621">
                  <c:v>0.375</c:v>
                </c:pt>
                <c:pt idx="622">
                  <c:v>0.25</c:v>
                </c:pt>
                <c:pt idx="623">
                  <c:v>0.125</c:v>
                </c:pt>
                <c:pt idx="624">
                  <c:v>0.125</c:v>
                </c:pt>
                <c:pt idx="625">
                  <c:v>0.125</c:v>
                </c:pt>
                <c:pt idx="626">
                  <c:v>0.25</c:v>
                </c:pt>
                <c:pt idx="627">
                  <c:v>0.25</c:v>
                </c:pt>
                <c:pt idx="628">
                  <c:v>0.25</c:v>
                </c:pt>
                <c:pt idx="629">
                  <c:v>0.625</c:v>
                </c:pt>
                <c:pt idx="630">
                  <c:v>0.75</c:v>
                </c:pt>
                <c:pt idx="631">
                  <c:v>0.875</c:v>
                </c:pt>
                <c:pt idx="632">
                  <c:v>0.875</c:v>
                </c:pt>
                <c:pt idx="633">
                  <c:v>1</c:v>
                </c:pt>
                <c:pt idx="634">
                  <c:v>0.875</c:v>
                </c:pt>
                <c:pt idx="635">
                  <c:v>0.875</c:v>
                </c:pt>
                <c:pt idx="636">
                  <c:v>0.875</c:v>
                </c:pt>
                <c:pt idx="637">
                  <c:v>0.625</c:v>
                </c:pt>
                <c:pt idx="638">
                  <c:v>0.5</c:v>
                </c:pt>
                <c:pt idx="639">
                  <c:v>0.375</c:v>
                </c:pt>
                <c:pt idx="640">
                  <c:v>0.375</c:v>
                </c:pt>
                <c:pt idx="641">
                  <c:v>0.375</c:v>
                </c:pt>
                <c:pt idx="642">
                  <c:v>0.375</c:v>
                </c:pt>
                <c:pt idx="643">
                  <c:v>0.5</c:v>
                </c:pt>
                <c:pt idx="644">
                  <c:v>0.375</c:v>
                </c:pt>
                <c:pt idx="645">
                  <c:v>0.25</c:v>
                </c:pt>
                <c:pt idx="646">
                  <c:v>0.25</c:v>
                </c:pt>
                <c:pt idx="647">
                  <c:v>0.25</c:v>
                </c:pt>
                <c:pt idx="648">
                  <c:v>0.25</c:v>
                </c:pt>
                <c:pt idx="649">
                  <c:v>0.375</c:v>
                </c:pt>
                <c:pt idx="650">
                  <c:v>0.5</c:v>
                </c:pt>
                <c:pt idx="651">
                  <c:v>0.375</c:v>
                </c:pt>
                <c:pt idx="652">
                  <c:v>0.375</c:v>
                </c:pt>
                <c:pt idx="653">
                  <c:v>0.375</c:v>
                </c:pt>
                <c:pt idx="654">
                  <c:v>0.5</c:v>
                </c:pt>
                <c:pt idx="655">
                  <c:v>0.5</c:v>
                </c:pt>
                <c:pt idx="656">
                  <c:v>0.5</c:v>
                </c:pt>
                <c:pt idx="657">
                  <c:v>0.375</c:v>
                </c:pt>
                <c:pt idx="658">
                  <c:v>0.25</c:v>
                </c:pt>
                <c:pt idx="659">
                  <c:v>0.25</c:v>
                </c:pt>
                <c:pt idx="660">
                  <c:v>0.375</c:v>
                </c:pt>
                <c:pt idx="661">
                  <c:v>0.5</c:v>
                </c:pt>
                <c:pt idx="662">
                  <c:v>0.375</c:v>
                </c:pt>
                <c:pt idx="663">
                  <c:v>0.5</c:v>
                </c:pt>
                <c:pt idx="664">
                  <c:v>0.75</c:v>
                </c:pt>
                <c:pt idx="665">
                  <c:v>0.625</c:v>
                </c:pt>
                <c:pt idx="666">
                  <c:v>0.625</c:v>
                </c:pt>
                <c:pt idx="667">
                  <c:v>0.75</c:v>
                </c:pt>
                <c:pt idx="668">
                  <c:v>0.625</c:v>
                </c:pt>
                <c:pt idx="669">
                  <c:v>0.5</c:v>
                </c:pt>
                <c:pt idx="670">
                  <c:v>0.5</c:v>
                </c:pt>
                <c:pt idx="671">
                  <c:v>0.375</c:v>
                </c:pt>
                <c:pt idx="672">
                  <c:v>0.125</c:v>
                </c:pt>
                <c:pt idx="673">
                  <c:v>0.125</c:v>
                </c:pt>
                <c:pt idx="674">
                  <c:v>0.125</c:v>
                </c:pt>
                <c:pt idx="675">
                  <c:v>0</c:v>
                </c:pt>
                <c:pt idx="676">
                  <c:v>0</c:v>
                </c:pt>
                <c:pt idx="677">
                  <c:v>0.125</c:v>
                </c:pt>
                <c:pt idx="678">
                  <c:v>0.125</c:v>
                </c:pt>
                <c:pt idx="679">
                  <c:v>0.125</c:v>
                </c:pt>
                <c:pt idx="680">
                  <c:v>0.25</c:v>
                </c:pt>
                <c:pt idx="681">
                  <c:v>0.25</c:v>
                </c:pt>
                <c:pt idx="682">
                  <c:v>0.25</c:v>
                </c:pt>
                <c:pt idx="683">
                  <c:v>0.5</c:v>
                </c:pt>
              </c:numCache>
            </c:numRef>
          </c:yVal>
          <c:smooth val="0"/>
          <c:extLst>
            <c:ext xmlns:c16="http://schemas.microsoft.com/office/drawing/2014/chart" uri="{C3380CC4-5D6E-409C-BE32-E72D297353CC}">
              <c16:uniqueId val="{00000001-665F-49A8-86F0-7840CF079DC7}"/>
            </c:ext>
          </c:extLst>
        </c:ser>
        <c:dLbls>
          <c:showLegendKey val="0"/>
          <c:showVal val="0"/>
          <c:showCatName val="0"/>
          <c:showSerName val="0"/>
          <c:showPercent val="0"/>
          <c:showBubbleSize val="0"/>
        </c:dLbls>
        <c:axId val="38738457"/>
        <c:axId val="18142008"/>
      </c:scatterChart>
      <c:valAx>
        <c:axId val="38738457"/>
        <c:scaling>
          <c:orientation val="minMax"/>
          <c:max val="1000"/>
        </c:scaling>
        <c:delete val="0"/>
        <c:axPos val="b"/>
        <c:numFmt formatCode="General" sourceLinked="0"/>
        <c:majorTickMark val="out"/>
        <c:minorTickMark val="none"/>
        <c:tickLblPos val="nextTo"/>
        <c:spPr>
          <a:ln w="0">
            <a:solidFill>
              <a:srgbClr val="B3B3B3"/>
            </a:solidFill>
          </a:ln>
        </c:spPr>
        <c:txPr>
          <a:bodyPr/>
          <a:lstStyle/>
          <a:p>
            <a:pPr>
              <a:defRPr sz="1000" b="0" strike="noStrike" spc="-1">
                <a:solidFill>
                  <a:srgbClr val="000000"/>
                </a:solidFill>
                <a:latin typeface="Arial"/>
                <a:ea typeface="DejaVu Sans"/>
              </a:defRPr>
            </a:pPr>
            <a:endParaRPr lang="en-US"/>
          </a:p>
        </c:txPr>
        <c:crossAx val="18142008"/>
        <c:crosses val="autoZero"/>
        <c:crossBetween val="midCat"/>
        <c:majorUnit val="100"/>
      </c:valAx>
      <c:valAx>
        <c:axId val="18142008"/>
        <c:scaling>
          <c:orientation val="minMax"/>
        </c:scaling>
        <c:delete val="0"/>
        <c:axPos val="l"/>
        <c:majorGridlines>
          <c:spPr>
            <a:ln w="0">
              <a:solidFill>
                <a:srgbClr val="B3B3B3"/>
              </a:solidFill>
            </a:ln>
          </c:spPr>
        </c:majorGridlines>
        <c:numFmt formatCode="General" sourceLinked="0"/>
        <c:majorTickMark val="out"/>
        <c:minorTickMark val="none"/>
        <c:tickLblPos val="nextTo"/>
        <c:spPr>
          <a:ln w="0">
            <a:solidFill>
              <a:srgbClr val="B3B3B3"/>
            </a:solidFill>
          </a:ln>
        </c:spPr>
        <c:txPr>
          <a:bodyPr/>
          <a:lstStyle/>
          <a:p>
            <a:pPr>
              <a:defRPr sz="1000" b="0" strike="noStrike" spc="-1">
                <a:solidFill>
                  <a:srgbClr val="000000"/>
                </a:solidFill>
                <a:latin typeface="Arial"/>
                <a:ea typeface="DejaVu Sans"/>
              </a:defRPr>
            </a:pPr>
            <a:endParaRPr lang="en-US"/>
          </a:p>
        </c:txPr>
        <c:crossAx val="38738457"/>
        <c:crosses val="autoZero"/>
        <c:crossBetween val="midCat"/>
      </c:valAx>
      <c:spPr>
        <a:noFill/>
        <a:ln w="0">
          <a:noFill/>
        </a:ln>
      </c:spPr>
    </c:plotArea>
    <c:legend>
      <c:legendPos val="r"/>
      <c:overlay val="0"/>
      <c:spPr>
        <a:noFill/>
        <a:ln w="0">
          <a:noFill/>
        </a:ln>
      </c:spPr>
      <c:txPr>
        <a:bodyPr/>
        <a:lstStyle/>
        <a:p>
          <a:pPr>
            <a:defRPr sz="1000" b="0" strike="noStrike" spc="-1">
              <a:solidFill>
                <a:srgbClr val="000000"/>
              </a:solidFill>
              <a:latin typeface="Arial"/>
              <a:ea typeface="DejaVu Sans"/>
            </a:defRPr>
          </a:pPr>
          <a:endParaRPr lang="en-US"/>
        </a:p>
      </c:txPr>
    </c:legend>
    <c:plotVisOnly val="1"/>
    <c:dispBlanksAs val="span"/>
    <c:showDLblsOverMax val="1"/>
  </c:chart>
  <c:spPr>
    <a:solidFill>
      <a:srgbClr val="FFFFFF"/>
    </a:solidFill>
    <a:ln w="0">
      <a:noFill/>
    </a:ln>
  </c:spPr>
  <c:printSettings>
    <c:headerFooter/>
    <c:pageMargins b="0.75" l="0.7" r="0.7" t="0.75" header="0.3" footer="0.3"/>
    <c:pageSetup/>
  </c:printSettings>
</c:chartSpace>
</file>

<file path=xl/drawings/_rels/drawing1.xml.rels><?xml version="1.0" encoding="UTF-8" standalone="yes"?>
<Relationships xmlns="http://schemas.openxmlformats.org/package/2006/relationships"><Relationship Id="rId1" Type="http://schemas.openxmlformats.org/officeDocument/2006/relationships/chart" Target="../charts/chart1.xml"/></Relationships>
</file>

<file path=xl/drawings/drawing1.xml><?xml version="1.0" encoding="utf-8"?>
<xdr:wsDr xmlns:xdr="http://schemas.openxmlformats.org/drawingml/2006/spreadsheetDrawing" xmlns:a="http://schemas.openxmlformats.org/drawingml/2006/main">
  <xdr:twoCellAnchor editAs="oneCell">
    <xdr:from>
      <xdr:col>2</xdr:col>
      <xdr:colOff>139320</xdr:colOff>
      <xdr:row>32</xdr:row>
      <xdr:rowOff>154080</xdr:rowOff>
    </xdr:from>
    <xdr:to>
      <xdr:col>10</xdr:col>
      <xdr:colOff>533880</xdr:colOff>
      <xdr:row>71</xdr:row>
      <xdr:rowOff>1270</xdr:rowOff>
    </xdr:to>
    <xdr:graphicFrame macro="">
      <xdr:nvGraphicFramePr>
        <xdr:cNvPr id="2" name="Chart 1">
          <a:extLst>
            <a:ext uri="{FF2B5EF4-FFF2-40B4-BE49-F238E27FC236}">
              <a16:creationId xmlns:a16="http://schemas.microsoft.com/office/drawing/2014/main" id="{00000000-0008-0000-01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theme/theme1.xml><?xml version="1.0" encoding="utf-8"?>
<a:theme xmlns:a="http://schemas.openxmlformats.org/drawingml/2006/main" name="Office Theme">
  <a:themeElements>
    <a:clrScheme name="LibreOffice">
      <a:dk1>
        <a:srgbClr val="000000"/>
      </a:dk1>
      <a:lt1>
        <a:srgbClr val="FFFFFF"/>
      </a:lt1>
      <a:dk2>
        <a:srgbClr val="000000"/>
      </a:dk2>
      <a:lt2>
        <a:srgbClr val="FFFFFF"/>
      </a:lt2>
      <a:accent1>
        <a:srgbClr val="18A303"/>
      </a:accent1>
      <a:accent2>
        <a:srgbClr val="0369A3"/>
      </a:accent2>
      <a:accent3>
        <a:srgbClr val="A33E03"/>
      </a:accent3>
      <a:accent4>
        <a:srgbClr val="8E03A3"/>
      </a:accent4>
      <a:accent5>
        <a:srgbClr val="C99C00"/>
      </a:accent5>
      <a:accent6>
        <a:srgbClr val="C9211E"/>
      </a:accent6>
      <a:hlink>
        <a:srgbClr val="0000EE"/>
      </a:hlink>
      <a:folHlink>
        <a:srgbClr val="551A8B"/>
      </a:folHlink>
    </a:clrScheme>
    <a:fontScheme name="Office">
      <a:majorFont>
        <a:latin typeface="Arial"/>
        <a:ea typeface="DejaVu Sans"/>
        <a:cs typeface="DejaVu Sans"/>
      </a:majorFont>
      <a:minorFont>
        <a:latin typeface="Arial"/>
        <a:ea typeface="DejaVu Sans"/>
        <a:cs typeface="DejaVu Sans"/>
      </a:minorFont>
    </a:fontScheme>
    <a:fmtScheme>
      <a:fillStyleLst>
        <a:solidFill>
          <a:schemeClr val="phClr"/>
        </a:solidFill>
        <a:solidFill>
          <a:schemeClr val="phClr"/>
        </a:solidFill>
        <a:solidFill>
          <a:schemeClr val="phClr"/>
        </a:solidFill>
      </a:fillStyleLst>
      <a:lnStyleLst>
        <a:ln w="6350" cap="flat" cmpd="sng" algn="ctr">
          <a:prstDash val="solid"/>
          <a:miter/>
        </a:ln>
        <a:ln w="6350" cap="flat" cmpd="sng" algn="ctr">
          <a:prstDash val="solid"/>
          <a:miter/>
        </a:ln>
        <a:ln w="6350" cap="flat" cmpd="sng" algn="ctr">
          <a:prstDash val="solid"/>
          <a:miter/>
        </a:ln>
      </a:lnStyleLst>
      <a:effectStyleLst>
        <a:effectStyle>
          <a:effectLst/>
        </a:effectStyle>
        <a:effectStyle>
          <a:effectLst/>
        </a:effectStyle>
        <a:effectStyle>
          <a:effectLst/>
        </a:effectStyle>
      </a:effectStyleLst>
      <a:bgFillStyleLst>
        <a:solidFill>
          <a:schemeClr val="phClr"/>
        </a:solidFill>
        <a:solidFill>
          <a:schemeClr val="phClr"/>
        </a:solidFill>
        <a:solidFill>
          <a:schemeClr val="phClr"/>
        </a:solidFill>
      </a:bgFillStyleLst>
    </a:fmtScheme>
  </a:themeElements>
  <a:objectDefaults/>
  <a:extraClrSchemeLst/>
</a:theme>
</file>

<file path=xl/worksheets/_rels/sheet2.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drawing" Target="../drawings/drawing1.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dimension ref="A1:AF88"/>
  <sheetViews>
    <sheetView zoomScale="70" zoomScaleNormal="70" workbookViewId="0">
      <selection activeCell="A17" sqref="A17"/>
    </sheetView>
  </sheetViews>
  <sheetFormatPr defaultColWidth="8.6640625" defaultRowHeight="12.75" x14ac:dyDescent="0.35"/>
  <cols>
    <col min="2" max="2" width="11.796875" customWidth="1"/>
    <col min="3" max="6" width="12.796875" customWidth="1"/>
  </cols>
  <sheetData>
    <row r="1" spans="1:16" ht="12.75" customHeight="1" x14ac:dyDescent="0.35">
      <c r="A1" t="s">
        <v>0</v>
      </c>
    </row>
    <row r="2" spans="1:16" ht="39.75" customHeight="1" x14ac:dyDescent="0.4">
      <c r="A2" s="3" t="s">
        <v>1</v>
      </c>
      <c r="B2" s="3"/>
      <c r="C2" s="3"/>
      <c r="D2" s="3"/>
      <c r="E2" s="3"/>
      <c r="H2" s="4" t="s">
        <v>2</v>
      </c>
    </row>
    <row r="3" spans="1:16" ht="12.75" customHeight="1" x14ac:dyDescent="0.4">
      <c r="A3" t="s">
        <v>3</v>
      </c>
      <c r="B3" s="5" t="s">
        <v>4</v>
      </c>
      <c r="D3" t="s">
        <v>5</v>
      </c>
      <c r="E3" s="6">
        <v>1</v>
      </c>
    </row>
    <row r="4" spans="1:16" ht="39.75" customHeight="1" x14ac:dyDescent="1.05">
      <c r="A4" s="6" t="s">
        <v>6</v>
      </c>
      <c r="B4" s="7">
        <v>46153</v>
      </c>
      <c r="O4" s="8"/>
    </row>
    <row r="5" spans="1:16" ht="12.75" customHeight="1" x14ac:dyDescent="0.4">
      <c r="A5" s="6" t="s">
        <v>7</v>
      </c>
      <c r="B5" s="9" t="s">
        <v>8</v>
      </c>
      <c r="O5" s="10"/>
    </row>
    <row r="6" spans="1:16" ht="12.75" customHeight="1" x14ac:dyDescent="0.4">
      <c r="A6" t="s">
        <v>9</v>
      </c>
      <c r="B6" s="11" t="str">
        <f ca="1">RIGHT(CELL("filename"),1)</f>
        <v>D</v>
      </c>
      <c r="C6" s="6"/>
      <c r="D6" s="6"/>
      <c r="E6" s="6"/>
      <c r="F6" s="6"/>
    </row>
    <row r="7" spans="1:16" ht="14.25" customHeight="1" x14ac:dyDescent="0.4">
      <c r="B7" s="12" t="s">
        <v>10</v>
      </c>
      <c r="C7" s="12" t="s">
        <v>11</v>
      </c>
      <c r="D7" s="12" t="s">
        <v>12</v>
      </c>
      <c r="E7" s="12" t="s">
        <v>13</v>
      </c>
      <c r="F7" s="12" t="s">
        <v>14</v>
      </c>
      <c r="G7" s="12" t="s">
        <v>15</v>
      </c>
      <c r="H7" s="12" t="s">
        <v>16</v>
      </c>
      <c r="I7" s="12" t="s">
        <v>17</v>
      </c>
      <c r="J7" s="12" t="s">
        <v>18</v>
      </c>
      <c r="K7" s="12" t="s">
        <v>19</v>
      </c>
      <c r="L7" s="12" t="s">
        <v>20</v>
      </c>
      <c r="P7" s="12"/>
    </row>
    <row r="8" spans="1:16" ht="12.75" customHeight="1" x14ac:dyDescent="0.4">
      <c r="A8" s="13" t="s">
        <v>21</v>
      </c>
      <c r="B8" s="14">
        <v>1</v>
      </c>
      <c r="C8" s="14">
        <v>1</v>
      </c>
      <c r="D8" s="14">
        <v>1</v>
      </c>
      <c r="E8" s="14">
        <v>1</v>
      </c>
      <c r="F8" s="14">
        <v>1</v>
      </c>
      <c r="G8" s="15">
        <f>AVERAGE(B$8:F$8)*5</f>
        <v>5</v>
      </c>
      <c r="I8" s="16"/>
      <c r="K8" s="16"/>
    </row>
    <row r="9" spans="1:16" ht="12.75" customHeight="1" x14ac:dyDescent="0.4">
      <c r="A9" s="13" t="s">
        <v>22</v>
      </c>
      <c r="B9" s="17">
        <f t="shared" ref="B9:F18" si="0">B53/B$8</f>
        <v>2355.9270019999999</v>
      </c>
      <c r="C9" s="17">
        <f t="shared" si="0"/>
        <v>2350.923828</v>
      </c>
      <c r="D9" s="17">
        <f t="shared" si="0"/>
        <v>2323.689453</v>
      </c>
      <c r="E9" s="17">
        <f t="shared" si="0"/>
        <v>2308.4436040000001</v>
      </c>
      <c r="F9" s="17">
        <f t="shared" si="0"/>
        <v>2342.3479000000002</v>
      </c>
      <c r="G9" s="18">
        <f t="shared" ref="G9:G38" si="1">AVERAGE(B9:F9)</f>
        <v>2336.2663573999998</v>
      </c>
      <c r="H9" s="19">
        <f t="shared" ref="H9:H38" si="2">G9*G$8</f>
        <v>11681.331786999999</v>
      </c>
      <c r="I9" s="16">
        <f t="shared" ref="I9:I38" si="3">STDEVP(B9:F9)/AVERAGE(B9:F9)</f>
        <v>7.5863449228697807E-3</v>
      </c>
      <c r="J9" s="16">
        <f t="shared" ref="J9:J38" si="4">IF(H9&gt;$A$43, $C$43, IF(H9&gt;$A$44, $C$44, IF(H9&gt;$A$45,$C$45,IF(H9&gt;$A$46,$C$46, IF(H9&gt;$A$47,$C$47,IF(H9&gt;$A$48,$C$48,$C$49))))))/100</f>
        <v>0.11</v>
      </c>
      <c r="K9" s="16">
        <f t="shared" ref="K9:K38" si="5">(MAX(B9:F9)-MIN(B9:F9))/G9</f>
        <v>2.0324479633753535E-2</v>
      </c>
      <c r="L9">
        <f t="shared" ref="L9:L38" si="6">COUNTA(B9:F9)</f>
        <v>5</v>
      </c>
      <c r="P9" s="17"/>
    </row>
    <row r="10" spans="1:16" ht="12.75" customHeight="1" x14ac:dyDescent="0.4">
      <c r="A10" s="13" t="s">
        <v>23</v>
      </c>
      <c r="B10" s="17">
        <f t="shared" si="0"/>
        <v>2192.9628910000001</v>
      </c>
      <c r="C10" s="17">
        <f t="shared" si="0"/>
        <v>2185.633789</v>
      </c>
      <c r="D10" s="17">
        <f t="shared" si="0"/>
        <v>2161.7690429999998</v>
      </c>
      <c r="E10" s="17">
        <f t="shared" si="0"/>
        <v>2151.232422</v>
      </c>
      <c r="F10" s="17">
        <f t="shared" si="0"/>
        <v>2181.6557619999999</v>
      </c>
      <c r="G10" s="18">
        <f t="shared" si="1"/>
        <v>2174.6507814000001</v>
      </c>
      <c r="H10" s="19">
        <f t="shared" si="2"/>
        <v>10873.253907</v>
      </c>
      <c r="I10" s="16">
        <f t="shared" si="3"/>
        <v>7.1811911318604236E-3</v>
      </c>
      <c r="J10" s="16">
        <f t="shared" si="4"/>
        <v>0.11</v>
      </c>
      <c r="K10" s="16">
        <f t="shared" si="5"/>
        <v>1.9189503600727457E-2</v>
      </c>
      <c r="L10">
        <f t="shared" si="6"/>
        <v>5</v>
      </c>
      <c r="P10" s="17"/>
    </row>
    <row r="11" spans="1:16" ht="12.75" customHeight="1" x14ac:dyDescent="0.4">
      <c r="A11" s="13" t="s">
        <v>24</v>
      </c>
      <c r="B11" s="17">
        <f t="shared" si="0"/>
        <v>2129.1652829999998</v>
      </c>
      <c r="C11" s="17">
        <f t="shared" si="0"/>
        <v>2124.9777829999998</v>
      </c>
      <c r="D11" s="17">
        <f t="shared" si="0"/>
        <v>2098.1689449999999</v>
      </c>
      <c r="E11" s="17">
        <f t="shared" si="0"/>
        <v>2091.352539</v>
      </c>
      <c r="F11" s="17">
        <f t="shared" si="0"/>
        <v>2118.5039059999999</v>
      </c>
      <c r="G11" s="18">
        <f t="shared" si="1"/>
        <v>2112.4336911999999</v>
      </c>
      <c r="H11" s="19">
        <f t="shared" si="2"/>
        <v>10562.168455999999</v>
      </c>
      <c r="I11" s="16">
        <f t="shared" si="3"/>
        <v>7.0914854927873619E-3</v>
      </c>
      <c r="J11" s="16">
        <f t="shared" si="4"/>
        <v>0.11</v>
      </c>
      <c r="K11" s="16">
        <f t="shared" si="5"/>
        <v>1.7900085648851653E-2</v>
      </c>
      <c r="L11">
        <f t="shared" si="6"/>
        <v>5</v>
      </c>
      <c r="P11" s="17"/>
    </row>
    <row r="12" spans="1:16" ht="12.75" customHeight="1" x14ac:dyDescent="0.4">
      <c r="A12" s="13" t="s">
        <v>25</v>
      </c>
      <c r="B12" s="17">
        <f t="shared" si="0"/>
        <v>2093.5727539999998</v>
      </c>
      <c r="C12" s="17">
        <f t="shared" si="0"/>
        <v>2089.0727539999998</v>
      </c>
      <c r="D12" s="17">
        <f t="shared" si="0"/>
        <v>2059.7329100000002</v>
      </c>
      <c r="E12" s="17">
        <f t="shared" si="0"/>
        <v>2055.9113769999999</v>
      </c>
      <c r="F12" s="17">
        <f t="shared" si="0"/>
        <v>2083.796875</v>
      </c>
      <c r="G12" s="18">
        <f t="shared" si="1"/>
        <v>2076.4173340000002</v>
      </c>
      <c r="H12" s="19">
        <f t="shared" si="2"/>
        <v>10382.086670000001</v>
      </c>
      <c r="I12" s="16">
        <f t="shared" si="3"/>
        <v>7.4850734361622106E-3</v>
      </c>
      <c r="J12" s="16">
        <f t="shared" si="4"/>
        <v>0.11</v>
      </c>
      <c r="K12" s="16">
        <f t="shared" si="5"/>
        <v>1.8137672221917551E-2</v>
      </c>
      <c r="L12">
        <f t="shared" si="6"/>
        <v>5</v>
      </c>
      <c r="P12" s="17"/>
    </row>
    <row r="13" spans="1:16" ht="12.75" customHeight="1" x14ac:dyDescent="0.4">
      <c r="A13" s="13" t="s">
        <v>26</v>
      </c>
      <c r="B13" s="17">
        <f t="shared" si="0"/>
        <v>2065.367432</v>
      </c>
      <c r="C13" s="17">
        <f t="shared" si="0"/>
        <v>2060.4975589999999</v>
      </c>
      <c r="D13" s="17">
        <f t="shared" si="0"/>
        <v>2032.4451899999999</v>
      </c>
      <c r="E13" s="17">
        <f t="shared" si="0"/>
        <v>2025.6539310000001</v>
      </c>
      <c r="F13" s="17">
        <f t="shared" si="0"/>
        <v>2051.4250489999999</v>
      </c>
      <c r="G13" s="18">
        <f t="shared" si="1"/>
        <v>2047.0778322000001</v>
      </c>
      <c r="H13" s="19">
        <f t="shared" si="2"/>
        <v>10235.389161000001</v>
      </c>
      <c r="I13" s="16">
        <f t="shared" si="3"/>
        <v>7.5885941731117278E-3</v>
      </c>
      <c r="J13" s="16">
        <f t="shared" si="4"/>
        <v>0.11</v>
      </c>
      <c r="K13" s="16">
        <f t="shared" si="5"/>
        <v>1.940009333075516E-2</v>
      </c>
      <c r="L13">
        <f t="shared" si="6"/>
        <v>5</v>
      </c>
      <c r="P13" s="17"/>
    </row>
    <row r="14" spans="1:16" ht="12.75" customHeight="1" x14ac:dyDescent="0.4">
      <c r="A14" s="13" t="s">
        <v>27</v>
      </c>
      <c r="B14" s="17">
        <f t="shared" si="0"/>
        <v>2034.811768</v>
      </c>
      <c r="C14" s="17">
        <f t="shared" si="0"/>
        <v>2035.321533</v>
      </c>
      <c r="D14" s="17">
        <f t="shared" si="0"/>
        <v>2004.3082280000001</v>
      </c>
      <c r="E14" s="17">
        <f t="shared" si="0"/>
        <v>2001.215332</v>
      </c>
      <c r="F14" s="17">
        <f t="shared" si="0"/>
        <v>2028.393188</v>
      </c>
      <c r="G14" s="18">
        <f t="shared" si="1"/>
        <v>2020.8100098</v>
      </c>
      <c r="H14" s="19">
        <f t="shared" si="2"/>
        <v>10104.050048999999</v>
      </c>
      <c r="I14" s="16">
        <f t="shared" si="3"/>
        <v>7.4075695863715998E-3</v>
      </c>
      <c r="J14" s="16">
        <f t="shared" si="4"/>
        <v>0.11</v>
      </c>
      <c r="K14" s="16">
        <f t="shared" si="5"/>
        <v>1.6877490132471955E-2</v>
      </c>
      <c r="L14">
        <f t="shared" si="6"/>
        <v>5</v>
      </c>
      <c r="P14" s="17"/>
    </row>
    <row r="15" spans="1:16" ht="12.75" customHeight="1" x14ac:dyDescent="0.4">
      <c r="A15" s="13" t="s">
        <v>28</v>
      </c>
      <c r="B15" s="17">
        <f t="shared" si="0"/>
        <v>2007.389893</v>
      </c>
      <c r="C15" s="17">
        <f t="shared" si="0"/>
        <v>2009.5083010000001</v>
      </c>
      <c r="D15" s="17">
        <f t="shared" si="0"/>
        <v>1977.3392329999999</v>
      </c>
      <c r="E15" s="17">
        <f t="shared" si="0"/>
        <v>1976.565186</v>
      </c>
      <c r="F15" s="17">
        <f t="shared" si="0"/>
        <v>2001.752686</v>
      </c>
      <c r="G15" s="18">
        <f t="shared" si="1"/>
        <v>1994.5110597999999</v>
      </c>
      <c r="H15" s="19">
        <f t="shared" si="2"/>
        <v>9972.5552989999996</v>
      </c>
      <c r="I15" s="16">
        <f t="shared" si="3"/>
        <v>7.3006571516568879E-3</v>
      </c>
      <c r="J15" s="16">
        <f t="shared" si="4"/>
        <v>0.113</v>
      </c>
      <c r="K15" s="16">
        <f t="shared" si="5"/>
        <v>1.6516887604174735E-2</v>
      </c>
      <c r="L15">
        <f t="shared" si="6"/>
        <v>5</v>
      </c>
      <c r="P15" s="17"/>
    </row>
    <row r="16" spans="1:16" ht="12.75" customHeight="1" x14ac:dyDescent="0.4">
      <c r="A16" s="13" t="s">
        <v>29</v>
      </c>
      <c r="B16" s="17">
        <f t="shared" si="0"/>
        <v>1974.4837649999999</v>
      </c>
      <c r="C16" s="17">
        <f t="shared" si="0"/>
        <v>1976.471436</v>
      </c>
      <c r="D16" s="17">
        <f t="shared" si="0"/>
        <v>1942.088379</v>
      </c>
      <c r="E16" s="17">
        <f t="shared" si="0"/>
        <v>1941.652832</v>
      </c>
      <c r="F16" s="17">
        <f t="shared" si="0"/>
        <v>1965.029053</v>
      </c>
      <c r="G16" s="18">
        <f t="shared" si="1"/>
        <v>1959.9450929999998</v>
      </c>
      <c r="H16" s="19">
        <f t="shared" si="2"/>
        <v>9799.7254649999995</v>
      </c>
      <c r="I16" s="16">
        <f t="shared" si="3"/>
        <v>7.7841624594234817E-3</v>
      </c>
      <c r="J16" s="16">
        <f t="shared" si="4"/>
        <v>0.113</v>
      </c>
      <c r="K16" s="16">
        <f t="shared" si="5"/>
        <v>1.7765091544837502E-2</v>
      </c>
      <c r="L16">
        <f t="shared" si="6"/>
        <v>5</v>
      </c>
      <c r="P16" s="17"/>
    </row>
    <row r="17" spans="1:16" ht="12.75" customHeight="1" x14ac:dyDescent="0.4">
      <c r="A17" s="13" t="s">
        <v>30</v>
      </c>
      <c r="B17" s="17">
        <f t="shared" si="0"/>
        <v>1921.2070309999999</v>
      </c>
      <c r="C17" s="17">
        <f t="shared" si="0"/>
        <v>1926.2258300000001</v>
      </c>
      <c r="D17" s="17">
        <f t="shared" si="0"/>
        <v>1893.4592290000001</v>
      </c>
      <c r="E17" s="17">
        <f t="shared" si="0"/>
        <v>1893.621948</v>
      </c>
      <c r="F17" s="17">
        <f t="shared" si="0"/>
        <v>1911.6419679999999</v>
      </c>
      <c r="G17" s="18">
        <f t="shared" si="1"/>
        <v>1909.2312012000002</v>
      </c>
      <c r="H17" s="19">
        <f t="shared" si="2"/>
        <v>9546.1560060000011</v>
      </c>
      <c r="I17" s="16">
        <f t="shared" si="3"/>
        <v>7.1450263405755613E-3</v>
      </c>
      <c r="J17" s="16">
        <f t="shared" si="4"/>
        <v>0.113</v>
      </c>
      <c r="K17" s="16">
        <f t="shared" si="5"/>
        <v>1.7162196479612001E-2</v>
      </c>
      <c r="L17">
        <f t="shared" si="6"/>
        <v>5</v>
      </c>
      <c r="P17" s="17"/>
    </row>
    <row r="18" spans="1:16" ht="12.75" customHeight="1" x14ac:dyDescent="0.4">
      <c r="A18" s="13" t="s">
        <v>31</v>
      </c>
      <c r="B18" s="17">
        <f t="shared" si="0"/>
        <v>1185.1827390000001</v>
      </c>
      <c r="C18" s="17">
        <f t="shared" si="0"/>
        <v>1171.053467</v>
      </c>
      <c r="D18" s="17">
        <f t="shared" si="0"/>
        <v>1175.3823239999999</v>
      </c>
      <c r="E18" s="17">
        <f t="shared" si="0"/>
        <v>1166.0708010000001</v>
      </c>
      <c r="F18" s="17">
        <f t="shared" si="0"/>
        <v>1148.407471</v>
      </c>
      <c r="G18" s="18">
        <f t="shared" si="1"/>
        <v>1169.2193603999999</v>
      </c>
      <c r="H18" s="19">
        <f t="shared" si="2"/>
        <v>5846.096802</v>
      </c>
      <c r="I18" s="16">
        <f t="shared" si="3"/>
        <v>1.0399367793710755E-2</v>
      </c>
      <c r="J18" s="16">
        <f t="shared" si="4"/>
        <v>0.113</v>
      </c>
      <c r="K18" s="16">
        <f t="shared" si="5"/>
        <v>3.1452838744834816E-2</v>
      </c>
      <c r="L18">
        <f t="shared" si="6"/>
        <v>5</v>
      </c>
      <c r="P18" s="17"/>
    </row>
    <row r="19" spans="1:16" ht="12.75" customHeight="1" x14ac:dyDescent="0.4">
      <c r="A19" s="13" t="s">
        <v>32</v>
      </c>
      <c r="B19" s="17">
        <f t="shared" ref="B19:F28" si="7">B63/B$8</f>
        <v>274.88986199999999</v>
      </c>
      <c r="C19" s="17">
        <f t="shared" si="7"/>
        <v>274.385986</v>
      </c>
      <c r="D19" s="17">
        <f t="shared" si="7"/>
        <v>278.18444799999997</v>
      </c>
      <c r="E19" s="17">
        <f t="shared" si="7"/>
        <v>258.35101300000002</v>
      </c>
      <c r="F19" s="17">
        <f t="shared" si="7"/>
        <v>267.99710099999999</v>
      </c>
      <c r="G19" s="18">
        <f t="shared" si="1"/>
        <v>270.76168199999995</v>
      </c>
      <c r="H19" s="19">
        <f t="shared" si="2"/>
        <v>1353.8084099999996</v>
      </c>
      <c r="I19" s="16">
        <f t="shared" si="3"/>
        <v>2.5955280725773491E-2</v>
      </c>
      <c r="J19" s="16">
        <f t="shared" si="4"/>
        <v>0.13400000000000001</v>
      </c>
      <c r="K19" s="16">
        <f t="shared" si="5"/>
        <v>7.3250523683775742E-2</v>
      </c>
      <c r="L19">
        <f t="shared" si="6"/>
        <v>5</v>
      </c>
      <c r="P19" s="17"/>
    </row>
    <row r="20" spans="1:16" ht="12.75" customHeight="1" x14ac:dyDescent="0.4">
      <c r="A20" s="13" t="s">
        <v>33</v>
      </c>
      <c r="B20" s="17">
        <f t="shared" si="7"/>
        <v>58.649138999999998</v>
      </c>
      <c r="C20" s="17">
        <f t="shared" si="7"/>
        <v>53.113818999999999</v>
      </c>
      <c r="D20" s="17">
        <f t="shared" si="7"/>
        <v>52.239215999999999</v>
      </c>
      <c r="E20" s="17">
        <f t="shared" si="7"/>
        <v>55.013320999999998</v>
      </c>
      <c r="F20" s="17">
        <f t="shared" si="7"/>
        <v>54.023972000000001</v>
      </c>
      <c r="G20" s="18">
        <f t="shared" si="1"/>
        <v>54.607893400000002</v>
      </c>
      <c r="H20" s="19">
        <f t="shared" si="2"/>
        <v>273.039467</v>
      </c>
      <c r="I20" s="16">
        <f t="shared" si="3"/>
        <v>4.0684708443668401E-2</v>
      </c>
      <c r="J20" s="16">
        <f t="shared" si="4"/>
        <v>0.193</v>
      </c>
      <c r="K20" s="16">
        <f t="shared" si="5"/>
        <v>0.11738088765020917</v>
      </c>
      <c r="L20">
        <f t="shared" si="6"/>
        <v>5</v>
      </c>
      <c r="P20" s="17"/>
    </row>
    <row r="21" spans="1:16" ht="12.75" customHeight="1" x14ac:dyDescent="0.4">
      <c r="A21" s="13" t="s">
        <v>34</v>
      </c>
      <c r="B21" s="17">
        <f t="shared" si="7"/>
        <v>42.196041000000001</v>
      </c>
      <c r="C21" s="17">
        <f t="shared" si="7"/>
        <v>35.904941999999998</v>
      </c>
      <c r="D21" s="17">
        <f t="shared" si="7"/>
        <v>35.675559999999997</v>
      </c>
      <c r="E21" s="17">
        <f t="shared" si="7"/>
        <v>37.239787999999997</v>
      </c>
      <c r="F21" s="17">
        <f t="shared" si="7"/>
        <v>39.058590000000002</v>
      </c>
      <c r="G21" s="18">
        <f t="shared" si="1"/>
        <v>38.014984200000001</v>
      </c>
      <c r="H21" s="19">
        <f t="shared" si="2"/>
        <v>190.07492100000002</v>
      </c>
      <c r="I21" s="16">
        <f t="shared" si="3"/>
        <v>6.3457107815130115E-2</v>
      </c>
      <c r="J21" s="16">
        <f t="shared" si="4"/>
        <v>0.27500000000000002</v>
      </c>
      <c r="K21" s="16">
        <f t="shared" si="5"/>
        <v>0.17152396975085429</v>
      </c>
      <c r="L21">
        <f t="shared" si="6"/>
        <v>5</v>
      </c>
      <c r="P21" s="17"/>
    </row>
    <row r="22" spans="1:16" ht="12.75" customHeight="1" x14ac:dyDescent="0.4">
      <c r="A22" s="13" t="s">
        <v>35</v>
      </c>
      <c r="B22" s="17">
        <f t="shared" si="7"/>
        <v>35.032786999999999</v>
      </c>
      <c r="C22" s="17">
        <f t="shared" si="7"/>
        <v>30.487333</v>
      </c>
      <c r="D22" s="17">
        <f t="shared" si="7"/>
        <v>29.623456999999998</v>
      </c>
      <c r="E22" s="17">
        <f t="shared" si="7"/>
        <v>31.103684999999999</v>
      </c>
      <c r="F22" s="17">
        <f t="shared" si="7"/>
        <v>32.265788999999998</v>
      </c>
      <c r="G22" s="18">
        <f t="shared" si="1"/>
        <v>31.702610199999999</v>
      </c>
      <c r="H22" s="19">
        <f t="shared" si="2"/>
        <v>158.51305099999999</v>
      </c>
      <c r="I22" s="16">
        <f t="shared" si="3"/>
        <v>5.9122549336625245E-2</v>
      </c>
      <c r="J22" s="16">
        <f t="shared" si="4"/>
        <v>0.27500000000000002</v>
      </c>
      <c r="K22" s="16">
        <f t="shared" si="5"/>
        <v>0.1706272753528667</v>
      </c>
      <c r="L22">
        <f t="shared" si="6"/>
        <v>5</v>
      </c>
      <c r="P22" s="17"/>
    </row>
    <row r="23" spans="1:16" ht="12.75" customHeight="1" x14ac:dyDescent="0.4">
      <c r="A23" s="13" t="s">
        <v>36</v>
      </c>
      <c r="B23" s="17">
        <f t="shared" si="7"/>
        <v>28.653015</v>
      </c>
      <c r="C23" s="17">
        <f t="shared" si="7"/>
        <v>26.238226000000001</v>
      </c>
      <c r="D23" s="17">
        <f t="shared" si="7"/>
        <v>23.677530000000001</v>
      </c>
      <c r="E23" s="17">
        <f t="shared" si="7"/>
        <v>25.179174</v>
      </c>
      <c r="F23" s="17">
        <f t="shared" si="7"/>
        <v>25.791405000000001</v>
      </c>
      <c r="G23" s="18">
        <f t="shared" si="1"/>
        <v>25.907870000000003</v>
      </c>
      <c r="H23" s="19">
        <f t="shared" si="2"/>
        <v>129.53935000000001</v>
      </c>
      <c r="I23" s="16">
        <f t="shared" si="3"/>
        <v>6.2629096587638933E-2</v>
      </c>
      <c r="J23" s="16">
        <f t="shared" si="4"/>
        <v>0.27500000000000002</v>
      </c>
      <c r="K23" s="16">
        <f t="shared" si="5"/>
        <v>0.19204531287211177</v>
      </c>
      <c r="L23">
        <f t="shared" si="6"/>
        <v>5</v>
      </c>
      <c r="P23" s="17"/>
    </row>
    <row r="24" spans="1:16" ht="12.75" customHeight="1" x14ac:dyDescent="0.4">
      <c r="A24" s="13" t="s">
        <v>37</v>
      </c>
      <c r="B24" s="17">
        <f t="shared" si="7"/>
        <v>21.153984000000001</v>
      </c>
      <c r="C24" s="17">
        <f t="shared" si="7"/>
        <v>17.527560999999999</v>
      </c>
      <c r="D24" s="17">
        <f t="shared" si="7"/>
        <v>15.608058</v>
      </c>
      <c r="E24" s="17">
        <f t="shared" si="7"/>
        <v>16.715585999999998</v>
      </c>
      <c r="F24" s="17">
        <f t="shared" si="7"/>
        <v>16.557445999999999</v>
      </c>
      <c r="G24" s="18">
        <f t="shared" si="1"/>
        <v>17.512526999999999</v>
      </c>
      <c r="H24" s="19">
        <f t="shared" si="2"/>
        <v>87.562635</v>
      </c>
      <c r="I24" s="16">
        <f t="shared" si="3"/>
        <v>0.10964392995887172</v>
      </c>
      <c r="J24" s="16">
        <f t="shared" si="4"/>
        <v>0.27500000000000002</v>
      </c>
      <c r="K24" s="16">
        <f t="shared" si="5"/>
        <v>0.31668336614127712</v>
      </c>
      <c r="L24">
        <f t="shared" si="6"/>
        <v>5</v>
      </c>
      <c r="P24" s="17"/>
    </row>
    <row r="25" spans="1:16" ht="12.75" customHeight="1" x14ac:dyDescent="0.4">
      <c r="A25" s="13" t="s">
        <v>38</v>
      </c>
      <c r="B25" s="17">
        <f t="shared" si="7"/>
        <v>11.304510000000001</v>
      </c>
      <c r="C25" s="17">
        <f t="shared" si="7"/>
        <v>7.8608450000000003</v>
      </c>
      <c r="D25" s="17">
        <f t="shared" si="7"/>
        <v>8.0694719999999993</v>
      </c>
      <c r="E25" s="17">
        <f t="shared" si="7"/>
        <v>8.7809720000000002</v>
      </c>
      <c r="F25" s="17">
        <f t="shared" si="7"/>
        <v>9.1278220000000001</v>
      </c>
      <c r="G25" s="18">
        <f t="shared" si="1"/>
        <v>9.028724200000001</v>
      </c>
      <c r="H25" s="19">
        <f t="shared" si="2"/>
        <v>45.143621000000003</v>
      </c>
      <c r="I25" s="16">
        <f t="shared" si="3"/>
        <v>0.1359615456401308</v>
      </c>
      <c r="J25" s="16">
        <f t="shared" si="4"/>
        <v>0.27500000000000002</v>
      </c>
      <c r="K25" s="16">
        <f t="shared" si="5"/>
        <v>0.3814121379408178</v>
      </c>
      <c r="L25">
        <f t="shared" si="6"/>
        <v>5</v>
      </c>
      <c r="P25" s="17"/>
    </row>
    <row r="26" spans="1:16" ht="12.75" customHeight="1" x14ac:dyDescent="0.4">
      <c r="A26" s="13" t="s">
        <v>39</v>
      </c>
      <c r="B26" s="17">
        <f t="shared" si="7"/>
        <v>7.1632540000000002</v>
      </c>
      <c r="C26" s="17">
        <f t="shared" si="7"/>
        <v>5.8425200000000004</v>
      </c>
      <c r="D26" s="17">
        <f t="shared" si="7"/>
        <v>4.9903320000000004</v>
      </c>
      <c r="E26" s="17">
        <f t="shared" si="7"/>
        <v>4.8665630000000002</v>
      </c>
      <c r="F26" s="17">
        <f t="shared" si="7"/>
        <v>4.776186</v>
      </c>
      <c r="G26" s="18">
        <f t="shared" si="1"/>
        <v>5.5277709999999995</v>
      </c>
      <c r="H26" s="19">
        <f t="shared" si="2"/>
        <v>27.638855</v>
      </c>
      <c r="I26" s="16">
        <f t="shared" si="3"/>
        <v>0.1631112514830749</v>
      </c>
      <c r="J26" s="16">
        <f t="shared" si="4"/>
        <v>0.27500000000000002</v>
      </c>
      <c r="K26" s="16">
        <f t="shared" si="5"/>
        <v>0.4318319264672868</v>
      </c>
      <c r="L26">
        <f t="shared" si="6"/>
        <v>5</v>
      </c>
      <c r="P26" s="17"/>
    </row>
    <row r="27" spans="1:16" ht="12.75" customHeight="1" x14ac:dyDescent="0.4">
      <c r="A27" s="13" t="s">
        <v>40</v>
      </c>
      <c r="B27" s="17">
        <f t="shared" si="7"/>
        <v>5.3724400000000001</v>
      </c>
      <c r="C27" s="17">
        <f t="shared" si="7"/>
        <v>4.5677890000000003</v>
      </c>
      <c r="D27" s="17">
        <f t="shared" si="7"/>
        <v>4.3532679999999999</v>
      </c>
      <c r="E27" s="17">
        <f t="shared" si="7"/>
        <v>3.8086139999999999</v>
      </c>
      <c r="F27" s="17">
        <f t="shared" si="7"/>
        <v>4.0332239999999997</v>
      </c>
      <c r="G27" s="18">
        <f t="shared" si="1"/>
        <v>4.4270670000000001</v>
      </c>
      <c r="H27" s="19">
        <f t="shared" si="2"/>
        <v>22.135335000000001</v>
      </c>
      <c r="I27" s="16">
        <f t="shared" si="3"/>
        <v>0.12191731909727793</v>
      </c>
      <c r="J27" s="16">
        <f t="shared" si="4"/>
        <v>0.27500000000000002</v>
      </c>
      <c r="K27" s="16">
        <f t="shared" si="5"/>
        <v>0.35324199972577786</v>
      </c>
      <c r="L27">
        <f t="shared" si="6"/>
        <v>5</v>
      </c>
      <c r="P27" s="17"/>
    </row>
    <row r="28" spans="1:16" ht="12.75" customHeight="1" x14ac:dyDescent="0.4">
      <c r="A28" s="13" t="s">
        <v>41</v>
      </c>
      <c r="B28" s="17">
        <f t="shared" si="7"/>
        <v>4.4770339999999997</v>
      </c>
      <c r="C28" s="17">
        <f t="shared" si="7"/>
        <v>4.3553329999999999</v>
      </c>
      <c r="D28" s="17">
        <f t="shared" si="7"/>
        <v>3.5038499999999999</v>
      </c>
      <c r="E28" s="17">
        <f t="shared" si="7"/>
        <v>3.1738460000000002</v>
      </c>
      <c r="F28" s="17">
        <f t="shared" si="7"/>
        <v>3.0779869999999998</v>
      </c>
      <c r="G28" s="18">
        <f t="shared" si="1"/>
        <v>3.7176099999999996</v>
      </c>
      <c r="H28" s="19">
        <f t="shared" si="2"/>
        <v>18.588049999999999</v>
      </c>
      <c r="I28" s="16">
        <f t="shared" si="3"/>
        <v>0.15840318157491945</v>
      </c>
      <c r="J28" s="16">
        <f t="shared" si="4"/>
        <v>0.27500000000000002</v>
      </c>
      <c r="K28" s="16">
        <f t="shared" si="5"/>
        <v>0.37632968493198588</v>
      </c>
      <c r="L28">
        <f t="shared" si="6"/>
        <v>5</v>
      </c>
      <c r="P28" s="17"/>
    </row>
    <row r="29" spans="1:16" ht="12.75" customHeight="1" x14ac:dyDescent="0.4">
      <c r="A29" s="13" t="s">
        <v>42</v>
      </c>
      <c r="B29" s="17">
        <f t="shared" ref="B29:F38" si="8">B73/B$8</f>
        <v>4.1412560000000003</v>
      </c>
      <c r="C29" s="17">
        <f t="shared" si="8"/>
        <v>3.6117400000000002</v>
      </c>
      <c r="D29" s="17">
        <f t="shared" si="8"/>
        <v>3.1853180000000001</v>
      </c>
      <c r="E29" s="17">
        <f t="shared" si="8"/>
        <v>2.8564609999999999</v>
      </c>
      <c r="F29" s="17">
        <f t="shared" si="8"/>
        <v>2.5472990000000002</v>
      </c>
      <c r="G29" s="18">
        <f t="shared" si="1"/>
        <v>3.2684148</v>
      </c>
      <c r="H29" s="19">
        <f t="shared" si="2"/>
        <v>16.342074</v>
      </c>
      <c r="I29" s="16">
        <f t="shared" si="3"/>
        <v>0.1717920987686207</v>
      </c>
      <c r="J29" s="16">
        <f t="shared" si="4"/>
        <v>0.27500000000000002</v>
      </c>
      <c r="K29" s="16">
        <f t="shared" si="5"/>
        <v>0.48768503924287704</v>
      </c>
      <c r="L29">
        <f t="shared" si="6"/>
        <v>5</v>
      </c>
      <c r="P29" s="17"/>
    </row>
    <row r="30" spans="1:16" ht="12.75" customHeight="1" x14ac:dyDescent="0.4">
      <c r="A30" s="13" t="s">
        <v>43</v>
      </c>
      <c r="B30" s="17">
        <f t="shared" si="8"/>
        <v>3.6935530000000001</v>
      </c>
      <c r="C30" s="17">
        <f t="shared" si="8"/>
        <v>2.655691</v>
      </c>
      <c r="D30" s="17">
        <f t="shared" si="8"/>
        <v>2.6544319999999999</v>
      </c>
      <c r="E30" s="17">
        <f t="shared" si="8"/>
        <v>2.433281</v>
      </c>
      <c r="F30" s="17">
        <f t="shared" si="8"/>
        <v>1.910474</v>
      </c>
      <c r="G30" s="18">
        <f t="shared" si="1"/>
        <v>2.6694862000000001</v>
      </c>
      <c r="H30" s="19">
        <f t="shared" si="2"/>
        <v>13.347431</v>
      </c>
      <c r="I30" s="16">
        <f t="shared" si="3"/>
        <v>0.21720711011990082</v>
      </c>
      <c r="J30" s="16">
        <f t="shared" si="4"/>
        <v>0.27500000000000002</v>
      </c>
      <c r="K30" s="16">
        <f t="shared" si="5"/>
        <v>0.66794838647227317</v>
      </c>
      <c r="L30">
        <f t="shared" si="6"/>
        <v>5</v>
      </c>
      <c r="P30" s="17"/>
    </row>
    <row r="31" spans="1:16" ht="12.75" customHeight="1" x14ac:dyDescent="0.4">
      <c r="A31" s="13" t="s">
        <v>44</v>
      </c>
      <c r="B31" s="17">
        <f t="shared" si="8"/>
        <v>3.021998</v>
      </c>
      <c r="C31" s="17">
        <f t="shared" si="8"/>
        <v>2.1245530000000001</v>
      </c>
      <c r="D31" s="17">
        <f t="shared" si="8"/>
        <v>2.0173679999999998</v>
      </c>
      <c r="E31" s="17">
        <f t="shared" si="8"/>
        <v>1.6927179999999999</v>
      </c>
      <c r="F31" s="17">
        <f t="shared" si="8"/>
        <v>1.5920620000000001</v>
      </c>
      <c r="G31" s="18">
        <f t="shared" si="1"/>
        <v>2.0897397999999998</v>
      </c>
      <c r="H31" s="19">
        <f t="shared" si="2"/>
        <v>10.448699</v>
      </c>
      <c r="I31" s="16">
        <f t="shared" si="3"/>
        <v>0.24220013259205103</v>
      </c>
      <c r="J31" s="16">
        <f t="shared" si="4"/>
        <v>0.27500000000000002</v>
      </c>
      <c r="K31" s="16">
        <f t="shared" si="5"/>
        <v>0.68426509367338462</v>
      </c>
      <c r="L31">
        <f t="shared" si="6"/>
        <v>5</v>
      </c>
      <c r="P31" s="17"/>
    </row>
    <row r="32" spans="1:16" ht="12.75" customHeight="1" x14ac:dyDescent="0.4">
      <c r="A32" s="13" t="s">
        <v>45</v>
      </c>
      <c r="B32" s="17">
        <f t="shared" si="8"/>
        <v>2.5742940000000001</v>
      </c>
      <c r="C32" s="17">
        <f t="shared" si="8"/>
        <v>1.593415</v>
      </c>
      <c r="D32" s="17">
        <f t="shared" si="8"/>
        <v>1.8050139999999999</v>
      </c>
      <c r="E32" s="17">
        <f t="shared" si="8"/>
        <v>1.481128</v>
      </c>
      <c r="F32" s="17">
        <f t="shared" si="8"/>
        <v>1.2736499999999999</v>
      </c>
      <c r="G32" s="18">
        <f t="shared" si="1"/>
        <v>1.7455001999999999</v>
      </c>
      <c r="H32" s="19">
        <f t="shared" si="2"/>
        <v>8.7275010000000002</v>
      </c>
      <c r="I32" s="16">
        <f t="shared" si="3"/>
        <v>0.25699046787834928</v>
      </c>
      <c r="J32" s="16">
        <f t="shared" si="4"/>
        <v>0.27500000000000002</v>
      </c>
      <c r="K32" s="16">
        <f t="shared" si="5"/>
        <v>0.74514113490219036</v>
      </c>
      <c r="L32">
        <f t="shared" si="6"/>
        <v>5</v>
      </c>
      <c r="P32" s="17"/>
    </row>
    <row r="33" spans="1:16" ht="12.75" customHeight="1" x14ac:dyDescent="0.4">
      <c r="A33" s="13" t="s">
        <v>46</v>
      </c>
      <c r="B33" s="17">
        <f t="shared" si="8"/>
        <v>2.1265909999999999</v>
      </c>
      <c r="C33" s="17">
        <f t="shared" si="8"/>
        <v>1.380959</v>
      </c>
      <c r="D33" s="17">
        <f t="shared" si="8"/>
        <v>1.4864820000000001</v>
      </c>
      <c r="E33" s="17">
        <f t="shared" si="8"/>
        <v>1.2695380000000001</v>
      </c>
      <c r="F33" s="17">
        <f t="shared" si="8"/>
        <v>1.1675120000000001</v>
      </c>
      <c r="G33" s="18">
        <f t="shared" si="1"/>
        <v>1.4862164000000002</v>
      </c>
      <c r="H33" s="19">
        <f t="shared" si="2"/>
        <v>7.4310820000000009</v>
      </c>
      <c r="I33" s="16">
        <f t="shared" si="3"/>
        <v>0.22711653623354064</v>
      </c>
      <c r="J33" s="16">
        <f t="shared" si="4"/>
        <v>0.27500000000000002</v>
      </c>
      <c r="K33" s="16">
        <f t="shared" si="5"/>
        <v>0.64531585037010741</v>
      </c>
      <c r="L33">
        <f t="shared" si="6"/>
        <v>5</v>
      </c>
      <c r="P33" s="17"/>
    </row>
    <row r="34" spans="1:16" ht="12.75" customHeight="1" x14ac:dyDescent="0.4">
      <c r="A34" s="13" t="s">
        <v>47</v>
      </c>
      <c r="B34" s="17">
        <f t="shared" si="8"/>
        <v>2.1265909999999999</v>
      </c>
      <c r="C34" s="17">
        <f t="shared" si="8"/>
        <v>1.274732</v>
      </c>
      <c r="D34" s="17">
        <f t="shared" si="8"/>
        <v>1.4864820000000001</v>
      </c>
      <c r="E34" s="17">
        <f t="shared" si="8"/>
        <v>1.163743</v>
      </c>
      <c r="F34" s="17">
        <f t="shared" si="8"/>
        <v>1.1675120000000001</v>
      </c>
      <c r="G34" s="18">
        <f t="shared" si="1"/>
        <v>1.4438120000000001</v>
      </c>
      <c r="H34" s="19">
        <f t="shared" si="2"/>
        <v>7.2190600000000007</v>
      </c>
      <c r="I34" s="16">
        <f t="shared" si="3"/>
        <v>0.24998866551322824</v>
      </c>
      <c r="J34" s="16">
        <f t="shared" si="4"/>
        <v>0.27500000000000002</v>
      </c>
      <c r="K34" s="16">
        <f t="shared" si="5"/>
        <v>0.6668790673578</v>
      </c>
      <c r="L34">
        <f t="shared" si="6"/>
        <v>5</v>
      </c>
      <c r="P34" s="17"/>
    </row>
    <row r="35" spans="1:16" ht="12.75" customHeight="1" x14ac:dyDescent="0.4">
      <c r="A35" s="13" t="s">
        <v>48</v>
      </c>
      <c r="B35" s="17">
        <f t="shared" si="8"/>
        <v>1.902739</v>
      </c>
      <c r="C35" s="17">
        <f t="shared" si="8"/>
        <v>0.84982100000000005</v>
      </c>
      <c r="D35" s="17">
        <f t="shared" si="8"/>
        <v>1.274127</v>
      </c>
      <c r="E35" s="17">
        <f t="shared" si="8"/>
        <v>1.163743</v>
      </c>
      <c r="F35" s="17">
        <f t="shared" si="8"/>
        <v>1.061375</v>
      </c>
      <c r="G35" s="18">
        <f t="shared" si="1"/>
        <v>1.2503610000000001</v>
      </c>
      <c r="H35" s="19">
        <f t="shared" si="2"/>
        <v>6.2518050000000001</v>
      </c>
      <c r="I35" s="16">
        <f t="shared" si="3"/>
        <v>0.28384760602137055</v>
      </c>
      <c r="J35" s="16">
        <f t="shared" si="4"/>
        <v>0.27500000000000002</v>
      </c>
      <c r="K35" s="16">
        <f t="shared" si="5"/>
        <v>0.84209120406026738</v>
      </c>
      <c r="L35">
        <f t="shared" si="6"/>
        <v>5</v>
      </c>
      <c r="P35" s="17"/>
    </row>
    <row r="36" spans="1:16" ht="12.75" customHeight="1" x14ac:dyDescent="0.4">
      <c r="A36" s="13" t="s">
        <v>49</v>
      </c>
      <c r="B36" s="17">
        <f t="shared" si="8"/>
        <v>1.1192580000000001</v>
      </c>
      <c r="C36" s="17">
        <f t="shared" si="8"/>
        <v>0.31868299999999999</v>
      </c>
      <c r="D36" s="17">
        <f t="shared" si="8"/>
        <v>0.31853199999999998</v>
      </c>
      <c r="E36" s="17">
        <f t="shared" si="8"/>
        <v>0.52897400000000006</v>
      </c>
      <c r="F36" s="17">
        <f t="shared" si="8"/>
        <v>0.31841199999999997</v>
      </c>
      <c r="G36" s="18">
        <f t="shared" si="1"/>
        <v>0.52077180000000012</v>
      </c>
      <c r="H36" s="19">
        <f t="shared" si="2"/>
        <v>2.6038590000000008</v>
      </c>
      <c r="I36" s="16">
        <f t="shared" si="3"/>
        <v>0.59554486673588747</v>
      </c>
      <c r="J36" s="16">
        <f t="shared" si="4"/>
        <v>0.27500000000000002</v>
      </c>
      <c r="K36" s="16">
        <f t="shared" si="5"/>
        <v>1.5378060025523654</v>
      </c>
      <c r="L36">
        <f t="shared" si="6"/>
        <v>5</v>
      </c>
      <c r="P36" s="17"/>
    </row>
    <row r="37" spans="1:16" ht="12.75" customHeight="1" x14ac:dyDescent="0.4">
      <c r="A37" s="13" t="s">
        <v>50</v>
      </c>
      <c r="B37" s="17">
        <f t="shared" si="8"/>
        <v>0.223852</v>
      </c>
      <c r="C37" s="17">
        <f t="shared" si="8"/>
        <v>0.106228</v>
      </c>
      <c r="D37" s="17">
        <f t="shared" si="8"/>
        <v>0</v>
      </c>
      <c r="E37" s="17">
        <f t="shared" si="8"/>
        <v>0.105795</v>
      </c>
      <c r="F37" s="17">
        <f t="shared" si="8"/>
        <v>0.106137</v>
      </c>
      <c r="G37" s="18">
        <f t="shared" si="1"/>
        <v>0.10840240000000001</v>
      </c>
      <c r="H37" s="19">
        <f t="shared" si="2"/>
        <v>0.54201200000000005</v>
      </c>
      <c r="I37" s="16">
        <f t="shared" si="3"/>
        <v>0.65355384406027262</v>
      </c>
      <c r="J37" s="16">
        <f t="shared" si="4"/>
        <v>0.27500000000000002</v>
      </c>
      <c r="K37" s="16">
        <f t="shared" si="5"/>
        <v>2.0650096307830821</v>
      </c>
      <c r="L37">
        <f t="shared" si="6"/>
        <v>5</v>
      </c>
    </row>
    <row r="38" spans="1:16" ht="12.75" customHeight="1" x14ac:dyDescent="0.4">
      <c r="A38" s="13" t="s">
        <v>51</v>
      </c>
      <c r="B38" s="17">
        <f t="shared" si="8"/>
        <v>0</v>
      </c>
      <c r="C38" s="17">
        <f t="shared" si="8"/>
        <v>0</v>
      </c>
      <c r="D38" s="17">
        <f t="shared" si="8"/>
        <v>0</v>
      </c>
      <c r="E38" s="17">
        <f t="shared" si="8"/>
        <v>0</v>
      </c>
      <c r="F38" s="17">
        <f t="shared" si="8"/>
        <v>0</v>
      </c>
      <c r="G38" s="18">
        <f t="shared" si="1"/>
        <v>0</v>
      </c>
      <c r="H38" s="19">
        <f t="shared" si="2"/>
        <v>0</v>
      </c>
      <c r="I38" s="16" t="e">
        <f t="shared" si="3"/>
        <v>#DIV/0!</v>
      </c>
      <c r="J38" s="16">
        <f t="shared" si="4"/>
        <v>0.27500000000000002</v>
      </c>
      <c r="K38" s="16" t="e">
        <f t="shared" si="5"/>
        <v>#DIV/0!</v>
      </c>
      <c r="L38">
        <f t="shared" si="6"/>
        <v>5</v>
      </c>
    </row>
    <row r="40" spans="1:16" ht="12.75" customHeight="1" x14ac:dyDescent="0.35">
      <c r="A40" t="s">
        <v>52</v>
      </c>
    </row>
    <row r="41" spans="1:16" ht="15" customHeight="1" x14ac:dyDescent="0.35">
      <c r="A41" s="20"/>
      <c r="B41" s="21" t="s">
        <v>53</v>
      </c>
      <c r="C41" s="20"/>
      <c r="D41" s="22" t="s">
        <v>54</v>
      </c>
      <c r="E41" s="23"/>
      <c r="F41" s="23"/>
      <c r="G41" s="23"/>
      <c r="H41" s="24"/>
    </row>
    <row r="42" spans="1:16" ht="15" customHeight="1" x14ac:dyDescent="0.35">
      <c r="A42" s="25" t="s">
        <v>55</v>
      </c>
      <c r="B42" s="26" t="s">
        <v>56</v>
      </c>
      <c r="C42" s="25" t="s">
        <v>57</v>
      </c>
      <c r="D42" s="25" t="s">
        <v>58</v>
      </c>
      <c r="E42" s="26" t="s">
        <v>59</v>
      </c>
      <c r="F42" s="26" t="s">
        <v>60</v>
      </c>
      <c r="G42" s="26" t="s">
        <v>61</v>
      </c>
      <c r="H42" s="27" t="s">
        <v>62</v>
      </c>
    </row>
    <row r="43" spans="1:16" ht="12.75" customHeight="1" x14ac:dyDescent="0.35">
      <c r="A43" s="28">
        <v>10000</v>
      </c>
      <c r="C43" s="28">
        <v>11</v>
      </c>
      <c r="D43" s="28">
        <v>7.8</v>
      </c>
      <c r="E43">
        <v>5.3</v>
      </c>
      <c r="F43">
        <v>4</v>
      </c>
      <c r="G43">
        <v>2.7</v>
      </c>
      <c r="H43" s="29">
        <v>1.8</v>
      </c>
    </row>
    <row r="44" spans="1:16" ht="12.75" customHeight="1" x14ac:dyDescent="0.35">
      <c r="A44" s="28">
        <v>5000</v>
      </c>
      <c r="B44">
        <v>10000</v>
      </c>
      <c r="C44" s="28">
        <v>11.3</v>
      </c>
      <c r="D44" s="28">
        <v>7.8</v>
      </c>
      <c r="E44">
        <v>5.3</v>
      </c>
      <c r="F44">
        <v>4</v>
      </c>
      <c r="G44">
        <v>2.7</v>
      </c>
      <c r="H44" s="29">
        <v>1.9</v>
      </c>
    </row>
    <row r="45" spans="1:16" ht="12.75" customHeight="1" x14ac:dyDescent="0.35">
      <c r="A45" s="28">
        <v>2000</v>
      </c>
      <c r="B45">
        <v>5000</v>
      </c>
      <c r="C45" s="28">
        <v>11.9</v>
      </c>
      <c r="D45" s="28">
        <v>7.9</v>
      </c>
      <c r="E45">
        <v>5.4</v>
      </c>
      <c r="F45">
        <v>4.0999999999999996</v>
      </c>
      <c r="G45">
        <v>2.9</v>
      </c>
      <c r="H45" s="29">
        <v>2.1</v>
      </c>
    </row>
    <row r="46" spans="1:16" ht="12.75" customHeight="1" x14ac:dyDescent="0.35">
      <c r="A46" s="28">
        <v>1000</v>
      </c>
      <c r="B46">
        <v>2000</v>
      </c>
      <c r="C46" s="28">
        <v>13.4</v>
      </c>
      <c r="D46" s="28">
        <v>8</v>
      </c>
      <c r="E46">
        <v>5.6</v>
      </c>
      <c r="F46">
        <v>4.3</v>
      </c>
      <c r="G46">
        <v>3.1</v>
      </c>
      <c r="H46" s="29">
        <v>2.4</v>
      </c>
    </row>
    <row r="47" spans="1:16" ht="12.75" customHeight="1" x14ac:dyDescent="0.35">
      <c r="A47" s="28">
        <v>500</v>
      </c>
      <c r="B47">
        <v>1000</v>
      </c>
      <c r="C47" s="28">
        <v>15.6</v>
      </c>
      <c r="D47" s="28">
        <v>8.1999999999999993</v>
      </c>
      <c r="E47">
        <v>5.9</v>
      </c>
      <c r="F47">
        <v>4.7</v>
      </c>
      <c r="G47">
        <v>3.6</v>
      </c>
      <c r="H47" s="29">
        <v>2.9</v>
      </c>
    </row>
    <row r="48" spans="1:16" ht="12.75" customHeight="1" x14ac:dyDescent="0.35">
      <c r="A48" s="28">
        <v>200</v>
      </c>
      <c r="B48">
        <v>500</v>
      </c>
      <c r="C48" s="28">
        <v>19.3</v>
      </c>
      <c r="D48" s="28">
        <v>8.9</v>
      </c>
      <c r="E48">
        <v>6.8</v>
      </c>
      <c r="F48">
        <v>5.7</v>
      </c>
      <c r="G48">
        <v>4.7</v>
      </c>
      <c r="H48" s="29">
        <v>4.0999999999999996</v>
      </c>
    </row>
    <row r="49" spans="1:16" ht="12.75" customHeight="1" x14ac:dyDescent="0.35">
      <c r="A49" s="30">
        <v>100</v>
      </c>
      <c r="B49" s="31">
        <v>200</v>
      </c>
      <c r="C49" s="30">
        <v>27.5</v>
      </c>
      <c r="D49" s="30">
        <v>10</v>
      </c>
      <c r="E49" s="31">
        <v>8</v>
      </c>
      <c r="F49" s="31">
        <v>7</v>
      </c>
      <c r="G49" s="31">
        <v>6.1</v>
      </c>
      <c r="H49" s="32">
        <v>5.5</v>
      </c>
    </row>
    <row r="51" spans="1:16" ht="12.75" customHeight="1" x14ac:dyDescent="0.4">
      <c r="B51" s="12" t="s">
        <v>10</v>
      </c>
      <c r="C51" s="12" t="s">
        <v>11</v>
      </c>
      <c r="D51" s="12" t="s">
        <v>12</v>
      </c>
      <c r="E51" s="12" t="s">
        <v>13</v>
      </c>
      <c r="F51" s="12" t="s">
        <v>14</v>
      </c>
      <c r="G51" s="12"/>
      <c r="H51" s="12"/>
      <c r="I51" s="12"/>
      <c r="J51" s="12"/>
      <c r="K51" s="12"/>
      <c r="L51" s="12"/>
      <c r="M51" s="12"/>
      <c r="N51" s="12"/>
      <c r="O51" s="12"/>
      <c r="P51" s="12"/>
    </row>
    <row r="52" spans="1:16" ht="12.75" customHeight="1" x14ac:dyDescent="0.4">
      <c r="A52" s="12" t="s">
        <v>63</v>
      </c>
      <c r="B52" s="33">
        <v>8.9344870000000007</v>
      </c>
      <c r="C52" s="33">
        <v>9.4137459999999997</v>
      </c>
      <c r="D52" s="33">
        <v>9.4182120000000005</v>
      </c>
      <c r="E52" s="33">
        <v>9.4522560000000002</v>
      </c>
      <c r="F52" s="33">
        <v>9.4217429999999993</v>
      </c>
    </row>
    <row r="53" spans="1:16" ht="12.75" customHeight="1" x14ac:dyDescent="0.4">
      <c r="A53" s="6">
        <v>4</v>
      </c>
      <c r="B53" s="33">
        <v>2355.9270019999999</v>
      </c>
      <c r="C53" s="33">
        <v>2350.923828</v>
      </c>
      <c r="D53" s="33">
        <v>2323.689453</v>
      </c>
      <c r="E53" s="33">
        <v>2308.4436040000001</v>
      </c>
      <c r="F53" s="33">
        <v>2342.3479000000002</v>
      </c>
    </row>
    <row r="54" spans="1:16" ht="12.75" customHeight="1" x14ac:dyDescent="0.4">
      <c r="A54" s="6">
        <v>5</v>
      </c>
      <c r="B54" s="33">
        <v>2192.9628910000001</v>
      </c>
      <c r="C54" s="33">
        <v>2185.633789</v>
      </c>
      <c r="D54" s="33">
        <v>2161.7690429999998</v>
      </c>
      <c r="E54" s="33">
        <v>2151.232422</v>
      </c>
      <c r="F54" s="33">
        <v>2181.6557619999999</v>
      </c>
    </row>
    <row r="55" spans="1:16" ht="12.75" customHeight="1" x14ac:dyDescent="0.4">
      <c r="A55" s="6">
        <v>6</v>
      </c>
      <c r="B55" s="33">
        <v>2129.1652829999998</v>
      </c>
      <c r="C55" s="33">
        <v>2124.9777829999998</v>
      </c>
      <c r="D55" s="33">
        <v>2098.1689449999999</v>
      </c>
      <c r="E55" s="33">
        <v>2091.352539</v>
      </c>
      <c r="F55" s="33">
        <v>2118.5039059999999</v>
      </c>
    </row>
    <row r="56" spans="1:16" ht="12.75" customHeight="1" x14ac:dyDescent="0.4">
      <c r="A56" s="6">
        <v>7</v>
      </c>
      <c r="B56" s="33">
        <v>2093.5727539999998</v>
      </c>
      <c r="C56" s="33">
        <v>2089.0727539999998</v>
      </c>
      <c r="D56" s="33">
        <v>2059.7329100000002</v>
      </c>
      <c r="E56" s="33">
        <v>2055.9113769999999</v>
      </c>
      <c r="F56" s="33">
        <v>2083.796875</v>
      </c>
    </row>
    <row r="57" spans="1:16" ht="12.75" customHeight="1" x14ac:dyDescent="0.4">
      <c r="A57" s="6">
        <v>8</v>
      </c>
      <c r="B57" s="33">
        <v>2065.367432</v>
      </c>
      <c r="C57" s="33">
        <v>2060.4975589999999</v>
      </c>
      <c r="D57" s="33">
        <v>2032.4451899999999</v>
      </c>
      <c r="E57" s="33">
        <v>2025.6539310000001</v>
      </c>
      <c r="F57" s="33">
        <v>2051.4250489999999</v>
      </c>
    </row>
    <row r="58" spans="1:16" ht="12.75" customHeight="1" x14ac:dyDescent="0.4">
      <c r="A58" s="6">
        <v>9</v>
      </c>
      <c r="B58" s="33">
        <v>2034.811768</v>
      </c>
      <c r="C58" s="33">
        <v>2035.321533</v>
      </c>
      <c r="D58" s="33">
        <v>2004.3082280000001</v>
      </c>
      <c r="E58" s="33">
        <v>2001.215332</v>
      </c>
      <c r="F58" s="33">
        <v>2028.393188</v>
      </c>
    </row>
    <row r="59" spans="1:16" ht="12.75" customHeight="1" x14ac:dyDescent="0.4">
      <c r="A59" s="6">
        <v>10</v>
      </c>
      <c r="B59" s="33">
        <v>2007.389893</v>
      </c>
      <c r="C59" s="33">
        <v>2009.5083010000001</v>
      </c>
      <c r="D59" s="33">
        <v>1977.3392329999999</v>
      </c>
      <c r="E59" s="33">
        <v>1976.565186</v>
      </c>
      <c r="F59" s="33">
        <v>2001.752686</v>
      </c>
    </row>
    <row r="60" spans="1:16" ht="12.75" customHeight="1" x14ac:dyDescent="0.4">
      <c r="A60" s="6">
        <v>11</v>
      </c>
      <c r="B60" s="33">
        <v>1974.4837649999999</v>
      </c>
      <c r="C60" s="33">
        <v>1976.471436</v>
      </c>
      <c r="D60" s="33">
        <v>1942.088379</v>
      </c>
      <c r="E60" s="33">
        <v>1941.652832</v>
      </c>
      <c r="F60" s="33">
        <v>1965.029053</v>
      </c>
    </row>
    <row r="61" spans="1:16" ht="12.75" customHeight="1" x14ac:dyDescent="0.4">
      <c r="A61" s="6">
        <v>12</v>
      </c>
      <c r="B61" s="33">
        <v>1921.2070309999999</v>
      </c>
      <c r="C61" s="33">
        <v>1926.2258300000001</v>
      </c>
      <c r="D61" s="33">
        <v>1893.4592290000001</v>
      </c>
      <c r="E61" s="33">
        <v>1893.621948</v>
      </c>
      <c r="F61" s="33">
        <v>1911.6419679999999</v>
      </c>
    </row>
    <row r="62" spans="1:16" ht="12.75" customHeight="1" x14ac:dyDescent="0.4">
      <c r="A62" s="6">
        <v>13</v>
      </c>
      <c r="B62" s="33">
        <v>1185.1827390000001</v>
      </c>
      <c r="C62" s="33">
        <v>1171.053467</v>
      </c>
      <c r="D62" s="33">
        <v>1175.3823239999999</v>
      </c>
      <c r="E62" s="33">
        <v>1166.0708010000001</v>
      </c>
      <c r="F62" s="33">
        <v>1148.407471</v>
      </c>
    </row>
    <row r="63" spans="1:16" ht="12.75" customHeight="1" x14ac:dyDescent="0.4">
      <c r="A63" s="6">
        <v>14</v>
      </c>
      <c r="B63" s="33">
        <v>274.88986199999999</v>
      </c>
      <c r="C63" s="33">
        <v>274.385986</v>
      </c>
      <c r="D63" s="33">
        <v>278.18444799999997</v>
      </c>
      <c r="E63" s="33">
        <v>258.35101300000002</v>
      </c>
      <c r="F63" s="33">
        <v>267.99710099999999</v>
      </c>
    </row>
    <row r="64" spans="1:16" ht="12.75" customHeight="1" x14ac:dyDescent="0.4">
      <c r="A64" s="6">
        <v>15</v>
      </c>
      <c r="B64" s="33">
        <v>58.649138999999998</v>
      </c>
      <c r="C64" s="33">
        <v>53.113818999999999</v>
      </c>
      <c r="D64" s="33">
        <v>52.239215999999999</v>
      </c>
      <c r="E64" s="33">
        <v>55.013320999999998</v>
      </c>
      <c r="F64" s="33">
        <v>54.023972000000001</v>
      </c>
    </row>
    <row r="65" spans="1:6" ht="12.75" customHeight="1" x14ac:dyDescent="0.4">
      <c r="A65" s="6">
        <v>16</v>
      </c>
      <c r="B65" s="33">
        <v>42.196041000000001</v>
      </c>
      <c r="C65" s="33">
        <v>35.904941999999998</v>
      </c>
      <c r="D65" s="33">
        <v>35.675559999999997</v>
      </c>
      <c r="E65" s="33">
        <v>37.239787999999997</v>
      </c>
      <c r="F65" s="33">
        <v>39.058590000000002</v>
      </c>
    </row>
    <row r="66" spans="1:6" ht="12.75" customHeight="1" x14ac:dyDescent="0.4">
      <c r="A66" s="6">
        <v>17</v>
      </c>
      <c r="B66" s="33">
        <v>35.032786999999999</v>
      </c>
      <c r="C66" s="33">
        <v>30.487333</v>
      </c>
      <c r="D66" s="33">
        <v>29.623456999999998</v>
      </c>
      <c r="E66" s="33">
        <v>31.103684999999999</v>
      </c>
      <c r="F66" s="33">
        <v>32.265788999999998</v>
      </c>
    </row>
    <row r="67" spans="1:6" ht="12.75" customHeight="1" x14ac:dyDescent="0.4">
      <c r="A67" s="6">
        <v>18</v>
      </c>
      <c r="B67" s="33">
        <v>28.653015</v>
      </c>
      <c r="C67" s="33">
        <v>26.238226000000001</v>
      </c>
      <c r="D67" s="33">
        <v>23.677530000000001</v>
      </c>
      <c r="E67" s="33">
        <v>25.179174</v>
      </c>
      <c r="F67" s="33">
        <v>25.791405000000001</v>
      </c>
    </row>
    <row r="68" spans="1:6" ht="12.75" customHeight="1" x14ac:dyDescent="0.4">
      <c r="A68" s="6">
        <v>19</v>
      </c>
      <c r="B68" s="33">
        <v>21.153984000000001</v>
      </c>
      <c r="C68" s="33">
        <v>17.527560999999999</v>
      </c>
      <c r="D68" s="33">
        <v>15.608058</v>
      </c>
      <c r="E68" s="33">
        <v>16.715585999999998</v>
      </c>
      <c r="F68" s="33">
        <v>16.557445999999999</v>
      </c>
    </row>
    <row r="69" spans="1:6" ht="12.75" customHeight="1" x14ac:dyDescent="0.4">
      <c r="A69" s="6">
        <v>20</v>
      </c>
      <c r="B69" s="33">
        <v>11.304510000000001</v>
      </c>
      <c r="C69" s="33">
        <v>7.8608450000000003</v>
      </c>
      <c r="D69" s="33">
        <v>8.0694719999999993</v>
      </c>
      <c r="E69" s="33">
        <v>8.7809720000000002</v>
      </c>
      <c r="F69" s="33">
        <v>9.1278220000000001</v>
      </c>
    </row>
    <row r="70" spans="1:6" ht="12.75" customHeight="1" x14ac:dyDescent="0.4">
      <c r="A70" s="6">
        <v>21</v>
      </c>
      <c r="B70" s="33">
        <v>7.1632540000000002</v>
      </c>
      <c r="C70" s="33">
        <v>5.8425200000000004</v>
      </c>
      <c r="D70" s="33">
        <v>4.9903320000000004</v>
      </c>
      <c r="E70" s="33">
        <v>4.8665630000000002</v>
      </c>
      <c r="F70" s="33">
        <v>4.776186</v>
      </c>
    </row>
    <row r="71" spans="1:6" ht="12.75" customHeight="1" x14ac:dyDescent="0.4">
      <c r="A71" s="6">
        <v>22</v>
      </c>
      <c r="B71" s="33">
        <v>5.3724400000000001</v>
      </c>
      <c r="C71" s="33">
        <v>4.5677890000000003</v>
      </c>
      <c r="D71" s="33">
        <v>4.3532679999999999</v>
      </c>
      <c r="E71" s="33">
        <v>3.8086139999999999</v>
      </c>
      <c r="F71" s="33">
        <v>4.0332239999999997</v>
      </c>
    </row>
    <row r="72" spans="1:6" ht="12.75" customHeight="1" x14ac:dyDescent="0.4">
      <c r="A72" s="6">
        <v>23</v>
      </c>
      <c r="B72" s="33">
        <v>4.4770339999999997</v>
      </c>
      <c r="C72" s="33">
        <v>4.3553329999999999</v>
      </c>
      <c r="D72" s="33">
        <v>3.5038499999999999</v>
      </c>
      <c r="E72" s="33">
        <v>3.1738460000000002</v>
      </c>
      <c r="F72" s="33">
        <v>3.0779869999999998</v>
      </c>
    </row>
    <row r="73" spans="1:6" ht="12.75" customHeight="1" x14ac:dyDescent="0.4">
      <c r="A73" s="6">
        <v>24</v>
      </c>
      <c r="B73" s="33">
        <v>4.1412560000000003</v>
      </c>
      <c r="C73" s="33">
        <v>3.6117400000000002</v>
      </c>
      <c r="D73" s="33">
        <v>3.1853180000000001</v>
      </c>
      <c r="E73" s="33">
        <v>2.8564609999999999</v>
      </c>
      <c r="F73" s="33">
        <v>2.5472990000000002</v>
      </c>
    </row>
    <row r="74" spans="1:6" ht="12.75" customHeight="1" x14ac:dyDescent="0.4">
      <c r="A74" s="6">
        <v>25</v>
      </c>
      <c r="B74" s="33">
        <v>3.6935530000000001</v>
      </c>
      <c r="C74" s="33">
        <v>2.655691</v>
      </c>
      <c r="D74" s="33">
        <v>2.6544319999999999</v>
      </c>
      <c r="E74" s="33">
        <v>2.433281</v>
      </c>
      <c r="F74" s="33">
        <v>1.910474</v>
      </c>
    </row>
    <row r="75" spans="1:6" ht="12.75" customHeight="1" x14ac:dyDescent="0.4">
      <c r="A75" s="6">
        <v>26</v>
      </c>
      <c r="B75" s="33">
        <v>3.021998</v>
      </c>
      <c r="C75" s="33">
        <v>2.1245530000000001</v>
      </c>
      <c r="D75" s="33">
        <v>2.0173679999999998</v>
      </c>
      <c r="E75" s="33">
        <v>1.6927179999999999</v>
      </c>
      <c r="F75" s="33">
        <v>1.5920620000000001</v>
      </c>
    </row>
    <row r="76" spans="1:6" ht="12.75" customHeight="1" x14ac:dyDescent="0.4">
      <c r="A76" s="6">
        <v>27</v>
      </c>
      <c r="B76" s="33">
        <v>2.5742940000000001</v>
      </c>
      <c r="C76" s="33">
        <v>1.593415</v>
      </c>
      <c r="D76" s="33">
        <v>1.8050139999999999</v>
      </c>
      <c r="E76" s="33">
        <v>1.481128</v>
      </c>
      <c r="F76" s="33">
        <v>1.2736499999999999</v>
      </c>
    </row>
    <row r="77" spans="1:6" ht="12.75" customHeight="1" x14ac:dyDescent="0.4">
      <c r="A77" s="6">
        <v>28</v>
      </c>
      <c r="B77" s="33">
        <v>2.1265909999999999</v>
      </c>
      <c r="C77" s="33">
        <v>1.380959</v>
      </c>
      <c r="D77" s="33">
        <v>1.4864820000000001</v>
      </c>
      <c r="E77" s="33">
        <v>1.2695380000000001</v>
      </c>
      <c r="F77" s="33">
        <v>1.1675120000000001</v>
      </c>
    </row>
    <row r="78" spans="1:6" ht="12.75" customHeight="1" x14ac:dyDescent="0.4">
      <c r="A78" s="6">
        <v>29</v>
      </c>
      <c r="B78" s="33">
        <v>2.1265909999999999</v>
      </c>
      <c r="C78" s="33">
        <v>1.274732</v>
      </c>
      <c r="D78" s="33">
        <v>1.4864820000000001</v>
      </c>
      <c r="E78" s="33">
        <v>1.163743</v>
      </c>
      <c r="F78" s="33">
        <v>1.1675120000000001</v>
      </c>
    </row>
    <row r="79" spans="1:6" ht="12.75" customHeight="1" x14ac:dyDescent="0.4">
      <c r="A79" s="6">
        <v>30</v>
      </c>
      <c r="B79" s="33">
        <v>1.902739</v>
      </c>
      <c r="C79" s="33">
        <v>0.84982100000000005</v>
      </c>
      <c r="D79" s="33">
        <v>1.274127</v>
      </c>
      <c r="E79" s="33">
        <v>1.163743</v>
      </c>
      <c r="F79" s="33">
        <v>1.061375</v>
      </c>
    </row>
    <row r="80" spans="1:6" ht="12.75" customHeight="1" x14ac:dyDescent="0.4">
      <c r="A80" s="6">
        <v>38</v>
      </c>
      <c r="B80" s="33">
        <v>1.1192580000000001</v>
      </c>
      <c r="C80" s="33">
        <v>0.31868299999999999</v>
      </c>
      <c r="D80" s="33">
        <v>0.31853199999999998</v>
      </c>
      <c r="E80" s="33">
        <v>0.52897400000000006</v>
      </c>
      <c r="F80" s="33">
        <v>0.31841199999999997</v>
      </c>
    </row>
    <row r="81" spans="1:32" ht="12.75" customHeight="1" x14ac:dyDescent="0.4">
      <c r="A81" s="6">
        <v>50</v>
      </c>
      <c r="B81" s="33">
        <v>0.223852</v>
      </c>
      <c r="C81" s="33">
        <v>0.106228</v>
      </c>
      <c r="D81" s="33">
        <v>0</v>
      </c>
      <c r="E81" s="33">
        <v>0.105795</v>
      </c>
      <c r="F81" s="33">
        <v>0.106137</v>
      </c>
    </row>
    <row r="82" spans="1:32" ht="12.75" customHeight="1" x14ac:dyDescent="0.4">
      <c r="A82" s="6">
        <v>70</v>
      </c>
      <c r="B82" s="33">
        <v>0</v>
      </c>
      <c r="C82" s="33">
        <v>0</v>
      </c>
      <c r="D82" s="33">
        <v>0</v>
      </c>
      <c r="E82" s="33">
        <v>0</v>
      </c>
      <c r="F82" s="33">
        <v>0</v>
      </c>
    </row>
    <row r="84" spans="1:32" ht="12.75" customHeight="1" x14ac:dyDescent="0.35">
      <c r="A84">
        <v>1</v>
      </c>
      <c r="B84">
        <v>8.9344870000000007</v>
      </c>
      <c r="C84">
        <v>2355.9270019999999</v>
      </c>
      <c r="D84">
        <v>2192.9628910000001</v>
      </c>
      <c r="E84">
        <v>2129.1652829999998</v>
      </c>
      <c r="F84">
        <v>2093.5727539999998</v>
      </c>
      <c r="G84">
        <v>2065.367432</v>
      </c>
      <c r="H84">
        <v>2034.811768</v>
      </c>
      <c r="I84">
        <v>2007.389893</v>
      </c>
      <c r="J84">
        <v>1974.4837649999999</v>
      </c>
      <c r="K84">
        <v>1921.2070309999999</v>
      </c>
      <c r="L84">
        <v>1185.1827390000001</v>
      </c>
      <c r="M84">
        <v>274.88986199999999</v>
      </c>
      <c r="N84">
        <v>58.649138999999998</v>
      </c>
      <c r="O84">
        <v>42.196041000000001</v>
      </c>
      <c r="P84">
        <v>35.032786999999999</v>
      </c>
      <c r="Q84">
        <v>28.653015</v>
      </c>
      <c r="R84">
        <v>21.153984000000001</v>
      </c>
      <c r="S84">
        <v>11.304510000000001</v>
      </c>
      <c r="T84">
        <v>7.1632540000000002</v>
      </c>
      <c r="U84">
        <v>5.3724400000000001</v>
      </c>
      <c r="V84">
        <v>4.4770339999999997</v>
      </c>
      <c r="W84">
        <v>4.1412560000000003</v>
      </c>
      <c r="X84">
        <v>3.6935530000000001</v>
      </c>
      <c r="Y84">
        <v>3.021998</v>
      </c>
      <c r="Z84">
        <v>2.5742940000000001</v>
      </c>
      <c r="AA84">
        <v>2.1265909999999999</v>
      </c>
      <c r="AB84">
        <v>2.1265909999999999</v>
      </c>
      <c r="AC84">
        <v>1.902739</v>
      </c>
      <c r="AD84">
        <v>1.1192580000000001</v>
      </c>
      <c r="AE84">
        <v>0.223852</v>
      </c>
      <c r="AF84">
        <v>0</v>
      </c>
    </row>
    <row r="85" spans="1:32" ht="12.75" customHeight="1" x14ac:dyDescent="0.35">
      <c r="A85">
        <v>2</v>
      </c>
      <c r="B85">
        <v>9.4137459999999997</v>
      </c>
      <c r="C85">
        <v>2350.923828</v>
      </c>
      <c r="D85">
        <v>2185.633789</v>
      </c>
      <c r="E85">
        <v>2124.9777829999998</v>
      </c>
      <c r="F85">
        <v>2089.0727539999998</v>
      </c>
      <c r="G85">
        <v>2060.4975589999999</v>
      </c>
      <c r="H85">
        <v>2035.321533</v>
      </c>
      <c r="I85">
        <v>2009.5083010000001</v>
      </c>
      <c r="J85">
        <v>1976.471436</v>
      </c>
      <c r="K85">
        <v>1926.2258300000001</v>
      </c>
      <c r="L85">
        <v>1171.053467</v>
      </c>
      <c r="M85">
        <v>274.385986</v>
      </c>
      <c r="N85">
        <v>53.113818999999999</v>
      </c>
      <c r="O85">
        <v>35.904941999999998</v>
      </c>
      <c r="P85">
        <v>30.487333</v>
      </c>
      <c r="Q85">
        <v>26.238226000000001</v>
      </c>
      <c r="R85">
        <v>17.527560999999999</v>
      </c>
      <c r="S85">
        <v>7.8608450000000003</v>
      </c>
      <c r="T85">
        <v>5.8425200000000004</v>
      </c>
      <c r="U85">
        <v>4.5677890000000003</v>
      </c>
      <c r="V85">
        <v>4.3553329999999999</v>
      </c>
      <c r="W85">
        <v>3.6117400000000002</v>
      </c>
      <c r="X85">
        <v>2.655691</v>
      </c>
      <c r="Y85">
        <v>2.1245530000000001</v>
      </c>
      <c r="Z85">
        <v>1.593415</v>
      </c>
      <c r="AA85">
        <v>1.380959</v>
      </c>
      <c r="AB85">
        <v>1.274732</v>
      </c>
      <c r="AC85">
        <v>0.84982100000000005</v>
      </c>
      <c r="AD85">
        <v>0.31868299999999999</v>
      </c>
      <c r="AE85">
        <v>0.106228</v>
      </c>
      <c r="AF85">
        <v>0</v>
      </c>
    </row>
    <row r="86" spans="1:32" ht="12.75" customHeight="1" x14ac:dyDescent="0.35">
      <c r="A86">
        <v>3</v>
      </c>
      <c r="B86">
        <v>9.4182120000000005</v>
      </c>
      <c r="C86">
        <v>2323.689453</v>
      </c>
      <c r="D86">
        <v>2161.7690429999998</v>
      </c>
      <c r="E86">
        <v>2098.1689449999999</v>
      </c>
      <c r="F86">
        <v>2059.7329100000002</v>
      </c>
      <c r="G86">
        <v>2032.4451899999999</v>
      </c>
      <c r="H86">
        <v>2004.3082280000001</v>
      </c>
      <c r="I86">
        <v>1977.3392329999999</v>
      </c>
      <c r="J86">
        <v>1942.088379</v>
      </c>
      <c r="K86">
        <v>1893.4592290000001</v>
      </c>
      <c r="L86">
        <v>1175.3823239999999</v>
      </c>
      <c r="M86">
        <v>278.18444799999997</v>
      </c>
      <c r="N86">
        <v>52.239215999999999</v>
      </c>
      <c r="O86">
        <v>35.675559999999997</v>
      </c>
      <c r="P86">
        <v>29.623456999999998</v>
      </c>
      <c r="Q86">
        <v>23.677530000000001</v>
      </c>
      <c r="R86">
        <v>15.608058</v>
      </c>
      <c r="S86">
        <v>8.0694719999999993</v>
      </c>
      <c r="T86">
        <v>4.9903320000000004</v>
      </c>
      <c r="U86">
        <v>4.3532679999999999</v>
      </c>
      <c r="V86">
        <v>3.5038499999999999</v>
      </c>
      <c r="W86">
        <v>3.1853180000000001</v>
      </c>
      <c r="X86">
        <v>2.6544319999999999</v>
      </c>
      <c r="Y86">
        <v>2.0173679999999998</v>
      </c>
      <c r="Z86">
        <v>1.8050139999999999</v>
      </c>
      <c r="AA86">
        <v>1.4864820000000001</v>
      </c>
      <c r="AB86">
        <v>1.4864820000000001</v>
      </c>
      <c r="AC86">
        <v>1.274127</v>
      </c>
      <c r="AD86">
        <v>0.31853199999999998</v>
      </c>
      <c r="AE86">
        <v>0</v>
      </c>
      <c r="AF86">
        <v>0</v>
      </c>
    </row>
    <row r="87" spans="1:32" ht="12.75" customHeight="1" x14ac:dyDescent="0.35">
      <c r="A87">
        <v>4</v>
      </c>
      <c r="B87">
        <v>9.4522560000000002</v>
      </c>
      <c r="C87">
        <v>2308.4436040000001</v>
      </c>
      <c r="D87">
        <v>2151.232422</v>
      </c>
      <c r="E87">
        <v>2091.352539</v>
      </c>
      <c r="F87">
        <v>2055.9113769999999</v>
      </c>
      <c r="G87">
        <v>2025.6539310000001</v>
      </c>
      <c r="H87">
        <v>2001.215332</v>
      </c>
      <c r="I87">
        <v>1976.565186</v>
      </c>
      <c r="J87">
        <v>1941.652832</v>
      </c>
      <c r="K87">
        <v>1893.621948</v>
      </c>
      <c r="L87">
        <v>1166.0708010000001</v>
      </c>
      <c r="M87">
        <v>258.35101300000002</v>
      </c>
      <c r="N87">
        <v>55.013320999999998</v>
      </c>
      <c r="O87">
        <v>37.239787999999997</v>
      </c>
      <c r="P87">
        <v>31.103684999999999</v>
      </c>
      <c r="Q87">
        <v>25.179174</v>
      </c>
      <c r="R87">
        <v>16.715585999999998</v>
      </c>
      <c r="S87">
        <v>8.7809720000000002</v>
      </c>
      <c r="T87">
        <v>4.8665630000000002</v>
      </c>
      <c r="U87">
        <v>3.8086139999999999</v>
      </c>
      <c r="V87">
        <v>3.1738460000000002</v>
      </c>
      <c r="W87">
        <v>2.8564609999999999</v>
      </c>
      <c r="X87">
        <v>2.433281</v>
      </c>
      <c r="Y87">
        <v>1.6927179999999999</v>
      </c>
      <c r="Z87">
        <v>1.481128</v>
      </c>
      <c r="AA87">
        <v>1.2695380000000001</v>
      </c>
      <c r="AB87">
        <v>1.163743</v>
      </c>
      <c r="AC87">
        <v>1.163743</v>
      </c>
      <c r="AD87">
        <v>0.52897400000000006</v>
      </c>
      <c r="AE87">
        <v>0.105795</v>
      </c>
      <c r="AF87">
        <v>0</v>
      </c>
    </row>
    <row r="88" spans="1:32" ht="12.75" customHeight="1" x14ac:dyDescent="0.35">
      <c r="A88">
        <v>5</v>
      </c>
      <c r="B88">
        <v>9.4217429999999993</v>
      </c>
      <c r="C88">
        <v>2342.3479000000002</v>
      </c>
      <c r="D88">
        <v>2181.6557619999999</v>
      </c>
      <c r="E88">
        <v>2118.5039059999999</v>
      </c>
      <c r="F88">
        <v>2083.796875</v>
      </c>
      <c r="G88">
        <v>2051.4250489999999</v>
      </c>
      <c r="H88">
        <v>2028.393188</v>
      </c>
      <c r="I88">
        <v>2001.752686</v>
      </c>
      <c r="J88">
        <v>1965.029053</v>
      </c>
      <c r="K88">
        <v>1911.6419679999999</v>
      </c>
      <c r="L88">
        <v>1148.407471</v>
      </c>
      <c r="M88">
        <v>267.99710099999999</v>
      </c>
      <c r="N88">
        <v>54.023972000000001</v>
      </c>
      <c r="O88">
        <v>39.058590000000002</v>
      </c>
      <c r="P88">
        <v>32.265788999999998</v>
      </c>
      <c r="Q88">
        <v>25.791405000000001</v>
      </c>
      <c r="R88">
        <v>16.557445999999999</v>
      </c>
      <c r="S88">
        <v>9.1278220000000001</v>
      </c>
      <c r="T88">
        <v>4.776186</v>
      </c>
      <c r="U88">
        <v>4.0332239999999997</v>
      </c>
      <c r="V88">
        <v>3.0779869999999998</v>
      </c>
      <c r="W88">
        <v>2.5472990000000002</v>
      </c>
      <c r="X88">
        <v>1.910474</v>
      </c>
      <c r="Y88">
        <v>1.5920620000000001</v>
      </c>
      <c r="Z88">
        <v>1.2736499999999999</v>
      </c>
      <c r="AA88">
        <v>1.1675120000000001</v>
      </c>
      <c r="AB88">
        <v>1.1675120000000001</v>
      </c>
      <c r="AC88">
        <v>1.061375</v>
      </c>
      <c r="AD88">
        <v>0.31841199999999997</v>
      </c>
      <c r="AE88">
        <v>0.106137</v>
      </c>
      <c r="AF88">
        <v>0</v>
      </c>
    </row>
  </sheetData>
  <mergeCells count="1">
    <mergeCell ref="A2:E2"/>
  </mergeCells>
  <conditionalFormatting sqref="H9:H40">
    <cfRule type="cellIs" dxfId="3" priority="2" operator="greaterThan">
      <formula>1000</formula>
    </cfRule>
  </conditionalFormatting>
  <conditionalFormatting sqref="K9:K40">
    <cfRule type="cellIs" dxfId="2" priority="3" operator="lessThan">
      <formula>J11</formula>
    </cfRule>
  </conditionalFormatting>
  <pageMargins left="0.7" right="0.7" top="0.75" bottom="0.75" header="0.511811023622047" footer="0.511811023622047"/>
  <pageSetup paperSize="9" orientation="portrait" horizontalDpi="300" verticalDpi="300"/>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dimension ref="A1:AMJ1101"/>
  <sheetViews>
    <sheetView tabSelected="1" zoomScale="70" zoomScaleNormal="70" workbookViewId="0">
      <selection activeCell="R59" sqref="R59"/>
    </sheetView>
  </sheetViews>
  <sheetFormatPr defaultColWidth="11.19921875" defaultRowHeight="13.5" x14ac:dyDescent="0.35"/>
  <cols>
    <col min="1" max="1" width="22.3984375" style="34" customWidth="1"/>
    <col min="2" max="2" width="15.265625" style="34" customWidth="1"/>
    <col min="3" max="11" width="11.19921875" style="34"/>
    <col min="12" max="12" width="5.265625" style="34" customWidth="1"/>
    <col min="13" max="13" width="9.53125" style="34" customWidth="1"/>
    <col min="14" max="16" width="11.19921875" style="34"/>
    <col min="17" max="17" width="64.33203125" style="34" bestFit="1" customWidth="1"/>
    <col min="18" max="16384" width="11.19921875" style="34"/>
  </cols>
  <sheetData>
    <row r="1" spans="1:1024" ht="101.25" customHeight="1" x14ac:dyDescent="0.35">
      <c r="A1" s="35" t="s">
        <v>64</v>
      </c>
      <c r="B1" s="36" t="s">
        <v>65</v>
      </c>
      <c r="C1" s="2" t="s">
        <v>66</v>
      </c>
      <c r="D1" s="2"/>
      <c r="E1" s="2"/>
      <c r="F1" s="2"/>
      <c r="G1" s="2"/>
      <c r="H1" s="2"/>
      <c r="I1" s="36"/>
      <c r="J1" s="36"/>
      <c r="K1" s="36"/>
      <c r="L1" s="34" t="s">
        <v>67</v>
      </c>
      <c r="M1" s="37" t="s">
        <v>68</v>
      </c>
      <c r="N1" s="36" t="s">
        <v>69</v>
      </c>
      <c r="O1" s="36" t="s">
        <v>70</v>
      </c>
      <c r="P1" s="36"/>
      <c r="Q1" s="36"/>
      <c r="R1" s="36"/>
      <c r="S1" s="36"/>
      <c r="T1" s="36"/>
      <c r="U1" s="36"/>
      <c r="V1" s="36"/>
      <c r="W1" s="36"/>
      <c r="X1" s="36"/>
      <c r="Y1" s="36"/>
      <c r="Z1" s="36"/>
      <c r="AA1" s="36"/>
      <c r="AB1" s="36"/>
      <c r="AC1" s="36"/>
      <c r="AD1" s="36"/>
      <c r="AE1" s="36"/>
      <c r="AF1" s="36"/>
      <c r="AG1" s="36"/>
      <c r="AH1" s="36"/>
      <c r="AI1" s="36"/>
      <c r="AJ1" s="36"/>
      <c r="AK1" s="36"/>
      <c r="AL1" s="36"/>
      <c r="AM1" s="36"/>
      <c r="AN1" s="36"/>
      <c r="AO1" s="36"/>
      <c r="AP1" s="36"/>
      <c r="AQ1" s="36"/>
      <c r="AR1" s="36"/>
      <c r="AS1" s="36"/>
      <c r="AT1" s="36"/>
      <c r="AU1" s="36"/>
      <c r="AV1" s="36"/>
      <c r="AW1" s="36"/>
      <c r="AX1" s="36"/>
      <c r="AY1" s="36"/>
      <c r="AZ1" s="36"/>
      <c r="BA1" s="36"/>
      <c r="BB1" s="36"/>
      <c r="BC1" s="36"/>
      <c r="BD1" s="36"/>
      <c r="BE1" s="36"/>
      <c r="BF1" s="36"/>
      <c r="BG1" s="36"/>
      <c r="BH1" s="36"/>
      <c r="BI1" s="36"/>
      <c r="BJ1" s="36"/>
      <c r="BK1" s="36"/>
      <c r="BL1" s="36"/>
      <c r="BM1" s="36"/>
      <c r="BN1" s="36"/>
      <c r="BO1" s="36"/>
      <c r="BP1" s="36"/>
      <c r="BQ1" s="36"/>
      <c r="BR1" s="36"/>
      <c r="BS1" s="36"/>
      <c r="BT1" s="36"/>
      <c r="BU1" s="36"/>
      <c r="BV1" s="36"/>
      <c r="BW1" s="36"/>
      <c r="BX1" s="36"/>
      <c r="BY1" s="36"/>
      <c r="BZ1" s="36"/>
      <c r="CA1" s="36"/>
      <c r="CB1" s="36"/>
      <c r="CC1" s="36"/>
      <c r="CD1" s="36"/>
      <c r="CE1" s="36"/>
      <c r="CF1" s="36"/>
      <c r="CG1" s="36"/>
      <c r="CH1" s="36"/>
      <c r="CI1" s="36"/>
      <c r="CJ1" s="36"/>
      <c r="CK1" s="36"/>
      <c r="CL1" s="36"/>
      <c r="CM1" s="36"/>
      <c r="CN1" s="36"/>
      <c r="CO1" s="36"/>
      <c r="CP1" s="36"/>
      <c r="CQ1" s="36"/>
      <c r="CR1" s="36"/>
      <c r="CS1" s="36"/>
      <c r="CT1" s="36"/>
      <c r="CU1" s="36"/>
      <c r="CV1" s="36"/>
      <c r="CW1" s="36"/>
      <c r="CX1" s="36"/>
      <c r="CY1" s="36"/>
      <c r="CZ1" s="36"/>
      <c r="DA1" s="36"/>
      <c r="DB1" s="36"/>
      <c r="DC1" s="36"/>
      <c r="DD1" s="36"/>
      <c r="DE1" s="36"/>
      <c r="DF1" s="36"/>
      <c r="DG1" s="36"/>
      <c r="DH1" s="36"/>
      <c r="DI1" s="36"/>
      <c r="DJ1" s="36"/>
      <c r="DK1" s="36"/>
      <c r="DL1" s="36"/>
      <c r="DM1" s="36"/>
      <c r="DN1" s="36"/>
      <c r="DO1" s="36"/>
      <c r="DP1" s="36"/>
      <c r="DQ1" s="36"/>
      <c r="DR1" s="36"/>
      <c r="DS1" s="36"/>
      <c r="DT1" s="36"/>
      <c r="DU1" s="36"/>
      <c r="DV1" s="36"/>
      <c r="DW1" s="36"/>
      <c r="DX1" s="36"/>
      <c r="DY1" s="36"/>
      <c r="DZ1" s="36"/>
      <c r="EA1" s="36"/>
      <c r="EB1" s="36"/>
      <c r="EC1" s="36"/>
      <c r="ED1" s="36"/>
      <c r="EE1" s="36"/>
      <c r="EF1" s="36"/>
      <c r="EG1" s="36"/>
      <c r="EH1" s="36"/>
      <c r="EI1" s="36"/>
      <c r="EJ1" s="36"/>
      <c r="EK1" s="36"/>
      <c r="EL1" s="36"/>
      <c r="EM1" s="36"/>
      <c r="EN1" s="36"/>
      <c r="EO1" s="36"/>
      <c r="EP1" s="36"/>
      <c r="EQ1" s="36"/>
      <c r="ER1" s="36"/>
      <c r="ES1" s="36"/>
      <c r="ET1" s="36"/>
      <c r="EU1" s="36"/>
      <c r="EV1" s="36"/>
      <c r="EW1" s="36"/>
      <c r="EX1" s="36"/>
      <c r="EY1" s="36"/>
      <c r="EZ1" s="36"/>
      <c r="FA1" s="36"/>
      <c r="FB1" s="36"/>
      <c r="FC1" s="36"/>
      <c r="FD1" s="36"/>
      <c r="FE1" s="36"/>
      <c r="FF1" s="36"/>
      <c r="FG1" s="36"/>
      <c r="FH1" s="36"/>
      <c r="FI1" s="36"/>
      <c r="FJ1" s="36"/>
      <c r="FK1" s="36"/>
      <c r="FL1" s="36"/>
      <c r="FM1" s="36"/>
      <c r="FN1" s="36"/>
      <c r="FO1" s="36"/>
      <c r="FP1" s="36"/>
      <c r="FQ1" s="36"/>
      <c r="FR1" s="36"/>
      <c r="FS1" s="36"/>
      <c r="FT1" s="36"/>
      <c r="FU1" s="36"/>
      <c r="FV1" s="36"/>
      <c r="FW1" s="36"/>
      <c r="FX1" s="36"/>
      <c r="FY1" s="36"/>
      <c r="FZ1" s="36"/>
      <c r="GA1" s="36"/>
      <c r="GB1" s="36"/>
      <c r="GC1" s="36"/>
      <c r="GD1" s="36"/>
      <c r="GE1" s="36"/>
      <c r="GF1" s="36"/>
      <c r="GG1" s="36"/>
      <c r="GH1" s="36"/>
      <c r="GI1" s="36"/>
      <c r="GJ1" s="36"/>
      <c r="GK1" s="36"/>
      <c r="GL1" s="36"/>
      <c r="GM1" s="36"/>
      <c r="GN1" s="36"/>
      <c r="GO1" s="36"/>
      <c r="GP1" s="36"/>
      <c r="GQ1" s="36"/>
      <c r="GR1" s="36"/>
      <c r="GS1" s="36"/>
      <c r="GT1" s="36"/>
      <c r="GU1" s="36"/>
      <c r="GV1" s="36"/>
      <c r="GW1" s="36"/>
      <c r="GX1" s="36"/>
      <c r="GY1" s="36"/>
      <c r="GZ1" s="36"/>
      <c r="HA1" s="36"/>
      <c r="HB1" s="36"/>
      <c r="HC1" s="36"/>
      <c r="HD1" s="36"/>
      <c r="HE1" s="36"/>
      <c r="HF1" s="36"/>
      <c r="HG1" s="36"/>
      <c r="HH1" s="36"/>
      <c r="HI1" s="36"/>
      <c r="HJ1" s="36"/>
      <c r="HK1" s="36"/>
      <c r="HL1" s="36"/>
      <c r="HM1" s="36"/>
      <c r="HN1" s="36"/>
      <c r="HO1" s="36"/>
      <c r="HP1" s="36"/>
      <c r="HQ1" s="36"/>
      <c r="HR1" s="36"/>
      <c r="HS1" s="36"/>
      <c r="HT1" s="36"/>
      <c r="HU1" s="36"/>
      <c r="HV1" s="36"/>
      <c r="HW1" s="36"/>
      <c r="HX1" s="36"/>
      <c r="HY1" s="36"/>
      <c r="HZ1" s="36"/>
      <c r="IA1" s="36"/>
      <c r="IB1" s="36"/>
      <c r="IC1" s="36"/>
      <c r="ID1" s="36"/>
      <c r="IE1" s="36"/>
      <c r="IF1" s="36"/>
      <c r="IG1" s="36"/>
      <c r="IH1" s="36"/>
      <c r="II1" s="36"/>
      <c r="IJ1" s="36"/>
      <c r="IK1" s="36"/>
      <c r="IL1" s="36"/>
      <c r="IM1" s="36"/>
      <c r="IN1" s="36"/>
      <c r="IO1" s="36"/>
      <c r="IP1" s="36"/>
      <c r="IQ1" s="36"/>
      <c r="IR1" s="36"/>
      <c r="IS1" s="36"/>
      <c r="IT1" s="36"/>
      <c r="IU1" s="36"/>
      <c r="IV1" s="36"/>
      <c r="IW1" s="36"/>
      <c r="IX1" s="36"/>
      <c r="IY1" s="36"/>
      <c r="IZ1" s="36"/>
      <c r="JA1" s="36"/>
      <c r="JB1" s="36"/>
      <c r="JC1" s="36"/>
      <c r="JD1" s="36"/>
      <c r="JE1" s="36"/>
      <c r="JF1" s="36"/>
      <c r="JG1" s="36"/>
      <c r="JH1" s="36"/>
      <c r="JI1" s="36"/>
      <c r="JJ1" s="36"/>
      <c r="JK1" s="36"/>
      <c r="JL1" s="36"/>
      <c r="JM1" s="36"/>
      <c r="JN1" s="36"/>
      <c r="JO1" s="36"/>
      <c r="JP1" s="36"/>
      <c r="JQ1" s="36"/>
      <c r="JR1" s="36"/>
      <c r="JS1" s="36"/>
      <c r="JT1" s="36"/>
      <c r="JU1" s="36"/>
      <c r="JV1" s="36"/>
      <c r="JW1" s="36"/>
      <c r="JX1" s="36"/>
      <c r="JY1" s="36"/>
      <c r="JZ1" s="36"/>
      <c r="KA1" s="36"/>
      <c r="KB1" s="36"/>
      <c r="KC1" s="36"/>
      <c r="KD1" s="36"/>
      <c r="KE1" s="36"/>
      <c r="KF1" s="36"/>
      <c r="KG1" s="36"/>
      <c r="KH1" s="36"/>
      <c r="KI1" s="36"/>
      <c r="KJ1" s="36"/>
      <c r="KK1" s="36"/>
      <c r="KL1" s="36"/>
      <c r="KM1" s="36"/>
      <c r="KN1" s="36"/>
      <c r="KO1" s="36"/>
      <c r="KP1" s="36"/>
      <c r="KQ1" s="36"/>
      <c r="KR1" s="36"/>
      <c r="KS1" s="36"/>
      <c r="KT1" s="36"/>
      <c r="KU1" s="36"/>
      <c r="KV1" s="36"/>
      <c r="KW1" s="36"/>
      <c r="KX1" s="36"/>
      <c r="KY1" s="36"/>
      <c r="KZ1" s="36"/>
      <c r="LA1" s="36"/>
      <c r="LB1" s="36"/>
      <c r="LC1" s="36"/>
      <c r="LD1" s="36"/>
      <c r="LE1" s="36"/>
      <c r="LF1" s="36"/>
      <c r="LG1" s="36"/>
      <c r="LH1" s="36"/>
      <c r="LI1" s="36"/>
      <c r="LJ1" s="36"/>
      <c r="LK1" s="36"/>
      <c r="LL1" s="36"/>
      <c r="LM1" s="36"/>
      <c r="LN1" s="36"/>
      <c r="LO1" s="36"/>
      <c r="LP1" s="36"/>
      <c r="LQ1" s="36"/>
      <c r="LR1" s="36"/>
      <c r="LS1" s="36"/>
      <c r="LT1" s="36"/>
      <c r="LU1" s="36"/>
      <c r="LV1" s="36"/>
      <c r="LW1" s="36"/>
      <c r="LX1" s="36"/>
      <c r="LY1" s="36"/>
      <c r="LZ1" s="36"/>
      <c r="MA1" s="36"/>
      <c r="MB1" s="36"/>
      <c r="MC1" s="36"/>
      <c r="MD1" s="36"/>
      <c r="ME1" s="36"/>
      <c r="MF1" s="36"/>
      <c r="MG1" s="36"/>
      <c r="MH1" s="36"/>
      <c r="MI1" s="36"/>
      <c r="MJ1" s="36"/>
      <c r="MK1" s="36"/>
      <c r="ML1" s="36"/>
      <c r="MM1" s="36"/>
      <c r="MN1" s="36"/>
      <c r="MO1" s="36"/>
      <c r="MP1" s="36"/>
      <c r="MQ1" s="36"/>
      <c r="MR1" s="36"/>
      <c r="MS1" s="36"/>
      <c r="MT1" s="36"/>
      <c r="MU1" s="36"/>
      <c r="MV1" s="36"/>
      <c r="MW1" s="36"/>
      <c r="MX1" s="36"/>
      <c r="MY1" s="36"/>
      <c r="MZ1" s="36"/>
      <c r="NA1" s="36"/>
      <c r="NB1" s="36"/>
      <c r="NC1" s="36"/>
      <c r="ND1" s="36"/>
      <c r="NE1" s="36"/>
      <c r="NF1" s="36"/>
      <c r="NG1" s="36"/>
      <c r="NH1" s="36"/>
      <c r="NI1" s="36"/>
      <c r="NJ1" s="36"/>
      <c r="NK1" s="36"/>
      <c r="NL1" s="36"/>
      <c r="NM1" s="36"/>
      <c r="NN1" s="36"/>
      <c r="NO1" s="36"/>
      <c r="NP1" s="36"/>
      <c r="NQ1" s="36"/>
      <c r="NR1" s="36"/>
      <c r="NS1" s="36"/>
      <c r="NT1" s="36"/>
      <c r="NU1" s="36"/>
      <c r="NV1" s="36"/>
      <c r="NW1" s="36"/>
      <c r="NX1" s="36"/>
      <c r="NY1" s="36"/>
      <c r="NZ1" s="36"/>
      <c r="OA1" s="36"/>
      <c r="OB1" s="36"/>
      <c r="OC1" s="36"/>
      <c r="OD1" s="36"/>
      <c r="OE1" s="36"/>
      <c r="OF1" s="36"/>
      <c r="OG1" s="36"/>
      <c r="OH1" s="36"/>
      <c r="OI1" s="36"/>
      <c r="OJ1" s="36"/>
      <c r="OK1" s="36"/>
      <c r="OL1" s="36"/>
      <c r="OM1" s="36"/>
      <c r="ON1" s="36"/>
      <c r="OO1" s="36"/>
      <c r="OP1" s="36"/>
      <c r="OQ1" s="36"/>
      <c r="OR1" s="36"/>
      <c r="OS1" s="36"/>
      <c r="OT1" s="36"/>
      <c r="OU1" s="36"/>
      <c r="OV1" s="36"/>
      <c r="OW1" s="36"/>
      <c r="OX1" s="36"/>
      <c r="OY1" s="36"/>
      <c r="OZ1" s="36"/>
      <c r="PA1" s="36"/>
      <c r="PB1" s="36"/>
      <c r="PC1" s="36"/>
      <c r="PD1" s="36"/>
      <c r="PE1" s="36"/>
      <c r="PF1" s="36"/>
      <c r="PG1" s="36"/>
      <c r="PH1" s="36"/>
      <c r="PI1" s="36"/>
      <c r="PJ1" s="36"/>
      <c r="PK1" s="36"/>
      <c r="PL1" s="36"/>
      <c r="PM1" s="36"/>
      <c r="PN1" s="36"/>
      <c r="PO1" s="36"/>
      <c r="PP1" s="36"/>
      <c r="PQ1" s="36"/>
      <c r="PR1" s="36"/>
      <c r="PS1" s="36"/>
      <c r="PT1" s="36"/>
      <c r="PU1" s="36"/>
      <c r="PV1" s="36"/>
      <c r="PW1" s="36"/>
      <c r="PX1" s="36"/>
      <c r="PY1" s="36"/>
      <c r="PZ1" s="36"/>
      <c r="QA1" s="36"/>
      <c r="QB1" s="36"/>
      <c r="QC1" s="36"/>
      <c r="QD1" s="36"/>
      <c r="QE1" s="36"/>
      <c r="QF1" s="36"/>
      <c r="QG1" s="36"/>
      <c r="QH1" s="36"/>
      <c r="QI1" s="36"/>
      <c r="QJ1" s="36"/>
      <c r="QK1" s="36"/>
      <c r="QL1" s="36"/>
      <c r="QM1" s="36"/>
      <c r="QN1" s="36"/>
      <c r="QO1" s="36"/>
      <c r="QP1" s="36"/>
      <c r="QQ1" s="36"/>
      <c r="QR1" s="36"/>
      <c r="QS1" s="36"/>
      <c r="QT1" s="36"/>
      <c r="QU1" s="36"/>
      <c r="QV1" s="36"/>
      <c r="QW1" s="36"/>
      <c r="QX1" s="36"/>
      <c r="QY1" s="36"/>
      <c r="QZ1" s="36"/>
      <c r="RA1" s="36"/>
      <c r="RB1" s="36"/>
      <c r="RC1" s="36"/>
      <c r="RD1" s="36"/>
      <c r="RE1" s="36"/>
      <c r="RF1" s="36"/>
      <c r="RG1" s="36"/>
      <c r="RH1" s="36"/>
      <c r="RI1" s="36"/>
      <c r="RJ1" s="36"/>
      <c r="RK1" s="36"/>
      <c r="RL1" s="36"/>
      <c r="RM1" s="36"/>
      <c r="RN1" s="36"/>
      <c r="RO1" s="36"/>
      <c r="RP1" s="36"/>
      <c r="RQ1" s="36"/>
      <c r="RR1" s="36"/>
      <c r="RS1" s="36"/>
      <c r="RT1" s="36"/>
      <c r="RU1" s="36"/>
      <c r="RV1" s="36"/>
      <c r="RW1" s="36"/>
      <c r="RX1" s="36"/>
      <c r="RY1" s="36"/>
      <c r="RZ1" s="36"/>
      <c r="SA1" s="36"/>
      <c r="SB1" s="36"/>
      <c r="SC1" s="36"/>
      <c r="SD1" s="36"/>
      <c r="SE1" s="36"/>
      <c r="SF1" s="36"/>
      <c r="SG1" s="36"/>
      <c r="SH1" s="36"/>
      <c r="SI1" s="36"/>
      <c r="SJ1" s="36"/>
      <c r="SK1" s="36"/>
      <c r="SL1" s="36"/>
      <c r="SM1" s="36"/>
      <c r="SN1" s="36"/>
      <c r="SO1" s="36"/>
      <c r="SP1" s="36"/>
      <c r="SQ1" s="36"/>
      <c r="SR1" s="36"/>
      <c r="SS1" s="36"/>
      <c r="ST1" s="36"/>
      <c r="SU1" s="36"/>
      <c r="SV1" s="36"/>
      <c r="SW1" s="36"/>
      <c r="SX1" s="36"/>
      <c r="SY1" s="36"/>
      <c r="SZ1" s="36"/>
      <c r="TA1" s="36"/>
      <c r="TB1" s="36"/>
      <c r="TC1" s="36"/>
      <c r="TD1" s="36"/>
      <c r="TE1" s="36"/>
      <c r="TF1" s="36"/>
      <c r="TG1" s="36"/>
      <c r="TH1" s="36"/>
      <c r="TI1" s="36"/>
      <c r="TJ1" s="36"/>
      <c r="TK1" s="36"/>
      <c r="TL1" s="36"/>
      <c r="TM1" s="36"/>
      <c r="TN1" s="36"/>
      <c r="TO1" s="36"/>
      <c r="TP1" s="36"/>
      <c r="TQ1" s="36"/>
      <c r="TR1" s="36"/>
      <c r="TS1" s="36"/>
      <c r="TT1" s="36"/>
      <c r="TU1" s="36"/>
      <c r="TV1" s="36"/>
      <c r="TW1" s="36"/>
      <c r="TX1" s="36"/>
      <c r="TY1" s="36"/>
      <c r="TZ1" s="36"/>
      <c r="UA1" s="36"/>
      <c r="UB1" s="36"/>
      <c r="UC1" s="36"/>
      <c r="UD1" s="36"/>
      <c r="UE1" s="36"/>
      <c r="UF1" s="36"/>
      <c r="UG1" s="36"/>
      <c r="UH1" s="36"/>
      <c r="UI1" s="36"/>
      <c r="UJ1" s="36"/>
      <c r="UK1" s="36"/>
      <c r="UL1" s="36"/>
      <c r="UM1" s="36"/>
      <c r="UN1" s="36"/>
      <c r="UO1" s="36"/>
      <c r="UP1" s="36"/>
      <c r="UQ1" s="36"/>
      <c r="UR1" s="36"/>
      <c r="US1" s="36"/>
      <c r="UT1" s="36"/>
      <c r="UU1" s="36"/>
      <c r="UV1" s="36"/>
      <c r="UW1" s="36"/>
      <c r="UX1" s="36"/>
      <c r="UY1" s="36"/>
      <c r="UZ1" s="36"/>
      <c r="VA1" s="36"/>
      <c r="VB1" s="36"/>
      <c r="VC1" s="36"/>
      <c r="VD1" s="36"/>
      <c r="VE1" s="36"/>
      <c r="VF1" s="36"/>
      <c r="VG1" s="36"/>
      <c r="VH1" s="36"/>
      <c r="VI1" s="36"/>
      <c r="VJ1" s="36"/>
      <c r="VK1" s="36"/>
      <c r="VL1" s="36"/>
      <c r="VM1" s="36"/>
      <c r="VN1" s="36"/>
      <c r="VO1" s="36"/>
      <c r="VP1" s="36"/>
      <c r="VQ1" s="36"/>
      <c r="VR1" s="36"/>
      <c r="VS1" s="36"/>
      <c r="VT1" s="36"/>
      <c r="VU1" s="36"/>
      <c r="VV1" s="36"/>
      <c r="VW1" s="36"/>
      <c r="VX1" s="36"/>
      <c r="VY1" s="36"/>
      <c r="VZ1" s="36"/>
      <c r="WA1" s="36"/>
      <c r="WB1" s="36"/>
      <c r="WC1" s="36"/>
      <c r="WD1" s="36"/>
      <c r="WE1" s="36"/>
      <c r="WF1" s="36"/>
      <c r="WG1" s="36"/>
      <c r="WH1" s="36"/>
      <c r="WI1" s="36"/>
      <c r="WJ1" s="36"/>
      <c r="WK1" s="36"/>
      <c r="WL1" s="36"/>
      <c r="WM1" s="36"/>
      <c r="WN1" s="36"/>
      <c r="WO1" s="36"/>
      <c r="WP1" s="36"/>
      <c r="WQ1" s="36"/>
      <c r="WR1" s="36"/>
      <c r="WS1" s="36"/>
      <c r="WT1" s="36"/>
      <c r="WU1" s="36"/>
      <c r="WV1" s="36"/>
      <c r="WW1" s="36"/>
      <c r="WX1" s="36"/>
      <c r="WY1" s="36"/>
      <c r="WZ1" s="36"/>
      <c r="XA1" s="36"/>
      <c r="XB1" s="36"/>
      <c r="XC1" s="36"/>
      <c r="XD1" s="36"/>
      <c r="XE1" s="36"/>
      <c r="XF1" s="36"/>
      <c r="XG1" s="36"/>
      <c r="XH1" s="36"/>
      <c r="XI1" s="36"/>
      <c r="XJ1" s="36"/>
      <c r="XK1" s="36"/>
      <c r="XL1" s="36"/>
      <c r="XM1" s="36"/>
      <c r="XN1" s="36"/>
      <c r="XO1" s="36"/>
      <c r="XP1" s="36"/>
      <c r="XQ1" s="36"/>
      <c r="XR1" s="36"/>
      <c r="XS1" s="36"/>
      <c r="XT1" s="36"/>
      <c r="XU1" s="36"/>
      <c r="XV1" s="36"/>
      <c r="XW1" s="36"/>
      <c r="XX1" s="36"/>
      <c r="XY1" s="36"/>
      <c r="XZ1" s="36"/>
      <c r="YA1" s="36"/>
      <c r="YB1" s="36"/>
      <c r="YC1" s="36"/>
      <c r="YD1" s="36"/>
      <c r="YE1" s="36"/>
      <c r="YF1" s="36"/>
      <c r="YG1" s="36"/>
      <c r="YH1" s="36"/>
      <c r="YI1" s="36"/>
      <c r="YJ1" s="36"/>
      <c r="YK1" s="36"/>
      <c r="YL1" s="36"/>
      <c r="YM1" s="36"/>
      <c r="YN1" s="36"/>
      <c r="YO1" s="36"/>
      <c r="YP1" s="36"/>
      <c r="YQ1" s="36"/>
      <c r="YR1" s="36"/>
      <c r="YS1" s="36"/>
      <c r="YT1" s="36"/>
      <c r="YU1" s="36"/>
      <c r="YV1" s="36"/>
      <c r="YW1" s="36"/>
      <c r="YX1" s="36"/>
      <c r="YY1" s="36"/>
      <c r="YZ1" s="36"/>
      <c r="ZA1" s="36"/>
      <c r="ZB1" s="36"/>
      <c r="ZC1" s="36"/>
      <c r="ZD1" s="36"/>
      <c r="ZE1" s="36"/>
      <c r="ZF1" s="36"/>
      <c r="ZG1" s="36"/>
      <c r="ZH1" s="36"/>
      <c r="ZI1" s="36"/>
      <c r="ZJ1" s="36"/>
      <c r="ZK1" s="36"/>
      <c r="ZL1" s="36"/>
      <c r="ZM1" s="36"/>
      <c r="ZN1" s="36"/>
      <c r="ZO1" s="36"/>
      <c r="ZP1" s="36"/>
      <c r="ZQ1" s="36"/>
      <c r="ZR1" s="36"/>
      <c r="ZS1" s="36"/>
      <c r="ZT1" s="36"/>
      <c r="ZU1" s="36"/>
      <c r="ZV1" s="36"/>
      <c r="ZW1" s="36"/>
      <c r="ZX1" s="36"/>
      <c r="ZY1" s="36"/>
      <c r="ZZ1" s="36"/>
      <c r="AAA1" s="36"/>
      <c r="AAB1" s="36"/>
      <c r="AAC1" s="36"/>
      <c r="AAD1" s="36"/>
      <c r="AAE1" s="36"/>
      <c r="AAF1" s="36"/>
      <c r="AAG1" s="36"/>
      <c r="AAH1" s="36"/>
      <c r="AAI1" s="36"/>
      <c r="AAJ1" s="36"/>
      <c r="AAK1" s="36"/>
      <c r="AAL1" s="36"/>
      <c r="AAM1" s="36"/>
      <c r="AAN1" s="36"/>
      <c r="AAO1" s="36"/>
      <c r="AAP1" s="36"/>
      <c r="AAQ1" s="36"/>
      <c r="AAR1" s="36"/>
      <c r="AAS1" s="36"/>
      <c r="AAT1" s="36"/>
      <c r="AAU1" s="36"/>
      <c r="AAV1" s="36"/>
      <c r="AAW1" s="36"/>
      <c r="AAX1" s="36"/>
      <c r="AAY1" s="36"/>
      <c r="AAZ1" s="36"/>
      <c r="ABA1" s="36"/>
      <c r="ABB1" s="36"/>
      <c r="ABC1" s="36"/>
      <c r="ABD1" s="36"/>
      <c r="ABE1" s="36"/>
      <c r="ABF1" s="36"/>
      <c r="ABG1" s="36"/>
      <c r="ABH1" s="36"/>
      <c r="ABI1" s="36"/>
      <c r="ABJ1" s="36"/>
      <c r="ABK1" s="36"/>
      <c r="ABL1" s="36"/>
      <c r="ABM1" s="36"/>
      <c r="ABN1" s="36"/>
      <c r="ABO1" s="36"/>
      <c r="ABP1" s="36"/>
      <c r="ABQ1" s="36"/>
      <c r="ABR1" s="36"/>
      <c r="ABS1" s="36"/>
      <c r="ABT1" s="36"/>
      <c r="ABU1" s="36"/>
      <c r="ABV1" s="36"/>
      <c r="ABW1" s="36"/>
      <c r="ABX1" s="36"/>
      <c r="ABY1" s="36"/>
      <c r="ABZ1" s="36"/>
      <c r="ACA1" s="36"/>
      <c r="ACB1" s="36"/>
      <c r="ACC1" s="36"/>
      <c r="ACD1" s="36"/>
      <c r="ACE1" s="36"/>
      <c r="ACF1" s="36"/>
      <c r="ACG1" s="36"/>
      <c r="ACH1" s="36"/>
      <c r="ACI1" s="36"/>
      <c r="ACJ1" s="36"/>
      <c r="ACK1" s="36"/>
      <c r="ACL1" s="36"/>
      <c r="ACM1" s="36"/>
      <c r="ACN1" s="36"/>
      <c r="ACO1" s="36"/>
      <c r="ACP1" s="36"/>
      <c r="ACQ1" s="36"/>
      <c r="ACR1" s="36"/>
      <c r="ACS1" s="36"/>
      <c r="ACT1" s="36"/>
      <c r="ACU1" s="36"/>
      <c r="ACV1" s="36"/>
      <c r="ACW1" s="36"/>
      <c r="ACX1" s="36"/>
      <c r="ACY1" s="36"/>
      <c r="ACZ1" s="36"/>
      <c r="ADA1" s="36"/>
      <c r="ADB1" s="36"/>
      <c r="ADC1" s="36"/>
      <c r="ADD1" s="36"/>
      <c r="ADE1" s="36"/>
      <c r="ADF1" s="36"/>
      <c r="ADG1" s="36"/>
      <c r="ADH1" s="36"/>
      <c r="ADI1" s="36"/>
      <c r="ADJ1" s="36"/>
      <c r="ADK1" s="36"/>
      <c r="ADL1" s="36"/>
      <c r="ADM1" s="36"/>
      <c r="ADN1" s="36"/>
      <c r="ADO1" s="36"/>
      <c r="ADP1" s="36"/>
      <c r="ADQ1" s="36"/>
      <c r="ADR1" s="36"/>
      <c r="ADS1" s="36"/>
      <c r="ADT1" s="36"/>
      <c r="ADU1" s="36"/>
      <c r="ADV1" s="36"/>
      <c r="ADW1" s="36"/>
      <c r="ADX1" s="36"/>
      <c r="ADY1" s="36"/>
      <c r="ADZ1" s="36"/>
      <c r="AEA1" s="36"/>
      <c r="AEB1" s="36"/>
      <c r="AEC1" s="36"/>
      <c r="AED1" s="36"/>
      <c r="AEE1" s="36"/>
      <c r="AEF1" s="36"/>
      <c r="AEG1" s="36"/>
      <c r="AEH1" s="36"/>
      <c r="AEI1" s="36"/>
      <c r="AEJ1" s="36"/>
      <c r="AEK1" s="36"/>
      <c r="AEL1" s="36"/>
      <c r="AEM1" s="36"/>
      <c r="AEN1" s="36"/>
      <c r="AEO1" s="36"/>
      <c r="AEP1" s="36"/>
      <c r="AEQ1" s="36"/>
      <c r="AER1" s="36"/>
      <c r="AES1" s="36"/>
      <c r="AET1" s="36"/>
      <c r="AEU1" s="36"/>
      <c r="AEV1" s="36"/>
      <c r="AEW1" s="36"/>
      <c r="AEX1" s="36"/>
      <c r="AEY1" s="36"/>
      <c r="AEZ1" s="36"/>
      <c r="AFA1" s="36"/>
      <c r="AFB1" s="36"/>
      <c r="AFC1" s="36"/>
      <c r="AFD1" s="36"/>
      <c r="AFE1" s="36"/>
      <c r="AFF1" s="36"/>
      <c r="AFG1" s="36"/>
      <c r="AFH1" s="36"/>
      <c r="AFI1" s="36"/>
      <c r="AFJ1" s="36"/>
      <c r="AFK1" s="36"/>
      <c r="AFL1" s="36"/>
      <c r="AFM1" s="36"/>
      <c r="AFN1" s="36"/>
      <c r="AFO1" s="36"/>
      <c r="AFP1" s="36"/>
      <c r="AFQ1" s="36"/>
      <c r="AFR1" s="36"/>
      <c r="AFS1" s="36"/>
      <c r="AFT1" s="36"/>
      <c r="AFU1" s="36"/>
      <c r="AFV1" s="36"/>
      <c r="AFW1" s="36"/>
      <c r="AFX1" s="36"/>
      <c r="AFY1" s="36"/>
      <c r="AFZ1" s="36"/>
      <c r="AGA1" s="36"/>
      <c r="AGB1" s="36"/>
      <c r="AGC1" s="36"/>
      <c r="AGD1" s="36"/>
      <c r="AGE1" s="36"/>
      <c r="AGF1" s="36"/>
      <c r="AGG1" s="36"/>
      <c r="AGH1" s="36"/>
      <c r="AGI1" s="36"/>
      <c r="AGJ1" s="36"/>
      <c r="AGK1" s="36"/>
      <c r="AGL1" s="36"/>
      <c r="AGM1" s="36"/>
      <c r="AGN1" s="36"/>
      <c r="AGO1" s="36"/>
      <c r="AGP1" s="36"/>
      <c r="AGQ1" s="36"/>
      <c r="AGR1" s="36"/>
      <c r="AGS1" s="36"/>
      <c r="AGT1" s="36"/>
      <c r="AGU1" s="36"/>
      <c r="AGV1" s="36"/>
      <c r="AGW1" s="36"/>
      <c r="AGX1" s="36"/>
      <c r="AGY1" s="36"/>
      <c r="AGZ1" s="36"/>
      <c r="AHA1" s="36"/>
      <c r="AHB1" s="36"/>
      <c r="AHC1" s="36"/>
      <c r="AHD1" s="36"/>
      <c r="AHE1" s="36"/>
      <c r="AHF1" s="36"/>
      <c r="AHG1" s="36"/>
      <c r="AHH1" s="36"/>
      <c r="AHI1" s="36"/>
      <c r="AHJ1" s="36"/>
      <c r="AHK1" s="36"/>
      <c r="AHL1" s="36"/>
      <c r="AHM1" s="36"/>
      <c r="AHN1" s="36"/>
      <c r="AHO1" s="36"/>
      <c r="AHP1" s="36"/>
      <c r="AHQ1" s="36"/>
      <c r="AHR1" s="36"/>
      <c r="AHS1" s="36"/>
      <c r="AHT1" s="36"/>
      <c r="AHU1" s="36"/>
      <c r="AHV1" s="36"/>
      <c r="AHW1" s="36"/>
      <c r="AHX1" s="36"/>
      <c r="AHY1" s="36"/>
      <c r="AHZ1" s="36"/>
      <c r="AIA1" s="36"/>
      <c r="AIB1" s="36"/>
      <c r="AIC1" s="36"/>
      <c r="AID1" s="36"/>
      <c r="AIE1" s="36"/>
      <c r="AIF1" s="36"/>
      <c r="AIG1" s="36"/>
      <c r="AIH1" s="36"/>
      <c r="AII1" s="36"/>
      <c r="AIJ1" s="36"/>
      <c r="AIK1" s="36"/>
      <c r="AIL1" s="36"/>
      <c r="AIM1" s="36"/>
      <c r="AIN1" s="36"/>
      <c r="AIO1" s="36"/>
      <c r="AIP1" s="36"/>
      <c r="AIQ1" s="36"/>
      <c r="AIR1" s="36"/>
      <c r="AIS1" s="36"/>
      <c r="AIT1" s="36"/>
      <c r="AIU1" s="36"/>
      <c r="AIV1" s="36"/>
      <c r="AIW1" s="36"/>
      <c r="AIX1" s="36"/>
      <c r="AIY1" s="36"/>
      <c r="AIZ1" s="36"/>
      <c r="AJA1" s="36"/>
      <c r="AJB1" s="36"/>
      <c r="AJC1" s="36"/>
      <c r="AJD1" s="36"/>
      <c r="AJE1" s="36"/>
      <c r="AJF1" s="36"/>
      <c r="AJG1" s="36"/>
      <c r="AJH1" s="36"/>
      <c r="AJI1" s="36"/>
      <c r="AJJ1" s="36"/>
      <c r="AJK1" s="36"/>
      <c r="AJL1" s="36"/>
      <c r="AJM1" s="36"/>
      <c r="AJN1" s="36"/>
      <c r="AJO1" s="36"/>
      <c r="AJP1" s="36"/>
      <c r="AJQ1" s="36"/>
      <c r="AJR1" s="36"/>
      <c r="AJS1" s="36"/>
      <c r="AJT1" s="36"/>
      <c r="AJU1" s="36"/>
      <c r="AJV1" s="36"/>
      <c r="AJW1" s="36"/>
      <c r="AJX1" s="36"/>
      <c r="AJY1" s="36"/>
      <c r="AJZ1" s="36"/>
      <c r="AKA1" s="36"/>
      <c r="AKB1" s="36"/>
      <c r="AKC1" s="36"/>
      <c r="AKD1" s="36"/>
      <c r="AKE1" s="36"/>
      <c r="AKF1" s="36"/>
      <c r="AKG1" s="36"/>
      <c r="AKH1" s="36"/>
      <c r="AKI1" s="36"/>
      <c r="AKJ1" s="36"/>
      <c r="AKK1" s="36"/>
      <c r="AKL1" s="36"/>
      <c r="AKM1" s="36"/>
      <c r="AKN1" s="36"/>
      <c r="AKO1" s="36"/>
      <c r="AKP1" s="36"/>
      <c r="AKQ1" s="36"/>
      <c r="AKR1" s="36"/>
      <c r="AKS1" s="36"/>
      <c r="AKT1" s="36"/>
      <c r="AKU1" s="36"/>
      <c r="AKV1" s="36"/>
      <c r="AKW1" s="36"/>
      <c r="AKX1" s="36"/>
      <c r="AKY1" s="36"/>
      <c r="AKZ1" s="36"/>
      <c r="ALA1" s="36"/>
      <c r="ALB1" s="36"/>
      <c r="ALC1" s="36"/>
      <c r="ALD1" s="36"/>
      <c r="ALE1" s="36"/>
      <c r="ALF1" s="36"/>
      <c r="ALG1" s="36"/>
      <c r="ALH1" s="36"/>
      <c r="ALI1" s="36"/>
      <c r="ALJ1" s="36"/>
      <c r="ALK1" s="36"/>
      <c r="ALL1" s="36"/>
      <c r="ALM1" s="36"/>
      <c r="ALN1" s="36"/>
      <c r="ALO1" s="36"/>
      <c r="ALP1" s="36"/>
      <c r="ALQ1" s="36"/>
      <c r="ALR1" s="36"/>
      <c r="ALS1" s="36"/>
      <c r="ALT1" s="36"/>
      <c r="ALU1" s="36"/>
      <c r="ALV1" s="36"/>
      <c r="ALW1" s="36"/>
      <c r="ALX1" s="36"/>
      <c r="ALY1" s="36"/>
      <c r="ALZ1" s="36"/>
      <c r="AMA1" s="36"/>
      <c r="AMB1" s="36"/>
      <c r="AMC1" s="36"/>
      <c r="AMD1" s="36"/>
      <c r="AME1" s="36"/>
      <c r="AMF1" s="36"/>
      <c r="AMG1" s="36"/>
      <c r="AMH1" s="36"/>
      <c r="AMI1" s="36"/>
      <c r="AMJ1" s="36"/>
    </row>
    <row r="2" spans="1:1024" ht="13.5" customHeight="1" x14ac:dyDescent="0.35">
      <c r="A2" s="34" t="s">
        <v>6</v>
      </c>
      <c r="B2" s="38">
        <v>46153</v>
      </c>
      <c r="C2" s="34">
        <v>1</v>
      </c>
      <c r="L2" s="34">
        <v>0</v>
      </c>
      <c r="M2" s="34">
        <v>0</v>
      </c>
      <c r="N2" s="34">
        <v>0</v>
      </c>
      <c r="O2" s="34">
        <f t="shared" ref="O2:O65" si="0">MAX($A$35)/2</f>
        <v>430.5625</v>
      </c>
    </row>
    <row r="3" spans="1:1024" ht="13.5" customHeight="1" x14ac:dyDescent="0.35">
      <c r="A3" s="34" t="s">
        <v>71</v>
      </c>
      <c r="B3" s="37" t="s">
        <v>72</v>
      </c>
      <c r="H3" s="34" t="s">
        <v>73</v>
      </c>
      <c r="L3" s="34">
        <v>1</v>
      </c>
      <c r="M3" s="34">
        <v>0</v>
      </c>
      <c r="N3" s="34">
        <v>0</v>
      </c>
      <c r="O3" s="34">
        <f t="shared" si="0"/>
        <v>430.5625</v>
      </c>
    </row>
    <row r="4" spans="1:1024" ht="13.5" customHeight="1" x14ac:dyDescent="0.35">
      <c r="A4" s="34" t="s">
        <v>74</v>
      </c>
      <c r="B4" s="37">
        <v>40</v>
      </c>
      <c r="H4" s="37" t="s">
        <v>75</v>
      </c>
      <c r="I4" s="34" t="s">
        <v>76</v>
      </c>
      <c r="L4" s="34">
        <v>2</v>
      </c>
      <c r="M4" s="34">
        <v>0</v>
      </c>
      <c r="N4" s="34">
        <v>0</v>
      </c>
      <c r="O4" s="34">
        <f t="shared" si="0"/>
        <v>430.5625</v>
      </c>
    </row>
    <row r="5" spans="1:1024" ht="13.5" customHeight="1" x14ac:dyDescent="0.35">
      <c r="A5" s="34" t="s">
        <v>77</v>
      </c>
      <c r="B5" s="37" t="s">
        <v>78</v>
      </c>
      <c r="H5" s="39">
        <v>0.09</v>
      </c>
      <c r="I5" s="34" t="s">
        <v>17</v>
      </c>
      <c r="L5" s="34">
        <v>3</v>
      </c>
      <c r="M5" s="34">
        <v>0</v>
      </c>
      <c r="N5" s="34">
        <f t="shared" ref="N5:N68" si="1">AVERAGE(M2:M9)</f>
        <v>0</v>
      </c>
      <c r="O5" s="34">
        <f t="shared" si="0"/>
        <v>430.5625</v>
      </c>
    </row>
    <row r="6" spans="1:1024" ht="13.5" customHeight="1" x14ac:dyDescent="0.35">
      <c r="A6" s="40" t="s">
        <v>79</v>
      </c>
      <c r="B6" s="41">
        <v>1900</v>
      </c>
      <c r="C6" s="40"/>
      <c r="H6" s="34" t="s">
        <v>80</v>
      </c>
      <c r="L6" s="34">
        <v>4</v>
      </c>
      <c r="M6" s="34">
        <v>0</v>
      </c>
      <c r="N6" s="34">
        <f t="shared" si="1"/>
        <v>0</v>
      </c>
      <c r="O6" s="34">
        <f t="shared" si="0"/>
        <v>430.5625</v>
      </c>
    </row>
    <row r="7" spans="1:1024" ht="13.5" customHeight="1" x14ac:dyDescent="0.35">
      <c r="A7" s="40"/>
      <c r="B7" s="40"/>
      <c r="C7" s="40"/>
      <c r="L7" s="34">
        <v>5</v>
      </c>
      <c r="M7" s="34">
        <v>0</v>
      </c>
      <c r="N7" s="34">
        <f t="shared" si="1"/>
        <v>0</v>
      </c>
      <c r="O7" s="34">
        <f t="shared" si="0"/>
        <v>430.5625</v>
      </c>
      <c r="Q7" s="34" t="s">
        <v>81</v>
      </c>
    </row>
    <row r="8" spans="1:1024" ht="13.5" customHeight="1" x14ac:dyDescent="0.4">
      <c r="A8" s="42">
        <v>10.199999999999999</v>
      </c>
      <c r="B8" s="43" t="s">
        <v>82</v>
      </c>
      <c r="C8" s="43" t="s">
        <v>83</v>
      </c>
      <c r="D8" s="23"/>
      <c r="E8" s="24"/>
      <c r="G8" s="44"/>
      <c r="H8" s="45"/>
      <c r="I8" s="46" t="s">
        <v>84</v>
      </c>
      <c r="L8" s="34">
        <v>6</v>
      </c>
      <c r="M8" s="34">
        <v>0</v>
      </c>
      <c r="N8" s="34">
        <f t="shared" si="1"/>
        <v>0</v>
      </c>
      <c r="O8" s="34">
        <f t="shared" si="0"/>
        <v>430.5625</v>
      </c>
    </row>
    <row r="9" spans="1:1024" ht="13.5" customHeight="1" x14ac:dyDescent="0.35">
      <c r="A9" s="47">
        <f>(4/3)*(3.1415936)*((A8*0.000001/2)^3)</f>
        <v>5.5564737684479979E-16</v>
      </c>
      <c r="B9" s="48" t="s">
        <v>85</v>
      </c>
      <c r="C9" s="48" t="s">
        <v>86</v>
      </c>
      <c r="E9" s="29"/>
      <c r="G9" s="49"/>
      <c r="H9" s="50" t="s">
        <v>87</v>
      </c>
      <c r="I9" s="51">
        <v>1900</v>
      </c>
      <c r="L9" s="34">
        <v>7</v>
      </c>
      <c r="M9" s="34">
        <v>0</v>
      </c>
      <c r="N9" s="34">
        <f t="shared" si="1"/>
        <v>0</v>
      </c>
      <c r="O9" s="34">
        <f t="shared" si="0"/>
        <v>430.5625</v>
      </c>
      <c r="Q9" s="34" t="s">
        <v>88</v>
      </c>
      <c r="R9" s="34">
        <v>10</v>
      </c>
      <c r="S9" s="34">
        <v>20</v>
      </c>
      <c r="T9" s="34">
        <v>30</v>
      </c>
      <c r="U9" s="34">
        <v>40</v>
      </c>
    </row>
    <row r="10" spans="1:1024" ht="13.5" customHeight="1" x14ac:dyDescent="0.35">
      <c r="A10" s="47">
        <f>A9*1.05*1000</f>
        <v>5.8342974568703982E-13</v>
      </c>
      <c r="B10" s="48" t="s">
        <v>89</v>
      </c>
      <c r="C10" s="48" t="s">
        <v>90</v>
      </c>
      <c r="E10" s="29"/>
      <c r="G10" s="49"/>
      <c r="H10" s="52" t="s">
        <v>91</v>
      </c>
      <c r="I10" s="53">
        <v>0.86799999999999999</v>
      </c>
      <c r="L10" s="34">
        <v>8</v>
      </c>
      <c r="M10" s="34">
        <v>0</v>
      </c>
      <c r="N10" s="34">
        <f t="shared" si="1"/>
        <v>0</v>
      </c>
      <c r="O10" s="34">
        <f t="shared" si="0"/>
        <v>430.5625</v>
      </c>
      <c r="Q10" s="34" t="s">
        <v>92</v>
      </c>
    </row>
    <row r="11" spans="1:1024" ht="13.5" customHeight="1" x14ac:dyDescent="0.35">
      <c r="A11" s="47">
        <f>0.000001/A10</f>
        <v>1714002.4268430332</v>
      </c>
      <c r="B11" s="48" t="s">
        <v>93</v>
      </c>
      <c r="C11" s="48" t="s">
        <v>94</v>
      </c>
      <c r="E11" s="29"/>
      <c r="G11" s="49"/>
      <c r="H11" s="13" t="s">
        <v>95</v>
      </c>
      <c r="I11" s="29">
        <v>20000</v>
      </c>
      <c r="L11" s="34">
        <v>9</v>
      </c>
      <c r="M11" s="34">
        <v>0</v>
      </c>
      <c r="N11" s="34">
        <f t="shared" si="1"/>
        <v>0</v>
      </c>
      <c r="O11" s="34">
        <f t="shared" si="0"/>
        <v>430.5625</v>
      </c>
      <c r="Q11" s="34" t="s">
        <v>96</v>
      </c>
      <c r="R11" s="54"/>
      <c r="S11" s="54"/>
      <c r="T11" s="54"/>
      <c r="U11" s="54"/>
    </row>
    <row r="12" spans="1:1024" ht="13.5" customHeight="1" x14ac:dyDescent="0.4">
      <c r="A12" s="55">
        <v>2000</v>
      </c>
      <c r="B12" s="48"/>
      <c r="C12" s="48" t="s">
        <v>97</v>
      </c>
      <c r="E12" s="29"/>
      <c r="G12" s="49"/>
      <c r="H12" s="56" t="s">
        <v>98</v>
      </c>
      <c r="I12" s="57">
        <f>I9/I11</f>
        <v>9.5000000000000001E-2</v>
      </c>
      <c r="L12" s="34">
        <v>10</v>
      </c>
      <c r="M12" s="34">
        <v>0</v>
      </c>
      <c r="N12" s="34">
        <f t="shared" si="1"/>
        <v>0</v>
      </c>
      <c r="O12" s="34">
        <f t="shared" si="0"/>
        <v>430.5625</v>
      </c>
      <c r="R12" s="1"/>
      <c r="S12" s="1"/>
      <c r="T12" s="1"/>
      <c r="U12" s="1"/>
      <c r="V12" s="1"/>
      <c r="W12" s="1"/>
    </row>
    <row r="13" spans="1:1024" ht="13.5" customHeight="1" x14ac:dyDescent="0.35">
      <c r="A13" s="58">
        <f>A12/A11*1000</f>
        <v>1.1668594913740797</v>
      </c>
      <c r="B13" s="48" t="s">
        <v>99</v>
      </c>
      <c r="C13" s="48" t="s">
        <v>100</v>
      </c>
      <c r="E13" s="29"/>
      <c r="G13" s="49"/>
      <c r="H13" s="56" t="s">
        <v>101</v>
      </c>
      <c r="I13" s="57">
        <f>(1-I12)/I12</f>
        <v>9.526315789473685</v>
      </c>
      <c r="L13" s="34">
        <v>11</v>
      </c>
      <c r="M13" s="34">
        <v>0</v>
      </c>
      <c r="N13" s="34">
        <f t="shared" si="1"/>
        <v>0</v>
      </c>
      <c r="O13" s="34">
        <f t="shared" si="0"/>
        <v>430.5625</v>
      </c>
    </row>
    <row r="14" spans="1:1024" ht="13.5" customHeight="1" x14ac:dyDescent="0.4">
      <c r="A14" s="55">
        <v>0.5</v>
      </c>
      <c r="B14" s="48" t="s">
        <v>102</v>
      </c>
      <c r="C14" s="48" t="s">
        <v>103</v>
      </c>
      <c r="E14" s="29"/>
      <c r="G14" s="49"/>
      <c r="H14" s="13" t="s">
        <v>104</v>
      </c>
      <c r="I14" s="59" t="s">
        <v>105</v>
      </c>
      <c r="L14" s="34">
        <v>12</v>
      </c>
      <c r="M14" s="34">
        <v>0</v>
      </c>
      <c r="N14" s="34">
        <f t="shared" si="1"/>
        <v>0</v>
      </c>
      <c r="O14" s="34">
        <f t="shared" si="0"/>
        <v>430.5625</v>
      </c>
    </row>
    <row r="15" spans="1:1024" ht="13.5" customHeight="1" x14ac:dyDescent="0.35">
      <c r="A15" s="60">
        <f>A14*A13</f>
        <v>0.58342974568703987</v>
      </c>
      <c r="B15" s="48" t="s">
        <v>106</v>
      </c>
      <c r="C15" s="48" t="s">
        <v>107</v>
      </c>
      <c r="E15" s="29"/>
      <c r="G15" s="49"/>
      <c r="H15" s="56" t="s">
        <v>108</v>
      </c>
      <c r="I15" s="61">
        <v>100</v>
      </c>
      <c r="L15" s="34">
        <v>13</v>
      </c>
      <c r="M15" s="34">
        <v>0</v>
      </c>
      <c r="N15" s="34">
        <f t="shared" si="1"/>
        <v>0</v>
      </c>
      <c r="O15" s="34">
        <f t="shared" si="0"/>
        <v>430.5625</v>
      </c>
    </row>
    <row r="16" spans="1:1024" ht="13.5" customHeight="1" x14ac:dyDescent="0.4">
      <c r="A16" s="62">
        <v>0.58340000000000003</v>
      </c>
      <c r="B16" s="48" t="s">
        <v>106</v>
      </c>
      <c r="C16" s="48" t="s">
        <v>109</v>
      </c>
      <c r="E16" s="29"/>
      <c r="G16" s="49"/>
      <c r="H16" s="56" t="s">
        <v>110</v>
      </c>
      <c r="I16" s="63">
        <f>I15*I10</f>
        <v>86.8</v>
      </c>
      <c r="L16" s="34">
        <v>14</v>
      </c>
      <c r="M16" s="34">
        <v>0</v>
      </c>
      <c r="N16" s="34">
        <f t="shared" si="1"/>
        <v>0</v>
      </c>
      <c r="O16" s="34">
        <f t="shared" si="0"/>
        <v>430.5625</v>
      </c>
    </row>
    <row r="17" spans="1:15" ht="13.5" customHeight="1" x14ac:dyDescent="0.4">
      <c r="A17" s="64">
        <f>A16/A15*A12</f>
        <v>1999.8980316404511</v>
      </c>
      <c r="B17" s="48" t="s">
        <v>111</v>
      </c>
      <c r="C17" s="48" t="s">
        <v>112</v>
      </c>
      <c r="E17" s="29"/>
      <c r="G17" s="49"/>
      <c r="H17" s="50" t="s">
        <v>113</v>
      </c>
      <c r="I17" s="65">
        <f>I9/I11*I16</f>
        <v>8.2460000000000004</v>
      </c>
      <c r="L17" s="34">
        <v>15</v>
      </c>
      <c r="M17" s="34">
        <v>0</v>
      </c>
      <c r="N17" s="34">
        <f t="shared" si="1"/>
        <v>0</v>
      </c>
      <c r="O17" s="34">
        <f t="shared" si="0"/>
        <v>430.5625</v>
      </c>
    </row>
    <row r="18" spans="1:15" ht="13.5" customHeight="1" x14ac:dyDescent="0.35">
      <c r="A18" s="66">
        <f>A16*A11</f>
        <v>999949.01582022558</v>
      </c>
      <c r="C18" s="34" t="s">
        <v>114</v>
      </c>
      <c r="E18" s="29"/>
      <c r="G18" s="67"/>
      <c r="H18" s="50" t="s">
        <v>115</v>
      </c>
      <c r="I18" s="68">
        <v>8.25</v>
      </c>
      <c r="L18" s="34">
        <v>16</v>
      </c>
      <c r="M18" s="34">
        <v>0</v>
      </c>
      <c r="N18" s="34">
        <f t="shared" si="1"/>
        <v>0</v>
      </c>
      <c r="O18" s="34">
        <f t="shared" si="0"/>
        <v>430.5625</v>
      </c>
    </row>
    <row r="19" spans="1:15" ht="13.5" customHeight="1" x14ac:dyDescent="0.4">
      <c r="A19" s="66">
        <f>A17/A12*A14*1000</f>
        <v>499.97450791011278</v>
      </c>
      <c r="B19" s="34" t="s">
        <v>116</v>
      </c>
      <c r="C19" s="34" t="s">
        <v>117</v>
      </c>
      <c r="E19" s="29"/>
      <c r="G19" s="69"/>
      <c r="H19" s="70" t="s">
        <v>118</v>
      </c>
      <c r="I19" s="71">
        <f>I18*I13</f>
        <v>78.592105263157904</v>
      </c>
      <c r="L19" s="34">
        <v>17</v>
      </c>
      <c r="M19" s="34">
        <v>0</v>
      </c>
      <c r="N19" s="34">
        <f t="shared" si="1"/>
        <v>0</v>
      </c>
      <c r="O19" s="34">
        <f t="shared" si="0"/>
        <v>430.5625</v>
      </c>
    </row>
    <row r="20" spans="1:15" ht="13.5" customHeight="1" x14ac:dyDescent="0.35">
      <c r="A20" s="66">
        <f>A19-A14*1000</f>
        <v>-2.5492089887222846E-2</v>
      </c>
      <c r="B20" s="34" t="s">
        <v>116</v>
      </c>
      <c r="C20" s="34" t="s">
        <v>119</v>
      </c>
      <c r="E20" s="29"/>
      <c r="G20" s="67"/>
      <c r="L20" s="34">
        <v>18</v>
      </c>
      <c r="M20" s="34">
        <v>0</v>
      </c>
      <c r="N20" s="34">
        <f t="shared" si="1"/>
        <v>0</v>
      </c>
      <c r="O20" s="34">
        <f t="shared" si="0"/>
        <v>430.5625</v>
      </c>
    </row>
    <row r="21" spans="1:15" ht="13.5" customHeight="1" x14ac:dyDescent="0.4">
      <c r="A21" s="72">
        <f>A17</f>
        <v>1999.8980316404511</v>
      </c>
      <c r="B21" s="34" t="s">
        <v>120</v>
      </c>
      <c r="C21" s="34" t="s">
        <v>121</v>
      </c>
      <c r="E21" s="29"/>
      <c r="G21" s="67"/>
      <c r="H21" s="56" t="s">
        <v>122</v>
      </c>
      <c r="I21" s="73">
        <f>(I18+I19)/I10</f>
        <v>100.04850836769344</v>
      </c>
      <c r="L21" s="34">
        <v>19</v>
      </c>
      <c r="M21" s="34">
        <v>0</v>
      </c>
      <c r="N21" s="34">
        <f t="shared" si="1"/>
        <v>0</v>
      </c>
      <c r="O21" s="34">
        <f t="shared" si="0"/>
        <v>430.5625</v>
      </c>
    </row>
    <row r="22" spans="1:15" ht="13.5" customHeight="1" x14ac:dyDescent="0.35">
      <c r="A22" s="28"/>
      <c r="E22" s="29"/>
      <c r="G22" s="67"/>
      <c r="H22" s="50" t="s">
        <v>123</v>
      </c>
      <c r="I22" s="51">
        <v>78.59</v>
      </c>
      <c r="L22" s="34">
        <v>20</v>
      </c>
      <c r="M22" s="34">
        <v>0</v>
      </c>
      <c r="N22" s="34">
        <f t="shared" si="1"/>
        <v>0</v>
      </c>
      <c r="O22" s="34">
        <f t="shared" si="0"/>
        <v>430.5625</v>
      </c>
    </row>
    <row r="23" spans="1:15" ht="13.5" customHeight="1" x14ac:dyDescent="0.35">
      <c r="A23" s="28" t="s">
        <v>98</v>
      </c>
      <c r="E23" s="29"/>
      <c r="H23" s="74" t="s">
        <v>124</v>
      </c>
      <c r="I23" s="75">
        <f>I11*I18/(I18+I22)</f>
        <v>1900.0460617227084</v>
      </c>
      <c r="L23" s="34">
        <v>21</v>
      </c>
      <c r="M23" s="34">
        <v>0</v>
      </c>
      <c r="N23" s="34">
        <f t="shared" si="1"/>
        <v>0</v>
      </c>
      <c r="O23" s="34">
        <f t="shared" si="0"/>
        <v>430.5625</v>
      </c>
    </row>
    <row r="24" spans="1:15" ht="13.5" customHeight="1" x14ac:dyDescent="0.35">
      <c r="A24" s="28">
        <v>100</v>
      </c>
      <c r="B24" s="34" t="s">
        <v>116</v>
      </c>
      <c r="C24" s="34" t="s">
        <v>125</v>
      </c>
      <c r="E24" s="29"/>
      <c r="L24" s="34">
        <v>22</v>
      </c>
      <c r="M24" s="34">
        <v>0</v>
      </c>
      <c r="N24" s="34">
        <f t="shared" si="1"/>
        <v>0</v>
      </c>
      <c r="O24" s="34">
        <f t="shared" si="0"/>
        <v>430.5625</v>
      </c>
    </row>
    <row r="25" spans="1:15" ht="13.5" customHeight="1" x14ac:dyDescent="0.35">
      <c r="A25" s="28">
        <v>2000</v>
      </c>
      <c r="B25" s="34" t="s">
        <v>120</v>
      </c>
      <c r="C25" s="34" t="s">
        <v>126</v>
      </c>
      <c r="E25" s="29"/>
      <c r="L25" s="34">
        <v>23</v>
      </c>
      <c r="M25" s="34">
        <v>0</v>
      </c>
      <c r="N25" s="34">
        <f t="shared" si="1"/>
        <v>0</v>
      </c>
      <c r="O25" s="34">
        <f t="shared" si="0"/>
        <v>430.5625</v>
      </c>
    </row>
    <row r="26" spans="1:15" ht="13.5" customHeight="1" x14ac:dyDescent="0.35">
      <c r="A26" s="28">
        <f>A24*A25</f>
        <v>200000</v>
      </c>
      <c r="B26" s="34" t="s">
        <v>127</v>
      </c>
      <c r="C26" s="34" t="s">
        <v>128</v>
      </c>
      <c r="E26" s="29"/>
      <c r="L26" s="34">
        <v>24</v>
      </c>
      <c r="M26" s="34">
        <v>0</v>
      </c>
      <c r="N26" s="34">
        <f t="shared" si="1"/>
        <v>0</v>
      </c>
      <c r="O26" s="34">
        <f t="shared" si="0"/>
        <v>430.5625</v>
      </c>
    </row>
    <row r="27" spans="1:15" ht="13.5" customHeight="1" x14ac:dyDescent="0.35">
      <c r="A27" s="66">
        <f>A26/A21</f>
        <v>100.00509867792935</v>
      </c>
      <c r="B27" s="34" t="s">
        <v>116</v>
      </c>
      <c r="C27" s="34" t="s">
        <v>129</v>
      </c>
      <c r="E27" s="29"/>
      <c r="L27" s="34">
        <v>25</v>
      </c>
      <c r="M27" s="34">
        <v>0</v>
      </c>
      <c r="N27" s="34">
        <f t="shared" si="1"/>
        <v>0</v>
      </c>
      <c r="O27" s="34">
        <f t="shared" si="0"/>
        <v>430.5625</v>
      </c>
    </row>
    <row r="28" spans="1:15" ht="13.5" customHeight="1" x14ac:dyDescent="0.35">
      <c r="A28" s="66">
        <f>A24-A27</f>
        <v>-5.098677929353812E-3</v>
      </c>
      <c r="B28" s="34" t="s">
        <v>116</v>
      </c>
      <c r="C28" s="34" t="s">
        <v>130</v>
      </c>
      <c r="E28" s="29"/>
      <c r="L28" s="34">
        <v>26</v>
      </c>
      <c r="M28" s="34">
        <v>0</v>
      </c>
      <c r="N28" s="34">
        <f t="shared" si="1"/>
        <v>0</v>
      </c>
      <c r="O28" s="34">
        <f t="shared" si="0"/>
        <v>430.5625</v>
      </c>
    </row>
    <row r="29" spans="1:15" ht="13.5" customHeight="1" x14ac:dyDescent="0.35">
      <c r="A29" s="28"/>
      <c r="E29" s="29"/>
      <c r="L29" s="34">
        <v>27</v>
      </c>
      <c r="M29" s="34">
        <v>0</v>
      </c>
      <c r="N29" s="34">
        <f t="shared" si="1"/>
        <v>0</v>
      </c>
      <c r="O29" s="34">
        <f t="shared" si="0"/>
        <v>430.5625</v>
      </c>
    </row>
    <row r="30" spans="1:15" ht="13.5" customHeight="1" x14ac:dyDescent="0.35">
      <c r="A30" s="30"/>
      <c r="B30" s="31"/>
      <c r="C30" s="31"/>
      <c r="D30" s="31"/>
      <c r="E30" s="32"/>
      <c r="L30" s="34">
        <v>28</v>
      </c>
      <c r="M30" s="34">
        <v>0</v>
      </c>
      <c r="N30" s="34">
        <f t="shared" si="1"/>
        <v>0</v>
      </c>
      <c r="O30" s="34">
        <f t="shared" si="0"/>
        <v>430.5625</v>
      </c>
    </row>
    <row r="31" spans="1:15" ht="13.5" customHeight="1" x14ac:dyDescent="0.35">
      <c r="L31" s="34">
        <v>29</v>
      </c>
      <c r="M31" s="34">
        <v>0</v>
      </c>
      <c r="N31" s="34">
        <f t="shared" si="1"/>
        <v>0</v>
      </c>
      <c r="O31" s="34">
        <f t="shared" si="0"/>
        <v>430.5625</v>
      </c>
    </row>
    <row r="32" spans="1:15" ht="13.5" customHeight="1" x14ac:dyDescent="0.35">
      <c r="L32" s="34">
        <v>30</v>
      </c>
      <c r="M32" s="34">
        <v>0</v>
      </c>
      <c r="N32" s="34">
        <f t="shared" si="1"/>
        <v>0</v>
      </c>
      <c r="O32" s="34">
        <f t="shared" si="0"/>
        <v>430.5625</v>
      </c>
    </row>
    <row r="33" spans="1:15" ht="13.5" customHeight="1" x14ac:dyDescent="0.35">
      <c r="L33" s="34">
        <v>31</v>
      </c>
      <c r="M33" s="34">
        <v>0</v>
      </c>
      <c r="N33" s="34">
        <f t="shared" si="1"/>
        <v>0</v>
      </c>
      <c r="O33" s="34">
        <f t="shared" si="0"/>
        <v>430.5625</v>
      </c>
    </row>
    <row r="34" spans="1:15" ht="13.5" customHeight="1" x14ac:dyDescent="0.35">
      <c r="L34" s="34">
        <v>32</v>
      </c>
      <c r="M34" s="34">
        <v>0</v>
      </c>
      <c r="N34" s="34">
        <f t="shared" si="1"/>
        <v>0</v>
      </c>
      <c r="O34" s="34">
        <f t="shared" si="0"/>
        <v>430.5625</v>
      </c>
    </row>
    <row r="35" spans="1:15" ht="13.5" customHeight="1" x14ac:dyDescent="0.35">
      <c r="A35" s="76">
        <f>MAX($N$2:$N$1000)</f>
        <v>861.125</v>
      </c>
      <c r="B35" s="34" t="s">
        <v>131</v>
      </c>
      <c r="L35" s="34">
        <v>33</v>
      </c>
      <c r="M35" s="34">
        <v>0</v>
      </c>
      <c r="N35" s="34">
        <f t="shared" si="1"/>
        <v>0</v>
      </c>
      <c r="O35" s="34">
        <f t="shared" si="0"/>
        <v>430.5625</v>
      </c>
    </row>
    <row r="36" spans="1:15" ht="13.5" customHeight="1" x14ac:dyDescent="0.35">
      <c r="A36" s="76">
        <f>MATCH(A35,$N$2:$N$1000,0)</f>
        <v>192</v>
      </c>
      <c r="B36" s="34" t="s">
        <v>132</v>
      </c>
      <c r="L36" s="34">
        <v>34</v>
      </c>
      <c r="M36" s="34">
        <v>0</v>
      </c>
      <c r="N36" s="34">
        <f t="shared" si="1"/>
        <v>0</v>
      </c>
      <c r="O36" s="34">
        <f t="shared" si="0"/>
        <v>430.5625</v>
      </c>
    </row>
    <row r="37" spans="1:15" ht="13.5" customHeight="1" x14ac:dyDescent="0.35">
      <c r="A37" s="76">
        <f>INDEX($L$2:$L$1000,A36)</f>
        <v>191</v>
      </c>
      <c r="B37" s="34" t="s">
        <v>133</v>
      </c>
      <c r="L37" s="34">
        <v>35</v>
      </c>
      <c r="M37" s="34">
        <v>0</v>
      </c>
      <c r="N37" s="34">
        <f t="shared" si="1"/>
        <v>0</v>
      </c>
      <c r="O37" s="34">
        <f t="shared" si="0"/>
        <v>430.5625</v>
      </c>
    </row>
    <row r="38" spans="1:15" ht="13.5" customHeight="1" x14ac:dyDescent="0.35">
      <c r="A38" s="76">
        <f>A35/2</f>
        <v>430.5625</v>
      </c>
      <c r="B38" s="34" t="s">
        <v>134</v>
      </c>
      <c r="L38" s="34">
        <v>36</v>
      </c>
      <c r="M38" s="34">
        <v>0</v>
      </c>
      <c r="N38" s="34">
        <f t="shared" si="1"/>
        <v>0</v>
      </c>
      <c r="O38" s="34">
        <f t="shared" si="0"/>
        <v>430.5625</v>
      </c>
    </row>
    <row r="39" spans="1:15" ht="13.5" customHeight="1" x14ac:dyDescent="0.35">
      <c r="A39" s="76">
        <f>INDEX($L$2:$L$1000,C39)+(A38-INDEX($N$2:$N$1000,C39))*(INDEX($L$2:$L$1000,C39+1)-INDEX($L$2:$L$1000,C39))/(INDEX($N$2:$N$1000,C39+1)-INDEX($N$2:$N$1000,C39))</f>
        <v>149.99404761904762</v>
      </c>
      <c r="B39" s="34" t="s">
        <v>135</v>
      </c>
      <c r="C39" s="34">
        <f t="array" ref="C39">A36-MATCH(TRUE(),INDEX(N2:N1000,A36):INDEX(N2:N1000,1)&lt;A38,0)</f>
        <v>191</v>
      </c>
      <c r="L39" s="34">
        <v>37</v>
      </c>
      <c r="M39" s="34">
        <v>0</v>
      </c>
      <c r="N39" s="34">
        <f t="shared" si="1"/>
        <v>0</v>
      </c>
      <c r="O39" s="34">
        <f t="shared" si="0"/>
        <v>430.5625</v>
      </c>
    </row>
    <row r="40" spans="1:15" ht="13.5" customHeight="1" x14ac:dyDescent="0.35">
      <c r="A40" s="76">
        <f>INDEX($L$2:$L$1000,C40)+(INDEX($N$2:$N$1000,C40)-A38)*(INDEX($L$2:$L$1000,C40+1)-INDEX($L$2:$L$1000,C40))/(INDEX($N$2:$N$1000,C40)-INDEX($N$2:$N$1000,C40+1))</f>
        <v>217.78211009174311</v>
      </c>
      <c r="B40" s="34" t="s">
        <v>136</v>
      </c>
      <c r="C40" s="34">
        <f t="array" ref="C40">A36+MATCH(TRUE(),INDEX(N2:N1000,A36):INDEX(N2:N1000,999)&lt;A38,0)-1</f>
        <v>219</v>
      </c>
      <c r="L40" s="34">
        <v>38</v>
      </c>
      <c r="M40" s="34">
        <v>0</v>
      </c>
      <c r="N40" s="34">
        <f t="shared" si="1"/>
        <v>0</v>
      </c>
      <c r="O40" s="34">
        <f t="shared" si="0"/>
        <v>430.5625</v>
      </c>
    </row>
    <row r="41" spans="1:15" ht="13.5" customHeight="1" x14ac:dyDescent="0.35">
      <c r="A41" s="76">
        <f>A37-A39</f>
        <v>41.00595238095238</v>
      </c>
      <c r="B41" s="34" t="s">
        <v>137</v>
      </c>
      <c r="L41" s="34">
        <v>39</v>
      </c>
      <c r="M41" s="34">
        <v>0</v>
      </c>
      <c r="N41" s="34">
        <f t="shared" si="1"/>
        <v>0</v>
      </c>
      <c r="O41" s="34">
        <f t="shared" si="0"/>
        <v>430.5625</v>
      </c>
    </row>
    <row r="42" spans="1:15" ht="13.5" customHeight="1" x14ac:dyDescent="0.35">
      <c r="A42" s="34">
        <f>A40-A37</f>
        <v>26.782110091743107</v>
      </c>
      <c r="B42" s="34" t="s">
        <v>138</v>
      </c>
      <c r="L42" s="34">
        <v>40</v>
      </c>
      <c r="M42" s="34">
        <v>0</v>
      </c>
      <c r="N42" s="34">
        <f t="shared" si="1"/>
        <v>0</v>
      </c>
      <c r="O42" s="34">
        <f t="shared" si="0"/>
        <v>430.5625</v>
      </c>
    </row>
    <row r="43" spans="1:15" ht="13.5" customHeight="1" x14ac:dyDescent="0.35">
      <c r="A43" s="76">
        <f>A40-A39</f>
        <v>67.788062472695486</v>
      </c>
      <c r="B43" s="34" t="s">
        <v>139</v>
      </c>
      <c r="L43" s="34">
        <v>41</v>
      </c>
      <c r="M43" s="34">
        <v>0</v>
      </c>
      <c r="N43" s="34">
        <f t="shared" si="1"/>
        <v>0</v>
      </c>
      <c r="O43" s="34">
        <f t="shared" si="0"/>
        <v>430.5625</v>
      </c>
    </row>
    <row r="44" spans="1:15" ht="13.5" customHeight="1" x14ac:dyDescent="0.35">
      <c r="A44" s="76">
        <f>A41/A37</f>
        <v>0.21469085016205433</v>
      </c>
      <c r="B44" s="34" t="s">
        <v>140</v>
      </c>
      <c r="L44" s="34">
        <v>42</v>
      </c>
      <c r="M44" s="34">
        <v>0</v>
      </c>
      <c r="N44" s="34">
        <f t="shared" si="1"/>
        <v>0</v>
      </c>
      <c r="O44" s="34">
        <f t="shared" si="0"/>
        <v>430.5625</v>
      </c>
    </row>
    <row r="45" spans="1:15" ht="15" customHeight="1" x14ac:dyDescent="0.35">
      <c r="A45" s="39">
        <f>A42/A37</f>
        <v>0.14022047168451887</v>
      </c>
      <c r="B45" t="s">
        <v>141</v>
      </c>
      <c r="L45" s="34">
        <v>43</v>
      </c>
      <c r="M45" s="34">
        <v>0</v>
      </c>
      <c r="N45" s="34">
        <f t="shared" si="1"/>
        <v>0</v>
      </c>
      <c r="O45" s="34">
        <f t="shared" si="0"/>
        <v>430.5625</v>
      </c>
    </row>
    <row r="46" spans="1:15" ht="13.5" customHeight="1" x14ac:dyDescent="0.35">
      <c r="A46" s="77">
        <f>A43/(2*SQRT(2*LN(2)))</f>
        <v>28.786939628673217</v>
      </c>
      <c r="B46" s="34" t="s">
        <v>142</v>
      </c>
      <c r="L46" s="34">
        <v>44</v>
      </c>
      <c r="M46" s="34">
        <v>0</v>
      </c>
      <c r="N46" s="34">
        <f t="shared" si="1"/>
        <v>0</v>
      </c>
      <c r="O46" s="34">
        <f t="shared" si="0"/>
        <v>430.5625</v>
      </c>
    </row>
    <row r="47" spans="1:15" ht="15" customHeight="1" x14ac:dyDescent="0.35">
      <c r="A47" s="39">
        <f>A46/A37</f>
        <v>0.15071696140666604</v>
      </c>
      <c r="B47" t="s">
        <v>143</v>
      </c>
      <c r="L47" s="34">
        <v>45</v>
      </c>
      <c r="M47" s="34">
        <v>0</v>
      </c>
      <c r="N47" s="34">
        <f t="shared" si="1"/>
        <v>0</v>
      </c>
      <c r="O47" s="34">
        <f t="shared" si="0"/>
        <v>430.5625</v>
      </c>
    </row>
    <row r="48" spans="1:15" ht="13.5" customHeight="1" x14ac:dyDescent="0.35">
      <c r="A48" s="34">
        <f>A44/2</f>
        <v>0.10734542508102717</v>
      </c>
      <c r="B48" s="34" t="s">
        <v>144</v>
      </c>
      <c r="L48" s="34">
        <v>46</v>
      </c>
      <c r="M48" s="34">
        <v>0</v>
      </c>
      <c r="N48" s="34">
        <f t="shared" si="1"/>
        <v>0</v>
      </c>
      <c r="O48" s="34">
        <f t="shared" si="0"/>
        <v>430.5625</v>
      </c>
    </row>
    <row r="49" spans="1:18" ht="13.5" customHeight="1" x14ac:dyDescent="0.35">
      <c r="A49" s="34">
        <f>A45/2</f>
        <v>7.0110235842259436E-2</v>
      </c>
      <c r="B49" s="34" t="s">
        <v>145</v>
      </c>
      <c r="L49" s="34">
        <v>47</v>
      </c>
      <c r="M49" s="34">
        <v>0</v>
      </c>
      <c r="N49" s="34">
        <f t="shared" si="1"/>
        <v>0</v>
      </c>
      <c r="O49" s="34">
        <f t="shared" si="0"/>
        <v>430.5625</v>
      </c>
    </row>
    <row r="50" spans="1:18" ht="13.5" customHeight="1" x14ac:dyDescent="0.35">
      <c r="A50" s="34">
        <f>A47/2</f>
        <v>7.5358480703333022E-2</v>
      </c>
      <c r="B50" s="34" t="s">
        <v>146</v>
      </c>
      <c r="L50" s="34">
        <v>48</v>
      </c>
      <c r="M50" s="34">
        <v>0</v>
      </c>
      <c r="N50" s="34">
        <f t="shared" si="1"/>
        <v>0</v>
      </c>
      <c r="O50" s="34">
        <f t="shared" si="0"/>
        <v>430.5625</v>
      </c>
    </row>
    <row r="51" spans="1:18" ht="13.5" customHeight="1" x14ac:dyDescent="0.35">
      <c r="L51" s="34">
        <v>49</v>
      </c>
      <c r="M51" s="34">
        <v>0</v>
      </c>
      <c r="N51" s="34">
        <f t="shared" si="1"/>
        <v>0</v>
      </c>
      <c r="O51" s="34">
        <f t="shared" si="0"/>
        <v>430.5625</v>
      </c>
    </row>
    <row r="52" spans="1:18" ht="13.5" customHeight="1" x14ac:dyDescent="0.35">
      <c r="L52" s="34">
        <v>50</v>
      </c>
      <c r="M52" s="34">
        <v>0</v>
      </c>
      <c r="N52" s="34">
        <f t="shared" si="1"/>
        <v>0</v>
      </c>
      <c r="O52" s="34">
        <f t="shared" si="0"/>
        <v>430.5625</v>
      </c>
    </row>
    <row r="53" spans="1:18" ht="13.5" customHeight="1" x14ac:dyDescent="0.35">
      <c r="L53" s="34">
        <v>51</v>
      </c>
      <c r="M53" s="34">
        <v>0</v>
      </c>
      <c r="N53" s="34">
        <f t="shared" si="1"/>
        <v>0</v>
      </c>
      <c r="O53" s="34">
        <f t="shared" si="0"/>
        <v>430.5625</v>
      </c>
    </row>
    <row r="54" spans="1:18" ht="13.5" customHeight="1" x14ac:dyDescent="0.35">
      <c r="L54" s="34">
        <v>52</v>
      </c>
      <c r="M54" s="34">
        <v>0</v>
      </c>
      <c r="N54" s="34">
        <f t="shared" si="1"/>
        <v>0</v>
      </c>
      <c r="O54" s="34">
        <f t="shared" si="0"/>
        <v>430.5625</v>
      </c>
    </row>
    <row r="55" spans="1:18" ht="13.5" customHeight="1" x14ac:dyDescent="0.4">
      <c r="A55" s="34" t="s">
        <v>147</v>
      </c>
      <c r="D55" s="34">
        <v>16</v>
      </c>
      <c r="L55" s="34">
        <v>53</v>
      </c>
      <c r="M55" s="34">
        <v>0</v>
      </c>
      <c r="N55" s="34">
        <f t="shared" si="1"/>
        <v>0</v>
      </c>
      <c r="O55" s="34">
        <f t="shared" si="0"/>
        <v>430.5625</v>
      </c>
      <c r="Q55" s="78" t="s">
        <v>148</v>
      </c>
    </row>
    <row r="56" spans="1:18" ht="13.5" customHeight="1" x14ac:dyDescent="0.35">
      <c r="A56" s="34" t="s">
        <v>149</v>
      </c>
      <c r="D56" s="34">
        <v>20</v>
      </c>
      <c r="E56" s="34" t="s">
        <v>150</v>
      </c>
      <c r="L56" s="34">
        <v>54</v>
      </c>
      <c r="M56" s="34">
        <v>0</v>
      </c>
      <c r="N56" s="34">
        <f t="shared" si="1"/>
        <v>0</v>
      </c>
      <c r="O56" s="34">
        <f t="shared" si="0"/>
        <v>430.5625</v>
      </c>
    </row>
    <row r="57" spans="1:18" ht="13.5" customHeight="1" x14ac:dyDescent="0.35">
      <c r="A57" s="34" t="s">
        <v>151</v>
      </c>
      <c r="D57" s="34">
        <v>10</v>
      </c>
      <c r="E57" s="34" t="s">
        <v>152</v>
      </c>
      <c r="L57" s="34">
        <v>55</v>
      </c>
      <c r="M57" s="34">
        <v>0</v>
      </c>
      <c r="N57" s="34">
        <f t="shared" si="1"/>
        <v>0</v>
      </c>
      <c r="O57" s="34">
        <f t="shared" si="0"/>
        <v>430.5625</v>
      </c>
      <c r="Q57" s="79" t="s">
        <v>153</v>
      </c>
    </row>
    <row r="58" spans="1:18" ht="13.5" customHeight="1" x14ac:dyDescent="0.35">
      <c r="L58" s="34">
        <v>56</v>
      </c>
      <c r="M58" s="34">
        <v>0</v>
      </c>
      <c r="N58" s="34">
        <f t="shared" si="1"/>
        <v>0</v>
      </c>
      <c r="O58" s="34">
        <f t="shared" si="0"/>
        <v>430.5625</v>
      </c>
      <c r="Q58" s="34" t="s">
        <v>154</v>
      </c>
      <c r="R58" s="80">
        <f>A37</f>
        <v>191</v>
      </c>
    </row>
    <row r="59" spans="1:18" ht="13.5" customHeight="1" x14ac:dyDescent="0.35">
      <c r="A59" s="34" t="s">
        <v>155</v>
      </c>
      <c r="B59" s="34">
        <v>19.661999999999999</v>
      </c>
      <c r="C59" s="34" t="s">
        <v>116</v>
      </c>
      <c r="L59" s="34">
        <v>57</v>
      </c>
      <c r="M59" s="34">
        <v>0</v>
      </c>
      <c r="N59" s="34">
        <f t="shared" si="1"/>
        <v>0</v>
      </c>
      <c r="O59" s="34">
        <f t="shared" si="0"/>
        <v>430.5625</v>
      </c>
      <c r="Q59" s="34" t="s">
        <v>156</v>
      </c>
      <c r="R59" s="81">
        <v>8.5</v>
      </c>
    </row>
    <row r="60" spans="1:18" ht="13.5" customHeight="1" x14ac:dyDescent="0.35">
      <c r="A60" s="34" t="s">
        <v>157</v>
      </c>
      <c r="B60" s="34">
        <v>49.155000000000001</v>
      </c>
      <c r="C60" s="34" t="s">
        <v>116</v>
      </c>
      <c r="L60" s="34">
        <v>58</v>
      </c>
      <c r="M60" s="34">
        <v>0</v>
      </c>
      <c r="N60" s="34">
        <f t="shared" si="1"/>
        <v>0</v>
      </c>
      <c r="O60" s="34">
        <f t="shared" si="0"/>
        <v>430.5625</v>
      </c>
      <c r="Q60" s="34" t="s">
        <v>158</v>
      </c>
      <c r="R60" s="81">
        <v>0.05</v>
      </c>
    </row>
    <row r="61" spans="1:18" ht="13.5" customHeight="1" x14ac:dyDescent="0.35">
      <c r="A61" s="34" t="s">
        <v>159</v>
      </c>
      <c r="B61" s="39">
        <f>B59/B60</f>
        <v>0.39999999999999997</v>
      </c>
      <c r="L61" s="34">
        <v>59</v>
      </c>
      <c r="M61" s="34">
        <v>0</v>
      </c>
      <c r="N61" s="34">
        <f t="shared" si="1"/>
        <v>0</v>
      </c>
      <c r="O61" s="34">
        <f t="shared" si="0"/>
        <v>430.5625</v>
      </c>
      <c r="Q61" s="34" t="s">
        <v>160</v>
      </c>
      <c r="R61" s="34">
        <f>R60*R59</f>
        <v>0.42500000000000004</v>
      </c>
    </row>
    <row r="62" spans="1:18" ht="13.5" customHeight="1" x14ac:dyDescent="0.35">
      <c r="A62" s="34" t="s">
        <v>161</v>
      </c>
      <c r="B62" s="34">
        <f>SUM(M2:M1000)</f>
        <v>44994</v>
      </c>
      <c r="L62" s="34">
        <v>60</v>
      </c>
      <c r="M62" s="34">
        <v>0</v>
      </c>
      <c r="N62" s="34">
        <f t="shared" si="1"/>
        <v>0</v>
      </c>
      <c r="O62" s="34">
        <f t="shared" si="0"/>
        <v>430.5625</v>
      </c>
    </row>
    <row r="63" spans="1:18" ht="13.5" customHeight="1" x14ac:dyDescent="0.35">
      <c r="A63" s="34" t="s">
        <v>162</v>
      </c>
      <c r="B63" s="82">
        <f>B6</f>
        <v>1900</v>
      </c>
      <c r="L63" s="34">
        <v>61</v>
      </c>
      <c r="M63" s="34">
        <v>0</v>
      </c>
      <c r="N63" s="34">
        <f t="shared" si="1"/>
        <v>0</v>
      </c>
      <c r="O63" s="34">
        <f t="shared" si="0"/>
        <v>430.5625</v>
      </c>
      <c r="Q63" s="83" t="s">
        <v>163</v>
      </c>
    </row>
    <row r="64" spans="1:18" ht="13.5" customHeight="1" x14ac:dyDescent="0.35">
      <c r="A64" s="34" t="s">
        <v>164</v>
      </c>
      <c r="B64" s="84">
        <f>B59*B63</f>
        <v>37357.799999999996</v>
      </c>
      <c r="L64" s="34">
        <v>62</v>
      </c>
      <c r="M64" s="34">
        <v>0</v>
      </c>
      <c r="N64" s="34">
        <f t="shared" si="1"/>
        <v>0</v>
      </c>
      <c r="O64" s="34">
        <f t="shared" si="0"/>
        <v>430.5625</v>
      </c>
      <c r="Q64" s="85" t="s">
        <v>165</v>
      </c>
    </row>
    <row r="65" spans="1:18" ht="13.5" customHeight="1" x14ac:dyDescent="0.4">
      <c r="A65" s="34" t="s">
        <v>166</v>
      </c>
      <c r="B65" s="86">
        <f>B62/B64</f>
        <v>1.2044071117678237</v>
      </c>
      <c r="L65" s="34">
        <v>63</v>
      </c>
      <c r="M65" s="34">
        <v>0</v>
      </c>
      <c r="N65" s="34">
        <f t="shared" si="1"/>
        <v>0</v>
      </c>
      <c r="O65" s="34">
        <f t="shared" si="0"/>
        <v>430.5625</v>
      </c>
      <c r="Q65" s="34" t="s">
        <v>167</v>
      </c>
      <c r="R65" s="34">
        <f>0.56^2*R58</f>
        <v>59.897600000000011</v>
      </c>
    </row>
    <row r="66" spans="1:18" ht="13.5" customHeight="1" x14ac:dyDescent="0.35">
      <c r="A66" s="34" t="s">
        <v>168</v>
      </c>
      <c r="L66" s="34">
        <v>64</v>
      </c>
      <c r="M66" s="34">
        <v>0</v>
      </c>
      <c r="N66" s="34">
        <f t="shared" si="1"/>
        <v>0</v>
      </c>
      <c r="O66" s="34">
        <f t="shared" ref="O66:O129" si="2">MAX($A$35)/2</f>
        <v>430.5625</v>
      </c>
      <c r="Q66" s="34" t="s">
        <v>169</v>
      </c>
      <c r="R66" s="34">
        <f>0.9^2*R58</f>
        <v>154.71</v>
      </c>
    </row>
    <row r="67" spans="1:18" ht="13.5" customHeight="1" x14ac:dyDescent="0.35">
      <c r="L67" s="34">
        <v>65</v>
      </c>
      <c r="M67" s="34">
        <v>0</v>
      </c>
      <c r="N67" s="34">
        <f t="shared" si="1"/>
        <v>0</v>
      </c>
      <c r="O67" s="34">
        <f t="shared" si="2"/>
        <v>430.5625</v>
      </c>
      <c r="Q67" s="34" t="s">
        <v>170</v>
      </c>
      <c r="R67" s="77">
        <f>R58</f>
        <v>191</v>
      </c>
    </row>
    <row r="68" spans="1:18" ht="13.5" customHeight="1" x14ac:dyDescent="0.35">
      <c r="L68" s="34">
        <v>66</v>
      </c>
      <c r="M68" s="34">
        <v>0</v>
      </c>
      <c r="N68" s="34">
        <f t="shared" si="1"/>
        <v>0</v>
      </c>
      <c r="O68" s="34">
        <f t="shared" si="2"/>
        <v>430.5625</v>
      </c>
      <c r="Q68" s="34" t="s">
        <v>171</v>
      </c>
      <c r="R68" s="34">
        <f>1.1^2*R58</f>
        <v>231.11000000000004</v>
      </c>
    </row>
    <row r="69" spans="1:18" ht="13.5" customHeight="1" x14ac:dyDescent="0.35">
      <c r="L69" s="34">
        <v>67</v>
      </c>
      <c r="M69" s="34">
        <v>0</v>
      </c>
      <c r="N69" s="34">
        <f t="shared" ref="N69:N132" si="3">AVERAGE(M66:M73)</f>
        <v>0</v>
      </c>
      <c r="O69" s="34">
        <f t="shared" si="2"/>
        <v>430.5625</v>
      </c>
      <c r="Q69" s="34" t="s">
        <v>172</v>
      </c>
      <c r="R69" s="34">
        <f t="array" ref="R69">SUMIFS($M$2:$M$1000,$L$2:$L$1000,"&gt;="&amp;R65,$L$2:$L$1000,"&lt;"&amp;R66)</f>
        <v>1647</v>
      </c>
    </row>
    <row r="70" spans="1:18" ht="13.5" customHeight="1" x14ac:dyDescent="0.35">
      <c r="L70" s="34">
        <v>68</v>
      </c>
      <c r="M70" s="34">
        <v>0</v>
      </c>
      <c r="N70" s="34">
        <f t="shared" si="3"/>
        <v>0</v>
      </c>
      <c r="O70" s="34">
        <f t="shared" si="2"/>
        <v>430.5625</v>
      </c>
      <c r="Q70" s="34" t="s">
        <v>173</v>
      </c>
      <c r="R70" s="34">
        <f t="array" ref="R70">SUMIFS($M$2:$M$1000,$L$2:$L$1000,"&gt;="&amp;R66,$L$2:$L$1000,"&lt;"&amp;R67)</f>
        <v>16868</v>
      </c>
    </row>
    <row r="71" spans="1:18" ht="13.5" customHeight="1" x14ac:dyDescent="0.35">
      <c r="L71" s="34">
        <v>69</v>
      </c>
      <c r="M71" s="34">
        <v>0</v>
      </c>
      <c r="N71" s="34">
        <f t="shared" si="3"/>
        <v>0</v>
      </c>
      <c r="O71" s="34">
        <f t="shared" si="2"/>
        <v>430.5625</v>
      </c>
      <c r="Q71" s="34" t="s">
        <v>174</v>
      </c>
      <c r="R71" s="34">
        <f t="array" ref="R71">SUMIFS($M$2:$M$1000,$L$2:$L$1000,"&gt;="&amp;R67,$L$2:$L$1000,"&lt;"&amp;R68)</f>
        <v>23720</v>
      </c>
    </row>
    <row r="72" spans="1:18" ht="13.5" customHeight="1" x14ac:dyDescent="0.35">
      <c r="L72" s="34">
        <v>70</v>
      </c>
      <c r="M72" s="34">
        <v>0</v>
      </c>
      <c r="N72" s="34">
        <f t="shared" si="3"/>
        <v>0</v>
      </c>
      <c r="O72" s="34">
        <f t="shared" si="2"/>
        <v>430.5625</v>
      </c>
      <c r="Q72" s="34" t="s">
        <v>175</v>
      </c>
      <c r="R72" s="34">
        <f t="array" ref="R72">SUMIFS($M$2:$M$1000,$L$2:$L$1000,"&gt;="&amp;R68,$L$2:$L$1000,"&lt;"&amp;(2*R68-R67))</f>
        <v>1882</v>
      </c>
    </row>
    <row r="73" spans="1:18" ht="13.5" customHeight="1" x14ac:dyDescent="0.35">
      <c r="L73" s="34">
        <v>71</v>
      </c>
      <c r="M73" s="34">
        <v>0</v>
      </c>
      <c r="N73" s="34">
        <f t="shared" si="3"/>
        <v>0</v>
      </c>
      <c r="O73" s="34">
        <f t="shared" si="2"/>
        <v>430.5625</v>
      </c>
      <c r="Q73" s="34" t="s">
        <v>176</v>
      </c>
      <c r="R73" s="89">
        <f>R59/(6*LN(1+2*(R70/R69)))</f>
        <v>0.46186474706369324</v>
      </c>
    </row>
    <row r="74" spans="1:18" ht="13.5" customHeight="1" x14ac:dyDescent="0.35">
      <c r="L74" s="34">
        <v>72</v>
      </c>
      <c r="M74" s="34">
        <v>0</v>
      </c>
      <c r="N74" s="34">
        <f t="shared" si="3"/>
        <v>0</v>
      </c>
      <c r="O74" s="34">
        <f t="shared" si="2"/>
        <v>430.5625</v>
      </c>
      <c r="Q74" s="34" t="s">
        <v>177</v>
      </c>
      <c r="R74" s="89">
        <f>R59/(6*LN(1+2*(R71/R72)))</f>
        <v>0.433757318951633</v>
      </c>
    </row>
    <row r="75" spans="1:18" ht="13.5" customHeight="1" x14ac:dyDescent="0.35">
      <c r="L75" s="34">
        <v>73</v>
      </c>
      <c r="M75" s="34">
        <v>0</v>
      </c>
      <c r="N75" s="34">
        <f t="shared" si="3"/>
        <v>0</v>
      </c>
      <c r="O75" s="34">
        <f t="shared" si="2"/>
        <v>430.5625</v>
      </c>
      <c r="Q75" s="34" t="s">
        <v>178</v>
      </c>
      <c r="R75" s="89">
        <f>100*SQRT(MAX(0,R73^2-R61^2))/R59</f>
        <v>2.1272346550245977</v>
      </c>
    </row>
    <row r="76" spans="1:18" ht="13.5" customHeight="1" x14ac:dyDescent="0.35">
      <c r="L76" s="34">
        <v>74</v>
      </c>
      <c r="M76" s="34">
        <v>0</v>
      </c>
      <c r="N76" s="34">
        <f t="shared" si="3"/>
        <v>0</v>
      </c>
      <c r="O76" s="34">
        <f t="shared" si="2"/>
        <v>430.5625</v>
      </c>
      <c r="Q76" s="34" t="s">
        <v>179</v>
      </c>
      <c r="R76" s="89">
        <f>100*SQRT(MAX(0,R74^2-R61^2))/R59</f>
        <v>1.0202389125253721</v>
      </c>
    </row>
    <row r="77" spans="1:18" ht="13.5" customHeight="1" x14ac:dyDescent="0.35">
      <c r="L77" s="34">
        <v>75</v>
      </c>
      <c r="M77" s="34">
        <v>0</v>
      </c>
      <c r="N77" s="34">
        <f t="shared" si="3"/>
        <v>0</v>
      </c>
      <c r="O77" s="34">
        <f t="shared" si="2"/>
        <v>430.5625</v>
      </c>
      <c r="Q77" s="79" t="s">
        <v>180</v>
      </c>
      <c r="R77" s="90">
        <f>MAX(R75,R76)</f>
        <v>2.1272346550245977</v>
      </c>
    </row>
    <row r="78" spans="1:18" ht="13.5" customHeight="1" x14ac:dyDescent="0.35">
      <c r="L78" s="34">
        <v>76</v>
      </c>
      <c r="M78" s="34">
        <v>0</v>
      </c>
      <c r="N78" s="34">
        <f t="shared" si="3"/>
        <v>0</v>
      </c>
      <c r="O78" s="34">
        <f t="shared" si="2"/>
        <v>430.5625</v>
      </c>
    </row>
    <row r="79" spans="1:18" ht="13.5" customHeight="1" x14ac:dyDescent="0.35">
      <c r="L79" s="34">
        <v>77</v>
      </c>
      <c r="M79" s="34">
        <v>0</v>
      </c>
      <c r="N79" s="34">
        <f t="shared" si="3"/>
        <v>0</v>
      </c>
      <c r="O79" s="34">
        <f t="shared" si="2"/>
        <v>430.5625</v>
      </c>
      <c r="Q79" s="87" t="s">
        <v>181</v>
      </c>
    </row>
    <row r="80" spans="1:18" ht="13.5" customHeight="1" x14ac:dyDescent="0.35">
      <c r="L80" s="34">
        <v>78</v>
      </c>
      <c r="M80" s="34">
        <v>0</v>
      </c>
      <c r="N80" s="34">
        <f t="shared" si="3"/>
        <v>0</v>
      </c>
      <c r="O80" s="34">
        <f t="shared" si="2"/>
        <v>430.5625</v>
      </c>
      <c r="Q80" s="85" t="s">
        <v>182</v>
      </c>
    </row>
    <row r="81" spans="12:19" ht="13.5" customHeight="1" x14ac:dyDescent="0.35">
      <c r="L81" s="34">
        <v>79</v>
      </c>
      <c r="M81" s="34">
        <v>0</v>
      </c>
      <c r="N81" s="34">
        <f t="shared" si="3"/>
        <v>0</v>
      </c>
      <c r="O81" s="34">
        <f t="shared" si="2"/>
        <v>430.5625</v>
      </c>
      <c r="Q81" s="34" t="s">
        <v>183</v>
      </c>
      <c r="R81" s="89">
        <f>A39</f>
        <v>149.99404761904762</v>
      </c>
    </row>
    <row r="82" spans="12:19" ht="13.5" customHeight="1" x14ac:dyDescent="0.35">
      <c r="L82" s="34">
        <v>80</v>
      </c>
      <c r="M82" s="34">
        <v>0</v>
      </c>
      <c r="N82" s="34">
        <f t="shared" si="3"/>
        <v>0</v>
      </c>
      <c r="O82" s="34">
        <f t="shared" si="2"/>
        <v>430.5625</v>
      </c>
      <c r="Q82" s="34" t="s">
        <v>184</v>
      </c>
      <c r="R82" s="89">
        <f>A40</f>
        <v>217.78211009174311</v>
      </c>
    </row>
    <row r="83" spans="12:19" ht="13.5" customHeight="1" x14ac:dyDescent="0.35">
      <c r="L83" s="34">
        <v>81</v>
      </c>
      <c r="M83" s="34">
        <v>0</v>
      </c>
      <c r="N83" s="34">
        <f t="shared" si="3"/>
        <v>0</v>
      </c>
      <c r="O83" s="34">
        <f t="shared" si="2"/>
        <v>430.5625</v>
      </c>
      <c r="Q83" s="34" t="s">
        <v>185</v>
      </c>
      <c r="R83" s="89">
        <f>R59*SQRT(R81/R58)</f>
        <v>7.532501979806681</v>
      </c>
    </row>
    <row r="84" spans="12:19" ht="13.5" customHeight="1" x14ac:dyDescent="0.35">
      <c r="L84" s="34">
        <v>82</v>
      </c>
      <c r="M84" s="34">
        <v>0</v>
      </c>
      <c r="N84" s="34">
        <f t="shared" si="3"/>
        <v>0</v>
      </c>
      <c r="O84" s="34">
        <f t="shared" si="2"/>
        <v>430.5625</v>
      </c>
      <c r="Q84" s="34" t="s">
        <v>186</v>
      </c>
      <c r="R84" s="89">
        <f>R59*SQRT(R82/R58)</f>
        <v>9.0763940570694963</v>
      </c>
    </row>
    <row r="85" spans="12:19" ht="13.5" customHeight="1" x14ac:dyDescent="0.35">
      <c r="L85" s="34">
        <v>83</v>
      </c>
      <c r="M85" s="34">
        <v>0</v>
      </c>
      <c r="N85" s="34">
        <f t="shared" si="3"/>
        <v>0</v>
      </c>
      <c r="O85" s="34">
        <f t="shared" si="2"/>
        <v>430.5625</v>
      </c>
      <c r="Q85" s="34" t="s">
        <v>187</v>
      </c>
      <c r="R85" s="89">
        <f>SQRT(2*LN(2))</f>
        <v>1.1774100225154747</v>
      </c>
    </row>
    <row r="86" spans="12:19" ht="13.5" customHeight="1" x14ac:dyDescent="0.35">
      <c r="L86" s="34">
        <v>84</v>
      </c>
      <c r="M86" s="34">
        <v>0</v>
      </c>
      <c r="N86" s="34">
        <f t="shared" si="3"/>
        <v>0</v>
      </c>
      <c r="O86" s="34">
        <f t="shared" si="2"/>
        <v>430.5625</v>
      </c>
      <c r="Q86" s="34" t="s">
        <v>188</v>
      </c>
      <c r="R86" s="89">
        <f>(R59-R83)/R85</f>
        <v>0.82171716028568387</v>
      </c>
    </row>
    <row r="87" spans="12:19" ht="13.5" customHeight="1" x14ac:dyDescent="0.35">
      <c r="L87" s="34">
        <v>85</v>
      </c>
      <c r="M87" s="34">
        <v>0</v>
      </c>
      <c r="N87" s="34">
        <f t="shared" si="3"/>
        <v>0</v>
      </c>
      <c r="O87" s="34">
        <f t="shared" si="2"/>
        <v>430.5625</v>
      </c>
      <c r="Q87" s="34" t="s">
        <v>189</v>
      </c>
      <c r="R87" s="89">
        <f>(R84-R59)/R85</f>
        <v>0.48954403822557979</v>
      </c>
    </row>
    <row r="88" spans="12:19" ht="13.5" customHeight="1" x14ac:dyDescent="0.35">
      <c r="L88" s="34">
        <v>86</v>
      </c>
      <c r="M88" s="34">
        <v>0</v>
      </c>
      <c r="N88" s="34">
        <f t="shared" si="3"/>
        <v>0</v>
      </c>
      <c r="O88" s="34">
        <f t="shared" si="2"/>
        <v>430.5625</v>
      </c>
      <c r="Q88" s="34" t="s">
        <v>190</v>
      </c>
      <c r="R88" s="89">
        <f>100*SQRT(MAX(0,R86^2-R61^2))/R59</f>
        <v>8.2738098612718929</v>
      </c>
    </row>
    <row r="89" spans="12:19" ht="13.5" customHeight="1" x14ac:dyDescent="0.35">
      <c r="L89" s="34">
        <v>87</v>
      </c>
      <c r="M89" s="34">
        <v>0</v>
      </c>
      <c r="N89" s="34">
        <f t="shared" si="3"/>
        <v>0</v>
      </c>
      <c r="O89" s="34">
        <f t="shared" si="2"/>
        <v>430.5625</v>
      </c>
      <c r="Q89" s="34" t="s">
        <v>191</v>
      </c>
      <c r="R89" s="89">
        <f>100*SQRT(MAX(0,R87^2-R61^2))/R59</f>
        <v>2.8583239786783441</v>
      </c>
    </row>
    <row r="90" spans="12:19" ht="13.5" customHeight="1" x14ac:dyDescent="0.35">
      <c r="L90" s="34">
        <v>88</v>
      </c>
      <c r="M90" s="34">
        <v>0</v>
      </c>
      <c r="N90" s="34">
        <f t="shared" si="3"/>
        <v>0</v>
      </c>
      <c r="O90" s="34">
        <f t="shared" si="2"/>
        <v>430.5625</v>
      </c>
      <c r="Q90" s="79" t="s">
        <v>180</v>
      </c>
      <c r="R90" s="91">
        <f>MAX(R88,R89)</f>
        <v>8.2738098612718929</v>
      </c>
    </row>
    <row r="91" spans="12:19" ht="13.5" customHeight="1" x14ac:dyDescent="0.35">
      <c r="L91" s="34">
        <v>89</v>
      </c>
      <c r="M91" s="34">
        <v>0</v>
      </c>
      <c r="N91" s="34">
        <f t="shared" si="3"/>
        <v>0</v>
      </c>
      <c r="O91" s="34">
        <f t="shared" si="2"/>
        <v>430.5625</v>
      </c>
    </row>
    <row r="92" spans="12:19" ht="13.5" customHeight="1" x14ac:dyDescent="0.4">
      <c r="L92" s="34">
        <v>90</v>
      </c>
      <c r="M92" s="34">
        <v>0</v>
      </c>
      <c r="N92" s="34">
        <f t="shared" si="3"/>
        <v>0</v>
      </c>
      <c r="O92" s="34">
        <f t="shared" si="2"/>
        <v>430.5625</v>
      </c>
      <c r="Q92" s="78" t="s">
        <v>192</v>
      </c>
    </row>
    <row r="93" spans="12:19" ht="13.5" customHeight="1" x14ac:dyDescent="0.35">
      <c r="L93" s="34">
        <v>91</v>
      </c>
      <c r="M93" s="34">
        <v>0</v>
      </c>
      <c r="N93" s="34">
        <f t="shared" si="3"/>
        <v>0</v>
      </c>
      <c r="O93" s="34">
        <f t="shared" si="2"/>
        <v>430.5625</v>
      </c>
      <c r="Q93" s="79" t="s">
        <v>193</v>
      </c>
      <c r="R93" s="79" t="s">
        <v>194</v>
      </c>
      <c r="S93" s="79" t="s">
        <v>195</v>
      </c>
    </row>
    <row r="94" spans="12:19" ht="13.5" customHeight="1" x14ac:dyDescent="0.35">
      <c r="L94" s="34">
        <v>92</v>
      </c>
      <c r="M94" s="34">
        <v>0</v>
      </c>
      <c r="N94" s="34">
        <f t="shared" si="3"/>
        <v>0</v>
      </c>
      <c r="O94" s="34">
        <f t="shared" si="2"/>
        <v>430.5625</v>
      </c>
      <c r="Q94" s="34" t="s">
        <v>196</v>
      </c>
      <c r="R94" s="89">
        <f>R73</f>
        <v>0.46186474706369324</v>
      </c>
      <c r="S94" s="89">
        <f>R86</f>
        <v>0.82171716028568387</v>
      </c>
    </row>
    <row r="95" spans="12:19" ht="13.5" customHeight="1" x14ac:dyDescent="0.35">
      <c r="L95" s="34">
        <v>93</v>
      </c>
      <c r="M95" s="34">
        <v>0</v>
      </c>
      <c r="N95" s="34">
        <f t="shared" si="3"/>
        <v>0</v>
      </c>
      <c r="O95" s="34">
        <f t="shared" si="2"/>
        <v>430.5625</v>
      </c>
      <c r="Q95" s="34" t="s">
        <v>197</v>
      </c>
      <c r="R95" s="89">
        <f>R74</f>
        <v>0.433757318951633</v>
      </c>
      <c r="S95" s="89">
        <f>R87</f>
        <v>0.48954403822557979</v>
      </c>
    </row>
    <row r="96" spans="12:19" ht="13.5" customHeight="1" x14ac:dyDescent="0.35">
      <c r="L96" s="34">
        <v>94</v>
      </c>
      <c r="M96" s="34">
        <v>0</v>
      </c>
      <c r="N96" s="34">
        <f t="shared" si="3"/>
        <v>0</v>
      </c>
      <c r="O96" s="34">
        <f t="shared" si="2"/>
        <v>430.5625</v>
      </c>
      <c r="Q96" s="34" t="s">
        <v>198</v>
      </c>
      <c r="R96" s="89">
        <f>R75</f>
        <v>2.1272346550245977</v>
      </c>
      <c r="S96" s="89">
        <f>R88</f>
        <v>8.2738098612718929</v>
      </c>
    </row>
    <row r="97" spans="12:19" ht="13.5" customHeight="1" x14ac:dyDescent="0.35">
      <c r="L97" s="34">
        <v>95</v>
      </c>
      <c r="M97" s="34">
        <v>0</v>
      </c>
      <c r="N97" s="34">
        <f t="shared" si="3"/>
        <v>0</v>
      </c>
      <c r="O97" s="34">
        <f t="shared" si="2"/>
        <v>430.5625</v>
      </c>
      <c r="Q97" s="34" t="s">
        <v>199</v>
      </c>
      <c r="R97" s="89">
        <f>R76</f>
        <v>1.0202389125253721</v>
      </c>
      <c r="S97" s="89">
        <f>R89</f>
        <v>2.8583239786783441</v>
      </c>
    </row>
    <row r="98" spans="12:19" ht="13.5" customHeight="1" x14ac:dyDescent="0.35">
      <c r="L98" s="34">
        <v>96</v>
      </c>
      <c r="M98" s="34">
        <v>0</v>
      </c>
      <c r="N98" s="34">
        <f t="shared" si="3"/>
        <v>0</v>
      </c>
      <c r="O98" s="34">
        <f t="shared" si="2"/>
        <v>430.5625</v>
      </c>
      <c r="Q98" s="79" t="s">
        <v>200</v>
      </c>
      <c r="R98" s="92">
        <f>R77</f>
        <v>2.1272346550245977</v>
      </c>
      <c r="S98" s="92">
        <f>R90</f>
        <v>8.2738098612718929</v>
      </c>
    </row>
    <row r="99" spans="12:19" ht="13.5" customHeight="1" x14ac:dyDescent="0.35">
      <c r="L99" s="34">
        <v>97</v>
      </c>
      <c r="M99" s="34">
        <v>0</v>
      </c>
      <c r="N99" s="34">
        <f t="shared" si="3"/>
        <v>0</v>
      </c>
      <c r="O99" s="34">
        <f t="shared" si="2"/>
        <v>430.5625</v>
      </c>
      <c r="Q99" s="34" t="s">
        <v>201</v>
      </c>
      <c r="R99" s="34" t="str">
        <f>IF(R77&lt;10,"PASS","FAIL")</f>
        <v>PASS</v>
      </c>
      <c r="S99" s="89" t="str">
        <f>IF(R90&lt;10,"PASS","FAIL")</f>
        <v>PASS</v>
      </c>
    </row>
    <row r="100" spans="12:19" ht="13.5" customHeight="1" x14ac:dyDescent="0.35">
      <c r="L100" s="34">
        <v>98</v>
      </c>
      <c r="M100" s="34">
        <v>0</v>
      </c>
      <c r="N100" s="34">
        <f t="shared" si="3"/>
        <v>0</v>
      </c>
      <c r="O100" s="34">
        <f t="shared" si="2"/>
        <v>430.5625</v>
      </c>
      <c r="S100" s="89"/>
    </row>
    <row r="101" spans="12:19" ht="13.5" customHeight="1" x14ac:dyDescent="0.35">
      <c r="L101" s="34">
        <v>99</v>
      </c>
      <c r="M101" s="34">
        <v>0</v>
      </c>
      <c r="N101" s="34">
        <f t="shared" si="3"/>
        <v>0</v>
      </c>
      <c r="O101" s="34">
        <f t="shared" si="2"/>
        <v>430.5625</v>
      </c>
      <c r="Q101" s="88" t="s">
        <v>202</v>
      </c>
      <c r="S101" s="89"/>
    </row>
    <row r="102" spans="12:19" ht="13.5" customHeight="1" x14ac:dyDescent="0.35">
      <c r="L102" s="34">
        <v>100</v>
      </c>
      <c r="M102" s="34">
        <v>0</v>
      </c>
      <c r="N102" s="34">
        <f t="shared" si="3"/>
        <v>0</v>
      </c>
      <c r="O102" s="34">
        <f t="shared" si="2"/>
        <v>430.5625</v>
      </c>
      <c r="Q102" s="34" t="s">
        <v>203</v>
      </c>
      <c r="R102" s="93">
        <f>R73/R59</f>
        <v>5.433702906631685E-2</v>
      </c>
      <c r="S102" s="93">
        <f>R86/R59</f>
        <v>9.6672607092433402E-2</v>
      </c>
    </row>
    <row r="103" spans="12:19" ht="13.5" customHeight="1" x14ac:dyDescent="0.35">
      <c r="L103" s="34">
        <v>101</v>
      </c>
      <c r="M103" s="34">
        <v>0</v>
      </c>
      <c r="N103" s="34">
        <f t="shared" si="3"/>
        <v>0</v>
      </c>
      <c r="O103" s="34">
        <f t="shared" si="2"/>
        <v>430.5625</v>
      </c>
      <c r="Q103" s="34" t="s">
        <v>204</v>
      </c>
      <c r="R103" s="93">
        <f>R74/R59</f>
        <v>5.1030272817839173E-2</v>
      </c>
      <c r="S103" s="93">
        <f>R87/R59</f>
        <v>5.7593416261832918E-2</v>
      </c>
    </row>
    <row r="104" spans="12:19" ht="13.5" customHeight="1" x14ac:dyDescent="0.35">
      <c r="L104" s="34">
        <v>102</v>
      </c>
      <c r="M104" s="34">
        <v>0</v>
      </c>
      <c r="N104" s="34">
        <f t="shared" si="3"/>
        <v>0</v>
      </c>
      <c r="O104" s="34">
        <f t="shared" si="2"/>
        <v>430.5625</v>
      </c>
      <c r="Q104" s="79" t="s">
        <v>205</v>
      </c>
      <c r="R104" s="93">
        <f>MAX(R73/R59,R74/R59)</f>
        <v>5.433702906631685E-2</v>
      </c>
      <c r="S104" s="93">
        <f>MAX(R86/R59,R87/R59)</f>
        <v>9.6672607092433402E-2</v>
      </c>
    </row>
    <row r="105" spans="12:19" ht="13.5" customHeight="1" x14ac:dyDescent="0.35">
      <c r="L105" s="34">
        <v>103</v>
      </c>
      <c r="M105" s="34">
        <v>0</v>
      </c>
      <c r="N105" s="34">
        <f t="shared" si="3"/>
        <v>0</v>
      </c>
      <c r="O105" s="34">
        <f t="shared" si="2"/>
        <v>430.5625</v>
      </c>
    </row>
    <row r="106" spans="12:19" ht="13.5" customHeight="1" x14ac:dyDescent="0.35">
      <c r="L106" s="34">
        <v>104</v>
      </c>
      <c r="M106" s="34">
        <v>0</v>
      </c>
      <c r="N106" s="34">
        <f t="shared" si="3"/>
        <v>0</v>
      </c>
      <c r="O106" s="34">
        <f t="shared" si="2"/>
        <v>430.5625</v>
      </c>
    </row>
    <row r="107" spans="12:19" ht="13.5" customHeight="1" x14ac:dyDescent="0.35">
      <c r="L107" s="34">
        <v>105</v>
      </c>
      <c r="M107" s="34">
        <v>0</v>
      </c>
      <c r="N107" s="34">
        <f t="shared" si="3"/>
        <v>0</v>
      </c>
      <c r="O107" s="34">
        <f t="shared" si="2"/>
        <v>430.5625</v>
      </c>
    </row>
    <row r="108" spans="12:19" ht="13.5" customHeight="1" x14ac:dyDescent="0.35">
      <c r="L108" s="34">
        <v>106</v>
      </c>
      <c r="M108" s="34">
        <v>0</v>
      </c>
      <c r="N108" s="34">
        <f t="shared" si="3"/>
        <v>0</v>
      </c>
      <c r="O108" s="34">
        <f t="shared" si="2"/>
        <v>430.5625</v>
      </c>
    </row>
    <row r="109" spans="12:19" ht="13.5" customHeight="1" x14ac:dyDescent="0.35">
      <c r="L109" s="34">
        <v>107</v>
      </c>
      <c r="M109" s="34">
        <v>0</v>
      </c>
      <c r="N109" s="34">
        <f t="shared" si="3"/>
        <v>0</v>
      </c>
      <c r="O109" s="34">
        <f t="shared" si="2"/>
        <v>430.5625</v>
      </c>
    </row>
    <row r="110" spans="12:19" ht="13.5" customHeight="1" x14ac:dyDescent="0.35">
      <c r="L110" s="34">
        <v>108</v>
      </c>
      <c r="M110" s="34">
        <v>0</v>
      </c>
      <c r="N110" s="34">
        <f t="shared" si="3"/>
        <v>0</v>
      </c>
      <c r="O110" s="34">
        <f t="shared" si="2"/>
        <v>430.5625</v>
      </c>
    </row>
    <row r="111" spans="12:19" ht="13.5" customHeight="1" x14ac:dyDescent="0.35">
      <c r="L111" s="34">
        <v>109</v>
      </c>
      <c r="M111" s="34">
        <v>0</v>
      </c>
      <c r="N111" s="34">
        <f t="shared" si="3"/>
        <v>0</v>
      </c>
      <c r="O111" s="34">
        <f t="shared" si="2"/>
        <v>430.5625</v>
      </c>
    </row>
    <row r="112" spans="12:19" ht="13.5" customHeight="1" x14ac:dyDescent="0.35">
      <c r="L112" s="34">
        <v>110</v>
      </c>
      <c r="M112" s="34">
        <v>0</v>
      </c>
      <c r="N112" s="34">
        <f t="shared" si="3"/>
        <v>0</v>
      </c>
      <c r="O112" s="34">
        <f t="shared" si="2"/>
        <v>430.5625</v>
      </c>
    </row>
    <row r="113" spans="12:15" ht="13.5" customHeight="1" x14ac:dyDescent="0.35">
      <c r="L113" s="34">
        <v>111</v>
      </c>
      <c r="M113" s="34">
        <v>0</v>
      </c>
      <c r="N113" s="34">
        <f t="shared" si="3"/>
        <v>0</v>
      </c>
      <c r="O113" s="34">
        <f t="shared" si="2"/>
        <v>430.5625</v>
      </c>
    </row>
    <row r="114" spans="12:15" ht="13.5" customHeight="1" x14ac:dyDescent="0.35">
      <c r="L114" s="34">
        <v>112</v>
      </c>
      <c r="M114" s="34">
        <v>0</v>
      </c>
      <c r="N114" s="34">
        <f t="shared" si="3"/>
        <v>0</v>
      </c>
      <c r="O114" s="34">
        <f t="shared" si="2"/>
        <v>430.5625</v>
      </c>
    </row>
    <row r="115" spans="12:15" ht="13.5" customHeight="1" x14ac:dyDescent="0.35">
      <c r="L115" s="34">
        <v>113</v>
      </c>
      <c r="M115" s="34">
        <v>0</v>
      </c>
      <c r="N115" s="34">
        <f t="shared" si="3"/>
        <v>0</v>
      </c>
      <c r="O115" s="34">
        <f t="shared" si="2"/>
        <v>430.5625</v>
      </c>
    </row>
    <row r="116" spans="12:15" ht="13.5" customHeight="1" x14ac:dyDescent="0.35">
      <c r="L116" s="34">
        <v>114</v>
      </c>
      <c r="M116" s="34">
        <v>0</v>
      </c>
      <c r="N116" s="34">
        <f t="shared" si="3"/>
        <v>0</v>
      </c>
      <c r="O116" s="34">
        <f t="shared" si="2"/>
        <v>430.5625</v>
      </c>
    </row>
    <row r="117" spans="12:15" ht="13.5" customHeight="1" x14ac:dyDescent="0.35">
      <c r="L117" s="34">
        <v>115</v>
      </c>
      <c r="M117" s="34">
        <v>0</v>
      </c>
      <c r="N117" s="34">
        <f t="shared" si="3"/>
        <v>0</v>
      </c>
      <c r="O117" s="34">
        <f t="shared" si="2"/>
        <v>430.5625</v>
      </c>
    </row>
    <row r="118" spans="12:15" ht="13.5" customHeight="1" x14ac:dyDescent="0.35">
      <c r="L118" s="34">
        <v>116</v>
      </c>
      <c r="M118" s="34">
        <v>0</v>
      </c>
      <c r="N118" s="34">
        <f t="shared" si="3"/>
        <v>0</v>
      </c>
      <c r="O118" s="34">
        <f t="shared" si="2"/>
        <v>430.5625</v>
      </c>
    </row>
    <row r="119" spans="12:15" ht="13.5" customHeight="1" x14ac:dyDescent="0.35">
      <c r="L119" s="34">
        <v>117</v>
      </c>
      <c r="M119" s="34">
        <v>0</v>
      </c>
      <c r="N119" s="34">
        <f t="shared" si="3"/>
        <v>0</v>
      </c>
      <c r="O119" s="34">
        <f t="shared" si="2"/>
        <v>430.5625</v>
      </c>
    </row>
    <row r="120" spans="12:15" ht="13.5" customHeight="1" x14ac:dyDescent="0.35">
      <c r="L120" s="34">
        <v>118</v>
      </c>
      <c r="M120" s="34">
        <v>0</v>
      </c>
      <c r="N120" s="34">
        <f t="shared" si="3"/>
        <v>0</v>
      </c>
      <c r="O120" s="34">
        <f t="shared" si="2"/>
        <v>430.5625</v>
      </c>
    </row>
    <row r="121" spans="12:15" ht="13.5" customHeight="1" x14ac:dyDescent="0.35">
      <c r="L121" s="34">
        <v>119</v>
      </c>
      <c r="M121" s="34">
        <v>0</v>
      </c>
      <c r="N121" s="34">
        <f t="shared" si="3"/>
        <v>0</v>
      </c>
      <c r="O121" s="34">
        <f t="shared" si="2"/>
        <v>430.5625</v>
      </c>
    </row>
    <row r="122" spans="12:15" ht="13.5" customHeight="1" x14ac:dyDescent="0.35">
      <c r="L122" s="34">
        <v>120</v>
      </c>
      <c r="M122" s="34">
        <v>0</v>
      </c>
      <c r="N122" s="34">
        <f t="shared" si="3"/>
        <v>0</v>
      </c>
      <c r="O122" s="34">
        <f t="shared" si="2"/>
        <v>430.5625</v>
      </c>
    </row>
    <row r="123" spans="12:15" ht="13.5" customHeight="1" x14ac:dyDescent="0.35">
      <c r="L123" s="34">
        <v>121</v>
      </c>
      <c r="M123" s="34">
        <v>0</v>
      </c>
      <c r="N123" s="34">
        <f t="shared" si="3"/>
        <v>0</v>
      </c>
      <c r="O123" s="34">
        <f t="shared" si="2"/>
        <v>430.5625</v>
      </c>
    </row>
    <row r="124" spans="12:15" ht="13.5" customHeight="1" x14ac:dyDescent="0.35">
      <c r="L124" s="34">
        <v>122</v>
      </c>
      <c r="M124" s="34">
        <v>0</v>
      </c>
      <c r="N124" s="34">
        <f t="shared" si="3"/>
        <v>3.5</v>
      </c>
      <c r="O124" s="34">
        <f t="shared" si="2"/>
        <v>430.5625</v>
      </c>
    </row>
    <row r="125" spans="12:15" ht="13.5" customHeight="1" x14ac:dyDescent="0.35">
      <c r="L125" s="34">
        <v>123</v>
      </c>
      <c r="M125" s="34">
        <v>0</v>
      </c>
      <c r="N125" s="34">
        <f t="shared" si="3"/>
        <v>6.875</v>
      </c>
      <c r="O125" s="34">
        <f t="shared" si="2"/>
        <v>430.5625</v>
      </c>
    </row>
    <row r="126" spans="12:15" ht="13.5" customHeight="1" x14ac:dyDescent="0.35">
      <c r="L126" s="34">
        <v>124</v>
      </c>
      <c r="M126" s="34">
        <v>0</v>
      </c>
      <c r="N126" s="34">
        <f t="shared" si="3"/>
        <v>11.375</v>
      </c>
      <c r="O126" s="34">
        <f t="shared" si="2"/>
        <v>430.5625</v>
      </c>
    </row>
    <row r="127" spans="12:15" ht="13.5" customHeight="1" x14ac:dyDescent="0.35">
      <c r="L127" s="34">
        <v>125</v>
      </c>
      <c r="M127" s="34">
        <v>0</v>
      </c>
      <c r="N127" s="34">
        <f t="shared" si="3"/>
        <v>15.375</v>
      </c>
      <c r="O127" s="34">
        <f t="shared" si="2"/>
        <v>430.5625</v>
      </c>
    </row>
    <row r="128" spans="12:15" ht="13.5" customHeight="1" x14ac:dyDescent="0.35">
      <c r="L128" s="34">
        <v>126</v>
      </c>
      <c r="M128" s="34">
        <v>28</v>
      </c>
      <c r="N128" s="34">
        <f t="shared" si="3"/>
        <v>18.75</v>
      </c>
      <c r="O128" s="34">
        <f t="shared" si="2"/>
        <v>430.5625</v>
      </c>
    </row>
    <row r="129" spans="12:15" ht="13.5" customHeight="1" x14ac:dyDescent="0.35">
      <c r="L129" s="34">
        <v>127</v>
      </c>
      <c r="M129" s="34">
        <v>27</v>
      </c>
      <c r="N129" s="34">
        <f t="shared" si="3"/>
        <v>24.25</v>
      </c>
      <c r="O129" s="34">
        <f t="shared" si="2"/>
        <v>430.5625</v>
      </c>
    </row>
    <row r="130" spans="12:15" ht="13.5" customHeight="1" x14ac:dyDescent="0.35">
      <c r="L130" s="34">
        <v>128</v>
      </c>
      <c r="M130" s="34">
        <v>36</v>
      </c>
      <c r="N130" s="34">
        <f t="shared" si="3"/>
        <v>29</v>
      </c>
      <c r="O130" s="34">
        <f t="shared" ref="O130:O193" si="4">MAX($A$35)/2</f>
        <v>430.5625</v>
      </c>
    </row>
    <row r="131" spans="12:15" ht="13.5" customHeight="1" x14ac:dyDescent="0.35">
      <c r="L131" s="34">
        <v>129</v>
      </c>
      <c r="M131" s="34">
        <v>32</v>
      </c>
      <c r="N131" s="34">
        <f t="shared" si="3"/>
        <v>33.75</v>
      </c>
      <c r="O131" s="34">
        <f t="shared" si="4"/>
        <v>430.5625</v>
      </c>
    </row>
    <row r="132" spans="12:15" ht="13.5" customHeight="1" x14ac:dyDescent="0.35">
      <c r="L132" s="34">
        <v>130</v>
      </c>
      <c r="M132" s="34">
        <v>27</v>
      </c>
      <c r="N132" s="34">
        <f t="shared" si="3"/>
        <v>34</v>
      </c>
      <c r="O132" s="34">
        <f t="shared" si="4"/>
        <v>430.5625</v>
      </c>
    </row>
    <row r="133" spans="12:15" ht="13.5" customHeight="1" x14ac:dyDescent="0.35">
      <c r="L133" s="34">
        <v>131</v>
      </c>
      <c r="M133" s="34">
        <v>44</v>
      </c>
      <c r="N133" s="34">
        <f t="shared" ref="N133:N196" si="5">AVERAGE(M130:M137)</f>
        <v>35.5</v>
      </c>
      <c r="O133" s="34">
        <f t="shared" si="4"/>
        <v>430.5625</v>
      </c>
    </row>
    <row r="134" spans="12:15" ht="13.5" customHeight="1" x14ac:dyDescent="0.35">
      <c r="L134" s="34">
        <v>132</v>
      </c>
      <c r="M134" s="34">
        <v>38</v>
      </c>
      <c r="N134" s="34">
        <f t="shared" si="5"/>
        <v>35.625</v>
      </c>
      <c r="O134" s="34">
        <f t="shared" si="4"/>
        <v>430.5625</v>
      </c>
    </row>
    <row r="135" spans="12:15" ht="13.5" customHeight="1" x14ac:dyDescent="0.35">
      <c r="L135" s="34">
        <v>133</v>
      </c>
      <c r="M135" s="34">
        <v>38</v>
      </c>
      <c r="N135" s="34">
        <f t="shared" si="5"/>
        <v>36.5</v>
      </c>
      <c r="O135" s="34">
        <f t="shared" si="4"/>
        <v>430.5625</v>
      </c>
    </row>
    <row r="136" spans="12:15" ht="13.5" customHeight="1" x14ac:dyDescent="0.35">
      <c r="L136" s="34">
        <v>134</v>
      </c>
      <c r="M136" s="34">
        <v>30</v>
      </c>
      <c r="N136" s="34">
        <f t="shared" si="5"/>
        <v>37.875</v>
      </c>
      <c r="O136" s="34">
        <f t="shared" si="4"/>
        <v>430.5625</v>
      </c>
    </row>
    <row r="137" spans="12:15" ht="13.5" customHeight="1" x14ac:dyDescent="0.35">
      <c r="L137" s="34">
        <v>135</v>
      </c>
      <c r="M137" s="34">
        <v>39</v>
      </c>
      <c r="N137" s="34">
        <f t="shared" si="5"/>
        <v>38.25</v>
      </c>
      <c r="O137" s="34">
        <f t="shared" si="4"/>
        <v>430.5625</v>
      </c>
    </row>
    <row r="138" spans="12:15" ht="13.5" customHeight="1" x14ac:dyDescent="0.35">
      <c r="L138" s="34">
        <v>136</v>
      </c>
      <c r="M138" s="34">
        <v>37</v>
      </c>
      <c r="N138" s="34">
        <f t="shared" si="5"/>
        <v>39.125</v>
      </c>
      <c r="O138" s="34">
        <f t="shared" si="4"/>
        <v>430.5625</v>
      </c>
    </row>
    <row r="139" spans="12:15" ht="13.5" customHeight="1" x14ac:dyDescent="0.35">
      <c r="L139" s="34">
        <v>137</v>
      </c>
      <c r="M139" s="34">
        <v>39</v>
      </c>
      <c r="N139" s="34">
        <f t="shared" si="5"/>
        <v>40.875</v>
      </c>
      <c r="O139" s="34">
        <f t="shared" si="4"/>
        <v>430.5625</v>
      </c>
    </row>
    <row r="140" spans="12:15" ht="13.5" customHeight="1" x14ac:dyDescent="0.35">
      <c r="L140" s="34">
        <v>138</v>
      </c>
      <c r="M140" s="34">
        <v>38</v>
      </c>
      <c r="N140" s="34">
        <f t="shared" si="5"/>
        <v>43.5</v>
      </c>
      <c r="O140" s="34">
        <f t="shared" si="4"/>
        <v>430.5625</v>
      </c>
    </row>
    <row r="141" spans="12:15" ht="13.5" customHeight="1" x14ac:dyDescent="0.35">
      <c r="L141" s="34">
        <v>139</v>
      </c>
      <c r="M141" s="34">
        <v>47</v>
      </c>
      <c r="N141" s="34">
        <f t="shared" si="5"/>
        <v>45.625</v>
      </c>
      <c r="O141" s="34">
        <f t="shared" si="4"/>
        <v>430.5625</v>
      </c>
    </row>
    <row r="142" spans="12:15" ht="13.5" customHeight="1" x14ac:dyDescent="0.35">
      <c r="L142" s="34">
        <v>140</v>
      </c>
      <c r="M142" s="34">
        <v>45</v>
      </c>
      <c r="N142" s="34">
        <f t="shared" si="5"/>
        <v>48.75</v>
      </c>
      <c r="O142" s="34">
        <f t="shared" si="4"/>
        <v>430.5625</v>
      </c>
    </row>
    <row r="143" spans="12:15" ht="13.5" customHeight="1" x14ac:dyDescent="0.35">
      <c r="L143" s="34">
        <v>141</v>
      </c>
      <c r="M143" s="34">
        <v>52</v>
      </c>
      <c r="N143" s="34">
        <f t="shared" si="5"/>
        <v>52.625</v>
      </c>
      <c r="O143" s="34">
        <f t="shared" si="4"/>
        <v>430.5625</v>
      </c>
    </row>
    <row r="144" spans="12:15" ht="13.5" customHeight="1" x14ac:dyDescent="0.35">
      <c r="L144" s="34">
        <v>142</v>
      </c>
      <c r="M144" s="34">
        <v>51</v>
      </c>
      <c r="N144" s="34">
        <f t="shared" si="5"/>
        <v>55.75</v>
      </c>
      <c r="O144" s="34">
        <f t="shared" si="4"/>
        <v>430.5625</v>
      </c>
    </row>
    <row r="145" spans="12:15" ht="13.5" customHeight="1" x14ac:dyDescent="0.35">
      <c r="L145" s="34">
        <v>143</v>
      </c>
      <c r="M145" s="34">
        <v>56</v>
      </c>
      <c r="N145" s="34">
        <f t="shared" si="5"/>
        <v>56.75</v>
      </c>
      <c r="O145" s="34">
        <f t="shared" si="4"/>
        <v>430.5625</v>
      </c>
    </row>
    <row r="146" spans="12:15" ht="13.5" customHeight="1" x14ac:dyDescent="0.35">
      <c r="L146" s="34">
        <v>144</v>
      </c>
      <c r="M146" s="34">
        <v>62</v>
      </c>
      <c r="N146" s="34">
        <f t="shared" si="5"/>
        <v>60.875</v>
      </c>
      <c r="O146" s="34">
        <f t="shared" si="4"/>
        <v>430.5625</v>
      </c>
    </row>
    <row r="147" spans="12:15" ht="13.5" customHeight="1" x14ac:dyDescent="0.35">
      <c r="L147" s="34">
        <v>145</v>
      </c>
      <c r="M147" s="34">
        <v>70</v>
      </c>
      <c r="N147" s="34">
        <f t="shared" si="5"/>
        <v>64.75</v>
      </c>
      <c r="O147" s="34">
        <f t="shared" si="4"/>
        <v>430.5625</v>
      </c>
    </row>
    <row r="148" spans="12:15" ht="13.5" customHeight="1" x14ac:dyDescent="0.35">
      <c r="L148" s="34">
        <v>146</v>
      </c>
      <c r="M148" s="34">
        <v>63</v>
      </c>
      <c r="N148" s="34">
        <f t="shared" si="5"/>
        <v>68.875</v>
      </c>
      <c r="O148" s="34">
        <f t="shared" si="4"/>
        <v>430.5625</v>
      </c>
    </row>
    <row r="149" spans="12:15" ht="13.5" customHeight="1" x14ac:dyDescent="0.35">
      <c r="L149" s="34">
        <v>147</v>
      </c>
      <c r="M149" s="34">
        <v>55</v>
      </c>
      <c r="N149" s="34">
        <f t="shared" si="5"/>
        <v>74</v>
      </c>
      <c r="O149" s="34">
        <f t="shared" si="4"/>
        <v>430.5625</v>
      </c>
    </row>
    <row r="150" spans="12:15" ht="13.5" customHeight="1" x14ac:dyDescent="0.35">
      <c r="L150" s="34">
        <v>148</v>
      </c>
      <c r="M150" s="34">
        <v>78</v>
      </c>
      <c r="N150" s="34">
        <f t="shared" si="5"/>
        <v>79.75</v>
      </c>
      <c r="O150" s="34">
        <f t="shared" si="4"/>
        <v>430.5625</v>
      </c>
    </row>
    <row r="151" spans="12:15" ht="13.5" customHeight="1" x14ac:dyDescent="0.35">
      <c r="L151" s="34">
        <v>149</v>
      </c>
      <c r="M151" s="34">
        <v>83</v>
      </c>
      <c r="N151" s="34">
        <f t="shared" si="5"/>
        <v>83.375</v>
      </c>
      <c r="O151" s="34">
        <f t="shared" si="4"/>
        <v>430.5625</v>
      </c>
    </row>
    <row r="152" spans="12:15" ht="13.5" customHeight="1" x14ac:dyDescent="0.35">
      <c r="L152" s="34">
        <v>150</v>
      </c>
      <c r="M152" s="34">
        <v>84</v>
      </c>
      <c r="N152" s="34">
        <f t="shared" si="5"/>
        <v>93.5</v>
      </c>
      <c r="O152" s="34">
        <f t="shared" si="4"/>
        <v>430.5625</v>
      </c>
    </row>
    <row r="153" spans="12:15" ht="13.5" customHeight="1" x14ac:dyDescent="0.35">
      <c r="L153" s="34">
        <v>151</v>
      </c>
      <c r="M153" s="34">
        <v>97</v>
      </c>
      <c r="N153" s="34">
        <f t="shared" si="5"/>
        <v>101.375</v>
      </c>
      <c r="O153" s="34">
        <f t="shared" si="4"/>
        <v>430.5625</v>
      </c>
    </row>
    <row r="154" spans="12:15" ht="13.5" customHeight="1" x14ac:dyDescent="0.35">
      <c r="L154" s="34">
        <v>152</v>
      </c>
      <c r="M154" s="34">
        <v>108</v>
      </c>
      <c r="N154" s="34">
        <f t="shared" si="5"/>
        <v>107.75</v>
      </c>
      <c r="O154" s="34">
        <f t="shared" si="4"/>
        <v>430.5625</v>
      </c>
    </row>
    <row r="155" spans="12:15" ht="13.5" customHeight="1" x14ac:dyDescent="0.35">
      <c r="L155" s="34">
        <v>153</v>
      </c>
      <c r="M155" s="34">
        <v>99</v>
      </c>
      <c r="N155" s="34">
        <f t="shared" si="5"/>
        <v>117.25</v>
      </c>
      <c r="O155" s="34">
        <f t="shared" si="4"/>
        <v>430.5625</v>
      </c>
    </row>
    <row r="156" spans="12:15" ht="13.5" customHeight="1" x14ac:dyDescent="0.35">
      <c r="L156" s="34">
        <v>154</v>
      </c>
      <c r="M156" s="34">
        <v>144</v>
      </c>
      <c r="N156" s="34">
        <f t="shared" si="5"/>
        <v>125.625</v>
      </c>
      <c r="O156" s="34">
        <f t="shared" si="4"/>
        <v>430.5625</v>
      </c>
    </row>
    <row r="157" spans="12:15" ht="13.5" customHeight="1" x14ac:dyDescent="0.35">
      <c r="L157" s="34">
        <v>155</v>
      </c>
      <c r="M157" s="34">
        <v>118</v>
      </c>
      <c r="N157" s="34">
        <f t="shared" si="5"/>
        <v>134.625</v>
      </c>
      <c r="O157" s="34">
        <f t="shared" si="4"/>
        <v>430.5625</v>
      </c>
    </row>
    <row r="158" spans="12:15" ht="13.5" customHeight="1" x14ac:dyDescent="0.35">
      <c r="L158" s="34">
        <v>156</v>
      </c>
      <c r="M158" s="34">
        <v>129</v>
      </c>
      <c r="N158" s="34">
        <f t="shared" si="5"/>
        <v>146.375</v>
      </c>
      <c r="O158" s="34">
        <f t="shared" si="4"/>
        <v>430.5625</v>
      </c>
    </row>
    <row r="159" spans="12:15" ht="13.5" customHeight="1" x14ac:dyDescent="0.35">
      <c r="L159" s="34">
        <v>157</v>
      </c>
      <c r="M159" s="34">
        <v>159</v>
      </c>
      <c r="N159" s="34">
        <f t="shared" si="5"/>
        <v>158.875</v>
      </c>
      <c r="O159" s="34">
        <f t="shared" si="4"/>
        <v>430.5625</v>
      </c>
    </row>
    <row r="160" spans="12:15" ht="13.5" customHeight="1" x14ac:dyDescent="0.35">
      <c r="L160" s="34">
        <v>158</v>
      </c>
      <c r="M160" s="34">
        <v>151</v>
      </c>
      <c r="N160" s="34">
        <f t="shared" si="5"/>
        <v>167.75</v>
      </c>
      <c r="O160" s="34">
        <f t="shared" si="4"/>
        <v>430.5625</v>
      </c>
    </row>
    <row r="161" spans="12:15" ht="13.5" customHeight="1" x14ac:dyDescent="0.35">
      <c r="L161" s="34">
        <v>159</v>
      </c>
      <c r="M161" s="34">
        <v>169</v>
      </c>
      <c r="N161" s="34">
        <f t="shared" si="5"/>
        <v>181.875</v>
      </c>
      <c r="O161" s="34">
        <f t="shared" si="4"/>
        <v>430.5625</v>
      </c>
    </row>
    <row r="162" spans="12:15" ht="13.5" customHeight="1" x14ac:dyDescent="0.35">
      <c r="L162" s="34">
        <v>160</v>
      </c>
      <c r="M162" s="34">
        <v>202</v>
      </c>
      <c r="N162" s="34">
        <f t="shared" si="5"/>
        <v>196.625</v>
      </c>
      <c r="O162" s="34">
        <f t="shared" si="4"/>
        <v>430.5625</v>
      </c>
    </row>
    <row r="163" spans="12:15" ht="13.5" customHeight="1" x14ac:dyDescent="0.35">
      <c r="L163" s="34">
        <v>161</v>
      </c>
      <c r="M163" s="34">
        <v>199</v>
      </c>
      <c r="N163" s="34">
        <f t="shared" si="5"/>
        <v>214.25</v>
      </c>
      <c r="O163" s="34">
        <f t="shared" si="4"/>
        <v>430.5625</v>
      </c>
    </row>
    <row r="164" spans="12:15" ht="13.5" customHeight="1" x14ac:dyDescent="0.35">
      <c r="L164" s="34">
        <v>162</v>
      </c>
      <c r="M164" s="34">
        <v>215</v>
      </c>
      <c r="N164" s="34">
        <f t="shared" si="5"/>
        <v>229</v>
      </c>
      <c r="O164" s="34">
        <f t="shared" si="4"/>
        <v>430.5625</v>
      </c>
    </row>
    <row r="165" spans="12:15" ht="13.5" customHeight="1" x14ac:dyDescent="0.35">
      <c r="L165" s="34">
        <v>163</v>
      </c>
      <c r="M165" s="34">
        <v>231</v>
      </c>
      <c r="N165" s="34">
        <f t="shared" si="5"/>
        <v>248.125</v>
      </c>
      <c r="O165" s="34">
        <f t="shared" si="4"/>
        <v>430.5625</v>
      </c>
    </row>
    <row r="166" spans="12:15" ht="13.5" customHeight="1" x14ac:dyDescent="0.35">
      <c r="L166" s="34">
        <v>164</v>
      </c>
      <c r="M166" s="34">
        <v>247</v>
      </c>
      <c r="N166" s="34">
        <f t="shared" si="5"/>
        <v>270.875</v>
      </c>
      <c r="O166" s="34">
        <f t="shared" si="4"/>
        <v>430.5625</v>
      </c>
    </row>
    <row r="167" spans="12:15" ht="13.5" customHeight="1" x14ac:dyDescent="0.35">
      <c r="L167" s="34">
        <v>165</v>
      </c>
      <c r="M167" s="34">
        <v>300</v>
      </c>
      <c r="N167" s="34">
        <f t="shared" si="5"/>
        <v>291.875</v>
      </c>
      <c r="O167" s="34">
        <f t="shared" si="4"/>
        <v>430.5625</v>
      </c>
    </row>
    <row r="168" spans="12:15" ht="13.5" customHeight="1" x14ac:dyDescent="0.35">
      <c r="L168" s="34">
        <v>166</v>
      </c>
      <c r="M168" s="34">
        <v>269</v>
      </c>
      <c r="N168" s="34">
        <f t="shared" si="5"/>
        <v>312.125</v>
      </c>
      <c r="O168" s="34">
        <f t="shared" si="4"/>
        <v>430.5625</v>
      </c>
    </row>
    <row r="169" spans="12:15" ht="13.5" customHeight="1" x14ac:dyDescent="0.35">
      <c r="L169" s="34">
        <v>167</v>
      </c>
      <c r="M169" s="34">
        <v>322</v>
      </c>
      <c r="N169" s="34">
        <f t="shared" si="5"/>
        <v>333.25</v>
      </c>
      <c r="O169" s="34">
        <f t="shared" si="4"/>
        <v>430.5625</v>
      </c>
    </row>
    <row r="170" spans="12:15" ht="13.5" customHeight="1" x14ac:dyDescent="0.35">
      <c r="L170" s="34">
        <v>168</v>
      </c>
      <c r="M170" s="34">
        <v>384</v>
      </c>
      <c r="N170" s="34">
        <f t="shared" si="5"/>
        <v>356.25</v>
      </c>
      <c r="O170" s="34">
        <f t="shared" si="4"/>
        <v>430.5625</v>
      </c>
    </row>
    <row r="171" spans="12:15" ht="13.5" customHeight="1" x14ac:dyDescent="0.35">
      <c r="L171" s="34">
        <v>169</v>
      </c>
      <c r="M171" s="34">
        <v>367</v>
      </c>
      <c r="N171" s="34">
        <f t="shared" si="5"/>
        <v>373.25</v>
      </c>
      <c r="O171" s="34">
        <f t="shared" si="4"/>
        <v>430.5625</v>
      </c>
    </row>
    <row r="172" spans="12:15" ht="13.5" customHeight="1" x14ac:dyDescent="0.35">
      <c r="L172" s="34">
        <v>170</v>
      </c>
      <c r="M172" s="34">
        <v>377</v>
      </c>
      <c r="N172" s="34">
        <f t="shared" si="5"/>
        <v>404.25</v>
      </c>
      <c r="O172" s="34">
        <f t="shared" si="4"/>
        <v>430.5625</v>
      </c>
    </row>
    <row r="173" spans="12:15" ht="13.5" customHeight="1" x14ac:dyDescent="0.35">
      <c r="L173" s="34">
        <v>171</v>
      </c>
      <c r="M173" s="34">
        <v>400</v>
      </c>
      <c r="N173" s="34">
        <f t="shared" si="5"/>
        <v>429.5</v>
      </c>
      <c r="O173" s="34">
        <f t="shared" si="4"/>
        <v>430.5625</v>
      </c>
    </row>
    <row r="174" spans="12:15" ht="13.5" customHeight="1" x14ac:dyDescent="0.35">
      <c r="L174" s="34">
        <v>172</v>
      </c>
      <c r="M174" s="34">
        <v>431</v>
      </c>
      <c r="N174" s="34">
        <f t="shared" si="5"/>
        <v>447.75</v>
      </c>
      <c r="O174" s="34">
        <f t="shared" si="4"/>
        <v>430.5625</v>
      </c>
    </row>
    <row r="175" spans="12:15" ht="13.5" customHeight="1" x14ac:dyDescent="0.35">
      <c r="L175" s="34">
        <v>173</v>
      </c>
      <c r="M175" s="34">
        <v>436</v>
      </c>
      <c r="N175" s="34">
        <f t="shared" si="5"/>
        <v>469.75</v>
      </c>
      <c r="O175" s="34">
        <f t="shared" si="4"/>
        <v>430.5625</v>
      </c>
    </row>
    <row r="176" spans="12:15" ht="13.5" customHeight="1" x14ac:dyDescent="0.35">
      <c r="L176" s="34">
        <v>174</v>
      </c>
      <c r="M176" s="34">
        <v>517</v>
      </c>
      <c r="N176" s="34">
        <f t="shared" si="5"/>
        <v>500.5</v>
      </c>
      <c r="O176" s="34">
        <f t="shared" si="4"/>
        <v>430.5625</v>
      </c>
    </row>
    <row r="177" spans="12:15" ht="13.5" customHeight="1" x14ac:dyDescent="0.35">
      <c r="L177" s="34">
        <v>175</v>
      </c>
      <c r="M177" s="34">
        <v>524</v>
      </c>
      <c r="N177" s="34">
        <f t="shared" si="5"/>
        <v>530.375</v>
      </c>
      <c r="O177" s="34">
        <f t="shared" si="4"/>
        <v>430.5625</v>
      </c>
    </row>
    <row r="178" spans="12:15" ht="13.5" customHeight="1" x14ac:dyDescent="0.35">
      <c r="L178" s="34">
        <v>176</v>
      </c>
      <c r="M178" s="34">
        <v>530</v>
      </c>
      <c r="N178" s="34">
        <f t="shared" si="5"/>
        <v>560.125</v>
      </c>
      <c r="O178" s="34">
        <f t="shared" si="4"/>
        <v>430.5625</v>
      </c>
    </row>
    <row r="179" spans="12:15" ht="13.5" customHeight="1" x14ac:dyDescent="0.35">
      <c r="L179" s="34">
        <v>177</v>
      </c>
      <c r="M179" s="34">
        <v>543</v>
      </c>
      <c r="N179" s="34">
        <f t="shared" si="5"/>
        <v>586.875</v>
      </c>
      <c r="O179" s="34">
        <f t="shared" si="4"/>
        <v>430.5625</v>
      </c>
    </row>
    <row r="180" spans="12:15" ht="13.5" customHeight="1" x14ac:dyDescent="0.35">
      <c r="L180" s="34">
        <v>178</v>
      </c>
      <c r="M180" s="34">
        <v>623</v>
      </c>
      <c r="N180" s="34">
        <f t="shared" si="5"/>
        <v>603.125</v>
      </c>
      <c r="O180" s="34">
        <f t="shared" si="4"/>
        <v>430.5625</v>
      </c>
    </row>
    <row r="181" spans="12:15" ht="13.5" customHeight="1" x14ac:dyDescent="0.35">
      <c r="L181" s="34">
        <v>179</v>
      </c>
      <c r="M181" s="34">
        <v>639</v>
      </c>
      <c r="N181" s="34">
        <f t="shared" si="5"/>
        <v>628.125</v>
      </c>
      <c r="O181" s="34">
        <f t="shared" si="4"/>
        <v>430.5625</v>
      </c>
    </row>
    <row r="182" spans="12:15" ht="13.5" customHeight="1" x14ac:dyDescent="0.35">
      <c r="L182" s="34">
        <v>180</v>
      </c>
      <c r="M182" s="34">
        <v>669</v>
      </c>
      <c r="N182" s="34">
        <f t="shared" si="5"/>
        <v>653.625</v>
      </c>
      <c r="O182" s="34">
        <f t="shared" si="4"/>
        <v>430.5625</v>
      </c>
    </row>
    <row r="183" spans="12:15" ht="13.5" customHeight="1" x14ac:dyDescent="0.35">
      <c r="L183" s="34">
        <v>181</v>
      </c>
      <c r="M183" s="34">
        <v>650</v>
      </c>
      <c r="N183" s="34">
        <f t="shared" si="5"/>
        <v>677.875</v>
      </c>
      <c r="O183" s="34">
        <f t="shared" si="4"/>
        <v>430.5625</v>
      </c>
    </row>
    <row r="184" spans="12:15" ht="13.5" customHeight="1" x14ac:dyDescent="0.35">
      <c r="L184" s="34">
        <v>182</v>
      </c>
      <c r="M184" s="34">
        <v>647</v>
      </c>
      <c r="N184" s="34">
        <f t="shared" si="5"/>
        <v>708</v>
      </c>
      <c r="O184" s="34">
        <f t="shared" si="4"/>
        <v>430.5625</v>
      </c>
    </row>
    <row r="185" spans="12:15" ht="13.5" customHeight="1" x14ac:dyDescent="0.35">
      <c r="L185" s="34">
        <v>183</v>
      </c>
      <c r="M185" s="34">
        <v>724</v>
      </c>
      <c r="N185" s="34">
        <f t="shared" si="5"/>
        <v>726.625</v>
      </c>
      <c r="O185" s="34">
        <f t="shared" si="4"/>
        <v>430.5625</v>
      </c>
    </row>
    <row r="186" spans="12:15" ht="13.5" customHeight="1" x14ac:dyDescent="0.35">
      <c r="L186" s="34">
        <v>184</v>
      </c>
      <c r="M186" s="34">
        <v>734</v>
      </c>
      <c r="N186" s="34">
        <f t="shared" si="5"/>
        <v>747.75</v>
      </c>
      <c r="O186" s="34">
        <f t="shared" si="4"/>
        <v>430.5625</v>
      </c>
    </row>
    <row r="187" spans="12:15" ht="13.5" customHeight="1" x14ac:dyDescent="0.35">
      <c r="L187" s="34">
        <v>185</v>
      </c>
      <c r="M187" s="34">
        <v>737</v>
      </c>
      <c r="N187" s="34">
        <f t="shared" si="5"/>
        <v>778.875</v>
      </c>
      <c r="O187" s="34">
        <f t="shared" si="4"/>
        <v>430.5625</v>
      </c>
    </row>
    <row r="188" spans="12:15" ht="13.5" customHeight="1" x14ac:dyDescent="0.35">
      <c r="L188" s="34">
        <v>186</v>
      </c>
      <c r="M188" s="34">
        <v>864</v>
      </c>
      <c r="N188" s="34">
        <f t="shared" si="5"/>
        <v>802.5</v>
      </c>
      <c r="O188" s="34">
        <f t="shared" si="4"/>
        <v>430.5625</v>
      </c>
    </row>
    <row r="189" spans="12:15" ht="13.5" customHeight="1" x14ac:dyDescent="0.35">
      <c r="L189" s="34">
        <v>187</v>
      </c>
      <c r="M189" s="34">
        <v>788</v>
      </c>
      <c r="N189" s="34">
        <f t="shared" si="5"/>
        <v>817.25</v>
      </c>
      <c r="O189" s="34">
        <f t="shared" si="4"/>
        <v>430.5625</v>
      </c>
    </row>
    <row r="190" spans="12:15" ht="13.5" customHeight="1" x14ac:dyDescent="0.35">
      <c r="L190" s="34">
        <v>188</v>
      </c>
      <c r="M190" s="34">
        <v>838</v>
      </c>
      <c r="N190" s="34">
        <f t="shared" si="5"/>
        <v>839.75</v>
      </c>
      <c r="O190" s="34">
        <f t="shared" si="4"/>
        <v>430.5625</v>
      </c>
    </row>
    <row r="191" spans="12:15" ht="13.5" customHeight="1" x14ac:dyDescent="0.35">
      <c r="L191" s="34">
        <v>189</v>
      </c>
      <c r="M191" s="34">
        <v>899</v>
      </c>
      <c r="N191" s="34">
        <f t="shared" si="5"/>
        <v>857.375</v>
      </c>
      <c r="O191" s="34">
        <f t="shared" si="4"/>
        <v>430.5625</v>
      </c>
    </row>
    <row r="192" spans="12:15" ht="13.5" customHeight="1" x14ac:dyDescent="0.35">
      <c r="L192" s="34">
        <v>190</v>
      </c>
      <c r="M192" s="34">
        <v>836</v>
      </c>
      <c r="N192" s="34">
        <f t="shared" si="5"/>
        <v>850.625</v>
      </c>
      <c r="O192" s="34">
        <f t="shared" si="4"/>
        <v>430.5625</v>
      </c>
    </row>
    <row r="193" spans="12:17" ht="13.5" customHeight="1" x14ac:dyDescent="0.35">
      <c r="L193" s="34">
        <v>191</v>
      </c>
      <c r="M193" s="34">
        <v>842</v>
      </c>
      <c r="N193" s="34">
        <f t="shared" si="5"/>
        <v>861.125</v>
      </c>
      <c r="O193" s="34">
        <f t="shared" si="4"/>
        <v>430.5625</v>
      </c>
    </row>
    <row r="194" spans="12:17" ht="13.5" customHeight="1" x14ac:dyDescent="0.35">
      <c r="L194" s="34">
        <v>192</v>
      </c>
      <c r="M194" s="34">
        <v>914</v>
      </c>
      <c r="N194" s="34">
        <f t="shared" si="5"/>
        <v>856.375</v>
      </c>
      <c r="O194" s="34">
        <f t="shared" ref="O194:O257" si="6">MAX($A$35)/2</f>
        <v>430.5625</v>
      </c>
    </row>
    <row r="195" spans="12:17" ht="13.5" customHeight="1" x14ac:dyDescent="0.35">
      <c r="L195" s="34">
        <v>193</v>
      </c>
      <c r="M195" s="34">
        <v>878</v>
      </c>
      <c r="N195" s="34">
        <f t="shared" si="5"/>
        <v>846</v>
      </c>
      <c r="O195" s="34">
        <f t="shared" si="6"/>
        <v>430.5625</v>
      </c>
    </row>
    <row r="196" spans="12:17" ht="13.5" customHeight="1" x14ac:dyDescent="0.35">
      <c r="L196" s="34">
        <v>194</v>
      </c>
      <c r="M196" s="34">
        <v>810</v>
      </c>
      <c r="N196" s="34">
        <f t="shared" si="5"/>
        <v>854.375</v>
      </c>
      <c r="O196" s="34">
        <f t="shared" si="6"/>
        <v>430.5625</v>
      </c>
    </row>
    <row r="197" spans="12:17" ht="13.5" customHeight="1" x14ac:dyDescent="0.35">
      <c r="L197" s="34">
        <v>195</v>
      </c>
      <c r="M197" s="34">
        <v>872</v>
      </c>
      <c r="N197" s="34">
        <f t="shared" ref="N197:N260" si="7">AVERAGE(M194:M201)</f>
        <v>855</v>
      </c>
      <c r="O197" s="34">
        <f t="shared" si="6"/>
        <v>430.5625</v>
      </c>
    </row>
    <row r="198" spans="12:17" ht="13.5" customHeight="1" x14ac:dyDescent="0.35">
      <c r="L198" s="34">
        <v>196</v>
      </c>
      <c r="M198" s="34">
        <v>800</v>
      </c>
      <c r="N198" s="34">
        <f t="shared" si="7"/>
        <v>848.875</v>
      </c>
      <c r="O198" s="34">
        <f t="shared" si="6"/>
        <v>430.5625</v>
      </c>
    </row>
    <row r="199" spans="12:17" ht="13.5" customHeight="1" x14ac:dyDescent="0.35">
      <c r="L199" s="34">
        <v>197</v>
      </c>
      <c r="M199" s="34">
        <v>816</v>
      </c>
      <c r="N199" s="34">
        <f t="shared" si="7"/>
        <v>843.75</v>
      </c>
      <c r="O199" s="34">
        <f t="shared" si="6"/>
        <v>430.5625</v>
      </c>
    </row>
    <row r="200" spans="12:17" ht="13.5" customHeight="1" x14ac:dyDescent="0.35">
      <c r="L200" s="34">
        <v>198</v>
      </c>
      <c r="M200" s="34">
        <v>903</v>
      </c>
      <c r="N200" s="34">
        <f t="shared" si="7"/>
        <v>840.875</v>
      </c>
      <c r="O200" s="34">
        <f t="shared" si="6"/>
        <v>430.5625</v>
      </c>
    </row>
    <row r="201" spans="12:17" ht="13.5" customHeight="1" x14ac:dyDescent="0.35">
      <c r="L201" s="34">
        <v>199</v>
      </c>
      <c r="M201" s="34">
        <v>847</v>
      </c>
      <c r="N201" s="34">
        <f t="shared" si="7"/>
        <v>830.5</v>
      </c>
      <c r="O201" s="34">
        <f t="shared" si="6"/>
        <v>430.5625</v>
      </c>
    </row>
    <row r="202" spans="12:17" ht="13.5" customHeight="1" x14ac:dyDescent="0.35">
      <c r="L202" s="34">
        <v>200</v>
      </c>
      <c r="M202" s="34">
        <v>865</v>
      </c>
      <c r="N202" s="34">
        <f t="shared" si="7"/>
        <v>826.25</v>
      </c>
      <c r="O202" s="34">
        <f t="shared" si="6"/>
        <v>430.5625</v>
      </c>
      <c r="Q202" s="34">
        <v>2</v>
      </c>
    </row>
    <row r="203" spans="12:17" ht="13.5" customHeight="1" x14ac:dyDescent="0.35">
      <c r="L203" s="34">
        <v>201</v>
      </c>
      <c r="M203" s="34">
        <v>837</v>
      </c>
      <c r="N203" s="34">
        <f t="shared" si="7"/>
        <v>818.875</v>
      </c>
      <c r="O203" s="34">
        <f t="shared" si="6"/>
        <v>430.5625</v>
      </c>
      <c r="Q203" s="34">
        <v>2</v>
      </c>
    </row>
    <row r="204" spans="12:17" ht="13.5" customHeight="1" x14ac:dyDescent="0.35">
      <c r="L204" s="34">
        <v>202</v>
      </c>
      <c r="M204" s="34">
        <v>787</v>
      </c>
      <c r="N204" s="34">
        <f t="shared" si="7"/>
        <v>798.5</v>
      </c>
      <c r="O204" s="34">
        <f t="shared" si="6"/>
        <v>430.5625</v>
      </c>
      <c r="Q204" s="34">
        <v>7</v>
      </c>
    </row>
    <row r="205" spans="12:17" ht="13.5" customHeight="1" x14ac:dyDescent="0.35">
      <c r="L205" s="34">
        <v>203</v>
      </c>
      <c r="M205" s="34">
        <v>789</v>
      </c>
      <c r="N205" s="34">
        <f t="shared" si="7"/>
        <v>779.625</v>
      </c>
      <c r="O205" s="34">
        <f t="shared" si="6"/>
        <v>430.5625</v>
      </c>
      <c r="Q205" s="34">
        <v>12</v>
      </c>
    </row>
    <row r="206" spans="12:17" ht="13.5" customHeight="1" x14ac:dyDescent="0.35">
      <c r="L206" s="34">
        <v>204</v>
      </c>
      <c r="M206" s="34">
        <v>766</v>
      </c>
      <c r="N206" s="34">
        <f t="shared" si="7"/>
        <v>753.25</v>
      </c>
      <c r="O206" s="34">
        <f t="shared" si="6"/>
        <v>430.5625</v>
      </c>
      <c r="Q206" s="34">
        <v>9</v>
      </c>
    </row>
    <row r="207" spans="12:17" ht="13.5" customHeight="1" x14ac:dyDescent="0.35">
      <c r="L207" s="34">
        <v>205</v>
      </c>
      <c r="M207" s="34">
        <v>757</v>
      </c>
      <c r="N207" s="34">
        <f t="shared" si="7"/>
        <v>732</v>
      </c>
      <c r="O207" s="34">
        <f t="shared" si="6"/>
        <v>430.5625</v>
      </c>
      <c r="Q207" s="34">
        <v>2</v>
      </c>
    </row>
    <row r="208" spans="12:17" ht="13.5" customHeight="1" x14ac:dyDescent="0.35">
      <c r="L208" s="34">
        <v>206</v>
      </c>
      <c r="M208" s="34">
        <v>740</v>
      </c>
      <c r="N208" s="34">
        <f t="shared" si="7"/>
        <v>716.125</v>
      </c>
      <c r="O208" s="34">
        <f t="shared" si="6"/>
        <v>430.5625</v>
      </c>
      <c r="Q208" s="34">
        <v>9</v>
      </c>
    </row>
    <row r="209" spans="12:17" ht="13.5" customHeight="1" x14ac:dyDescent="0.35">
      <c r="L209" s="34">
        <v>207</v>
      </c>
      <c r="M209" s="34">
        <v>696</v>
      </c>
      <c r="N209" s="34">
        <f t="shared" si="7"/>
        <v>693</v>
      </c>
      <c r="O209" s="34">
        <f t="shared" si="6"/>
        <v>430.5625</v>
      </c>
      <c r="Q209" s="34">
        <v>8</v>
      </c>
    </row>
    <row r="210" spans="12:17" ht="13.5" customHeight="1" x14ac:dyDescent="0.35">
      <c r="L210" s="34">
        <v>208</v>
      </c>
      <c r="M210" s="34">
        <v>654</v>
      </c>
      <c r="N210" s="34">
        <f t="shared" si="7"/>
        <v>667.875</v>
      </c>
      <c r="O210" s="34">
        <f t="shared" si="6"/>
        <v>430.5625</v>
      </c>
      <c r="Q210" s="34">
        <v>6</v>
      </c>
    </row>
    <row r="211" spans="12:17" ht="13.5" customHeight="1" x14ac:dyDescent="0.35">
      <c r="L211" s="34">
        <v>209</v>
      </c>
      <c r="M211" s="34">
        <v>667</v>
      </c>
      <c r="N211" s="34">
        <f t="shared" si="7"/>
        <v>647.25</v>
      </c>
      <c r="O211" s="34">
        <f t="shared" si="6"/>
        <v>430.5625</v>
      </c>
      <c r="Q211" s="34">
        <v>7</v>
      </c>
    </row>
    <row r="212" spans="12:17" ht="13.5" customHeight="1" x14ac:dyDescent="0.35">
      <c r="L212" s="34">
        <v>210</v>
      </c>
      <c r="M212" s="34">
        <v>660</v>
      </c>
      <c r="N212" s="34">
        <f t="shared" si="7"/>
        <v>619.875</v>
      </c>
      <c r="O212" s="34">
        <f t="shared" si="6"/>
        <v>430.5625</v>
      </c>
      <c r="Q212" s="34">
        <v>15</v>
      </c>
    </row>
    <row r="213" spans="12:17" ht="13.5" customHeight="1" x14ac:dyDescent="0.35">
      <c r="L213" s="34">
        <v>211</v>
      </c>
      <c r="M213" s="34">
        <v>604</v>
      </c>
      <c r="N213" s="34">
        <f t="shared" si="7"/>
        <v>599.875</v>
      </c>
      <c r="O213" s="34">
        <f t="shared" si="6"/>
        <v>430.5625</v>
      </c>
      <c r="Q213" s="34">
        <v>6</v>
      </c>
    </row>
    <row r="214" spans="12:17" ht="13.5" customHeight="1" x14ac:dyDescent="0.35">
      <c r="L214" s="34">
        <v>212</v>
      </c>
      <c r="M214" s="34">
        <v>565</v>
      </c>
      <c r="N214" s="34">
        <f t="shared" si="7"/>
        <v>577.75</v>
      </c>
      <c r="O214" s="34">
        <f t="shared" si="6"/>
        <v>430.5625</v>
      </c>
      <c r="Q214" s="34">
        <v>6</v>
      </c>
    </row>
    <row r="215" spans="12:17" ht="13.5" customHeight="1" x14ac:dyDescent="0.35">
      <c r="L215" s="34">
        <v>213</v>
      </c>
      <c r="M215" s="34">
        <v>592</v>
      </c>
      <c r="N215" s="34">
        <f t="shared" si="7"/>
        <v>548.875</v>
      </c>
      <c r="O215" s="34">
        <f t="shared" si="6"/>
        <v>430.5625</v>
      </c>
      <c r="Q215" s="34">
        <v>3</v>
      </c>
    </row>
    <row r="216" spans="12:17" ht="13.5" customHeight="1" x14ac:dyDescent="0.35">
      <c r="L216" s="34">
        <v>214</v>
      </c>
      <c r="M216" s="34">
        <v>521</v>
      </c>
      <c r="N216" s="34">
        <f t="shared" si="7"/>
        <v>521.75</v>
      </c>
      <c r="O216" s="34">
        <f t="shared" si="6"/>
        <v>430.5625</v>
      </c>
      <c r="Q216" s="34">
        <v>8</v>
      </c>
    </row>
    <row r="217" spans="12:17" ht="13.5" customHeight="1" x14ac:dyDescent="0.35">
      <c r="L217" s="34">
        <v>215</v>
      </c>
      <c r="M217" s="34">
        <v>536</v>
      </c>
      <c r="N217" s="34">
        <f t="shared" si="7"/>
        <v>495.75</v>
      </c>
      <c r="O217" s="34">
        <f t="shared" si="6"/>
        <v>430.5625</v>
      </c>
      <c r="Q217" s="34">
        <v>9</v>
      </c>
    </row>
    <row r="218" spans="12:17" ht="13.5" customHeight="1" x14ac:dyDescent="0.35">
      <c r="L218" s="34">
        <v>216</v>
      </c>
      <c r="M218" s="34">
        <v>477</v>
      </c>
      <c r="N218" s="34">
        <f t="shared" si="7"/>
        <v>475.125</v>
      </c>
      <c r="O218" s="34">
        <f t="shared" si="6"/>
        <v>430.5625</v>
      </c>
      <c r="Q218" s="34">
        <v>8</v>
      </c>
    </row>
    <row r="219" spans="12:17" ht="13.5" customHeight="1" x14ac:dyDescent="0.35">
      <c r="L219" s="34">
        <v>217</v>
      </c>
      <c r="M219" s="34">
        <v>436</v>
      </c>
      <c r="N219" s="34">
        <f t="shared" si="7"/>
        <v>449.125</v>
      </c>
      <c r="O219" s="34">
        <f t="shared" si="6"/>
        <v>430.5625</v>
      </c>
      <c r="Q219" s="34">
        <v>6</v>
      </c>
    </row>
    <row r="220" spans="12:17" ht="13.5" customHeight="1" x14ac:dyDescent="0.35">
      <c r="L220" s="34">
        <v>218</v>
      </c>
      <c r="M220" s="34">
        <v>443</v>
      </c>
      <c r="N220" s="34">
        <f t="shared" si="7"/>
        <v>424.625</v>
      </c>
      <c r="O220" s="34">
        <f t="shared" si="6"/>
        <v>430.5625</v>
      </c>
      <c r="Q220" s="34">
        <v>10</v>
      </c>
    </row>
    <row r="221" spans="12:17" ht="13.5" customHeight="1" x14ac:dyDescent="0.35">
      <c r="L221" s="34">
        <v>219</v>
      </c>
      <c r="M221" s="34">
        <v>396</v>
      </c>
      <c r="N221" s="34">
        <f t="shared" si="7"/>
        <v>397.375</v>
      </c>
      <c r="O221" s="34">
        <f t="shared" si="6"/>
        <v>430.5625</v>
      </c>
      <c r="Q221" s="34">
        <v>8</v>
      </c>
    </row>
    <row r="222" spans="12:17" ht="13.5" customHeight="1" x14ac:dyDescent="0.35">
      <c r="L222" s="34">
        <v>220</v>
      </c>
      <c r="M222" s="34">
        <v>400</v>
      </c>
      <c r="N222" s="34">
        <f t="shared" si="7"/>
        <v>374.875</v>
      </c>
      <c r="O222" s="34">
        <f t="shared" si="6"/>
        <v>430.5625</v>
      </c>
      <c r="Q222" s="34">
        <v>7</v>
      </c>
    </row>
    <row r="223" spans="12:17" ht="13.5" customHeight="1" x14ac:dyDescent="0.35">
      <c r="L223" s="34">
        <v>221</v>
      </c>
      <c r="M223" s="34">
        <v>384</v>
      </c>
      <c r="N223" s="34">
        <f t="shared" si="7"/>
        <v>355.625</v>
      </c>
      <c r="O223" s="34">
        <f t="shared" si="6"/>
        <v>430.5625</v>
      </c>
      <c r="Q223" s="34">
        <v>9</v>
      </c>
    </row>
    <row r="224" spans="12:17" ht="13.5" customHeight="1" x14ac:dyDescent="0.35">
      <c r="L224" s="34">
        <v>222</v>
      </c>
      <c r="M224" s="34">
        <v>325</v>
      </c>
      <c r="N224" s="34">
        <f t="shared" si="7"/>
        <v>332</v>
      </c>
      <c r="O224" s="34">
        <f t="shared" si="6"/>
        <v>430.5625</v>
      </c>
      <c r="Q224" s="34">
        <v>7</v>
      </c>
    </row>
    <row r="225" spans="12:17" ht="13.5" customHeight="1" x14ac:dyDescent="0.35">
      <c r="L225" s="34">
        <v>223</v>
      </c>
      <c r="M225" s="34">
        <v>318</v>
      </c>
      <c r="N225" s="34">
        <f t="shared" si="7"/>
        <v>310.25</v>
      </c>
      <c r="O225" s="34">
        <f t="shared" si="6"/>
        <v>430.5625</v>
      </c>
      <c r="Q225" s="34">
        <v>7</v>
      </c>
    </row>
    <row r="226" spans="12:17" ht="13.5" customHeight="1" x14ac:dyDescent="0.35">
      <c r="L226" s="34">
        <v>224</v>
      </c>
      <c r="M226" s="34">
        <v>297</v>
      </c>
      <c r="N226" s="34">
        <f t="shared" si="7"/>
        <v>287.75</v>
      </c>
      <c r="O226" s="34">
        <f t="shared" si="6"/>
        <v>430.5625</v>
      </c>
      <c r="Q226" s="34">
        <v>6</v>
      </c>
    </row>
    <row r="227" spans="12:17" ht="13.5" customHeight="1" x14ac:dyDescent="0.35">
      <c r="L227" s="34">
        <v>225</v>
      </c>
      <c r="M227" s="34">
        <v>282</v>
      </c>
      <c r="N227" s="34">
        <f t="shared" si="7"/>
        <v>263.875</v>
      </c>
      <c r="O227" s="34">
        <f t="shared" si="6"/>
        <v>430.5625</v>
      </c>
      <c r="Q227" s="34">
        <v>5</v>
      </c>
    </row>
    <row r="228" spans="12:17" ht="13.5" customHeight="1" x14ac:dyDescent="0.35">
      <c r="L228" s="34">
        <v>226</v>
      </c>
      <c r="M228" s="34">
        <v>254</v>
      </c>
      <c r="N228" s="34">
        <f t="shared" si="7"/>
        <v>248.25</v>
      </c>
      <c r="O228" s="34">
        <f t="shared" si="6"/>
        <v>430.5625</v>
      </c>
      <c r="Q228" s="34">
        <v>6</v>
      </c>
    </row>
    <row r="229" spans="12:17" ht="13.5" customHeight="1" x14ac:dyDescent="0.35">
      <c r="L229" s="34">
        <v>227</v>
      </c>
      <c r="M229" s="34">
        <v>222</v>
      </c>
      <c r="N229" s="34">
        <f t="shared" si="7"/>
        <v>227.875</v>
      </c>
      <c r="O229" s="34">
        <f t="shared" si="6"/>
        <v>430.5625</v>
      </c>
      <c r="Q229" s="34">
        <v>6</v>
      </c>
    </row>
    <row r="230" spans="12:17" ht="13.5" customHeight="1" x14ac:dyDescent="0.35">
      <c r="L230" s="34">
        <v>228</v>
      </c>
      <c r="M230" s="34">
        <v>220</v>
      </c>
      <c r="N230" s="34">
        <f t="shared" si="7"/>
        <v>211.75</v>
      </c>
      <c r="O230" s="34">
        <f t="shared" si="6"/>
        <v>430.5625</v>
      </c>
      <c r="Q230" s="34">
        <v>8</v>
      </c>
    </row>
    <row r="231" spans="12:17" ht="13.5" customHeight="1" x14ac:dyDescent="0.35">
      <c r="L231" s="34">
        <v>229</v>
      </c>
      <c r="M231" s="34">
        <v>193</v>
      </c>
      <c r="N231" s="34">
        <f t="shared" si="7"/>
        <v>192.875</v>
      </c>
      <c r="O231" s="34">
        <f t="shared" si="6"/>
        <v>430.5625</v>
      </c>
      <c r="Q231" s="34">
        <v>8</v>
      </c>
    </row>
    <row r="232" spans="12:17" ht="13.5" customHeight="1" x14ac:dyDescent="0.35">
      <c r="L232" s="34">
        <v>230</v>
      </c>
      <c r="M232" s="34">
        <v>200</v>
      </c>
      <c r="N232" s="34">
        <f t="shared" si="7"/>
        <v>180</v>
      </c>
      <c r="O232" s="34">
        <f t="shared" si="6"/>
        <v>430.5625</v>
      </c>
      <c r="Q232" s="34">
        <v>7</v>
      </c>
    </row>
    <row r="233" spans="12:17" ht="13.5" customHeight="1" x14ac:dyDescent="0.35">
      <c r="L233" s="34">
        <v>231</v>
      </c>
      <c r="M233" s="34">
        <v>155</v>
      </c>
      <c r="N233" s="34">
        <f t="shared" si="7"/>
        <v>168.5</v>
      </c>
      <c r="O233" s="34">
        <f t="shared" si="6"/>
        <v>430.5625</v>
      </c>
      <c r="Q233" s="34">
        <v>3</v>
      </c>
    </row>
    <row r="234" spans="12:17" ht="13.5" customHeight="1" x14ac:dyDescent="0.35">
      <c r="L234" s="34">
        <v>232</v>
      </c>
      <c r="M234" s="34">
        <v>168</v>
      </c>
      <c r="N234" s="34">
        <f t="shared" si="7"/>
        <v>156.75</v>
      </c>
      <c r="O234" s="34">
        <f t="shared" si="6"/>
        <v>430.5625</v>
      </c>
      <c r="Q234" s="34">
        <v>6</v>
      </c>
    </row>
    <row r="235" spans="12:17" ht="13.5" customHeight="1" x14ac:dyDescent="0.35">
      <c r="L235" s="34">
        <v>233</v>
      </c>
      <c r="M235" s="34">
        <v>131</v>
      </c>
      <c r="N235" s="34">
        <f t="shared" si="7"/>
        <v>145.25</v>
      </c>
      <c r="O235" s="34">
        <f t="shared" si="6"/>
        <v>430.5625</v>
      </c>
      <c r="Q235" s="34">
        <v>2</v>
      </c>
    </row>
    <row r="236" spans="12:17" ht="13.5" customHeight="1" x14ac:dyDescent="0.35">
      <c r="L236" s="34">
        <v>234</v>
      </c>
      <c r="M236" s="34">
        <v>151</v>
      </c>
      <c r="N236" s="34">
        <f t="shared" si="7"/>
        <v>131.625</v>
      </c>
      <c r="O236" s="34">
        <f t="shared" si="6"/>
        <v>430.5625</v>
      </c>
      <c r="Q236" s="34">
        <v>4</v>
      </c>
    </row>
    <row r="237" spans="12:17" ht="13.5" customHeight="1" x14ac:dyDescent="0.35">
      <c r="L237" s="34">
        <v>235</v>
      </c>
      <c r="M237" s="34">
        <v>130</v>
      </c>
      <c r="N237" s="34">
        <f t="shared" si="7"/>
        <v>123.5</v>
      </c>
      <c r="O237" s="34">
        <f t="shared" si="6"/>
        <v>430.5625</v>
      </c>
      <c r="Q237" s="34">
        <v>5</v>
      </c>
    </row>
    <row r="238" spans="12:17" ht="13.5" customHeight="1" x14ac:dyDescent="0.35">
      <c r="L238" s="34">
        <v>236</v>
      </c>
      <c r="M238" s="34">
        <v>126</v>
      </c>
      <c r="N238" s="34">
        <f t="shared" si="7"/>
        <v>111.875</v>
      </c>
      <c r="O238" s="34">
        <f t="shared" si="6"/>
        <v>430.5625</v>
      </c>
      <c r="Q238" s="34">
        <v>5</v>
      </c>
    </row>
    <row r="239" spans="12:17" ht="13.5" customHeight="1" x14ac:dyDescent="0.35">
      <c r="L239" s="34">
        <v>237</v>
      </c>
      <c r="M239" s="34">
        <v>101</v>
      </c>
      <c r="N239" s="34">
        <f t="shared" si="7"/>
        <v>105.625</v>
      </c>
      <c r="O239" s="34">
        <f t="shared" si="6"/>
        <v>430.5625</v>
      </c>
      <c r="Q239" s="34">
        <v>3</v>
      </c>
    </row>
    <row r="240" spans="12:17" ht="13.5" customHeight="1" x14ac:dyDescent="0.35">
      <c r="L240" s="34">
        <v>238</v>
      </c>
      <c r="M240" s="34">
        <v>91</v>
      </c>
      <c r="N240" s="34">
        <f t="shared" si="7"/>
        <v>95.125</v>
      </c>
      <c r="O240" s="34">
        <f t="shared" si="6"/>
        <v>430.5625</v>
      </c>
      <c r="Q240" s="34">
        <v>7</v>
      </c>
    </row>
    <row r="241" spans="12:17" ht="13.5" customHeight="1" x14ac:dyDescent="0.35">
      <c r="L241" s="34">
        <v>239</v>
      </c>
      <c r="M241" s="34">
        <v>90</v>
      </c>
      <c r="N241" s="34">
        <f t="shared" si="7"/>
        <v>87.5</v>
      </c>
      <c r="O241" s="34">
        <f t="shared" si="6"/>
        <v>430.5625</v>
      </c>
      <c r="Q241" s="34">
        <v>12</v>
      </c>
    </row>
    <row r="242" spans="12:17" ht="13.5" customHeight="1" x14ac:dyDescent="0.35">
      <c r="L242" s="34">
        <v>240</v>
      </c>
      <c r="M242" s="34">
        <v>75</v>
      </c>
      <c r="N242" s="34">
        <f t="shared" si="7"/>
        <v>78.375</v>
      </c>
      <c r="O242" s="34">
        <f t="shared" si="6"/>
        <v>430.5625</v>
      </c>
      <c r="Q242" s="34">
        <v>9</v>
      </c>
    </row>
    <row r="243" spans="12:17" ht="13.5" customHeight="1" x14ac:dyDescent="0.35">
      <c r="L243" s="34">
        <v>241</v>
      </c>
      <c r="M243" s="34">
        <v>81</v>
      </c>
      <c r="N243" s="34">
        <f t="shared" si="7"/>
        <v>73.25</v>
      </c>
      <c r="O243" s="34">
        <f t="shared" si="6"/>
        <v>430.5625</v>
      </c>
      <c r="Q243" s="34">
        <v>6</v>
      </c>
    </row>
    <row r="244" spans="12:17" ht="13.5" customHeight="1" x14ac:dyDescent="0.35">
      <c r="L244" s="34">
        <v>242</v>
      </c>
      <c r="M244" s="34">
        <v>67</v>
      </c>
      <c r="N244" s="34">
        <f t="shared" si="7"/>
        <v>68.5</v>
      </c>
      <c r="O244" s="34">
        <f t="shared" si="6"/>
        <v>430.5625</v>
      </c>
      <c r="Q244" s="34">
        <v>12</v>
      </c>
    </row>
    <row r="245" spans="12:17" ht="13.5" customHeight="1" x14ac:dyDescent="0.35">
      <c r="L245" s="34">
        <v>243</v>
      </c>
      <c r="M245" s="34">
        <v>69</v>
      </c>
      <c r="N245" s="34">
        <f t="shared" si="7"/>
        <v>62.375</v>
      </c>
      <c r="O245" s="34">
        <f t="shared" si="6"/>
        <v>430.5625</v>
      </c>
      <c r="Q245" s="34">
        <v>8</v>
      </c>
    </row>
    <row r="246" spans="12:17" ht="13.5" customHeight="1" x14ac:dyDescent="0.35">
      <c r="L246" s="34">
        <v>244</v>
      </c>
      <c r="M246" s="34">
        <v>53</v>
      </c>
      <c r="N246" s="34">
        <f t="shared" si="7"/>
        <v>57.875</v>
      </c>
      <c r="O246" s="34">
        <f t="shared" si="6"/>
        <v>430.5625</v>
      </c>
      <c r="Q246" s="34">
        <v>6</v>
      </c>
    </row>
    <row r="247" spans="12:17" ht="13.5" customHeight="1" x14ac:dyDescent="0.35">
      <c r="L247" s="34">
        <v>245</v>
      </c>
      <c r="M247" s="34">
        <v>60</v>
      </c>
      <c r="N247" s="34">
        <f t="shared" si="7"/>
        <v>51.375</v>
      </c>
      <c r="O247" s="34">
        <f t="shared" si="6"/>
        <v>430.5625</v>
      </c>
      <c r="Q247" s="34">
        <v>8</v>
      </c>
    </row>
    <row r="248" spans="12:17" ht="13.5" customHeight="1" x14ac:dyDescent="0.35">
      <c r="L248" s="34">
        <v>246</v>
      </c>
      <c r="M248" s="34">
        <v>53</v>
      </c>
      <c r="N248" s="34">
        <f t="shared" si="7"/>
        <v>46.75</v>
      </c>
      <c r="O248" s="34">
        <f t="shared" si="6"/>
        <v>430.5625</v>
      </c>
      <c r="Q248" s="34">
        <v>6</v>
      </c>
    </row>
    <row r="249" spans="12:17" ht="13.5" customHeight="1" x14ac:dyDescent="0.35">
      <c r="L249" s="34">
        <v>247</v>
      </c>
      <c r="M249" s="34">
        <v>41</v>
      </c>
      <c r="N249" s="34">
        <f t="shared" si="7"/>
        <v>41.875</v>
      </c>
      <c r="O249" s="34">
        <f t="shared" si="6"/>
        <v>430.5625</v>
      </c>
      <c r="Q249" s="34">
        <v>9</v>
      </c>
    </row>
    <row r="250" spans="12:17" ht="13.5" customHeight="1" x14ac:dyDescent="0.35">
      <c r="L250" s="34">
        <v>248</v>
      </c>
      <c r="M250" s="34">
        <v>39</v>
      </c>
      <c r="N250" s="34">
        <f t="shared" si="7"/>
        <v>39</v>
      </c>
      <c r="O250" s="34">
        <f t="shared" si="6"/>
        <v>430.5625</v>
      </c>
      <c r="Q250" s="34">
        <v>6</v>
      </c>
    </row>
    <row r="251" spans="12:17" ht="13.5" customHeight="1" x14ac:dyDescent="0.35">
      <c r="L251" s="34">
        <v>249</v>
      </c>
      <c r="M251" s="34">
        <v>29</v>
      </c>
      <c r="N251" s="34">
        <f t="shared" si="7"/>
        <v>35.25</v>
      </c>
      <c r="O251" s="34">
        <f t="shared" si="6"/>
        <v>430.5625</v>
      </c>
      <c r="Q251" s="34">
        <v>9</v>
      </c>
    </row>
    <row r="252" spans="12:17" ht="13.5" customHeight="1" x14ac:dyDescent="0.35">
      <c r="L252" s="34">
        <v>250</v>
      </c>
      <c r="M252" s="34">
        <v>30</v>
      </c>
      <c r="N252" s="34">
        <f t="shared" si="7"/>
        <v>30.5</v>
      </c>
      <c r="O252" s="34">
        <f t="shared" si="6"/>
        <v>430.5625</v>
      </c>
      <c r="Q252" s="34">
        <v>5</v>
      </c>
    </row>
    <row r="253" spans="12:17" ht="13.5" customHeight="1" x14ac:dyDescent="0.35">
      <c r="L253" s="34">
        <v>251</v>
      </c>
      <c r="M253" s="34">
        <v>30</v>
      </c>
      <c r="N253" s="34">
        <f t="shared" si="7"/>
        <v>27.75</v>
      </c>
      <c r="O253" s="34">
        <f t="shared" si="6"/>
        <v>430.5625</v>
      </c>
      <c r="Q253" s="34">
        <v>8</v>
      </c>
    </row>
    <row r="254" spans="12:17" ht="13.5" customHeight="1" x14ac:dyDescent="0.35">
      <c r="L254" s="34">
        <v>252</v>
      </c>
      <c r="M254" s="34">
        <v>30</v>
      </c>
      <c r="N254" s="34">
        <f t="shared" si="7"/>
        <v>24.875</v>
      </c>
      <c r="O254" s="34">
        <f t="shared" si="6"/>
        <v>430.5625</v>
      </c>
      <c r="Q254" s="34">
        <v>3</v>
      </c>
    </row>
    <row r="255" spans="12:17" ht="13.5" customHeight="1" x14ac:dyDescent="0.35">
      <c r="L255" s="34">
        <v>253</v>
      </c>
      <c r="M255" s="34">
        <v>30</v>
      </c>
      <c r="N255" s="34">
        <f t="shared" si="7"/>
        <v>23.5</v>
      </c>
      <c r="O255" s="34">
        <f t="shared" si="6"/>
        <v>430.5625</v>
      </c>
      <c r="Q255" s="34">
        <v>4</v>
      </c>
    </row>
    <row r="256" spans="12:17" ht="13.5" customHeight="1" x14ac:dyDescent="0.35">
      <c r="L256" s="34">
        <v>254</v>
      </c>
      <c r="M256" s="34">
        <v>15</v>
      </c>
      <c r="N256" s="34">
        <f t="shared" si="7"/>
        <v>20.875</v>
      </c>
      <c r="O256" s="34">
        <f t="shared" si="6"/>
        <v>430.5625</v>
      </c>
      <c r="Q256" s="34">
        <v>8</v>
      </c>
    </row>
    <row r="257" spans="12:17" ht="13.5" customHeight="1" x14ac:dyDescent="0.35">
      <c r="L257" s="34">
        <v>255</v>
      </c>
      <c r="M257" s="34">
        <v>19</v>
      </c>
      <c r="N257" s="34">
        <f t="shared" si="7"/>
        <v>18.5</v>
      </c>
      <c r="O257" s="34">
        <f t="shared" si="6"/>
        <v>430.5625</v>
      </c>
      <c r="Q257" s="34">
        <v>4</v>
      </c>
    </row>
    <row r="258" spans="12:17" ht="13.5" customHeight="1" x14ac:dyDescent="0.35">
      <c r="L258" s="34">
        <v>256</v>
      </c>
      <c r="M258" s="34">
        <v>16</v>
      </c>
      <c r="N258" s="34">
        <f t="shared" si="7"/>
        <v>16</v>
      </c>
      <c r="O258" s="34">
        <f t="shared" ref="O258:O321" si="8">MAX($A$35)/2</f>
        <v>430.5625</v>
      </c>
      <c r="Q258" s="34">
        <v>5</v>
      </c>
    </row>
    <row r="259" spans="12:17" ht="13.5" customHeight="1" x14ac:dyDescent="0.35">
      <c r="L259" s="34">
        <v>257</v>
      </c>
      <c r="M259" s="34">
        <v>18</v>
      </c>
      <c r="N259" s="34">
        <f t="shared" si="7"/>
        <v>14.375</v>
      </c>
      <c r="O259" s="34">
        <f t="shared" si="8"/>
        <v>430.5625</v>
      </c>
      <c r="Q259" s="34">
        <v>4</v>
      </c>
    </row>
    <row r="260" spans="12:17" ht="13.5" customHeight="1" x14ac:dyDescent="0.35">
      <c r="L260" s="34">
        <v>258</v>
      </c>
      <c r="M260" s="34">
        <v>9</v>
      </c>
      <c r="N260" s="34">
        <f t="shared" si="7"/>
        <v>13.375</v>
      </c>
      <c r="O260" s="34">
        <f t="shared" si="8"/>
        <v>430.5625</v>
      </c>
      <c r="Q260" s="34">
        <v>6</v>
      </c>
    </row>
    <row r="261" spans="12:17" ht="13.5" customHeight="1" x14ac:dyDescent="0.35">
      <c r="L261" s="34">
        <v>259</v>
      </c>
      <c r="M261" s="34">
        <v>11</v>
      </c>
      <c r="N261" s="34">
        <f t="shared" ref="N261:N324" si="9">AVERAGE(M258:M265)</f>
        <v>12.875</v>
      </c>
      <c r="O261" s="34">
        <f t="shared" si="8"/>
        <v>430.5625</v>
      </c>
      <c r="Q261" s="34">
        <v>5</v>
      </c>
    </row>
    <row r="262" spans="12:17" ht="13.5" customHeight="1" x14ac:dyDescent="0.35">
      <c r="L262" s="34">
        <v>260</v>
      </c>
      <c r="M262" s="34">
        <v>10</v>
      </c>
      <c r="N262" s="34">
        <f t="shared" si="9"/>
        <v>12.5</v>
      </c>
      <c r="O262" s="34">
        <f t="shared" si="8"/>
        <v>430.5625</v>
      </c>
      <c r="Q262" s="34">
        <v>10</v>
      </c>
    </row>
    <row r="263" spans="12:17" ht="13.5" customHeight="1" x14ac:dyDescent="0.35">
      <c r="L263" s="34">
        <v>261</v>
      </c>
      <c r="M263" s="34">
        <v>17</v>
      </c>
      <c r="N263" s="34">
        <f t="shared" si="9"/>
        <v>11</v>
      </c>
      <c r="O263" s="34">
        <f t="shared" si="8"/>
        <v>430.5625</v>
      </c>
      <c r="Q263" s="34">
        <v>15</v>
      </c>
    </row>
    <row r="264" spans="12:17" ht="13.5" customHeight="1" x14ac:dyDescent="0.35">
      <c r="L264" s="34">
        <v>262</v>
      </c>
      <c r="M264" s="34">
        <v>7</v>
      </c>
      <c r="N264" s="34">
        <f t="shared" si="9"/>
        <v>11</v>
      </c>
      <c r="O264" s="34">
        <f t="shared" si="8"/>
        <v>430.5625</v>
      </c>
      <c r="Q264" s="34">
        <v>6</v>
      </c>
    </row>
    <row r="265" spans="12:17" ht="13.5" customHeight="1" x14ac:dyDescent="0.35">
      <c r="L265" s="34">
        <v>263</v>
      </c>
      <c r="M265" s="34">
        <v>15</v>
      </c>
      <c r="N265" s="34">
        <f t="shared" si="9"/>
        <v>11.625</v>
      </c>
      <c r="O265" s="34">
        <f t="shared" si="8"/>
        <v>430.5625</v>
      </c>
      <c r="Q265" s="34">
        <v>4</v>
      </c>
    </row>
    <row r="266" spans="12:17" ht="13.5" customHeight="1" x14ac:dyDescent="0.35">
      <c r="L266" s="34">
        <v>264</v>
      </c>
      <c r="M266" s="34">
        <v>13</v>
      </c>
      <c r="N266" s="34">
        <f t="shared" si="9"/>
        <v>11.5</v>
      </c>
      <c r="O266" s="34">
        <f t="shared" si="8"/>
        <v>430.5625</v>
      </c>
      <c r="Q266" s="34">
        <v>5</v>
      </c>
    </row>
    <row r="267" spans="12:17" ht="13.5" customHeight="1" x14ac:dyDescent="0.35">
      <c r="L267" s="34">
        <v>265</v>
      </c>
      <c r="M267" s="34">
        <v>6</v>
      </c>
      <c r="N267" s="34">
        <f t="shared" si="9"/>
        <v>10</v>
      </c>
      <c r="O267" s="34">
        <f t="shared" si="8"/>
        <v>430.5625</v>
      </c>
      <c r="Q267" s="34">
        <v>6</v>
      </c>
    </row>
    <row r="268" spans="12:17" ht="13.5" customHeight="1" x14ac:dyDescent="0.35">
      <c r="L268" s="34">
        <v>266</v>
      </c>
      <c r="M268" s="34">
        <v>9</v>
      </c>
      <c r="N268" s="34">
        <f t="shared" si="9"/>
        <v>10.125</v>
      </c>
      <c r="O268" s="34">
        <f t="shared" si="8"/>
        <v>430.5625</v>
      </c>
      <c r="Q268" s="34">
        <v>8</v>
      </c>
    </row>
    <row r="269" spans="12:17" ht="13.5" customHeight="1" x14ac:dyDescent="0.35">
      <c r="L269" s="34">
        <v>267</v>
      </c>
      <c r="M269" s="34">
        <v>16</v>
      </c>
      <c r="N269" s="34">
        <f t="shared" si="9"/>
        <v>8.75</v>
      </c>
      <c r="O269" s="34">
        <f t="shared" si="8"/>
        <v>430.5625</v>
      </c>
      <c r="Q269" s="34">
        <v>9</v>
      </c>
    </row>
    <row r="270" spans="12:17" ht="13.5" customHeight="1" x14ac:dyDescent="0.35">
      <c r="L270" s="34">
        <v>268</v>
      </c>
      <c r="M270" s="34">
        <v>9</v>
      </c>
      <c r="N270" s="34">
        <f t="shared" si="9"/>
        <v>8.625</v>
      </c>
      <c r="O270" s="34">
        <f t="shared" si="8"/>
        <v>430.5625</v>
      </c>
      <c r="Q270" s="34">
        <v>8</v>
      </c>
    </row>
    <row r="271" spans="12:17" ht="13.5" customHeight="1" x14ac:dyDescent="0.35">
      <c r="L271" s="34">
        <v>269</v>
      </c>
      <c r="M271" s="34">
        <v>5</v>
      </c>
      <c r="N271" s="34">
        <f t="shared" si="9"/>
        <v>8.375</v>
      </c>
      <c r="O271" s="34">
        <f t="shared" si="8"/>
        <v>430.5625</v>
      </c>
      <c r="Q271" s="34">
        <v>4</v>
      </c>
    </row>
    <row r="272" spans="12:17" ht="13.5" customHeight="1" x14ac:dyDescent="0.35">
      <c r="L272" s="34">
        <v>270</v>
      </c>
      <c r="M272" s="34">
        <v>8</v>
      </c>
      <c r="N272" s="34">
        <f t="shared" si="9"/>
        <v>8</v>
      </c>
      <c r="O272" s="34">
        <f t="shared" si="8"/>
        <v>430.5625</v>
      </c>
      <c r="Q272" s="34">
        <v>9</v>
      </c>
    </row>
    <row r="273" spans="12:17" ht="13.5" customHeight="1" x14ac:dyDescent="0.35">
      <c r="L273" s="34">
        <v>271</v>
      </c>
      <c r="M273" s="34">
        <v>4</v>
      </c>
      <c r="N273" s="34">
        <f t="shared" si="9"/>
        <v>6.25</v>
      </c>
      <c r="O273" s="34">
        <f t="shared" si="8"/>
        <v>430.5625</v>
      </c>
      <c r="Q273" s="34">
        <v>5</v>
      </c>
    </row>
    <row r="274" spans="12:17" ht="13.5" customHeight="1" x14ac:dyDescent="0.35">
      <c r="L274" s="34">
        <v>272</v>
      </c>
      <c r="M274" s="34">
        <v>12</v>
      </c>
      <c r="N274" s="34">
        <f t="shared" si="9"/>
        <v>5.75</v>
      </c>
      <c r="O274" s="34">
        <f t="shared" si="8"/>
        <v>430.5625</v>
      </c>
      <c r="Q274" s="34">
        <v>10</v>
      </c>
    </row>
    <row r="275" spans="12:17" ht="13.5" customHeight="1" x14ac:dyDescent="0.35">
      <c r="L275" s="34">
        <v>273</v>
      </c>
      <c r="M275" s="34">
        <v>4</v>
      </c>
      <c r="N275" s="34">
        <f t="shared" si="9"/>
        <v>6</v>
      </c>
      <c r="O275" s="34">
        <f t="shared" si="8"/>
        <v>430.5625</v>
      </c>
      <c r="Q275" s="34">
        <v>10</v>
      </c>
    </row>
    <row r="276" spans="12:17" ht="13.5" customHeight="1" x14ac:dyDescent="0.35">
      <c r="L276" s="34">
        <v>274</v>
      </c>
      <c r="M276" s="34">
        <v>6</v>
      </c>
      <c r="N276" s="34">
        <f t="shared" si="9"/>
        <v>5.625</v>
      </c>
      <c r="O276" s="34">
        <f t="shared" si="8"/>
        <v>430.5625</v>
      </c>
      <c r="Q276" s="34">
        <v>5</v>
      </c>
    </row>
    <row r="277" spans="12:17" ht="13.5" customHeight="1" x14ac:dyDescent="0.35">
      <c r="L277" s="34">
        <v>275</v>
      </c>
      <c r="M277" s="34">
        <v>2</v>
      </c>
      <c r="N277" s="34">
        <f t="shared" si="9"/>
        <v>6</v>
      </c>
      <c r="O277" s="34">
        <f t="shared" si="8"/>
        <v>430.5625</v>
      </c>
      <c r="Q277" s="34">
        <v>8</v>
      </c>
    </row>
    <row r="278" spans="12:17" ht="13.5" customHeight="1" x14ac:dyDescent="0.35">
      <c r="L278" s="34">
        <v>276</v>
      </c>
      <c r="M278" s="34">
        <v>5</v>
      </c>
      <c r="N278" s="34">
        <f t="shared" si="9"/>
        <v>5</v>
      </c>
      <c r="O278" s="34">
        <f t="shared" si="8"/>
        <v>430.5625</v>
      </c>
      <c r="Q278" s="34">
        <v>3</v>
      </c>
    </row>
    <row r="279" spans="12:17" ht="13.5" customHeight="1" x14ac:dyDescent="0.35">
      <c r="L279" s="34">
        <v>277</v>
      </c>
      <c r="M279" s="34">
        <v>7</v>
      </c>
      <c r="N279" s="34">
        <f t="shared" si="9"/>
        <v>5</v>
      </c>
      <c r="O279" s="34">
        <f t="shared" si="8"/>
        <v>430.5625</v>
      </c>
      <c r="Q279" s="34">
        <v>9</v>
      </c>
    </row>
    <row r="280" spans="12:17" ht="13.5" customHeight="1" x14ac:dyDescent="0.35">
      <c r="L280" s="34">
        <v>278</v>
      </c>
      <c r="M280" s="34">
        <v>5</v>
      </c>
      <c r="N280" s="34">
        <f t="shared" si="9"/>
        <v>5</v>
      </c>
      <c r="O280" s="34">
        <f t="shared" si="8"/>
        <v>430.5625</v>
      </c>
      <c r="Q280" s="34">
        <v>5</v>
      </c>
    </row>
    <row r="281" spans="12:17" ht="13.5" customHeight="1" x14ac:dyDescent="0.35">
      <c r="L281" s="34">
        <v>279</v>
      </c>
      <c r="M281" s="34">
        <v>7</v>
      </c>
      <c r="N281" s="34">
        <f t="shared" si="9"/>
        <v>5.875</v>
      </c>
      <c r="O281" s="34">
        <f t="shared" si="8"/>
        <v>430.5625</v>
      </c>
      <c r="Q281" s="34">
        <v>9</v>
      </c>
    </row>
    <row r="282" spans="12:17" ht="13.5" customHeight="1" x14ac:dyDescent="0.35">
      <c r="L282" s="34">
        <v>280</v>
      </c>
      <c r="M282" s="34">
        <v>4</v>
      </c>
      <c r="N282" s="34">
        <f t="shared" si="9"/>
        <v>5.875</v>
      </c>
      <c r="O282" s="34">
        <f t="shared" si="8"/>
        <v>430.5625</v>
      </c>
      <c r="Q282" s="34">
        <v>3</v>
      </c>
    </row>
    <row r="283" spans="12:17" ht="13.5" customHeight="1" x14ac:dyDescent="0.35">
      <c r="L283" s="34">
        <v>281</v>
      </c>
      <c r="M283" s="34">
        <v>4</v>
      </c>
      <c r="N283" s="34">
        <f t="shared" si="9"/>
        <v>5.625</v>
      </c>
      <c r="O283" s="34">
        <f t="shared" si="8"/>
        <v>430.5625</v>
      </c>
      <c r="Q283" s="34">
        <v>7</v>
      </c>
    </row>
    <row r="284" spans="12:17" ht="13.5" customHeight="1" x14ac:dyDescent="0.35">
      <c r="L284" s="34">
        <v>282</v>
      </c>
      <c r="M284" s="34">
        <v>6</v>
      </c>
      <c r="N284" s="34">
        <f t="shared" si="9"/>
        <v>5.75</v>
      </c>
      <c r="O284" s="34">
        <f t="shared" si="8"/>
        <v>430.5625</v>
      </c>
      <c r="Q284" s="34">
        <v>5</v>
      </c>
    </row>
    <row r="285" spans="12:17" ht="13.5" customHeight="1" x14ac:dyDescent="0.35">
      <c r="L285" s="34">
        <v>283</v>
      </c>
      <c r="M285" s="34">
        <v>9</v>
      </c>
      <c r="N285" s="34">
        <f t="shared" si="9"/>
        <v>5.375</v>
      </c>
      <c r="O285" s="34">
        <f t="shared" si="8"/>
        <v>430.5625</v>
      </c>
      <c r="Q285" s="34">
        <v>5</v>
      </c>
    </row>
    <row r="286" spans="12:17" ht="13.5" customHeight="1" x14ac:dyDescent="0.35">
      <c r="L286" s="34">
        <v>284</v>
      </c>
      <c r="M286" s="34">
        <v>5</v>
      </c>
      <c r="N286" s="34">
        <f t="shared" si="9"/>
        <v>5.125</v>
      </c>
      <c r="O286" s="34">
        <f t="shared" si="8"/>
        <v>430.5625</v>
      </c>
      <c r="Q286" s="34">
        <v>10</v>
      </c>
    </row>
    <row r="287" spans="12:17" ht="13.5" customHeight="1" x14ac:dyDescent="0.35">
      <c r="L287" s="34">
        <v>285</v>
      </c>
      <c r="M287" s="34">
        <v>5</v>
      </c>
      <c r="N287" s="34">
        <f t="shared" si="9"/>
        <v>5.125</v>
      </c>
      <c r="O287" s="34">
        <f t="shared" si="8"/>
        <v>430.5625</v>
      </c>
      <c r="Q287" s="34">
        <v>6</v>
      </c>
    </row>
    <row r="288" spans="12:17" ht="13.5" customHeight="1" x14ac:dyDescent="0.35">
      <c r="L288" s="34">
        <v>286</v>
      </c>
      <c r="M288" s="34">
        <v>6</v>
      </c>
      <c r="N288" s="34">
        <f t="shared" si="9"/>
        <v>4.625</v>
      </c>
      <c r="O288" s="34">
        <f t="shared" si="8"/>
        <v>430.5625</v>
      </c>
      <c r="Q288" s="34">
        <v>7</v>
      </c>
    </row>
    <row r="289" spans="12:17" ht="13.5" customHeight="1" x14ac:dyDescent="0.35">
      <c r="L289" s="34">
        <v>287</v>
      </c>
      <c r="M289" s="34">
        <v>4</v>
      </c>
      <c r="N289" s="34">
        <f t="shared" si="9"/>
        <v>3.875</v>
      </c>
      <c r="O289" s="34">
        <f t="shared" si="8"/>
        <v>430.5625</v>
      </c>
      <c r="Q289" s="34">
        <v>10</v>
      </c>
    </row>
    <row r="290" spans="12:17" ht="13.5" customHeight="1" x14ac:dyDescent="0.35">
      <c r="L290" s="34">
        <v>288</v>
      </c>
      <c r="M290" s="34">
        <v>2</v>
      </c>
      <c r="N290" s="34">
        <f t="shared" si="9"/>
        <v>4.5</v>
      </c>
      <c r="O290" s="34">
        <f t="shared" si="8"/>
        <v>430.5625</v>
      </c>
      <c r="Q290" s="34">
        <v>5</v>
      </c>
    </row>
    <row r="291" spans="12:17" ht="13.5" customHeight="1" x14ac:dyDescent="0.35">
      <c r="L291" s="34">
        <v>289</v>
      </c>
      <c r="M291" s="34">
        <v>4</v>
      </c>
      <c r="N291" s="34">
        <f t="shared" si="9"/>
        <v>4.5</v>
      </c>
      <c r="O291" s="34">
        <f t="shared" si="8"/>
        <v>430.5625</v>
      </c>
      <c r="Q291" s="34">
        <v>6</v>
      </c>
    </row>
    <row r="292" spans="12:17" ht="13.5" customHeight="1" x14ac:dyDescent="0.35">
      <c r="L292" s="34">
        <v>290</v>
      </c>
      <c r="M292" s="34">
        <v>2</v>
      </c>
      <c r="N292" s="34">
        <f t="shared" si="9"/>
        <v>4.375</v>
      </c>
      <c r="O292" s="34">
        <f t="shared" si="8"/>
        <v>430.5625</v>
      </c>
      <c r="Q292" s="34">
        <v>6</v>
      </c>
    </row>
    <row r="293" spans="12:17" ht="13.5" customHeight="1" x14ac:dyDescent="0.35">
      <c r="L293" s="34">
        <v>291</v>
      </c>
      <c r="M293" s="34">
        <v>3</v>
      </c>
      <c r="N293" s="34">
        <f t="shared" si="9"/>
        <v>4.25</v>
      </c>
      <c r="O293" s="34">
        <f t="shared" si="8"/>
        <v>430.5625</v>
      </c>
      <c r="Q293" s="34">
        <v>6</v>
      </c>
    </row>
    <row r="294" spans="12:17" ht="13.5" customHeight="1" x14ac:dyDescent="0.35">
      <c r="L294" s="34">
        <v>292</v>
      </c>
      <c r="M294" s="34">
        <v>10</v>
      </c>
      <c r="N294" s="34">
        <f t="shared" si="9"/>
        <v>4.5</v>
      </c>
      <c r="O294" s="34">
        <f t="shared" si="8"/>
        <v>430.5625</v>
      </c>
      <c r="Q294" s="34">
        <v>7</v>
      </c>
    </row>
    <row r="295" spans="12:17" ht="13.5" customHeight="1" x14ac:dyDescent="0.35">
      <c r="L295" s="34">
        <v>293</v>
      </c>
      <c r="M295" s="34">
        <v>5</v>
      </c>
      <c r="N295" s="34">
        <f t="shared" si="9"/>
        <v>4.5</v>
      </c>
      <c r="O295" s="34">
        <f t="shared" si="8"/>
        <v>430.5625</v>
      </c>
      <c r="Q295" s="34">
        <v>6</v>
      </c>
    </row>
    <row r="296" spans="12:17" ht="13.5" customHeight="1" x14ac:dyDescent="0.35">
      <c r="L296" s="34">
        <v>294</v>
      </c>
      <c r="M296" s="34">
        <v>5</v>
      </c>
      <c r="N296" s="34">
        <f t="shared" si="9"/>
        <v>4.875</v>
      </c>
      <c r="O296" s="34">
        <f t="shared" si="8"/>
        <v>430.5625</v>
      </c>
      <c r="Q296" s="34">
        <v>9</v>
      </c>
    </row>
    <row r="297" spans="12:17" ht="13.5" customHeight="1" x14ac:dyDescent="0.35">
      <c r="L297" s="34">
        <v>295</v>
      </c>
      <c r="M297" s="34">
        <v>3</v>
      </c>
      <c r="N297" s="34">
        <f t="shared" si="9"/>
        <v>4.75</v>
      </c>
      <c r="O297" s="34">
        <f t="shared" si="8"/>
        <v>430.5625</v>
      </c>
      <c r="Q297" s="34">
        <v>8</v>
      </c>
    </row>
    <row r="298" spans="12:17" ht="13.5" customHeight="1" x14ac:dyDescent="0.35">
      <c r="L298" s="34">
        <v>296</v>
      </c>
      <c r="M298" s="34">
        <v>4</v>
      </c>
      <c r="N298" s="34">
        <f t="shared" si="9"/>
        <v>4.25</v>
      </c>
      <c r="O298" s="34">
        <f t="shared" si="8"/>
        <v>430.5625</v>
      </c>
      <c r="Q298" s="34">
        <v>10</v>
      </c>
    </row>
    <row r="299" spans="12:17" ht="13.5" customHeight="1" x14ac:dyDescent="0.35">
      <c r="L299" s="34">
        <v>297</v>
      </c>
      <c r="M299" s="34">
        <v>4</v>
      </c>
      <c r="N299" s="34">
        <f t="shared" si="9"/>
        <v>4.125</v>
      </c>
      <c r="O299" s="34">
        <f t="shared" si="8"/>
        <v>430.5625</v>
      </c>
      <c r="Q299" s="34">
        <v>8</v>
      </c>
    </row>
    <row r="300" spans="12:17" ht="13.5" customHeight="1" x14ac:dyDescent="0.35">
      <c r="L300" s="34">
        <v>298</v>
      </c>
      <c r="M300" s="34">
        <v>5</v>
      </c>
      <c r="N300" s="34">
        <f t="shared" si="9"/>
        <v>3.875</v>
      </c>
      <c r="O300" s="34">
        <f t="shared" si="8"/>
        <v>430.5625</v>
      </c>
      <c r="Q300" s="34">
        <v>8</v>
      </c>
    </row>
    <row r="301" spans="12:17" ht="13.5" customHeight="1" x14ac:dyDescent="0.35">
      <c r="L301" s="34">
        <v>299</v>
      </c>
      <c r="M301" s="34">
        <v>2</v>
      </c>
      <c r="N301" s="34">
        <f t="shared" si="9"/>
        <v>4.375</v>
      </c>
      <c r="O301" s="34">
        <f t="shared" si="8"/>
        <v>430.5625</v>
      </c>
      <c r="Q301" s="34">
        <v>8</v>
      </c>
    </row>
    <row r="302" spans="12:17" ht="13.5" customHeight="1" x14ac:dyDescent="0.35">
      <c r="L302" s="34">
        <v>300</v>
      </c>
      <c r="M302" s="34">
        <v>6</v>
      </c>
      <c r="N302" s="34">
        <f t="shared" si="9"/>
        <v>4</v>
      </c>
      <c r="O302" s="34">
        <f t="shared" si="8"/>
        <v>430.5625</v>
      </c>
      <c r="Q302" s="34">
        <v>12</v>
      </c>
    </row>
    <row r="303" spans="12:17" ht="13.5" customHeight="1" x14ac:dyDescent="0.35">
      <c r="L303" s="34">
        <v>301</v>
      </c>
      <c r="M303" s="34">
        <v>4</v>
      </c>
      <c r="N303" s="34">
        <f t="shared" si="9"/>
        <v>4.25</v>
      </c>
      <c r="O303" s="34">
        <f t="shared" si="8"/>
        <v>430.5625</v>
      </c>
      <c r="Q303" s="34">
        <v>8</v>
      </c>
    </row>
    <row r="304" spans="12:17" ht="13.5" customHeight="1" x14ac:dyDescent="0.35">
      <c r="L304" s="34">
        <v>302</v>
      </c>
      <c r="M304" s="34">
        <v>3</v>
      </c>
      <c r="N304" s="34">
        <f t="shared" si="9"/>
        <v>4.25</v>
      </c>
      <c r="O304" s="34">
        <f t="shared" si="8"/>
        <v>430.5625</v>
      </c>
      <c r="Q304" s="34">
        <v>11</v>
      </c>
    </row>
    <row r="305" spans="12:17" ht="13.5" customHeight="1" x14ac:dyDescent="0.35">
      <c r="L305" s="34">
        <v>303</v>
      </c>
      <c r="M305" s="34">
        <v>7</v>
      </c>
      <c r="N305" s="34">
        <f t="shared" si="9"/>
        <v>4.125</v>
      </c>
      <c r="O305" s="34">
        <f t="shared" si="8"/>
        <v>430.5625</v>
      </c>
      <c r="Q305" s="34">
        <v>10</v>
      </c>
    </row>
    <row r="306" spans="12:17" ht="13.5" customHeight="1" x14ac:dyDescent="0.35">
      <c r="L306" s="34">
        <v>304</v>
      </c>
      <c r="M306" s="34">
        <v>1</v>
      </c>
      <c r="N306" s="34">
        <f t="shared" si="9"/>
        <v>4.125</v>
      </c>
      <c r="O306" s="34">
        <f t="shared" si="8"/>
        <v>430.5625</v>
      </c>
      <c r="Q306" s="34">
        <v>15</v>
      </c>
    </row>
    <row r="307" spans="12:17" ht="13.5" customHeight="1" x14ac:dyDescent="0.35">
      <c r="L307" s="34">
        <v>305</v>
      </c>
      <c r="M307" s="34">
        <v>6</v>
      </c>
      <c r="N307" s="34">
        <f t="shared" si="9"/>
        <v>4.375</v>
      </c>
      <c r="O307" s="34">
        <f t="shared" si="8"/>
        <v>430.5625</v>
      </c>
      <c r="Q307" s="34">
        <v>10</v>
      </c>
    </row>
    <row r="308" spans="12:17" ht="13.5" customHeight="1" x14ac:dyDescent="0.35">
      <c r="L308" s="34">
        <v>306</v>
      </c>
      <c r="M308" s="34">
        <v>5</v>
      </c>
      <c r="N308" s="34">
        <f t="shared" si="9"/>
        <v>4.5</v>
      </c>
      <c r="O308" s="34">
        <f t="shared" si="8"/>
        <v>430.5625</v>
      </c>
      <c r="Q308" s="34">
        <v>16</v>
      </c>
    </row>
    <row r="309" spans="12:17" ht="13.5" customHeight="1" x14ac:dyDescent="0.35">
      <c r="L309" s="34">
        <v>307</v>
      </c>
      <c r="M309" s="34">
        <v>1</v>
      </c>
      <c r="N309" s="34">
        <f t="shared" si="9"/>
        <v>4.25</v>
      </c>
      <c r="O309" s="34">
        <f t="shared" si="8"/>
        <v>430.5625</v>
      </c>
      <c r="Q309" s="34">
        <v>11</v>
      </c>
    </row>
    <row r="310" spans="12:17" ht="13.5" customHeight="1" x14ac:dyDescent="0.35">
      <c r="L310" s="34">
        <v>308</v>
      </c>
      <c r="M310" s="34">
        <v>6</v>
      </c>
      <c r="N310" s="34">
        <f t="shared" si="9"/>
        <v>4.375</v>
      </c>
      <c r="O310" s="34">
        <f t="shared" si="8"/>
        <v>430.5625</v>
      </c>
      <c r="Q310" s="34">
        <v>12</v>
      </c>
    </row>
    <row r="311" spans="12:17" ht="13.5" customHeight="1" x14ac:dyDescent="0.35">
      <c r="L311" s="34">
        <v>309</v>
      </c>
      <c r="M311" s="34">
        <v>6</v>
      </c>
      <c r="N311" s="34">
        <f t="shared" si="9"/>
        <v>4</v>
      </c>
      <c r="O311" s="34">
        <f t="shared" si="8"/>
        <v>430.5625</v>
      </c>
      <c r="Q311" s="34">
        <v>13</v>
      </c>
    </row>
    <row r="312" spans="12:17" ht="13.5" customHeight="1" x14ac:dyDescent="0.35">
      <c r="L312" s="34">
        <v>310</v>
      </c>
      <c r="M312" s="34">
        <v>4</v>
      </c>
      <c r="N312" s="34">
        <f t="shared" si="9"/>
        <v>3.875</v>
      </c>
      <c r="O312" s="34">
        <f t="shared" si="8"/>
        <v>430.5625</v>
      </c>
      <c r="Q312" s="34">
        <v>16</v>
      </c>
    </row>
    <row r="313" spans="12:17" ht="13.5" customHeight="1" x14ac:dyDescent="0.35">
      <c r="L313" s="34">
        <v>311</v>
      </c>
      <c r="M313" s="34">
        <v>5</v>
      </c>
      <c r="N313" s="34">
        <f t="shared" si="9"/>
        <v>4.125</v>
      </c>
      <c r="O313" s="34">
        <f t="shared" si="8"/>
        <v>430.5625</v>
      </c>
      <c r="Q313" s="34">
        <v>11</v>
      </c>
    </row>
    <row r="314" spans="12:17" ht="13.5" customHeight="1" x14ac:dyDescent="0.35">
      <c r="L314" s="34">
        <v>312</v>
      </c>
      <c r="M314" s="34">
        <v>2</v>
      </c>
      <c r="N314" s="34">
        <f t="shared" si="9"/>
        <v>3.75</v>
      </c>
      <c r="O314" s="34">
        <f t="shared" si="8"/>
        <v>430.5625</v>
      </c>
      <c r="Q314" s="34">
        <v>18</v>
      </c>
    </row>
    <row r="315" spans="12:17" ht="13.5" customHeight="1" x14ac:dyDescent="0.35">
      <c r="L315" s="34">
        <v>313</v>
      </c>
      <c r="M315" s="34">
        <v>3</v>
      </c>
      <c r="N315" s="34">
        <f t="shared" si="9"/>
        <v>3.375</v>
      </c>
      <c r="O315" s="34">
        <f t="shared" si="8"/>
        <v>430.5625</v>
      </c>
      <c r="Q315" s="34">
        <v>11</v>
      </c>
    </row>
    <row r="316" spans="12:17" ht="13.5" customHeight="1" x14ac:dyDescent="0.35">
      <c r="L316" s="34">
        <v>314</v>
      </c>
      <c r="M316" s="34">
        <v>4</v>
      </c>
      <c r="N316" s="34">
        <f t="shared" si="9"/>
        <v>3.125</v>
      </c>
      <c r="O316" s="34">
        <f t="shared" si="8"/>
        <v>430.5625</v>
      </c>
      <c r="Q316" s="34">
        <v>10</v>
      </c>
    </row>
    <row r="317" spans="12:17" ht="13.5" customHeight="1" x14ac:dyDescent="0.35">
      <c r="L317" s="34">
        <v>315</v>
      </c>
      <c r="M317" s="34">
        <v>3</v>
      </c>
      <c r="N317" s="34">
        <f t="shared" si="9"/>
        <v>3.25</v>
      </c>
      <c r="O317" s="34">
        <f t="shared" si="8"/>
        <v>430.5625</v>
      </c>
      <c r="Q317" s="34">
        <v>16</v>
      </c>
    </row>
    <row r="318" spans="12:17" ht="13.5" customHeight="1" x14ac:dyDescent="0.35">
      <c r="L318" s="34">
        <v>316</v>
      </c>
      <c r="M318" s="34">
        <v>3</v>
      </c>
      <c r="N318" s="34">
        <f t="shared" si="9"/>
        <v>3.125</v>
      </c>
      <c r="O318" s="34">
        <f t="shared" si="8"/>
        <v>430.5625</v>
      </c>
      <c r="Q318" s="34">
        <v>13</v>
      </c>
    </row>
    <row r="319" spans="12:17" ht="13.5" customHeight="1" x14ac:dyDescent="0.35">
      <c r="L319" s="34">
        <v>317</v>
      </c>
      <c r="M319" s="34">
        <v>3</v>
      </c>
      <c r="N319" s="34">
        <f t="shared" si="9"/>
        <v>3.375</v>
      </c>
      <c r="O319" s="34">
        <f t="shared" si="8"/>
        <v>430.5625</v>
      </c>
      <c r="Q319" s="34">
        <v>11</v>
      </c>
    </row>
    <row r="320" spans="12:17" ht="13.5" customHeight="1" x14ac:dyDescent="0.35">
      <c r="L320" s="34">
        <v>318</v>
      </c>
      <c r="M320" s="34">
        <v>2</v>
      </c>
      <c r="N320" s="34">
        <f t="shared" si="9"/>
        <v>3.125</v>
      </c>
      <c r="O320" s="34">
        <f t="shared" si="8"/>
        <v>430.5625</v>
      </c>
      <c r="Q320" s="34">
        <v>16</v>
      </c>
    </row>
    <row r="321" spans="12:17" ht="13.5" customHeight="1" x14ac:dyDescent="0.35">
      <c r="L321" s="34">
        <v>319</v>
      </c>
      <c r="M321" s="34">
        <v>6</v>
      </c>
      <c r="N321" s="34">
        <f t="shared" si="9"/>
        <v>3.25</v>
      </c>
      <c r="O321" s="34">
        <f t="shared" si="8"/>
        <v>430.5625</v>
      </c>
      <c r="Q321" s="34">
        <v>15</v>
      </c>
    </row>
    <row r="322" spans="12:17" ht="13.5" customHeight="1" x14ac:dyDescent="0.35">
      <c r="L322" s="34">
        <v>320</v>
      </c>
      <c r="M322" s="34">
        <v>1</v>
      </c>
      <c r="N322" s="34">
        <f t="shared" si="9"/>
        <v>3.625</v>
      </c>
      <c r="O322" s="34">
        <f t="shared" ref="O322:O385" si="10">MAX($A$35)/2</f>
        <v>430.5625</v>
      </c>
      <c r="Q322" s="34">
        <v>17</v>
      </c>
    </row>
    <row r="323" spans="12:17" ht="13.5" customHeight="1" x14ac:dyDescent="0.35">
      <c r="L323" s="34">
        <v>321</v>
      </c>
      <c r="M323" s="34">
        <v>5</v>
      </c>
      <c r="N323" s="34">
        <f t="shared" si="9"/>
        <v>3.75</v>
      </c>
      <c r="O323" s="34">
        <f t="shared" si="10"/>
        <v>430.5625</v>
      </c>
      <c r="Q323" s="34">
        <v>17</v>
      </c>
    </row>
    <row r="324" spans="12:17" ht="13.5" customHeight="1" x14ac:dyDescent="0.35">
      <c r="L324" s="34">
        <v>322</v>
      </c>
      <c r="M324" s="34">
        <v>2</v>
      </c>
      <c r="N324" s="34">
        <f t="shared" si="9"/>
        <v>4</v>
      </c>
      <c r="O324" s="34">
        <f t="shared" si="10"/>
        <v>430.5625</v>
      </c>
      <c r="Q324" s="34">
        <v>16</v>
      </c>
    </row>
    <row r="325" spans="12:17" ht="13.5" customHeight="1" x14ac:dyDescent="0.35">
      <c r="L325" s="34">
        <v>323</v>
      </c>
      <c r="M325" s="34">
        <v>4</v>
      </c>
      <c r="N325" s="34">
        <f t="shared" ref="N325:N388" si="11">AVERAGE(M322:M329)</f>
        <v>3.625</v>
      </c>
      <c r="O325" s="34">
        <f t="shared" si="10"/>
        <v>430.5625</v>
      </c>
      <c r="Q325" s="34">
        <v>22</v>
      </c>
    </row>
    <row r="326" spans="12:17" ht="13.5" customHeight="1" x14ac:dyDescent="0.35">
      <c r="L326" s="34">
        <v>324</v>
      </c>
      <c r="M326" s="34">
        <v>6</v>
      </c>
      <c r="N326" s="34">
        <f t="shared" si="11"/>
        <v>3.75</v>
      </c>
      <c r="O326" s="34">
        <f t="shared" si="10"/>
        <v>430.5625</v>
      </c>
      <c r="Q326" s="34">
        <v>17</v>
      </c>
    </row>
    <row r="327" spans="12:17" ht="13.5" customHeight="1" x14ac:dyDescent="0.35">
      <c r="L327" s="34">
        <v>325</v>
      </c>
      <c r="M327" s="34">
        <v>4</v>
      </c>
      <c r="N327" s="34">
        <f t="shared" si="11"/>
        <v>3.375</v>
      </c>
      <c r="O327" s="34">
        <f t="shared" si="10"/>
        <v>430.5625</v>
      </c>
      <c r="Q327" s="34">
        <v>25</v>
      </c>
    </row>
    <row r="328" spans="12:17" ht="13.5" customHeight="1" x14ac:dyDescent="0.35">
      <c r="L328" s="34">
        <v>326</v>
      </c>
      <c r="M328" s="34">
        <v>4</v>
      </c>
      <c r="N328" s="34">
        <f t="shared" si="11"/>
        <v>3.625</v>
      </c>
      <c r="O328" s="34">
        <f t="shared" si="10"/>
        <v>430.5625</v>
      </c>
      <c r="Q328" s="34">
        <v>16</v>
      </c>
    </row>
    <row r="329" spans="12:17" ht="13.5" customHeight="1" x14ac:dyDescent="0.35">
      <c r="L329" s="34">
        <v>327</v>
      </c>
      <c r="M329" s="34">
        <v>3</v>
      </c>
      <c r="N329" s="34">
        <f t="shared" si="11"/>
        <v>3.5</v>
      </c>
      <c r="O329" s="34">
        <f t="shared" si="10"/>
        <v>430.5625</v>
      </c>
      <c r="Q329" s="34">
        <v>20</v>
      </c>
    </row>
    <row r="330" spans="12:17" ht="13.5" customHeight="1" x14ac:dyDescent="0.35">
      <c r="L330" s="34">
        <v>328</v>
      </c>
      <c r="M330" s="34">
        <v>2</v>
      </c>
      <c r="N330" s="34">
        <f t="shared" si="11"/>
        <v>3.5</v>
      </c>
      <c r="O330" s="34">
        <f t="shared" si="10"/>
        <v>430.5625</v>
      </c>
      <c r="Q330" s="34">
        <v>20</v>
      </c>
    </row>
    <row r="331" spans="12:17" ht="13.5" customHeight="1" x14ac:dyDescent="0.35">
      <c r="L331" s="34">
        <v>329</v>
      </c>
      <c r="M331" s="34">
        <v>2</v>
      </c>
      <c r="N331" s="34">
        <f t="shared" si="11"/>
        <v>3.5</v>
      </c>
      <c r="O331" s="34">
        <f t="shared" si="10"/>
        <v>430.5625</v>
      </c>
      <c r="Q331" s="34">
        <v>31</v>
      </c>
    </row>
    <row r="332" spans="12:17" ht="13.5" customHeight="1" x14ac:dyDescent="0.35">
      <c r="L332" s="34">
        <v>330</v>
      </c>
      <c r="M332" s="34">
        <v>4</v>
      </c>
      <c r="N332" s="34">
        <f t="shared" si="11"/>
        <v>3.875</v>
      </c>
      <c r="O332" s="34">
        <f t="shared" si="10"/>
        <v>430.5625</v>
      </c>
      <c r="Q332" s="34">
        <v>27</v>
      </c>
    </row>
    <row r="333" spans="12:17" ht="13.5" customHeight="1" x14ac:dyDescent="0.35">
      <c r="L333" s="34">
        <v>331</v>
      </c>
      <c r="M333" s="34">
        <v>3</v>
      </c>
      <c r="N333" s="34">
        <f t="shared" si="11"/>
        <v>3.875</v>
      </c>
      <c r="O333" s="34">
        <f t="shared" si="10"/>
        <v>430.5625</v>
      </c>
      <c r="Q333" s="34">
        <v>21</v>
      </c>
    </row>
    <row r="334" spans="12:17" ht="13.5" customHeight="1" x14ac:dyDescent="0.35">
      <c r="L334" s="34">
        <v>332</v>
      </c>
      <c r="M334" s="34">
        <v>6</v>
      </c>
      <c r="N334" s="34">
        <f t="shared" si="11"/>
        <v>4.375</v>
      </c>
      <c r="O334" s="34">
        <f t="shared" si="10"/>
        <v>430.5625</v>
      </c>
      <c r="Q334" s="34">
        <v>19</v>
      </c>
    </row>
    <row r="335" spans="12:17" ht="13.5" customHeight="1" x14ac:dyDescent="0.35">
      <c r="L335" s="34">
        <v>333</v>
      </c>
      <c r="M335" s="34">
        <v>4</v>
      </c>
      <c r="N335" s="34">
        <f t="shared" si="11"/>
        <v>4.5</v>
      </c>
      <c r="O335" s="34">
        <f t="shared" si="10"/>
        <v>430.5625</v>
      </c>
      <c r="Q335" s="34">
        <v>27</v>
      </c>
    </row>
    <row r="336" spans="12:17" ht="13.5" customHeight="1" x14ac:dyDescent="0.35">
      <c r="L336" s="34">
        <v>334</v>
      </c>
      <c r="M336" s="34">
        <v>7</v>
      </c>
      <c r="N336" s="34">
        <f t="shared" si="11"/>
        <v>4.75</v>
      </c>
      <c r="O336" s="34">
        <f t="shared" si="10"/>
        <v>430.5625</v>
      </c>
      <c r="Q336" s="34">
        <v>33</v>
      </c>
    </row>
    <row r="337" spans="12:17" ht="13.5" customHeight="1" x14ac:dyDescent="0.35">
      <c r="L337" s="34">
        <v>335</v>
      </c>
      <c r="M337" s="34">
        <v>3</v>
      </c>
      <c r="N337" s="34">
        <f t="shared" si="11"/>
        <v>5</v>
      </c>
      <c r="O337" s="34">
        <f t="shared" si="10"/>
        <v>430.5625</v>
      </c>
      <c r="Q337" s="34">
        <v>32</v>
      </c>
    </row>
    <row r="338" spans="12:17" ht="13.5" customHeight="1" x14ac:dyDescent="0.35">
      <c r="L338" s="34">
        <v>336</v>
      </c>
      <c r="M338" s="34">
        <v>6</v>
      </c>
      <c r="N338" s="34">
        <f t="shared" si="11"/>
        <v>4.625</v>
      </c>
      <c r="O338" s="34">
        <f t="shared" si="10"/>
        <v>430.5625</v>
      </c>
      <c r="Q338" s="34">
        <v>26</v>
      </c>
    </row>
    <row r="339" spans="12:17" ht="13.5" customHeight="1" x14ac:dyDescent="0.35">
      <c r="L339" s="34">
        <v>337</v>
      </c>
      <c r="M339" s="34">
        <v>3</v>
      </c>
      <c r="N339" s="34">
        <f t="shared" si="11"/>
        <v>5.375</v>
      </c>
      <c r="O339" s="34">
        <f t="shared" si="10"/>
        <v>430.5625</v>
      </c>
      <c r="Q339" s="34">
        <v>29</v>
      </c>
    </row>
    <row r="340" spans="12:17" ht="13.5" customHeight="1" x14ac:dyDescent="0.35">
      <c r="L340" s="34">
        <v>338</v>
      </c>
      <c r="M340" s="34">
        <v>6</v>
      </c>
      <c r="N340" s="34">
        <f t="shared" si="11"/>
        <v>5.125</v>
      </c>
      <c r="O340" s="34">
        <f t="shared" si="10"/>
        <v>430.5625</v>
      </c>
      <c r="Q340" s="34">
        <v>30</v>
      </c>
    </row>
    <row r="341" spans="12:17" ht="13.5" customHeight="1" x14ac:dyDescent="0.35">
      <c r="L341" s="34">
        <v>339</v>
      </c>
      <c r="M341" s="34">
        <v>5</v>
      </c>
      <c r="N341" s="34">
        <f t="shared" si="11"/>
        <v>5.375</v>
      </c>
      <c r="O341" s="34">
        <f t="shared" si="10"/>
        <v>430.5625</v>
      </c>
      <c r="Q341" s="34">
        <v>38</v>
      </c>
    </row>
    <row r="342" spans="12:17" ht="13.5" customHeight="1" x14ac:dyDescent="0.35">
      <c r="L342" s="34">
        <v>340</v>
      </c>
      <c r="M342" s="34">
        <v>3</v>
      </c>
      <c r="N342" s="34">
        <f t="shared" si="11"/>
        <v>5</v>
      </c>
      <c r="O342" s="34">
        <f t="shared" si="10"/>
        <v>430.5625</v>
      </c>
      <c r="Q342" s="34">
        <v>35</v>
      </c>
    </row>
    <row r="343" spans="12:17" ht="13.5" customHeight="1" x14ac:dyDescent="0.35">
      <c r="L343" s="34">
        <v>341</v>
      </c>
      <c r="M343" s="34">
        <v>10</v>
      </c>
      <c r="N343" s="34">
        <f t="shared" si="11"/>
        <v>5.25</v>
      </c>
      <c r="O343" s="34">
        <f t="shared" si="10"/>
        <v>430.5625</v>
      </c>
      <c r="Q343" s="34">
        <v>45</v>
      </c>
    </row>
    <row r="344" spans="12:17" ht="13.5" customHeight="1" x14ac:dyDescent="0.35">
      <c r="L344" s="34">
        <v>342</v>
      </c>
      <c r="M344" s="34">
        <v>5</v>
      </c>
      <c r="N344" s="34">
        <f t="shared" si="11"/>
        <v>5.125</v>
      </c>
      <c r="O344" s="34">
        <f t="shared" si="10"/>
        <v>430.5625</v>
      </c>
      <c r="Q344" s="34">
        <v>46</v>
      </c>
    </row>
    <row r="345" spans="12:17" ht="13.5" customHeight="1" x14ac:dyDescent="0.35">
      <c r="L345" s="34">
        <v>343</v>
      </c>
      <c r="M345" s="34">
        <v>5</v>
      </c>
      <c r="N345" s="34">
        <f t="shared" si="11"/>
        <v>5.125</v>
      </c>
      <c r="O345" s="34">
        <f t="shared" si="10"/>
        <v>430.5625</v>
      </c>
      <c r="Q345" s="34">
        <v>28</v>
      </c>
    </row>
    <row r="346" spans="12:17" ht="13.5" customHeight="1" x14ac:dyDescent="0.35">
      <c r="L346" s="34">
        <v>344</v>
      </c>
      <c r="M346" s="34">
        <v>3</v>
      </c>
      <c r="N346" s="34">
        <f t="shared" si="11"/>
        <v>5.625</v>
      </c>
      <c r="O346" s="34">
        <f t="shared" si="10"/>
        <v>430.5625</v>
      </c>
      <c r="Q346" s="34">
        <v>52</v>
      </c>
    </row>
    <row r="347" spans="12:17" ht="13.5" customHeight="1" x14ac:dyDescent="0.35">
      <c r="L347" s="34">
        <v>345</v>
      </c>
      <c r="M347" s="34">
        <v>5</v>
      </c>
      <c r="N347" s="34">
        <f t="shared" si="11"/>
        <v>4.5</v>
      </c>
      <c r="O347" s="34">
        <f t="shared" si="10"/>
        <v>430.5625</v>
      </c>
      <c r="Q347" s="34">
        <v>39</v>
      </c>
    </row>
    <row r="348" spans="12:17" ht="13.5" customHeight="1" x14ac:dyDescent="0.35">
      <c r="L348" s="34">
        <v>346</v>
      </c>
      <c r="M348" s="34">
        <v>5</v>
      </c>
      <c r="N348" s="34">
        <f t="shared" si="11"/>
        <v>4.25</v>
      </c>
      <c r="O348" s="34">
        <f t="shared" si="10"/>
        <v>430.5625</v>
      </c>
      <c r="Q348" s="34">
        <v>47</v>
      </c>
    </row>
    <row r="349" spans="12:17" ht="13.5" customHeight="1" x14ac:dyDescent="0.35">
      <c r="L349" s="34">
        <v>347</v>
      </c>
      <c r="M349" s="34">
        <v>5</v>
      </c>
      <c r="N349" s="34">
        <f t="shared" si="11"/>
        <v>4.5</v>
      </c>
      <c r="O349" s="34">
        <f t="shared" si="10"/>
        <v>430.5625</v>
      </c>
      <c r="Q349" s="34">
        <v>62</v>
      </c>
    </row>
    <row r="350" spans="12:17" ht="13.5" customHeight="1" x14ac:dyDescent="0.35">
      <c r="L350" s="34">
        <v>348</v>
      </c>
      <c r="M350" s="34">
        <v>7</v>
      </c>
      <c r="N350" s="34">
        <f t="shared" si="11"/>
        <v>4.375</v>
      </c>
      <c r="O350" s="34">
        <f t="shared" si="10"/>
        <v>430.5625</v>
      </c>
      <c r="Q350" s="34">
        <v>59</v>
      </c>
    </row>
    <row r="351" spans="12:17" ht="13.5" customHeight="1" x14ac:dyDescent="0.35">
      <c r="L351" s="34">
        <v>349</v>
      </c>
      <c r="M351" s="34">
        <v>1</v>
      </c>
      <c r="N351" s="34">
        <f t="shared" si="11"/>
        <v>4.875</v>
      </c>
      <c r="O351" s="34">
        <f t="shared" si="10"/>
        <v>430.5625</v>
      </c>
      <c r="Q351" s="34">
        <v>51</v>
      </c>
    </row>
    <row r="352" spans="12:17" ht="13.5" customHeight="1" x14ac:dyDescent="0.35">
      <c r="L352" s="34">
        <v>350</v>
      </c>
      <c r="M352" s="34">
        <v>3</v>
      </c>
      <c r="N352" s="34">
        <f t="shared" si="11"/>
        <v>4.875</v>
      </c>
      <c r="O352" s="34">
        <f t="shared" si="10"/>
        <v>430.5625</v>
      </c>
      <c r="Q352" s="34">
        <v>48</v>
      </c>
    </row>
    <row r="353" spans="12:17" ht="13.5" customHeight="1" x14ac:dyDescent="0.35">
      <c r="L353" s="34">
        <v>351</v>
      </c>
      <c r="M353" s="34">
        <v>7</v>
      </c>
      <c r="N353" s="34">
        <f t="shared" si="11"/>
        <v>4.5</v>
      </c>
      <c r="O353" s="34">
        <f t="shared" si="10"/>
        <v>430.5625</v>
      </c>
      <c r="Q353" s="34">
        <v>62</v>
      </c>
    </row>
    <row r="354" spans="12:17" ht="13.5" customHeight="1" x14ac:dyDescent="0.35">
      <c r="L354" s="34">
        <v>352</v>
      </c>
      <c r="M354" s="34">
        <v>2</v>
      </c>
      <c r="N354" s="34">
        <f t="shared" si="11"/>
        <v>4</v>
      </c>
      <c r="O354" s="34">
        <f t="shared" si="10"/>
        <v>430.5625</v>
      </c>
      <c r="Q354" s="34">
        <v>58</v>
      </c>
    </row>
    <row r="355" spans="12:17" ht="13.5" customHeight="1" x14ac:dyDescent="0.35">
      <c r="L355" s="34">
        <v>353</v>
      </c>
      <c r="M355" s="34">
        <v>9</v>
      </c>
      <c r="N355" s="34">
        <f t="shared" si="11"/>
        <v>4.625</v>
      </c>
      <c r="O355" s="34">
        <f t="shared" si="10"/>
        <v>430.5625</v>
      </c>
      <c r="Q355" s="34">
        <v>57</v>
      </c>
    </row>
    <row r="356" spans="12:17" ht="13.5" customHeight="1" x14ac:dyDescent="0.35">
      <c r="L356" s="34">
        <v>354</v>
      </c>
      <c r="M356" s="34">
        <v>5</v>
      </c>
      <c r="N356" s="34">
        <f t="shared" si="11"/>
        <v>5.125</v>
      </c>
      <c r="O356" s="34">
        <f t="shared" si="10"/>
        <v>430.5625</v>
      </c>
      <c r="Q356" s="34">
        <v>77</v>
      </c>
    </row>
    <row r="357" spans="12:17" ht="13.5" customHeight="1" x14ac:dyDescent="0.35">
      <c r="L357" s="34">
        <v>355</v>
      </c>
      <c r="M357" s="34">
        <v>2</v>
      </c>
      <c r="N357" s="34">
        <f t="shared" si="11"/>
        <v>4.875</v>
      </c>
      <c r="O357" s="34">
        <f t="shared" si="10"/>
        <v>430.5625</v>
      </c>
      <c r="Q357" s="34">
        <v>65</v>
      </c>
    </row>
    <row r="358" spans="12:17" ht="13.5" customHeight="1" x14ac:dyDescent="0.35">
      <c r="L358" s="34">
        <v>356</v>
      </c>
      <c r="M358" s="34">
        <v>3</v>
      </c>
      <c r="N358" s="34">
        <f t="shared" si="11"/>
        <v>5.625</v>
      </c>
      <c r="O358" s="34">
        <f t="shared" si="10"/>
        <v>430.5625</v>
      </c>
      <c r="Q358" s="34">
        <v>77</v>
      </c>
    </row>
    <row r="359" spans="12:17" ht="13.5" customHeight="1" x14ac:dyDescent="0.35">
      <c r="L359" s="34">
        <v>357</v>
      </c>
      <c r="M359" s="34">
        <v>6</v>
      </c>
      <c r="N359" s="34">
        <f t="shared" si="11"/>
        <v>5.125</v>
      </c>
      <c r="O359" s="34">
        <f t="shared" si="10"/>
        <v>430.5625</v>
      </c>
      <c r="Q359" s="34">
        <v>67</v>
      </c>
    </row>
    <row r="360" spans="12:17" ht="13.5" customHeight="1" x14ac:dyDescent="0.35">
      <c r="L360" s="34">
        <v>358</v>
      </c>
      <c r="M360" s="34">
        <v>7</v>
      </c>
      <c r="N360" s="34">
        <f t="shared" si="11"/>
        <v>5</v>
      </c>
      <c r="O360" s="34">
        <f t="shared" si="10"/>
        <v>430.5625</v>
      </c>
      <c r="Q360" s="34">
        <v>81</v>
      </c>
    </row>
    <row r="361" spans="12:17" ht="13.5" customHeight="1" x14ac:dyDescent="0.35">
      <c r="L361" s="34">
        <v>359</v>
      </c>
      <c r="M361" s="34">
        <v>5</v>
      </c>
      <c r="N361" s="34">
        <f t="shared" si="11"/>
        <v>5.375</v>
      </c>
      <c r="O361" s="34">
        <f t="shared" si="10"/>
        <v>430.5625</v>
      </c>
      <c r="Q361" s="34">
        <v>80</v>
      </c>
    </row>
    <row r="362" spans="12:17" ht="13.5" customHeight="1" x14ac:dyDescent="0.35">
      <c r="L362" s="34">
        <v>360</v>
      </c>
      <c r="M362" s="34">
        <v>8</v>
      </c>
      <c r="N362" s="34">
        <f t="shared" si="11"/>
        <v>5.875</v>
      </c>
      <c r="O362" s="34">
        <f t="shared" si="10"/>
        <v>430.5625</v>
      </c>
      <c r="Q362" s="34">
        <v>62</v>
      </c>
    </row>
    <row r="363" spans="12:17" ht="13.5" customHeight="1" x14ac:dyDescent="0.35">
      <c r="L363" s="34">
        <v>361</v>
      </c>
      <c r="M363" s="34">
        <v>5</v>
      </c>
      <c r="N363" s="34">
        <f t="shared" si="11"/>
        <v>5.625</v>
      </c>
      <c r="O363" s="34">
        <f t="shared" si="10"/>
        <v>430.5625</v>
      </c>
      <c r="Q363" s="34">
        <v>86</v>
      </c>
    </row>
    <row r="364" spans="12:17" ht="13.5" customHeight="1" x14ac:dyDescent="0.35">
      <c r="L364" s="34">
        <v>362</v>
      </c>
      <c r="M364" s="34">
        <v>4</v>
      </c>
      <c r="N364" s="34">
        <f t="shared" si="11"/>
        <v>5.375</v>
      </c>
      <c r="O364" s="34">
        <f t="shared" si="10"/>
        <v>430.5625</v>
      </c>
      <c r="Q364" s="34">
        <v>100</v>
      </c>
    </row>
    <row r="365" spans="12:17" ht="13.5" customHeight="1" x14ac:dyDescent="0.35">
      <c r="L365" s="34">
        <v>363</v>
      </c>
      <c r="M365" s="34">
        <v>5</v>
      </c>
      <c r="N365" s="34">
        <f t="shared" si="11"/>
        <v>5.125</v>
      </c>
      <c r="O365" s="34">
        <f t="shared" si="10"/>
        <v>430.5625</v>
      </c>
      <c r="Q365" s="34">
        <v>77</v>
      </c>
    </row>
    <row r="366" spans="12:17" ht="13.5" customHeight="1" x14ac:dyDescent="0.35">
      <c r="L366" s="34">
        <v>364</v>
      </c>
      <c r="M366" s="34">
        <v>7</v>
      </c>
      <c r="N366" s="34">
        <f t="shared" si="11"/>
        <v>4.5</v>
      </c>
      <c r="O366" s="34">
        <f t="shared" si="10"/>
        <v>430.5625</v>
      </c>
      <c r="Q366" s="34">
        <v>91</v>
      </c>
    </row>
    <row r="367" spans="12:17" ht="13.5" customHeight="1" x14ac:dyDescent="0.35">
      <c r="L367" s="34">
        <v>365</v>
      </c>
      <c r="M367" s="34">
        <v>4</v>
      </c>
      <c r="N367" s="34">
        <f t="shared" si="11"/>
        <v>4.5</v>
      </c>
      <c r="O367" s="34">
        <f t="shared" si="10"/>
        <v>430.5625</v>
      </c>
      <c r="Q367" s="34">
        <v>96</v>
      </c>
    </row>
    <row r="368" spans="12:17" ht="13.5" customHeight="1" x14ac:dyDescent="0.35">
      <c r="L368" s="34">
        <v>366</v>
      </c>
      <c r="M368" s="34">
        <v>5</v>
      </c>
      <c r="N368" s="34">
        <f t="shared" si="11"/>
        <v>4.625</v>
      </c>
      <c r="O368" s="34">
        <f t="shared" si="10"/>
        <v>430.5625</v>
      </c>
      <c r="Q368" s="34">
        <v>98</v>
      </c>
    </row>
    <row r="369" spans="12:17" ht="13.5" customHeight="1" x14ac:dyDescent="0.35">
      <c r="L369" s="34">
        <v>367</v>
      </c>
      <c r="M369" s="34">
        <v>3</v>
      </c>
      <c r="N369" s="34">
        <f t="shared" si="11"/>
        <v>4.25</v>
      </c>
      <c r="O369" s="34">
        <f t="shared" si="10"/>
        <v>430.5625</v>
      </c>
      <c r="Q369" s="34">
        <v>97</v>
      </c>
    </row>
    <row r="370" spans="12:17" ht="13.5" customHeight="1" x14ac:dyDescent="0.35">
      <c r="L370" s="34">
        <v>368</v>
      </c>
      <c r="M370" s="34">
        <v>3</v>
      </c>
      <c r="N370" s="34">
        <f t="shared" si="11"/>
        <v>4.125</v>
      </c>
      <c r="O370" s="34">
        <f t="shared" si="10"/>
        <v>430.5625</v>
      </c>
      <c r="Q370" s="34">
        <v>115</v>
      </c>
    </row>
    <row r="371" spans="12:17" ht="13.5" customHeight="1" x14ac:dyDescent="0.35">
      <c r="L371" s="34">
        <v>369</v>
      </c>
      <c r="M371" s="34">
        <v>5</v>
      </c>
      <c r="N371" s="34">
        <f t="shared" si="11"/>
        <v>4.125</v>
      </c>
      <c r="O371" s="34">
        <f t="shared" si="10"/>
        <v>430.5625</v>
      </c>
      <c r="Q371" s="34">
        <v>106</v>
      </c>
    </row>
    <row r="372" spans="12:17" ht="13.5" customHeight="1" x14ac:dyDescent="0.35">
      <c r="L372" s="34">
        <v>370</v>
      </c>
      <c r="M372" s="34">
        <v>5</v>
      </c>
      <c r="N372" s="34">
        <f t="shared" si="11"/>
        <v>4.5</v>
      </c>
      <c r="O372" s="34">
        <f t="shared" si="10"/>
        <v>430.5625</v>
      </c>
      <c r="Q372" s="34">
        <v>118</v>
      </c>
    </row>
    <row r="373" spans="12:17" ht="13.5" customHeight="1" x14ac:dyDescent="0.35">
      <c r="L373" s="34">
        <v>371</v>
      </c>
      <c r="M373" s="34">
        <v>2</v>
      </c>
      <c r="N373" s="34">
        <f t="shared" si="11"/>
        <v>4.625</v>
      </c>
      <c r="O373" s="34">
        <f t="shared" si="10"/>
        <v>430.5625</v>
      </c>
      <c r="Q373" s="34">
        <v>114</v>
      </c>
    </row>
    <row r="374" spans="12:17" ht="13.5" customHeight="1" x14ac:dyDescent="0.35">
      <c r="L374" s="34">
        <v>372</v>
      </c>
      <c r="M374" s="34">
        <v>6</v>
      </c>
      <c r="N374" s="34">
        <f t="shared" si="11"/>
        <v>4.875</v>
      </c>
      <c r="O374" s="34">
        <f t="shared" si="10"/>
        <v>430.5625</v>
      </c>
      <c r="Q374" s="34">
        <v>127</v>
      </c>
    </row>
    <row r="375" spans="12:17" ht="13.5" customHeight="1" x14ac:dyDescent="0.35">
      <c r="L375" s="34">
        <v>373</v>
      </c>
      <c r="M375" s="34">
        <v>4</v>
      </c>
      <c r="N375" s="34">
        <f t="shared" si="11"/>
        <v>5.25</v>
      </c>
      <c r="O375" s="34">
        <f t="shared" si="10"/>
        <v>430.5625</v>
      </c>
      <c r="Q375" s="34">
        <v>142</v>
      </c>
    </row>
    <row r="376" spans="12:17" ht="13.5" customHeight="1" x14ac:dyDescent="0.35">
      <c r="L376" s="34">
        <v>374</v>
      </c>
      <c r="M376" s="34">
        <v>8</v>
      </c>
      <c r="N376" s="34">
        <f t="shared" si="11"/>
        <v>5.125</v>
      </c>
      <c r="O376" s="34">
        <f t="shared" si="10"/>
        <v>430.5625</v>
      </c>
      <c r="Q376" s="34">
        <v>117</v>
      </c>
    </row>
    <row r="377" spans="12:17" ht="13.5" customHeight="1" x14ac:dyDescent="0.35">
      <c r="L377" s="34">
        <v>375</v>
      </c>
      <c r="M377" s="34">
        <v>4</v>
      </c>
      <c r="N377" s="34">
        <f t="shared" si="11"/>
        <v>5.5</v>
      </c>
      <c r="O377" s="34">
        <f t="shared" si="10"/>
        <v>430.5625</v>
      </c>
      <c r="Q377" s="34">
        <v>148</v>
      </c>
    </row>
    <row r="378" spans="12:17" ht="13.5" customHeight="1" x14ac:dyDescent="0.35">
      <c r="L378" s="34">
        <v>376</v>
      </c>
      <c r="M378" s="34">
        <v>5</v>
      </c>
      <c r="N378" s="34">
        <f t="shared" si="11"/>
        <v>5.375</v>
      </c>
      <c r="O378" s="34">
        <f t="shared" si="10"/>
        <v>430.5625</v>
      </c>
      <c r="Q378" s="34">
        <v>143</v>
      </c>
    </row>
    <row r="379" spans="12:17" ht="13.5" customHeight="1" x14ac:dyDescent="0.35">
      <c r="L379" s="34">
        <v>377</v>
      </c>
      <c r="M379" s="34">
        <v>8</v>
      </c>
      <c r="N379" s="34">
        <f t="shared" si="11"/>
        <v>5.625</v>
      </c>
      <c r="O379" s="34">
        <f t="shared" si="10"/>
        <v>430.5625</v>
      </c>
      <c r="Q379" s="34">
        <v>148</v>
      </c>
    </row>
    <row r="380" spans="12:17" ht="13.5" customHeight="1" x14ac:dyDescent="0.35">
      <c r="L380" s="34">
        <v>378</v>
      </c>
      <c r="M380" s="34">
        <v>4</v>
      </c>
      <c r="N380" s="34">
        <f t="shared" si="11"/>
        <v>5.5</v>
      </c>
      <c r="O380" s="34">
        <f t="shared" si="10"/>
        <v>430.5625</v>
      </c>
      <c r="Q380" s="34">
        <v>174</v>
      </c>
    </row>
    <row r="381" spans="12:17" ht="13.5" customHeight="1" x14ac:dyDescent="0.35">
      <c r="L381" s="34">
        <v>379</v>
      </c>
      <c r="M381" s="34">
        <v>5</v>
      </c>
      <c r="N381" s="34">
        <f t="shared" si="11"/>
        <v>5.5</v>
      </c>
      <c r="O381" s="34">
        <f t="shared" si="10"/>
        <v>430.5625</v>
      </c>
      <c r="Q381" s="34">
        <v>181</v>
      </c>
    </row>
    <row r="382" spans="12:17" ht="13.5" customHeight="1" x14ac:dyDescent="0.35">
      <c r="L382" s="34">
        <v>380</v>
      </c>
      <c r="M382" s="34">
        <v>5</v>
      </c>
      <c r="N382" s="34">
        <f t="shared" si="11"/>
        <v>5.375</v>
      </c>
      <c r="O382" s="34">
        <f t="shared" si="10"/>
        <v>430.5625</v>
      </c>
      <c r="Q382" s="34">
        <v>181</v>
      </c>
    </row>
    <row r="383" spans="12:17" ht="13.5" customHeight="1" x14ac:dyDescent="0.35">
      <c r="L383" s="34">
        <v>381</v>
      </c>
      <c r="M383" s="34">
        <v>6</v>
      </c>
      <c r="N383" s="34">
        <f t="shared" si="11"/>
        <v>4.875</v>
      </c>
      <c r="O383" s="34">
        <f t="shared" si="10"/>
        <v>430.5625</v>
      </c>
      <c r="Q383" s="34">
        <v>178</v>
      </c>
    </row>
    <row r="384" spans="12:17" ht="13.5" customHeight="1" x14ac:dyDescent="0.35">
      <c r="L384" s="34">
        <v>382</v>
      </c>
      <c r="M384" s="34">
        <v>7</v>
      </c>
      <c r="N384" s="34">
        <f t="shared" si="11"/>
        <v>5.375</v>
      </c>
      <c r="O384" s="34">
        <f t="shared" si="10"/>
        <v>430.5625</v>
      </c>
      <c r="Q384" s="34">
        <v>192</v>
      </c>
    </row>
    <row r="385" spans="12:17" ht="13.5" customHeight="1" x14ac:dyDescent="0.35">
      <c r="L385" s="34">
        <v>383</v>
      </c>
      <c r="M385" s="34">
        <v>4</v>
      </c>
      <c r="N385" s="34">
        <f t="shared" si="11"/>
        <v>5.625</v>
      </c>
      <c r="O385" s="34">
        <f t="shared" si="10"/>
        <v>430.5625</v>
      </c>
      <c r="Q385" s="34">
        <v>210</v>
      </c>
    </row>
    <row r="386" spans="12:17" ht="13.5" customHeight="1" x14ac:dyDescent="0.35">
      <c r="L386" s="34">
        <v>384</v>
      </c>
      <c r="M386" s="34">
        <v>4</v>
      </c>
      <c r="N386" s="34">
        <f t="shared" si="11"/>
        <v>5.5</v>
      </c>
      <c r="O386" s="34">
        <f t="shared" ref="O386:O449" si="12">MAX($A$35)/2</f>
        <v>430.5625</v>
      </c>
      <c r="Q386" s="34">
        <v>218</v>
      </c>
    </row>
    <row r="387" spans="12:17" ht="13.5" customHeight="1" x14ac:dyDescent="0.35">
      <c r="L387" s="34">
        <v>385</v>
      </c>
      <c r="M387" s="34">
        <v>4</v>
      </c>
      <c r="N387" s="34">
        <f t="shared" si="11"/>
        <v>5.375</v>
      </c>
      <c r="O387" s="34">
        <f t="shared" si="12"/>
        <v>430.5625</v>
      </c>
      <c r="Q387" s="34">
        <v>193</v>
      </c>
    </row>
    <row r="388" spans="12:17" ht="13.5" customHeight="1" x14ac:dyDescent="0.35">
      <c r="L388" s="34">
        <v>386</v>
      </c>
      <c r="M388" s="34">
        <v>8</v>
      </c>
      <c r="N388" s="34">
        <f t="shared" si="11"/>
        <v>5</v>
      </c>
      <c r="O388" s="34">
        <f t="shared" si="12"/>
        <v>430.5625</v>
      </c>
      <c r="Q388" s="34">
        <v>221</v>
      </c>
    </row>
    <row r="389" spans="12:17" ht="13.5" customHeight="1" x14ac:dyDescent="0.35">
      <c r="L389" s="34">
        <v>387</v>
      </c>
      <c r="M389" s="34">
        <v>7</v>
      </c>
      <c r="N389" s="34">
        <f t="shared" ref="N389:N452" si="13">AVERAGE(M386:M393)</f>
        <v>4.75</v>
      </c>
      <c r="O389" s="34">
        <f t="shared" si="12"/>
        <v>430.5625</v>
      </c>
      <c r="Q389" s="34">
        <v>226</v>
      </c>
    </row>
    <row r="390" spans="12:17" ht="13.5" customHeight="1" x14ac:dyDescent="0.35">
      <c r="L390" s="34">
        <v>388</v>
      </c>
      <c r="M390" s="34">
        <v>4</v>
      </c>
      <c r="N390" s="34">
        <f t="shared" si="13"/>
        <v>4.5</v>
      </c>
      <c r="O390" s="34">
        <f t="shared" si="12"/>
        <v>430.5625</v>
      </c>
      <c r="Q390" s="34">
        <v>271</v>
      </c>
    </row>
    <row r="391" spans="12:17" ht="13.5" customHeight="1" x14ac:dyDescent="0.35">
      <c r="L391" s="34">
        <v>389</v>
      </c>
      <c r="M391" s="34">
        <v>5</v>
      </c>
      <c r="N391" s="34">
        <f t="shared" si="13"/>
        <v>4.375</v>
      </c>
      <c r="O391" s="34">
        <f t="shared" si="12"/>
        <v>430.5625</v>
      </c>
      <c r="Q391" s="34">
        <v>233</v>
      </c>
    </row>
    <row r="392" spans="12:17" ht="13.5" customHeight="1" x14ac:dyDescent="0.35">
      <c r="L392" s="34">
        <v>390</v>
      </c>
      <c r="M392" s="34">
        <v>4</v>
      </c>
      <c r="N392" s="34">
        <f t="shared" si="13"/>
        <v>3.5</v>
      </c>
      <c r="O392" s="34">
        <f t="shared" si="12"/>
        <v>430.5625</v>
      </c>
      <c r="Q392" s="34">
        <v>260</v>
      </c>
    </row>
    <row r="393" spans="12:17" ht="13.5" customHeight="1" x14ac:dyDescent="0.35">
      <c r="L393" s="34">
        <v>391</v>
      </c>
      <c r="M393" s="34">
        <v>2</v>
      </c>
      <c r="N393" s="34">
        <f t="shared" si="13"/>
        <v>3.25</v>
      </c>
      <c r="O393" s="34">
        <f t="shared" si="12"/>
        <v>430.5625</v>
      </c>
      <c r="Q393" s="34">
        <v>241</v>
      </c>
    </row>
    <row r="394" spans="12:17" ht="13.5" customHeight="1" x14ac:dyDescent="0.35">
      <c r="L394" s="34">
        <v>392</v>
      </c>
      <c r="M394" s="34">
        <v>2</v>
      </c>
      <c r="N394" s="34">
        <f t="shared" si="13"/>
        <v>3.125</v>
      </c>
      <c r="O394" s="34">
        <f t="shared" si="12"/>
        <v>430.5625</v>
      </c>
      <c r="Q394" s="34">
        <v>280</v>
      </c>
    </row>
    <row r="395" spans="12:17" ht="13.5" customHeight="1" x14ac:dyDescent="0.35">
      <c r="L395" s="34">
        <v>393</v>
      </c>
      <c r="M395" s="34">
        <v>3</v>
      </c>
      <c r="N395" s="34">
        <f t="shared" si="13"/>
        <v>3.125</v>
      </c>
      <c r="O395" s="34">
        <f t="shared" si="12"/>
        <v>430.5625</v>
      </c>
      <c r="Q395" s="34">
        <v>278</v>
      </c>
    </row>
    <row r="396" spans="12:17" ht="13.5" customHeight="1" x14ac:dyDescent="0.35">
      <c r="L396" s="34">
        <v>394</v>
      </c>
      <c r="M396" s="34">
        <v>1</v>
      </c>
      <c r="N396" s="34">
        <f t="shared" si="13"/>
        <v>3.875</v>
      </c>
      <c r="O396" s="34">
        <f t="shared" si="12"/>
        <v>430.5625</v>
      </c>
      <c r="Q396" s="34">
        <v>276</v>
      </c>
    </row>
    <row r="397" spans="12:17" ht="13.5" customHeight="1" x14ac:dyDescent="0.35">
      <c r="L397" s="34">
        <v>395</v>
      </c>
      <c r="M397" s="34">
        <v>5</v>
      </c>
      <c r="N397" s="34">
        <f t="shared" si="13"/>
        <v>3.625</v>
      </c>
      <c r="O397" s="34">
        <f t="shared" si="12"/>
        <v>430.5625</v>
      </c>
      <c r="Q397" s="34">
        <v>277</v>
      </c>
    </row>
    <row r="398" spans="12:17" ht="13.5" customHeight="1" x14ac:dyDescent="0.35">
      <c r="L398" s="34">
        <v>396</v>
      </c>
      <c r="M398" s="34">
        <v>3</v>
      </c>
      <c r="N398" s="34">
        <f t="shared" si="13"/>
        <v>4.125</v>
      </c>
      <c r="O398" s="34">
        <f t="shared" si="12"/>
        <v>430.5625</v>
      </c>
      <c r="Q398" s="34">
        <v>300</v>
      </c>
    </row>
    <row r="399" spans="12:17" ht="13.5" customHeight="1" x14ac:dyDescent="0.35">
      <c r="L399" s="34">
        <v>397</v>
      </c>
      <c r="M399" s="34">
        <v>5</v>
      </c>
      <c r="N399" s="34">
        <f t="shared" si="13"/>
        <v>4.125</v>
      </c>
      <c r="O399" s="34">
        <f t="shared" si="12"/>
        <v>430.5625</v>
      </c>
      <c r="Q399" s="34">
        <v>320</v>
      </c>
    </row>
    <row r="400" spans="12:17" ht="13.5" customHeight="1" x14ac:dyDescent="0.35">
      <c r="L400" s="34">
        <v>398</v>
      </c>
      <c r="M400" s="34">
        <v>10</v>
      </c>
      <c r="N400" s="34">
        <f t="shared" si="13"/>
        <v>4.75</v>
      </c>
      <c r="O400" s="34">
        <f t="shared" si="12"/>
        <v>430.5625</v>
      </c>
      <c r="Q400" s="34">
        <v>320</v>
      </c>
    </row>
    <row r="401" spans="12:17" ht="13.5" customHeight="1" x14ac:dyDescent="0.35">
      <c r="L401" s="34">
        <v>399</v>
      </c>
      <c r="M401" s="34">
        <v>0</v>
      </c>
      <c r="N401" s="34">
        <f t="shared" si="13"/>
        <v>4.75</v>
      </c>
      <c r="O401" s="34">
        <f t="shared" si="12"/>
        <v>430.5625</v>
      </c>
      <c r="Q401" s="34">
        <v>324</v>
      </c>
    </row>
    <row r="402" spans="12:17" ht="13.5" customHeight="1" x14ac:dyDescent="0.35">
      <c r="L402" s="34">
        <v>400</v>
      </c>
      <c r="M402" s="34">
        <v>6</v>
      </c>
      <c r="N402" s="34">
        <f t="shared" si="13"/>
        <v>5.125</v>
      </c>
      <c r="O402" s="34">
        <f t="shared" si="12"/>
        <v>430.5625</v>
      </c>
      <c r="Q402" s="34">
        <v>322</v>
      </c>
    </row>
    <row r="403" spans="12:17" ht="13.5" customHeight="1" x14ac:dyDescent="0.35">
      <c r="L403" s="34">
        <v>401</v>
      </c>
      <c r="M403" s="34">
        <v>3</v>
      </c>
      <c r="N403" s="34">
        <f t="shared" si="13"/>
        <v>5.125</v>
      </c>
      <c r="O403" s="34">
        <f t="shared" si="12"/>
        <v>430.5625</v>
      </c>
      <c r="Q403" s="34">
        <v>323</v>
      </c>
    </row>
    <row r="404" spans="12:17" ht="13.5" customHeight="1" x14ac:dyDescent="0.35">
      <c r="L404" s="34">
        <v>402</v>
      </c>
      <c r="M404" s="34">
        <v>6</v>
      </c>
      <c r="N404" s="34">
        <f t="shared" si="13"/>
        <v>4.625</v>
      </c>
      <c r="O404" s="34">
        <f t="shared" si="12"/>
        <v>430.5625</v>
      </c>
      <c r="Q404" s="34">
        <v>373</v>
      </c>
    </row>
    <row r="405" spans="12:17" ht="13.5" customHeight="1" x14ac:dyDescent="0.35">
      <c r="L405" s="34">
        <v>403</v>
      </c>
      <c r="M405" s="34">
        <v>5</v>
      </c>
      <c r="N405" s="34">
        <f t="shared" si="13"/>
        <v>5.25</v>
      </c>
      <c r="O405" s="34">
        <f t="shared" si="12"/>
        <v>430.5625</v>
      </c>
      <c r="Q405" s="34">
        <v>356</v>
      </c>
    </row>
    <row r="406" spans="12:17" ht="13.5" customHeight="1" x14ac:dyDescent="0.35">
      <c r="L406" s="34">
        <v>404</v>
      </c>
      <c r="M406" s="34">
        <v>6</v>
      </c>
      <c r="N406" s="34">
        <f t="shared" si="13"/>
        <v>5.375</v>
      </c>
      <c r="O406" s="34">
        <f t="shared" si="12"/>
        <v>430.5625</v>
      </c>
      <c r="Q406" s="34">
        <v>388</v>
      </c>
    </row>
    <row r="407" spans="12:17" ht="13.5" customHeight="1" x14ac:dyDescent="0.35">
      <c r="L407" s="34">
        <v>405</v>
      </c>
      <c r="M407" s="34">
        <v>5</v>
      </c>
      <c r="N407" s="34">
        <f t="shared" si="13"/>
        <v>5.125</v>
      </c>
      <c r="O407" s="34">
        <f t="shared" si="12"/>
        <v>430.5625</v>
      </c>
      <c r="Q407" s="34">
        <v>399</v>
      </c>
    </row>
    <row r="408" spans="12:17" ht="13.5" customHeight="1" x14ac:dyDescent="0.35">
      <c r="L408" s="34">
        <v>406</v>
      </c>
      <c r="M408" s="34">
        <v>6</v>
      </c>
      <c r="N408" s="34">
        <f t="shared" si="13"/>
        <v>4.75</v>
      </c>
      <c r="O408" s="34">
        <f t="shared" si="12"/>
        <v>430.5625</v>
      </c>
      <c r="Q408" s="34">
        <v>404</v>
      </c>
    </row>
    <row r="409" spans="12:17" ht="13.5" customHeight="1" x14ac:dyDescent="0.35">
      <c r="L409" s="34">
        <v>407</v>
      </c>
      <c r="M409" s="34">
        <v>5</v>
      </c>
      <c r="N409" s="34">
        <f t="shared" si="13"/>
        <v>4.875</v>
      </c>
      <c r="O409" s="34">
        <f t="shared" si="12"/>
        <v>430.5625</v>
      </c>
      <c r="Q409" s="34">
        <v>408</v>
      </c>
    </row>
    <row r="410" spans="12:17" ht="13.5" customHeight="1" x14ac:dyDescent="0.35">
      <c r="L410" s="34">
        <v>408</v>
      </c>
      <c r="M410" s="34">
        <v>7</v>
      </c>
      <c r="N410" s="34">
        <f t="shared" si="13"/>
        <v>4.25</v>
      </c>
      <c r="O410" s="34">
        <f t="shared" si="12"/>
        <v>430.5625</v>
      </c>
      <c r="Q410" s="34">
        <v>403</v>
      </c>
    </row>
    <row r="411" spans="12:17" ht="13.5" customHeight="1" x14ac:dyDescent="0.35">
      <c r="L411" s="34">
        <v>409</v>
      </c>
      <c r="M411" s="34">
        <v>1</v>
      </c>
      <c r="N411" s="34">
        <f t="shared" si="13"/>
        <v>4</v>
      </c>
      <c r="O411" s="34">
        <f t="shared" si="12"/>
        <v>430.5625</v>
      </c>
      <c r="Q411" s="34">
        <v>406</v>
      </c>
    </row>
    <row r="412" spans="12:17" ht="13.5" customHeight="1" x14ac:dyDescent="0.35">
      <c r="L412" s="34">
        <v>410</v>
      </c>
      <c r="M412" s="34">
        <v>3</v>
      </c>
      <c r="N412" s="34">
        <f t="shared" si="13"/>
        <v>3.625</v>
      </c>
      <c r="O412" s="34">
        <f t="shared" si="12"/>
        <v>430.5625</v>
      </c>
      <c r="Q412" s="34">
        <v>390</v>
      </c>
    </row>
    <row r="413" spans="12:17" ht="13.5" customHeight="1" x14ac:dyDescent="0.35">
      <c r="L413" s="34">
        <v>411</v>
      </c>
      <c r="M413" s="34">
        <v>6</v>
      </c>
      <c r="N413" s="34">
        <f t="shared" si="13"/>
        <v>3.25</v>
      </c>
      <c r="O413" s="34">
        <f t="shared" si="12"/>
        <v>430.5625</v>
      </c>
      <c r="Q413" s="34">
        <v>452</v>
      </c>
    </row>
    <row r="414" spans="12:17" ht="13.5" customHeight="1" x14ac:dyDescent="0.35">
      <c r="L414" s="34">
        <v>412</v>
      </c>
      <c r="M414" s="34">
        <v>1</v>
      </c>
      <c r="N414" s="34">
        <f t="shared" si="13"/>
        <v>2.625</v>
      </c>
      <c r="O414" s="34">
        <f t="shared" si="12"/>
        <v>430.5625</v>
      </c>
      <c r="Q414" s="34">
        <v>440</v>
      </c>
    </row>
    <row r="415" spans="12:17" ht="13.5" customHeight="1" x14ac:dyDescent="0.35">
      <c r="L415" s="34">
        <v>413</v>
      </c>
      <c r="M415" s="34">
        <v>3</v>
      </c>
      <c r="N415" s="34">
        <f t="shared" si="13"/>
        <v>2.875</v>
      </c>
      <c r="O415" s="34">
        <f t="shared" si="12"/>
        <v>430.5625</v>
      </c>
      <c r="Q415" s="34">
        <v>496</v>
      </c>
    </row>
    <row r="416" spans="12:17" ht="13.5" customHeight="1" x14ac:dyDescent="0.35">
      <c r="L416" s="34">
        <v>414</v>
      </c>
      <c r="M416" s="34">
        <v>3</v>
      </c>
      <c r="N416" s="34">
        <f t="shared" si="13"/>
        <v>2.875</v>
      </c>
      <c r="O416" s="34">
        <f t="shared" si="12"/>
        <v>430.5625</v>
      </c>
      <c r="Q416" s="34">
        <v>476</v>
      </c>
    </row>
    <row r="417" spans="12:17" ht="13.5" customHeight="1" x14ac:dyDescent="0.35">
      <c r="L417" s="34">
        <v>415</v>
      </c>
      <c r="M417" s="34">
        <v>2</v>
      </c>
      <c r="N417" s="34">
        <f t="shared" si="13"/>
        <v>2.5</v>
      </c>
      <c r="O417" s="34">
        <f t="shared" si="12"/>
        <v>430.5625</v>
      </c>
      <c r="Q417" s="34">
        <v>503</v>
      </c>
    </row>
    <row r="418" spans="12:17" ht="13.5" customHeight="1" x14ac:dyDescent="0.35">
      <c r="L418" s="34">
        <v>416</v>
      </c>
      <c r="M418" s="34">
        <v>2</v>
      </c>
      <c r="N418" s="34">
        <f t="shared" si="13"/>
        <v>3</v>
      </c>
      <c r="O418" s="34">
        <f t="shared" si="12"/>
        <v>430.5625</v>
      </c>
      <c r="Q418" s="34">
        <v>499</v>
      </c>
    </row>
    <row r="419" spans="12:17" ht="13.5" customHeight="1" x14ac:dyDescent="0.35">
      <c r="L419" s="34">
        <v>417</v>
      </c>
      <c r="M419" s="34">
        <v>3</v>
      </c>
      <c r="N419" s="34">
        <f t="shared" si="13"/>
        <v>2.75</v>
      </c>
      <c r="O419" s="34">
        <f t="shared" si="12"/>
        <v>430.5625</v>
      </c>
      <c r="Q419" s="34">
        <v>532</v>
      </c>
    </row>
    <row r="420" spans="12:17" ht="13.5" customHeight="1" x14ac:dyDescent="0.35">
      <c r="L420" s="34">
        <v>418</v>
      </c>
      <c r="M420" s="34">
        <v>3</v>
      </c>
      <c r="N420" s="34">
        <f t="shared" si="13"/>
        <v>2.375</v>
      </c>
      <c r="O420" s="34">
        <f t="shared" si="12"/>
        <v>430.5625</v>
      </c>
      <c r="Q420" s="34">
        <v>495</v>
      </c>
    </row>
    <row r="421" spans="12:17" ht="13.5" customHeight="1" x14ac:dyDescent="0.35">
      <c r="L421" s="34">
        <v>419</v>
      </c>
      <c r="M421" s="34">
        <v>3</v>
      </c>
      <c r="N421" s="34">
        <f t="shared" si="13"/>
        <v>2.25</v>
      </c>
      <c r="O421" s="34">
        <f t="shared" si="12"/>
        <v>430.5625</v>
      </c>
      <c r="Q421" s="34">
        <v>521</v>
      </c>
    </row>
    <row r="422" spans="12:17" ht="13.5" customHeight="1" x14ac:dyDescent="0.35">
      <c r="L422" s="34">
        <v>420</v>
      </c>
      <c r="M422" s="34">
        <v>5</v>
      </c>
      <c r="N422" s="34">
        <f t="shared" si="13"/>
        <v>2.25</v>
      </c>
      <c r="O422" s="34">
        <f t="shared" si="12"/>
        <v>430.5625</v>
      </c>
      <c r="Q422" s="34">
        <v>548</v>
      </c>
    </row>
    <row r="423" spans="12:17" ht="13.5" customHeight="1" x14ac:dyDescent="0.35">
      <c r="L423" s="34">
        <v>421</v>
      </c>
      <c r="M423" s="34">
        <v>1</v>
      </c>
      <c r="N423" s="34">
        <f t="shared" si="13"/>
        <v>2.125</v>
      </c>
      <c r="O423" s="34">
        <f t="shared" si="12"/>
        <v>430.5625</v>
      </c>
      <c r="Q423" s="34">
        <v>568</v>
      </c>
    </row>
    <row r="424" spans="12:17" ht="13.5" customHeight="1" x14ac:dyDescent="0.35">
      <c r="L424" s="34">
        <v>422</v>
      </c>
      <c r="M424" s="34">
        <v>0</v>
      </c>
      <c r="N424" s="34">
        <f t="shared" si="13"/>
        <v>1.875</v>
      </c>
      <c r="O424" s="34">
        <f t="shared" si="12"/>
        <v>430.5625</v>
      </c>
      <c r="Q424" s="34">
        <v>568</v>
      </c>
    </row>
    <row r="425" spans="12:17" ht="13.5" customHeight="1" x14ac:dyDescent="0.35">
      <c r="L425" s="34">
        <v>423</v>
      </c>
      <c r="M425" s="34">
        <v>1</v>
      </c>
      <c r="N425" s="34">
        <f t="shared" si="13"/>
        <v>1.875</v>
      </c>
      <c r="O425" s="34">
        <f t="shared" si="12"/>
        <v>430.5625</v>
      </c>
      <c r="Q425" s="34">
        <v>563</v>
      </c>
    </row>
    <row r="426" spans="12:17" ht="13.5" customHeight="1" x14ac:dyDescent="0.35">
      <c r="L426" s="34">
        <v>424</v>
      </c>
      <c r="M426" s="34">
        <v>2</v>
      </c>
      <c r="N426" s="34">
        <f t="shared" si="13"/>
        <v>1.5</v>
      </c>
      <c r="O426" s="34">
        <f t="shared" si="12"/>
        <v>430.5625</v>
      </c>
      <c r="Q426" s="34">
        <v>589</v>
      </c>
    </row>
    <row r="427" spans="12:17" ht="13.5" customHeight="1" x14ac:dyDescent="0.35">
      <c r="L427" s="34">
        <v>425</v>
      </c>
      <c r="M427" s="34">
        <v>2</v>
      </c>
      <c r="N427" s="34">
        <f t="shared" si="13"/>
        <v>2</v>
      </c>
      <c r="O427" s="34">
        <f t="shared" si="12"/>
        <v>430.5625</v>
      </c>
      <c r="Q427" s="34">
        <v>567</v>
      </c>
    </row>
    <row r="428" spans="12:17" ht="13.5" customHeight="1" x14ac:dyDescent="0.35">
      <c r="L428" s="34">
        <v>426</v>
      </c>
      <c r="M428" s="34">
        <v>1</v>
      </c>
      <c r="N428" s="34">
        <f t="shared" si="13"/>
        <v>2.25</v>
      </c>
      <c r="O428" s="34">
        <f t="shared" si="12"/>
        <v>430.5625</v>
      </c>
      <c r="Q428" s="34">
        <v>651</v>
      </c>
    </row>
    <row r="429" spans="12:17" ht="13.5" customHeight="1" x14ac:dyDescent="0.35">
      <c r="L429" s="34">
        <v>427</v>
      </c>
      <c r="M429" s="34">
        <v>3</v>
      </c>
      <c r="N429" s="34">
        <f t="shared" si="13"/>
        <v>2.125</v>
      </c>
      <c r="O429" s="34">
        <f t="shared" si="12"/>
        <v>430.5625</v>
      </c>
      <c r="Q429" s="34">
        <v>603</v>
      </c>
    </row>
    <row r="430" spans="12:17" ht="13.5" customHeight="1" x14ac:dyDescent="0.35">
      <c r="L430" s="34">
        <v>428</v>
      </c>
      <c r="M430" s="34">
        <v>2</v>
      </c>
      <c r="N430" s="34">
        <f t="shared" si="13"/>
        <v>2.125</v>
      </c>
      <c r="O430" s="34">
        <f t="shared" si="12"/>
        <v>430.5625</v>
      </c>
      <c r="Q430" s="34">
        <v>604</v>
      </c>
    </row>
    <row r="431" spans="12:17" ht="13.5" customHeight="1" x14ac:dyDescent="0.35">
      <c r="L431" s="34">
        <v>429</v>
      </c>
      <c r="M431" s="34">
        <v>5</v>
      </c>
      <c r="N431" s="34">
        <f t="shared" si="13"/>
        <v>2.125</v>
      </c>
      <c r="O431" s="34">
        <f t="shared" si="12"/>
        <v>430.5625</v>
      </c>
      <c r="Q431" s="34">
        <v>652</v>
      </c>
    </row>
    <row r="432" spans="12:17" ht="13.5" customHeight="1" x14ac:dyDescent="0.35">
      <c r="L432" s="34">
        <v>430</v>
      </c>
      <c r="M432" s="34">
        <v>2</v>
      </c>
      <c r="N432" s="34">
        <f t="shared" si="13"/>
        <v>2.25</v>
      </c>
      <c r="O432" s="34">
        <f t="shared" si="12"/>
        <v>430.5625</v>
      </c>
      <c r="Q432" s="34">
        <v>662</v>
      </c>
    </row>
    <row r="433" spans="12:17" ht="13.5" customHeight="1" x14ac:dyDescent="0.35">
      <c r="L433" s="34">
        <v>431</v>
      </c>
      <c r="M433" s="34">
        <v>0</v>
      </c>
      <c r="N433" s="34">
        <f t="shared" si="13"/>
        <v>2.125</v>
      </c>
      <c r="O433" s="34">
        <f t="shared" si="12"/>
        <v>430.5625</v>
      </c>
      <c r="Q433" s="34">
        <v>653</v>
      </c>
    </row>
    <row r="434" spans="12:17" ht="13.5" customHeight="1" x14ac:dyDescent="0.35">
      <c r="L434" s="34">
        <v>432</v>
      </c>
      <c r="M434" s="34">
        <v>2</v>
      </c>
      <c r="N434" s="34">
        <f t="shared" si="13"/>
        <v>1.875</v>
      </c>
      <c r="O434" s="34">
        <f t="shared" si="12"/>
        <v>430.5625</v>
      </c>
      <c r="Q434" s="34">
        <v>667</v>
      </c>
    </row>
    <row r="435" spans="12:17" ht="13.5" customHeight="1" x14ac:dyDescent="0.35">
      <c r="L435" s="34">
        <v>433</v>
      </c>
      <c r="M435" s="34">
        <v>2</v>
      </c>
      <c r="N435" s="34">
        <f t="shared" si="13"/>
        <v>1.625</v>
      </c>
      <c r="O435" s="34">
        <f t="shared" si="12"/>
        <v>430.5625</v>
      </c>
      <c r="Q435" s="34">
        <v>676</v>
      </c>
    </row>
    <row r="436" spans="12:17" ht="13.5" customHeight="1" x14ac:dyDescent="0.35">
      <c r="L436" s="34">
        <v>434</v>
      </c>
      <c r="M436" s="34">
        <v>2</v>
      </c>
      <c r="N436" s="34">
        <f t="shared" si="13"/>
        <v>1.5</v>
      </c>
      <c r="O436" s="34">
        <f t="shared" si="12"/>
        <v>430.5625</v>
      </c>
      <c r="Q436" s="34">
        <v>704</v>
      </c>
    </row>
    <row r="437" spans="12:17" ht="13.5" customHeight="1" x14ac:dyDescent="0.35">
      <c r="L437" s="34">
        <v>435</v>
      </c>
      <c r="M437" s="34">
        <v>2</v>
      </c>
      <c r="N437" s="34">
        <f t="shared" si="13"/>
        <v>1.625</v>
      </c>
      <c r="O437" s="34">
        <f t="shared" si="12"/>
        <v>430.5625</v>
      </c>
      <c r="Q437" s="34">
        <v>760</v>
      </c>
    </row>
    <row r="438" spans="12:17" ht="13.5" customHeight="1" x14ac:dyDescent="0.35">
      <c r="L438" s="34">
        <v>436</v>
      </c>
      <c r="M438" s="34">
        <v>0</v>
      </c>
      <c r="N438" s="34">
        <f t="shared" si="13"/>
        <v>1.5</v>
      </c>
      <c r="O438" s="34">
        <f t="shared" si="12"/>
        <v>430.5625</v>
      </c>
      <c r="Q438" s="34">
        <v>713</v>
      </c>
    </row>
    <row r="439" spans="12:17" ht="13.5" customHeight="1" x14ac:dyDescent="0.35">
      <c r="L439" s="34">
        <v>437</v>
      </c>
      <c r="M439" s="34">
        <v>3</v>
      </c>
      <c r="N439" s="34">
        <f t="shared" si="13"/>
        <v>1.25</v>
      </c>
      <c r="O439" s="34">
        <f t="shared" si="12"/>
        <v>430.5625</v>
      </c>
      <c r="Q439" s="34">
        <v>672</v>
      </c>
    </row>
    <row r="440" spans="12:17" ht="13.5" customHeight="1" x14ac:dyDescent="0.35">
      <c r="L440" s="34">
        <v>438</v>
      </c>
      <c r="M440" s="34">
        <v>1</v>
      </c>
      <c r="N440" s="34">
        <f t="shared" si="13"/>
        <v>1.125</v>
      </c>
      <c r="O440" s="34">
        <f t="shared" si="12"/>
        <v>430.5625</v>
      </c>
      <c r="Q440" s="34">
        <v>739</v>
      </c>
    </row>
    <row r="441" spans="12:17" ht="13.5" customHeight="1" x14ac:dyDescent="0.35">
      <c r="L441" s="34">
        <v>439</v>
      </c>
      <c r="M441" s="34">
        <v>1</v>
      </c>
      <c r="N441" s="34">
        <f t="shared" si="13"/>
        <v>0.875</v>
      </c>
      <c r="O441" s="34">
        <f t="shared" si="12"/>
        <v>430.5625</v>
      </c>
      <c r="Q441" s="34">
        <v>805</v>
      </c>
    </row>
    <row r="442" spans="12:17" ht="13.5" customHeight="1" x14ac:dyDescent="0.35">
      <c r="L442" s="34">
        <v>440</v>
      </c>
      <c r="M442" s="34">
        <v>1</v>
      </c>
      <c r="N442" s="34">
        <f t="shared" si="13"/>
        <v>1.25</v>
      </c>
      <c r="O442" s="34">
        <f t="shared" si="12"/>
        <v>430.5625</v>
      </c>
      <c r="Q442" s="34">
        <v>798</v>
      </c>
    </row>
    <row r="443" spans="12:17" ht="13.5" customHeight="1" x14ac:dyDescent="0.35">
      <c r="L443" s="34">
        <v>441</v>
      </c>
      <c r="M443" s="34">
        <v>0</v>
      </c>
      <c r="N443" s="34">
        <f t="shared" si="13"/>
        <v>1</v>
      </c>
      <c r="O443" s="34">
        <f t="shared" si="12"/>
        <v>430.5625</v>
      </c>
      <c r="Q443" s="34">
        <v>792</v>
      </c>
    </row>
    <row r="444" spans="12:17" ht="13.5" customHeight="1" x14ac:dyDescent="0.35">
      <c r="L444" s="34">
        <v>442</v>
      </c>
      <c r="M444" s="34">
        <v>1</v>
      </c>
      <c r="N444" s="34">
        <f t="shared" si="13"/>
        <v>0.875</v>
      </c>
      <c r="O444" s="34">
        <f t="shared" si="12"/>
        <v>430.5625</v>
      </c>
      <c r="Q444" s="34">
        <v>736</v>
      </c>
    </row>
    <row r="445" spans="12:17" ht="13.5" customHeight="1" x14ac:dyDescent="0.35">
      <c r="L445" s="34">
        <v>443</v>
      </c>
      <c r="M445" s="34">
        <v>0</v>
      </c>
      <c r="N445" s="34">
        <f t="shared" si="13"/>
        <v>0.875</v>
      </c>
      <c r="O445" s="34">
        <f t="shared" si="12"/>
        <v>430.5625</v>
      </c>
      <c r="Q445" s="34">
        <v>792</v>
      </c>
    </row>
    <row r="446" spans="12:17" ht="13.5" customHeight="1" x14ac:dyDescent="0.35">
      <c r="L446" s="34">
        <v>444</v>
      </c>
      <c r="M446" s="34">
        <v>3</v>
      </c>
      <c r="N446" s="34">
        <f t="shared" si="13"/>
        <v>0.875</v>
      </c>
      <c r="O446" s="34">
        <f t="shared" si="12"/>
        <v>430.5625</v>
      </c>
      <c r="Q446" s="34">
        <v>803</v>
      </c>
    </row>
    <row r="447" spans="12:17" ht="13.5" customHeight="1" x14ac:dyDescent="0.35">
      <c r="L447" s="34">
        <v>445</v>
      </c>
      <c r="M447" s="34">
        <v>1</v>
      </c>
      <c r="N447" s="34">
        <f t="shared" si="13"/>
        <v>0.875</v>
      </c>
      <c r="O447" s="34">
        <f t="shared" si="12"/>
        <v>430.5625</v>
      </c>
      <c r="Q447" s="34">
        <v>822</v>
      </c>
    </row>
    <row r="448" spans="12:17" ht="13.5" customHeight="1" x14ac:dyDescent="0.35">
      <c r="L448" s="34">
        <v>446</v>
      </c>
      <c r="M448" s="34">
        <v>0</v>
      </c>
      <c r="N448" s="34">
        <f t="shared" si="13"/>
        <v>1.25</v>
      </c>
      <c r="O448" s="34">
        <f t="shared" si="12"/>
        <v>430.5625</v>
      </c>
      <c r="Q448" s="34">
        <v>861</v>
      </c>
    </row>
    <row r="449" spans="12:17" ht="13.5" customHeight="1" x14ac:dyDescent="0.35">
      <c r="L449" s="34">
        <v>447</v>
      </c>
      <c r="M449" s="34">
        <v>1</v>
      </c>
      <c r="N449" s="34">
        <f t="shared" si="13"/>
        <v>1.5</v>
      </c>
      <c r="O449" s="34">
        <f t="shared" si="12"/>
        <v>430.5625</v>
      </c>
      <c r="Q449" s="34">
        <v>851</v>
      </c>
    </row>
    <row r="450" spans="12:17" ht="13.5" customHeight="1" x14ac:dyDescent="0.35">
      <c r="L450" s="34">
        <v>448</v>
      </c>
      <c r="M450" s="34">
        <v>1</v>
      </c>
      <c r="N450" s="34">
        <f t="shared" si="13"/>
        <v>1.125</v>
      </c>
      <c r="O450" s="34">
        <f t="shared" ref="O450:O513" si="14">MAX($A$35)/2</f>
        <v>430.5625</v>
      </c>
      <c r="Q450" s="34">
        <v>849</v>
      </c>
    </row>
    <row r="451" spans="12:17" ht="13.5" customHeight="1" x14ac:dyDescent="0.35">
      <c r="L451" s="34">
        <v>449</v>
      </c>
      <c r="M451" s="34">
        <v>0</v>
      </c>
      <c r="N451" s="34">
        <f t="shared" si="13"/>
        <v>1</v>
      </c>
      <c r="O451" s="34">
        <f t="shared" si="14"/>
        <v>430.5625</v>
      </c>
      <c r="Q451" s="34">
        <v>821</v>
      </c>
    </row>
    <row r="452" spans="12:17" ht="13.5" customHeight="1" x14ac:dyDescent="0.35">
      <c r="L452" s="34">
        <v>450</v>
      </c>
      <c r="M452" s="34">
        <v>4</v>
      </c>
      <c r="N452" s="34">
        <f t="shared" si="13"/>
        <v>1</v>
      </c>
      <c r="O452" s="34">
        <f t="shared" si="14"/>
        <v>430.5625</v>
      </c>
      <c r="Q452" s="34">
        <v>837</v>
      </c>
    </row>
    <row r="453" spans="12:17" ht="13.5" customHeight="1" x14ac:dyDescent="0.35">
      <c r="L453" s="34">
        <v>451</v>
      </c>
      <c r="M453" s="34">
        <v>2</v>
      </c>
      <c r="N453" s="34">
        <f t="shared" ref="N453:N516" si="15">AVERAGE(M450:M457)</f>
        <v>1.25</v>
      </c>
      <c r="O453" s="34">
        <f t="shared" si="14"/>
        <v>430.5625</v>
      </c>
      <c r="Q453" s="34">
        <v>888</v>
      </c>
    </row>
    <row r="454" spans="12:17" ht="13.5" customHeight="1" x14ac:dyDescent="0.35">
      <c r="L454" s="34">
        <v>452</v>
      </c>
      <c r="M454" s="34">
        <v>0</v>
      </c>
      <c r="N454" s="34">
        <f t="shared" si="15"/>
        <v>1.25</v>
      </c>
      <c r="O454" s="34">
        <f t="shared" si="14"/>
        <v>430.5625</v>
      </c>
      <c r="Q454" s="34">
        <v>886</v>
      </c>
    </row>
    <row r="455" spans="12:17" ht="13.5" customHeight="1" x14ac:dyDescent="0.35">
      <c r="L455" s="34">
        <v>453</v>
      </c>
      <c r="M455" s="34">
        <v>0</v>
      </c>
      <c r="N455" s="34">
        <f t="shared" si="15"/>
        <v>1.25</v>
      </c>
      <c r="O455" s="34">
        <f t="shared" si="14"/>
        <v>430.5625</v>
      </c>
      <c r="Q455" s="34">
        <v>890</v>
      </c>
    </row>
    <row r="456" spans="12:17" ht="13.5" customHeight="1" x14ac:dyDescent="0.35">
      <c r="L456" s="34">
        <v>454</v>
      </c>
      <c r="M456" s="34">
        <v>0</v>
      </c>
      <c r="N456" s="34">
        <f t="shared" si="15"/>
        <v>0.875</v>
      </c>
      <c r="O456" s="34">
        <f t="shared" si="14"/>
        <v>430.5625</v>
      </c>
      <c r="Q456" s="34">
        <v>856</v>
      </c>
    </row>
    <row r="457" spans="12:17" ht="13.5" customHeight="1" x14ac:dyDescent="0.35">
      <c r="L457" s="34">
        <v>455</v>
      </c>
      <c r="M457" s="34">
        <v>3</v>
      </c>
      <c r="N457" s="34">
        <f t="shared" si="15"/>
        <v>0.625</v>
      </c>
      <c r="O457" s="34">
        <f t="shared" si="14"/>
        <v>430.5625</v>
      </c>
      <c r="Q457" s="34">
        <v>896</v>
      </c>
    </row>
    <row r="458" spans="12:17" ht="13.5" customHeight="1" x14ac:dyDescent="0.35">
      <c r="L458" s="34">
        <v>456</v>
      </c>
      <c r="M458" s="34">
        <v>1</v>
      </c>
      <c r="N458" s="34">
        <f t="shared" si="15"/>
        <v>0.625</v>
      </c>
      <c r="O458" s="34">
        <f t="shared" si="14"/>
        <v>430.5625</v>
      </c>
      <c r="Q458" s="34">
        <v>884</v>
      </c>
    </row>
    <row r="459" spans="12:17" ht="13.5" customHeight="1" x14ac:dyDescent="0.35">
      <c r="L459" s="34">
        <v>457</v>
      </c>
      <c r="M459" s="34">
        <v>0</v>
      </c>
      <c r="N459" s="34">
        <f t="shared" si="15"/>
        <v>0.875</v>
      </c>
      <c r="O459" s="34">
        <f t="shared" si="14"/>
        <v>430.5625</v>
      </c>
      <c r="Q459" s="34">
        <v>882</v>
      </c>
    </row>
    <row r="460" spans="12:17" ht="13.5" customHeight="1" x14ac:dyDescent="0.35">
      <c r="L460" s="34">
        <v>458</v>
      </c>
      <c r="M460" s="34">
        <v>1</v>
      </c>
      <c r="N460" s="34">
        <f t="shared" si="15"/>
        <v>0.875</v>
      </c>
      <c r="O460" s="34">
        <f t="shared" si="14"/>
        <v>430.5625</v>
      </c>
      <c r="Q460" s="34">
        <v>891</v>
      </c>
    </row>
    <row r="461" spans="12:17" ht="13.5" customHeight="1" x14ac:dyDescent="0.35">
      <c r="L461" s="34">
        <v>459</v>
      </c>
      <c r="M461" s="34">
        <v>0</v>
      </c>
      <c r="N461" s="34">
        <f t="shared" si="15"/>
        <v>0.5</v>
      </c>
      <c r="O461" s="34">
        <f t="shared" si="14"/>
        <v>430.5625</v>
      </c>
      <c r="Q461" s="34">
        <v>951</v>
      </c>
    </row>
    <row r="462" spans="12:17" ht="13.5" customHeight="1" x14ac:dyDescent="0.35">
      <c r="L462" s="34">
        <v>460</v>
      </c>
      <c r="M462" s="34">
        <v>0</v>
      </c>
      <c r="N462" s="34">
        <f t="shared" si="15"/>
        <v>0.375</v>
      </c>
      <c r="O462" s="34">
        <f t="shared" si="14"/>
        <v>430.5625</v>
      </c>
      <c r="Q462" s="34">
        <v>890</v>
      </c>
    </row>
    <row r="463" spans="12:17" ht="13.5" customHeight="1" x14ac:dyDescent="0.35">
      <c r="L463" s="34">
        <v>461</v>
      </c>
      <c r="M463" s="34">
        <v>2</v>
      </c>
      <c r="N463" s="34">
        <f t="shared" si="15"/>
        <v>0.375</v>
      </c>
      <c r="O463" s="34">
        <f t="shared" si="14"/>
        <v>430.5625</v>
      </c>
      <c r="Q463" s="34">
        <v>889</v>
      </c>
    </row>
    <row r="464" spans="12:17" ht="13.5" customHeight="1" x14ac:dyDescent="0.35">
      <c r="L464" s="34">
        <v>462</v>
      </c>
      <c r="M464" s="34">
        <v>0</v>
      </c>
      <c r="N464" s="34">
        <f t="shared" si="15"/>
        <v>0.375</v>
      </c>
      <c r="O464" s="34">
        <f t="shared" si="14"/>
        <v>430.5625</v>
      </c>
      <c r="Q464" s="34">
        <v>911</v>
      </c>
    </row>
    <row r="465" spans="12:17" ht="13.5" customHeight="1" x14ac:dyDescent="0.35">
      <c r="L465" s="34">
        <v>463</v>
      </c>
      <c r="M465" s="34">
        <v>0</v>
      </c>
      <c r="N465" s="34">
        <f t="shared" si="15"/>
        <v>0.5</v>
      </c>
      <c r="O465" s="34">
        <f t="shared" si="14"/>
        <v>430.5625</v>
      </c>
      <c r="Q465" s="34">
        <v>974</v>
      </c>
    </row>
    <row r="466" spans="12:17" ht="13.5" customHeight="1" x14ac:dyDescent="0.35">
      <c r="L466" s="34">
        <v>464</v>
      </c>
      <c r="M466" s="34">
        <v>0</v>
      </c>
      <c r="N466" s="34">
        <f t="shared" si="15"/>
        <v>0.5</v>
      </c>
      <c r="O466" s="34">
        <f t="shared" si="14"/>
        <v>430.5625</v>
      </c>
      <c r="Q466" s="34">
        <v>856</v>
      </c>
    </row>
    <row r="467" spans="12:17" ht="13.5" customHeight="1" x14ac:dyDescent="0.35">
      <c r="L467" s="34">
        <v>465</v>
      </c>
      <c r="M467" s="34">
        <v>0</v>
      </c>
      <c r="N467" s="34">
        <f t="shared" si="15"/>
        <v>0.25</v>
      </c>
      <c r="O467" s="34">
        <f t="shared" si="14"/>
        <v>430.5625</v>
      </c>
      <c r="Q467" s="34">
        <v>932</v>
      </c>
    </row>
    <row r="468" spans="12:17" ht="13.5" customHeight="1" x14ac:dyDescent="0.35">
      <c r="L468" s="34">
        <v>466</v>
      </c>
      <c r="M468" s="34">
        <v>1</v>
      </c>
      <c r="N468" s="34">
        <f t="shared" si="15"/>
        <v>0.25</v>
      </c>
      <c r="O468" s="34">
        <f t="shared" si="14"/>
        <v>430.5625</v>
      </c>
      <c r="Q468" s="34">
        <v>924</v>
      </c>
    </row>
    <row r="469" spans="12:17" ht="13.5" customHeight="1" x14ac:dyDescent="0.35">
      <c r="L469" s="34">
        <v>467</v>
      </c>
      <c r="M469" s="34">
        <v>1</v>
      </c>
      <c r="N469" s="34">
        <f t="shared" si="15"/>
        <v>0.375</v>
      </c>
      <c r="O469" s="34">
        <f t="shared" si="14"/>
        <v>430.5625</v>
      </c>
      <c r="Q469" s="34">
        <v>910</v>
      </c>
    </row>
    <row r="470" spans="12:17" ht="13.5" customHeight="1" x14ac:dyDescent="0.35">
      <c r="L470" s="34">
        <v>468</v>
      </c>
      <c r="M470" s="34">
        <v>0</v>
      </c>
      <c r="N470" s="34">
        <f t="shared" si="15"/>
        <v>0.5</v>
      </c>
      <c r="O470" s="34">
        <f t="shared" si="14"/>
        <v>430.5625</v>
      </c>
      <c r="Q470" s="34">
        <v>927</v>
      </c>
    </row>
    <row r="471" spans="12:17" ht="13.5" customHeight="1" x14ac:dyDescent="0.35">
      <c r="L471" s="34">
        <v>469</v>
      </c>
      <c r="M471" s="34">
        <v>0</v>
      </c>
      <c r="N471" s="34">
        <f t="shared" si="15"/>
        <v>0.625</v>
      </c>
      <c r="O471" s="34">
        <f t="shared" si="14"/>
        <v>430.5625</v>
      </c>
      <c r="Q471" s="34">
        <v>997</v>
      </c>
    </row>
    <row r="472" spans="12:17" ht="13.5" customHeight="1" x14ac:dyDescent="0.35">
      <c r="L472" s="34">
        <v>470</v>
      </c>
      <c r="M472" s="34">
        <v>0</v>
      </c>
      <c r="N472" s="34">
        <f t="shared" si="15"/>
        <v>0.625</v>
      </c>
      <c r="O472" s="34">
        <f t="shared" si="14"/>
        <v>430.5625</v>
      </c>
      <c r="Q472" s="34">
        <v>987</v>
      </c>
    </row>
    <row r="473" spans="12:17" ht="13.5" customHeight="1" x14ac:dyDescent="0.35">
      <c r="L473" s="34">
        <v>471</v>
      </c>
      <c r="M473" s="34">
        <v>1</v>
      </c>
      <c r="N473" s="34">
        <f t="shared" si="15"/>
        <v>0.5</v>
      </c>
      <c r="O473" s="34">
        <f t="shared" si="14"/>
        <v>430.5625</v>
      </c>
      <c r="Q473" s="34">
        <v>946</v>
      </c>
    </row>
    <row r="474" spans="12:17" ht="13.5" customHeight="1" x14ac:dyDescent="0.35">
      <c r="L474" s="34">
        <v>472</v>
      </c>
      <c r="M474" s="34">
        <v>1</v>
      </c>
      <c r="N474" s="34">
        <f t="shared" si="15"/>
        <v>0.5</v>
      </c>
      <c r="O474" s="34">
        <f t="shared" si="14"/>
        <v>430.5625</v>
      </c>
      <c r="Q474" s="34">
        <v>976</v>
      </c>
    </row>
    <row r="475" spans="12:17" ht="13.5" customHeight="1" x14ac:dyDescent="0.35">
      <c r="L475" s="34">
        <v>473</v>
      </c>
      <c r="M475" s="34">
        <v>1</v>
      </c>
      <c r="N475" s="34">
        <f t="shared" si="15"/>
        <v>0.5</v>
      </c>
      <c r="O475" s="34">
        <f t="shared" si="14"/>
        <v>430.5625</v>
      </c>
      <c r="Q475" s="34">
        <v>891</v>
      </c>
    </row>
    <row r="476" spans="12:17" ht="13.5" customHeight="1" x14ac:dyDescent="0.35">
      <c r="L476" s="34">
        <v>474</v>
      </c>
      <c r="M476" s="34">
        <v>1</v>
      </c>
      <c r="N476" s="34">
        <f t="shared" si="15"/>
        <v>0.5</v>
      </c>
      <c r="O476" s="34">
        <f t="shared" si="14"/>
        <v>430.5625</v>
      </c>
      <c r="Q476" s="34">
        <v>984</v>
      </c>
    </row>
    <row r="477" spans="12:17" ht="13.5" customHeight="1" x14ac:dyDescent="0.35">
      <c r="L477" s="34">
        <v>475</v>
      </c>
      <c r="M477" s="34">
        <v>0</v>
      </c>
      <c r="N477" s="34">
        <f t="shared" si="15"/>
        <v>0.625</v>
      </c>
      <c r="O477" s="34">
        <f t="shared" si="14"/>
        <v>430.5625</v>
      </c>
      <c r="Q477" s="34">
        <v>951</v>
      </c>
    </row>
    <row r="478" spans="12:17" ht="13.5" customHeight="1" x14ac:dyDescent="0.35">
      <c r="L478" s="34">
        <v>476</v>
      </c>
      <c r="M478" s="34">
        <v>0</v>
      </c>
      <c r="N478" s="34">
        <f t="shared" si="15"/>
        <v>0.5</v>
      </c>
      <c r="O478" s="34">
        <f t="shared" si="14"/>
        <v>430.5625</v>
      </c>
      <c r="Q478" s="34">
        <v>984</v>
      </c>
    </row>
    <row r="479" spans="12:17" ht="13.5" customHeight="1" x14ac:dyDescent="0.35">
      <c r="L479" s="34">
        <v>477</v>
      </c>
      <c r="M479" s="34">
        <v>0</v>
      </c>
      <c r="N479" s="34">
        <f t="shared" si="15"/>
        <v>0.375</v>
      </c>
      <c r="O479" s="34">
        <f t="shared" si="14"/>
        <v>430.5625</v>
      </c>
      <c r="Q479" s="34">
        <v>973</v>
      </c>
    </row>
    <row r="480" spans="12:17" ht="13.5" customHeight="1" x14ac:dyDescent="0.35">
      <c r="L480" s="34">
        <v>478</v>
      </c>
      <c r="M480" s="34">
        <v>0</v>
      </c>
      <c r="N480" s="34">
        <f t="shared" si="15"/>
        <v>0.25</v>
      </c>
      <c r="O480" s="34">
        <f t="shared" si="14"/>
        <v>430.5625</v>
      </c>
      <c r="Q480" s="34">
        <v>940</v>
      </c>
    </row>
    <row r="481" spans="12:17" ht="13.5" customHeight="1" x14ac:dyDescent="0.35">
      <c r="L481" s="34">
        <v>479</v>
      </c>
      <c r="M481" s="34">
        <v>2</v>
      </c>
      <c r="N481" s="34">
        <f t="shared" si="15"/>
        <v>0.375</v>
      </c>
      <c r="O481" s="34">
        <f t="shared" si="14"/>
        <v>430.5625</v>
      </c>
      <c r="Q481" s="34">
        <v>990</v>
      </c>
    </row>
    <row r="482" spans="12:17" ht="13.5" customHeight="1" x14ac:dyDescent="0.35">
      <c r="L482" s="34">
        <v>480</v>
      </c>
      <c r="M482" s="34">
        <v>0</v>
      </c>
      <c r="N482" s="34">
        <f t="shared" si="15"/>
        <v>0.5</v>
      </c>
      <c r="O482" s="34">
        <f t="shared" si="14"/>
        <v>430.5625</v>
      </c>
      <c r="Q482" s="34">
        <v>994</v>
      </c>
    </row>
    <row r="483" spans="12:17" ht="13.5" customHeight="1" x14ac:dyDescent="0.35">
      <c r="L483" s="34">
        <v>481</v>
      </c>
      <c r="M483" s="34">
        <v>0</v>
      </c>
      <c r="N483" s="34">
        <f t="shared" si="15"/>
        <v>0.625</v>
      </c>
      <c r="O483" s="34">
        <f t="shared" si="14"/>
        <v>430.5625</v>
      </c>
      <c r="Q483" s="34">
        <v>958</v>
      </c>
    </row>
    <row r="484" spans="12:17" ht="13.5" customHeight="1" x14ac:dyDescent="0.35">
      <c r="L484" s="34">
        <v>482</v>
      </c>
      <c r="M484" s="34">
        <v>0</v>
      </c>
      <c r="N484" s="34">
        <f t="shared" si="15"/>
        <v>0.625</v>
      </c>
      <c r="O484" s="34">
        <f t="shared" si="14"/>
        <v>430.5625</v>
      </c>
      <c r="Q484" s="34">
        <v>981</v>
      </c>
    </row>
    <row r="485" spans="12:17" ht="13.5" customHeight="1" x14ac:dyDescent="0.35">
      <c r="L485" s="34">
        <v>483</v>
      </c>
      <c r="M485" s="34">
        <v>1</v>
      </c>
      <c r="N485" s="34">
        <f t="shared" si="15"/>
        <v>0.375</v>
      </c>
      <c r="O485" s="34">
        <f t="shared" si="14"/>
        <v>430.5625</v>
      </c>
      <c r="Q485" s="34">
        <v>976</v>
      </c>
    </row>
    <row r="486" spans="12:17" ht="13.5" customHeight="1" x14ac:dyDescent="0.35">
      <c r="L486" s="34">
        <v>484</v>
      </c>
      <c r="M486" s="34">
        <v>1</v>
      </c>
      <c r="N486" s="34">
        <f t="shared" si="15"/>
        <v>0.375</v>
      </c>
      <c r="O486" s="34">
        <f t="shared" si="14"/>
        <v>430.5625</v>
      </c>
      <c r="Q486" s="34">
        <v>955</v>
      </c>
    </row>
    <row r="487" spans="12:17" ht="13.5" customHeight="1" x14ac:dyDescent="0.35">
      <c r="L487" s="34">
        <v>485</v>
      </c>
      <c r="M487" s="34">
        <v>1</v>
      </c>
      <c r="N487" s="34">
        <f t="shared" si="15"/>
        <v>0.375</v>
      </c>
      <c r="O487" s="34">
        <f t="shared" si="14"/>
        <v>430.5625</v>
      </c>
      <c r="Q487" s="34">
        <v>906</v>
      </c>
    </row>
    <row r="488" spans="12:17" ht="13.5" customHeight="1" x14ac:dyDescent="0.35">
      <c r="L488" s="34">
        <v>486</v>
      </c>
      <c r="M488" s="34">
        <v>0</v>
      </c>
      <c r="N488" s="34">
        <f t="shared" si="15"/>
        <v>0.5</v>
      </c>
      <c r="O488" s="34">
        <f t="shared" si="14"/>
        <v>430.5625</v>
      </c>
      <c r="Q488" s="34">
        <v>976</v>
      </c>
    </row>
    <row r="489" spans="12:17" ht="13.5" customHeight="1" x14ac:dyDescent="0.35">
      <c r="L489" s="34">
        <v>487</v>
      </c>
      <c r="M489" s="34">
        <v>0</v>
      </c>
      <c r="N489" s="34">
        <f t="shared" si="15"/>
        <v>0.625</v>
      </c>
      <c r="O489" s="34">
        <f t="shared" si="14"/>
        <v>430.5625</v>
      </c>
      <c r="Q489" s="34">
        <v>936</v>
      </c>
    </row>
    <row r="490" spans="12:17" ht="13.5" customHeight="1" x14ac:dyDescent="0.35">
      <c r="L490" s="34">
        <v>488</v>
      </c>
      <c r="M490" s="34">
        <v>0</v>
      </c>
      <c r="N490" s="34">
        <f t="shared" si="15"/>
        <v>0.5</v>
      </c>
      <c r="O490" s="34">
        <f t="shared" si="14"/>
        <v>430.5625</v>
      </c>
      <c r="Q490" s="34">
        <v>963</v>
      </c>
    </row>
    <row r="491" spans="12:17" ht="13.5" customHeight="1" x14ac:dyDescent="0.35">
      <c r="L491" s="34">
        <v>489</v>
      </c>
      <c r="M491" s="34">
        <v>0</v>
      </c>
      <c r="N491" s="34">
        <f t="shared" si="15"/>
        <v>0.375</v>
      </c>
      <c r="O491" s="34">
        <f t="shared" si="14"/>
        <v>430.5625</v>
      </c>
      <c r="Q491" s="34">
        <v>932</v>
      </c>
    </row>
    <row r="492" spans="12:17" ht="13.5" customHeight="1" x14ac:dyDescent="0.35">
      <c r="L492" s="34">
        <v>490</v>
      </c>
      <c r="M492" s="34">
        <v>1</v>
      </c>
      <c r="N492" s="34">
        <f t="shared" si="15"/>
        <v>0.375</v>
      </c>
      <c r="O492" s="34">
        <f t="shared" si="14"/>
        <v>430.5625</v>
      </c>
      <c r="Q492" s="34">
        <v>918</v>
      </c>
    </row>
    <row r="493" spans="12:17" ht="13.5" customHeight="1" x14ac:dyDescent="0.35">
      <c r="L493" s="34">
        <v>491</v>
      </c>
      <c r="M493" s="34">
        <v>2</v>
      </c>
      <c r="N493" s="34">
        <f t="shared" si="15"/>
        <v>0.375</v>
      </c>
      <c r="O493" s="34">
        <f t="shared" si="14"/>
        <v>430.5625</v>
      </c>
      <c r="Q493" s="34">
        <v>935</v>
      </c>
    </row>
    <row r="494" spans="12:17" ht="13.5" customHeight="1" x14ac:dyDescent="0.35">
      <c r="L494" s="34">
        <v>492</v>
      </c>
      <c r="M494" s="34">
        <v>0</v>
      </c>
      <c r="N494" s="34">
        <f t="shared" si="15"/>
        <v>0.5</v>
      </c>
      <c r="O494" s="34">
        <f t="shared" si="14"/>
        <v>430.5625</v>
      </c>
      <c r="Q494" s="34">
        <v>901</v>
      </c>
    </row>
    <row r="495" spans="12:17" ht="13.5" customHeight="1" x14ac:dyDescent="0.35">
      <c r="L495" s="34">
        <v>493</v>
      </c>
      <c r="M495" s="34">
        <v>0</v>
      </c>
      <c r="N495" s="34">
        <f t="shared" si="15"/>
        <v>0.5</v>
      </c>
      <c r="O495" s="34">
        <f t="shared" si="14"/>
        <v>430.5625</v>
      </c>
      <c r="Q495" s="34">
        <v>910</v>
      </c>
    </row>
    <row r="496" spans="12:17" ht="13.5" customHeight="1" x14ac:dyDescent="0.35">
      <c r="L496" s="34">
        <v>494</v>
      </c>
      <c r="M496" s="34">
        <v>0</v>
      </c>
      <c r="N496" s="34">
        <f t="shared" si="15"/>
        <v>0.375</v>
      </c>
      <c r="O496" s="34">
        <f t="shared" si="14"/>
        <v>430.5625</v>
      </c>
      <c r="Q496" s="34">
        <v>953</v>
      </c>
    </row>
    <row r="497" spans="12:17" ht="13.5" customHeight="1" x14ac:dyDescent="0.35">
      <c r="L497" s="34">
        <v>495</v>
      </c>
      <c r="M497" s="34">
        <v>0</v>
      </c>
      <c r="N497" s="34">
        <f t="shared" si="15"/>
        <v>0.125</v>
      </c>
      <c r="O497" s="34">
        <f t="shared" si="14"/>
        <v>430.5625</v>
      </c>
      <c r="Q497" s="34">
        <v>982</v>
      </c>
    </row>
    <row r="498" spans="12:17" ht="13.5" customHeight="1" x14ac:dyDescent="0.35">
      <c r="L498" s="34">
        <v>496</v>
      </c>
      <c r="M498" s="34">
        <v>1</v>
      </c>
      <c r="N498" s="34">
        <f t="shared" si="15"/>
        <v>0.125</v>
      </c>
      <c r="O498" s="34">
        <f t="shared" si="14"/>
        <v>430.5625</v>
      </c>
      <c r="Q498" s="34">
        <v>932</v>
      </c>
    </row>
    <row r="499" spans="12:17" ht="13.5" customHeight="1" x14ac:dyDescent="0.35">
      <c r="L499" s="34">
        <v>497</v>
      </c>
      <c r="M499" s="34">
        <v>0</v>
      </c>
      <c r="N499" s="34">
        <f t="shared" si="15"/>
        <v>0.125</v>
      </c>
      <c r="O499" s="34">
        <f t="shared" si="14"/>
        <v>430.5625</v>
      </c>
      <c r="Q499" s="34">
        <v>915</v>
      </c>
    </row>
    <row r="500" spans="12:17" ht="13.5" customHeight="1" x14ac:dyDescent="0.35">
      <c r="L500" s="34">
        <v>498</v>
      </c>
      <c r="M500" s="34">
        <v>0</v>
      </c>
      <c r="N500" s="34">
        <f t="shared" si="15"/>
        <v>0.25</v>
      </c>
      <c r="O500" s="34">
        <f t="shared" si="14"/>
        <v>430.5625</v>
      </c>
      <c r="Q500" s="34">
        <v>954</v>
      </c>
    </row>
    <row r="501" spans="12:17" ht="13.5" customHeight="1" x14ac:dyDescent="0.35">
      <c r="L501" s="34">
        <v>499</v>
      </c>
      <c r="M501" s="34">
        <v>0</v>
      </c>
      <c r="N501" s="34">
        <f t="shared" si="15"/>
        <v>0.25</v>
      </c>
      <c r="O501" s="34">
        <f t="shared" si="14"/>
        <v>430.5625</v>
      </c>
      <c r="Q501" s="34">
        <v>960</v>
      </c>
    </row>
    <row r="502" spans="12:17" ht="13.5" customHeight="1" x14ac:dyDescent="0.35">
      <c r="L502" s="34">
        <v>500</v>
      </c>
      <c r="M502" s="34">
        <v>0</v>
      </c>
      <c r="N502" s="34">
        <f t="shared" si="15"/>
        <v>0.125</v>
      </c>
      <c r="O502" s="34">
        <f t="shared" si="14"/>
        <v>430.5625</v>
      </c>
      <c r="Q502" s="34">
        <v>948</v>
      </c>
    </row>
    <row r="503" spans="12:17" ht="13.5" customHeight="1" x14ac:dyDescent="0.35">
      <c r="L503" s="34">
        <v>501</v>
      </c>
      <c r="M503" s="34">
        <v>0</v>
      </c>
      <c r="N503" s="34">
        <f t="shared" si="15"/>
        <v>0.25</v>
      </c>
      <c r="O503" s="34">
        <f t="shared" si="14"/>
        <v>430.5625</v>
      </c>
      <c r="Q503" s="34">
        <v>942</v>
      </c>
    </row>
    <row r="504" spans="12:17" ht="13.5" customHeight="1" x14ac:dyDescent="0.35">
      <c r="L504" s="34">
        <v>502</v>
      </c>
      <c r="M504" s="34">
        <v>1</v>
      </c>
      <c r="N504" s="34">
        <f t="shared" si="15"/>
        <v>0.25</v>
      </c>
      <c r="O504" s="34">
        <f t="shared" si="14"/>
        <v>430.5625</v>
      </c>
      <c r="Q504" s="34">
        <v>909</v>
      </c>
    </row>
    <row r="505" spans="12:17" ht="13.5" customHeight="1" x14ac:dyDescent="0.35">
      <c r="L505" s="34">
        <v>503</v>
      </c>
      <c r="M505" s="34">
        <v>0</v>
      </c>
      <c r="N505" s="34">
        <f t="shared" si="15"/>
        <v>0.375</v>
      </c>
      <c r="O505" s="34">
        <f t="shared" si="14"/>
        <v>430.5625</v>
      </c>
      <c r="Q505" s="34">
        <v>988</v>
      </c>
    </row>
    <row r="506" spans="12:17" ht="13.5" customHeight="1" x14ac:dyDescent="0.35">
      <c r="L506" s="34">
        <v>504</v>
      </c>
      <c r="M506" s="34">
        <v>0</v>
      </c>
      <c r="N506" s="34">
        <f t="shared" si="15"/>
        <v>0.5</v>
      </c>
      <c r="O506" s="34">
        <f t="shared" si="14"/>
        <v>430.5625</v>
      </c>
      <c r="Q506" s="34">
        <v>908</v>
      </c>
    </row>
    <row r="507" spans="12:17" ht="13.5" customHeight="1" x14ac:dyDescent="0.35">
      <c r="L507" s="34">
        <v>505</v>
      </c>
      <c r="M507" s="34">
        <v>1</v>
      </c>
      <c r="N507" s="34">
        <f t="shared" si="15"/>
        <v>0.5</v>
      </c>
      <c r="O507" s="34">
        <f t="shared" si="14"/>
        <v>430.5625</v>
      </c>
      <c r="Q507" s="34">
        <v>941</v>
      </c>
    </row>
    <row r="508" spans="12:17" ht="13.5" customHeight="1" x14ac:dyDescent="0.35">
      <c r="L508" s="34">
        <v>506</v>
      </c>
      <c r="M508" s="34">
        <v>0</v>
      </c>
      <c r="N508" s="34">
        <f t="shared" si="15"/>
        <v>0.5</v>
      </c>
      <c r="O508" s="34">
        <f t="shared" si="14"/>
        <v>430.5625</v>
      </c>
      <c r="Q508" s="34">
        <v>924</v>
      </c>
    </row>
    <row r="509" spans="12:17" ht="13.5" customHeight="1" x14ac:dyDescent="0.35">
      <c r="L509" s="34">
        <v>507</v>
      </c>
      <c r="M509" s="34">
        <v>1</v>
      </c>
      <c r="N509" s="34">
        <f t="shared" si="15"/>
        <v>0.5</v>
      </c>
      <c r="O509" s="34">
        <f t="shared" si="14"/>
        <v>430.5625</v>
      </c>
      <c r="Q509" s="34">
        <v>893</v>
      </c>
    </row>
    <row r="510" spans="12:17" ht="13.5" customHeight="1" x14ac:dyDescent="0.35">
      <c r="L510" s="34">
        <v>508</v>
      </c>
      <c r="M510" s="34">
        <v>1</v>
      </c>
      <c r="N510" s="34">
        <f t="shared" si="15"/>
        <v>0.625</v>
      </c>
      <c r="O510" s="34">
        <f t="shared" si="14"/>
        <v>430.5625</v>
      </c>
      <c r="Q510" s="34">
        <v>904</v>
      </c>
    </row>
    <row r="511" spans="12:17" ht="13.5" customHeight="1" x14ac:dyDescent="0.35">
      <c r="L511" s="34">
        <v>509</v>
      </c>
      <c r="M511" s="34">
        <v>0</v>
      </c>
      <c r="N511" s="34">
        <f t="shared" si="15"/>
        <v>0.5</v>
      </c>
      <c r="O511" s="34">
        <f t="shared" si="14"/>
        <v>430.5625</v>
      </c>
      <c r="Q511" s="34">
        <v>901</v>
      </c>
    </row>
    <row r="512" spans="12:17" ht="13.5" customHeight="1" x14ac:dyDescent="0.35">
      <c r="L512" s="34">
        <v>510</v>
      </c>
      <c r="M512" s="34">
        <v>1</v>
      </c>
      <c r="N512" s="34">
        <f t="shared" si="15"/>
        <v>0.625</v>
      </c>
      <c r="O512" s="34">
        <f t="shared" si="14"/>
        <v>430.5625</v>
      </c>
      <c r="Q512" s="34">
        <v>847</v>
      </c>
    </row>
    <row r="513" spans="12:17" ht="13.5" customHeight="1" x14ac:dyDescent="0.35">
      <c r="L513" s="34">
        <v>511</v>
      </c>
      <c r="M513" s="34">
        <v>0</v>
      </c>
      <c r="N513" s="34">
        <f t="shared" si="15"/>
        <v>0.5</v>
      </c>
      <c r="O513" s="34">
        <f t="shared" si="14"/>
        <v>430.5625</v>
      </c>
      <c r="Q513" s="34">
        <v>875</v>
      </c>
    </row>
    <row r="514" spans="12:17" ht="13.5" customHeight="1" x14ac:dyDescent="0.35">
      <c r="L514" s="34">
        <v>512</v>
      </c>
      <c r="M514" s="34">
        <v>1</v>
      </c>
      <c r="N514" s="34">
        <f t="shared" si="15"/>
        <v>0.375</v>
      </c>
      <c r="O514" s="34">
        <f t="shared" ref="O514:O577" si="16">MAX($A$35)/2</f>
        <v>430.5625</v>
      </c>
      <c r="Q514" s="34">
        <v>838</v>
      </c>
    </row>
    <row r="515" spans="12:17" ht="13.5" customHeight="1" x14ac:dyDescent="0.35">
      <c r="L515" s="34">
        <v>513</v>
      </c>
      <c r="M515" s="34">
        <v>0</v>
      </c>
      <c r="N515" s="34">
        <f t="shared" si="15"/>
        <v>0.5</v>
      </c>
      <c r="O515" s="34">
        <f t="shared" si="16"/>
        <v>430.5625</v>
      </c>
      <c r="Q515" s="34">
        <v>837</v>
      </c>
    </row>
    <row r="516" spans="12:17" ht="13.5" customHeight="1" x14ac:dyDescent="0.35">
      <c r="L516" s="34">
        <v>514</v>
      </c>
      <c r="M516" s="34">
        <v>1</v>
      </c>
      <c r="N516" s="34">
        <f t="shared" si="15"/>
        <v>0.375</v>
      </c>
      <c r="O516" s="34">
        <f t="shared" si="16"/>
        <v>430.5625</v>
      </c>
      <c r="Q516" s="34">
        <v>856</v>
      </c>
    </row>
    <row r="517" spans="12:17" ht="13.5" customHeight="1" x14ac:dyDescent="0.35">
      <c r="L517" s="34">
        <v>515</v>
      </c>
      <c r="M517" s="34">
        <v>0</v>
      </c>
      <c r="N517" s="34">
        <f t="shared" ref="N517:N580" si="17">AVERAGE(M514:M521)</f>
        <v>0.5</v>
      </c>
      <c r="O517" s="34">
        <f t="shared" si="16"/>
        <v>430.5625</v>
      </c>
      <c r="Q517" s="34">
        <v>810</v>
      </c>
    </row>
    <row r="518" spans="12:17" ht="13.5" customHeight="1" x14ac:dyDescent="0.35">
      <c r="L518" s="34">
        <v>516</v>
      </c>
      <c r="M518" s="34">
        <v>0</v>
      </c>
      <c r="N518" s="34">
        <f t="shared" si="17"/>
        <v>0.5</v>
      </c>
      <c r="O518" s="34">
        <f t="shared" si="16"/>
        <v>430.5625</v>
      </c>
      <c r="Q518" s="34">
        <v>872</v>
      </c>
    </row>
    <row r="519" spans="12:17" ht="13.5" customHeight="1" x14ac:dyDescent="0.35">
      <c r="L519" s="34">
        <v>517</v>
      </c>
      <c r="M519" s="34">
        <v>1</v>
      </c>
      <c r="N519" s="34">
        <f t="shared" si="17"/>
        <v>0.5</v>
      </c>
      <c r="O519" s="34">
        <f t="shared" si="16"/>
        <v>430.5625</v>
      </c>
      <c r="Q519" s="34">
        <v>817</v>
      </c>
    </row>
    <row r="520" spans="12:17" ht="13.5" customHeight="1" x14ac:dyDescent="0.35">
      <c r="L520" s="34">
        <v>518</v>
      </c>
      <c r="M520" s="34">
        <v>0</v>
      </c>
      <c r="N520" s="34">
        <f t="shared" si="17"/>
        <v>0.375</v>
      </c>
      <c r="O520" s="34">
        <f t="shared" si="16"/>
        <v>430.5625</v>
      </c>
      <c r="Q520" s="34">
        <v>857</v>
      </c>
    </row>
    <row r="521" spans="12:17" ht="13.5" customHeight="1" x14ac:dyDescent="0.35">
      <c r="L521" s="34">
        <v>519</v>
      </c>
      <c r="M521" s="34">
        <v>1</v>
      </c>
      <c r="N521" s="34">
        <f t="shared" si="17"/>
        <v>0.375</v>
      </c>
      <c r="O521" s="34">
        <f t="shared" si="16"/>
        <v>430.5625</v>
      </c>
      <c r="Q521" s="34">
        <v>786</v>
      </c>
    </row>
    <row r="522" spans="12:17" ht="13.5" customHeight="1" x14ac:dyDescent="0.35">
      <c r="L522" s="34">
        <v>520</v>
      </c>
      <c r="M522" s="34">
        <v>1</v>
      </c>
      <c r="N522" s="34">
        <f t="shared" si="17"/>
        <v>0.5</v>
      </c>
      <c r="O522" s="34">
        <f t="shared" si="16"/>
        <v>430.5625</v>
      </c>
      <c r="Q522" s="34">
        <v>826</v>
      </c>
    </row>
    <row r="523" spans="12:17" ht="13.5" customHeight="1" x14ac:dyDescent="0.35">
      <c r="L523" s="34">
        <v>521</v>
      </c>
      <c r="M523" s="34">
        <v>0</v>
      </c>
      <c r="N523" s="34">
        <f t="shared" si="17"/>
        <v>0.375</v>
      </c>
      <c r="O523" s="34">
        <f t="shared" si="16"/>
        <v>430.5625</v>
      </c>
      <c r="Q523" s="34">
        <v>799</v>
      </c>
    </row>
    <row r="524" spans="12:17" ht="13.5" customHeight="1" x14ac:dyDescent="0.35">
      <c r="L524" s="34">
        <v>522</v>
      </c>
      <c r="M524" s="34">
        <v>0</v>
      </c>
      <c r="N524" s="34">
        <f t="shared" si="17"/>
        <v>0.375</v>
      </c>
      <c r="O524" s="34">
        <f t="shared" si="16"/>
        <v>430.5625</v>
      </c>
      <c r="Q524" s="34">
        <v>811</v>
      </c>
    </row>
    <row r="525" spans="12:17" ht="13.5" customHeight="1" x14ac:dyDescent="0.35">
      <c r="L525" s="34">
        <v>523</v>
      </c>
      <c r="M525" s="34">
        <v>0</v>
      </c>
      <c r="N525" s="34">
        <f t="shared" si="17"/>
        <v>0.25</v>
      </c>
      <c r="O525" s="34">
        <f t="shared" si="16"/>
        <v>430.5625</v>
      </c>
      <c r="Q525" s="34">
        <v>837</v>
      </c>
    </row>
    <row r="526" spans="12:17" ht="13.5" customHeight="1" x14ac:dyDescent="0.35">
      <c r="L526" s="34">
        <v>524</v>
      </c>
      <c r="M526" s="34">
        <v>1</v>
      </c>
      <c r="N526" s="34">
        <f t="shared" si="17"/>
        <v>0.25</v>
      </c>
      <c r="O526" s="34">
        <f t="shared" si="16"/>
        <v>430.5625</v>
      </c>
      <c r="Q526" s="34">
        <v>821</v>
      </c>
    </row>
    <row r="527" spans="12:17" ht="13.5" customHeight="1" x14ac:dyDescent="0.35">
      <c r="L527" s="34">
        <v>525</v>
      </c>
      <c r="M527" s="34">
        <v>0</v>
      </c>
      <c r="N527" s="34">
        <f t="shared" si="17"/>
        <v>0.25</v>
      </c>
      <c r="O527" s="34">
        <f t="shared" si="16"/>
        <v>430.5625</v>
      </c>
      <c r="Q527" s="34">
        <v>757</v>
      </c>
    </row>
    <row r="528" spans="12:17" ht="13.5" customHeight="1" x14ac:dyDescent="0.35">
      <c r="L528" s="34">
        <v>526</v>
      </c>
      <c r="M528" s="34">
        <v>0</v>
      </c>
      <c r="N528" s="34">
        <f t="shared" si="17"/>
        <v>0.25</v>
      </c>
      <c r="O528" s="34">
        <f t="shared" si="16"/>
        <v>430.5625</v>
      </c>
      <c r="Q528" s="34">
        <v>824</v>
      </c>
    </row>
    <row r="529" spans="12:17" ht="13.5" customHeight="1" x14ac:dyDescent="0.35">
      <c r="L529" s="34">
        <v>527</v>
      </c>
      <c r="M529" s="34">
        <v>0</v>
      </c>
      <c r="N529" s="34">
        <f t="shared" si="17"/>
        <v>0.25</v>
      </c>
      <c r="O529" s="34">
        <f t="shared" si="16"/>
        <v>430.5625</v>
      </c>
      <c r="Q529" s="34">
        <v>806</v>
      </c>
    </row>
    <row r="530" spans="12:17" ht="13.5" customHeight="1" x14ac:dyDescent="0.35">
      <c r="L530" s="34">
        <v>528</v>
      </c>
      <c r="M530" s="34">
        <v>1</v>
      </c>
      <c r="N530" s="34">
        <f t="shared" si="17"/>
        <v>0.25</v>
      </c>
      <c r="O530" s="34">
        <f t="shared" si="16"/>
        <v>430.5625</v>
      </c>
      <c r="Q530" s="34">
        <v>739</v>
      </c>
    </row>
    <row r="531" spans="12:17" ht="13.5" customHeight="1" x14ac:dyDescent="0.35">
      <c r="L531" s="34">
        <v>529</v>
      </c>
      <c r="M531" s="34">
        <v>0</v>
      </c>
      <c r="N531" s="34">
        <f t="shared" si="17"/>
        <v>0.375</v>
      </c>
      <c r="O531" s="34">
        <f t="shared" si="16"/>
        <v>430.5625</v>
      </c>
      <c r="Q531" s="34">
        <v>777</v>
      </c>
    </row>
    <row r="532" spans="12:17" ht="13.5" customHeight="1" x14ac:dyDescent="0.35">
      <c r="L532" s="34">
        <v>530</v>
      </c>
      <c r="M532" s="34">
        <v>0</v>
      </c>
      <c r="N532" s="34">
        <f t="shared" si="17"/>
        <v>0.5</v>
      </c>
      <c r="O532" s="34">
        <f t="shared" si="16"/>
        <v>430.5625</v>
      </c>
      <c r="Q532" s="34">
        <v>729</v>
      </c>
    </row>
    <row r="533" spans="12:17" ht="13.5" customHeight="1" x14ac:dyDescent="0.35">
      <c r="L533" s="34">
        <v>531</v>
      </c>
      <c r="M533" s="34">
        <v>0</v>
      </c>
      <c r="N533" s="34">
        <f t="shared" si="17"/>
        <v>0.5</v>
      </c>
      <c r="O533" s="34">
        <f t="shared" si="16"/>
        <v>430.5625</v>
      </c>
      <c r="Q533" s="34">
        <v>767</v>
      </c>
    </row>
    <row r="534" spans="12:17" ht="13.5" customHeight="1" x14ac:dyDescent="0.35">
      <c r="L534" s="34">
        <v>532</v>
      </c>
      <c r="M534" s="34">
        <v>1</v>
      </c>
      <c r="N534" s="34">
        <f t="shared" si="17"/>
        <v>0.375</v>
      </c>
      <c r="O534" s="34">
        <f t="shared" si="16"/>
        <v>430.5625</v>
      </c>
      <c r="Q534" s="34">
        <v>708</v>
      </c>
    </row>
    <row r="535" spans="12:17" ht="13.5" customHeight="1" x14ac:dyDescent="0.35">
      <c r="L535" s="34">
        <v>533</v>
      </c>
      <c r="M535" s="34">
        <v>1</v>
      </c>
      <c r="N535" s="34">
        <f t="shared" si="17"/>
        <v>0.375</v>
      </c>
      <c r="O535" s="34">
        <f t="shared" si="16"/>
        <v>430.5625</v>
      </c>
      <c r="Q535" s="34">
        <v>722</v>
      </c>
    </row>
    <row r="536" spans="12:17" ht="13.5" customHeight="1" x14ac:dyDescent="0.35">
      <c r="L536" s="34">
        <v>534</v>
      </c>
      <c r="M536" s="34">
        <v>1</v>
      </c>
      <c r="N536" s="34">
        <f t="shared" si="17"/>
        <v>0.375</v>
      </c>
      <c r="O536" s="34">
        <f t="shared" si="16"/>
        <v>430.5625</v>
      </c>
      <c r="Q536" s="34">
        <v>706</v>
      </c>
    </row>
    <row r="537" spans="12:17" ht="13.5" customHeight="1" x14ac:dyDescent="0.35">
      <c r="L537" s="34">
        <v>535</v>
      </c>
      <c r="M537" s="34">
        <v>0</v>
      </c>
      <c r="N537" s="34">
        <f t="shared" si="17"/>
        <v>0.375</v>
      </c>
      <c r="O537" s="34">
        <f t="shared" si="16"/>
        <v>430.5625</v>
      </c>
      <c r="Q537" s="34">
        <v>706</v>
      </c>
    </row>
    <row r="538" spans="12:17" ht="13.5" customHeight="1" x14ac:dyDescent="0.35">
      <c r="L538" s="34">
        <v>536</v>
      </c>
      <c r="M538" s="34">
        <v>0</v>
      </c>
      <c r="N538" s="34">
        <f t="shared" si="17"/>
        <v>0.25</v>
      </c>
      <c r="O538" s="34">
        <f t="shared" si="16"/>
        <v>430.5625</v>
      </c>
      <c r="Q538" s="34">
        <v>715</v>
      </c>
    </row>
    <row r="539" spans="12:17" ht="13.5" customHeight="1" x14ac:dyDescent="0.35">
      <c r="L539" s="34">
        <v>537</v>
      </c>
      <c r="M539" s="34">
        <v>0</v>
      </c>
      <c r="N539" s="34">
        <f t="shared" si="17"/>
        <v>0.125</v>
      </c>
      <c r="O539" s="34">
        <f t="shared" si="16"/>
        <v>430.5625</v>
      </c>
      <c r="Q539" s="34">
        <v>687</v>
      </c>
    </row>
    <row r="540" spans="12:17" ht="13.5" customHeight="1" x14ac:dyDescent="0.35">
      <c r="L540" s="34">
        <v>538</v>
      </c>
      <c r="M540" s="34">
        <v>0</v>
      </c>
      <c r="N540" s="34">
        <f t="shared" si="17"/>
        <v>0.125</v>
      </c>
      <c r="O540" s="34">
        <f t="shared" si="16"/>
        <v>430.5625</v>
      </c>
      <c r="Q540" s="34">
        <v>695</v>
      </c>
    </row>
    <row r="541" spans="12:17" ht="13.5" customHeight="1" x14ac:dyDescent="0.35">
      <c r="L541" s="34">
        <v>539</v>
      </c>
      <c r="M541" s="34">
        <v>0</v>
      </c>
      <c r="N541" s="34">
        <f t="shared" si="17"/>
        <v>0.125</v>
      </c>
      <c r="O541" s="34">
        <f t="shared" si="16"/>
        <v>430.5625</v>
      </c>
      <c r="Q541" s="34">
        <v>679</v>
      </c>
    </row>
    <row r="542" spans="12:17" ht="13.5" customHeight="1" x14ac:dyDescent="0.35">
      <c r="L542" s="34">
        <v>540</v>
      </c>
      <c r="M542" s="34">
        <v>0</v>
      </c>
      <c r="N542" s="34">
        <f t="shared" si="17"/>
        <v>0.125</v>
      </c>
      <c r="O542" s="34">
        <f t="shared" si="16"/>
        <v>430.5625</v>
      </c>
      <c r="Q542" s="34">
        <v>643</v>
      </c>
    </row>
    <row r="543" spans="12:17" ht="13.5" customHeight="1" x14ac:dyDescent="0.35">
      <c r="L543" s="34">
        <v>541</v>
      </c>
      <c r="M543" s="34">
        <v>0</v>
      </c>
      <c r="N543" s="34">
        <f t="shared" si="17"/>
        <v>0.125</v>
      </c>
      <c r="O543" s="34">
        <f t="shared" si="16"/>
        <v>430.5625</v>
      </c>
      <c r="Q543" s="34">
        <v>646</v>
      </c>
    </row>
    <row r="544" spans="12:17" ht="13.5" customHeight="1" x14ac:dyDescent="0.35">
      <c r="L544" s="34">
        <v>542</v>
      </c>
      <c r="M544" s="34">
        <v>1</v>
      </c>
      <c r="N544" s="34">
        <f t="shared" si="17"/>
        <v>0.125</v>
      </c>
      <c r="O544" s="34">
        <f t="shared" si="16"/>
        <v>430.5625</v>
      </c>
      <c r="Q544" s="34">
        <v>627</v>
      </c>
    </row>
    <row r="545" spans="12:17" ht="13.5" customHeight="1" x14ac:dyDescent="0.35">
      <c r="L545" s="34">
        <v>543</v>
      </c>
      <c r="M545" s="34">
        <v>0</v>
      </c>
      <c r="N545" s="34">
        <f t="shared" si="17"/>
        <v>0.25</v>
      </c>
      <c r="O545" s="34">
        <f t="shared" si="16"/>
        <v>430.5625</v>
      </c>
      <c r="Q545" s="34">
        <v>672</v>
      </c>
    </row>
    <row r="546" spans="12:17" ht="13.5" customHeight="1" x14ac:dyDescent="0.35">
      <c r="L546" s="34">
        <v>544</v>
      </c>
      <c r="M546" s="34">
        <v>0</v>
      </c>
      <c r="N546" s="34">
        <f t="shared" si="17"/>
        <v>0.375</v>
      </c>
      <c r="O546" s="34">
        <f t="shared" si="16"/>
        <v>430.5625</v>
      </c>
      <c r="Q546" s="34">
        <v>660</v>
      </c>
    </row>
    <row r="547" spans="12:17" ht="13.5" customHeight="1" x14ac:dyDescent="0.35">
      <c r="L547" s="34">
        <v>545</v>
      </c>
      <c r="M547" s="34">
        <v>0</v>
      </c>
      <c r="N547" s="34">
        <f t="shared" si="17"/>
        <v>0.375</v>
      </c>
      <c r="O547" s="34">
        <f t="shared" si="16"/>
        <v>430.5625</v>
      </c>
      <c r="Q547" s="34">
        <v>633</v>
      </c>
    </row>
    <row r="548" spans="12:17" ht="13.5" customHeight="1" x14ac:dyDescent="0.35">
      <c r="L548" s="34">
        <v>546</v>
      </c>
      <c r="M548" s="34">
        <v>0</v>
      </c>
      <c r="N548" s="34">
        <f t="shared" si="17"/>
        <v>0.375</v>
      </c>
      <c r="O548" s="34">
        <f t="shared" si="16"/>
        <v>430.5625</v>
      </c>
      <c r="Q548" s="34">
        <v>616</v>
      </c>
    </row>
    <row r="549" spans="12:17" ht="13.5" customHeight="1" x14ac:dyDescent="0.35">
      <c r="L549" s="34">
        <v>547</v>
      </c>
      <c r="M549" s="34">
        <v>1</v>
      </c>
      <c r="N549" s="34">
        <f t="shared" si="17"/>
        <v>0.375</v>
      </c>
      <c r="O549" s="34">
        <f t="shared" si="16"/>
        <v>430.5625</v>
      </c>
      <c r="Q549" s="34">
        <v>626</v>
      </c>
    </row>
    <row r="550" spans="12:17" ht="13.5" customHeight="1" x14ac:dyDescent="0.35">
      <c r="L550" s="34">
        <v>548</v>
      </c>
      <c r="M550" s="34">
        <v>1</v>
      </c>
      <c r="N550" s="34">
        <f t="shared" si="17"/>
        <v>0.5</v>
      </c>
      <c r="O550" s="34">
        <f t="shared" si="16"/>
        <v>430.5625</v>
      </c>
      <c r="Q550" s="34">
        <v>552</v>
      </c>
    </row>
    <row r="551" spans="12:17" ht="13.5" customHeight="1" x14ac:dyDescent="0.35">
      <c r="L551" s="34">
        <v>549</v>
      </c>
      <c r="M551" s="34">
        <v>0</v>
      </c>
      <c r="N551" s="34">
        <f t="shared" si="17"/>
        <v>0.5</v>
      </c>
      <c r="O551" s="34">
        <f t="shared" si="16"/>
        <v>430.5625</v>
      </c>
      <c r="Q551" s="34">
        <v>611</v>
      </c>
    </row>
    <row r="552" spans="12:17" ht="13.5" customHeight="1" x14ac:dyDescent="0.35">
      <c r="L552" s="34">
        <v>550</v>
      </c>
      <c r="M552" s="34">
        <v>1</v>
      </c>
      <c r="N552" s="34">
        <f t="shared" si="17"/>
        <v>0.625</v>
      </c>
      <c r="O552" s="34">
        <f t="shared" si="16"/>
        <v>430.5625</v>
      </c>
      <c r="Q552" s="34">
        <v>589</v>
      </c>
    </row>
    <row r="553" spans="12:17" ht="13.5" customHeight="1" x14ac:dyDescent="0.35">
      <c r="L553" s="34">
        <v>551</v>
      </c>
      <c r="M553" s="34">
        <v>0</v>
      </c>
      <c r="N553" s="34">
        <f t="shared" si="17"/>
        <v>0.625</v>
      </c>
      <c r="O553" s="34">
        <f t="shared" si="16"/>
        <v>430.5625</v>
      </c>
      <c r="Q553" s="34">
        <v>551</v>
      </c>
    </row>
    <row r="554" spans="12:17" ht="13.5" customHeight="1" x14ac:dyDescent="0.35">
      <c r="L554" s="34">
        <v>552</v>
      </c>
      <c r="M554" s="34">
        <v>1</v>
      </c>
      <c r="N554" s="34">
        <f t="shared" si="17"/>
        <v>0.5</v>
      </c>
      <c r="O554" s="34">
        <f t="shared" si="16"/>
        <v>430.5625</v>
      </c>
      <c r="Q554" s="34">
        <v>607</v>
      </c>
    </row>
    <row r="555" spans="12:17" ht="13.5" customHeight="1" x14ac:dyDescent="0.35">
      <c r="L555" s="34">
        <v>553</v>
      </c>
      <c r="M555" s="34">
        <v>0</v>
      </c>
      <c r="N555" s="34">
        <f t="shared" si="17"/>
        <v>0.5</v>
      </c>
      <c r="O555" s="34">
        <f t="shared" si="16"/>
        <v>430.5625</v>
      </c>
      <c r="Q555" s="34">
        <v>537</v>
      </c>
    </row>
    <row r="556" spans="12:17" ht="13.5" customHeight="1" x14ac:dyDescent="0.35">
      <c r="L556" s="34">
        <v>554</v>
      </c>
      <c r="M556" s="34">
        <v>1</v>
      </c>
      <c r="N556" s="34">
        <f t="shared" si="17"/>
        <v>0.375</v>
      </c>
      <c r="O556" s="34">
        <f t="shared" si="16"/>
        <v>430.5625</v>
      </c>
      <c r="Q556" s="34">
        <v>612</v>
      </c>
    </row>
    <row r="557" spans="12:17" ht="13.5" customHeight="1" x14ac:dyDescent="0.35">
      <c r="L557" s="34">
        <v>555</v>
      </c>
      <c r="M557" s="34">
        <v>1</v>
      </c>
      <c r="N557" s="34">
        <f t="shared" si="17"/>
        <v>0.5</v>
      </c>
      <c r="O557" s="34">
        <f t="shared" si="16"/>
        <v>430.5625</v>
      </c>
      <c r="Q557" s="34">
        <v>557</v>
      </c>
    </row>
    <row r="558" spans="12:17" ht="13.5" customHeight="1" x14ac:dyDescent="0.35">
      <c r="L558" s="34">
        <v>556</v>
      </c>
      <c r="M558" s="34">
        <v>0</v>
      </c>
      <c r="N558" s="34">
        <f t="shared" si="17"/>
        <v>0.5</v>
      </c>
      <c r="O558" s="34">
        <f t="shared" si="16"/>
        <v>430.5625</v>
      </c>
      <c r="Q558" s="34">
        <v>557</v>
      </c>
    </row>
    <row r="559" spans="12:17" ht="13.5" customHeight="1" x14ac:dyDescent="0.35">
      <c r="L559" s="34">
        <v>557</v>
      </c>
      <c r="M559" s="34">
        <v>0</v>
      </c>
      <c r="N559" s="34">
        <f t="shared" si="17"/>
        <v>0.5</v>
      </c>
      <c r="O559" s="34">
        <f t="shared" si="16"/>
        <v>430.5625</v>
      </c>
      <c r="Q559" s="34">
        <v>525</v>
      </c>
    </row>
    <row r="560" spans="12:17" ht="13.5" customHeight="1" x14ac:dyDescent="0.35">
      <c r="L560" s="34">
        <v>558</v>
      </c>
      <c r="M560" s="34">
        <v>0</v>
      </c>
      <c r="N560" s="34">
        <f t="shared" si="17"/>
        <v>0.5</v>
      </c>
      <c r="O560" s="34">
        <f t="shared" si="16"/>
        <v>430.5625</v>
      </c>
      <c r="Q560" s="34">
        <v>500</v>
      </c>
    </row>
    <row r="561" spans="12:17" ht="13.5" customHeight="1" x14ac:dyDescent="0.35">
      <c r="L561" s="34">
        <v>559</v>
      </c>
      <c r="M561" s="34">
        <v>1</v>
      </c>
      <c r="N561" s="34">
        <f t="shared" si="17"/>
        <v>0.375</v>
      </c>
      <c r="O561" s="34">
        <f t="shared" si="16"/>
        <v>430.5625</v>
      </c>
      <c r="Q561" s="34">
        <v>507</v>
      </c>
    </row>
    <row r="562" spans="12:17" ht="13.5" customHeight="1" x14ac:dyDescent="0.35">
      <c r="L562" s="34">
        <v>560</v>
      </c>
      <c r="M562" s="34">
        <v>1</v>
      </c>
      <c r="N562" s="34">
        <f t="shared" si="17"/>
        <v>0.375</v>
      </c>
      <c r="O562" s="34">
        <f t="shared" si="16"/>
        <v>430.5625</v>
      </c>
      <c r="Q562" s="34">
        <v>475</v>
      </c>
    </row>
    <row r="563" spans="12:17" ht="13.5" customHeight="1" x14ac:dyDescent="0.35">
      <c r="L563" s="34">
        <v>561</v>
      </c>
      <c r="M563" s="34">
        <v>0</v>
      </c>
      <c r="N563" s="34">
        <f t="shared" si="17"/>
        <v>0.5</v>
      </c>
      <c r="O563" s="34">
        <f t="shared" si="16"/>
        <v>430.5625</v>
      </c>
      <c r="Q563" s="34">
        <v>523</v>
      </c>
    </row>
    <row r="564" spans="12:17" ht="13.5" customHeight="1" x14ac:dyDescent="0.35">
      <c r="L564" s="34">
        <v>562</v>
      </c>
      <c r="M564" s="34">
        <v>1</v>
      </c>
      <c r="N564" s="34">
        <f t="shared" si="17"/>
        <v>0.5</v>
      </c>
      <c r="O564" s="34">
        <f t="shared" si="16"/>
        <v>430.5625</v>
      </c>
      <c r="Q564" s="34">
        <v>442</v>
      </c>
    </row>
    <row r="565" spans="12:17" ht="13.5" customHeight="1" x14ac:dyDescent="0.35">
      <c r="L565" s="34">
        <v>563</v>
      </c>
      <c r="M565" s="34">
        <v>0</v>
      </c>
      <c r="N565" s="34">
        <f t="shared" si="17"/>
        <v>0.375</v>
      </c>
      <c r="O565" s="34">
        <f t="shared" si="16"/>
        <v>430.5625</v>
      </c>
      <c r="Q565" s="34">
        <v>486</v>
      </c>
    </row>
    <row r="566" spans="12:17" ht="13.5" customHeight="1" x14ac:dyDescent="0.35">
      <c r="L566" s="34">
        <v>564</v>
      </c>
      <c r="M566" s="34">
        <v>0</v>
      </c>
      <c r="N566" s="34">
        <f t="shared" si="17"/>
        <v>0.25</v>
      </c>
      <c r="O566" s="34">
        <f t="shared" si="16"/>
        <v>430.5625</v>
      </c>
      <c r="Q566" s="34">
        <v>447</v>
      </c>
    </row>
    <row r="567" spans="12:17" ht="13.5" customHeight="1" x14ac:dyDescent="0.35">
      <c r="L567" s="34">
        <v>565</v>
      </c>
      <c r="M567" s="34">
        <v>1</v>
      </c>
      <c r="N567" s="34">
        <f t="shared" si="17"/>
        <v>0.375</v>
      </c>
      <c r="O567" s="34">
        <f t="shared" si="16"/>
        <v>430.5625</v>
      </c>
      <c r="Q567" s="34">
        <v>479</v>
      </c>
    </row>
    <row r="568" spans="12:17" ht="13.5" customHeight="1" x14ac:dyDescent="0.35">
      <c r="L568" s="34">
        <v>566</v>
      </c>
      <c r="M568" s="34">
        <v>0</v>
      </c>
      <c r="N568" s="34">
        <f t="shared" si="17"/>
        <v>0.25</v>
      </c>
      <c r="O568" s="34">
        <f t="shared" si="16"/>
        <v>430.5625</v>
      </c>
      <c r="Q568" s="34">
        <v>450</v>
      </c>
    </row>
    <row r="569" spans="12:17" ht="13.5" customHeight="1" x14ac:dyDescent="0.35">
      <c r="L569" s="34">
        <v>567</v>
      </c>
      <c r="M569" s="34">
        <v>0</v>
      </c>
      <c r="N569" s="34">
        <f t="shared" si="17"/>
        <v>0.25</v>
      </c>
      <c r="O569" s="34">
        <f t="shared" si="16"/>
        <v>430.5625</v>
      </c>
      <c r="Q569" s="34">
        <v>437</v>
      </c>
    </row>
    <row r="570" spans="12:17" ht="13.5" customHeight="1" x14ac:dyDescent="0.35">
      <c r="L570" s="34">
        <v>568</v>
      </c>
      <c r="M570" s="34">
        <v>0</v>
      </c>
      <c r="N570" s="34">
        <f t="shared" si="17"/>
        <v>0.25</v>
      </c>
      <c r="O570" s="34">
        <f t="shared" si="16"/>
        <v>430.5625</v>
      </c>
      <c r="Q570" s="34">
        <v>420</v>
      </c>
    </row>
    <row r="571" spans="12:17" ht="13.5" customHeight="1" x14ac:dyDescent="0.35">
      <c r="L571" s="34">
        <v>569</v>
      </c>
      <c r="M571" s="34">
        <v>1</v>
      </c>
      <c r="N571" s="34">
        <f t="shared" si="17"/>
        <v>0.25</v>
      </c>
      <c r="O571" s="34">
        <f t="shared" si="16"/>
        <v>430.5625</v>
      </c>
      <c r="Q571" s="34">
        <v>389</v>
      </c>
    </row>
    <row r="572" spans="12:17" ht="13.5" customHeight="1" x14ac:dyDescent="0.35">
      <c r="L572" s="34">
        <v>570</v>
      </c>
      <c r="M572" s="34">
        <v>0</v>
      </c>
      <c r="N572" s="34">
        <f t="shared" si="17"/>
        <v>0.25</v>
      </c>
      <c r="O572" s="34">
        <f t="shared" si="16"/>
        <v>430.5625</v>
      </c>
      <c r="Q572" s="34">
        <v>442</v>
      </c>
    </row>
    <row r="573" spans="12:17" ht="13.5" customHeight="1" x14ac:dyDescent="0.35">
      <c r="L573" s="34">
        <v>571</v>
      </c>
      <c r="M573" s="34">
        <v>0</v>
      </c>
      <c r="N573" s="34">
        <f t="shared" si="17"/>
        <v>0.375</v>
      </c>
      <c r="O573" s="34">
        <f t="shared" si="16"/>
        <v>430.5625</v>
      </c>
      <c r="Q573" s="34">
        <v>402</v>
      </c>
    </row>
    <row r="574" spans="12:17" ht="13.5" customHeight="1" x14ac:dyDescent="0.35">
      <c r="L574" s="34">
        <v>572</v>
      </c>
      <c r="M574" s="34">
        <v>0</v>
      </c>
      <c r="N574" s="34">
        <f t="shared" si="17"/>
        <v>0.375</v>
      </c>
      <c r="O574" s="34">
        <f t="shared" si="16"/>
        <v>430.5625</v>
      </c>
      <c r="Q574" s="34">
        <v>429</v>
      </c>
    </row>
    <row r="575" spans="12:17" ht="13.5" customHeight="1" x14ac:dyDescent="0.35">
      <c r="L575" s="34">
        <v>573</v>
      </c>
      <c r="M575" s="34">
        <v>1</v>
      </c>
      <c r="N575" s="34">
        <f t="shared" si="17"/>
        <v>0.25</v>
      </c>
      <c r="O575" s="34">
        <f t="shared" si="16"/>
        <v>430.5625</v>
      </c>
      <c r="Q575" s="34">
        <v>385</v>
      </c>
    </row>
    <row r="576" spans="12:17" ht="13.5" customHeight="1" x14ac:dyDescent="0.35">
      <c r="L576" s="34">
        <v>574</v>
      </c>
      <c r="M576" s="34">
        <v>0</v>
      </c>
      <c r="N576" s="34">
        <f t="shared" si="17"/>
        <v>0.375</v>
      </c>
      <c r="O576" s="34">
        <f t="shared" si="16"/>
        <v>430.5625</v>
      </c>
      <c r="Q576" s="34">
        <v>424</v>
      </c>
    </row>
    <row r="577" spans="12:17" ht="13.5" customHeight="1" x14ac:dyDescent="0.35">
      <c r="L577" s="34">
        <v>575</v>
      </c>
      <c r="M577" s="34">
        <v>1</v>
      </c>
      <c r="N577" s="34">
        <f t="shared" si="17"/>
        <v>0.375</v>
      </c>
      <c r="O577" s="34">
        <f t="shared" si="16"/>
        <v>430.5625</v>
      </c>
      <c r="Q577" s="34">
        <v>402</v>
      </c>
    </row>
    <row r="578" spans="12:17" ht="13.5" customHeight="1" x14ac:dyDescent="0.35">
      <c r="L578" s="34">
        <v>576</v>
      </c>
      <c r="M578" s="34">
        <v>0</v>
      </c>
      <c r="N578" s="34">
        <f t="shared" si="17"/>
        <v>0.5</v>
      </c>
      <c r="O578" s="34">
        <f t="shared" ref="O578:O641" si="18">MAX($A$35)/2</f>
        <v>430.5625</v>
      </c>
      <c r="Q578" s="34">
        <v>380</v>
      </c>
    </row>
    <row r="579" spans="12:17" ht="13.5" customHeight="1" x14ac:dyDescent="0.35">
      <c r="L579" s="34">
        <v>577</v>
      </c>
      <c r="M579" s="34">
        <v>0</v>
      </c>
      <c r="N579" s="34">
        <f t="shared" si="17"/>
        <v>0.375</v>
      </c>
      <c r="O579" s="34">
        <f t="shared" si="18"/>
        <v>430.5625</v>
      </c>
      <c r="Q579" s="34">
        <v>385</v>
      </c>
    </row>
    <row r="580" spans="12:17" ht="13.5" customHeight="1" x14ac:dyDescent="0.35">
      <c r="L580" s="34">
        <v>578</v>
      </c>
      <c r="M580" s="34">
        <v>1</v>
      </c>
      <c r="N580" s="34">
        <f t="shared" si="17"/>
        <v>0.5</v>
      </c>
      <c r="O580" s="34">
        <f t="shared" si="18"/>
        <v>430.5625</v>
      </c>
      <c r="Q580" s="34">
        <v>391</v>
      </c>
    </row>
    <row r="581" spans="12:17" ht="13.5" customHeight="1" x14ac:dyDescent="0.35">
      <c r="L581" s="34">
        <v>579</v>
      </c>
      <c r="M581" s="34">
        <v>0</v>
      </c>
      <c r="N581" s="34">
        <f t="shared" ref="N581:N644" si="19">AVERAGE(M578:M585)</f>
        <v>0.375</v>
      </c>
      <c r="O581" s="34">
        <f t="shared" si="18"/>
        <v>430.5625</v>
      </c>
      <c r="Q581" s="34">
        <v>363</v>
      </c>
    </row>
    <row r="582" spans="12:17" ht="13.5" customHeight="1" x14ac:dyDescent="0.35">
      <c r="L582" s="34">
        <v>580</v>
      </c>
      <c r="M582" s="34">
        <v>1</v>
      </c>
      <c r="N582" s="34">
        <f t="shared" si="19"/>
        <v>0.5</v>
      </c>
      <c r="O582" s="34">
        <f t="shared" si="18"/>
        <v>430.5625</v>
      </c>
      <c r="Q582" s="34">
        <v>341</v>
      </c>
    </row>
    <row r="583" spans="12:17" ht="13.5" customHeight="1" x14ac:dyDescent="0.35">
      <c r="L583" s="34">
        <v>581</v>
      </c>
      <c r="M583" s="34">
        <v>0</v>
      </c>
      <c r="N583" s="34">
        <f t="shared" si="19"/>
        <v>0.75</v>
      </c>
      <c r="O583" s="34">
        <f t="shared" si="18"/>
        <v>430.5625</v>
      </c>
      <c r="Q583" s="34">
        <v>340</v>
      </c>
    </row>
    <row r="584" spans="12:17" ht="13.5" customHeight="1" x14ac:dyDescent="0.35">
      <c r="L584" s="34">
        <v>582</v>
      </c>
      <c r="M584" s="34">
        <v>1</v>
      </c>
      <c r="N584" s="34">
        <f t="shared" si="19"/>
        <v>0.625</v>
      </c>
      <c r="O584" s="34">
        <f t="shared" si="18"/>
        <v>430.5625</v>
      </c>
      <c r="Q584" s="34">
        <v>345</v>
      </c>
    </row>
    <row r="585" spans="12:17" ht="13.5" customHeight="1" x14ac:dyDescent="0.35">
      <c r="L585" s="34">
        <v>583</v>
      </c>
      <c r="M585" s="34">
        <v>0</v>
      </c>
      <c r="N585" s="34">
        <f t="shared" si="19"/>
        <v>0.625</v>
      </c>
      <c r="O585" s="34">
        <f t="shared" si="18"/>
        <v>430.5625</v>
      </c>
      <c r="Q585" s="34">
        <v>289</v>
      </c>
    </row>
    <row r="586" spans="12:17" ht="13.5" customHeight="1" x14ac:dyDescent="0.35">
      <c r="L586" s="34">
        <v>584</v>
      </c>
      <c r="M586" s="34">
        <v>1</v>
      </c>
      <c r="N586" s="34">
        <f t="shared" si="19"/>
        <v>0.5</v>
      </c>
      <c r="O586" s="34">
        <f t="shared" si="18"/>
        <v>430.5625</v>
      </c>
      <c r="Q586" s="34">
        <v>318</v>
      </c>
    </row>
    <row r="587" spans="12:17" ht="13.5" customHeight="1" x14ac:dyDescent="0.35">
      <c r="L587" s="34">
        <v>585</v>
      </c>
      <c r="M587" s="34">
        <v>2</v>
      </c>
      <c r="N587" s="34">
        <f t="shared" si="19"/>
        <v>0.625</v>
      </c>
      <c r="O587" s="34">
        <f t="shared" si="18"/>
        <v>430.5625</v>
      </c>
      <c r="Q587" s="34">
        <v>311</v>
      </c>
    </row>
    <row r="588" spans="12:17" ht="13.5" customHeight="1" x14ac:dyDescent="0.35">
      <c r="L588" s="34">
        <v>586</v>
      </c>
      <c r="M588" s="34">
        <v>0</v>
      </c>
      <c r="N588" s="34">
        <f t="shared" si="19"/>
        <v>0.5</v>
      </c>
      <c r="O588" s="34">
        <f t="shared" si="18"/>
        <v>430.5625</v>
      </c>
      <c r="Q588" s="34">
        <v>327</v>
      </c>
    </row>
    <row r="589" spans="12:17" ht="13.5" customHeight="1" x14ac:dyDescent="0.35">
      <c r="L589" s="34">
        <v>587</v>
      </c>
      <c r="M589" s="34">
        <v>0</v>
      </c>
      <c r="N589" s="34">
        <f t="shared" si="19"/>
        <v>0.5</v>
      </c>
      <c r="O589" s="34">
        <f t="shared" si="18"/>
        <v>430.5625</v>
      </c>
      <c r="Q589" s="34">
        <v>282</v>
      </c>
    </row>
    <row r="590" spans="12:17" ht="13.5" customHeight="1" x14ac:dyDescent="0.35">
      <c r="L590" s="34">
        <v>588</v>
      </c>
      <c r="M590" s="34">
        <v>0</v>
      </c>
      <c r="N590" s="34">
        <f t="shared" si="19"/>
        <v>0.375</v>
      </c>
      <c r="O590" s="34">
        <f t="shared" si="18"/>
        <v>430.5625</v>
      </c>
      <c r="Q590" s="34">
        <v>295</v>
      </c>
    </row>
    <row r="591" spans="12:17" ht="13.5" customHeight="1" x14ac:dyDescent="0.35">
      <c r="L591" s="34">
        <v>589</v>
      </c>
      <c r="M591" s="34">
        <v>1</v>
      </c>
      <c r="N591" s="34">
        <f t="shared" si="19"/>
        <v>0.5</v>
      </c>
      <c r="O591" s="34">
        <f t="shared" si="18"/>
        <v>430.5625</v>
      </c>
      <c r="Q591" s="34">
        <v>269</v>
      </c>
    </row>
    <row r="592" spans="12:17" ht="13.5" customHeight="1" x14ac:dyDescent="0.35">
      <c r="L592" s="34">
        <v>590</v>
      </c>
      <c r="M592" s="34">
        <v>0</v>
      </c>
      <c r="N592" s="34">
        <f t="shared" si="19"/>
        <v>0.75</v>
      </c>
      <c r="O592" s="34">
        <f t="shared" si="18"/>
        <v>430.5625</v>
      </c>
      <c r="Q592" s="34">
        <v>287</v>
      </c>
    </row>
    <row r="593" spans="12:17" ht="13.5" customHeight="1" x14ac:dyDescent="0.35">
      <c r="L593" s="34">
        <v>591</v>
      </c>
      <c r="M593" s="34">
        <v>0</v>
      </c>
      <c r="N593" s="34">
        <f t="shared" si="19"/>
        <v>0.75</v>
      </c>
      <c r="O593" s="34">
        <f t="shared" si="18"/>
        <v>430.5625</v>
      </c>
      <c r="Q593" s="34">
        <v>290</v>
      </c>
    </row>
    <row r="594" spans="12:17" ht="13.5" customHeight="1" x14ac:dyDescent="0.35">
      <c r="L594" s="34">
        <v>592</v>
      </c>
      <c r="M594" s="34">
        <v>0</v>
      </c>
      <c r="N594" s="34">
        <f t="shared" si="19"/>
        <v>0.75</v>
      </c>
      <c r="O594" s="34">
        <f t="shared" si="18"/>
        <v>430.5625</v>
      </c>
      <c r="Q594" s="34">
        <v>268</v>
      </c>
    </row>
    <row r="595" spans="12:17" ht="13.5" customHeight="1" x14ac:dyDescent="0.35">
      <c r="L595" s="34">
        <v>593</v>
      </c>
      <c r="M595" s="34">
        <v>3</v>
      </c>
      <c r="N595" s="34">
        <f t="shared" si="19"/>
        <v>0.625</v>
      </c>
      <c r="O595" s="34">
        <f t="shared" si="18"/>
        <v>430.5625</v>
      </c>
      <c r="Q595" s="34">
        <v>280</v>
      </c>
    </row>
    <row r="596" spans="12:17" ht="13.5" customHeight="1" x14ac:dyDescent="0.35">
      <c r="L596" s="34">
        <v>594</v>
      </c>
      <c r="M596" s="34">
        <v>2</v>
      </c>
      <c r="N596" s="34">
        <f t="shared" si="19"/>
        <v>0.75</v>
      </c>
      <c r="O596" s="34">
        <f t="shared" si="18"/>
        <v>430.5625</v>
      </c>
      <c r="Q596" s="34">
        <v>263</v>
      </c>
    </row>
    <row r="597" spans="12:17" ht="13.5" customHeight="1" x14ac:dyDescent="0.35">
      <c r="L597" s="34">
        <v>595</v>
      </c>
      <c r="M597" s="34">
        <v>0</v>
      </c>
      <c r="N597" s="34">
        <f t="shared" si="19"/>
        <v>0.75</v>
      </c>
      <c r="O597" s="34">
        <f t="shared" si="18"/>
        <v>430.5625</v>
      </c>
      <c r="Q597" s="34">
        <v>237</v>
      </c>
    </row>
    <row r="598" spans="12:17" ht="13.5" customHeight="1" x14ac:dyDescent="0.35">
      <c r="L598" s="34">
        <v>596</v>
      </c>
      <c r="M598" s="34">
        <v>0</v>
      </c>
      <c r="N598" s="34">
        <f t="shared" si="19"/>
        <v>0.75</v>
      </c>
      <c r="O598" s="34">
        <f t="shared" si="18"/>
        <v>430.5625</v>
      </c>
      <c r="Q598" s="34">
        <v>233</v>
      </c>
    </row>
    <row r="599" spans="12:17" ht="13.5" customHeight="1" x14ac:dyDescent="0.35">
      <c r="L599" s="34">
        <v>597</v>
      </c>
      <c r="M599" s="34">
        <v>0</v>
      </c>
      <c r="N599" s="34">
        <f t="shared" si="19"/>
        <v>0.625</v>
      </c>
      <c r="O599" s="34">
        <f t="shared" si="18"/>
        <v>430.5625</v>
      </c>
      <c r="Q599" s="34">
        <v>229</v>
      </c>
    </row>
    <row r="600" spans="12:17" ht="13.5" customHeight="1" x14ac:dyDescent="0.35">
      <c r="L600" s="34">
        <v>598</v>
      </c>
      <c r="M600" s="34">
        <v>1</v>
      </c>
      <c r="N600" s="34">
        <f t="shared" si="19"/>
        <v>0.375</v>
      </c>
      <c r="O600" s="34">
        <f t="shared" si="18"/>
        <v>430.5625</v>
      </c>
      <c r="Q600" s="34">
        <v>230</v>
      </c>
    </row>
    <row r="601" spans="12:17" ht="13.5" customHeight="1" x14ac:dyDescent="0.35">
      <c r="L601" s="34">
        <v>599</v>
      </c>
      <c r="M601" s="34">
        <v>0</v>
      </c>
      <c r="N601" s="34">
        <f t="shared" si="19"/>
        <v>0.375</v>
      </c>
      <c r="O601" s="34">
        <f t="shared" si="18"/>
        <v>430.5625</v>
      </c>
      <c r="Q601" s="34">
        <v>235</v>
      </c>
    </row>
    <row r="602" spans="12:17" ht="13.5" customHeight="1" x14ac:dyDescent="0.35">
      <c r="L602" s="34">
        <v>600</v>
      </c>
      <c r="M602" s="34">
        <v>0</v>
      </c>
      <c r="N602" s="34">
        <f t="shared" si="19"/>
        <v>0.75</v>
      </c>
      <c r="O602" s="34">
        <f t="shared" si="18"/>
        <v>430.5625</v>
      </c>
      <c r="Q602" s="34">
        <v>230</v>
      </c>
    </row>
    <row r="603" spans="12:17" ht="13.5" customHeight="1" x14ac:dyDescent="0.35">
      <c r="L603" s="34">
        <v>601</v>
      </c>
      <c r="M603" s="34">
        <v>2</v>
      </c>
      <c r="N603" s="34">
        <f t="shared" si="19"/>
        <v>0.875</v>
      </c>
      <c r="O603" s="34">
        <f t="shared" si="18"/>
        <v>430.5625</v>
      </c>
      <c r="Q603" s="34">
        <v>227</v>
      </c>
    </row>
    <row r="604" spans="12:17" ht="13.5" customHeight="1" x14ac:dyDescent="0.35">
      <c r="L604" s="34">
        <v>602</v>
      </c>
      <c r="M604" s="34">
        <v>0</v>
      </c>
      <c r="N604" s="34">
        <f t="shared" si="19"/>
        <v>0.75</v>
      </c>
      <c r="O604" s="34">
        <f t="shared" si="18"/>
        <v>430.5625</v>
      </c>
      <c r="Q604" s="34">
        <v>191</v>
      </c>
    </row>
    <row r="605" spans="12:17" ht="13.5" customHeight="1" x14ac:dyDescent="0.35">
      <c r="L605" s="34">
        <v>603</v>
      </c>
      <c r="M605" s="34">
        <v>0</v>
      </c>
      <c r="N605" s="34">
        <f t="shared" si="19"/>
        <v>0.875</v>
      </c>
      <c r="O605" s="34">
        <f t="shared" si="18"/>
        <v>430.5625</v>
      </c>
      <c r="Q605" s="34">
        <v>206</v>
      </c>
    </row>
    <row r="606" spans="12:17" ht="13.5" customHeight="1" x14ac:dyDescent="0.35">
      <c r="L606" s="34">
        <v>604</v>
      </c>
      <c r="M606" s="34">
        <v>3</v>
      </c>
      <c r="N606" s="34">
        <f t="shared" si="19"/>
        <v>0.875</v>
      </c>
      <c r="O606" s="34">
        <f t="shared" si="18"/>
        <v>430.5625</v>
      </c>
      <c r="Q606" s="34">
        <v>190</v>
      </c>
    </row>
    <row r="607" spans="12:17" ht="13.5" customHeight="1" x14ac:dyDescent="0.35">
      <c r="L607" s="34">
        <v>605</v>
      </c>
      <c r="M607" s="34">
        <v>1</v>
      </c>
      <c r="N607" s="34">
        <f t="shared" si="19"/>
        <v>0.625</v>
      </c>
      <c r="O607" s="34">
        <f t="shared" si="18"/>
        <v>430.5625</v>
      </c>
      <c r="Q607" s="34">
        <v>157</v>
      </c>
    </row>
    <row r="608" spans="12:17" ht="13.5" customHeight="1" x14ac:dyDescent="0.35">
      <c r="L608" s="34">
        <v>606</v>
      </c>
      <c r="M608" s="34">
        <v>0</v>
      </c>
      <c r="N608" s="34">
        <f t="shared" si="19"/>
        <v>0.625</v>
      </c>
      <c r="O608" s="34">
        <f t="shared" si="18"/>
        <v>430.5625</v>
      </c>
      <c r="Q608" s="34">
        <v>175</v>
      </c>
    </row>
    <row r="609" spans="12:17" ht="13.5" customHeight="1" x14ac:dyDescent="0.35">
      <c r="L609" s="34">
        <v>607</v>
      </c>
      <c r="M609" s="34">
        <v>1</v>
      </c>
      <c r="N609" s="34">
        <f t="shared" si="19"/>
        <v>0.625</v>
      </c>
      <c r="O609" s="34">
        <f t="shared" si="18"/>
        <v>430.5625</v>
      </c>
      <c r="Q609" s="34">
        <v>190</v>
      </c>
    </row>
    <row r="610" spans="12:17" ht="13.5" customHeight="1" x14ac:dyDescent="0.35">
      <c r="L610" s="34">
        <v>608</v>
      </c>
      <c r="M610" s="34">
        <v>0</v>
      </c>
      <c r="N610" s="34">
        <f t="shared" si="19"/>
        <v>0.25</v>
      </c>
      <c r="O610" s="34">
        <f t="shared" si="18"/>
        <v>430.5625</v>
      </c>
      <c r="Q610" s="34">
        <v>181</v>
      </c>
    </row>
    <row r="611" spans="12:17" ht="13.5" customHeight="1" x14ac:dyDescent="0.35">
      <c r="L611" s="34">
        <v>609</v>
      </c>
      <c r="M611" s="34">
        <v>0</v>
      </c>
      <c r="N611" s="34">
        <f t="shared" si="19"/>
        <v>0.125</v>
      </c>
      <c r="O611" s="34">
        <f t="shared" si="18"/>
        <v>430.5625</v>
      </c>
      <c r="Q611" s="34">
        <v>170</v>
      </c>
    </row>
    <row r="612" spans="12:17" ht="13.5" customHeight="1" x14ac:dyDescent="0.35">
      <c r="L612" s="34">
        <v>610</v>
      </c>
      <c r="M612" s="34">
        <v>0</v>
      </c>
      <c r="N612" s="34">
        <f t="shared" si="19"/>
        <v>0.125</v>
      </c>
      <c r="O612" s="34">
        <f t="shared" si="18"/>
        <v>430.5625</v>
      </c>
      <c r="Q612" s="34">
        <v>155</v>
      </c>
    </row>
    <row r="613" spans="12:17" ht="13.5" customHeight="1" x14ac:dyDescent="0.35">
      <c r="L613" s="34">
        <v>611</v>
      </c>
      <c r="M613" s="34">
        <v>0</v>
      </c>
      <c r="N613" s="34">
        <f t="shared" si="19"/>
        <v>0</v>
      </c>
      <c r="O613" s="34">
        <f t="shared" si="18"/>
        <v>430.5625</v>
      </c>
      <c r="Q613" s="34">
        <v>196</v>
      </c>
    </row>
    <row r="614" spans="12:17" ht="13.5" customHeight="1" x14ac:dyDescent="0.35">
      <c r="L614" s="34">
        <v>612</v>
      </c>
      <c r="M614" s="34">
        <v>0</v>
      </c>
      <c r="N614" s="34">
        <f t="shared" si="19"/>
        <v>0</v>
      </c>
      <c r="O614" s="34">
        <f t="shared" si="18"/>
        <v>430.5625</v>
      </c>
      <c r="Q614" s="34">
        <v>181</v>
      </c>
    </row>
    <row r="615" spans="12:17" ht="13.5" customHeight="1" x14ac:dyDescent="0.35">
      <c r="L615" s="34">
        <v>613</v>
      </c>
      <c r="M615" s="34">
        <v>0</v>
      </c>
      <c r="N615" s="34">
        <f t="shared" si="19"/>
        <v>0</v>
      </c>
      <c r="O615" s="34">
        <f t="shared" si="18"/>
        <v>430.5625</v>
      </c>
      <c r="Q615" s="34">
        <v>173</v>
      </c>
    </row>
    <row r="616" spans="12:17" ht="13.5" customHeight="1" x14ac:dyDescent="0.35">
      <c r="L616" s="34">
        <v>614</v>
      </c>
      <c r="M616" s="34">
        <v>0</v>
      </c>
      <c r="N616" s="34">
        <f t="shared" si="19"/>
        <v>0.125</v>
      </c>
      <c r="O616" s="34">
        <f t="shared" si="18"/>
        <v>430.5625</v>
      </c>
      <c r="Q616" s="34">
        <v>163</v>
      </c>
    </row>
    <row r="617" spans="12:17" ht="13.5" customHeight="1" x14ac:dyDescent="0.35">
      <c r="L617" s="34">
        <v>615</v>
      </c>
      <c r="M617" s="34">
        <v>0</v>
      </c>
      <c r="N617" s="34">
        <f t="shared" si="19"/>
        <v>0.25</v>
      </c>
      <c r="O617" s="34">
        <f t="shared" si="18"/>
        <v>430.5625</v>
      </c>
      <c r="Q617" s="34">
        <v>180</v>
      </c>
    </row>
    <row r="618" spans="12:17" ht="13.5" customHeight="1" x14ac:dyDescent="0.35">
      <c r="L618" s="34">
        <v>616</v>
      </c>
      <c r="M618" s="34">
        <v>0</v>
      </c>
      <c r="N618" s="34">
        <f t="shared" si="19"/>
        <v>0.25</v>
      </c>
      <c r="O618" s="34">
        <f t="shared" si="18"/>
        <v>430.5625</v>
      </c>
      <c r="Q618" s="34">
        <v>142</v>
      </c>
    </row>
    <row r="619" spans="12:17" ht="13.5" customHeight="1" x14ac:dyDescent="0.35">
      <c r="L619" s="34">
        <v>617</v>
      </c>
      <c r="M619" s="34">
        <v>0</v>
      </c>
      <c r="N619" s="34">
        <f t="shared" si="19"/>
        <v>0.25</v>
      </c>
      <c r="O619" s="34">
        <f t="shared" si="18"/>
        <v>430.5625</v>
      </c>
      <c r="Q619" s="34">
        <v>138</v>
      </c>
    </row>
    <row r="620" spans="12:17" ht="13.5" customHeight="1" x14ac:dyDescent="0.35">
      <c r="L620" s="34">
        <v>618</v>
      </c>
      <c r="M620" s="34">
        <v>1</v>
      </c>
      <c r="N620" s="34">
        <f t="shared" si="19"/>
        <v>0.25</v>
      </c>
      <c r="O620" s="34">
        <f t="shared" si="18"/>
        <v>430.5625</v>
      </c>
      <c r="Q620" s="34">
        <v>139</v>
      </c>
    </row>
    <row r="621" spans="12:17" ht="13.5" customHeight="1" x14ac:dyDescent="0.35">
      <c r="L621" s="34">
        <v>619</v>
      </c>
      <c r="M621" s="34">
        <v>1</v>
      </c>
      <c r="N621" s="34">
        <f t="shared" si="19"/>
        <v>0.25</v>
      </c>
      <c r="O621" s="34">
        <f t="shared" si="18"/>
        <v>430.5625</v>
      </c>
      <c r="Q621" s="34">
        <v>137</v>
      </c>
    </row>
    <row r="622" spans="12:17" ht="13.5" customHeight="1" x14ac:dyDescent="0.35">
      <c r="L622" s="34">
        <v>620</v>
      </c>
      <c r="M622" s="34">
        <v>0</v>
      </c>
      <c r="N622" s="34">
        <f t="shared" si="19"/>
        <v>0.375</v>
      </c>
      <c r="O622" s="34">
        <f t="shared" si="18"/>
        <v>430.5625</v>
      </c>
      <c r="Q622" s="34">
        <v>139</v>
      </c>
    </row>
    <row r="623" spans="12:17" ht="13.5" customHeight="1" x14ac:dyDescent="0.35">
      <c r="L623" s="34">
        <v>621</v>
      </c>
      <c r="M623" s="34">
        <v>0</v>
      </c>
      <c r="N623" s="34">
        <f t="shared" si="19"/>
        <v>0.375</v>
      </c>
      <c r="O623" s="34">
        <f t="shared" si="18"/>
        <v>430.5625</v>
      </c>
      <c r="Q623" s="34">
        <v>127</v>
      </c>
    </row>
    <row r="624" spans="12:17" ht="13.5" customHeight="1" x14ac:dyDescent="0.35">
      <c r="L624" s="34">
        <v>622</v>
      </c>
      <c r="M624" s="34">
        <v>0</v>
      </c>
      <c r="N624" s="34">
        <f t="shared" si="19"/>
        <v>0.25</v>
      </c>
      <c r="O624" s="34">
        <f t="shared" si="18"/>
        <v>430.5625</v>
      </c>
      <c r="Q624" s="34">
        <v>125</v>
      </c>
    </row>
    <row r="625" spans="12:17" ht="13.5" customHeight="1" x14ac:dyDescent="0.35">
      <c r="L625" s="34">
        <v>623</v>
      </c>
      <c r="M625" s="34">
        <v>0</v>
      </c>
      <c r="N625" s="34">
        <f t="shared" si="19"/>
        <v>0.125</v>
      </c>
      <c r="O625" s="34">
        <f t="shared" si="18"/>
        <v>430.5625</v>
      </c>
      <c r="Q625" s="34">
        <v>140</v>
      </c>
    </row>
    <row r="626" spans="12:17" ht="13.5" customHeight="1" x14ac:dyDescent="0.35">
      <c r="L626" s="34">
        <v>624</v>
      </c>
      <c r="M626" s="34">
        <v>1</v>
      </c>
      <c r="N626" s="34">
        <f t="shared" si="19"/>
        <v>0.125</v>
      </c>
      <c r="O626" s="34">
        <f t="shared" si="18"/>
        <v>430.5625</v>
      </c>
      <c r="Q626" s="34">
        <v>140</v>
      </c>
    </row>
    <row r="627" spans="12:17" ht="13.5" customHeight="1" x14ac:dyDescent="0.35">
      <c r="L627" s="34">
        <v>625</v>
      </c>
      <c r="M627" s="34">
        <v>0</v>
      </c>
      <c r="N627" s="34">
        <f t="shared" si="19"/>
        <v>0.125</v>
      </c>
      <c r="O627" s="34">
        <f t="shared" si="18"/>
        <v>430.5625</v>
      </c>
      <c r="Q627" s="34">
        <v>110</v>
      </c>
    </row>
    <row r="628" spans="12:17" ht="13.5" customHeight="1" x14ac:dyDescent="0.35">
      <c r="L628" s="34">
        <v>626</v>
      </c>
      <c r="M628" s="34">
        <v>0</v>
      </c>
      <c r="N628" s="34">
        <f t="shared" si="19"/>
        <v>0.25</v>
      </c>
      <c r="O628" s="34">
        <f t="shared" si="18"/>
        <v>430.5625</v>
      </c>
      <c r="Q628" s="34">
        <v>120</v>
      </c>
    </row>
    <row r="629" spans="12:17" ht="13.5" customHeight="1" x14ac:dyDescent="0.35">
      <c r="L629" s="34">
        <v>627</v>
      </c>
      <c r="M629" s="34">
        <v>0</v>
      </c>
      <c r="N629" s="34">
        <f t="shared" si="19"/>
        <v>0.25</v>
      </c>
      <c r="O629" s="34">
        <f t="shared" si="18"/>
        <v>430.5625</v>
      </c>
      <c r="Q629" s="34">
        <v>123</v>
      </c>
    </row>
    <row r="630" spans="12:17" ht="13.5" customHeight="1" x14ac:dyDescent="0.35">
      <c r="L630" s="34">
        <v>628</v>
      </c>
      <c r="M630" s="34">
        <v>0</v>
      </c>
      <c r="N630" s="34">
        <f t="shared" si="19"/>
        <v>0.25</v>
      </c>
      <c r="O630" s="34">
        <f t="shared" si="18"/>
        <v>430.5625</v>
      </c>
      <c r="Q630" s="34">
        <v>87</v>
      </c>
    </row>
    <row r="631" spans="12:17" ht="13.5" customHeight="1" x14ac:dyDescent="0.35">
      <c r="L631" s="34">
        <v>629</v>
      </c>
      <c r="M631" s="34">
        <v>0</v>
      </c>
      <c r="N631" s="34">
        <f t="shared" si="19"/>
        <v>0.625</v>
      </c>
      <c r="O631" s="34">
        <f t="shared" si="18"/>
        <v>430.5625</v>
      </c>
      <c r="Q631" s="34">
        <v>105</v>
      </c>
    </row>
    <row r="632" spans="12:17" ht="13.5" customHeight="1" x14ac:dyDescent="0.35">
      <c r="L632" s="34">
        <v>630</v>
      </c>
      <c r="M632" s="34">
        <v>1</v>
      </c>
      <c r="N632" s="34">
        <f t="shared" si="19"/>
        <v>0.75</v>
      </c>
      <c r="O632" s="34">
        <f t="shared" si="18"/>
        <v>430.5625</v>
      </c>
      <c r="Q632" s="34">
        <v>100</v>
      </c>
    </row>
    <row r="633" spans="12:17" ht="13.5" customHeight="1" x14ac:dyDescent="0.35">
      <c r="L633" s="34">
        <v>631</v>
      </c>
      <c r="M633" s="34">
        <v>0</v>
      </c>
      <c r="N633" s="34">
        <f t="shared" si="19"/>
        <v>0.875</v>
      </c>
      <c r="O633" s="34">
        <f t="shared" si="18"/>
        <v>430.5625</v>
      </c>
      <c r="Q633" s="34">
        <v>93</v>
      </c>
    </row>
    <row r="634" spans="12:17" ht="13.5" customHeight="1" x14ac:dyDescent="0.35">
      <c r="L634" s="34">
        <v>632</v>
      </c>
      <c r="M634" s="34">
        <v>1</v>
      </c>
      <c r="N634" s="34">
        <f t="shared" si="19"/>
        <v>0.875</v>
      </c>
      <c r="O634" s="34">
        <f t="shared" si="18"/>
        <v>430.5625</v>
      </c>
      <c r="Q634" s="34">
        <v>114</v>
      </c>
    </row>
    <row r="635" spans="12:17" ht="13.5" customHeight="1" x14ac:dyDescent="0.35">
      <c r="L635" s="34">
        <v>633</v>
      </c>
      <c r="M635" s="34">
        <v>3</v>
      </c>
      <c r="N635" s="34">
        <f t="shared" si="19"/>
        <v>1</v>
      </c>
      <c r="O635" s="34">
        <f t="shared" si="18"/>
        <v>430.5625</v>
      </c>
      <c r="Q635" s="34">
        <v>88</v>
      </c>
    </row>
    <row r="636" spans="12:17" ht="13.5" customHeight="1" x14ac:dyDescent="0.35">
      <c r="L636" s="34">
        <v>634</v>
      </c>
      <c r="M636" s="34">
        <v>1</v>
      </c>
      <c r="N636" s="34">
        <f t="shared" si="19"/>
        <v>0.875</v>
      </c>
      <c r="O636" s="34">
        <f t="shared" si="18"/>
        <v>430.5625</v>
      </c>
      <c r="Q636" s="34">
        <v>92</v>
      </c>
    </row>
    <row r="637" spans="12:17" ht="13.5" customHeight="1" x14ac:dyDescent="0.35">
      <c r="L637" s="34">
        <v>635</v>
      </c>
      <c r="M637" s="34">
        <v>1</v>
      </c>
      <c r="N637" s="34">
        <f t="shared" si="19"/>
        <v>0.875</v>
      </c>
      <c r="O637" s="34">
        <f t="shared" si="18"/>
        <v>430.5625</v>
      </c>
      <c r="Q637" s="34">
        <v>94</v>
      </c>
    </row>
    <row r="638" spans="12:17" ht="13.5" customHeight="1" x14ac:dyDescent="0.35">
      <c r="L638" s="34">
        <v>636</v>
      </c>
      <c r="M638" s="34">
        <v>0</v>
      </c>
      <c r="N638" s="34">
        <f t="shared" si="19"/>
        <v>0.875</v>
      </c>
      <c r="O638" s="34">
        <f t="shared" si="18"/>
        <v>430.5625</v>
      </c>
      <c r="Q638" s="34">
        <v>100</v>
      </c>
    </row>
    <row r="639" spans="12:17" ht="13.5" customHeight="1" x14ac:dyDescent="0.35">
      <c r="L639" s="34">
        <v>637</v>
      </c>
      <c r="M639" s="34">
        <v>1</v>
      </c>
      <c r="N639" s="34">
        <f t="shared" si="19"/>
        <v>0.625</v>
      </c>
      <c r="O639" s="34">
        <f t="shared" si="18"/>
        <v>430.5625</v>
      </c>
      <c r="Q639" s="34">
        <v>92</v>
      </c>
    </row>
    <row r="640" spans="12:17" ht="13.5" customHeight="1" x14ac:dyDescent="0.35">
      <c r="L640" s="34">
        <v>638</v>
      </c>
      <c r="M640" s="34">
        <v>0</v>
      </c>
      <c r="N640" s="34">
        <f t="shared" si="19"/>
        <v>0.5</v>
      </c>
      <c r="O640" s="34">
        <f t="shared" si="18"/>
        <v>430.5625</v>
      </c>
      <c r="Q640" s="34">
        <v>76</v>
      </c>
    </row>
    <row r="641" spans="12:17" ht="13.5" customHeight="1" x14ac:dyDescent="0.35">
      <c r="L641" s="34">
        <v>639</v>
      </c>
      <c r="M641" s="34">
        <v>0</v>
      </c>
      <c r="N641" s="34">
        <f t="shared" si="19"/>
        <v>0.375</v>
      </c>
      <c r="O641" s="34">
        <f t="shared" si="18"/>
        <v>430.5625</v>
      </c>
      <c r="Q641" s="34">
        <v>81</v>
      </c>
    </row>
    <row r="642" spans="12:17" ht="13.5" customHeight="1" x14ac:dyDescent="0.35">
      <c r="L642" s="34">
        <v>640</v>
      </c>
      <c r="M642" s="34">
        <v>1</v>
      </c>
      <c r="N642" s="34">
        <f t="shared" si="19"/>
        <v>0.375</v>
      </c>
      <c r="O642" s="34">
        <f t="shared" ref="O642:O685" si="20">MAX($A$35)/2</f>
        <v>430.5625</v>
      </c>
      <c r="Q642" s="34">
        <v>73</v>
      </c>
    </row>
    <row r="643" spans="12:17" ht="13.5" customHeight="1" x14ac:dyDescent="0.35">
      <c r="L643" s="34">
        <v>641</v>
      </c>
      <c r="M643" s="34">
        <v>1</v>
      </c>
      <c r="N643" s="34">
        <f t="shared" si="19"/>
        <v>0.375</v>
      </c>
      <c r="O643" s="34">
        <f t="shared" si="20"/>
        <v>430.5625</v>
      </c>
      <c r="Q643" s="34">
        <v>76</v>
      </c>
    </row>
    <row r="644" spans="12:17" ht="13.5" customHeight="1" x14ac:dyDescent="0.35">
      <c r="L644" s="34">
        <v>642</v>
      </c>
      <c r="M644" s="34">
        <v>0</v>
      </c>
      <c r="N644" s="34">
        <f t="shared" si="19"/>
        <v>0.375</v>
      </c>
      <c r="O644" s="34">
        <f t="shared" si="20"/>
        <v>430.5625</v>
      </c>
      <c r="Q644" s="34">
        <v>64</v>
      </c>
    </row>
    <row r="645" spans="12:17" ht="13.5" customHeight="1" x14ac:dyDescent="0.35">
      <c r="L645" s="34">
        <v>643</v>
      </c>
      <c r="M645" s="34">
        <v>0</v>
      </c>
      <c r="N645" s="34">
        <f t="shared" ref="N645:N708" si="21">AVERAGE(M642:M649)</f>
        <v>0.5</v>
      </c>
      <c r="O645" s="34">
        <f t="shared" si="20"/>
        <v>430.5625</v>
      </c>
      <c r="Q645" s="34">
        <v>73</v>
      </c>
    </row>
    <row r="646" spans="12:17" ht="13.5" customHeight="1" x14ac:dyDescent="0.35">
      <c r="L646" s="34">
        <v>644</v>
      </c>
      <c r="M646" s="34">
        <v>0</v>
      </c>
      <c r="N646" s="34">
        <f t="shared" si="21"/>
        <v>0.375</v>
      </c>
      <c r="O646" s="34">
        <f t="shared" si="20"/>
        <v>430.5625</v>
      </c>
      <c r="Q646" s="34">
        <v>67</v>
      </c>
    </row>
    <row r="647" spans="12:17" ht="13.5" customHeight="1" x14ac:dyDescent="0.35">
      <c r="L647" s="34">
        <v>645</v>
      </c>
      <c r="M647" s="34">
        <v>1</v>
      </c>
      <c r="N647" s="34">
        <f t="shared" si="21"/>
        <v>0.25</v>
      </c>
      <c r="O647" s="34">
        <f t="shared" si="20"/>
        <v>430.5625</v>
      </c>
      <c r="Q647" s="34">
        <v>56</v>
      </c>
    </row>
    <row r="648" spans="12:17" ht="13.5" customHeight="1" x14ac:dyDescent="0.35">
      <c r="L648" s="34">
        <v>646</v>
      </c>
      <c r="M648" s="34">
        <v>0</v>
      </c>
      <c r="N648" s="34">
        <f t="shared" si="21"/>
        <v>0.25</v>
      </c>
      <c r="O648" s="34">
        <f t="shared" si="20"/>
        <v>430.5625</v>
      </c>
      <c r="Q648" s="34">
        <v>68</v>
      </c>
    </row>
    <row r="649" spans="12:17" ht="13.5" customHeight="1" x14ac:dyDescent="0.35">
      <c r="L649" s="34">
        <v>647</v>
      </c>
      <c r="M649" s="34">
        <v>1</v>
      </c>
      <c r="N649" s="34">
        <f t="shared" si="21"/>
        <v>0.25</v>
      </c>
      <c r="O649" s="34">
        <f t="shared" si="20"/>
        <v>430.5625</v>
      </c>
      <c r="Q649" s="34">
        <v>66</v>
      </c>
    </row>
    <row r="650" spans="12:17" ht="13.5" customHeight="1" x14ac:dyDescent="0.35">
      <c r="L650" s="34">
        <v>648</v>
      </c>
      <c r="M650" s="34">
        <v>0</v>
      </c>
      <c r="N650" s="34">
        <f t="shared" si="21"/>
        <v>0.25</v>
      </c>
      <c r="O650" s="34">
        <f t="shared" si="20"/>
        <v>430.5625</v>
      </c>
      <c r="Q650" s="34">
        <v>63</v>
      </c>
    </row>
    <row r="651" spans="12:17" ht="13.5" customHeight="1" x14ac:dyDescent="0.35">
      <c r="L651" s="34">
        <v>649</v>
      </c>
      <c r="M651" s="34">
        <v>0</v>
      </c>
      <c r="N651" s="34">
        <f t="shared" si="21"/>
        <v>0.375</v>
      </c>
      <c r="O651" s="34">
        <f t="shared" si="20"/>
        <v>430.5625</v>
      </c>
      <c r="Q651" s="34">
        <v>62</v>
      </c>
    </row>
    <row r="652" spans="12:17" ht="13.5" customHeight="1" x14ac:dyDescent="0.35">
      <c r="L652" s="34">
        <v>650</v>
      </c>
      <c r="M652" s="34">
        <v>0</v>
      </c>
      <c r="N652" s="34">
        <f t="shared" si="21"/>
        <v>0.5</v>
      </c>
      <c r="O652" s="34">
        <f t="shared" si="20"/>
        <v>430.5625</v>
      </c>
      <c r="Q652" s="34">
        <v>54</v>
      </c>
    </row>
    <row r="653" spans="12:17" ht="13.5" customHeight="1" x14ac:dyDescent="0.35">
      <c r="L653" s="34">
        <v>651</v>
      </c>
      <c r="M653" s="34">
        <v>0</v>
      </c>
      <c r="N653" s="34">
        <f t="shared" si="21"/>
        <v>0.375</v>
      </c>
      <c r="O653" s="34">
        <f t="shared" si="20"/>
        <v>430.5625</v>
      </c>
      <c r="Q653" s="34">
        <v>59</v>
      </c>
    </row>
    <row r="654" spans="12:17" ht="13.5" customHeight="1" x14ac:dyDescent="0.35">
      <c r="L654" s="34">
        <v>652</v>
      </c>
      <c r="M654" s="34">
        <v>0</v>
      </c>
      <c r="N654" s="34">
        <f t="shared" si="21"/>
        <v>0.375</v>
      </c>
      <c r="O654" s="34">
        <f t="shared" si="20"/>
        <v>430.5625</v>
      </c>
      <c r="Q654" s="34">
        <v>43</v>
      </c>
    </row>
    <row r="655" spans="12:17" ht="13.5" customHeight="1" x14ac:dyDescent="0.35">
      <c r="L655" s="34">
        <v>653</v>
      </c>
      <c r="M655" s="34">
        <v>2</v>
      </c>
      <c r="N655" s="34">
        <f t="shared" si="21"/>
        <v>0.375</v>
      </c>
      <c r="O655" s="34">
        <f t="shared" si="20"/>
        <v>430.5625</v>
      </c>
      <c r="Q655" s="34">
        <v>51</v>
      </c>
    </row>
    <row r="656" spans="12:17" ht="13.5" customHeight="1" x14ac:dyDescent="0.35">
      <c r="L656" s="34">
        <v>654</v>
      </c>
      <c r="M656" s="34">
        <v>1</v>
      </c>
      <c r="N656" s="34">
        <f t="shared" si="21"/>
        <v>0.5</v>
      </c>
      <c r="O656" s="34">
        <f t="shared" si="20"/>
        <v>430.5625</v>
      </c>
      <c r="Q656" s="34">
        <v>55</v>
      </c>
    </row>
    <row r="657" spans="12:17" ht="13.5" customHeight="1" x14ac:dyDescent="0.35">
      <c r="L657" s="34">
        <v>655</v>
      </c>
      <c r="M657" s="34">
        <v>0</v>
      </c>
      <c r="N657" s="34">
        <f t="shared" si="21"/>
        <v>0.5</v>
      </c>
      <c r="O657" s="34">
        <f t="shared" si="20"/>
        <v>430.5625</v>
      </c>
      <c r="Q657" s="34">
        <v>53</v>
      </c>
    </row>
    <row r="658" spans="12:17" ht="13.5" customHeight="1" x14ac:dyDescent="0.35">
      <c r="L658" s="34">
        <v>656</v>
      </c>
      <c r="M658" s="34">
        <v>0</v>
      </c>
      <c r="N658" s="34">
        <f t="shared" si="21"/>
        <v>0.5</v>
      </c>
      <c r="O658" s="34">
        <f t="shared" si="20"/>
        <v>430.5625</v>
      </c>
      <c r="Q658" s="34">
        <v>46</v>
      </c>
    </row>
    <row r="659" spans="12:17" ht="13.5" customHeight="1" x14ac:dyDescent="0.35">
      <c r="L659" s="34">
        <v>657</v>
      </c>
      <c r="M659" s="34">
        <v>0</v>
      </c>
      <c r="N659" s="34">
        <f t="shared" si="21"/>
        <v>0.375</v>
      </c>
      <c r="O659" s="34">
        <f t="shared" si="20"/>
        <v>430.5625</v>
      </c>
      <c r="Q659" s="34">
        <v>43</v>
      </c>
    </row>
    <row r="660" spans="12:17" ht="13.5" customHeight="1" x14ac:dyDescent="0.35">
      <c r="L660" s="34">
        <v>658</v>
      </c>
      <c r="M660" s="34">
        <v>1</v>
      </c>
      <c r="N660" s="34">
        <f t="shared" si="21"/>
        <v>0.25</v>
      </c>
      <c r="O660" s="34">
        <f t="shared" si="20"/>
        <v>430.5625</v>
      </c>
      <c r="Q660" s="34">
        <v>36</v>
      </c>
    </row>
    <row r="661" spans="12:17" ht="13.5" customHeight="1" x14ac:dyDescent="0.35">
      <c r="L661" s="34">
        <v>659</v>
      </c>
      <c r="M661" s="34">
        <v>0</v>
      </c>
      <c r="N661" s="34">
        <f t="shared" si="21"/>
        <v>0.25</v>
      </c>
      <c r="O661" s="34">
        <f t="shared" si="20"/>
        <v>430.5625</v>
      </c>
      <c r="Q661" s="34">
        <v>54</v>
      </c>
    </row>
    <row r="662" spans="12:17" ht="13.5" customHeight="1" x14ac:dyDescent="0.35">
      <c r="L662" s="34">
        <v>660</v>
      </c>
      <c r="M662" s="34">
        <v>0</v>
      </c>
      <c r="N662" s="34">
        <f t="shared" si="21"/>
        <v>0.375</v>
      </c>
      <c r="O662" s="34">
        <f t="shared" si="20"/>
        <v>430.5625</v>
      </c>
      <c r="Q662" s="34">
        <v>37</v>
      </c>
    </row>
    <row r="663" spans="12:17" ht="13.5" customHeight="1" x14ac:dyDescent="0.35">
      <c r="L663" s="34">
        <v>661</v>
      </c>
      <c r="M663" s="34">
        <v>1</v>
      </c>
      <c r="N663" s="34">
        <f t="shared" si="21"/>
        <v>0.5</v>
      </c>
      <c r="O663" s="34">
        <f t="shared" si="20"/>
        <v>430.5625</v>
      </c>
      <c r="Q663" s="34">
        <v>43</v>
      </c>
    </row>
    <row r="664" spans="12:17" ht="13.5" customHeight="1" x14ac:dyDescent="0.35">
      <c r="L664" s="34">
        <v>662</v>
      </c>
      <c r="M664" s="34">
        <v>0</v>
      </c>
      <c r="N664" s="34">
        <f t="shared" si="21"/>
        <v>0.375</v>
      </c>
      <c r="O664" s="34">
        <f t="shared" si="20"/>
        <v>430.5625</v>
      </c>
      <c r="Q664" s="34">
        <v>40</v>
      </c>
    </row>
    <row r="665" spans="12:17" ht="13.5" customHeight="1" x14ac:dyDescent="0.35">
      <c r="L665" s="34">
        <v>663</v>
      </c>
      <c r="M665" s="34">
        <v>0</v>
      </c>
      <c r="N665" s="34">
        <f t="shared" si="21"/>
        <v>0.5</v>
      </c>
      <c r="O665" s="34">
        <f t="shared" si="20"/>
        <v>430.5625</v>
      </c>
      <c r="Q665" s="34">
        <v>43</v>
      </c>
    </row>
    <row r="666" spans="12:17" ht="13.5" customHeight="1" x14ac:dyDescent="0.35">
      <c r="L666" s="34">
        <v>664</v>
      </c>
      <c r="M666" s="34">
        <v>1</v>
      </c>
      <c r="N666" s="34">
        <f t="shared" si="21"/>
        <v>0.75</v>
      </c>
      <c r="O666" s="34">
        <f t="shared" si="20"/>
        <v>430.5625</v>
      </c>
      <c r="Q666" s="34">
        <v>40</v>
      </c>
    </row>
    <row r="667" spans="12:17" ht="13.5" customHeight="1" x14ac:dyDescent="0.35">
      <c r="L667" s="34">
        <v>665</v>
      </c>
      <c r="M667" s="34">
        <v>1</v>
      </c>
      <c r="N667" s="34">
        <f t="shared" si="21"/>
        <v>0.625</v>
      </c>
      <c r="O667" s="34">
        <f t="shared" si="20"/>
        <v>430.5625</v>
      </c>
      <c r="Q667" s="34">
        <v>38</v>
      </c>
    </row>
    <row r="668" spans="12:17" ht="13.5" customHeight="1" x14ac:dyDescent="0.35">
      <c r="L668" s="34">
        <v>666</v>
      </c>
      <c r="M668" s="34">
        <v>0</v>
      </c>
      <c r="N668" s="34">
        <f t="shared" si="21"/>
        <v>0.625</v>
      </c>
      <c r="O668" s="34">
        <f t="shared" si="20"/>
        <v>430.5625</v>
      </c>
      <c r="Q668" s="34">
        <v>36</v>
      </c>
    </row>
    <row r="669" spans="12:17" ht="13.5" customHeight="1" x14ac:dyDescent="0.35">
      <c r="L669" s="34">
        <v>667</v>
      </c>
      <c r="M669" s="34">
        <v>1</v>
      </c>
      <c r="N669" s="34">
        <f t="shared" si="21"/>
        <v>0.75</v>
      </c>
      <c r="O669" s="34">
        <f t="shared" si="20"/>
        <v>430.5625</v>
      </c>
      <c r="Q669" s="34">
        <v>32</v>
      </c>
    </row>
    <row r="670" spans="12:17" ht="13.5" customHeight="1" x14ac:dyDescent="0.35">
      <c r="L670" s="34">
        <v>668</v>
      </c>
      <c r="M670" s="34">
        <v>2</v>
      </c>
      <c r="N670" s="34">
        <f t="shared" si="21"/>
        <v>0.625</v>
      </c>
      <c r="O670" s="34">
        <f t="shared" si="20"/>
        <v>430.5625</v>
      </c>
      <c r="Q670" s="34">
        <v>31</v>
      </c>
    </row>
    <row r="671" spans="12:17" ht="13.5" customHeight="1" x14ac:dyDescent="0.35">
      <c r="L671" s="34">
        <v>669</v>
      </c>
      <c r="M671" s="34">
        <v>0</v>
      </c>
      <c r="N671" s="34">
        <f t="shared" si="21"/>
        <v>0.5</v>
      </c>
      <c r="O671" s="34">
        <f t="shared" si="20"/>
        <v>430.5625</v>
      </c>
      <c r="Q671" s="34">
        <v>35</v>
      </c>
    </row>
    <row r="672" spans="12:17" ht="13.5" customHeight="1" x14ac:dyDescent="0.35">
      <c r="L672" s="34">
        <v>670</v>
      </c>
      <c r="M672" s="34">
        <v>0</v>
      </c>
      <c r="N672" s="34">
        <f t="shared" si="21"/>
        <v>0.5</v>
      </c>
      <c r="O672" s="34">
        <f t="shared" si="20"/>
        <v>430.5625</v>
      </c>
      <c r="Q672" s="34">
        <v>25</v>
      </c>
    </row>
    <row r="673" spans="12:17" ht="13.5" customHeight="1" x14ac:dyDescent="0.35">
      <c r="L673" s="34">
        <v>671</v>
      </c>
      <c r="M673" s="34">
        <v>1</v>
      </c>
      <c r="N673" s="34">
        <f t="shared" si="21"/>
        <v>0.375</v>
      </c>
      <c r="O673" s="34">
        <f t="shared" si="20"/>
        <v>430.5625</v>
      </c>
      <c r="Q673" s="34">
        <v>30</v>
      </c>
    </row>
    <row r="674" spans="12:17" ht="13.5" customHeight="1" x14ac:dyDescent="0.35">
      <c r="L674" s="34">
        <v>672</v>
      </c>
      <c r="M674" s="34">
        <v>0</v>
      </c>
      <c r="N674" s="34">
        <f t="shared" si="21"/>
        <v>0.125</v>
      </c>
      <c r="O674" s="34">
        <f t="shared" si="20"/>
        <v>430.5625</v>
      </c>
      <c r="Q674" s="34">
        <v>28</v>
      </c>
    </row>
    <row r="675" spans="12:17" ht="13.5" customHeight="1" x14ac:dyDescent="0.35">
      <c r="L675" s="34">
        <v>673</v>
      </c>
      <c r="M675" s="34">
        <v>0</v>
      </c>
      <c r="N675" s="34">
        <f t="shared" si="21"/>
        <v>0.125</v>
      </c>
      <c r="O675" s="34">
        <f t="shared" si="20"/>
        <v>430.5625</v>
      </c>
      <c r="Q675" s="34">
        <v>23</v>
      </c>
    </row>
    <row r="676" spans="12:17" ht="13.5" customHeight="1" x14ac:dyDescent="0.35">
      <c r="L676" s="34">
        <v>674</v>
      </c>
      <c r="M676" s="34">
        <v>0</v>
      </c>
      <c r="N676" s="34">
        <f t="shared" si="21"/>
        <v>0.125</v>
      </c>
      <c r="O676" s="34">
        <f t="shared" si="20"/>
        <v>430.5625</v>
      </c>
      <c r="Q676" s="34">
        <v>32</v>
      </c>
    </row>
    <row r="677" spans="12:17" ht="13.5" customHeight="1" x14ac:dyDescent="0.35">
      <c r="L677" s="34">
        <v>675</v>
      </c>
      <c r="M677" s="34">
        <v>0</v>
      </c>
      <c r="N677" s="34">
        <f t="shared" si="21"/>
        <v>0</v>
      </c>
      <c r="O677" s="34">
        <f t="shared" si="20"/>
        <v>430.5625</v>
      </c>
      <c r="Q677" s="34">
        <v>28</v>
      </c>
    </row>
    <row r="678" spans="12:17" ht="13.5" customHeight="1" x14ac:dyDescent="0.35">
      <c r="L678" s="34">
        <v>676</v>
      </c>
      <c r="M678" s="34">
        <v>0</v>
      </c>
      <c r="N678" s="34">
        <f t="shared" si="21"/>
        <v>0</v>
      </c>
      <c r="O678" s="34">
        <f t="shared" si="20"/>
        <v>430.5625</v>
      </c>
      <c r="Q678" s="34">
        <v>26</v>
      </c>
    </row>
    <row r="679" spans="12:17" ht="13.5" customHeight="1" x14ac:dyDescent="0.35">
      <c r="L679" s="34">
        <v>677</v>
      </c>
      <c r="M679" s="34">
        <v>0</v>
      </c>
      <c r="N679" s="34">
        <f t="shared" si="21"/>
        <v>0.125</v>
      </c>
      <c r="O679" s="34">
        <f t="shared" si="20"/>
        <v>430.5625</v>
      </c>
      <c r="Q679" s="34">
        <v>18</v>
      </c>
    </row>
    <row r="680" spans="12:17" ht="13.5" customHeight="1" x14ac:dyDescent="0.35">
      <c r="L680" s="34">
        <v>678</v>
      </c>
      <c r="M680" s="34">
        <v>0</v>
      </c>
      <c r="N680" s="34">
        <f t="shared" si="21"/>
        <v>0.125</v>
      </c>
      <c r="O680" s="34">
        <f t="shared" si="20"/>
        <v>430.5625</v>
      </c>
      <c r="Q680" s="34">
        <v>17</v>
      </c>
    </row>
    <row r="681" spans="12:17" ht="13.5" customHeight="1" x14ac:dyDescent="0.35">
      <c r="L681" s="34">
        <v>679</v>
      </c>
      <c r="M681" s="34">
        <v>0</v>
      </c>
      <c r="N681" s="34">
        <f t="shared" si="21"/>
        <v>0.125</v>
      </c>
      <c r="O681" s="34">
        <f t="shared" si="20"/>
        <v>430.5625</v>
      </c>
      <c r="Q681" s="34">
        <v>28</v>
      </c>
    </row>
    <row r="682" spans="12:17" ht="13.5" customHeight="1" x14ac:dyDescent="0.35">
      <c r="L682" s="34">
        <v>680</v>
      </c>
      <c r="M682" s="34">
        <v>0</v>
      </c>
      <c r="N682" s="34">
        <f t="shared" si="21"/>
        <v>0.25</v>
      </c>
      <c r="O682" s="34">
        <f t="shared" si="20"/>
        <v>430.5625</v>
      </c>
      <c r="Q682" s="34">
        <v>16</v>
      </c>
    </row>
    <row r="683" spans="12:17" ht="13.5" customHeight="1" x14ac:dyDescent="0.35">
      <c r="L683" s="34">
        <v>681</v>
      </c>
      <c r="M683" s="34">
        <v>1</v>
      </c>
      <c r="N683" s="34">
        <f t="shared" si="21"/>
        <v>0.25</v>
      </c>
      <c r="O683" s="34">
        <f t="shared" si="20"/>
        <v>430.5625</v>
      </c>
      <c r="Q683" s="34">
        <v>27</v>
      </c>
    </row>
    <row r="684" spans="12:17" ht="13.5" customHeight="1" x14ac:dyDescent="0.35">
      <c r="L684" s="34">
        <v>682</v>
      </c>
      <c r="M684" s="34">
        <v>0</v>
      </c>
      <c r="N684" s="34">
        <f t="shared" si="21"/>
        <v>0.25</v>
      </c>
      <c r="O684" s="34">
        <f t="shared" si="20"/>
        <v>430.5625</v>
      </c>
      <c r="Q684" s="34">
        <v>22</v>
      </c>
    </row>
    <row r="685" spans="12:17" ht="13.5" customHeight="1" x14ac:dyDescent="0.35">
      <c r="L685" s="34">
        <v>683</v>
      </c>
      <c r="M685" s="34">
        <v>0</v>
      </c>
      <c r="N685" s="34">
        <f t="shared" si="21"/>
        <v>0.5</v>
      </c>
      <c r="O685" s="34">
        <f t="shared" si="20"/>
        <v>430.5625</v>
      </c>
      <c r="Q685" s="34">
        <v>17</v>
      </c>
    </row>
    <row r="686" spans="12:17" ht="13.5" customHeight="1" x14ac:dyDescent="0.35">
      <c r="L686" s="34">
        <v>684</v>
      </c>
      <c r="M686" s="34">
        <v>1</v>
      </c>
      <c r="O686" s="34">
        <f t="shared" ref="O686:O749" si="22">MAX(N686:N1684)</f>
        <v>0</v>
      </c>
      <c r="Q686" s="34">
        <v>23</v>
      </c>
    </row>
    <row r="687" spans="12:17" ht="13.5" customHeight="1" x14ac:dyDescent="0.35">
      <c r="L687" s="34">
        <v>685</v>
      </c>
      <c r="M687" s="34">
        <v>0</v>
      </c>
      <c r="O687" s="34">
        <f t="shared" si="22"/>
        <v>0</v>
      </c>
      <c r="Q687" s="34">
        <v>34</v>
      </c>
    </row>
    <row r="688" spans="12:17" ht="13.5" customHeight="1" x14ac:dyDescent="0.35">
      <c r="L688" s="34">
        <v>686</v>
      </c>
      <c r="M688" s="34">
        <v>0</v>
      </c>
      <c r="O688" s="34">
        <f t="shared" si="22"/>
        <v>0</v>
      </c>
      <c r="Q688" s="34">
        <v>23</v>
      </c>
    </row>
    <row r="689" spans="12:17" ht="13.5" customHeight="1" x14ac:dyDescent="0.35">
      <c r="L689" s="34">
        <v>687</v>
      </c>
      <c r="M689" s="34">
        <v>2</v>
      </c>
      <c r="O689" s="34">
        <f t="shared" si="22"/>
        <v>0</v>
      </c>
      <c r="Q689" s="34">
        <v>26</v>
      </c>
    </row>
    <row r="690" spans="12:17" ht="13.5" customHeight="1" x14ac:dyDescent="0.35">
      <c r="L690" s="34">
        <v>688</v>
      </c>
      <c r="M690" s="34">
        <v>1</v>
      </c>
      <c r="O690" s="34">
        <f t="shared" si="22"/>
        <v>0</v>
      </c>
      <c r="Q690" s="34">
        <v>27</v>
      </c>
    </row>
    <row r="691" spans="12:17" ht="13.5" customHeight="1" x14ac:dyDescent="0.35">
      <c r="L691" s="34">
        <v>689</v>
      </c>
      <c r="M691" s="34">
        <v>0</v>
      </c>
      <c r="O691" s="34">
        <f t="shared" si="22"/>
        <v>0</v>
      </c>
      <c r="Q691" s="34">
        <v>27</v>
      </c>
    </row>
    <row r="692" spans="12:17" ht="13.5" customHeight="1" x14ac:dyDescent="0.35">
      <c r="L692" s="34">
        <v>690</v>
      </c>
      <c r="M692" s="34">
        <v>1</v>
      </c>
      <c r="O692" s="34">
        <f t="shared" si="22"/>
        <v>0</v>
      </c>
      <c r="Q692" s="34">
        <v>22</v>
      </c>
    </row>
    <row r="693" spans="12:17" ht="13.5" customHeight="1" x14ac:dyDescent="0.35">
      <c r="L693" s="34">
        <v>691</v>
      </c>
      <c r="M693" s="34">
        <v>2</v>
      </c>
      <c r="O693" s="34">
        <f t="shared" si="22"/>
        <v>0</v>
      </c>
      <c r="Q693" s="34">
        <v>16</v>
      </c>
    </row>
    <row r="694" spans="12:17" ht="13.5" customHeight="1" x14ac:dyDescent="0.35">
      <c r="L694" s="34">
        <v>692</v>
      </c>
      <c r="M694" s="34">
        <v>0</v>
      </c>
      <c r="O694" s="34">
        <f t="shared" si="22"/>
        <v>0</v>
      </c>
      <c r="Q694" s="34">
        <v>28</v>
      </c>
    </row>
    <row r="695" spans="12:17" ht="13.5" customHeight="1" x14ac:dyDescent="0.35">
      <c r="L695" s="34">
        <v>693</v>
      </c>
      <c r="M695" s="34">
        <v>1</v>
      </c>
      <c r="O695" s="34">
        <f t="shared" si="22"/>
        <v>0</v>
      </c>
      <c r="Q695" s="34">
        <v>23</v>
      </c>
    </row>
    <row r="696" spans="12:17" ht="13.5" customHeight="1" x14ac:dyDescent="0.35">
      <c r="L696" s="34">
        <v>694</v>
      </c>
      <c r="M696" s="34">
        <v>0</v>
      </c>
      <c r="O696" s="34">
        <f t="shared" si="22"/>
        <v>0</v>
      </c>
      <c r="Q696" s="34">
        <v>17</v>
      </c>
    </row>
    <row r="697" spans="12:17" ht="13.5" customHeight="1" x14ac:dyDescent="0.35">
      <c r="L697" s="34">
        <v>695</v>
      </c>
      <c r="M697" s="34">
        <v>1</v>
      </c>
      <c r="O697" s="34">
        <f t="shared" si="22"/>
        <v>0</v>
      </c>
      <c r="Q697" s="34">
        <v>18</v>
      </c>
    </row>
    <row r="698" spans="12:17" ht="13.5" customHeight="1" x14ac:dyDescent="0.35">
      <c r="L698" s="34">
        <v>696</v>
      </c>
      <c r="M698" s="34">
        <v>0</v>
      </c>
      <c r="O698" s="34">
        <f t="shared" si="22"/>
        <v>0</v>
      </c>
      <c r="Q698" s="34">
        <v>27</v>
      </c>
    </row>
    <row r="699" spans="12:17" ht="13.5" customHeight="1" x14ac:dyDescent="0.35">
      <c r="L699" s="34">
        <v>697</v>
      </c>
      <c r="M699" s="34">
        <v>0</v>
      </c>
      <c r="O699" s="34">
        <f t="shared" si="22"/>
        <v>0</v>
      </c>
      <c r="Q699" s="34">
        <v>25</v>
      </c>
    </row>
    <row r="700" spans="12:17" ht="13.5" customHeight="1" x14ac:dyDescent="0.35">
      <c r="L700" s="34">
        <v>698</v>
      </c>
      <c r="M700" s="34">
        <v>0</v>
      </c>
      <c r="O700" s="34">
        <f t="shared" si="22"/>
        <v>0</v>
      </c>
      <c r="Q700" s="34">
        <v>9</v>
      </c>
    </row>
    <row r="701" spans="12:17" ht="13.5" customHeight="1" x14ac:dyDescent="0.35">
      <c r="L701" s="34">
        <v>699</v>
      </c>
      <c r="M701" s="34">
        <v>0</v>
      </c>
      <c r="O701" s="34">
        <f t="shared" si="22"/>
        <v>0</v>
      </c>
      <c r="Q701" s="34">
        <v>20</v>
      </c>
    </row>
    <row r="702" spans="12:17" ht="13.5" customHeight="1" x14ac:dyDescent="0.35">
      <c r="L702" s="34">
        <v>700</v>
      </c>
      <c r="M702" s="34">
        <v>0</v>
      </c>
      <c r="O702" s="34">
        <f t="shared" si="22"/>
        <v>0</v>
      </c>
      <c r="Q702" s="34">
        <v>14</v>
      </c>
    </row>
    <row r="703" spans="12:17" ht="13.5" customHeight="1" x14ac:dyDescent="0.35">
      <c r="L703" s="34">
        <v>701</v>
      </c>
      <c r="M703" s="34">
        <v>0</v>
      </c>
      <c r="O703" s="34">
        <f t="shared" si="22"/>
        <v>0</v>
      </c>
      <c r="Q703" s="34">
        <v>14</v>
      </c>
    </row>
    <row r="704" spans="12:17" ht="13.5" customHeight="1" x14ac:dyDescent="0.35">
      <c r="L704" s="34">
        <v>702</v>
      </c>
      <c r="M704" s="34">
        <v>0</v>
      </c>
      <c r="O704" s="34">
        <f t="shared" si="22"/>
        <v>0</v>
      </c>
      <c r="Q704" s="34">
        <v>14</v>
      </c>
    </row>
    <row r="705" spans="12:17" ht="13.5" customHeight="1" x14ac:dyDescent="0.35">
      <c r="L705" s="34">
        <v>703</v>
      </c>
      <c r="M705" s="34">
        <v>1</v>
      </c>
      <c r="O705" s="34">
        <f t="shared" si="22"/>
        <v>0</v>
      </c>
      <c r="Q705" s="34">
        <v>11</v>
      </c>
    </row>
    <row r="706" spans="12:17" ht="13.5" customHeight="1" x14ac:dyDescent="0.35">
      <c r="L706" s="34">
        <v>704</v>
      </c>
      <c r="M706" s="34">
        <v>1</v>
      </c>
      <c r="O706" s="34">
        <f t="shared" si="22"/>
        <v>0</v>
      </c>
      <c r="Q706" s="34">
        <v>12</v>
      </c>
    </row>
    <row r="707" spans="12:17" ht="13.5" customHeight="1" x14ac:dyDescent="0.35">
      <c r="L707" s="34">
        <v>705</v>
      </c>
      <c r="M707" s="34">
        <v>0</v>
      </c>
      <c r="O707" s="34">
        <f t="shared" si="22"/>
        <v>0</v>
      </c>
      <c r="Q707" s="34">
        <v>12</v>
      </c>
    </row>
    <row r="708" spans="12:17" ht="13.5" customHeight="1" x14ac:dyDescent="0.35">
      <c r="L708" s="34">
        <v>706</v>
      </c>
      <c r="M708" s="34">
        <v>0</v>
      </c>
      <c r="O708" s="34">
        <f t="shared" si="22"/>
        <v>0</v>
      </c>
      <c r="Q708" s="34">
        <v>22</v>
      </c>
    </row>
    <row r="709" spans="12:17" ht="13.5" customHeight="1" x14ac:dyDescent="0.35">
      <c r="L709" s="34">
        <v>707</v>
      </c>
      <c r="M709" s="34">
        <v>0</v>
      </c>
      <c r="O709" s="34">
        <f t="shared" si="22"/>
        <v>0</v>
      </c>
      <c r="Q709" s="34">
        <v>21</v>
      </c>
    </row>
    <row r="710" spans="12:17" ht="13.5" customHeight="1" x14ac:dyDescent="0.35">
      <c r="L710" s="34">
        <v>708</v>
      </c>
      <c r="M710" s="34">
        <v>1</v>
      </c>
      <c r="O710" s="34">
        <f t="shared" si="22"/>
        <v>0</v>
      </c>
      <c r="Q710" s="34">
        <v>13</v>
      </c>
    </row>
    <row r="711" spans="12:17" ht="13.5" customHeight="1" x14ac:dyDescent="0.35">
      <c r="L711" s="34">
        <v>709</v>
      </c>
      <c r="M711" s="34">
        <v>0</v>
      </c>
      <c r="O711" s="34">
        <f t="shared" si="22"/>
        <v>0</v>
      </c>
      <c r="Q711" s="34">
        <v>14</v>
      </c>
    </row>
    <row r="712" spans="12:17" ht="13.5" customHeight="1" x14ac:dyDescent="0.35">
      <c r="L712" s="34">
        <v>710</v>
      </c>
      <c r="M712" s="34">
        <v>0</v>
      </c>
      <c r="O712" s="34">
        <f t="shared" si="22"/>
        <v>0</v>
      </c>
      <c r="Q712" s="34">
        <v>22</v>
      </c>
    </row>
    <row r="713" spans="12:17" ht="13.5" customHeight="1" x14ac:dyDescent="0.35">
      <c r="L713" s="34">
        <v>711</v>
      </c>
      <c r="M713" s="34">
        <v>0</v>
      </c>
      <c r="O713" s="34">
        <f t="shared" si="22"/>
        <v>0</v>
      </c>
      <c r="Q713" s="34">
        <v>21</v>
      </c>
    </row>
    <row r="714" spans="12:17" ht="13.5" customHeight="1" x14ac:dyDescent="0.35">
      <c r="L714" s="34">
        <v>712</v>
      </c>
      <c r="M714" s="34">
        <v>1</v>
      </c>
      <c r="O714" s="34">
        <f t="shared" si="22"/>
        <v>0</v>
      </c>
      <c r="Q714" s="34">
        <v>14</v>
      </c>
    </row>
    <row r="715" spans="12:17" ht="13.5" customHeight="1" x14ac:dyDescent="0.35">
      <c r="L715" s="34">
        <v>713</v>
      </c>
      <c r="M715" s="34">
        <v>1</v>
      </c>
      <c r="O715" s="34">
        <f t="shared" si="22"/>
        <v>0</v>
      </c>
      <c r="Q715" s="34">
        <v>12</v>
      </c>
    </row>
    <row r="716" spans="12:17" ht="13.5" customHeight="1" x14ac:dyDescent="0.35">
      <c r="L716" s="34">
        <v>714</v>
      </c>
      <c r="M716" s="34">
        <v>0</v>
      </c>
      <c r="O716" s="34">
        <f t="shared" si="22"/>
        <v>0</v>
      </c>
      <c r="Q716" s="34">
        <v>17</v>
      </c>
    </row>
    <row r="717" spans="12:17" ht="13.5" customHeight="1" x14ac:dyDescent="0.35">
      <c r="L717" s="34">
        <v>715</v>
      </c>
      <c r="M717" s="34">
        <v>1</v>
      </c>
      <c r="O717" s="34">
        <f t="shared" si="22"/>
        <v>0</v>
      </c>
      <c r="Q717" s="34">
        <v>13</v>
      </c>
    </row>
    <row r="718" spans="12:17" ht="13.5" customHeight="1" x14ac:dyDescent="0.35">
      <c r="L718" s="34">
        <v>716</v>
      </c>
      <c r="M718" s="34">
        <v>0</v>
      </c>
      <c r="O718" s="34">
        <f t="shared" si="22"/>
        <v>0</v>
      </c>
      <c r="Q718" s="34">
        <v>20</v>
      </c>
    </row>
    <row r="719" spans="12:17" ht="13.5" customHeight="1" x14ac:dyDescent="0.35">
      <c r="L719" s="34">
        <v>717</v>
      </c>
      <c r="M719" s="34">
        <v>0</v>
      </c>
      <c r="O719" s="34">
        <f t="shared" si="22"/>
        <v>0</v>
      </c>
      <c r="Q719" s="34">
        <v>10</v>
      </c>
    </row>
    <row r="720" spans="12:17" ht="13.5" customHeight="1" x14ac:dyDescent="0.35">
      <c r="L720" s="34">
        <v>718</v>
      </c>
      <c r="M720" s="34">
        <v>0</v>
      </c>
      <c r="O720" s="34">
        <f t="shared" si="22"/>
        <v>0</v>
      </c>
      <c r="Q720" s="34">
        <v>8</v>
      </c>
    </row>
    <row r="721" spans="12:17" ht="13.5" customHeight="1" x14ac:dyDescent="0.35">
      <c r="L721" s="34">
        <v>719</v>
      </c>
      <c r="M721" s="34">
        <v>0</v>
      </c>
      <c r="O721" s="34">
        <f t="shared" si="22"/>
        <v>0</v>
      </c>
      <c r="Q721" s="34">
        <v>12</v>
      </c>
    </row>
    <row r="722" spans="12:17" ht="13.5" customHeight="1" x14ac:dyDescent="0.35">
      <c r="L722" s="34">
        <v>720</v>
      </c>
      <c r="M722" s="34">
        <v>0</v>
      </c>
      <c r="O722" s="34">
        <f t="shared" si="22"/>
        <v>0</v>
      </c>
      <c r="Q722" s="34">
        <v>8</v>
      </c>
    </row>
    <row r="723" spans="12:17" ht="13.5" customHeight="1" x14ac:dyDescent="0.35">
      <c r="L723" s="34">
        <v>721</v>
      </c>
      <c r="M723" s="34">
        <v>0</v>
      </c>
      <c r="O723" s="34">
        <f t="shared" si="22"/>
        <v>0</v>
      </c>
      <c r="Q723" s="34">
        <v>16</v>
      </c>
    </row>
    <row r="724" spans="12:17" ht="13.5" customHeight="1" x14ac:dyDescent="0.35">
      <c r="L724" s="34">
        <v>722</v>
      </c>
      <c r="M724" s="34">
        <v>0</v>
      </c>
      <c r="O724" s="34">
        <f t="shared" si="22"/>
        <v>0</v>
      </c>
      <c r="Q724" s="34">
        <v>19</v>
      </c>
    </row>
    <row r="725" spans="12:17" ht="13.5" customHeight="1" x14ac:dyDescent="0.35">
      <c r="L725" s="34">
        <v>723</v>
      </c>
      <c r="M725" s="34">
        <v>0</v>
      </c>
      <c r="O725" s="34">
        <f t="shared" si="22"/>
        <v>0</v>
      </c>
      <c r="Q725" s="34">
        <v>12</v>
      </c>
    </row>
    <row r="726" spans="12:17" ht="13.5" customHeight="1" x14ac:dyDescent="0.35">
      <c r="L726" s="34">
        <v>724</v>
      </c>
      <c r="M726" s="34">
        <v>0</v>
      </c>
      <c r="O726" s="34">
        <f t="shared" si="22"/>
        <v>0</v>
      </c>
      <c r="Q726" s="34">
        <v>13</v>
      </c>
    </row>
    <row r="727" spans="12:17" ht="13.5" customHeight="1" x14ac:dyDescent="0.35">
      <c r="L727" s="34">
        <v>725</v>
      </c>
      <c r="M727" s="34">
        <v>0</v>
      </c>
      <c r="O727" s="34">
        <f t="shared" si="22"/>
        <v>0</v>
      </c>
      <c r="Q727" s="34">
        <v>8</v>
      </c>
    </row>
    <row r="728" spans="12:17" ht="13.5" customHeight="1" x14ac:dyDescent="0.35">
      <c r="L728" s="34">
        <v>726</v>
      </c>
      <c r="M728" s="34">
        <v>0</v>
      </c>
      <c r="O728" s="34">
        <f t="shared" si="22"/>
        <v>0</v>
      </c>
      <c r="Q728" s="34">
        <v>8</v>
      </c>
    </row>
    <row r="729" spans="12:17" ht="13.5" customHeight="1" x14ac:dyDescent="0.35">
      <c r="L729" s="34">
        <v>727</v>
      </c>
      <c r="M729" s="34">
        <v>0</v>
      </c>
      <c r="O729" s="34">
        <f t="shared" si="22"/>
        <v>0</v>
      </c>
      <c r="Q729" s="34">
        <v>18</v>
      </c>
    </row>
    <row r="730" spans="12:17" ht="13.5" customHeight="1" x14ac:dyDescent="0.35">
      <c r="L730" s="34">
        <v>728</v>
      </c>
      <c r="M730" s="34">
        <v>0</v>
      </c>
      <c r="O730" s="34">
        <f t="shared" si="22"/>
        <v>0</v>
      </c>
      <c r="Q730" s="34">
        <v>21</v>
      </c>
    </row>
    <row r="731" spans="12:17" ht="13.5" customHeight="1" x14ac:dyDescent="0.35">
      <c r="L731" s="34">
        <v>729</v>
      </c>
      <c r="M731" s="34">
        <v>0</v>
      </c>
      <c r="O731" s="34">
        <f t="shared" si="22"/>
        <v>0</v>
      </c>
      <c r="Q731" s="34">
        <v>15</v>
      </c>
    </row>
    <row r="732" spans="12:17" ht="13.5" customHeight="1" x14ac:dyDescent="0.35">
      <c r="L732" s="34">
        <v>730</v>
      </c>
      <c r="M732" s="34">
        <v>0</v>
      </c>
      <c r="O732" s="34">
        <f t="shared" si="22"/>
        <v>0</v>
      </c>
      <c r="Q732" s="34">
        <v>13</v>
      </c>
    </row>
    <row r="733" spans="12:17" ht="13.5" customHeight="1" x14ac:dyDescent="0.35">
      <c r="L733" s="34">
        <v>731</v>
      </c>
      <c r="M733" s="34">
        <v>0</v>
      </c>
      <c r="O733" s="34">
        <f t="shared" si="22"/>
        <v>0</v>
      </c>
      <c r="Q733" s="34">
        <v>19</v>
      </c>
    </row>
    <row r="734" spans="12:17" ht="13.5" customHeight="1" x14ac:dyDescent="0.35">
      <c r="L734" s="34">
        <v>732</v>
      </c>
      <c r="M734" s="34">
        <v>2</v>
      </c>
      <c r="O734" s="34">
        <f t="shared" si="22"/>
        <v>0</v>
      </c>
      <c r="Q734" s="34">
        <v>5</v>
      </c>
    </row>
    <row r="735" spans="12:17" ht="13.5" customHeight="1" x14ac:dyDescent="0.35">
      <c r="L735" s="34">
        <v>733</v>
      </c>
      <c r="M735" s="34">
        <v>0</v>
      </c>
      <c r="O735" s="34">
        <f t="shared" si="22"/>
        <v>0</v>
      </c>
      <c r="Q735" s="34">
        <v>12</v>
      </c>
    </row>
    <row r="736" spans="12:17" ht="13.5" customHeight="1" x14ac:dyDescent="0.35">
      <c r="L736" s="34">
        <v>734</v>
      </c>
      <c r="M736" s="34">
        <v>0</v>
      </c>
      <c r="O736" s="34">
        <f t="shared" si="22"/>
        <v>0</v>
      </c>
      <c r="Q736" s="34">
        <v>15</v>
      </c>
    </row>
    <row r="737" spans="12:17" ht="13.5" customHeight="1" x14ac:dyDescent="0.35">
      <c r="L737" s="34">
        <v>735</v>
      </c>
      <c r="M737" s="34">
        <v>0</v>
      </c>
      <c r="O737" s="34">
        <f t="shared" si="22"/>
        <v>0</v>
      </c>
      <c r="Q737" s="34">
        <v>8</v>
      </c>
    </row>
    <row r="738" spans="12:17" ht="13.5" customHeight="1" x14ac:dyDescent="0.35">
      <c r="L738" s="34">
        <v>736</v>
      </c>
      <c r="M738" s="34">
        <v>0</v>
      </c>
      <c r="O738" s="34">
        <f t="shared" si="22"/>
        <v>0</v>
      </c>
      <c r="Q738" s="34">
        <v>11</v>
      </c>
    </row>
    <row r="739" spans="12:17" ht="13.5" customHeight="1" x14ac:dyDescent="0.35">
      <c r="L739" s="34">
        <v>737</v>
      </c>
      <c r="M739" s="34">
        <v>0</v>
      </c>
      <c r="O739" s="34">
        <f t="shared" si="22"/>
        <v>0</v>
      </c>
      <c r="Q739" s="34">
        <v>14</v>
      </c>
    </row>
    <row r="740" spans="12:17" ht="13.5" customHeight="1" x14ac:dyDescent="0.35">
      <c r="L740" s="34">
        <v>738</v>
      </c>
      <c r="M740" s="34">
        <v>0</v>
      </c>
      <c r="O740" s="34">
        <f t="shared" si="22"/>
        <v>0</v>
      </c>
      <c r="Q740" s="34">
        <v>13</v>
      </c>
    </row>
    <row r="741" spans="12:17" ht="13.5" customHeight="1" x14ac:dyDescent="0.35">
      <c r="L741" s="34">
        <v>739</v>
      </c>
      <c r="M741" s="34">
        <v>0</v>
      </c>
      <c r="O741" s="34">
        <f t="shared" si="22"/>
        <v>0</v>
      </c>
      <c r="Q741" s="34">
        <v>15</v>
      </c>
    </row>
    <row r="742" spans="12:17" ht="13.5" customHeight="1" x14ac:dyDescent="0.35">
      <c r="L742" s="34">
        <v>740</v>
      </c>
      <c r="M742" s="34">
        <v>1</v>
      </c>
      <c r="O742" s="34">
        <f t="shared" si="22"/>
        <v>0</v>
      </c>
      <c r="Q742" s="34">
        <v>9</v>
      </c>
    </row>
    <row r="743" spans="12:17" ht="13.5" customHeight="1" x14ac:dyDescent="0.35">
      <c r="L743" s="34">
        <v>741</v>
      </c>
      <c r="M743" s="34">
        <v>0</v>
      </c>
      <c r="O743" s="34">
        <f t="shared" si="22"/>
        <v>0</v>
      </c>
      <c r="Q743" s="34">
        <v>14</v>
      </c>
    </row>
    <row r="744" spans="12:17" ht="13.5" customHeight="1" x14ac:dyDescent="0.35">
      <c r="L744" s="34">
        <v>742</v>
      </c>
      <c r="M744" s="34">
        <v>0</v>
      </c>
      <c r="O744" s="34">
        <f t="shared" si="22"/>
        <v>0</v>
      </c>
      <c r="Q744" s="34">
        <v>8</v>
      </c>
    </row>
    <row r="745" spans="12:17" ht="13.5" customHeight="1" x14ac:dyDescent="0.35">
      <c r="L745" s="34">
        <v>743</v>
      </c>
      <c r="M745" s="34">
        <v>0</v>
      </c>
      <c r="O745" s="34">
        <f t="shared" si="22"/>
        <v>0</v>
      </c>
      <c r="Q745" s="34">
        <v>10</v>
      </c>
    </row>
    <row r="746" spans="12:17" ht="13.5" customHeight="1" x14ac:dyDescent="0.35">
      <c r="L746" s="34">
        <v>744</v>
      </c>
      <c r="M746" s="34">
        <v>1</v>
      </c>
      <c r="O746" s="34">
        <f t="shared" si="22"/>
        <v>0</v>
      </c>
      <c r="Q746" s="34">
        <v>8</v>
      </c>
    </row>
    <row r="747" spans="12:17" ht="13.5" customHeight="1" x14ac:dyDescent="0.35">
      <c r="L747" s="34">
        <v>745</v>
      </c>
      <c r="M747" s="34">
        <v>1</v>
      </c>
      <c r="O747" s="34">
        <f t="shared" si="22"/>
        <v>0</v>
      </c>
      <c r="Q747" s="34">
        <v>14</v>
      </c>
    </row>
    <row r="748" spans="12:17" ht="13.5" customHeight="1" x14ac:dyDescent="0.35">
      <c r="L748" s="34">
        <v>746</v>
      </c>
      <c r="M748" s="34">
        <v>1</v>
      </c>
      <c r="O748" s="34">
        <f t="shared" si="22"/>
        <v>0</v>
      </c>
      <c r="Q748" s="34">
        <v>12</v>
      </c>
    </row>
    <row r="749" spans="12:17" ht="13.5" customHeight="1" x14ac:dyDescent="0.35">
      <c r="L749" s="34">
        <v>747</v>
      </c>
      <c r="M749" s="34">
        <v>0</v>
      </c>
      <c r="O749" s="34">
        <f t="shared" si="22"/>
        <v>0</v>
      </c>
      <c r="Q749" s="34">
        <v>14</v>
      </c>
    </row>
    <row r="750" spans="12:17" ht="13.5" customHeight="1" x14ac:dyDescent="0.35">
      <c r="L750" s="34">
        <v>748</v>
      </c>
      <c r="M750" s="34">
        <v>1</v>
      </c>
      <c r="O750" s="34">
        <f t="shared" ref="O750:O813" si="23">MAX(N750:N1748)</f>
        <v>0</v>
      </c>
      <c r="Q750" s="34">
        <v>13</v>
      </c>
    </row>
    <row r="751" spans="12:17" ht="13.5" customHeight="1" x14ac:dyDescent="0.35">
      <c r="L751" s="34">
        <v>749</v>
      </c>
      <c r="M751" s="34">
        <v>0</v>
      </c>
      <c r="O751" s="34">
        <f t="shared" si="23"/>
        <v>0</v>
      </c>
      <c r="Q751" s="34">
        <v>15</v>
      </c>
    </row>
    <row r="752" spans="12:17" ht="13.5" customHeight="1" x14ac:dyDescent="0.35">
      <c r="L752" s="34">
        <v>750</v>
      </c>
      <c r="M752" s="34">
        <v>0</v>
      </c>
      <c r="O752" s="34">
        <f t="shared" si="23"/>
        <v>0</v>
      </c>
      <c r="Q752" s="34">
        <v>13</v>
      </c>
    </row>
    <row r="753" spans="12:17" ht="13.5" customHeight="1" x14ac:dyDescent="0.35">
      <c r="L753" s="34">
        <v>751</v>
      </c>
      <c r="M753" s="34">
        <v>1</v>
      </c>
      <c r="O753" s="34">
        <f t="shared" si="23"/>
        <v>0</v>
      </c>
      <c r="Q753" s="34">
        <v>13</v>
      </c>
    </row>
    <row r="754" spans="12:17" ht="13.5" customHeight="1" x14ac:dyDescent="0.35">
      <c r="L754" s="34">
        <v>752</v>
      </c>
      <c r="M754" s="34">
        <v>0</v>
      </c>
      <c r="O754" s="34">
        <f t="shared" si="23"/>
        <v>0</v>
      </c>
      <c r="Q754" s="34">
        <v>10</v>
      </c>
    </row>
    <row r="755" spans="12:17" ht="13.5" customHeight="1" x14ac:dyDescent="0.35">
      <c r="L755" s="34">
        <v>753</v>
      </c>
      <c r="M755" s="34">
        <v>0</v>
      </c>
      <c r="O755" s="34">
        <f t="shared" si="23"/>
        <v>0</v>
      </c>
      <c r="Q755" s="34">
        <v>9</v>
      </c>
    </row>
    <row r="756" spans="12:17" ht="13.5" customHeight="1" x14ac:dyDescent="0.35">
      <c r="L756" s="34">
        <v>754</v>
      </c>
      <c r="M756" s="34">
        <v>0</v>
      </c>
      <c r="O756" s="34">
        <f t="shared" si="23"/>
        <v>0</v>
      </c>
      <c r="Q756" s="34">
        <v>13</v>
      </c>
    </row>
    <row r="757" spans="12:17" ht="13.5" customHeight="1" x14ac:dyDescent="0.35">
      <c r="L757" s="34">
        <v>755</v>
      </c>
      <c r="M757" s="34">
        <v>0</v>
      </c>
      <c r="O757" s="34">
        <f t="shared" si="23"/>
        <v>0</v>
      </c>
      <c r="Q757" s="34">
        <v>7</v>
      </c>
    </row>
    <row r="758" spans="12:17" ht="13.5" customHeight="1" x14ac:dyDescent="0.35">
      <c r="L758" s="34">
        <v>756</v>
      </c>
      <c r="M758" s="34">
        <v>0</v>
      </c>
      <c r="O758" s="34">
        <f t="shared" si="23"/>
        <v>0</v>
      </c>
      <c r="Q758" s="34">
        <v>7</v>
      </c>
    </row>
    <row r="759" spans="12:17" ht="13.5" customHeight="1" x14ac:dyDescent="0.35">
      <c r="L759" s="34">
        <v>757</v>
      </c>
      <c r="M759" s="34">
        <v>1</v>
      </c>
      <c r="O759" s="34">
        <f t="shared" si="23"/>
        <v>0</v>
      </c>
      <c r="Q759" s="34">
        <v>19</v>
      </c>
    </row>
    <row r="760" spans="12:17" ht="13.5" customHeight="1" x14ac:dyDescent="0.35">
      <c r="L760" s="34">
        <v>758</v>
      </c>
      <c r="M760" s="34">
        <v>0</v>
      </c>
      <c r="O760" s="34">
        <f t="shared" si="23"/>
        <v>0</v>
      </c>
      <c r="Q760" s="34">
        <v>19</v>
      </c>
    </row>
    <row r="761" spans="12:17" ht="13.5" customHeight="1" x14ac:dyDescent="0.35">
      <c r="L761" s="34">
        <v>759</v>
      </c>
      <c r="M761" s="34">
        <v>0</v>
      </c>
      <c r="O761" s="34">
        <f t="shared" si="23"/>
        <v>0</v>
      </c>
      <c r="Q761" s="34">
        <v>12</v>
      </c>
    </row>
    <row r="762" spans="12:17" ht="13.5" customHeight="1" x14ac:dyDescent="0.35">
      <c r="L762" s="34">
        <v>760</v>
      </c>
      <c r="M762" s="34">
        <v>0</v>
      </c>
      <c r="O762" s="34">
        <f t="shared" si="23"/>
        <v>0</v>
      </c>
      <c r="Q762" s="34">
        <v>14</v>
      </c>
    </row>
    <row r="763" spans="12:17" ht="13.5" customHeight="1" x14ac:dyDescent="0.35">
      <c r="L763" s="34">
        <v>761</v>
      </c>
      <c r="M763" s="34">
        <v>1</v>
      </c>
      <c r="O763" s="34">
        <f t="shared" si="23"/>
        <v>0</v>
      </c>
      <c r="Q763" s="34">
        <v>12</v>
      </c>
    </row>
    <row r="764" spans="12:17" ht="13.5" customHeight="1" x14ac:dyDescent="0.35">
      <c r="L764" s="34">
        <v>762</v>
      </c>
      <c r="M764" s="34">
        <v>0</v>
      </c>
      <c r="O764" s="34">
        <f t="shared" si="23"/>
        <v>0</v>
      </c>
      <c r="Q764" s="34">
        <v>15</v>
      </c>
    </row>
    <row r="765" spans="12:17" ht="13.5" customHeight="1" x14ac:dyDescent="0.35">
      <c r="L765" s="34">
        <v>763</v>
      </c>
      <c r="M765" s="34">
        <v>0</v>
      </c>
      <c r="O765" s="34">
        <f t="shared" si="23"/>
        <v>0</v>
      </c>
      <c r="Q765" s="34">
        <v>10</v>
      </c>
    </row>
    <row r="766" spans="12:17" ht="13.5" customHeight="1" x14ac:dyDescent="0.35">
      <c r="L766" s="34">
        <v>764</v>
      </c>
      <c r="M766" s="34">
        <v>1</v>
      </c>
      <c r="O766" s="34">
        <f t="shared" si="23"/>
        <v>0</v>
      </c>
      <c r="Q766" s="34">
        <v>11</v>
      </c>
    </row>
    <row r="767" spans="12:17" ht="13.5" customHeight="1" x14ac:dyDescent="0.35">
      <c r="L767" s="34">
        <v>765</v>
      </c>
      <c r="M767" s="34">
        <v>0</v>
      </c>
      <c r="O767" s="34">
        <f t="shared" si="23"/>
        <v>0</v>
      </c>
      <c r="Q767" s="34">
        <v>6</v>
      </c>
    </row>
    <row r="768" spans="12:17" ht="13.5" customHeight="1" x14ac:dyDescent="0.35">
      <c r="L768" s="34">
        <v>766</v>
      </c>
      <c r="M768" s="34">
        <v>0</v>
      </c>
      <c r="O768" s="34">
        <f t="shared" si="23"/>
        <v>0</v>
      </c>
      <c r="Q768" s="34">
        <v>17</v>
      </c>
    </row>
    <row r="769" spans="12:17" ht="13.5" customHeight="1" x14ac:dyDescent="0.35">
      <c r="L769" s="34">
        <v>767</v>
      </c>
      <c r="M769" s="34">
        <v>0</v>
      </c>
      <c r="O769" s="34">
        <f t="shared" si="23"/>
        <v>0</v>
      </c>
      <c r="Q769" s="34">
        <v>12</v>
      </c>
    </row>
    <row r="770" spans="12:17" ht="13.5" customHeight="1" x14ac:dyDescent="0.35">
      <c r="L770" s="34">
        <v>768</v>
      </c>
      <c r="M770" s="34">
        <v>0</v>
      </c>
      <c r="O770" s="34">
        <f t="shared" si="23"/>
        <v>0</v>
      </c>
      <c r="Q770" s="34">
        <v>14</v>
      </c>
    </row>
    <row r="771" spans="12:17" ht="13.5" customHeight="1" x14ac:dyDescent="0.35">
      <c r="L771" s="34">
        <v>769</v>
      </c>
      <c r="M771" s="34">
        <v>1</v>
      </c>
      <c r="O771" s="34">
        <f t="shared" si="23"/>
        <v>0</v>
      </c>
      <c r="Q771" s="34">
        <v>10</v>
      </c>
    </row>
    <row r="772" spans="12:17" ht="13.5" customHeight="1" x14ac:dyDescent="0.35">
      <c r="L772" s="34">
        <v>770</v>
      </c>
      <c r="M772" s="34">
        <v>1</v>
      </c>
      <c r="O772" s="34">
        <f t="shared" si="23"/>
        <v>0</v>
      </c>
      <c r="Q772" s="34">
        <v>9</v>
      </c>
    </row>
    <row r="773" spans="12:17" ht="13.5" customHeight="1" x14ac:dyDescent="0.35">
      <c r="L773" s="34">
        <v>771</v>
      </c>
      <c r="M773" s="34">
        <v>0</v>
      </c>
      <c r="O773" s="34">
        <f t="shared" si="23"/>
        <v>0</v>
      </c>
      <c r="Q773" s="34">
        <v>11</v>
      </c>
    </row>
    <row r="774" spans="12:17" ht="13.5" customHeight="1" x14ac:dyDescent="0.35">
      <c r="L774" s="34">
        <v>772</v>
      </c>
      <c r="M774" s="34">
        <v>2</v>
      </c>
      <c r="O774" s="34">
        <f t="shared" si="23"/>
        <v>0</v>
      </c>
      <c r="Q774" s="34">
        <v>11</v>
      </c>
    </row>
    <row r="775" spans="12:17" ht="13.5" customHeight="1" x14ac:dyDescent="0.35">
      <c r="L775" s="34">
        <v>773</v>
      </c>
      <c r="M775" s="34">
        <v>0</v>
      </c>
      <c r="O775" s="34">
        <f t="shared" si="23"/>
        <v>0</v>
      </c>
      <c r="Q775" s="34">
        <v>14</v>
      </c>
    </row>
    <row r="776" spans="12:17" ht="13.5" customHeight="1" x14ac:dyDescent="0.35">
      <c r="L776" s="34">
        <v>774</v>
      </c>
      <c r="M776" s="34">
        <v>0</v>
      </c>
      <c r="O776" s="34">
        <f t="shared" si="23"/>
        <v>0</v>
      </c>
      <c r="Q776" s="34">
        <v>14</v>
      </c>
    </row>
    <row r="777" spans="12:17" ht="13.5" customHeight="1" x14ac:dyDescent="0.35">
      <c r="L777" s="34">
        <v>775</v>
      </c>
      <c r="M777" s="34">
        <v>0</v>
      </c>
      <c r="O777" s="34">
        <f t="shared" si="23"/>
        <v>0</v>
      </c>
      <c r="Q777" s="34">
        <v>10</v>
      </c>
    </row>
    <row r="778" spans="12:17" ht="13.5" customHeight="1" x14ac:dyDescent="0.35">
      <c r="L778" s="34">
        <v>776</v>
      </c>
      <c r="M778" s="34">
        <v>0</v>
      </c>
      <c r="O778" s="34">
        <f t="shared" si="23"/>
        <v>0</v>
      </c>
      <c r="Q778" s="34">
        <v>14</v>
      </c>
    </row>
    <row r="779" spans="12:17" ht="13.5" customHeight="1" x14ac:dyDescent="0.35">
      <c r="L779" s="34">
        <v>777</v>
      </c>
      <c r="M779" s="34">
        <v>1</v>
      </c>
      <c r="O779" s="34">
        <f t="shared" si="23"/>
        <v>0</v>
      </c>
      <c r="Q779" s="34">
        <v>8</v>
      </c>
    </row>
    <row r="780" spans="12:17" ht="13.5" customHeight="1" x14ac:dyDescent="0.35">
      <c r="L780" s="34">
        <v>778</v>
      </c>
      <c r="M780" s="34">
        <v>0</v>
      </c>
      <c r="O780" s="34">
        <f t="shared" si="23"/>
        <v>0</v>
      </c>
      <c r="Q780" s="34">
        <v>4</v>
      </c>
    </row>
    <row r="781" spans="12:17" ht="13.5" customHeight="1" x14ac:dyDescent="0.35">
      <c r="L781" s="34">
        <v>779</v>
      </c>
      <c r="M781" s="34">
        <v>0</v>
      </c>
      <c r="O781" s="34">
        <f t="shared" si="23"/>
        <v>0</v>
      </c>
      <c r="Q781" s="34">
        <v>15</v>
      </c>
    </row>
    <row r="782" spans="12:17" ht="13.5" customHeight="1" x14ac:dyDescent="0.35">
      <c r="L782" s="34">
        <v>780</v>
      </c>
      <c r="M782" s="34">
        <v>0</v>
      </c>
      <c r="O782" s="34">
        <f t="shared" si="23"/>
        <v>0</v>
      </c>
      <c r="Q782" s="34">
        <v>11</v>
      </c>
    </row>
    <row r="783" spans="12:17" ht="13.5" customHeight="1" x14ac:dyDescent="0.35">
      <c r="L783" s="34">
        <v>781</v>
      </c>
      <c r="M783" s="34">
        <v>0</v>
      </c>
      <c r="O783" s="34">
        <f t="shared" si="23"/>
        <v>0</v>
      </c>
      <c r="Q783" s="34">
        <v>10</v>
      </c>
    </row>
    <row r="784" spans="12:17" ht="13.5" customHeight="1" x14ac:dyDescent="0.35">
      <c r="L784" s="34">
        <v>782</v>
      </c>
      <c r="M784" s="34">
        <v>0</v>
      </c>
      <c r="O784" s="34">
        <f t="shared" si="23"/>
        <v>0</v>
      </c>
      <c r="Q784" s="34">
        <v>9</v>
      </c>
    </row>
    <row r="785" spans="12:17" ht="13.5" customHeight="1" x14ac:dyDescent="0.35">
      <c r="L785" s="34">
        <v>783</v>
      </c>
      <c r="M785" s="34">
        <v>0</v>
      </c>
      <c r="O785" s="34">
        <f t="shared" si="23"/>
        <v>0</v>
      </c>
      <c r="Q785" s="34">
        <v>16</v>
      </c>
    </row>
    <row r="786" spans="12:17" ht="13.5" customHeight="1" x14ac:dyDescent="0.35">
      <c r="L786" s="34">
        <v>784</v>
      </c>
      <c r="M786" s="34">
        <v>2</v>
      </c>
      <c r="O786" s="34">
        <f t="shared" si="23"/>
        <v>0</v>
      </c>
      <c r="Q786" s="34">
        <v>13</v>
      </c>
    </row>
    <row r="787" spans="12:17" ht="13.5" customHeight="1" x14ac:dyDescent="0.35">
      <c r="L787" s="34">
        <v>785</v>
      </c>
      <c r="M787" s="34">
        <v>0</v>
      </c>
      <c r="O787" s="34">
        <f t="shared" si="23"/>
        <v>0</v>
      </c>
      <c r="Q787" s="34">
        <v>11</v>
      </c>
    </row>
    <row r="788" spans="12:17" ht="13.5" customHeight="1" x14ac:dyDescent="0.35">
      <c r="L788" s="34">
        <v>786</v>
      </c>
      <c r="M788" s="34">
        <v>0</v>
      </c>
      <c r="O788" s="34">
        <f t="shared" si="23"/>
        <v>0</v>
      </c>
      <c r="Q788" s="34">
        <v>10</v>
      </c>
    </row>
    <row r="789" spans="12:17" ht="13.5" customHeight="1" x14ac:dyDescent="0.35">
      <c r="L789" s="34">
        <v>787</v>
      </c>
      <c r="M789" s="34">
        <v>0</v>
      </c>
      <c r="O789" s="34">
        <f t="shared" si="23"/>
        <v>0</v>
      </c>
      <c r="Q789" s="34">
        <v>13</v>
      </c>
    </row>
    <row r="790" spans="12:17" ht="13.5" customHeight="1" x14ac:dyDescent="0.35">
      <c r="L790" s="34">
        <v>788</v>
      </c>
      <c r="M790" s="34">
        <v>1</v>
      </c>
      <c r="O790" s="34">
        <f t="shared" si="23"/>
        <v>0</v>
      </c>
      <c r="Q790" s="34">
        <v>9</v>
      </c>
    </row>
    <row r="791" spans="12:17" ht="13.5" customHeight="1" x14ac:dyDescent="0.35">
      <c r="L791" s="34">
        <v>789</v>
      </c>
      <c r="M791" s="34">
        <v>0</v>
      </c>
      <c r="O791" s="34">
        <f t="shared" si="23"/>
        <v>0</v>
      </c>
      <c r="Q791" s="34">
        <v>11</v>
      </c>
    </row>
    <row r="792" spans="12:17" ht="13.5" customHeight="1" x14ac:dyDescent="0.35">
      <c r="L792" s="34">
        <v>790</v>
      </c>
      <c r="M792" s="34">
        <v>0</v>
      </c>
      <c r="O792" s="34">
        <f t="shared" si="23"/>
        <v>0</v>
      </c>
      <c r="Q792" s="34">
        <v>12</v>
      </c>
    </row>
    <row r="793" spans="12:17" ht="13.5" customHeight="1" x14ac:dyDescent="0.35">
      <c r="L793" s="34">
        <v>791</v>
      </c>
      <c r="M793" s="34">
        <v>1</v>
      </c>
      <c r="O793" s="34">
        <f t="shared" si="23"/>
        <v>0</v>
      </c>
      <c r="Q793" s="34">
        <v>8</v>
      </c>
    </row>
    <row r="794" spans="12:17" ht="13.5" customHeight="1" x14ac:dyDescent="0.35">
      <c r="L794" s="34">
        <v>792</v>
      </c>
      <c r="M794" s="34">
        <v>0</v>
      </c>
      <c r="O794" s="34">
        <f t="shared" si="23"/>
        <v>0</v>
      </c>
      <c r="Q794" s="34">
        <v>15</v>
      </c>
    </row>
    <row r="795" spans="12:17" ht="13.5" customHeight="1" x14ac:dyDescent="0.35">
      <c r="L795" s="34">
        <v>793</v>
      </c>
      <c r="M795" s="34">
        <v>1</v>
      </c>
      <c r="O795" s="34">
        <f t="shared" si="23"/>
        <v>0</v>
      </c>
      <c r="Q795" s="34">
        <v>11</v>
      </c>
    </row>
    <row r="796" spans="12:17" ht="13.5" customHeight="1" x14ac:dyDescent="0.35">
      <c r="L796" s="34">
        <v>794</v>
      </c>
      <c r="M796" s="34">
        <v>0</v>
      </c>
      <c r="O796" s="34">
        <f t="shared" si="23"/>
        <v>0</v>
      </c>
      <c r="Q796" s="34">
        <v>16</v>
      </c>
    </row>
    <row r="797" spans="12:17" ht="13.5" customHeight="1" x14ac:dyDescent="0.35">
      <c r="L797" s="34">
        <v>795</v>
      </c>
      <c r="M797" s="34">
        <v>0</v>
      </c>
      <c r="O797" s="34">
        <f t="shared" si="23"/>
        <v>0</v>
      </c>
      <c r="Q797" s="34">
        <v>15</v>
      </c>
    </row>
    <row r="798" spans="12:17" ht="13.5" customHeight="1" x14ac:dyDescent="0.35">
      <c r="L798" s="34">
        <v>796</v>
      </c>
      <c r="M798" s="34">
        <v>0</v>
      </c>
      <c r="O798" s="34">
        <f t="shared" si="23"/>
        <v>0</v>
      </c>
      <c r="Q798" s="34">
        <v>6</v>
      </c>
    </row>
    <row r="799" spans="12:17" ht="13.5" customHeight="1" x14ac:dyDescent="0.35">
      <c r="L799" s="34">
        <v>797</v>
      </c>
      <c r="M799" s="34">
        <v>0</v>
      </c>
      <c r="O799" s="34">
        <f t="shared" si="23"/>
        <v>0</v>
      </c>
      <c r="Q799" s="34">
        <v>10</v>
      </c>
    </row>
    <row r="800" spans="12:17" ht="13.5" customHeight="1" x14ac:dyDescent="0.35">
      <c r="L800" s="34">
        <v>798</v>
      </c>
      <c r="M800" s="34">
        <v>1</v>
      </c>
      <c r="O800" s="34">
        <f t="shared" si="23"/>
        <v>0</v>
      </c>
      <c r="Q800" s="34">
        <v>8</v>
      </c>
    </row>
    <row r="801" spans="12:17" ht="13.5" customHeight="1" x14ac:dyDescent="0.35">
      <c r="L801" s="34">
        <v>799</v>
      </c>
      <c r="M801" s="34">
        <v>0</v>
      </c>
      <c r="O801" s="34">
        <f t="shared" si="23"/>
        <v>0</v>
      </c>
      <c r="Q801" s="34">
        <v>7</v>
      </c>
    </row>
    <row r="802" spans="12:17" ht="13.5" customHeight="1" x14ac:dyDescent="0.35">
      <c r="L802" s="34">
        <v>800</v>
      </c>
      <c r="M802" s="34">
        <v>0</v>
      </c>
      <c r="O802" s="34">
        <f t="shared" si="23"/>
        <v>0</v>
      </c>
      <c r="Q802" s="34">
        <v>11</v>
      </c>
    </row>
    <row r="803" spans="12:17" ht="13.5" customHeight="1" x14ac:dyDescent="0.35">
      <c r="L803" s="34">
        <v>801</v>
      </c>
      <c r="M803" s="34">
        <v>0</v>
      </c>
      <c r="O803" s="34">
        <f t="shared" si="23"/>
        <v>0</v>
      </c>
      <c r="Q803" s="34">
        <v>13</v>
      </c>
    </row>
    <row r="804" spans="12:17" ht="13.5" customHeight="1" x14ac:dyDescent="0.35">
      <c r="L804" s="34">
        <v>802</v>
      </c>
      <c r="M804" s="34">
        <v>0</v>
      </c>
      <c r="O804" s="34">
        <f t="shared" si="23"/>
        <v>0</v>
      </c>
      <c r="Q804" s="34">
        <v>11</v>
      </c>
    </row>
    <row r="805" spans="12:17" ht="13.5" customHeight="1" x14ac:dyDescent="0.35">
      <c r="L805" s="34">
        <v>803</v>
      </c>
      <c r="M805" s="34">
        <v>0</v>
      </c>
      <c r="O805" s="34">
        <f t="shared" si="23"/>
        <v>0</v>
      </c>
      <c r="Q805" s="34">
        <v>8</v>
      </c>
    </row>
    <row r="806" spans="12:17" ht="13.5" customHeight="1" x14ac:dyDescent="0.35">
      <c r="L806" s="34">
        <v>804</v>
      </c>
      <c r="M806" s="34">
        <v>0</v>
      </c>
      <c r="O806" s="34">
        <f t="shared" si="23"/>
        <v>0</v>
      </c>
      <c r="Q806" s="34">
        <v>13</v>
      </c>
    </row>
    <row r="807" spans="12:17" ht="13.5" customHeight="1" x14ac:dyDescent="0.35">
      <c r="L807" s="34">
        <v>805</v>
      </c>
      <c r="M807" s="34">
        <v>2</v>
      </c>
      <c r="O807" s="34">
        <f t="shared" si="23"/>
        <v>0</v>
      </c>
      <c r="Q807" s="34">
        <v>14</v>
      </c>
    </row>
    <row r="808" spans="12:17" ht="13.5" customHeight="1" x14ac:dyDescent="0.35">
      <c r="L808" s="34">
        <v>806</v>
      </c>
      <c r="M808" s="34">
        <v>0</v>
      </c>
      <c r="O808" s="34">
        <f t="shared" si="23"/>
        <v>0</v>
      </c>
      <c r="Q808" s="34">
        <v>9</v>
      </c>
    </row>
    <row r="809" spans="12:17" ht="13.5" customHeight="1" x14ac:dyDescent="0.35">
      <c r="L809" s="34">
        <v>807</v>
      </c>
      <c r="M809" s="34">
        <v>1</v>
      </c>
      <c r="O809" s="34">
        <f t="shared" si="23"/>
        <v>0</v>
      </c>
      <c r="Q809" s="34">
        <v>12</v>
      </c>
    </row>
    <row r="810" spans="12:17" ht="13.5" customHeight="1" x14ac:dyDescent="0.35">
      <c r="L810" s="34">
        <v>808</v>
      </c>
      <c r="M810" s="34">
        <v>1</v>
      </c>
      <c r="O810" s="34">
        <f t="shared" si="23"/>
        <v>0</v>
      </c>
      <c r="Q810" s="34">
        <v>7</v>
      </c>
    </row>
    <row r="811" spans="12:17" ht="13.5" customHeight="1" x14ac:dyDescent="0.35">
      <c r="L811" s="34">
        <v>809</v>
      </c>
      <c r="M811" s="34">
        <v>0</v>
      </c>
      <c r="O811" s="34">
        <f t="shared" si="23"/>
        <v>0</v>
      </c>
      <c r="Q811" s="34">
        <v>15</v>
      </c>
    </row>
    <row r="812" spans="12:17" ht="13.5" customHeight="1" x14ac:dyDescent="0.35">
      <c r="L812" s="34">
        <v>810</v>
      </c>
      <c r="M812" s="34">
        <v>0</v>
      </c>
      <c r="O812" s="34">
        <f t="shared" si="23"/>
        <v>0</v>
      </c>
      <c r="Q812" s="34">
        <v>16</v>
      </c>
    </row>
    <row r="813" spans="12:17" ht="13.5" customHeight="1" x14ac:dyDescent="0.35">
      <c r="L813" s="34">
        <v>811</v>
      </c>
      <c r="M813" s="34">
        <v>0</v>
      </c>
      <c r="O813" s="34">
        <f t="shared" si="23"/>
        <v>0</v>
      </c>
      <c r="Q813" s="34">
        <v>6</v>
      </c>
    </row>
    <row r="814" spans="12:17" ht="13.5" customHeight="1" x14ac:dyDescent="0.35">
      <c r="L814" s="34">
        <v>812</v>
      </c>
      <c r="M814" s="34">
        <v>0</v>
      </c>
      <c r="O814" s="34">
        <f t="shared" ref="O814:O877" si="24">MAX(N814:N1812)</f>
        <v>0</v>
      </c>
      <c r="Q814" s="34">
        <v>15</v>
      </c>
    </row>
    <row r="815" spans="12:17" ht="13.5" customHeight="1" x14ac:dyDescent="0.35">
      <c r="L815" s="34">
        <v>813</v>
      </c>
      <c r="M815" s="34">
        <v>0</v>
      </c>
      <c r="O815" s="34">
        <f t="shared" si="24"/>
        <v>0</v>
      </c>
      <c r="Q815" s="34">
        <v>13</v>
      </c>
    </row>
    <row r="816" spans="12:17" ht="13.5" customHeight="1" x14ac:dyDescent="0.35">
      <c r="L816" s="34">
        <v>814</v>
      </c>
      <c r="M816" s="34">
        <v>0</v>
      </c>
      <c r="O816" s="34">
        <f t="shared" si="24"/>
        <v>0</v>
      </c>
      <c r="Q816" s="34">
        <v>11</v>
      </c>
    </row>
    <row r="817" spans="12:17" ht="13.5" customHeight="1" x14ac:dyDescent="0.35">
      <c r="L817" s="34">
        <v>815</v>
      </c>
      <c r="M817" s="34">
        <v>0</v>
      </c>
      <c r="O817" s="34">
        <f t="shared" si="24"/>
        <v>0</v>
      </c>
      <c r="Q817" s="34">
        <v>15</v>
      </c>
    </row>
    <row r="818" spans="12:17" ht="13.5" customHeight="1" x14ac:dyDescent="0.35">
      <c r="L818" s="34">
        <v>816</v>
      </c>
      <c r="M818" s="34">
        <v>0</v>
      </c>
      <c r="O818" s="34">
        <f t="shared" si="24"/>
        <v>0</v>
      </c>
      <c r="Q818" s="34">
        <v>16</v>
      </c>
    </row>
    <row r="819" spans="12:17" ht="13.5" customHeight="1" x14ac:dyDescent="0.35">
      <c r="L819" s="34">
        <v>817</v>
      </c>
      <c r="M819" s="34">
        <v>0</v>
      </c>
      <c r="O819" s="34">
        <f t="shared" si="24"/>
        <v>0</v>
      </c>
      <c r="Q819" s="34">
        <v>12</v>
      </c>
    </row>
    <row r="820" spans="12:17" ht="13.5" customHeight="1" x14ac:dyDescent="0.35">
      <c r="L820" s="34">
        <v>818</v>
      </c>
      <c r="M820" s="34">
        <v>0</v>
      </c>
      <c r="O820" s="34">
        <f t="shared" si="24"/>
        <v>0</v>
      </c>
      <c r="Q820" s="34">
        <v>9</v>
      </c>
    </row>
    <row r="821" spans="12:17" ht="13.5" customHeight="1" x14ac:dyDescent="0.35">
      <c r="L821" s="34">
        <v>819</v>
      </c>
      <c r="M821" s="34">
        <v>2</v>
      </c>
      <c r="O821" s="34">
        <f t="shared" si="24"/>
        <v>0</v>
      </c>
      <c r="Q821" s="34">
        <v>4</v>
      </c>
    </row>
    <row r="822" spans="12:17" ht="13.5" customHeight="1" x14ac:dyDescent="0.35">
      <c r="L822" s="34">
        <v>820</v>
      </c>
      <c r="M822" s="34">
        <v>0</v>
      </c>
      <c r="O822" s="34">
        <f t="shared" si="24"/>
        <v>0</v>
      </c>
      <c r="Q822" s="34">
        <v>7</v>
      </c>
    </row>
    <row r="823" spans="12:17" ht="13.5" customHeight="1" x14ac:dyDescent="0.35">
      <c r="L823" s="34">
        <v>821</v>
      </c>
      <c r="M823" s="34">
        <v>0</v>
      </c>
      <c r="O823" s="34">
        <f t="shared" si="24"/>
        <v>0</v>
      </c>
      <c r="Q823" s="34">
        <v>9</v>
      </c>
    </row>
    <row r="824" spans="12:17" ht="13.5" customHeight="1" x14ac:dyDescent="0.35">
      <c r="L824" s="34">
        <v>822</v>
      </c>
      <c r="M824" s="34">
        <v>0</v>
      </c>
      <c r="O824" s="34">
        <f t="shared" si="24"/>
        <v>0</v>
      </c>
      <c r="Q824" s="34">
        <v>9</v>
      </c>
    </row>
    <row r="825" spans="12:17" ht="13.5" customHeight="1" x14ac:dyDescent="0.35">
      <c r="L825" s="34">
        <v>823</v>
      </c>
      <c r="M825" s="34">
        <v>0</v>
      </c>
      <c r="O825" s="34">
        <f t="shared" si="24"/>
        <v>0</v>
      </c>
      <c r="Q825" s="34">
        <v>5</v>
      </c>
    </row>
    <row r="826" spans="12:17" ht="13.5" customHeight="1" x14ac:dyDescent="0.35">
      <c r="L826" s="34">
        <v>824</v>
      </c>
      <c r="M826" s="34">
        <v>0</v>
      </c>
      <c r="O826" s="34">
        <f t="shared" si="24"/>
        <v>0</v>
      </c>
      <c r="Q826" s="34">
        <v>12</v>
      </c>
    </row>
    <row r="827" spans="12:17" ht="13.5" customHeight="1" x14ac:dyDescent="0.35">
      <c r="L827" s="34">
        <v>825</v>
      </c>
      <c r="M827" s="34">
        <v>0</v>
      </c>
      <c r="O827" s="34">
        <f t="shared" si="24"/>
        <v>0</v>
      </c>
      <c r="Q827" s="34">
        <v>17</v>
      </c>
    </row>
    <row r="828" spans="12:17" ht="13.5" customHeight="1" x14ac:dyDescent="0.35">
      <c r="L828" s="34">
        <v>826</v>
      </c>
      <c r="M828" s="34">
        <v>0</v>
      </c>
      <c r="O828" s="34">
        <f t="shared" si="24"/>
        <v>0</v>
      </c>
      <c r="Q828" s="34">
        <v>17</v>
      </c>
    </row>
    <row r="829" spans="12:17" ht="13.5" customHeight="1" x14ac:dyDescent="0.35">
      <c r="L829" s="34">
        <v>827</v>
      </c>
      <c r="M829" s="34">
        <v>0</v>
      </c>
      <c r="O829" s="34">
        <f t="shared" si="24"/>
        <v>0</v>
      </c>
      <c r="Q829" s="34">
        <v>10</v>
      </c>
    </row>
    <row r="830" spans="12:17" ht="13.5" customHeight="1" x14ac:dyDescent="0.35">
      <c r="L830" s="34">
        <v>828</v>
      </c>
      <c r="M830" s="34">
        <v>0</v>
      </c>
      <c r="O830" s="34">
        <f t="shared" si="24"/>
        <v>0</v>
      </c>
      <c r="Q830" s="34">
        <v>13</v>
      </c>
    </row>
    <row r="831" spans="12:17" ht="13.5" customHeight="1" x14ac:dyDescent="0.35">
      <c r="L831" s="34">
        <v>829</v>
      </c>
      <c r="M831" s="34">
        <v>1</v>
      </c>
      <c r="O831" s="34">
        <f t="shared" si="24"/>
        <v>0</v>
      </c>
      <c r="Q831" s="34">
        <v>13</v>
      </c>
    </row>
    <row r="832" spans="12:17" ht="13.5" customHeight="1" x14ac:dyDescent="0.35">
      <c r="L832" s="34">
        <v>830</v>
      </c>
      <c r="M832" s="34">
        <v>0</v>
      </c>
      <c r="O832" s="34">
        <f t="shared" si="24"/>
        <v>0</v>
      </c>
      <c r="Q832" s="34">
        <v>13</v>
      </c>
    </row>
    <row r="833" spans="12:17" ht="13.5" customHeight="1" x14ac:dyDescent="0.35">
      <c r="L833" s="34">
        <v>831</v>
      </c>
      <c r="M833" s="34">
        <v>0</v>
      </c>
      <c r="O833" s="34">
        <f t="shared" si="24"/>
        <v>0</v>
      </c>
      <c r="Q833" s="34">
        <v>12</v>
      </c>
    </row>
    <row r="834" spans="12:17" ht="13.5" customHeight="1" x14ac:dyDescent="0.35">
      <c r="L834" s="34">
        <v>832</v>
      </c>
      <c r="M834" s="34">
        <v>0</v>
      </c>
      <c r="O834" s="34">
        <f t="shared" si="24"/>
        <v>0</v>
      </c>
      <c r="Q834" s="34">
        <v>16</v>
      </c>
    </row>
    <row r="835" spans="12:17" ht="13.5" customHeight="1" x14ac:dyDescent="0.35">
      <c r="L835" s="34">
        <v>833</v>
      </c>
      <c r="M835" s="34">
        <v>0</v>
      </c>
      <c r="O835" s="34">
        <f t="shared" si="24"/>
        <v>0</v>
      </c>
      <c r="Q835" s="34">
        <v>13</v>
      </c>
    </row>
    <row r="836" spans="12:17" ht="13.5" customHeight="1" x14ac:dyDescent="0.35">
      <c r="L836" s="34">
        <v>834</v>
      </c>
      <c r="M836" s="34">
        <v>0</v>
      </c>
      <c r="O836" s="34">
        <f t="shared" si="24"/>
        <v>0</v>
      </c>
      <c r="Q836" s="34">
        <v>18</v>
      </c>
    </row>
    <row r="837" spans="12:17" ht="13.5" customHeight="1" x14ac:dyDescent="0.35">
      <c r="L837" s="34">
        <v>835</v>
      </c>
      <c r="M837" s="34">
        <v>0</v>
      </c>
      <c r="O837" s="34">
        <f t="shared" si="24"/>
        <v>0</v>
      </c>
      <c r="Q837" s="34">
        <v>18</v>
      </c>
    </row>
    <row r="838" spans="12:17" ht="13.5" customHeight="1" x14ac:dyDescent="0.35">
      <c r="L838" s="34">
        <v>836</v>
      </c>
      <c r="M838" s="34">
        <v>0</v>
      </c>
      <c r="O838" s="34">
        <f t="shared" si="24"/>
        <v>0</v>
      </c>
      <c r="Q838" s="34">
        <v>16</v>
      </c>
    </row>
    <row r="839" spans="12:17" ht="13.5" customHeight="1" x14ac:dyDescent="0.35">
      <c r="L839" s="34">
        <v>837</v>
      </c>
      <c r="M839" s="34">
        <v>0</v>
      </c>
      <c r="O839" s="34">
        <f t="shared" si="24"/>
        <v>0</v>
      </c>
      <c r="Q839" s="34">
        <v>8</v>
      </c>
    </row>
    <row r="840" spans="12:17" ht="13.5" customHeight="1" x14ac:dyDescent="0.35">
      <c r="L840" s="34">
        <v>838</v>
      </c>
      <c r="M840" s="34">
        <v>1</v>
      </c>
      <c r="O840" s="34">
        <f t="shared" si="24"/>
        <v>0</v>
      </c>
      <c r="Q840" s="34">
        <v>17</v>
      </c>
    </row>
    <row r="841" spans="12:17" ht="13.5" customHeight="1" x14ac:dyDescent="0.35">
      <c r="L841" s="34">
        <v>839</v>
      </c>
      <c r="M841" s="34">
        <v>0</v>
      </c>
      <c r="O841" s="34">
        <f t="shared" si="24"/>
        <v>0</v>
      </c>
      <c r="Q841" s="34">
        <v>9</v>
      </c>
    </row>
    <row r="842" spans="12:17" ht="13.5" customHeight="1" x14ac:dyDescent="0.35">
      <c r="L842" s="34">
        <v>840</v>
      </c>
      <c r="M842" s="34">
        <v>0</v>
      </c>
      <c r="O842" s="34">
        <f t="shared" si="24"/>
        <v>0</v>
      </c>
      <c r="Q842" s="34">
        <v>10</v>
      </c>
    </row>
    <row r="843" spans="12:17" ht="13.5" customHeight="1" x14ac:dyDescent="0.35">
      <c r="L843" s="34">
        <v>841</v>
      </c>
      <c r="M843" s="34">
        <v>0</v>
      </c>
      <c r="O843" s="34">
        <f t="shared" si="24"/>
        <v>0</v>
      </c>
      <c r="Q843" s="34">
        <v>14</v>
      </c>
    </row>
    <row r="844" spans="12:17" ht="13.5" customHeight="1" x14ac:dyDescent="0.35">
      <c r="L844" s="34">
        <v>842</v>
      </c>
      <c r="M844" s="34">
        <v>0</v>
      </c>
      <c r="O844" s="34">
        <f t="shared" si="24"/>
        <v>0</v>
      </c>
      <c r="Q844" s="34">
        <v>17</v>
      </c>
    </row>
    <row r="845" spans="12:17" ht="13.5" customHeight="1" x14ac:dyDescent="0.35">
      <c r="L845" s="34">
        <v>843</v>
      </c>
      <c r="M845" s="34">
        <v>0</v>
      </c>
      <c r="O845" s="34">
        <f t="shared" si="24"/>
        <v>0</v>
      </c>
      <c r="Q845" s="34">
        <v>9</v>
      </c>
    </row>
    <row r="846" spans="12:17" ht="13.5" customHeight="1" x14ac:dyDescent="0.35">
      <c r="L846" s="34">
        <v>844</v>
      </c>
      <c r="M846" s="34">
        <v>0</v>
      </c>
      <c r="O846" s="34">
        <f t="shared" si="24"/>
        <v>0</v>
      </c>
      <c r="Q846" s="34">
        <v>9</v>
      </c>
    </row>
    <row r="847" spans="12:17" ht="13.5" customHeight="1" x14ac:dyDescent="0.35">
      <c r="L847" s="34">
        <v>845</v>
      </c>
      <c r="M847" s="34">
        <v>1</v>
      </c>
      <c r="O847" s="34">
        <f t="shared" si="24"/>
        <v>0</v>
      </c>
      <c r="Q847" s="34">
        <v>13</v>
      </c>
    </row>
    <row r="848" spans="12:17" ht="13.5" customHeight="1" x14ac:dyDescent="0.35">
      <c r="L848" s="34">
        <v>846</v>
      </c>
      <c r="M848" s="34">
        <v>0</v>
      </c>
      <c r="O848" s="34">
        <f t="shared" si="24"/>
        <v>0</v>
      </c>
      <c r="Q848" s="34">
        <v>13</v>
      </c>
    </row>
    <row r="849" spans="12:17" ht="13.5" customHeight="1" x14ac:dyDescent="0.35">
      <c r="L849" s="34">
        <v>847</v>
      </c>
      <c r="M849" s="34">
        <v>0</v>
      </c>
      <c r="O849" s="34">
        <f t="shared" si="24"/>
        <v>0</v>
      </c>
      <c r="Q849" s="34">
        <v>16</v>
      </c>
    </row>
    <row r="850" spans="12:17" ht="13.5" customHeight="1" x14ac:dyDescent="0.35">
      <c r="L850" s="34">
        <v>848</v>
      </c>
      <c r="M850" s="34">
        <v>0</v>
      </c>
      <c r="O850" s="34">
        <f t="shared" si="24"/>
        <v>0</v>
      </c>
      <c r="Q850" s="34">
        <v>19</v>
      </c>
    </row>
    <row r="851" spans="12:17" ht="13.5" customHeight="1" x14ac:dyDescent="0.35">
      <c r="L851" s="34">
        <v>849</v>
      </c>
      <c r="M851" s="34">
        <v>0</v>
      </c>
      <c r="O851" s="34">
        <f t="shared" si="24"/>
        <v>0</v>
      </c>
      <c r="Q851" s="34">
        <v>16</v>
      </c>
    </row>
    <row r="852" spans="12:17" ht="13.5" customHeight="1" x14ac:dyDescent="0.35">
      <c r="L852" s="34">
        <v>850</v>
      </c>
      <c r="M852" s="34">
        <v>0</v>
      </c>
      <c r="O852" s="34">
        <f t="shared" si="24"/>
        <v>0</v>
      </c>
      <c r="Q852" s="34">
        <v>12</v>
      </c>
    </row>
    <row r="853" spans="12:17" ht="13.5" customHeight="1" x14ac:dyDescent="0.35">
      <c r="L853" s="34">
        <v>851</v>
      </c>
      <c r="M853" s="34">
        <v>0</v>
      </c>
      <c r="O853" s="34">
        <f t="shared" si="24"/>
        <v>0</v>
      </c>
      <c r="Q853" s="34">
        <v>14</v>
      </c>
    </row>
    <row r="854" spans="12:17" ht="13.5" customHeight="1" x14ac:dyDescent="0.35">
      <c r="L854" s="34">
        <v>852</v>
      </c>
      <c r="M854" s="34">
        <v>0</v>
      </c>
      <c r="O854" s="34">
        <f t="shared" si="24"/>
        <v>0</v>
      </c>
      <c r="Q854" s="34">
        <v>11</v>
      </c>
    </row>
    <row r="855" spans="12:17" ht="13.5" customHeight="1" x14ac:dyDescent="0.35">
      <c r="L855" s="34">
        <v>853</v>
      </c>
      <c r="M855" s="34">
        <v>0</v>
      </c>
      <c r="O855" s="34">
        <f t="shared" si="24"/>
        <v>0</v>
      </c>
      <c r="Q855" s="34">
        <v>10</v>
      </c>
    </row>
    <row r="856" spans="12:17" ht="13.5" customHeight="1" x14ac:dyDescent="0.35">
      <c r="L856" s="34">
        <v>854</v>
      </c>
      <c r="M856" s="34">
        <v>0</v>
      </c>
      <c r="O856" s="34">
        <f t="shared" si="24"/>
        <v>0</v>
      </c>
      <c r="Q856" s="34">
        <v>18</v>
      </c>
    </row>
    <row r="857" spans="12:17" ht="13.5" customHeight="1" x14ac:dyDescent="0.35">
      <c r="L857" s="34">
        <v>855</v>
      </c>
      <c r="M857" s="34">
        <v>1</v>
      </c>
      <c r="O857" s="34">
        <f t="shared" si="24"/>
        <v>0</v>
      </c>
      <c r="Q857" s="34">
        <v>14</v>
      </c>
    </row>
    <row r="858" spans="12:17" ht="13.5" customHeight="1" x14ac:dyDescent="0.35">
      <c r="L858" s="34">
        <v>856</v>
      </c>
      <c r="M858" s="34">
        <v>1</v>
      </c>
      <c r="O858" s="34">
        <f t="shared" si="24"/>
        <v>0</v>
      </c>
      <c r="Q858" s="34">
        <v>10</v>
      </c>
    </row>
    <row r="859" spans="12:17" ht="13.5" customHeight="1" x14ac:dyDescent="0.35">
      <c r="L859" s="34">
        <v>857</v>
      </c>
      <c r="M859" s="34">
        <v>0</v>
      </c>
      <c r="O859" s="34">
        <f t="shared" si="24"/>
        <v>0</v>
      </c>
      <c r="Q859" s="34">
        <v>10</v>
      </c>
    </row>
    <row r="860" spans="12:17" ht="13.5" customHeight="1" x14ac:dyDescent="0.35">
      <c r="L860" s="34">
        <v>858</v>
      </c>
      <c r="M860" s="34">
        <v>0</v>
      </c>
      <c r="O860" s="34">
        <f t="shared" si="24"/>
        <v>0</v>
      </c>
      <c r="Q860" s="34">
        <v>10</v>
      </c>
    </row>
    <row r="861" spans="12:17" ht="13.5" customHeight="1" x14ac:dyDescent="0.35">
      <c r="L861" s="34">
        <v>859</v>
      </c>
      <c r="M861" s="34">
        <v>0</v>
      </c>
      <c r="O861" s="34">
        <f t="shared" si="24"/>
        <v>0</v>
      </c>
      <c r="Q861" s="34">
        <v>16</v>
      </c>
    </row>
    <row r="862" spans="12:17" ht="13.5" customHeight="1" x14ac:dyDescent="0.35">
      <c r="L862" s="34">
        <v>860</v>
      </c>
      <c r="M862" s="34">
        <v>0</v>
      </c>
      <c r="O862" s="34">
        <f t="shared" si="24"/>
        <v>0</v>
      </c>
      <c r="Q862" s="34">
        <v>11</v>
      </c>
    </row>
    <row r="863" spans="12:17" ht="13.5" customHeight="1" x14ac:dyDescent="0.35">
      <c r="L863" s="34">
        <v>861</v>
      </c>
      <c r="M863" s="34">
        <v>0</v>
      </c>
      <c r="O863" s="34">
        <f t="shared" si="24"/>
        <v>0</v>
      </c>
      <c r="Q863" s="34">
        <v>12</v>
      </c>
    </row>
    <row r="864" spans="12:17" ht="13.5" customHeight="1" x14ac:dyDescent="0.35">
      <c r="L864" s="34">
        <v>862</v>
      </c>
      <c r="M864" s="34">
        <v>0</v>
      </c>
      <c r="O864" s="34">
        <f t="shared" si="24"/>
        <v>0</v>
      </c>
      <c r="Q864" s="34">
        <v>16</v>
      </c>
    </row>
    <row r="865" spans="12:17" ht="13.5" customHeight="1" x14ac:dyDescent="0.35">
      <c r="L865" s="34">
        <v>863</v>
      </c>
      <c r="M865" s="34">
        <v>1</v>
      </c>
      <c r="O865" s="34">
        <f t="shared" si="24"/>
        <v>0</v>
      </c>
      <c r="Q865" s="34">
        <v>14</v>
      </c>
    </row>
    <row r="866" spans="12:17" ht="13.5" customHeight="1" x14ac:dyDescent="0.35">
      <c r="L866" s="34">
        <v>864</v>
      </c>
      <c r="M866" s="34">
        <v>0</v>
      </c>
      <c r="O866" s="34">
        <f t="shared" si="24"/>
        <v>0</v>
      </c>
      <c r="Q866" s="34">
        <v>14</v>
      </c>
    </row>
    <row r="867" spans="12:17" ht="13.5" customHeight="1" x14ac:dyDescent="0.35">
      <c r="L867" s="34">
        <v>865</v>
      </c>
      <c r="M867" s="34">
        <v>0</v>
      </c>
      <c r="O867" s="34">
        <f t="shared" si="24"/>
        <v>0</v>
      </c>
      <c r="Q867" s="34">
        <v>14</v>
      </c>
    </row>
    <row r="868" spans="12:17" ht="13.5" customHeight="1" x14ac:dyDescent="0.35">
      <c r="L868" s="34">
        <v>866</v>
      </c>
      <c r="M868" s="34">
        <v>0</v>
      </c>
      <c r="O868" s="34">
        <f t="shared" si="24"/>
        <v>0</v>
      </c>
      <c r="Q868" s="34">
        <v>12</v>
      </c>
    </row>
    <row r="869" spans="12:17" ht="13.5" customHeight="1" x14ac:dyDescent="0.35">
      <c r="L869" s="34">
        <v>867</v>
      </c>
      <c r="M869" s="34">
        <v>0</v>
      </c>
      <c r="O869" s="34">
        <f t="shared" si="24"/>
        <v>0</v>
      </c>
      <c r="Q869" s="34">
        <v>21</v>
      </c>
    </row>
    <row r="870" spans="12:17" ht="13.5" customHeight="1" x14ac:dyDescent="0.35">
      <c r="L870" s="34">
        <v>868</v>
      </c>
      <c r="M870" s="34">
        <v>0</v>
      </c>
      <c r="O870" s="34">
        <f t="shared" si="24"/>
        <v>0</v>
      </c>
      <c r="Q870" s="34">
        <v>12</v>
      </c>
    </row>
    <row r="871" spans="12:17" ht="13.5" customHeight="1" x14ac:dyDescent="0.35">
      <c r="L871" s="34">
        <v>869</v>
      </c>
      <c r="M871" s="34">
        <v>0</v>
      </c>
      <c r="O871" s="34">
        <f t="shared" si="24"/>
        <v>0</v>
      </c>
      <c r="Q871" s="34">
        <v>11</v>
      </c>
    </row>
    <row r="872" spans="12:17" ht="13.5" customHeight="1" x14ac:dyDescent="0.35">
      <c r="L872" s="34">
        <v>870</v>
      </c>
      <c r="M872" s="34">
        <v>0</v>
      </c>
      <c r="O872" s="34">
        <f t="shared" si="24"/>
        <v>0</v>
      </c>
      <c r="Q872" s="34">
        <v>10</v>
      </c>
    </row>
    <row r="873" spans="12:17" ht="13.5" customHeight="1" x14ac:dyDescent="0.35">
      <c r="L873" s="34">
        <v>871</v>
      </c>
      <c r="M873" s="34">
        <v>0</v>
      </c>
      <c r="O873" s="34">
        <f t="shared" si="24"/>
        <v>0</v>
      </c>
      <c r="Q873" s="34">
        <v>11</v>
      </c>
    </row>
    <row r="874" spans="12:17" ht="13.5" customHeight="1" x14ac:dyDescent="0.35">
      <c r="L874" s="34">
        <v>872</v>
      </c>
      <c r="M874" s="34">
        <v>0</v>
      </c>
      <c r="O874" s="34">
        <f t="shared" si="24"/>
        <v>0</v>
      </c>
      <c r="Q874" s="34">
        <v>14</v>
      </c>
    </row>
    <row r="875" spans="12:17" ht="13.5" customHeight="1" x14ac:dyDescent="0.35">
      <c r="L875" s="34">
        <v>873</v>
      </c>
      <c r="M875" s="34">
        <v>0</v>
      </c>
      <c r="O875" s="34">
        <f t="shared" si="24"/>
        <v>0</v>
      </c>
      <c r="Q875" s="34">
        <v>12</v>
      </c>
    </row>
    <row r="876" spans="12:17" ht="13.5" customHeight="1" x14ac:dyDescent="0.35">
      <c r="L876" s="34">
        <v>874</v>
      </c>
      <c r="M876" s="34">
        <v>0</v>
      </c>
      <c r="O876" s="34">
        <f t="shared" si="24"/>
        <v>0</v>
      </c>
      <c r="Q876" s="34">
        <v>16</v>
      </c>
    </row>
    <row r="877" spans="12:17" ht="13.5" customHeight="1" x14ac:dyDescent="0.35">
      <c r="L877" s="34">
        <v>875</v>
      </c>
      <c r="M877" s="34">
        <v>1</v>
      </c>
      <c r="O877" s="34">
        <f t="shared" si="24"/>
        <v>0</v>
      </c>
      <c r="Q877" s="34">
        <v>13</v>
      </c>
    </row>
    <row r="878" spans="12:17" ht="13.5" customHeight="1" x14ac:dyDescent="0.35">
      <c r="L878" s="34">
        <v>876</v>
      </c>
      <c r="M878" s="34">
        <v>0</v>
      </c>
      <c r="O878" s="34">
        <f t="shared" ref="O878:O941" si="25">MAX(N878:N1876)</f>
        <v>0</v>
      </c>
      <c r="Q878" s="34">
        <v>13</v>
      </c>
    </row>
    <row r="879" spans="12:17" ht="13.5" customHeight="1" x14ac:dyDescent="0.35">
      <c r="L879" s="34">
        <v>877</v>
      </c>
      <c r="M879" s="34">
        <v>0</v>
      </c>
      <c r="O879" s="34">
        <f t="shared" si="25"/>
        <v>0</v>
      </c>
      <c r="Q879" s="34">
        <v>19</v>
      </c>
    </row>
    <row r="880" spans="12:17" ht="13.5" customHeight="1" x14ac:dyDescent="0.35">
      <c r="L880" s="34">
        <v>878</v>
      </c>
      <c r="M880" s="34">
        <v>0</v>
      </c>
      <c r="O880" s="34">
        <f t="shared" si="25"/>
        <v>0</v>
      </c>
      <c r="Q880" s="34">
        <v>17</v>
      </c>
    </row>
    <row r="881" spans="12:17" ht="13.5" customHeight="1" x14ac:dyDescent="0.35">
      <c r="L881" s="34">
        <v>879</v>
      </c>
      <c r="M881" s="34">
        <v>0</v>
      </c>
      <c r="O881" s="34">
        <f t="shared" si="25"/>
        <v>0</v>
      </c>
      <c r="Q881" s="34">
        <v>10</v>
      </c>
    </row>
    <row r="882" spans="12:17" ht="13.5" customHeight="1" x14ac:dyDescent="0.35">
      <c r="L882" s="34">
        <v>880</v>
      </c>
      <c r="M882" s="34">
        <v>0</v>
      </c>
      <c r="O882" s="34">
        <f t="shared" si="25"/>
        <v>0</v>
      </c>
      <c r="Q882" s="34">
        <v>13</v>
      </c>
    </row>
    <row r="883" spans="12:17" ht="13.5" customHeight="1" x14ac:dyDescent="0.35">
      <c r="L883" s="34">
        <v>881</v>
      </c>
      <c r="M883" s="34">
        <v>0</v>
      </c>
      <c r="O883" s="34">
        <f t="shared" si="25"/>
        <v>0</v>
      </c>
      <c r="Q883" s="34">
        <v>19</v>
      </c>
    </row>
    <row r="884" spans="12:17" ht="13.5" customHeight="1" x14ac:dyDescent="0.35">
      <c r="L884" s="34">
        <v>882</v>
      </c>
      <c r="M884" s="34">
        <v>0</v>
      </c>
      <c r="O884" s="34">
        <f t="shared" si="25"/>
        <v>0</v>
      </c>
      <c r="Q884" s="34">
        <v>16</v>
      </c>
    </row>
    <row r="885" spans="12:17" ht="13.5" customHeight="1" x14ac:dyDescent="0.35">
      <c r="L885" s="34">
        <v>883</v>
      </c>
      <c r="M885" s="34">
        <v>0</v>
      </c>
      <c r="O885" s="34">
        <f t="shared" si="25"/>
        <v>0</v>
      </c>
      <c r="Q885" s="34">
        <v>17</v>
      </c>
    </row>
    <row r="886" spans="12:17" ht="13.5" customHeight="1" x14ac:dyDescent="0.35">
      <c r="L886" s="34">
        <v>884</v>
      </c>
      <c r="M886" s="34">
        <v>0</v>
      </c>
      <c r="O886" s="34">
        <f t="shared" si="25"/>
        <v>0</v>
      </c>
      <c r="Q886" s="34">
        <v>9</v>
      </c>
    </row>
    <row r="887" spans="12:17" ht="13.5" customHeight="1" x14ac:dyDescent="0.35">
      <c r="L887" s="34">
        <v>885</v>
      </c>
      <c r="M887" s="34">
        <v>0</v>
      </c>
      <c r="O887" s="34">
        <f t="shared" si="25"/>
        <v>0</v>
      </c>
      <c r="Q887" s="34">
        <v>14</v>
      </c>
    </row>
    <row r="888" spans="12:17" ht="13.5" customHeight="1" x14ac:dyDescent="0.35">
      <c r="L888" s="34">
        <v>886</v>
      </c>
      <c r="M888" s="34">
        <v>0</v>
      </c>
      <c r="O888" s="34">
        <f t="shared" si="25"/>
        <v>0</v>
      </c>
      <c r="Q888" s="34">
        <v>16</v>
      </c>
    </row>
    <row r="889" spans="12:17" ht="13.5" customHeight="1" x14ac:dyDescent="0.35">
      <c r="L889" s="34">
        <v>887</v>
      </c>
      <c r="M889" s="34">
        <v>0</v>
      </c>
      <c r="O889" s="34">
        <f t="shared" si="25"/>
        <v>0</v>
      </c>
      <c r="Q889" s="34">
        <v>19</v>
      </c>
    </row>
    <row r="890" spans="12:17" ht="13.5" customHeight="1" x14ac:dyDescent="0.35">
      <c r="L890" s="34">
        <v>888</v>
      </c>
      <c r="M890" s="34">
        <v>0</v>
      </c>
      <c r="O890" s="34">
        <f t="shared" si="25"/>
        <v>0</v>
      </c>
      <c r="Q890" s="34">
        <v>14</v>
      </c>
    </row>
    <row r="891" spans="12:17" ht="13.5" customHeight="1" x14ac:dyDescent="0.35">
      <c r="L891" s="34">
        <v>889</v>
      </c>
      <c r="M891" s="34">
        <v>0</v>
      </c>
      <c r="O891" s="34">
        <f t="shared" si="25"/>
        <v>0</v>
      </c>
      <c r="Q891" s="34">
        <v>16</v>
      </c>
    </row>
    <row r="892" spans="12:17" ht="13.5" customHeight="1" x14ac:dyDescent="0.35">
      <c r="L892" s="34">
        <v>890</v>
      </c>
      <c r="M892" s="34">
        <v>1</v>
      </c>
      <c r="O892" s="34">
        <f t="shared" si="25"/>
        <v>0</v>
      </c>
      <c r="Q892" s="34">
        <v>9</v>
      </c>
    </row>
    <row r="893" spans="12:17" ht="13.5" customHeight="1" x14ac:dyDescent="0.35">
      <c r="L893" s="34">
        <v>891</v>
      </c>
      <c r="M893" s="34">
        <v>0</v>
      </c>
      <c r="O893" s="34">
        <f t="shared" si="25"/>
        <v>0</v>
      </c>
      <c r="Q893" s="34">
        <v>12</v>
      </c>
    </row>
    <row r="894" spans="12:17" ht="13.5" customHeight="1" x14ac:dyDescent="0.35">
      <c r="L894" s="34">
        <v>892</v>
      </c>
      <c r="M894" s="34">
        <v>1</v>
      </c>
      <c r="O894" s="34">
        <f t="shared" si="25"/>
        <v>0</v>
      </c>
      <c r="Q894" s="34">
        <v>13</v>
      </c>
    </row>
    <row r="895" spans="12:17" ht="13.5" customHeight="1" x14ac:dyDescent="0.35">
      <c r="L895" s="34">
        <v>893</v>
      </c>
      <c r="M895" s="34">
        <v>0</v>
      </c>
      <c r="O895" s="34">
        <f t="shared" si="25"/>
        <v>0</v>
      </c>
      <c r="Q895" s="34">
        <v>21</v>
      </c>
    </row>
    <row r="896" spans="12:17" ht="13.5" customHeight="1" x14ac:dyDescent="0.35">
      <c r="L896" s="34">
        <v>894</v>
      </c>
      <c r="M896" s="34">
        <v>0</v>
      </c>
      <c r="O896" s="34">
        <f t="shared" si="25"/>
        <v>0</v>
      </c>
      <c r="Q896" s="34">
        <v>11</v>
      </c>
    </row>
    <row r="897" spans="12:17" ht="13.5" customHeight="1" x14ac:dyDescent="0.35">
      <c r="L897" s="34">
        <v>895</v>
      </c>
      <c r="M897" s="34">
        <v>0</v>
      </c>
      <c r="O897" s="34">
        <f t="shared" si="25"/>
        <v>0</v>
      </c>
      <c r="Q897" s="34">
        <v>13</v>
      </c>
    </row>
    <row r="898" spans="12:17" ht="13.5" customHeight="1" x14ac:dyDescent="0.35">
      <c r="L898" s="34">
        <v>896</v>
      </c>
      <c r="M898" s="34">
        <v>1</v>
      </c>
      <c r="O898" s="34">
        <f t="shared" si="25"/>
        <v>0</v>
      </c>
      <c r="Q898" s="34">
        <v>15</v>
      </c>
    </row>
    <row r="899" spans="12:17" ht="13.5" customHeight="1" x14ac:dyDescent="0.35">
      <c r="L899" s="34">
        <v>897</v>
      </c>
      <c r="M899" s="34">
        <v>0</v>
      </c>
      <c r="O899" s="34">
        <f t="shared" si="25"/>
        <v>0</v>
      </c>
      <c r="Q899" s="34">
        <v>12</v>
      </c>
    </row>
    <row r="900" spans="12:17" ht="13.5" customHeight="1" x14ac:dyDescent="0.35">
      <c r="L900" s="34">
        <v>898</v>
      </c>
      <c r="M900" s="34">
        <v>0</v>
      </c>
      <c r="O900" s="34">
        <f t="shared" si="25"/>
        <v>0</v>
      </c>
      <c r="Q900" s="34">
        <v>11</v>
      </c>
    </row>
    <row r="901" spans="12:17" ht="13.5" customHeight="1" x14ac:dyDescent="0.35">
      <c r="L901" s="34">
        <v>899</v>
      </c>
      <c r="M901" s="34">
        <v>0</v>
      </c>
      <c r="O901" s="34">
        <f t="shared" si="25"/>
        <v>0</v>
      </c>
      <c r="Q901" s="34">
        <v>16</v>
      </c>
    </row>
    <row r="902" spans="12:17" ht="13.5" customHeight="1" x14ac:dyDescent="0.35">
      <c r="L902" s="34">
        <v>900</v>
      </c>
      <c r="M902" s="34">
        <v>0</v>
      </c>
      <c r="O902" s="34">
        <f t="shared" si="25"/>
        <v>0</v>
      </c>
      <c r="Q902" s="34">
        <v>13</v>
      </c>
    </row>
    <row r="903" spans="12:17" ht="13.5" customHeight="1" x14ac:dyDescent="0.35">
      <c r="L903" s="34">
        <v>901</v>
      </c>
      <c r="M903" s="34">
        <v>0</v>
      </c>
      <c r="O903" s="34">
        <f t="shared" si="25"/>
        <v>0</v>
      </c>
      <c r="Q903" s="34">
        <v>15</v>
      </c>
    </row>
    <row r="904" spans="12:17" ht="13.5" customHeight="1" x14ac:dyDescent="0.35">
      <c r="L904" s="34">
        <v>902</v>
      </c>
      <c r="M904" s="34">
        <v>0</v>
      </c>
      <c r="O904" s="34">
        <f t="shared" si="25"/>
        <v>0</v>
      </c>
      <c r="Q904" s="34">
        <v>13</v>
      </c>
    </row>
    <row r="905" spans="12:17" ht="13.5" customHeight="1" x14ac:dyDescent="0.35">
      <c r="L905" s="34">
        <v>903</v>
      </c>
      <c r="M905" s="34">
        <v>0</v>
      </c>
      <c r="O905" s="34">
        <f t="shared" si="25"/>
        <v>0</v>
      </c>
      <c r="Q905" s="34">
        <v>17</v>
      </c>
    </row>
    <row r="906" spans="12:17" ht="13.5" customHeight="1" x14ac:dyDescent="0.35">
      <c r="L906" s="34">
        <v>904</v>
      </c>
      <c r="M906" s="34">
        <v>0</v>
      </c>
      <c r="O906" s="34">
        <f t="shared" si="25"/>
        <v>0</v>
      </c>
      <c r="Q906" s="34">
        <v>16</v>
      </c>
    </row>
    <row r="907" spans="12:17" ht="13.5" customHeight="1" x14ac:dyDescent="0.35">
      <c r="L907" s="34">
        <v>905</v>
      </c>
      <c r="M907" s="34">
        <v>0</v>
      </c>
      <c r="O907" s="34">
        <f t="shared" si="25"/>
        <v>0</v>
      </c>
      <c r="Q907" s="34">
        <v>20</v>
      </c>
    </row>
    <row r="908" spans="12:17" ht="13.5" customHeight="1" x14ac:dyDescent="0.35">
      <c r="L908" s="34">
        <v>906</v>
      </c>
      <c r="M908" s="34">
        <v>0</v>
      </c>
      <c r="O908" s="34">
        <f t="shared" si="25"/>
        <v>0</v>
      </c>
      <c r="Q908" s="34">
        <v>18</v>
      </c>
    </row>
    <row r="909" spans="12:17" ht="13.5" customHeight="1" x14ac:dyDescent="0.35">
      <c r="L909" s="34">
        <v>907</v>
      </c>
      <c r="M909" s="34">
        <v>0</v>
      </c>
      <c r="O909" s="34">
        <f t="shared" si="25"/>
        <v>0</v>
      </c>
      <c r="Q909" s="34">
        <v>8</v>
      </c>
    </row>
    <row r="910" spans="12:17" ht="13.5" customHeight="1" x14ac:dyDescent="0.35">
      <c r="L910" s="34">
        <v>908</v>
      </c>
      <c r="M910" s="34">
        <v>0</v>
      </c>
      <c r="O910" s="34">
        <f t="shared" si="25"/>
        <v>0</v>
      </c>
      <c r="Q910" s="34">
        <v>11</v>
      </c>
    </row>
    <row r="911" spans="12:17" ht="13.5" customHeight="1" x14ac:dyDescent="0.35">
      <c r="L911" s="34">
        <v>909</v>
      </c>
      <c r="M911" s="34">
        <v>0</v>
      </c>
      <c r="O911" s="34">
        <f t="shared" si="25"/>
        <v>0</v>
      </c>
      <c r="Q911" s="34">
        <v>15</v>
      </c>
    </row>
    <row r="912" spans="12:17" ht="13.5" customHeight="1" x14ac:dyDescent="0.35">
      <c r="L912" s="34">
        <v>910</v>
      </c>
      <c r="M912" s="34">
        <v>0</v>
      </c>
      <c r="O912" s="34">
        <f t="shared" si="25"/>
        <v>0</v>
      </c>
      <c r="Q912" s="34">
        <v>16</v>
      </c>
    </row>
    <row r="913" spans="12:17" ht="13.5" customHeight="1" x14ac:dyDescent="0.35">
      <c r="L913" s="34">
        <v>911</v>
      </c>
      <c r="M913" s="34">
        <v>0</v>
      </c>
      <c r="O913" s="34">
        <f t="shared" si="25"/>
        <v>0</v>
      </c>
      <c r="Q913" s="34">
        <v>21</v>
      </c>
    </row>
    <row r="914" spans="12:17" ht="13.5" customHeight="1" x14ac:dyDescent="0.35">
      <c r="L914" s="34">
        <v>912</v>
      </c>
      <c r="M914" s="34">
        <v>0</v>
      </c>
      <c r="O914" s="34">
        <f t="shared" si="25"/>
        <v>0</v>
      </c>
      <c r="Q914" s="34">
        <v>16</v>
      </c>
    </row>
    <row r="915" spans="12:17" ht="13.5" customHeight="1" x14ac:dyDescent="0.35">
      <c r="L915" s="34">
        <v>913</v>
      </c>
      <c r="M915" s="34">
        <v>1</v>
      </c>
      <c r="O915" s="34">
        <f t="shared" si="25"/>
        <v>0</v>
      </c>
      <c r="Q915" s="34">
        <v>17</v>
      </c>
    </row>
    <row r="916" spans="12:17" ht="13.5" customHeight="1" x14ac:dyDescent="0.35">
      <c r="L916" s="34">
        <v>914</v>
      </c>
      <c r="M916" s="34">
        <v>1</v>
      </c>
      <c r="O916" s="34">
        <f t="shared" si="25"/>
        <v>0</v>
      </c>
      <c r="Q916" s="34">
        <v>16</v>
      </c>
    </row>
    <row r="917" spans="12:17" ht="13.5" customHeight="1" x14ac:dyDescent="0.35">
      <c r="L917" s="34">
        <v>915</v>
      </c>
      <c r="M917" s="34">
        <v>0</v>
      </c>
      <c r="O917" s="34">
        <f t="shared" si="25"/>
        <v>0</v>
      </c>
      <c r="Q917" s="34">
        <v>14</v>
      </c>
    </row>
    <row r="918" spans="12:17" ht="13.5" customHeight="1" x14ac:dyDescent="0.35">
      <c r="L918" s="34">
        <v>916</v>
      </c>
      <c r="M918" s="34">
        <v>1</v>
      </c>
      <c r="O918" s="34">
        <f t="shared" si="25"/>
        <v>0</v>
      </c>
      <c r="Q918" s="34">
        <v>11</v>
      </c>
    </row>
    <row r="919" spans="12:17" ht="13.5" customHeight="1" x14ac:dyDescent="0.35">
      <c r="L919" s="34">
        <v>917</v>
      </c>
      <c r="M919" s="34">
        <v>0</v>
      </c>
      <c r="O919" s="34">
        <f t="shared" si="25"/>
        <v>0</v>
      </c>
      <c r="Q919" s="34">
        <v>11</v>
      </c>
    </row>
    <row r="920" spans="12:17" ht="13.5" customHeight="1" x14ac:dyDescent="0.35">
      <c r="L920" s="34">
        <v>918</v>
      </c>
      <c r="M920" s="34">
        <v>0</v>
      </c>
      <c r="O920" s="34">
        <f t="shared" si="25"/>
        <v>0</v>
      </c>
      <c r="Q920" s="34">
        <v>10</v>
      </c>
    </row>
    <row r="921" spans="12:17" ht="13.5" customHeight="1" x14ac:dyDescent="0.35">
      <c r="L921" s="34">
        <v>919</v>
      </c>
      <c r="M921" s="34">
        <v>1</v>
      </c>
      <c r="O921" s="34">
        <f t="shared" si="25"/>
        <v>0</v>
      </c>
      <c r="Q921" s="34">
        <v>13</v>
      </c>
    </row>
    <row r="922" spans="12:17" ht="13.5" customHeight="1" x14ac:dyDescent="0.35">
      <c r="L922" s="34">
        <v>920</v>
      </c>
      <c r="M922" s="34">
        <v>0</v>
      </c>
      <c r="O922" s="34">
        <f t="shared" si="25"/>
        <v>0</v>
      </c>
      <c r="Q922" s="34">
        <v>24</v>
      </c>
    </row>
    <row r="923" spans="12:17" ht="13.5" customHeight="1" x14ac:dyDescent="0.35">
      <c r="L923" s="34">
        <v>921</v>
      </c>
      <c r="M923" s="34">
        <v>0</v>
      </c>
      <c r="O923" s="34">
        <f t="shared" si="25"/>
        <v>0</v>
      </c>
      <c r="Q923" s="34">
        <v>15</v>
      </c>
    </row>
    <row r="924" spans="12:17" ht="13.5" customHeight="1" x14ac:dyDescent="0.35">
      <c r="L924" s="34">
        <v>922</v>
      </c>
      <c r="M924" s="34">
        <v>0</v>
      </c>
      <c r="O924" s="34">
        <f t="shared" si="25"/>
        <v>0</v>
      </c>
      <c r="Q924" s="34">
        <v>13</v>
      </c>
    </row>
    <row r="925" spans="12:17" ht="13.5" customHeight="1" x14ac:dyDescent="0.35">
      <c r="L925" s="34">
        <v>923</v>
      </c>
      <c r="M925" s="34">
        <v>0</v>
      </c>
      <c r="O925" s="34">
        <f t="shared" si="25"/>
        <v>0</v>
      </c>
      <c r="Q925" s="34">
        <v>16</v>
      </c>
    </row>
    <row r="926" spans="12:17" ht="13.5" customHeight="1" x14ac:dyDescent="0.35">
      <c r="L926" s="34">
        <v>924</v>
      </c>
      <c r="M926" s="34">
        <v>1</v>
      </c>
      <c r="O926" s="34">
        <f t="shared" si="25"/>
        <v>0</v>
      </c>
      <c r="Q926" s="34">
        <v>23</v>
      </c>
    </row>
    <row r="927" spans="12:17" ht="13.5" customHeight="1" x14ac:dyDescent="0.35">
      <c r="L927" s="34">
        <v>925</v>
      </c>
      <c r="M927" s="34">
        <v>0</v>
      </c>
      <c r="O927" s="34">
        <f t="shared" si="25"/>
        <v>0</v>
      </c>
      <c r="Q927" s="34">
        <v>21</v>
      </c>
    </row>
    <row r="928" spans="12:17" ht="13.5" customHeight="1" x14ac:dyDescent="0.35">
      <c r="L928" s="34">
        <v>926</v>
      </c>
      <c r="M928" s="34">
        <v>0</v>
      </c>
      <c r="O928" s="34">
        <f t="shared" si="25"/>
        <v>0</v>
      </c>
      <c r="Q928" s="34">
        <v>27</v>
      </c>
    </row>
    <row r="929" spans="12:17" ht="13.5" customHeight="1" x14ac:dyDescent="0.35">
      <c r="L929" s="34">
        <v>927</v>
      </c>
      <c r="M929" s="34">
        <v>0</v>
      </c>
      <c r="O929" s="34">
        <f t="shared" si="25"/>
        <v>0</v>
      </c>
      <c r="Q929" s="34">
        <v>21</v>
      </c>
    </row>
    <row r="930" spans="12:17" ht="13.5" customHeight="1" x14ac:dyDescent="0.35">
      <c r="L930" s="34">
        <v>928</v>
      </c>
      <c r="M930" s="34">
        <v>0</v>
      </c>
      <c r="O930" s="34">
        <f t="shared" si="25"/>
        <v>0</v>
      </c>
      <c r="Q930" s="34">
        <v>18</v>
      </c>
    </row>
    <row r="931" spans="12:17" ht="13.5" customHeight="1" x14ac:dyDescent="0.35">
      <c r="L931" s="34">
        <v>929</v>
      </c>
      <c r="M931" s="34">
        <v>0</v>
      </c>
      <c r="O931" s="34">
        <f t="shared" si="25"/>
        <v>0</v>
      </c>
      <c r="Q931" s="34">
        <v>14</v>
      </c>
    </row>
    <row r="932" spans="12:17" ht="13.5" customHeight="1" x14ac:dyDescent="0.35">
      <c r="L932" s="34">
        <v>930</v>
      </c>
      <c r="M932" s="34">
        <v>0</v>
      </c>
      <c r="O932" s="34">
        <f t="shared" si="25"/>
        <v>0</v>
      </c>
      <c r="Q932" s="34">
        <v>23</v>
      </c>
    </row>
    <row r="933" spans="12:17" ht="13.5" customHeight="1" x14ac:dyDescent="0.35">
      <c r="L933" s="34">
        <v>931</v>
      </c>
      <c r="M933" s="34">
        <v>0</v>
      </c>
      <c r="O933" s="34">
        <f t="shared" si="25"/>
        <v>0</v>
      </c>
      <c r="Q933" s="34">
        <v>19</v>
      </c>
    </row>
    <row r="934" spans="12:17" ht="13.5" customHeight="1" x14ac:dyDescent="0.35">
      <c r="L934" s="34">
        <v>932</v>
      </c>
      <c r="M934" s="34">
        <v>0</v>
      </c>
      <c r="O934" s="34">
        <f t="shared" si="25"/>
        <v>0</v>
      </c>
      <c r="Q934" s="34">
        <v>19</v>
      </c>
    </row>
    <row r="935" spans="12:17" ht="13.5" customHeight="1" x14ac:dyDescent="0.35">
      <c r="L935" s="34">
        <v>933</v>
      </c>
      <c r="M935" s="34">
        <v>0</v>
      </c>
      <c r="O935" s="34">
        <f t="shared" si="25"/>
        <v>0</v>
      </c>
      <c r="Q935" s="34">
        <v>14</v>
      </c>
    </row>
    <row r="936" spans="12:17" ht="13.5" customHeight="1" x14ac:dyDescent="0.35">
      <c r="L936" s="34">
        <v>934</v>
      </c>
      <c r="M936" s="34">
        <v>0</v>
      </c>
      <c r="O936" s="34">
        <f t="shared" si="25"/>
        <v>0</v>
      </c>
      <c r="Q936" s="34">
        <v>18</v>
      </c>
    </row>
    <row r="937" spans="12:17" ht="13.5" customHeight="1" x14ac:dyDescent="0.35">
      <c r="L937" s="34">
        <v>935</v>
      </c>
      <c r="M937" s="34">
        <v>0</v>
      </c>
      <c r="O937" s="34">
        <f t="shared" si="25"/>
        <v>0</v>
      </c>
      <c r="Q937" s="34">
        <v>14</v>
      </c>
    </row>
    <row r="938" spans="12:17" ht="13.5" customHeight="1" x14ac:dyDescent="0.35">
      <c r="L938" s="34">
        <v>936</v>
      </c>
      <c r="M938" s="34">
        <v>0</v>
      </c>
      <c r="O938" s="34">
        <f t="shared" si="25"/>
        <v>0</v>
      </c>
      <c r="Q938" s="34">
        <v>22</v>
      </c>
    </row>
    <row r="939" spans="12:17" ht="13.5" customHeight="1" x14ac:dyDescent="0.35">
      <c r="L939" s="34">
        <v>937</v>
      </c>
      <c r="M939" s="34">
        <v>0</v>
      </c>
      <c r="O939" s="34">
        <f t="shared" si="25"/>
        <v>0</v>
      </c>
      <c r="Q939" s="34">
        <v>18</v>
      </c>
    </row>
    <row r="940" spans="12:17" ht="13.5" customHeight="1" x14ac:dyDescent="0.35">
      <c r="L940" s="34">
        <v>938</v>
      </c>
      <c r="M940" s="34">
        <v>0</v>
      </c>
      <c r="O940" s="34">
        <f t="shared" si="25"/>
        <v>0</v>
      </c>
      <c r="Q940" s="34">
        <v>14</v>
      </c>
    </row>
    <row r="941" spans="12:17" ht="13.5" customHeight="1" x14ac:dyDescent="0.35">
      <c r="L941" s="34">
        <v>939</v>
      </c>
      <c r="M941" s="34">
        <v>1</v>
      </c>
      <c r="O941" s="34">
        <f t="shared" si="25"/>
        <v>0</v>
      </c>
      <c r="Q941" s="34">
        <v>22</v>
      </c>
    </row>
    <row r="942" spans="12:17" ht="13.5" customHeight="1" x14ac:dyDescent="0.35">
      <c r="L942" s="34">
        <v>940</v>
      </c>
      <c r="M942" s="34">
        <v>0</v>
      </c>
      <c r="O942" s="34">
        <f t="shared" ref="O942:O1005" si="26">MAX(N942:N1940)</f>
        <v>0</v>
      </c>
      <c r="Q942" s="34">
        <v>14</v>
      </c>
    </row>
    <row r="943" spans="12:17" ht="13.5" customHeight="1" x14ac:dyDescent="0.35">
      <c r="L943" s="34">
        <v>941</v>
      </c>
      <c r="M943" s="34">
        <v>0</v>
      </c>
      <c r="O943" s="34">
        <f t="shared" si="26"/>
        <v>0</v>
      </c>
      <c r="Q943" s="34">
        <v>20</v>
      </c>
    </row>
    <row r="944" spans="12:17" ht="13.5" customHeight="1" x14ac:dyDescent="0.35">
      <c r="L944" s="34">
        <v>942</v>
      </c>
      <c r="M944" s="34">
        <v>1</v>
      </c>
      <c r="O944" s="34">
        <f t="shared" si="26"/>
        <v>0</v>
      </c>
      <c r="Q944" s="34">
        <v>9</v>
      </c>
    </row>
    <row r="945" spans="12:17" ht="13.5" customHeight="1" x14ac:dyDescent="0.35">
      <c r="L945" s="34">
        <v>943</v>
      </c>
      <c r="M945" s="34">
        <v>0</v>
      </c>
      <c r="O945" s="34">
        <f t="shared" si="26"/>
        <v>0</v>
      </c>
      <c r="Q945" s="34">
        <v>16</v>
      </c>
    </row>
    <row r="946" spans="12:17" ht="13.5" customHeight="1" x14ac:dyDescent="0.35">
      <c r="L946" s="34">
        <v>944</v>
      </c>
      <c r="M946" s="34">
        <v>0</v>
      </c>
      <c r="O946" s="34">
        <f t="shared" si="26"/>
        <v>0</v>
      </c>
      <c r="Q946" s="34">
        <v>16</v>
      </c>
    </row>
    <row r="947" spans="12:17" ht="13.5" customHeight="1" x14ac:dyDescent="0.35">
      <c r="L947" s="34">
        <v>945</v>
      </c>
      <c r="M947" s="34">
        <v>0</v>
      </c>
      <c r="O947" s="34">
        <f t="shared" si="26"/>
        <v>0</v>
      </c>
      <c r="Q947" s="34">
        <v>18</v>
      </c>
    </row>
    <row r="948" spans="12:17" ht="13.5" customHeight="1" x14ac:dyDescent="0.35">
      <c r="L948" s="34">
        <v>946</v>
      </c>
      <c r="M948" s="34">
        <v>0</v>
      </c>
      <c r="O948" s="34">
        <f t="shared" si="26"/>
        <v>0</v>
      </c>
      <c r="Q948" s="34">
        <v>16</v>
      </c>
    </row>
    <row r="949" spans="12:17" ht="13.5" customHeight="1" x14ac:dyDescent="0.35">
      <c r="L949" s="34">
        <v>947</v>
      </c>
      <c r="M949" s="34">
        <v>0</v>
      </c>
      <c r="O949" s="34">
        <f t="shared" si="26"/>
        <v>0</v>
      </c>
      <c r="Q949" s="34">
        <v>18</v>
      </c>
    </row>
    <row r="950" spans="12:17" ht="13.5" customHeight="1" x14ac:dyDescent="0.35">
      <c r="L950" s="34">
        <v>948</v>
      </c>
      <c r="M950" s="34">
        <v>0</v>
      </c>
      <c r="O950" s="34">
        <f t="shared" si="26"/>
        <v>0</v>
      </c>
      <c r="Q950" s="34">
        <v>19</v>
      </c>
    </row>
    <row r="951" spans="12:17" ht="13.5" customHeight="1" x14ac:dyDescent="0.35">
      <c r="L951" s="34">
        <v>949</v>
      </c>
      <c r="M951" s="34">
        <v>0</v>
      </c>
      <c r="O951" s="34">
        <f t="shared" si="26"/>
        <v>0</v>
      </c>
      <c r="Q951" s="34">
        <v>24</v>
      </c>
    </row>
    <row r="952" spans="12:17" ht="13.5" customHeight="1" x14ac:dyDescent="0.35">
      <c r="L952" s="34">
        <v>950</v>
      </c>
      <c r="M952" s="34">
        <v>0</v>
      </c>
      <c r="O952" s="34">
        <f t="shared" si="26"/>
        <v>0</v>
      </c>
      <c r="Q952" s="34">
        <v>20</v>
      </c>
    </row>
    <row r="953" spans="12:17" ht="13.5" customHeight="1" x14ac:dyDescent="0.35">
      <c r="L953" s="34">
        <v>951</v>
      </c>
      <c r="M953" s="34">
        <v>0</v>
      </c>
      <c r="O953" s="34">
        <f t="shared" si="26"/>
        <v>0</v>
      </c>
      <c r="Q953" s="34">
        <v>18</v>
      </c>
    </row>
    <row r="954" spans="12:17" ht="13.5" customHeight="1" x14ac:dyDescent="0.35">
      <c r="L954" s="34">
        <v>952</v>
      </c>
      <c r="M954" s="34">
        <v>0</v>
      </c>
      <c r="O954" s="34">
        <f t="shared" si="26"/>
        <v>0</v>
      </c>
      <c r="Q954" s="34">
        <v>8</v>
      </c>
    </row>
    <row r="955" spans="12:17" ht="13.5" customHeight="1" x14ac:dyDescent="0.35">
      <c r="L955" s="34">
        <v>953</v>
      </c>
      <c r="M955" s="34">
        <v>1</v>
      </c>
      <c r="O955" s="34">
        <f t="shared" si="26"/>
        <v>0</v>
      </c>
      <c r="Q955" s="34">
        <v>17</v>
      </c>
    </row>
    <row r="956" spans="12:17" ht="13.5" customHeight="1" x14ac:dyDescent="0.35">
      <c r="L956" s="34">
        <v>954</v>
      </c>
      <c r="M956" s="34">
        <v>0</v>
      </c>
      <c r="O956" s="34">
        <f t="shared" si="26"/>
        <v>0</v>
      </c>
      <c r="Q956" s="34">
        <v>16</v>
      </c>
    </row>
    <row r="957" spans="12:17" ht="13.5" customHeight="1" x14ac:dyDescent="0.35">
      <c r="L957" s="34">
        <v>955</v>
      </c>
      <c r="M957" s="34">
        <v>0</v>
      </c>
      <c r="O957" s="34">
        <f t="shared" si="26"/>
        <v>0</v>
      </c>
      <c r="Q957" s="34">
        <v>8</v>
      </c>
    </row>
    <row r="958" spans="12:17" ht="13.5" customHeight="1" x14ac:dyDescent="0.35">
      <c r="L958" s="34">
        <v>956</v>
      </c>
      <c r="M958" s="34">
        <v>0</v>
      </c>
      <c r="O958" s="34">
        <f t="shared" si="26"/>
        <v>0</v>
      </c>
      <c r="Q958" s="34">
        <v>13</v>
      </c>
    </row>
    <row r="959" spans="12:17" ht="13.5" customHeight="1" x14ac:dyDescent="0.35">
      <c r="L959" s="34">
        <v>957</v>
      </c>
      <c r="M959" s="34">
        <v>0</v>
      </c>
      <c r="O959" s="34">
        <f t="shared" si="26"/>
        <v>0</v>
      </c>
      <c r="Q959" s="34">
        <v>19</v>
      </c>
    </row>
    <row r="960" spans="12:17" ht="13.5" customHeight="1" x14ac:dyDescent="0.35">
      <c r="L960" s="34">
        <v>958</v>
      </c>
      <c r="M960" s="34">
        <v>0</v>
      </c>
      <c r="O960" s="34">
        <f t="shared" si="26"/>
        <v>0</v>
      </c>
      <c r="Q960" s="34">
        <v>20</v>
      </c>
    </row>
    <row r="961" spans="12:17" ht="13.5" customHeight="1" x14ac:dyDescent="0.35">
      <c r="L961" s="34">
        <v>959</v>
      </c>
      <c r="M961" s="34">
        <v>0</v>
      </c>
      <c r="O961" s="34">
        <f t="shared" si="26"/>
        <v>0</v>
      </c>
      <c r="Q961" s="34">
        <v>22</v>
      </c>
    </row>
    <row r="962" spans="12:17" ht="13.5" customHeight="1" x14ac:dyDescent="0.35">
      <c r="L962" s="34">
        <v>960</v>
      </c>
      <c r="M962" s="34">
        <v>0</v>
      </c>
      <c r="O962" s="34">
        <f t="shared" si="26"/>
        <v>0</v>
      </c>
      <c r="Q962" s="34">
        <v>17</v>
      </c>
    </row>
    <row r="963" spans="12:17" ht="13.5" customHeight="1" x14ac:dyDescent="0.35">
      <c r="L963" s="34">
        <v>961</v>
      </c>
      <c r="M963" s="34">
        <v>1</v>
      </c>
      <c r="O963" s="34">
        <f t="shared" si="26"/>
        <v>0</v>
      </c>
      <c r="Q963" s="34">
        <v>19</v>
      </c>
    </row>
    <row r="964" spans="12:17" ht="13.5" customHeight="1" x14ac:dyDescent="0.35">
      <c r="L964" s="34">
        <v>962</v>
      </c>
      <c r="M964" s="34">
        <v>0</v>
      </c>
      <c r="O964" s="34">
        <f t="shared" si="26"/>
        <v>0</v>
      </c>
      <c r="Q964" s="34">
        <v>18</v>
      </c>
    </row>
    <row r="965" spans="12:17" ht="13.5" customHeight="1" x14ac:dyDescent="0.35">
      <c r="L965" s="34">
        <v>963</v>
      </c>
      <c r="M965" s="34">
        <v>0</v>
      </c>
      <c r="O965" s="34">
        <f t="shared" si="26"/>
        <v>0</v>
      </c>
      <c r="Q965" s="34">
        <v>18</v>
      </c>
    </row>
    <row r="966" spans="12:17" ht="13.5" customHeight="1" x14ac:dyDescent="0.35">
      <c r="L966" s="34">
        <v>964</v>
      </c>
      <c r="M966" s="34">
        <v>0</v>
      </c>
      <c r="O966" s="34">
        <f t="shared" si="26"/>
        <v>0</v>
      </c>
      <c r="Q966" s="34">
        <v>19</v>
      </c>
    </row>
    <row r="967" spans="12:17" ht="13.5" customHeight="1" x14ac:dyDescent="0.35">
      <c r="L967" s="34">
        <v>965</v>
      </c>
      <c r="M967" s="34">
        <v>0</v>
      </c>
      <c r="O967" s="34">
        <f t="shared" si="26"/>
        <v>0</v>
      </c>
      <c r="Q967" s="34">
        <v>17</v>
      </c>
    </row>
    <row r="968" spans="12:17" ht="13.5" customHeight="1" x14ac:dyDescent="0.35">
      <c r="L968" s="34">
        <v>966</v>
      </c>
      <c r="M968" s="34">
        <v>0</v>
      </c>
      <c r="O968" s="34">
        <f t="shared" si="26"/>
        <v>0</v>
      </c>
      <c r="Q968" s="34">
        <v>13</v>
      </c>
    </row>
    <row r="969" spans="12:17" ht="13.5" customHeight="1" x14ac:dyDescent="0.35">
      <c r="L969" s="34">
        <v>967</v>
      </c>
      <c r="M969" s="34">
        <v>0</v>
      </c>
      <c r="O969" s="34">
        <f t="shared" si="26"/>
        <v>0</v>
      </c>
      <c r="Q969" s="34">
        <v>19</v>
      </c>
    </row>
    <row r="970" spans="12:17" ht="13.5" customHeight="1" x14ac:dyDescent="0.35">
      <c r="L970" s="34">
        <v>968</v>
      </c>
      <c r="M970" s="34">
        <v>0</v>
      </c>
      <c r="O970" s="34">
        <f t="shared" si="26"/>
        <v>0</v>
      </c>
      <c r="Q970" s="34">
        <v>19</v>
      </c>
    </row>
    <row r="971" spans="12:17" ht="13.5" customHeight="1" x14ac:dyDescent="0.35">
      <c r="L971" s="34">
        <v>969</v>
      </c>
      <c r="M971" s="34">
        <v>0</v>
      </c>
      <c r="O971" s="34">
        <f t="shared" si="26"/>
        <v>0</v>
      </c>
      <c r="Q971" s="34">
        <v>14</v>
      </c>
    </row>
    <row r="972" spans="12:17" ht="13.5" customHeight="1" x14ac:dyDescent="0.35">
      <c r="L972" s="34">
        <v>970</v>
      </c>
      <c r="M972" s="34">
        <v>0</v>
      </c>
      <c r="O972" s="34">
        <f t="shared" si="26"/>
        <v>0</v>
      </c>
      <c r="Q972" s="34">
        <v>28</v>
      </c>
    </row>
    <row r="973" spans="12:17" ht="13.5" customHeight="1" x14ac:dyDescent="0.35">
      <c r="L973" s="34">
        <v>971</v>
      </c>
      <c r="M973" s="34">
        <v>0</v>
      </c>
      <c r="O973" s="34">
        <f t="shared" si="26"/>
        <v>0</v>
      </c>
      <c r="Q973" s="34">
        <v>18</v>
      </c>
    </row>
    <row r="974" spans="12:17" ht="13.5" customHeight="1" x14ac:dyDescent="0.35">
      <c r="L974" s="34">
        <v>972</v>
      </c>
      <c r="M974" s="34">
        <v>0</v>
      </c>
      <c r="O974" s="34">
        <f t="shared" si="26"/>
        <v>0</v>
      </c>
      <c r="Q974" s="34">
        <v>27</v>
      </c>
    </row>
    <row r="975" spans="12:17" ht="13.5" customHeight="1" x14ac:dyDescent="0.35">
      <c r="L975" s="34">
        <v>973</v>
      </c>
      <c r="M975" s="34">
        <v>0</v>
      </c>
      <c r="O975" s="34">
        <f t="shared" si="26"/>
        <v>0</v>
      </c>
      <c r="Q975" s="34">
        <v>15</v>
      </c>
    </row>
    <row r="976" spans="12:17" ht="13.5" customHeight="1" x14ac:dyDescent="0.35">
      <c r="L976" s="34">
        <v>974</v>
      </c>
      <c r="M976" s="34">
        <v>0</v>
      </c>
      <c r="O976" s="34">
        <f t="shared" si="26"/>
        <v>0</v>
      </c>
      <c r="Q976" s="34">
        <v>21</v>
      </c>
    </row>
    <row r="977" spans="12:17" ht="13.5" customHeight="1" x14ac:dyDescent="0.35">
      <c r="L977" s="34">
        <v>975</v>
      </c>
      <c r="M977" s="34">
        <v>0</v>
      </c>
      <c r="O977" s="34">
        <f t="shared" si="26"/>
        <v>0</v>
      </c>
      <c r="Q977" s="34">
        <v>15</v>
      </c>
    </row>
    <row r="978" spans="12:17" ht="13.5" customHeight="1" x14ac:dyDescent="0.35">
      <c r="L978" s="34">
        <v>976</v>
      </c>
      <c r="M978" s="34">
        <v>0</v>
      </c>
      <c r="O978" s="34">
        <f t="shared" si="26"/>
        <v>0</v>
      </c>
      <c r="Q978" s="34">
        <v>12</v>
      </c>
    </row>
    <row r="979" spans="12:17" ht="13.5" customHeight="1" x14ac:dyDescent="0.35">
      <c r="L979" s="34">
        <v>977</v>
      </c>
      <c r="M979" s="34">
        <v>0</v>
      </c>
      <c r="O979" s="34">
        <f t="shared" si="26"/>
        <v>0</v>
      </c>
      <c r="Q979" s="34">
        <v>18</v>
      </c>
    </row>
    <row r="980" spans="12:17" ht="13.5" customHeight="1" x14ac:dyDescent="0.35">
      <c r="L980" s="34">
        <v>978</v>
      </c>
      <c r="M980" s="34">
        <v>0</v>
      </c>
      <c r="O980" s="34">
        <f t="shared" si="26"/>
        <v>0</v>
      </c>
      <c r="Q980" s="34">
        <v>19</v>
      </c>
    </row>
    <row r="981" spans="12:17" ht="13.5" customHeight="1" x14ac:dyDescent="0.35">
      <c r="L981" s="34">
        <v>979</v>
      </c>
      <c r="M981" s="34">
        <v>0</v>
      </c>
      <c r="O981" s="34">
        <f t="shared" si="26"/>
        <v>0</v>
      </c>
      <c r="Q981" s="34">
        <v>20</v>
      </c>
    </row>
    <row r="982" spans="12:17" ht="13.5" customHeight="1" x14ac:dyDescent="0.35">
      <c r="L982" s="34">
        <v>980</v>
      </c>
      <c r="M982" s="34">
        <v>0</v>
      </c>
      <c r="O982" s="34">
        <f t="shared" si="26"/>
        <v>0</v>
      </c>
      <c r="Q982" s="34">
        <v>19</v>
      </c>
    </row>
    <row r="983" spans="12:17" ht="13.5" customHeight="1" x14ac:dyDescent="0.35">
      <c r="L983" s="34">
        <v>981</v>
      </c>
      <c r="M983" s="34">
        <v>0</v>
      </c>
      <c r="O983" s="34">
        <f t="shared" si="26"/>
        <v>0</v>
      </c>
      <c r="Q983" s="34">
        <v>24</v>
      </c>
    </row>
    <row r="984" spans="12:17" ht="13.5" customHeight="1" x14ac:dyDescent="0.35">
      <c r="L984" s="34">
        <v>982</v>
      </c>
      <c r="M984" s="34">
        <v>0</v>
      </c>
      <c r="O984" s="34">
        <f t="shared" si="26"/>
        <v>0</v>
      </c>
      <c r="Q984" s="34">
        <v>17</v>
      </c>
    </row>
    <row r="985" spans="12:17" ht="13.5" customHeight="1" x14ac:dyDescent="0.35">
      <c r="L985" s="34">
        <v>983</v>
      </c>
      <c r="M985" s="34">
        <v>0</v>
      </c>
      <c r="O985" s="34">
        <f t="shared" si="26"/>
        <v>0</v>
      </c>
      <c r="Q985" s="34">
        <v>13</v>
      </c>
    </row>
    <row r="986" spans="12:17" ht="13.5" customHeight="1" x14ac:dyDescent="0.35">
      <c r="L986" s="34">
        <v>984</v>
      </c>
      <c r="M986" s="34">
        <v>0</v>
      </c>
      <c r="O986" s="34">
        <f t="shared" si="26"/>
        <v>0</v>
      </c>
      <c r="Q986" s="34">
        <v>20</v>
      </c>
    </row>
    <row r="987" spans="12:17" ht="13.5" customHeight="1" x14ac:dyDescent="0.35">
      <c r="L987" s="34">
        <v>985</v>
      </c>
      <c r="M987" s="34">
        <v>0</v>
      </c>
      <c r="O987" s="34">
        <f t="shared" si="26"/>
        <v>0</v>
      </c>
      <c r="Q987" s="34">
        <v>12</v>
      </c>
    </row>
    <row r="988" spans="12:17" ht="13.5" customHeight="1" x14ac:dyDescent="0.35">
      <c r="L988" s="34">
        <v>986</v>
      </c>
      <c r="M988" s="34">
        <v>0</v>
      </c>
      <c r="O988" s="34">
        <f t="shared" si="26"/>
        <v>0</v>
      </c>
      <c r="Q988" s="34">
        <v>20</v>
      </c>
    </row>
    <row r="989" spans="12:17" ht="13.5" customHeight="1" x14ac:dyDescent="0.35">
      <c r="L989" s="34">
        <v>987</v>
      </c>
      <c r="M989" s="34">
        <v>0</v>
      </c>
      <c r="O989" s="34">
        <f t="shared" si="26"/>
        <v>0</v>
      </c>
      <c r="Q989" s="34">
        <v>20</v>
      </c>
    </row>
    <row r="990" spans="12:17" ht="13.5" customHeight="1" x14ac:dyDescent="0.35">
      <c r="L990" s="34">
        <v>988</v>
      </c>
      <c r="M990" s="34">
        <v>0</v>
      </c>
      <c r="O990" s="34">
        <f t="shared" si="26"/>
        <v>0</v>
      </c>
      <c r="Q990" s="34">
        <v>23</v>
      </c>
    </row>
    <row r="991" spans="12:17" ht="13.5" customHeight="1" x14ac:dyDescent="0.35">
      <c r="L991" s="34">
        <v>989</v>
      </c>
      <c r="M991" s="34">
        <v>0</v>
      </c>
      <c r="O991" s="34">
        <f t="shared" si="26"/>
        <v>0</v>
      </c>
      <c r="Q991" s="34">
        <v>14</v>
      </c>
    </row>
    <row r="992" spans="12:17" ht="13.5" customHeight="1" x14ac:dyDescent="0.35">
      <c r="L992" s="34">
        <v>990</v>
      </c>
      <c r="M992" s="34">
        <v>0</v>
      </c>
      <c r="O992" s="34">
        <f t="shared" si="26"/>
        <v>0</v>
      </c>
      <c r="Q992" s="34">
        <v>16</v>
      </c>
    </row>
    <row r="993" spans="12:17" ht="13.5" customHeight="1" x14ac:dyDescent="0.35">
      <c r="L993" s="34">
        <v>991</v>
      </c>
      <c r="M993" s="34">
        <v>0</v>
      </c>
      <c r="O993" s="34">
        <f t="shared" si="26"/>
        <v>0</v>
      </c>
      <c r="Q993" s="34">
        <v>12</v>
      </c>
    </row>
    <row r="994" spans="12:17" ht="13.5" customHeight="1" x14ac:dyDescent="0.35">
      <c r="L994" s="34">
        <v>992</v>
      </c>
      <c r="M994" s="34">
        <v>0</v>
      </c>
      <c r="O994" s="34">
        <f t="shared" si="26"/>
        <v>0</v>
      </c>
      <c r="Q994" s="34">
        <v>23</v>
      </c>
    </row>
    <row r="995" spans="12:17" ht="13.5" customHeight="1" x14ac:dyDescent="0.35">
      <c r="L995" s="34">
        <v>993</v>
      </c>
      <c r="M995" s="34">
        <v>0</v>
      </c>
      <c r="O995" s="34">
        <f t="shared" si="26"/>
        <v>0</v>
      </c>
      <c r="Q995" s="34">
        <v>14</v>
      </c>
    </row>
    <row r="996" spans="12:17" ht="13.5" customHeight="1" x14ac:dyDescent="0.35">
      <c r="L996" s="34">
        <v>994</v>
      </c>
      <c r="M996" s="34">
        <v>0</v>
      </c>
      <c r="O996" s="34">
        <f t="shared" si="26"/>
        <v>0</v>
      </c>
      <c r="Q996" s="34">
        <v>19</v>
      </c>
    </row>
    <row r="997" spans="12:17" ht="13.5" customHeight="1" x14ac:dyDescent="0.35">
      <c r="L997" s="34">
        <v>995</v>
      </c>
      <c r="M997" s="34">
        <v>0</v>
      </c>
      <c r="O997" s="34">
        <f t="shared" si="26"/>
        <v>0</v>
      </c>
      <c r="Q997" s="34">
        <v>12</v>
      </c>
    </row>
    <row r="998" spans="12:17" ht="13.5" customHeight="1" x14ac:dyDescent="0.35">
      <c r="L998" s="34">
        <v>996</v>
      </c>
      <c r="M998" s="34">
        <v>0</v>
      </c>
      <c r="O998" s="34">
        <f t="shared" si="26"/>
        <v>0</v>
      </c>
      <c r="Q998" s="34">
        <v>18</v>
      </c>
    </row>
    <row r="999" spans="12:17" ht="13.5" customHeight="1" x14ac:dyDescent="0.35">
      <c r="L999" s="34">
        <v>997</v>
      </c>
      <c r="M999" s="34">
        <v>0</v>
      </c>
      <c r="O999" s="34">
        <f t="shared" si="26"/>
        <v>0</v>
      </c>
      <c r="Q999" s="34">
        <v>21</v>
      </c>
    </row>
    <row r="1000" spans="12:17" ht="13.5" customHeight="1" x14ac:dyDescent="0.35">
      <c r="L1000" s="34">
        <v>998</v>
      </c>
      <c r="M1000" s="34">
        <v>0</v>
      </c>
      <c r="O1000" s="34">
        <f t="shared" si="26"/>
        <v>0</v>
      </c>
      <c r="Q1000" s="34">
        <v>21</v>
      </c>
    </row>
    <row r="1001" spans="12:17" ht="13.5" customHeight="1" x14ac:dyDescent="0.35">
      <c r="L1001" s="34">
        <v>999</v>
      </c>
      <c r="M1001" s="34">
        <v>0</v>
      </c>
      <c r="O1001" s="34">
        <f t="shared" si="26"/>
        <v>0</v>
      </c>
      <c r="Q1001" s="34">
        <v>24</v>
      </c>
    </row>
    <row r="1002" spans="12:17" ht="13.5" customHeight="1" x14ac:dyDescent="0.35">
      <c r="L1002" s="34">
        <v>1000</v>
      </c>
      <c r="M1002" s="34">
        <v>0</v>
      </c>
      <c r="O1002" s="34">
        <f t="shared" si="26"/>
        <v>0</v>
      </c>
    </row>
    <row r="1003" spans="12:17" ht="13.5" customHeight="1" x14ac:dyDescent="0.35">
      <c r="M1003" s="34">
        <v>0</v>
      </c>
    </row>
    <row r="1004" spans="12:17" ht="13.5" customHeight="1" x14ac:dyDescent="0.35">
      <c r="M1004" s="34">
        <v>0</v>
      </c>
    </row>
    <row r="1005" spans="12:17" ht="13.5" customHeight="1" x14ac:dyDescent="0.35">
      <c r="M1005" s="34">
        <v>0</v>
      </c>
    </row>
    <row r="1006" spans="12:17" ht="13.5" customHeight="1" x14ac:dyDescent="0.35">
      <c r="M1006" s="34">
        <v>0</v>
      </c>
    </row>
    <row r="1007" spans="12:17" ht="13.5" customHeight="1" x14ac:dyDescent="0.35">
      <c r="M1007" s="34">
        <v>0</v>
      </c>
    </row>
    <row r="1008" spans="12:17" ht="13.5" customHeight="1" x14ac:dyDescent="0.35">
      <c r="M1008" s="34">
        <v>0</v>
      </c>
    </row>
    <row r="1009" spans="13:13" ht="13.5" customHeight="1" x14ac:dyDescent="0.35">
      <c r="M1009" s="34">
        <v>0</v>
      </c>
    </row>
    <row r="1010" spans="13:13" ht="13.5" customHeight="1" x14ac:dyDescent="0.35">
      <c r="M1010" s="34">
        <v>0</v>
      </c>
    </row>
    <row r="1011" spans="13:13" ht="13.5" customHeight="1" x14ac:dyDescent="0.35">
      <c r="M1011" s="34">
        <v>0</v>
      </c>
    </row>
    <row r="1012" spans="13:13" ht="13.5" customHeight="1" x14ac:dyDescent="0.35">
      <c r="M1012" s="34">
        <v>0</v>
      </c>
    </row>
    <row r="1013" spans="13:13" ht="13.5" customHeight="1" x14ac:dyDescent="0.35">
      <c r="M1013" s="34">
        <v>0</v>
      </c>
    </row>
    <row r="1014" spans="13:13" ht="13.5" customHeight="1" x14ac:dyDescent="0.35">
      <c r="M1014" s="34">
        <v>0</v>
      </c>
    </row>
    <row r="1015" spans="13:13" ht="13.5" customHeight="1" x14ac:dyDescent="0.35">
      <c r="M1015" s="34">
        <v>0</v>
      </c>
    </row>
    <row r="1016" spans="13:13" ht="13.5" customHeight="1" x14ac:dyDescent="0.35">
      <c r="M1016" s="34">
        <v>0</v>
      </c>
    </row>
    <row r="1017" spans="13:13" ht="13.5" customHeight="1" x14ac:dyDescent="0.35">
      <c r="M1017" s="34">
        <v>0</v>
      </c>
    </row>
    <row r="1018" spans="13:13" ht="13.5" customHeight="1" x14ac:dyDescent="0.35">
      <c r="M1018" s="34">
        <v>0</v>
      </c>
    </row>
    <row r="1019" spans="13:13" ht="13.5" customHeight="1" x14ac:dyDescent="0.35">
      <c r="M1019" s="34">
        <v>0</v>
      </c>
    </row>
    <row r="1020" spans="13:13" ht="13.5" customHeight="1" x14ac:dyDescent="0.35">
      <c r="M1020" s="34">
        <v>0</v>
      </c>
    </row>
    <row r="1021" spans="13:13" ht="13.5" customHeight="1" x14ac:dyDescent="0.35">
      <c r="M1021" s="34">
        <v>0</v>
      </c>
    </row>
    <row r="1022" spans="13:13" ht="13.5" customHeight="1" x14ac:dyDescent="0.35">
      <c r="M1022" s="34">
        <v>0</v>
      </c>
    </row>
    <row r="1023" spans="13:13" ht="13.5" customHeight="1" x14ac:dyDescent="0.35">
      <c r="M1023" s="34">
        <v>0</v>
      </c>
    </row>
    <row r="1024" spans="13:13" ht="13.5" customHeight="1" x14ac:dyDescent="0.35">
      <c r="M1024" s="34">
        <v>0</v>
      </c>
    </row>
    <row r="1025" spans="13:13" ht="13.5" customHeight="1" x14ac:dyDescent="0.35">
      <c r="M1025" s="34">
        <v>0</v>
      </c>
    </row>
    <row r="1026" spans="13:13" ht="13.5" customHeight="1" x14ac:dyDescent="0.35">
      <c r="M1026" s="34">
        <v>0</v>
      </c>
    </row>
    <row r="1027" spans="13:13" ht="13.5" customHeight="1" x14ac:dyDescent="0.35">
      <c r="M1027" s="34">
        <v>0</v>
      </c>
    </row>
    <row r="1028" spans="13:13" ht="13.5" customHeight="1" x14ac:dyDescent="0.35">
      <c r="M1028" s="34">
        <v>0</v>
      </c>
    </row>
    <row r="1029" spans="13:13" ht="13.5" customHeight="1" x14ac:dyDescent="0.35">
      <c r="M1029" s="34">
        <v>0</v>
      </c>
    </row>
    <row r="1030" spans="13:13" ht="13.5" customHeight="1" x14ac:dyDescent="0.35">
      <c r="M1030" s="34">
        <v>0</v>
      </c>
    </row>
    <row r="1031" spans="13:13" ht="13.5" customHeight="1" x14ac:dyDescent="0.35">
      <c r="M1031" s="34">
        <v>0</v>
      </c>
    </row>
    <row r="1032" spans="13:13" ht="13.5" customHeight="1" x14ac:dyDescent="0.35">
      <c r="M1032" s="34">
        <v>0</v>
      </c>
    </row>
    <row r="1033" spans="13:13" ht="13.5" customHeight="1" x14ac:dyDescent="0.35">
      <c r="M1033" s="34">
        <v>0</v>
      </c>
    </row>
    <row r="1034" spans="13:13" ht="13.5" customHeight="1" x14ac:dyDescent="0.35">
      <c r="M1034" s="34">
        <v>0</v>
      </c>
    </row>
    <row r="1035" spans="13:13" ht="13.5" customHeight="1" x14ac:dyDescent="0.35">
      <c r="M1035" s="34">
        <v>0</v>
      </c>
    </row>
    <row r="1036" spans="13:13" ht="13.5" customHeight="1" x14ac:dyDescent="0.35">
      <c r="M1036" s="34">
        <v>0</v>
      </c>
    </row>
    <row r="1037" spans="13:13" ht="13.5" customHeight="1" x14ac:dyDescent="0.35">
      <c r="M1037" s="34">
        <v>0</v>
      </c>
    </row>
    <row r="1038" spans="13:13" ht="13.5" customHeight="1" x14ac:dyDescent="0.35">
      <c r="M1038" s="34">
        <v>0</v>
      </c>
    </row>
    <row r="1039" spans="13:13" ht="13.5" customHeight="1" x14ac:dyDescent="0.35">
      <c r="M1039" s="34">
        <v>0</v>
      </c>
    </row>
    <row r="1040" spans="13:13" ht="13.5" customHeight="1" x14ac:dyDescent="0.35">
      <c r="M1040" s="34">
        <v>0</v>
      </c>
    </row>
    <row r="1041" spans="13:13" ht="13.5" customHeight="1" x14ac:dyDescent="0.35">
      <c r="M1041" s="34">
        <v>0</v>
      </c>
    </row>
    <row r="1042" spans="13:13" ht="13.5" customHeight="1" x14ac:dyDescent="0.35">
      <c r="M1042" s="34">
        <v>0</v>
      </c>
    </row>
    <row r="1043" spans="13:13" ht="13.5" customHeight="1" x14ac:dyDescent="0.35">
      <c r="M1043" s="34">
        <v>0</v>
      </c>
    </row>
    <row r="1044" spans="13:13" ht="13.5" customHeight="1" x14ac:dyDescent="0.35">
      <c r="M1044" s="34">
        <v>0</v>
      </c>
    </row>
    <row r="1045" spans="13:13" ht="13.5" customHeight="1" x14ac:dyDescent="0.35">
      <c r="M1045" s="34">
        <v>0</v>
      </c>
    </row>
    <row r="1046" spans="13:13" ht="13.5" customHeight="1" x14ac:dyDescent="0.35">
      <c r="M1046" s="34">
        <v>0</v>
      </c>
    </row>
    <row r="1047" spans="13:13" ht="13.5" customHeight="1" x14ac:dyDescent="0.35">
      <c r="M1047" s="34">
        <v>0</v>
      </c>
    </row>
    <row r="1048" spans="13:13" ht="13.5" customHeight="1" x14ac:dyDescent="0.35">
      <c r="M1048" s="34">
        <v>0</v>
      </c>
    </row>
    <row r="1049" spans="13:13" ht="13.5" customHeight="1" x14ac:dyDescent="0.35">
      <c r="M1049" s="34">
        <v>0</v>
      </c>
    </row>
    <row r="1050" spans="13:13" ht="13.5" customHeight="1" x14ac:dyDescent="0.35">
      <c r="M1050" s="34">
        <v>0</v>
      </c>
    </row>
    <row r="1051" spans="13:13" ht="13.5" customHeight="1" x14ac:dyDescent="0.35">
      <c r="M1051" s="34">
        <v>0</v>
      </c>
    </row>
    <row r="1052" spans="13:13" ht="13.5" customHeight="1" x14ac:dyDescent="0.35">
      <c r="M1052" s="34">
        <v>0</v>
      </c>
    </row>
    <row r="1053" spans="13:13" ht="13.5" customHeight="1" x14ac:dyDescent="0.35">
      <c r="M1053" s="34">
        <v>0</v>
      </c>
    </row>
    <row r="1054" spans="13:13" ht="13.5" customHeight="1" x14ac:dyDescent="0.35">
      <c r="M1054" s="34">
        <v>0</v>
      </c>
    </row>
    <row r="1055" spans="13:13" ht="13.5" customHeight="1" x14ac:dyDescent="0.35">
      <c r="M1055" s="34">
        <v>0</v>
      </c>
    </row>
    <row r="1056" spans="13:13" ht="13.5" customHeight="1" x14ac:dyDescent="0.35">
      <c r="M1056" s="34">
        <v>0</v>
      </c>
    </row>
    <row r="1057" spans="13:13" ht="13.5" customHeight="1" x14ac:dyDescent="0.35">
      <c r="M1057" s="34">
        <v>0</v>
      </c>
    </row>
    <row r="1058" spans="13:13" ht="13.5" customHeight="1" x14ac:dyDescent="0.35">
      <c r="M1058" s="34">
        <v>0</v>
      </c>
    </row>
    <row r="1059" spans="13:13" ht="13.5" customHeight="1" x14ac:dyDescent="0.35">
      <c r="M1059" s="34">
        <v>0</v>
      </c>
    </row>
    <row r="1060" spans="13:13" ht="13.5" customHeight="1" x14ac:dyDescent="0.35">
      <c r="M1060" s="34">
        <v>0</v>
      </c>
    </row>
    <row r="1061" spans="13:13" ht="13.5" customHeight="1" x14ac:dyDescent="0.35">
      <c r="M1061" s="34">
        <v>0</v>
      </c>
    </row>
    <row r="1062" spans="13:13" ht="13.5" customHeight="1" x14ac:dyDescent="0.35">
      <c r="M1062" s="34">
        <v>0</v>
      </c>
    </row>
    <row r="1063" spans="13:13" ht="13.5" customHeight="1" x14ac:dyDescent="0.35">
      <c r="M1063" s="34">
        <v>0</v>
      </c>
    </row>
    <row r="1064" spans="13:13" ht="13.5" customHeight="1" x14ac:dyDescent="0.35">
      <c r="M1064" s="34">
        <v>0</v>
      </c>
    </row>
    <row r="1065" spans="13:13" ht="13.5" customHeight="1" x14ac:dyDescent="0.35">
      <c r="M1065" s="34">
        <v>0</v>
      </c>
    </row>
    <row r="1066" spans="13:13" ht="13.5" customHeight="1" x14ac:dyDescent="0.35">
      <c r="M1066" s="34">
        <v>0</v>
      </c>
    </row>
    <row r="1067" spans="13:13" ht="13.5" customHeight="1" x14ac:dyDescent="0.35">
      <c r="M1067" s="34">
        <v>0</v>
      </c>
    </row>
    <row r="1068" spans="13:13" ht="13.5" customHeight="1" x14ac:dyDescent="0.35">
      <c r="M1068" s="34">
        <v>0</v>
      </c>
    </row>
    <row r="1069" spans="13:13" ht="13.5" customHeight="1" x14ac:dyDescent="0.35">
      <c r="M1069" s="34">
        <v>0</v>
      </c>
    </row>
    <row r="1070" spans="13:13" ht="13.5" customHeight="1" x14ac:dyDescent="0.35">
      <c r="M1070" s="34">
        <v>0</v>
      </c>
    </row>
    <row r="1071" spans="13:13" ht="13.5" customHeight="1" x14ac:dyDescent="0.35">
      <c r="M1071" s="34">
        <v>1</v>
      </c>
    </row>
    <row r="1072" spans="13:13" ht="13.5" customHeight="1" x14ac:dyDescent="0.35">
      <c r="M1072" s="34">
        <v>0</v>
      </c>
    </row>
    <row r="1073" spans="13:13" ht="13.5" customHeight="1" x14ac:dyDescent="0.35">
      <c r="M1073" s="34">
        <v>0</v>
      </c>
    </row>
    <row r="1074" spans="13:13" ht="13.5" customHeight="1" x14ac:dyDescent="0.35">
      <c r="M1074" s="34">
        <v>0</v>
      </c>
    </row>
    <row r="1075" spans="13:13" ht="13.5" customHeight="1" x14ac:dyDescent="0.35">
      <c r="M1075" s="34">
        <v>0</v>
      </c>
    </row>
    <row r="1076" spans="13:13" ht="13.5" customHeight="1" x14ac:dyDescent="0.35">
      <c r="M1076" s="34">
        <v>0</v>
      </c>
    </row>
    <row r="1077" spans="13:13" ht="13.5" customHeight="1" x14ac:dyDescent="0.35">
      <c r="M1077" s="34">
        <v>0</v>
      </c>
    </row>
    <row r="1078" spans="13:13" ht="13.5" customHeight="1" x14ac:dyDescent="0.35">
      <c r="M1078" s="34">
        <v>0</v>
      </c>
    </row>
    <row r="1079" spans="13:13" ht="13.5" customHeight="1" x14ac:dyDescent="0.35">
      <c r="M1079" s="34">
        <v>0</v>
      </c>
    </row>
    <row r="1080" spans="13:13" ht="13.5" customHeight="1" x14ac:dyDescent="0.35">
      <c r="M1080" s="34">
        <v>0</v>
      </c>
    </row>
    <row r="1081" spans="13:13" ht="13.5" customHeight="1" x14ac:dyDescent="0.35">
      <c r="M1081" s="34">
        <v>0</v>
      </c>
    </row>
    <row r="1082" spans="13:13" ht="13.5" customHeight="1" x14ac:dyDescent="0.35">
      <c r="M1082" s="34">
        <v>0</v>
      </c>
    </row>
    <row r="1083" spans="13:13" ht="13.5" customHeight="1" x14ac:dyDescent="0.35">
      <c r="M1083" s="34">
        <v>0</v>
      </c>
    </row>
    <row r="1084" spans="13:13" ht="13.5" customHeight="1" x14ac:dyDescent="0.35">
      <c r="M1084" s="34">
        <v>0</v>
      </c>
    </row>
    <row r="1085" spans="13:13" ht="13.5" customHeight="1" x14ac:dyDescent="0.35">
      <c r="M1085" s="34">
        <v>0</v>
      </c>
    </row>
    <row r="1086" spans="13:13" ht="13.5" customHeight="1" x14ac:dyDescent="0.35">
      <c r="M1086" s="34">
        <v>0</v>
      </c>
    </row>
    <row r="1087" spans="13:13" ht="13.5" customHeight="1" x14ac:dyDescent="0.35">
      <c r="M1087" s="34">
        <v>0</v>
      </c>
    </row>
    <row r="1088" spans="13:13" ht="13.5" customHeight="1" x14ac:dyDescent="0.35">
      <c r="M1088" s="34">
        <v>0</v>
      </c>
    </row>
    <row r="1089" spans="13:13" ht="13.5" customHeight="1" x14ac:dyDescent="0.35">
      <c r="M1089" s="34">
        <v>0</v>
      </c>
    </row>
    <row r="1090" spans="13:13" ht="13.5" customHeight="1" x14ac:dyDescent="0.35">
      <c r="M1090" s="34">
        <v>0</v>
      </c>
    </row>
    <row r="1091" spans="13:13" ht="13.5" customHeight="1" x14ac:dyDescent="0.35">
      <c r="M1091" s="34">
        <v>0</v>
      </c>
    </row>
    <row r="1092" spans="13:13" ht="13.5" customHeight="1" x14ac:dyDescent="0.35">
      <c r="M1092" s="34">
        <v>0</v>
      </c>
    </row>
    <row r="1093" spans="13:13" ht="13.5" customHeight="1" x14ac:dyDescent="0.35">
      <c r="M1093" s="34">
        <v>0</v>
      </c>
    </row>
    <row r="1094" spans="13:13" ht="13.5" customHeight="1" x14ac:dyDescent="0.35">
      <c r="M1094" s="34">
        <v>0</v>
      </c>
    </row>
    <row r="1095" spans="13:13" ht="13.5" customHeight="1" x14ac:dyDescent="0.35">
      <c r="M1095" s="34">
        <v>0</v>
      </c>
    </row>
    <row r="1096" spans="13:13" ht="13.5" customHeight="1" x14ac:dyDescent="0.35">
      <c r="M1096" s="34">
        <v>0</v>
      </c>
    </row>
    <row r="1097" spans="13:13" ht="13.5" customHeight="1" x14ac:dyDescent="0.35">
      <c r="M1097" s="34">
        <v>0</v>
      </c>
    </row>
    <row r="1098" spans="13:13" ht="13.5" customHeight="1" x14ac:dyDescent="0.35">
      <c r="M1098" s="34">
        <v>0</v>
      </c>
    </row>
    <row r="1099" spans="13:13" ht="13.5" customHeight="1" x14ac:dyDescent="0.35">
      <c r="M1099" s="34">
        <v>0</v>
      </c>
    </row>
    <row r="1100" spans="13:13" ht="13.5" customHeight="1" x14ac:dyDescent="0.35">
      <c r="M1100" s="34">
        <v>0</v>
      </c>
    </row>
    <row r="1101" spans="13:13" ht="13.5" customHeight="1" x14ac:dyDescent="0.35">
      <c r="M1101" s="34">
        <v>0</v>
      </c>
    </row>
  </sheetData>
  <mergeCells count="2">
    <mergeCell ref="C1:H1"/>
    <mergeCell ref="R12:W12"/>
  </mergeCells>
  <conditionalFormatting sqref="A45">
    <cfRule type="cellIs" dxfId="1" priority="3" operator="lessThan">
      <formula>0.3</formula>
    </cfRule>
  </conditionalFormatting>
  <conditionalFormatting sqref="A47">
    <cfRule type="cellIs" dxfId="0" priority="2" operator="lessThan">
      <formula>0.15</formula>
    </cfRule>
  </conditionalFormatting>
  <pageMargins left="0.78749999999999998" right="0.78749999999999998" top="1.05277777777778" bottom="1.74166666666667" header="0.78749999999999998" footer="0.78749999999999998"/>
  <pageSetup paperSize="9" scale="110" orientation="landscape" horizontalDpi="300" verticalDpi="300"/>
  <headerFooter>
    <oddHeader>&amp;C&amp;"Times New Roman,Regular"&amp;12 &amp;A</oddHeader>
    <oddFooter>&amp;C&amp;"Times New Roman,Regular"&amp;12 Page &amp;P</oddFooter>
  </headerFooter>
  <drawing r:id="rId1"/>
  <legacyDrawing r:id="rId2"/>
</worksheet>
</file>

<file path=docProps/app.xml><?xml version="1.0" encoding="utf-8"?>
<Properties xmlns="http://schemas.openxmlformats.org/officeDocument/2006/extended-properties" xmlns:vt="http://schemas.openxmlformats.org/officeDocument/2006/docPropsVTypes">
  <Template/>
  <TotalTime>0</TotalTime>
  <Application>Microsoft Excel</Application>
  <DocSecurity>0</DocSecurity>
  <ScaleCrop>false</ScaleCrop>
  <HeadingPairs>
    <vt:vector size="2" baseType="variant">
      <vt:variant>
        <vt:lpstr>Worksheets</vt:lpstr>
      </vt:variant>
      <vt:variant>
        <vt:i4>2</vt:i4>
      </vt:variant>
    </vt:vector>
  </HeadingPairs>
  <TitlesOfParts>
    <vt:vector size="2" baseType="lpstr">
      <vt:lpstr>D1</vt:lpstr>
      <vt:lpstr>Annex D</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John Devereux</dc:creator>
  <dc:description/>
  <cp:lastModifiedBy>John Devereux</cp:lastModifiedBy>
  <cp:revision>4</cp:revision>
  <dcterms:created xsi:type="dcterms:W3CDTF">2026-03-16T13:52:46Z</dcterms:created>
  <dcterms:modified xsi:type="dcterms:W3CDTF">2026-06-08T07:50:04Z</dcterms:modified>
  <dc:language>en-US</dc:language>
</cp:coreProperties>
</file>