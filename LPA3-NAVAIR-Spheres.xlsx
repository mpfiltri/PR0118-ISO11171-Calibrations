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use 6 - Sphe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<sst xmlns="http://schemas.openxmlformats.org/spreadsheetml/2006/main" count="122" uniqueCount="50">
  <si>
    <t xml:space="preserve">APC Model</t>
  </si>
  <si>
    <t xml:space="preserve">LPA3-NAVAIR</t>
  </si>
  <si>
    <t xml:space="preserve">APC S/N</t>
  </si>
  <si>
    <t xml:space="preserve">11171-00009</t>
  </si>
  <si>
    <t xml:space="preserve">Date</t>
  </si>
  <si>
    <t xml:space="preserve">Sensor S/N</t>
  </si>
  <si>
    <t xml:space="preserve">Sensor Model</t>
  </si>
  <si>
    <t xml:space="preserve">Bottle Sampler</t>
  </si>
  <si>
    <t xml:space="preserve">BS110 BS2042</t>
  </si>
  <si>
    <t xml:space="preserve">Operator</t>
  </si>
  <si>
    <t xml:space="preserve">JMD</t>
  </si>
  <si>
    <t xml:space="preserve">Poly Spheres Concentrate Calculator</t>
  </si>
  <si>
    <t xml:space="preserve">microns</t>
  </si>
  <si>
    <t xml:space="preserve">diameter</t>
  </si>
  <si>
    <t xml:space="preserve">m^3</t>
  </si>
  <si>
    <t xml:space="preserve">volume of a sphere</t>
  </si>
  <si>
    <t xml:space="preserve">kg</t>
  </si>
  <si>
    <t xml:space="preserve">mass of a sphere</t>
  </si>
  <si>
    <t xml:space="preserve">Number</t>
  </si>
  <si>
    <t xml:space="preserve">spheres per mg</t>
  </si>
  <si>
    <t xml:space="preserve">Target concentration per ml</t>
  </si>
  <si>
    <t xml:space="preserve">mg/l</t>
  </si>
  <si>
    <t xml:space="preserve">spheres to add per liter</t>
  </si>
  <si>
    <t xml:space="preserve">litres</t>
  </si>
  <si>
    <t xml:space="preserve">Bottle / Rig volume</t>
  </si>
  <si>
    <t xml:space="preserve">mg</t>
  </si>
  <si>
    <t xml:space="preserve">Total mass of spheres to add</t>
  </si>
  <si>
    <t xml:space="preserve">Actual mass added</t>
  </si>
  <si>
    <t xml:space="preserve">N/ml</t>
  </si>
  <si>
    <t xml:space="preserve">Concentration expected</t>
  </si>
  <si>
    <t xml:space="preserve">Spheres added</t>
  </si>
  <si>
    <t xml:space="preserve">ml</t>
  </si>
  <si>
    <t xml:space="preserve">Adjusted volume required</t>
  </si>
  <si>
    <t xml:space="preserve">Extra volume to add</t>
  </si>
  <si>
    <t xml:space="preserve">Dilution</t>
  </si>
  <si>
    <t xml:space="preserve">Desired fluid quantity</t>
  </si>
  <si>
    <t xml:space="preserve">/ml</t>
  </si>
  <si>
    <t xml:space="preserve">Desired final sphere concentration</t>
  </si>
  <si>
    <t xml:space="preserve">Desired final sphere concentration for analysis</t>
  </si>
  <si>
    <t xml:space="preserve">/bottle</t>
  </si>
  <si>
    <t xml:space="preserve">Desired sphere quantity total</t>
  </si>
  <si>
    <t xml:space="preserve">Required amount of concentrate</t>
  </si>
  <si>
    <t xml:space="preserve">Required amount of diluent</t>
  </si>
  <si>
    <t xml:space="preserve">Iterative Calculator for sliding window half-count method of PSL sphere threshold measurement</t>
  </si>
  <si>
    <t xml:space="preserve">Calibrated Channel Size</t>
  </si>
  <si>
    <t xml:space="preserve">μm(c)</t>
  </si>
  <si>
    <t xml:space="preserve">Channel Threshold (LPA-View value)</t>
  </si>
  <si>
    <t xml:space="preserve">Cumulative Counts / 100ml</t>
  </si>
  <si>
    <t xml:space="preserve">Differential Counts / 100ml</t>
  </si>
  <si>
    <t xml:space="preserve">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</si>
</sst>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.000E+00"/>
    <numFmt numFmtId="167" formatCode="0.00"/>
    <numFmt numFmtId="168" formatCode="0"/>
    <numFmt numFmtId="169" formatCode="0.0"/>
    <numFmt numFmtId="170" formatCode="General"/>
    <numFmt numFmtId="171" formatCode="0.0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sz val="10"/>
      <name val="Calibri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6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3"/>
    <col collapsed="false" customWidth="true" hidden="false" outlineLevel="0" max="10" min="10" style="0" width="6.52"/>
    <col collapsed="false" customWidth="true" hidden="false" outlineLevel="0" max="11" min="11" style="0" width="14.74"/>
  </cols>
  <sheetData>
    <row r="1" customFormat="false" ht="12.8" hidden="false" customHeight="false" outlineLevel="0" collapsed="false">
      <c r="A1" s="1" t="s">
        <v>0</v>
      </c>
      <c r="B1" s="1"/>
      <c r="C1" s="2"/>
      <c r="D1" s="3" t="s">
        <v>1</v>
      </c>
    </row>
    <row r="2" customFormat="false" ht="12.8" hidden="false" customHeight="false" outlineLevel="0" collapsed="false">
      <c r="A2" s="1" t="s">
        <v>2</v>
      </c>
      <c r="B2" s="1"/>
      <c r="C2" s="1"/>
      <c r="D2" s="1" t="s">
        <v>3</v>
      </c>
    </row>
    <row r="3" customFormat="false" ht="12.8" hidden="false" customHeight="false" outlineLevel="0" collapsed="false">
      <c r="A3" s="1" t="s">
        <v>4</v>
      </c>
      <c r="B3" s="1"/>
      <c r="C3" s="1"/>
      <c r="D3" s="4"/>
    </row>
    <row r="4" customFormat="false" ht="12.8" hidden="false" customHeight="false" outlineLevel="0" collapsed="false">
      <c r="A4" s="1" t="s">
        <v>5</v>
      </c>
      <c r="B4" s="1"/>
      <c r="C4" s="1"/>
      <c r="D4" s="1" t="s">
        <v>3</v>
      </c>
    </row>
    <row r="5" customFormat="false" ht="12.8" hidden="false" customHeight="false" outlineLevel="0" collapsed="false">
      <c r="A5" s="1" t="s">
        <v>6</v>
      </c>
      <c r="B5" s="1"/>
      <c r="C5" s="1"/>
      <c r="D5" s="3" t="s">
        <v>1</v>
      </c>
    </row>
    <row r="6" customFormat="false" ht="12.8" hidden="false" customHeight="false" outlineLevel="0" collapsed="false">
      <c r="A6" s="2" t="s">
        <v>7</v>
      </c>
      <c r="B6" s="1"/>
      <c r="C6" s="1"/>
      <c r="D6" s="5" t="s">
        <v>8</v>
      </c>
    </row>
    <row r="7" customFormat="false" ht="12.8" hidden="false" customHeight="false" outlineLevel="0" collapsed="false">
      <c r="A7" s="1" t="s">
        <v>9</v>
      </c>
      <c r="B7" s="1"/>
      <c r="C7" s="1"/>
      <c r="D7" s="6" t="s">
        <v>10</v>
      </c>
    </row>
    <row r="10" customFormat="false" ht="12.8" hidden="false" customHeight="false" outlineLevel="0" collapsed="false">
      <c r="A10" s="7" t="s">
        <v>11</v>
      </c>
      <c r="B10" s="7"/>
      <c r="C10" s="7"/>
      <c r="D10" s="7"/>
    </row>
    <row r="11" customFormat="false" ht="12.8" hidden="false" customHeight="false" outlineLevel="0" collapsed="false">
      <c r="A11" s="7"/>
      <c r="B11" s="7"/>
      <c r="C11" s="7"/>
      <c r="D11" s="7"/>
      <c r="H11" s="8"/>
    </row>
    <row r="12" customFormat="false" ht="12.8" hidden="false" customHeight="false" outlineLevel="0" collapsed="false">
      <c r="A12" s="9" t="n">
        <v>49.4</v>
      </c>
      <c r="B12" s="10" t="s">
        <v>12</v>
      </c>
      <c r="C12" s="10" t="s">
        <v>13</v>
      </c>
      <c r="D12" s="11"/>
      <c r="F12" s="12" t="n">
        <v>39</v>
      </c>
      <c r="G12" s="10" t="s">
        <v>12</v>
      </c>
      <c r="H12" s="10" t="s">
        <v>13</v>
      </c>
      <c r="I12" s="13"/>
      <c r="J12" s="14"/>
      <c r="M12" s="9" t="n">
        <v>69.7</v>
      </c>
      <c r="N12" s="10" t="s">
        <v>12</v>
      </c>
      <c r="O12" s="10" t="s">
        <v>13</v>
      </c>
      <c r="P12" s="13"/>
      <c r="Q12" s="14"/>
    </row>
    <row r="13" customFormat="false" ht="12.8" hidden="false" customHeight="false" outlineLevel="0" collapsed="false">
      <c r="A13" s="15" t="n">
        <f aca="false">(4/3)*(3.1415936)*((A12*0.000001/2)^3)</f>
        <v>6.3121832711697E-014</v>
      </c>
      <c r="B13" s="7" t="s">
        <v>14</v>
      </c>
      <c r="C13" s="7" t="s">
        <v>15</v>
      </c>
      <c r="D13" s="16"/>
      <c r="F13" s="15" t="n">
        <f aca="false">(4/3)*(3.1415936)*((F12*0.000001/2)^3)</f>
        <v>3.10593651264E-014</v>
      </c>
      <c r="G13" s="7" t="s">
        <v>14</v>
      </c>
      <c r="H13" s="7" t="s">
        <v>15</v>
      </c>
      <c r="J13" s="17"/>
      <c r="M13" s="15" t="n">
        <f aca="false">(4/3)*(3.1415936)*((M12*0.000001/2)^3)</f>
        <v>1.77295244720002E-013</v>
      </c>
      <c r="N13" s="7" t="s">
        <v>14</v>
      </c>
      <c r="O13" s="7" t="s">
        <v>15</v>
      </c>
      <c r="Q13" s="17"/>
    </row>
    <row r="14" customFormat="false" ht="12.8" hidden="false" customHeight="false" outlineLevel="0" collapsed="false">
      <c r="A14" s="15" t="n">
        <f aca="false">A13*1.05*1000</f>
        <v>6.62779243472819E-011</v>
      </c>
      <c r="B14" s="7" t="s">
        <v>16</v>
      </c>
      <c r="C14" s="7" t="s">
        <v>17</v>
      </c>
      <c r="D14" s="16"/>
      <c r="F14" s="15" t="n">
        <f aca="false">F13*1.05*1000</f>
        <v>3.261233338272E-011</v>
      </c>
      <c r="G14" s="7" t="s">
        <v>16</v>
      </c>
      <c r="H14" s="7" t="s">
        <v>17</v>
      </c>
      <c r="J14" s="17"/>
      <c r="M14" s="15" t="n">
        <f aca="false">M13*1.05*1000</f>
        <v>1.86160006956002E-010</v>
      </c>
      <c r="N14" s="7" t="s">
        <v>16</v>
      </c>
      <c r="O14" s="7" t="s">
        <v>17</v>
      </c>
      <c r="Q14" s="17"/>
    </row>
    <row r="15" customFormat="false" ht="12.8" hidden="false" customHeight="false" outlineLevel="0" collapsed="false">
      <c r="A15" s="15" t="n">
        <f aca="false">0.000001/A14</f>
        <v>15087.980045365</v>
      </c>
      <c r="B15" s="7" t="s">
        <v>18</v>
      </c>
      <c r="C15" s="7" t="s">
        <v>19</v>
      </c>
      <c r="D15" s="16"/>
      <c r="F15" s="15" t="n">
        <f aca="false">0.000001/F14</f>
        <v>30663.2459647877</v>
      </c>
      <c r="G15" s="7" t="s">
        <v>18</v>
      </c>
      <c r="H15" s="7" t="s">
        <v>19</v>
      </c>
      <c r="J15" s="17"/>
      <c r="M15" s="15" t="n">
        <f aca="false">0.000001/M14</f>
        <v>5371.72304809993</v>
      </c>
      <c r="N15" s="7" t="s">
        <v>18</v>
      </c>
      <c r="O15" s="7" t="s">
        <v>19</v>
      </c>
      <c r="Q15" s="17"/>
    </row>
    <row r="16" customFormat="false" ht="12.8" hidden="false" customHeight="false" outlineLevel="0" collapsed="false">
      <c r="A16" s="18" t="n">
        <v>5000</v>
      </c>
      <c r="B16" s="7"/>
      <c r="C16" s="7" t="s">
        <v>20</v>
      </c>
      <c r="D16" s="16"/>
      <c r="F16" s="18" t="n">
        <v>3000</v>
      </c>
      <c r="G16" s="7"/>
      <c r="H16" s="7" t="s">
        <v>20</v>
      </c>
      <c r="J16" s="17"/>
      <c r="M16" s="18" t="n">
        <v>2000</v>
      </c>
      <c r="N16" s="7"/>
      <c r="O16" s="7" t="s">
        <v>20</v>
      </c>
      <c r="Q16" s="17"/>
    </row>
    <row r="17" customFormat="false" ht="12.8" hidden="false" customHeight="false" outlineLevel="0" collapsed="false">
      <c r="A17" s="19" t="n">
        <f aca="false">A16/A15*1000</f>
        <v>331.38962173641</v>
      </c>
      <c r="B17" s="7" t="s">
        <v>21</v>
      </c>
      <c r="C17" s="7" t="s">
        <v>22</v>
      </c>
      <c r="D17" s="16"/>
      <c r="F17" s="19" t="n">
        <f aca="false">F16/F15*1000</f>
        <v>97.83700014816</v>
      </c>
      <c r="G17" s="7" t="s">
        <v>21</v>
      </c>
      <c r="H17" s="7" t="s">
        <v>22</v>
      </c>
      <c r="J17" s="17"/>
      <c r="M17" s="19" t="n">
        <f aca="false">M16/M15*1000</f>
        <v>372.320013912004</v>
      </c>
      <c r="N17" s="7" t="s">
        <v>21</v>
      </c>
      <c r="O17" s="7" t="s">
        <v>22</v>
      </c>
      <c r="Q17" s="17"/>
    </row>
    <row r="18" customFormat="false" ht="12.8" hidden="false" customHeight="false" outlineLevel="0" collapsed="false">
      <c r="A18" s="20" t="n">
        <v>0.2028</v>
      </c>
      <c r="B18" s="7" t="s">
        <v>23</v>
      </c>
      <c r="C18" s="7" t="s">
        <v>24</v>
      </c>
      <c r="D18" s="16"/>
      <c r="F18" s="20" t="n">
        <v>0.1</v>
      </c>
      <c r="G18" s="7" t="s">
        <v>23</v>
      </c>
      <c r="H18" s="7" t="s">
        <v>24</v>
      </c>
      <c r="J18" s="17"/>
      <c r="M18" s="20" t="n">
        <v>0.2</v>
      </c>
      <c r="N18" s="7" t="s">
        <v>23</v>
      </c>
      <c r="O18" s="7" t="s">
        <v>24</v>
      </c>
      <c r="Q18" s="17"/>
    </row>
    <row r="19" customFormat="false" ht="12.8" hidden="false" customHeight="false" outlineLevel="0" collapsed="false">
      <c r="A19" s="19" t="n">
        <f aca="false">A18*A17</f>
        <v>67.2058152881439</v>
      </c>
      <c r="B19" s="7" t="s">
        <v>25</v>
      </c>
      <c r="C19" s="7" t="s">
        <v>26</v>
      </c>
      <c r="D19" s="16"/>
      <c r="F19" s="19" t="n">
        <f aca="false">F18*F17</f>
        <v>9.783700014816</v>
      </c>
      <c r="G19" s="7" t="s">
        <v>25</v>
      </c>
      <c r="H19" s="7" t="s">
        <v>26</v>
      </c>
      <c r="J19" s="17"/>
      <c r="M19" s="19" t="n">
        <f aca="false">M18*M17</f>
        <v>74.4640027824009</v>
      </c>
      <c r="N19" s="7" t="s">
        <v>25</v>
      </c>
      <c r="O19" s="7" t="s">
        <v>26</v>
      </c>
      <c r="Q19" s="17"/>
    </row>
    <row r="20" customFormat="false" ht="12.8" hidden="false" customHeight="false" outlineLevel="0" collapsed="false">
      <c r="A20" s="20" t="n">
        <v>67.2</v>
      </c>
      <c r="B20" s="7" t="s">
        <v>25</v>
      </c>
      <c r="C20" s="7" t="s">
        <v>27</v>
      </c>
      <c r="D20" s="16"/>
      <c r="F20" s="20" t="n">
        <v>13.46</v>
      </c>
      <c r="G20" s="7" t="s">
        <v>25</v>
      </c>
      <c r="H20" s="7" t="s">
        <v>27</v>
      </c>
      <c r="J20" s="17"/>
      <c r="M20" s="20" t="n">
        <v>77.57</v>
      </c>
      <c r="N20" s="7" t="s">
        <v>25</v>
      </c>
      <c r="O20" s="7" t="s">
        <v>27</v>
      </c>
      <c r="Q20" s="17"/>
    </row>
    <row r="21" customFormat="false" ht="12.8" hidden="false" customHeight="false" outlineLevel="0" collapsed="false">
      <c r="A21" s="21" t="n">
        <f aca="false">A20/A19*A16</f>
        <v>4999.56735231029</v>
      </c>
      <c r="B21" s="7" t="s">
        <v>28</v>
      </c>
      <c r="C21" s="7" t="s">
        <v>29</v>
      </c>
      <c r="D21" s="16"/>
      <c r="F21" s="21" t="n">
        <f aca="false">F20/F19*F16</f>
        <v>4127.27290686042</v>
      </c>
      <c r="G21" s="7" t="s">
        <v>28</v>
      </c>
      <c r="H21" s="7" t="s">
        <v>29</v>
      </c>
      <c r="J21" s="17"/>
      <c r="M21" s="21" t="n">
        <f aca="false">M20/M19*M16</f>
        <v>2083.42278420556</v>
      </c>
      <c r="N21" s="7" t="s">
        <v>28</v>
      </c>
      <c r="O21" s="7" t="s">
        <v>29</v>
      </c>
      <c r="Q21" s="17"/>
    </row>
    <row r="22" customFormat="false" ht="12.8" hidden="false" customHeight="false" outlineLevel="0" collapsed="false">
      <c r="A22" s="22"/>
      <c r="D22" s="17"/>
      <c r="F22" s="23" t="n">
        <f aca="false">F20*F15</f>
        <v>412727.290686042</v>
      </c>
      <c r="H22" s="0" t="s">
        <v>30</v>
      </c>
      <c r="J22" s="17"/>
      <c r="M22" s="23" t="n">
        <f aca="false">M20*M15</f>
        <v>416684.556841111</v>
      </c>
      <c r="O22" s="0" t="s">
        <v>30</v>
      </c>
      <c r="Q22" s="17"/>
    </row>
    <row r="23" customFormat="false" ht="12.8" hidden="false" customHeight="false" outlineLevel="0" collapsed="false">
      <c r="A23" s="22"/>
      <c r="D23" s="17"/>
      <c r="F23" s="23" t="n">
        <f aca="false">F21/F16*F18*1000</f>
        <v>137.575763562014</v>
      </c>
      <c r="G23" s="0" t="s">
        <v>31</v>
      </c>
      <c r="H23" s="0" t="s">
        <v>32</v>
      </c>
      <c r="J23" s="17"/>
      <c r="M23" s="23" t="n">
        <f aca="false">M21/M16*M18*1000</f>
        <v>208.342278420556</v>
      </c>
      <c r="N23" s="0" t="s">
        <v>31</v>
      </c>
      <c r="O23" s="0" t="s">
        <v>32</v>
      </c>
      <c r="Q23" s="17"/>
    </row>
    <row r="24" customFormat="false" ht="12.8" hidden="false" customHeight="false" outlineLevel="0" collapsed="false">
      <c r="A24" s="22"/>
      <c r="D24" s="17"/>
      <c r="F24" s="23" t="n">
        <f aca="false">F23-F18*1000</f>
        <v>37.5757635620141</v>
      </c>
      <c r="G24" s="0" t="s">
        <v>31</v>
      </c>
      <c r="H24" s="0" t="s">
        <v>33</v>
      </c>
      <c r="J24" s="17"/>
      <c r="M24" s="23" t="n">
        <f aca="false">M23-M18*1000</f>
        <v>8.34227842055566</v>
      </c>
      <c r="N24" s="0" t="s">
        <v>31</v>
      </c>
      <c r="O24" s="0" t="s">
        <v>33</v>
      </c>
      <c r="Q24" s="17"/>
    </row>
    <row r="25" customFormat="false" ht="12.8" hidden="false" customHeight="false" outlineLevel="0" collapsed="false">
      <c r="A25" s="22"/>
      <c r="D25" s="17"/>
      <c r="F25" s="22"/>
      <c r="J25" s="17"/>
      <c r="M25" s="22"/>
      <c r="Q25" s="17"/>
    </row>
    <row r="26" customFormat="false" ht="12.8" hidden="false" customHeight="false" outlineLevel="0" collapsed="false">
      <c r="A26" s="22"/>
      <c r="D26" s="17"/>
      <c r="F26" s="22"/>
      <c r="J26" s="17"/>
      <c r="M26" s="22"/>
      <c r="Q26" s="17"/>
    </row>
    <row r="27" customFormat="false" ht="12.8" hidden="false" customHeight="false" outlineLevel="0" collapsed="false">
      <c r="A27" s="22" t="s">
        <v>34</v>
      </c>
      <c r="D27" s="17"/>
      <c r="F27" s="22" t="s">
        <v>34</v>
      </c>
      <c r="J27" s="17"/>
      <c r="M27" s="22" t="s">
        <v>34</v>
      </c>
      <c r="Q27" s="17"/>
    </row>
    <row r="28" customFormat="false" ht="12.8" hidden="false" customHeight="false" outlineLevel="0" collapsed="false">
      <c r="A28" s="22" t="n">
        <v>100</v>
      </c>
      <c r="B28" s="0" t="s">
        <v>31</v>
      </c>
      <c r="C28" s="0" t="s">
        <v>35</v>
      </c>
      <c r="D28" s="17"/>
      <c r="F28" s="22" t="n">
        <v>100</v>
      </c>
      <c r="G28" s="0" t="s">
        <v>31</v>
      </c>
      <c r="H28" s="0" t="s">
        <v>35</v>
      </c>
      <c r="J28" s="17"/>
      <c r="M28" s="22" t="n">
        <v>100</v>
      </c>
      <c r="N28" s="0" t="s">
        <v>31</v>
      </c>
      <c r="O28" s="0" t="s">
        <v>35</v>
      </c>
      <c r="Q28" s="17"/>
    </row>
    <row r="29" customFormat="false" ht="12.8" hidden="false" customHeight="false" outlineLevel="0" collapsed="false">
      <c r="A29" s="22" t="n">
        <v>300</v>
      </c>
      <c r="B29" s="0" t="s">
        <v>36</v>
      </c>
      <c r="C29" s="0" t="s">
        <v>37</v>
      </c>
      <c r="D29" s="17"/>
      <c r="F29" s="22" t="n">
        <v>300</v>
      </c>
      <c r="G29" s="0" t="s">
        <v>36</v>
      </c>
      <c r="H29" s="0" t="s">
        <v>38</v>
      </c>
      <c r="J29" s="17"/>
      <c r="M29" s="22" t="n">
        <v>300</v>
      </c>
      <c r="N29" s="0" t="s">
        <v>36</v>
      </c>
      <c r="O29" s="0" t="s">
        <v>38</v>
      </c>
      <c r="Q29" s="17"/>
    </row>
    <row r="30" customFormat="false" ht="12.8" hidden="false" customHeight="false" outlineLevel="0" collapsed="false">
      <c r="A30" s="22" t="n">
        <f aca="false">A28*A29</f>
        <v>30000</v>
      </c>
      <c r="B30" s="0" t="s">
        <v>39</v>
      </c>
      <c r="C30" s="0" t="s">
        <v>40</v>
      </c>
      <c r="D30" s="17"/>
      <c r="F30" s="22" t="n">
        <f aca="false">F28*F29</f>
        <v>30000</v>
      </c>
      <c r="G30" s="0" t="s">
        <v>39</v>
      </c>
      <c r="H30" s="0" t="s">
        <v>40</v>
      </c>
      <c r="J30" s="17"/>
      <c r="M30" s="22" t="n">
        <f aca="false">M28*M29</f>
        <v>30000</v>
      </c>
      <c r="N30" s="0" t="s">
        <v>39</v>
      </c>
      <c r="O30" s="0" t="s">
        <v>40</v>
      </c>
      <c r="Q30" s="17"/>
    </row>
    <row r="31" customFormat="false" ht="12.8" hidden="false" customHeight="false" outlineLevel="0" collapsed="false">
      <c r="A31" s="23" t="n">
        <f aca="false">A30/A21</f>
        <v>6.0005192221557</v>
      </c>
      <c r="B31" s="0" t="s">
        <v>31</v>
      </c>
      <c r="C31" s="0" t="s">
        <v>41</v>
      </c>
      <c r="D31" s="17"/>
      <c r="F31" s="23" t="n">
        <f aca="false">F30/F21</f>
        <v>7.26872215068053</v>
      </c>
      <c r="G31" s="0" t="s">
        <v>31</v>
      </c>
      <c r="H31" s="0" t="s">
        <v>41</v>
      </c>
      <c r="J31" s="17"/>
      <c r="M31" s="23" t="n">
        <f aca="false">M30/M21</f>
        <v>14.399381742117</v>
      </c>
      <c r="N31" s="0" t="s">
        <v>31</v>
      </c>
      <c r="O31" s="0" t="s">
        <v>41</v>
      </c>
      <c r="Q31" s="17"/>
    </row>
    <row r="32" customFormat="false" ht="12.8" hidden="false" customHeight="false" outlineLevel="0" collapsed="false">
      <c r="A32" s="23" t="n">
        <f aca="false">A28-A31</f>
        <v>93.9994807778443</v>
      </c>
      <c r="B32" s="0" t="s">
        <v>31</v>
      </c>
      <c r="C32" s="0" t="s">
        <v>42</v>
      </c>
      <c r="D32" s="17"/>
      <c r="F32" s="23" t="n">
        <f aca="false">F28-F31</f>
        <v>92.7312778493195</v>
      </c>
      <c r="G32" s="0" t="s">
        <v>31</v>
      </c>
      <c r="H32" s="0" t="s">
        <v>42</v>
      </c>
      <c r="J32" s="17"/>
      <c r="M32" s="23" t="n">
        <f aca="false">M28-M31</f>
        <v>85.600618257883</v>
      </c>
      <c r="N32" s="0" t="s">
        <v>31</v>
      </c>
      <c r="O32" s="0" t="s">
        <v>42</v>
      </c>
      <c r="Q32" s="17"/>
    </row>
    <row r="33" customFormat="false" ht="12.8" hidden="false" customHeight="false" outlineLevel="0" collapsed="false">
      <c r="A33" s="22"/>
      <c r="D33" s="17"/>
      <c r="F33" s="22"/>
      <c r="J33" s="17"/>
      <c r="M33" s="22"/>
      <c r="Q33" s="17"/>
    </row>
    <row r="34" customFormat="false" ht="12.8" hidden="false" customHeight="false" outlineLevel="0" collapsed="false">
      <c r="A34" s="24"/>
      <c r="B34" s="25"/>
      <c r="C34" s="25"/>
      <c r="D34" s="26"/>
      <c r="F34" s="24"/>
      <c r="G34" s="25"/>
      <c r="H34" s="25"/>
      <c r="I34" s="25"/>
      <c r="J34" s="26"/>
      <c r="M34" s="24"/>
      <c r="N34" s="25"/>
      <c r="O34" s="25"/>
      <c r="P34" s="25"/>
      <c r="Q34" s="26"/>
    </row>
    <row r="37" customFormat="false" ht="12.8" hidden="false" customHeight="false" outlineLevel="0" collapsed="false">
      <c r="A37" s="8" t="s">
        <v>43</v>
      </c>
    </row>
    <row r="39" customFormat="false" ht="12.8" hidden="false" customHeight="false" outlineLevel="0" collapsed="false">
      <c r="F39" s="27"/>
    </row>
    <row r="40" customFormat="false" ht="12.8" hidden="false" customHeight="false" outlineLevel="0" collapsed="false">
      <c r="A40" s="0" t="s">
        <v>44</v>
      </c>
      <c r="C40" s="8" t="n">
        <f aca="false">A12</f>
        <v>49.4</v>
      </c>
      <c r="D40" s="0" t="s">
        <v>45</v>
      </c>
      <c r="G40" s="8" t="n">
        <f aca="false">F12</f>
        <v>39</v>
      </c>
      <c r="H40" s="0" t="s">
        <v>45</v>
      </c>
      <c r="N40" s="8" t="n">
        <f aca="false">M12</f>
        <v>69.7</v>
      </c>
    </row>
    <row r="42" customFormat="false" ht="12.8" hidden="false" customHeight="false" outlineLevel="0" collapsed="false">
      <c r="A42" s="0" t="s">
        <v>46</v>
      </c>
      <c r="B42" s="28" t="n">
        <f aca="false">0.56*C42</f>
        <v>8736</v>
      </c>
      <c r="C42" s="29" t="n">
        <v>15600</v>
      </c>
      <c r="D42" s="30" t="n">
        <f aca="false">1.56*C42</f>
        <v>24336</v>
      </c>
      <c r="F42" s="28" t="n">
        <f aca="false">0.56*G42</f>
        <v>5600</v>
      </c>
      <c r="G42" s="29" t="n">
        <v>10000</v>
      </c>
      <c r="H42" s="30" t="n">
        <f aca="false">1.56*G42</f>
        <v>15600</v>
      </c>
      <c r="M42" s="28" t="n">
        <f aca="false">0.56*N42</f>
        <v>14000</v>
      </c>
      <c r="N42" s="29" t="n">
        <v>25000</v>
      </c>
      <c r="O42" s="30" t="n">
        <f aca="false">1.56*N42</f>
        <v>39000</v>
      </c>
    </row>
    <row r="43" customFormat="false" ht="12.8" hidden="false" customHeight="false" outlineLevel="0" collapsed="false">
      <c r="A43" s="0" t="s">
        <v>47</v>
      </c>
      <c r="B43" s="24" t="n">
        <v>41252</v>
      </c>
      <c r="C43" s="25" t="n">
        <v>20600</v>
      </c>
      <c r="D43" s="26" t="n">
        <v>92</v>
      </c>
      <c r="F43" s="24" t="n">
        <v>43502</v>
      </c>
      <c r="G43" s="25" t="n">
        <v>21877</v>
      </c>
      <c r="H43" s="26" t="n">
        <v>134</v>
      </c>
      <c r="M43" s="24" t="n">
        <v>20135</v>
      </c>
      <c r="N43" s="25" t="n">
        <v>10070</v>
      </c>
      <c r="O43" s="26" t="n">
        <v>0</v>
      </c>
    </row>
    <row r="44" customFormat="false" ht="12.8" hidden="false" customHeight="false" outlineLevel="0" collapsed="false">
      <c r="A44" s="0" t="s">
        <v>48</v>
      </c>
      <c r="B44" s="31" t="n">
        <v>13047</v>
      </c>
      <c r="C44" s="31" t="n">
        <v>13354</v>
      </c>
      <c r="D44" s="31" t="n">
        <f aca="false">D43-L43</f>
        <v>92</v>
      </c>
      <c r="F44" s="31" t="n">
        <f aca="false">F43-G43</f>
        <v>21625</v>
      </c>
      <c r="G44" s="31" t="n">
        <f aca="false">G43-H43</f>
        <v>21743</v>
      </c>
      <c r="H44" s="31" t="n">
        <f aca="false">H43-P43</f>
        <v>134</v>
      </c>
      <c r="M44" s="31" t="n">
        <f aca="false">M43-N43</f>
        <v>10065</v>
      </c>
      <c r="N44" s="31" t="n">
        <f aca="false">N43-O43</f>
        <v>10070</v>
      </c>
      <c r="O44" s="31" t="n">
        <f aca="false">O43-B43</f>
        <v>-41252</v>
      </c>
    </row>
    <row r="46" customFormat="false" ht="12.8" hidden="false" customHeight="false" outlineLevel="0" collapsed="false">
      <c r="A46" s="0" t="s">
        <v>49</v>
      </c>
      <c r="B46" s="32" t="n">
        <f aca="false">(1-B44/C44)</f>
        <v>0.0229893664819529</v>
      </c>
      <c r="F46" s="32" t="n">
        <f aca="false">(1-F44/G44)</f>
        <v>0.00542703398795019</v>
      </c>
      <c r="M46" s="32" t="n">
        <f aca="false">(1-M44/N44)</f>
        <v>0.000496524329692161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2025-06-20T09:46:34Z</dcterms:created>
  <dc:creator/>
  <dc:description/>
  <dc:language>en-GB</dc:language>
  <cp:lastModifiedBy/>
  <dcterms:modified xsi:type="dcterms:W3CDTF">2025-06-20T09:47:58Z</dcterms:modified>
  <cp:revision>1</cp:revision>
  <dc:subject/>
  <dc:title/>
</cp:coreProperties>
</file>