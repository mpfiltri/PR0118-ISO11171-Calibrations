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ircuit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<sst xmlns="http://schemas.openxmlformats.org/spreadsheetml/2006/main" count="13" uniqueCount="12">
  <si>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Flow Rate (ml/min)</t>
  </si>
  <si>
    <t>Dynamic Viscosity (cP)</t>
  </si>
  <si>
    <t>Section ID</t>
  </si>
  <si>
    <t>Shape</t>
  </si>
  <si>
    <t>Length (mm)</t>
  </si>
  <si>
    <t>Diameter (mm)</t>
  </si>
  <si>
    <t>Width (mm)</t>
  </si>
  <si>
    <t>Height (mm)</t>
  </si>
  <si>
    <t>ΔP (bar)</t>
  </si>
  <si>
    <t>Cumulative ΔP (bar)</t>
  </si>
  <si>
    <t>Circular</t>
  </si>
  <si>
    <t>Rectangular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</si>
</sst>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sheetData>
    <row r="1" spans="1:8">
      <c r="A1" t="s">
        <v>0</v>
      </c>
      <c r="B1">
        <v>30</v>
      </c>
    </row>
    <row r="2" spans="1:8">
      <c r="A2" t="s">
        <v>1</v>
      </c>
      <c r="B2">
        <v>400</v>
      </c>
    </row>
    <row r="5" spans="1:8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  <c r="G5" t="s">
        <v>8</v>
      </c>
      <c r="H5" t="s">
        <v>9</v>
      </c>
    </row>
    <row r="6" spans="1:8">
      <c r="A6">
        <v>1</v>
      </c>
      <c r="B6" t="s">
        <v>10</v>
      </c>
      <c r="C6">
        <v>100</v>
      </c>
      <c r="D6">
        <v>2</v>
      </c>
      <c r="G6">
        <f>IF(B6="Circular",(128*$B$2*$B$1/1E9*C6)/(PI()*D6^4),IF(B6="Rectangular",(12*$B$2*$B$1/1E9*C6)/(1E-6*E6*F6^3*(1-0.63*F6/E6)),""))</f>
        <v>0</v>
      </c>
      <c r="H6">
        <f>G6</f>
        <v>0</v>
      </c>
    </row>
    <row r="7" spans="1:8">
      <c r="A7">
        <v>2</v>
      </c>
      <c r="B7" t="s">
        <v>11</v>
      </c>
      <c r="C7">
        <v>50</v>
      </c>
      <c r="E7">
        <v>0.75</v>
      </c>
      <c r="F7">
        <v>0.5</v>
      </c>
      <c r="G7">
        <f>IF(B7="Circular",(128*$B$2*$B$1/1E9*C7)/(PI()*D7^4),IF(B7="Rectangular",(12*$B$2*$B$1/1E9*C7)/(1E-6*E7*F7^3*(1-0.63*F7/E7)),""))</f>
        <v>0</v>
      </c>
      <c r="H7">
        <f>G6+G7</f>
        <v>0</v>
      </c>
    </row>
    <row r="8" spans="1:8">
      <c r="A8">
        <v>3</v>
      </c>
      <c r="B8" t="s">
        <v>10</v>
      </c>
      <c r="C8">
        <v>150</v>
      </c>
      <c r="D8">
        <v>1.5</v>
      </c>
      <c r="G8">
        <f>IF(B8="Circular",(128*$B$2*$B$1/1E9*C8)/(PI()*D8^4),IF(B8="Rectangular",(12*$B$2*$B$1/1E9*C8)/(1E-6*E8*F8^3*(1-0.63*F8/E8)),""))</f>
        <v>0</v>
      </c>
      <c r="H8">
        <f>G6+G7+G8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Circuit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2025-07-13T19:40:35Z</dcterms:created>
  <dcterms:modified xsi:type="dcterms:W3CDTF">2025-07-13T19:40:35Z</dcterms:modified>
</cp:coreProperties>
</file>