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1B65BA33-0F9D-44BE-A6AD-D01FE7062559}" xr6:coauthVersionLast="47" xr6:coauthVersionMax="47" xr10:uidLastSave="{00000000-0000-0000-0000-000000000000}"/>
  <bookViews>
    <workbookView xWindow="-98" yWindow="-98" windowWidth="28996" windowHeight="17745" activeTab="1"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2" l="1"/>
  <c r="B5" i="3"/>
  <c r="B5" i="2"/>
  <c r="C8" i="2"/>
  <c r="D8" i="2"/>
  <c r="E8" i="2"/>
  <c r="F8" i="2"/>
  <c r="C9" i="2"/>
  <c r="D9" i="2"/>
  <c r="E9" i="2"/>
  <c r="F9" i="2"/>
  <c r="C10" i="2"/>
  <c r="D10" i="2"/>
  <c r="E10" i="2"/>
  <c r="F10" i="2"/>
  <c r="C11" i="2"/>
  <c r="D11" i="2"/>
  <c r="E11" i="2"/>
  <c r="F11" i="2"/>
  <c r="C12" i="2"/>
  <c r="D12" i="2"/>
  <c r="E12" i="2"/>
  <c r="F12" i="2"/>
  <c r="C13" i="2"/>
  <c r="D13" i="2"/>
  <c r="E13" i="2"/>
  <c r="F13" i="2"/>
  <c r="C14" i="2"/>
  <c r="D14" i="2"/>
  <c r="E14" i="2"/>
  <c r="F14" i="2"/>
  <c r="C15" i="2"/>
  <c r="D15" i="2"/>
  <c r="E15" i="2"/>
  <c r="F15" i="2"/>
  <c r="C16" i="2"/>
  <c r="D16" i="2"/>
  <c r="E16" i="2"/>
  <c r="F16" i="2"/>
  <c r="C17" i="2"/>
  <c r="D17" i="2"/>
  <c r="E17" i="2"/>
  <c r="F17" i="2"/>
  <c r="C18" i="2"/>
  <c r="D18" i="2"/>
  <c r="E18" i="2"/>
  <c r="F18" i="2"/>
  <c r="C19" i="2"/>
  <c r="D19" i="2"/>
  <c r="E19" i="2"/>
  <c r="F19" i="2"/>
  <c r="C20" i="2"/>
  <c r="D20" i="2"/>
  <c r="E20" i="2"/>
  <c r="F20" i="2"/>
  <c r="C21" i="2"/>
  <c r="D21" i="2"/>
  <c r="E21" i="2"/>
  <c r="F21" i="2"/>
  <c r="C22" i="2"/>
  <c r="D22" i="2"/>
  <c r="E22" i="2"/>
  <c r="F22" i="2"/>
  <c r="C23" i="2"/>
  <c r="D23" i="2"/>
  <c r="E23" i="2"/>
  <c r="F23" i="2"/>
  <c r="C24" i="2"/>
  <c r="D24" i="2"/>
  <c r="E24" i="2"/>
  <c r="F24" i="2"/>
  <c r="C25" i="2"/>
  <c r="D25" i="2"/>
  <c r="E25" i="2"/>
  <c r="F25" i="2"/>
  <c r="C26" i="2"/>
  <c r="D26" i="2"/>
  <c r="E26" i="2"/>
  <c r="F26" i="2"/>
  <c r="C27" i="2"/>
  <c r="D27" i="2"/>
  <c r="E27" i="2"/>
  <c r="F27" i="2"/>
  <c r="C28" i="2"/>
  <c r="D28" i="2"/>
  <c r="E28" i="2"/>
  <c r="F28" i="2"/>
  <c r="C29" i="2"/>
  <c r="D29" i="2"/>
  <c r="E29" i="2"/>
  <c r="F29" i="2"/>
  <c r="C30" i="2"/>
  <c r="D30" i="2"/>
  <c r="E30" i="2"/>
  <c r="F30" i="2"/>
  <c r="C31" i="2"/>
  <c r="D31" i="2"/>
  <c r="E31" i="2"/>
  <c r="F31" i="2"/>
  <c r="C32" i="2"/>
  <c r="D32" i="2"/>
  <c r="E32" i="2"/>
  <c r="F32" i="2"/>
  <c r="C33" i="2"/>
  <c r="D33" i="2"/>
  <c r="E33" i="2"/>
  <c r="F33" i="2"/>
  <c r="C34" i="2"/>
  <c r="D34" i="2"/>
  <c r="E34" i="2"/>
  <c r="F34" i="2"/>
  <c r="C35" i="2"/>
  <c r="D35" i="2"/>
  <c r="E35" i="2"/>
  <c r="F35" i="2"/>
  <c r="C36" i="2"/>
  <c r="D36" i="2"/>
  <c r="E36" i="2"/>
  <c r="F36" i="2"/>
  <c r="C37" i="2"/>
  <c r="D37" i="2"/>
  <c r="E37" i="2"/>
  <c r="F37" i="2"/>
  <c r="C38" i="2"/>
  <c r="D38" i="2"/>
  <c r="E38" i="2"/>
  <c r="F38" i="2"/>
  <c r="A23" i="6"/>
  <c r="A24" i="6" s="1"/>
  <c r="A22" i="6"/>
  <c r="A25" i="6" s="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P19" i="1"/>
  <c r="Q19" i="1" s="1"/>
  <c r="P20" i="1"/>
  <c r="Q20" i="1" s="1"/>
  <c r="I18" i="2" l="1"/>
  <c r="G21" i="2"/>
  <c r="B34" i="7"/>
  <c r="A34" i="7"/>
  <c r="B33" i="7"/>
  <c r="B32" i="7"/>
  <c r="B46" i="6"/>
  <c r="M46" i="6"/>
  <c r="O42" i="6"/>
  <c r="M42" i="6"/>
  <c r="H42" i="6"/>
  <c r="F42" i="6"/>
  <c r="D42" i="6"/>
  <c r="B42" i="6"/>
  <c r="G40" i="6"/>
  <c r="A32" i="7" s="1"/>
  <c r="C40" i="6"/>
  <c r="A33" i="7" s="1"/>
  <c r="M30" i="6"/>
  <c r="F30" i="6"/>
  <c r="A30" i="6"/>
  <c r="M13" i="6"/>
  <c r="M14" i="6" s="1"/>
  <c r="M15" i="6" s="1"/>
  <c r="F13" i="6"/>
  <c r="F14" i="6" s="1"/>
  <c r="F15" i="6" s="1"/>
  <c r="A13" i="6"/>
  <c r="A14" i="6" s="1"/>
  <c r="A15" i="6" s="1"/>
  <c r="A17" i="6" s="1"/>
  <c r="A19" i="6" s="1"/>
  <c r="A21" i="6" s="1"/>
  <c r="L3" i="5"/>
  <c r="P82" i="4"/>
  <c r="O82" i="4"/>
  <c r="N82" i="4"/>
  <c r="M82" i="4"/>
  <c r="L82" i="4"/>
  <c r="K82" i="4"/>
  <c r="J82" i="4"/>
  <c r="I82" i="4"/>
  <c r="H82" i="4"/>
  <c r="G82" i="4"/>
  <c r="F82" i="4"/>
  <c r="E82" i="4"/>
  <c r="D82" i="4"/>
  <c r="C82" i="4"/>
  <c r="B82" i="4"/>
  <c r="A82" i="4"/>
  <c r="P81" i="4"/>
  <c r="O81" i="4"/>
  <c r="N81" i="4"/>
  <c r="D37" i="4" s="1"/>
  <c r="M81" i="4"/>
  <c r="C37" i="4" s="1"/>
  <c r="L81" i="4"/>
  <c r="K81" i="4"/>
  <c r="J81" i="4"/>
  <c r="I81" i="4"/>
  <c r="H81" i="4"/>
  <c r="G81" i="4"/>
  <c r="F81" i="4"/>
  <c r="E81" i="4"/>
  <c r="D81" i="4"/>
  <c r="C81" i="4"/>
  <c r="B81" i="4"/>
  <c r="A81" i="4"/>
  <c r="P80" i="4"/>
  <c r="O80" i="4"/>
  <c r="E36" i="4" s="1"/>
  <c r="N80" i="4"/>
  <c r="D36" i="4" s="1"/>
  <c r="M80" i="4"/>
  <c r="L80" i="4"/>
  <c r="K80" i="4"/>
  <c r="J80" i="4"/>
  <c r="I80" i="4"/>
  <c r="H80" i="4"/>
  <c r="G80" i="4"/>
  <c r="F80" i="4"/>
  <c r="E80" i="4"/>
  <c r="D80" i="4"/>
  <c r="C80" i="4"/>
  <c r="B80" i="4"/>
  <c r="A80" i="4"/>
  <c r="P79" i="4"/>
  <c r="O79" i="4"/>
  <c r="E35" i="4" s="1"/>
  <c r="N79" i="4"/>
  <c r="D35" i="4" s="1"/>
  <c r="M79" i="4"/>
  <c r="L79" i="4"/>
  <c r="K79" i="4"/>
  <c r="J79" i="4"/>
  <c r="I79" i="4"/>
  <c r="H79" i="4"/>
  <c r="G79" i="4"/>
  <c r="F79" i="4"/>
  <c r="E79" i="4"/>
  <c r="D79" i="4"/>
  <c r="C79" i="4"/>
  <c r="B79" i="4"/>
  <c r="A79" i="4"/>
  <c r="P78" i="4"/>
  <c r="O78" i="4"/>
  <c r="E34" i="4" s="1"/>
  <c r="N78" i="4"/>
  <c r="D34" i="4" s="1"/>
  <c r="M78" i="4"/>
  <c r="L78" i="4"/>
  <c r="K78" i="4"/>
  <c r="J78" i="4"/>
  <c r="I78" i="4"/>
  <c r="H78" i="4"/>
  <c r="G78" i="4"/>
  <c r="F78" i="4"/>
  <c r="E78" i="4"/>
  <c r="D78" i="4"/>
  <c r="C78" i="4"/>
  <c r="B78" i="4"/>
  <c r="A78" i="4"/>
  <c r="P77" i="4"/>
  <c r="O77" i="4"/>
  <c r="N77" i="4"/>
  <c r="D33" i="4" s="1"/>
  <c r="M77" i="4"/>
  <c r="C33" i="4" s="1"/>
  <c r="L77" i="4"/>
  <c r="K77" i="4"/>
  <c r="J77" i="4"/>
  <c r="I77" i="4"/>
  <c r="H77" i="4"/>
  <c r="G77" i="4"/>
  <c r="F77" i="4"/>
  <c r="E77" i="4"/>
  <c r="D77" i="4"/>
  <c r="C77" i="4"/>
  <c r="B77" i="4"/>
  <c r="A77" i="4"/>
  <c r="P76" i="4"/>
  <c r="O76" i="4"/>
  <c r="N76" i="4"/>
  <c r="D32" i="4" s="1"/>
  <c r="M76" i="4"/>
  <c r="C32" i="4" s="1"/>
  <c r="L76" i="4"/>
  <c r="K76" i="4"/>
  <c r="J76" i="4"/>
  <c r="I76" i="4"/>
  <c r="H76" i="4"/>
  <c r="G76" i="4"/>
  <c r="F76" i="4"/>
  <c r="E76" i="4"/>
  <c r="D76" i="4"/>
  <c r="C76" i="4"/>
  <c r="B76" i="4"/>
  <c r="A76" i="4"/>
  <c r="P75" i="4"/>
  <c r="O75" i="4"/>
  <c r="N75" i="4"/>
  <c r="D31" i="4" s="1"/>
  <c r="M75" i="4"/>
  <c r="C31" i="4" s="1"/>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D29" i="4" s="1"/>
  <c r="M73" i="4"/>
  <c r="L73" i="4"/>
  <c r="K73" i="4"/>
  <c r="J73" i="4"/>
  <c r="I73" i="4"/>
  <c r="H73" i="4"/>
  <c r="G73" i="4"/>
  <c r="F73" i="4"/>
  <c r="E73" i="4"/>
  <c r="D73" i="4"/>
  <c r="C73" i="4"/>
  <c r="B73" i="4"/>
  <c r="A73" i="4"/>
  <c r="P72" i="4"/>
  <c r="O72" i="4"/>
  <c r="N72" i="4"/>
  <c r="M72" i="4"/>
  <c r="C28" i="4" s="1"/>
  <c r="L72" i="4"/>
  <c r="K72" i="4"/>
  <c r="J72" i="4"/>
  <c r="I72" i="4"/>
  <c r="H72" i="4"/>
  <c r="G72" i="4"/>
  <c r="F72" i="4"/>
  <c r="E72" i="4"/>
  <c r="D72" i="4"/>
  <c r="C72" i="4"/>
  <c r="B72" i="4"/>
  <c r="A72" i="4"/>
  <c r="P71" i="4"/>
  <c r="O71" i="4"/>
  <c r="E27" i="4" s="1"/>
  <c r="N71" i="4"/>
  <c r="M71" i="4"/>
  <c r="C27" i="4" s="1"/>
  <c r="L71" i="4"/>
  <c r="K71" i="4"/>
  <c r="J71" i="4"/>
  <c r="I71" i="4"/>
  <c r="H71" i="4"/>
  <c r="G71" i="4"/>
  <c r="F71" i="4"/>
  <c r="E71" i="4"/>
  <c r="D71" i="4"/>
  <c r="C71" i="4"/>
  <c r="B71" i="4"/>
  <c r="A71" i="4"/>
  <c r="P70" i="4"/>
  <c r="O70" i="4"/>
  <c r="N70" i="4"/>
  <c r="M70" i="4"/>
  <c r="C26" i="4" s="1"/>
  <c r="L70" i="4"/>
  <c r="K70" i="4"/>
  <c r="J70" i="4"/>
  <c r="I70" i="4"/>
  <c r="H70" i="4"/>
  <c r="G70" i="4"/>
  <c r="F70" i="4"/>
  <c r="E70" i="4"/>
  <c r="D70" i="4"/>
  <c r="C70" i="4"/>
  <c r="B70" i="4"/>
  <c r="A70" i="4"/>
  <c r="P69" i="4"/>
  <c r="O69" i="4"/>
  <c r="N69" i="4"/>
  <c r="D25" i="4" s="1"/>
  <c r="M69" i="4"/>
  <c r="L69" i="4"/>
  <c r="K69" i="4"/>
  <c r="J69" i="4"/>
  <c r="I69" i="4"/>
  <c r="H69" i="4"/>
  <c r="G69" i="4"/>
  <c r="F69" i="4"/>
  <c r="E69" i="4"/>
  <c r="D69" i="4"/>
  <c r="C69" i="4"/>
  <c r="B69" i="4"/>
  <c r="A69" i="4"/>
  <c r="P68" i="4"/>
  <c r="O68" i="4"/>
  <c r="N68" i="4"/>
  <c r="M68" i="4"/>
  <c r="L68" i="4"/>
  <c r="B24" i="4" s="1"/>
  <c r="K68" i="4"/>
  <c r="J68" i="4"/>
  <c r="I68" i="4"/>
  <c r="H68" i="4"/>
  <c r="G68" i="4"/>
  <c r="F68" i="4"/>
  <c r="E68" i="4"/>
  <c r="D68" i="4"/>
  <c r="C68" i="4"/>
  <c r="B68" i="4"/>
  <c r="A68" i="4"/>
  <c r="P67" i="4"/>
  <c r="O67" i="4"/>
  <c r="N67" i="4"/>
  <c r="M67" i="4"/>
  <c r="C23" i="4" s="1"/>
  <c r="L67" i="4"/>
  <c r="B23" i="4" s="1"/>
  <c r="K67" i="4"/>
  <c r="J67" i="4"/>
  <c r="I67" i="4"/>
  <c r="H67" i="4"/>
  <c r="G67" i="4"/>
  <c r="F67" i="4"/>
  <c r="E67" i="4"/>
  <c r="D67" i="4"/>
  <c r="C67" i="4"/>
  <c r="B67" i="4"/>
  <c r="A67" i="4"/>
  <c r="P66" i="4"/>
  <c r="O66" i="4"/>
  <c r="E22" i="4" s="1"/>
  <c r="N66" i="4"/>
  <c r="D22" i="4" s="1"/>
  <c r="M66" i="4"/>
  <c r="C22" i="4" s="1"/>
  <c r="L66" i="4"/>
  <c r="B22" i="4" s="1"/>
  <c r="K66" i="4"/>
  <c r="J66" i="4"/>
  <c r="I66" i="4"/>
  <c r="H66" i="4"/>
  <c r="G66" i="4"/>
  <c r="F66" i="4"/>
  <c r="E66" i="4"/>
  <c r="D66" i="4"/>
  <c r="C66" i="4"/>
  <c r="B66" i="4"/>
  <c r="A66" i="4"/>
  <c r="P65" i="4"/>
  <c r="O65" i="4"/>
  <c r="N65" i="4"/>
  <c r="D21" i="4" s="1"/>
  <c r="M65" i="4"/>
  <c r="C21" i="4" s="1"/>
  <c r="L65" i="4"/>
  <c r="B21" i="4" s="1"/>
  <c r="K65" i="4"/>
  <c r="J65" i="4"/>
  <c r="I65" i="4"/>
  <c r="H65" i="4"/>
  <c r="G65" i="4"/>
  <c r="F65" i="4"/>
  <c r="E65" i="4"/>
  <c r="D65" i="4"/>
  <c r="C65" i="4"/>
  <c r="B65" i="4"/>
  <c r="A65" i="4"/>
  <c r="P64" i="4"/>
  <c r="O64" i="4"/>
  <c r="N64" i="4"/>
  <c r="M64" i="4"/>
  <c r="C20" i="4" s="1"/>
  <c r="L64" i="4"/>
  <c r="K64" i="4"/>
  <c r="J64" i="4"/>
  <c r="I64" i="4"/>
  <c r="H64" i="4"/>
  <c r="G64" i="4"/>
  <c r="F64" i="4"/>
  <c r="E64" i="4"/>
  <c r="D64" i="4"/>
  <c r="C64" i="4"/>
  <c r="B64" i="4"/>
  <c r="A64" i="4"/>
  <c r="P63" i="4"/>
  <c r="O63" i="4"/>
  <c r="N63" i="4"/>
  <c r="D19" i="4" s="1"/>
  <c r="M63" i="4"/>
  <c r="L63" i="4"/>
  <c r="K63" i="4"/>
  <c r="J63" i="4"/>
  <c r="I63" i="4"/>
  <c r="H63" i="4"/>
  <c r="G63" i="4"/>
  <c r="F63" i="4"/>
  <c r="E63" i="4"/>
  <c r="D63" i="4"/>
  <c r="C63" i="4"/>
  <c r="B63" i="4"/>
  <c r="A63" i="4"/>
  <c r="P62" i="4"/>
  <c r="O62" i="4"/>
  <c r="N62" i="4"/>
  <c r="D18" i="4" s="1"/>
  <c r="M62" i="4"/>
  <c r="L62" i="4"/>
  <c r="K62" i="4"/>
  <c r="J62" i="4"/>
  <c r="I62" i="4"/>
  <c r="H62" i="4"/>
  <c r="G62" i="4"/>
  <c r="F62" i="4"/>
  <c r="E62" i="4"/>
  <c r="D62" i="4"/>
  <c r="C62" i="4"/>
  <c r="B62" i="4"/>
  <c r="A62" i="4"/>
  <c r="P61" i="4"/>
  <c r="O61" i="4"/>
  <c r="N61" i="4"/>
  <c r="D17" i="4" s="1"/>
  <c r="M61" i="4"/>
  <c r="L61" i="4"/>
  <c r="B17" i="4" s="1"/>
  <c r="K61" i="4"/>
  <c r="J61" i="4"/>
  <c r="I61" i="4"/>
  <c r="H61" i="4"/>
  <c r="G61" i="4"/>
  <c r="F61" i="4"/>
  <c r="E61" i="4"/>
  <c r="D61" i="4"/>
  <c r="C61" i="4"/>
  <c r="B61" i="4"/>
  <c r="A61" i="4"/>
  <c r="P60" i="4"/>
  <c r="O60" i="4"/>
  <c r="E16" i="4" s="1"/>
  <c r="N60" i="4"/>
  <c r="M60" i="4"/>
  <c r="C16" i="4" s="1"/>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D14" i="4" s="1"/>
  <c r="M58" i="4"/>
  <c r="C14" i="4" s="1"/>
  <c r="L58" i="4"/>
  <c r="K58" i="4"/>
  <c r="J58" i="4"/>
  <c r="I58" i="4"/>
  <c r="H58" i="4"/>
  <c r="G58" i="4"/>
  <c r="F58" i="4"/>
  <c r="E58" i="4"/>
  <c r="D58" i="4"/>
  <c r="C58" i="4"/>
  <c r="B58" i="4"/>
  <c r="A58" i="4"/>
  <c r="P57" i="4"/>
  <c r="O57" i="4"/>
  <c r="N57" i="4"/>
  <c r="M57" i="4"/>
  <c r="C13" i="4" s="1"/>
  <c r="L57" i="4"/>
  <c r="K57" i="4"/>
  <c r="J57" i="4"/>
  <c r="I57" i="4"/>
  <c r="H57" i="4"/>
  <c r="G57" i="4"/>
  <c r="F57" i="4"/>
  <c r="E57" i="4"/>
  <c r="D57" i="4"/>
  <c r="C57" i="4"/>
  <c r="B57" i="4"/>
  <c r="A57" i="4"/>
  <c r="P56" i="4"/>
  <c r="O56" i="4"/>
  <c r="N56" i="4"/>
  <c r="D12" i="4" s="1"/>
  <c r="M56" i="4"/>
  <c r="C12" i="4" s="1"/>
  <c r="L56" i="4"/>
  <c r="K56" i="4"/>
  <c r="J56" i="4"/>
  <c r="I56" i="4"/>
  <c r="H56" i="4"/>
  <c r="G56" i="4"/>
  <c r="F56" i="4"/>
  <c r="E56" i="4"/>
  <c r="D56" i="4"/>
  <c r="C56" i="4"/>
  <c r="B56" i="4"/>
  <c r="A56" i="4"/>
  <c r="P55" i="4"/>
  <c r="O55" i="4"/>
  <c r="N55" i="4"/>
  <c r="D11" i="4" s="1"/>
  <c r="M55" i="4"/>
  <c r="C11" i="4" s="1"/>
  <c r="L55" i="4"/>
  <c r="K55" i="4"/>
  <c r="J55" i="4"/>
  <c r="I55" i="4"/>
  <c r="H55" i="4"/>
  <c r="G55" i="4"/>
  <c r="F55" i="4"/>
  <c r="E55" i="4"/>
  <c r="D55" i="4"/>
  <c r="C55" i="4"/>
  <c r="B55" i="4"/>
  <c r="A55" i="4"/>
  <c r="P54" i="4"/>
  <c r="O54" i="4"/>
  <c r="E10" i="4" s="1"/>
  <c r="N54" i="4"/>
  <c r="D10" i="4" s="1"/>
  <c r="M54" i="4"/>
  <c r="C10" i="4" s="1"/>
  <c r="L54" i="4"/>
  <c r="B10" i="4" s="1"/>
  <c r="K54" i="4"/>
  <c r="J54" i="4"/>
  <c r="I54" i="4"/>
  <c r="H54" i="4"/>
  <c r="G54" i="4"/>
  <c r="F54" i="4"/>
  <c r="E54" i="4"/>
  <c r="D54" i="4"/>
  <c r="C54" i="4"/>
  <c r="B54" i="4"/>
  <c r="A54" i="4"/>
  <c r="P53" i="4"/>
  <c r="O53" i="4"/>
  <c r="N53" i="4"/>
  <c r="D9" i="4" s="1"/>
  <c r="M53" i="4"/>
  <c r="C9" i="4" s="1"/>
  <c r="L53" i="4"/>
  <c r="K53" i="4"/>
  <c r="J53" i="4"/>
  <c r="I53" i="4"/>
  <c r="H53" i="4"/>
  <c r="G53" i="4"/>
  <c r="F53" i="4"/>
  <c r="E53" i="4"/>
  <c r="D53" i="4"/>
  <c r="C53" i="4"/>
  <c r="B53" i="4"/>
  <c r="A53" i="4"/>
  <c r="P52" i="4"/>
  <c r="O52" i="4"/>
  <c r="E8" i="4" s="1"/>
  <c r="N52" i="4"/>
  <c r="D8" i="4" s="1"/>
  <c r="M52" i="4"/>
  <c r="C8" i="4" s="1"/>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S38" i="4"/>
  <c r="E38" i="4"/>
  <c r="D38" i="4"/>
  <c r="C38" i="4"/>
  <c r="B38" i="4"/>
  <c r="S37" i="4"/>
  <c r="E37" i="4"/>
  <c r="B37" i="4"/>
  <c r="P36" i="4"/>
  <c r="B36" i="4"/>
  <c r="P35" i="4"/>
  <c r="B35" i="4"/>
  <c r="C34" i="4"/>
  <c r="B34" i="4"/>
  <c r="E33" i="4"/>
  <c r="B33" i="4"/>
  <c r="E32" i="4"/>
  <c r="B32" i="4"/>
  <c r="E31" i="4"/>
  <c r="B31" i="4"/>
  <c r="E30" i="4"/>
  <c r="D30" i="4"/>
  <c r="C30" i="4"/>
  <c r="B30" i="4"/>
  <c r="E29" i="4"/>
  <c r="C29" i="4"/>
  <c r="B29" i="4"/>
  <c r="E28" i="4"/>
  <c r="D28" i="4"/>
  <c r="B28" i="4"/>
  <c r="D27" i="4"/>
  <c r="B27" i="4"/>
  <c r="E26" i="4"/>
  <c r="D26" i="4"/>
  <c r="B26" i="4"/>
  <c r="E25" i="4"/>
  <c r="C25" i="4"/>
  <c r="B25" i="4"/>
  <c r="E24" i="4"/>
  <c r="D24" i="4"/>
  <c r="C24" i="4"/>
  <c r="E23" i="4"/>
  <c r="D23" i="4"/>
  <c r="E21" i="4"/>
  <c r="E20" i="4"/>
  <c r="D20" i="4"/>
  <c r="B20" i="4"/>
  <c r="E19" i="4"/>
  <c r="C19" i="4"/>
  <c r="B19" i="4"/>
  <c r="E18" i="4"/>
  <c r="C18" i="4"/>
  <c r="B18" i="4"/>
  <c r="E17" i="4"/>
  <c r="C17" i="4"/>
  <c r="D16" i="4"/>
  <c r="B16" i="4"/>
  <c r="E15" i="4"/>
  <c r="D15" i="4"/>
  <c r="C15" i="4"/>
  <c r="B15" i="4"/>
  <c r="E14" i="4"/>
  <c r="B14" i="4"/>
  <c r="E13" i="4"/>
  <c r="D13" i="4"/>
  <c r="B13" i="4"/>
  <c r="E12" i="4"/>
  <c r="B12" i="4"/>
  <c r="E11" i="4"/>
  <c r="B11" i="4"/>
  <c r="E9" i="4"/>
  <c r="B9" i="4"/>
  <c r="B8" i="4"/>
  <c r="B5" i="4"/>
  <c r="A5" i="4"/>
  <c r="B4" i="4"/>
  <c r="A4" i="4"/>
  <c r="B3" i="4"/>
  <c r="A3" i="4"/>
  <c r="A1" i="4"/>
  <c r="P82" i="3"/>
  <c r="O82" i="3"/>
  <c r="N82" i="3"/>
  <c r="M82" i="3"/>
  <c r="L82" i="3"/>
  <c r="K82" i="3"/>
  <c r="J82" i="3"/>
  <c r="E38" i="3" s="1"/>
  <c r="I82" i="3"/>
  <c r="D38" i="3" s="1"/>
  <c r="H82" i="3"/>
  <c r="C38" i="3" s="1"/>
  <c r="G82" i="3"/>
  <c r="B38" i="3" s="1"/>
  <c r="F82" i="3"/>
  <c r="E82" i="3"/>
  <c r="D82" i="3"/>
  <c r="C82" i="3"/>
  <c r="B82" i="3"/>
  <c r="A82" i="3"/>
  <c r="P81" i="3"/>
  <c r="O81" i="3"/>
  <c r="N81" i="3"/>
  <c r="M81" i="3"/>
  <c r="L81" i="3"/>
  <c r="K81" i="3"/>
  <c r="J81" i="3"/>
  <c r="E37" i="3" s="1"/>
  <c r="I81" i="3"/>
  <c r="D37" i="3" s="1"/>
  <c r="H81" i="3"/>
  <c r="C37" i="3" s="1"/>
  <c r="G81" i="3"/>
  <c r="B37" i="3" s="1"/>
  <c r="F81" i="3"/>
  <c r="E81" i="3"/>
  <c r="D81" i="3"/>
  <c r="C81" i="3"/>
  <c r="B81" i="3"/>
  <c r="A81" i="3"/>
  <c r="P80" i="3"/>
  <c r="O80" i="3"/>
  <c r="N80" i="3"/>
  <c r="M80" i="3"/>
  <c r="L80" i="3"/>
  <c r="K80" i="3"/>
  <c r="J80" i="3"/>
  <c r="E36" i="3" s="1"/>
  <c r="I80" i="3"/>
  <c r="D36" i="3" s="1"/>
  <c r="H80" i="3"/>
  <c r="C36" i="3" s="1"/>
  <c r="G80" i="3"/>
  <c r="B36" i="3" s="1"/>
  <c r="F80" i="3"/>
  <c r="E80" i="3"/>
  <c r="D80" i="3"/>
  <c r="C80" i="3"/>
  <c r="B80" i="3"/>
  <c r="A80" i="3"/>
  <c r="P79" i="3"/>
  <c r="O79" i="3"/>
  <c r="N79" i="3"/>
  <c r="M79" i="3"/>
  <c r="L79" i="3"/>
  <c r="K79" i="3"/>
  <c r="J79" i="3"/>
  <c r="E35" i="3" s="1"/>
  <c r="I79" i="3"/>
  <c r="D35" i="3" s="1"/>
  <c r="H79" i="3"/>
  <c r="C35" i="3" s="1"/>
  <c r="G79" i="3"/>
  <c r="B35" i="3" s="1"/>
  <c r="F79" i="3"/>
  <c r="E79" i="3"/>
  <c r="D79" i="3"/>
  <c r="C79" i="3"/>
  <c r="B79" i="3"/>
  <c r="A79" i="3"/>
  <c r="P78" i="3"/>
  <c r="O78" i="3"/>
  <c r="N78" i="3"/>
  <c r="M78" i="3"/>
  <c r="L78" i="3"/>
  <c r="K78" i="3"/>
  <c r="J78" i="3"/>
  <c r="E34" i="3" s="1"/>
  <c r="I78" i="3"/>
  <c r="D34" i="3" s="1"/>
  <c r="H78" i="3"/>
  <c r="C34" i="3" s="1"/>
  <c r="G78" i="3"/>
  <c r="B34" i="3" s="1"/>
  <c r="F78" i="3"/>
  <c r="E78" i="3"/>
  <c r="D78" i="3"/>
  <c r="C78" i="3"/>
  <c r="B78" i="3"/>
  <c r="A78" i="3"/>
  <c r="P77" i="3"/>
  <c r="O77" i="3"/>
  <c r="N77" i="3"/>
  <c r="M77" i="3"/>
  <c r="L77" i="3"/>
  <c r="K77" i="3"/>
  <c r="J77" i="3"/>
  <c r="E33" i="3" s="1"/>
  <c r="I77" i="3"/>
  <c r="D33" i="3" s="1"/>
  <c r="H77" i="3"/>
  <c r="C33" i="3" s="1"/>
  <c r="G77" i="3"/>
  <c r="B33" i="3" s="1"/>
  <c r="F77" i="3"/>
  <c r="E77" i="3"/>
  <c r="D77" i="3"/>
  <c r="C77" i="3"/>
  <c r="B77" i="3"/>
  <c r="A77" i="3"/>
  <c r="P76" i="3"/>
  <c r="O76" i="3"/>
  <c r="N76" i="3"/>
  <c r="M76" i="3"/>
  <c r="L76" i="3"/>
  <c r="K76" i="3"/>
  <c r="J76" i="3"/>
  <c r="E32" i="3" s="1"/>
  <c r="I76" i="3"/>
  <c r="D32" i="3" s="1"/>
  <c r="H76" i="3"/>
  <c r="C32" i="3" s="1"/>
  <c r="G76" i="3"/>
  <c r="B32" i="3" s="1"/>
  <c r="F76" i="3"/>
  <c r="E76" i="3"/>
  <c r="D76" i="3"/>
  <c r="C76" i="3"/>
  <c r="B76" i="3"/>
  <c r="A76" i="3"/>
  <c r="P75" i="3"/>
  <c r="O75" i="3"/>
  <c r="N75" i="3"/>
  <c r="M75" i="3"/>
  <c r="L75" i="3"/>
  <c r="K75" i="3"/>
  <c r="J75" i="3"/>
  <c r="E31" i="3" s="1"/>
  <c r="I75" i="3"/>
  <c r="D31" i="3" s="1"/>
  <c r="H75" i="3"/>
  <c r="C31" i="3" s="1"/>
  <c r="G75" i="3"/>
  <c r="B31" i="3" s="1"/>
  <c r="F75" i="3"/>
  <c r="E75" i="3"/>
  <c r="D75" i="3"/>
  <c r="C75" i="3"/>
  <c r="B75" i="3"/>
  <c r="A75" i="3"/>
  <c r="P74" i="3"/>
  <c r="O74" i="3"/>
  <c r="N74" i="3"/>
  <c r="M74" i="3"/>
  <c r="L74" i="3"/>
  <c r="K74" i="3"/>
  <c r="J74" i="3"/>
  <c r="E30" i="3" s="1"/>
  <c r="I74" i="3"/>
  <c r="D30" i="3" s="1"/>
  <c r="H74" i="3"/>
  <c r="C30" i="3" s="1"/>
  <c r="G74" i="3"/>
  <c r="B30" i="3" s="1"/>
  <c r="F74" i="3"/>
  <c r="E74" i="3"/>
  <c r="D74" i="3"/>
  <c r="C74" i="3"/>
  <c r="B74" i="3"/>
  <c r="A74" i="3"/>
  <c r="P73" i="3"/>
  <c r="O73" i="3"/>
  <c r="N73" i="3"/>
  <c r="M73" i="3"/>
  <c r="L73" i="3"/>
  <c r="K73" i="3"/>
  <c r="J73" i="3"/>
  <c r="E29" i="3" s="1"/>
  <c r="I73" i="3"/>
  <c r="D29" i="3" s="1"/>
  <c r="H73" i="3"/>
  <c r="C29" i="3" s="1"/>
  <c r="G73" i="3"/>
  <c r="B29" i="3" s="1"/>
  <c r="F73" i="3"/>
  <c r="E73" i="3"/>
  <c r="D73" i="3"/>
  <c r="C73" i="3"/>
  <c r="B73" i="3"/>
  <c r="A73" i="3"/>
  <c r="P72" i="3"/>
  <c r="O72" i="3"/>
  <c r="N72" i="3"/>
  <c r="M72" i="3"/>
  <c r="L72" i="3"/>
  <c r="K72" i="3"/>
  <c r="J72" i="3"/>
  <c r="E28" i="3" s="1"/>
  <c r="I72" i="3"/>
  <c r="D28" i="3" s="1"/>
  <c r="H72" i="3"/>
  <c r="C28" i="3" s="1"/>
  <c r="G72" i="3"/>
  <c r="B28" i="3" s="1"/>
  <c r="F72" i="3"/>
  <c r="E72" i="3"/>
  <c r="D72" i="3"/>
  <c r="C72" i="3"/>
  <c r="B72" i="3"/>
  <c r="A72" i="3"/>
  <c r="P71" i="3"/>
  <c r="O71" i="3"/>
  <c r="N71" i="3"/>
  <c r="M71" i="3"/>
  <c r="L71" i="3"/>
  <c r="K71" i="3"/>
  <c r="J71" i="3"/>
  <c r="E27" i="3" s="1"/>
  <c r="I71" i="3"/>
  <c r="D27" i="3" s="1"/>
  <c r="H71" i="3"/>
  <c r="C27" i="3" s="1"/>
  <c r="G71" i="3"/>
  <c r="B27" i="3" s="1"/>
  <c r="F71" i="3"/>
  <c r="E71" i="3"/>
  <c r="D71" i="3"/>
  <c r="C71" i="3"/>
  <c r="B71" i="3"/>
  <c r="A71" i="3"/>
  <c r="P70" i="3"/>
  <c r="O70" i="3"/>
  <c r="N70" i="3"/>
  <c r="M70" i="3"/>
  <c r="L70" i="3"/>
  <c r="K70" i="3"/>
  <c r="J70" i="3"/>
  <c r="E26" i="3" s="1"/>
  <c r="I70" i="3"/>
  <c r="D26" i="3" s="1"/>
  <c r="H70" i="3"/>
  <c r="C26" i="3" s="1"/>
  <c r="G70" i="3"/>
  <c r="B26" i="3" s="1"/>
  <c r="F70" i="3"/>
  <c r="E70" i="3"/>
  <c r="D70" i="3"/>
  <c r="C70" i="3"/>
  <c r="B70" i="3"/>
  <c r="A70" i="3"/>
  <c r="P69" i="3"/>
  <c r="O69" i="3"/>
  <c r="N69" i="3"/>
  <c r="M69" i="3"/>
  <c r="L69" i="3"/>
  <c r="K69" i="3"/>
  <c r="J69" i="3"/>
  <c r="E25" i="3" s="1"/>
  <c r="I69" i="3"/>
  <c r="D25" i="3" s="1"/>
  <c r="H69" i="3"/>
  <c r="C25" i="3" s="1"/>
  <c r="G69" i="3"/>
  <c r="B25" i="3" s="1"/>
  <c r="F69" i="3"/>
  <c r="E69" i="3"/>
  <c r="D69" i="3"/>
  <c r="C69" i="3"/>
  <c r="B69" i="3"/>
  <c r="A69" i="3"/>
  <c r="P68" i="3"/>
  <c r="O68" i="3"/>
  <c r="N68" i="3"/>
  <c r="M68" i="3"/>
  <c r="L68" i="3"/>
  <c r="K68" i="3"/>
  <c r="J68" i="3"/>
  <c r="E24" i="3" s="1"/>
  <c r="I68" i="3"/>
  <c r="D24" i="3" s="1"/>
  <c r="H68" i="3"/>
  <c r="C24" i="3" s="1"/>
  <c r="G68" i="3"/>
  <c r="B24" i="3" s="1"/>
  <c r="F68" i="3"/>
  <c r="E68" i="3"/>
  <c r="D68" i="3"/>
  <c r="C68" i="3"/>
  <c r="B68" i="3"/>
  <c r="A68" i="3"/>
  <c r="P67" i="3"/>
  <c r="O67" i="3"/>
  <c r="N67" i="3"/>
  <c r="M67" i="3"/>
  <c r="L67" i="3"/>
  <c r="K67" i="3"/>
  <c r="J67" i="3"/>
  <c r="E23" i="3" s="1"/>
  <c r="I67" i="3"/>
  <c r="D23" i="3" s="1"/>
  <c r="H67" i="3"/>
  <c r="C23" i="3" s="1"/>
  <c r="G67" i="3"/>
  <c r="B23" i="3" s="1"/>
  <c r="F67" i="3"/>
  <c r="E67" i="3"/>
  <c r="D67" i="3"/>
  <c r="C67" i="3"/>
  <c r="B67" i="3"/>
  <c r="A67" i="3"/>
  <c r="P66" i="3"/>
  <c r="O66" i="3"/>
  <c r="N66" i="3"/>
  <c r="M66" i="3"/>
  <c r="L66" i="3"/>
  <c r="K66" i="3"/>
  <c r="J66" i="3"/>
  <c r="E22" i="3" s="1"/>
  <c r="I66" i="3"/>
  <c r="D22" i="3" s="1"/>
  <c r="H66" i="3"/>
  <c r="C22" i="3" s="1"/>
  <c r="G66" i="3"/>
  <c r="B22" i="3" s="1"/>
  <c r="F66" i="3"/>
  <c r="E66" i="3"/>
  <c r="D66" i="3"/>
  <c r="C66" i="3"/>
  <c r="B66" i="3"/>
  <c r="A66" i="3"/>
  <c r="P65" i="3"/>
  <c r="O65" i="3"/>
  <c r="N65" i="3"/>
  <c r="M65" i="3"/>
  <c r="L65" i="3"/>
  <c r="K65" i="3"/>
  <c r="J65" i="3"/>
  <c r="E21" i="3" s="1"/>
  <c r="I65" i="3"/>
  <c r="D21" i="3" s="1"/>
  <c r="H65" i="3"/>
  <c r="C21" i="3" s="1"/>
  <c r="G65" i="3"/>
  <c r="B21" i="3" s="1"/>
  <c r="F65" i="3"/>
  <c r="E65" i="3"/>
  <c r="D65" i="3"/>
  <c r="C65" i="3"/>
  <c r="B65" i="3"/>
  <c r="A65" i="3"/>
  <c r="P64" i="3"/>
  <c r="O64" i="3"/>
  <c r="N64" i="3"/>
  <c r="M64" i="3"/>
  <c r="L64" i="3"/>
  <c r="K64" i="3"/>
  <c r="J64" i="3"/>
  <c r="E20" i="3" s="1"/>
  <c r="I64" i="3"/>
  <c r="D20" i="3" s="1"/>
  <c r="H64" i="3"/>
  <c r="C20" i="3" s="1"/>
  <c r="G64" i="3"/>
  <c r="B20" i="3" s="1"/>
  <c r="F64" i="3"/>
  <c r="E64" i="3"/>
  <c r="D64" i="3"/>
  <c r="C64" i="3"/>
  <c r="B64" i="3"/>
  <c r="A64" i="3"/>
  <c r="P63" i="3"/>
  <c r="O63" i="3"/>
  <c r="N63" i="3"/>
  <c r="M63" i="3"/>
  <c r="L63" i="3"/>
  <c r="K63" i="3"/>
  <c r="J63" i="3"/>
  <c r="E19" i="3" s="1"/>
  <c r="I63" i="3"/>
  <c r="D19" i="3" s="1"/>
  <c r="H63" i="3"/>
  <c r="C19" i="3" s="1"/>
  <c r="G63" i="3"/>
  <c r="B19" i="3" s="1"/>
  <c r="F63" i="3"/>
  <c r="E63" i="3"/>
  <c r="D63" i="3"/>
  <c r="C63" i="3"/>
  <c r="B63" i="3"/>
  <c r="A63" i="3"/>
  <c r="P62" i="3"/>
  <c r="O62" i="3"/>
  <c r="N62" i="3"/>
  <c r="M62" i="3"/>
  <c r="L62" i="3"/>
  <c r="K62" i="3"/>
  <c r="J62" i="3"/>
  <c r="E18" i="3" s="1"/>
  <c r="I62" i="3"/>
  <c r="D18" i="3" s="1"/>
  <c r="H62" i="3"/>
  <c r="C18" i="3" s="1"/>
  <c r="G62" i="3"/>
  <c r="B18" i="3" s="1"/>
  <c r="F62" i="3"/>
  <c r="E62" i="3"/>
  <c r="D62" i="3"/>
  <c r="C62" i="3"/>
  <c r="B62" i="3"/>
  <c r="A62" i="3"/>
  <c r="P61" i="3"/>
  <c r="O61" i="3"/>
  <c r="N61" i="3"/>
  <c r="M61" i="3"/>
  <c r="L61" i="3"/>
  <c r="K61" i="3"/>
  <c r="J61" i="3"/>
  <c r="E17" i="3" s="1"/>
  <c r="I61" i="3"/>
  <c r="D17" i="3" s="1"/>
  <c r="H61" i="3"/>
  <c r="C17" i="3" s="1"/>
  <c r="G61" i="3"/>
  <c r="B17" i="3" s="1"/>
  <c r="F61" i="3"/>
  <c r="E61" i="3"/>
  <c r="D61" i="3"/>
  <c r="C61" i="3"/>
  <c r="B61" i="3"/>
  <c r="A61" i="3"/>
  <c r="P60" i="3"/>
  <c r="O60" i="3"/>
  <c r="N60" i="3"/>
  <c r="M60" i="3"/>
  <c r="L60" i="3"/>
  <c r="K60" i="3"/>
  <c r="J60" i="3"/>
  <c r="E16" i="3" s="1"/>
  <c r="I60" i="3"/>
  <c r="D16" i="3" s="1"/>
  <c r="H60" i="3"/>
  <c r="C16" i="3" s="1"/>
  <c r="G60" i="3"/>
  <c r="B16" i="3" s="1"/>
  <c r="F60" i="3"/>
  <c r="E60" i="3"/>
  <c r="D60" i="3"/>
  <c r="C60" i="3"/>
  <c r="B60" i="3"/>
  <c r="A60" i="3"/>
  <c r="P59" i="3"/>
  <c r="O59" i="3"/>
  <c r="N59" i="3"/>
  <c r="M59" i="3"/>
  <c r="L59" i="3"/>
  <c r="K59" i="3"/>
  <c r="J59" i="3"/>
  <c r="E15" i="3" s="1"/>
  <c r="I59" i="3"/>
  <c r="D15" i="3" s="1"/>
  <c r="H59" i="3"/>
  <c r="C15" i="3" s="1"/>
  <c r="G59" i="3"/>
  <c r="B15" i="3" s="1"/>
  <c r="F59" i="3"/>
  <c r="E59" i="3"/>
  <c r="D59" i="3"/>
  <c r="C59" i="3"/>
  <c r="B59" i="3"/>
  <c r="A59" i="3"/>
  <c r="P58" i="3"/>
  <c r="O58" i="3"/>
  <c r="N58" i="3"/>
  <c r="M58" i="3"/>
  <c r="L58" i="3"/>
  <c r="K58" i="3"/>
  <c r="J58" i="3"/>
  <c r="E14" i="3" s="1"/>
  <c r="I58" i="3"/>
  <c r="D14" i="3" s="1"/>
  <c r="H58" i="3"/>
  <c r="C14" i="3" s="1"/>
  <c r="G58" i="3"/>
  <c r="B14" i="3" s="1"/>
  <c r="F58" i="3"/>
  <c r="E58" i="3"/>
  <c r="D58" i="3"/>
  <c r="C58" i="3"/>
  <c r="B58" i="3"/>
  <c r="A58" i="3"/>
  <c r="P57" i="3"/>
  <c r="O57" i="3"/>
  <c r="N57" i="3"/>
  <c r="M57" i="3"/>
  <c r="L57" i="3"/>
  <c r="K57" i="3"/>
  <c r="J57" i="3"/>
  <c r="E13" i="3" s="1"/>
  <c r="I57" i="3"/>
  <c r="D13" i="3" s="1"/>
  <c r="H57" i="3"/>
  <c r="C13" i="3" s="1"/>
  <c r="G57" i="3"/>
  <c r="B13" i="3" s="1"/>
  <c r="F57" i="3"/>
  <c r="E57" i="3"/>
  <c r="D57" i="3"/>
  <c r="C57" i="3"/>
  <c r="B57" i="3"/>
  <c r="A57" i="3"/>
  <c r="P56" i="3"/>
  <c r="O56" i="3"/>
  <c r="N56" i="3"/>
  <c r="M56" i="3"/>
  <c r="L56" i="3"/>
  <c r="K56" i="3"/>
  <c r="J56" i="3"/>
  <c r="E12" i="3" s="1"/>
  <c r="I56" i="3"/>
  <c r="D12" i="3" s="1"/>
  <c r="H56" i="3"/>
  <c r="C12" i="3" s="1"/>
  <c r="G56" i="3"/>
  <c r="B12" i="3" s="1"/>
  <c r="F56" i="3"/>
  <c r="E56" i="3"/>
  <c r="D56" i="3"/>
  <c r="C56" i="3"/>
  <c r="B56" i="3"/>
  <c r="A56" i="3"/>
  <c r="P55" i="3"/>
  <c r="O55" i="3"/>
  <c r="N55" i="3"/>
  <c r="M55" i="3"/>
  <c r="L55" i="3"/>
  <c r="K55" i="3"/>
  <c r="J55" i="3"/>
  <c r="E11" i="3" s="1"/>
  <c r="I55" i="3"/>
  <c r="D11" i="3" s="1"/>
  <c r="H55" i="3"/>
  <c r="C11" i="3" s="1"/>
  <c r="G55" i="3"/>
  <c r="B11" i="3" s="1"/>
  <c r="F55" i="3"/>
  <c r="E55" i="3"/>
  <c r="D55" i="3"/>
  <c r="C55" i="3"/>
  <c r="B55" i="3"/>
  <c r="A55" i="3"/>
  <c r="P54" i="3"/>
  <c r="O54" i="3"/>
  <c r="N54" i="3"/>
  <c r="M54" i="3"/>
  <c r="L54" i="3"/>
  <c r="K54" i="3"/>
  <c r="J54" i="3"/>
  <c r="E10" i="3" s="1"/>
  <c r="I54" i="3"/>
  <c r="D10" i="3" s="1"/>
  <c r="H54" i="3"/>
  <c r="C10" i="3" s="1"/>
  <c r="G54" i="3"/>
  <c r="B10" i="3" s="1"/>
  <c r="F54" i="3"/>
  <c r="E54" i="3"/>
  <c r="D54" i="3"/>
  <c r="C54" i="3"/>
  <c r="B54" i="3"/>
  <c r="A54" i="3"/>
  <c r="P53" i="3"/>
  <c r="O53" i="3"/>
  <c r="N53" i="3"/>
  <c r="M53" i="3"/>
  <c r="L53" i="3"/>
  <c r="K53" i="3"/>
  <c r="J53" i="3"/>
  <c r="E9" i="3" s="1"/>
  <c r="I53" i="3"/>
  <c r="D9" i="3" s="1"/>
  <c r="H53" i="3"/>
  <c r="C9" i="3" s="1"/>
  <c r="G53" i="3"/>
  <c r="B9" i="3" s="1"/>
  <c r="F53" i="3"/>
  <c r="E53" i="3"/>
  <c r="D53" i="3"/>
  <c r="C53" i="3"/>
  <c r="B53" i="3"/>
  <c r="A53" i="3"/>
  <c r="P52" i="3"/>
  <c r="O52" i="3"/>
  <c r="N52" i="3"/>
  <c r="M52" i="3"/>
  <c r="L52" i="3"/>
  <c r="K52" i="3"/>
  <c r="J52" i="3"/>
  <c r="E8" i="3" s="1"/>
  <c r="I52" i="3"/>
  <c r="D8" i="3" s="1"/>
  <c r="H52" i="3"/>
  <c r="C8" i="3" s="1"/>
  <c r="G52" i="3"/>
  <c r="B8" i="3" s="1"/>
  <c r="F52" i="3"/>
  <c r="E52" i="3"/>
  <c r="D52" i="3"/>
  <c r="C52" i="3"/>
  <c r="B52" i="3"/>
  <c r="A52" i="3"/>
  <c r="P51" i="3"/>
  <c r="O51" i="3"/>
  <c r="N51" i="3"/>
  <c r="M51" i="3"/>
  <c r="L51" i="3"/>
  <c r="K51" i="3"/>
  <c r="J51" i="3"/>
  <c r="I51" i="3"/>
  <c r="H51" i="3"/>
  <c r="G51" i="3"/>
  <c r="F51" i="3"/>
  <c r="E51" i="3"/>
  <c r="D51" i="3"/>
  <c r="C51" i="3"/>
  <c r="B51" i="3"/>
  <c r="A51" i="3"/>
  <c r="A5" i="3"/>
  <c r="B4" i="3"/>
  <c r="A4" i="3"/>
  <c r="B3" i="3"/>
  <c r="A3" i="3"/>
  <c r="A1" i="3"/>
  <c r="I14" i="2"/>
  <c r="B8" i="2"/>
  <c r="D48"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19" i="1"/>
  <c r="C19" i="1" s="1"/>
  <c r="P18" i="1"/>
  <c r="Q18" i="1" s="1"/>
  <c r="P17" i="1"/>
  <c r="Q17" i="1" s="1"/>
  <c r="P16" i="1"/>
  <c r="Q16" i="1" s="1"/>
  <c r="P15" i="1"/>
  <c r="Q15" i="1" s="1"/>
  <c r="P14" i="1"/>
  <c r="Q14" i="1" s="1"/>
  <c r="B14" i="1"/>
  <c r="B16" i="1" s="1"/>
  <c r="P13" i="1"/>
  <c r="Q13" i="1" s="1"/>
  <c r="P12" i="1"/>
  <c r="Q12" i="1" s="1"/>
  <c r="P11" i="1"/>
  <c r="Q11" i="1" s="1"/>
  <c r="I11" i="1"/>
  <c r="H11" i="1"/>
  <c r="G11" i="1"/>
  <c r="E3" i="2" s="1"/>
  <c r="F11" i="1"/>
  <c r="P10" i="1"/>
  <c r="Q10" i="1" s="1"/>
  <c r="P9" i="1"/>
  <c r="Q9" i="1" s="1"/>
  <c r="I9" i="1"/>
  <c r="H9" i="1"/>
  <c r="G9" i="1"/>
  <c r="F9" i="1"/>
  <c r="P8" i="1"/>
  <c r="Q8" i="1" s="1"/>
  <c r="P7" i="1"/>
  <c r="Q7" i="1" s="1"/>
  <c r="I7" i="1"/>
  <c r="H7" i="1"/>
  <c r="G7" i="1"/>
  <c r="F7" i="1"/>
  <c r="P6" i="1"/>
  <c r="Q6" i="1" s="1"/>
  <c r="P5" i="1"/>
  <c r="Q5" i="1" s="1"/>
  <c r="F46" i="6" l="1"/>
  <c r="L21" i="2"/>
  <c r="B21" i="5" s="1"/>
  <c r="M23" i="4"/>
  <c r="G28" i="4"/>
  <c r="M37" i="4"/>
  <c r="G16" i="2"/>
  <c r="L16" i="2" s="1"/>
  <c r="B26" i="5" s="1"/>
  <c r="M31" i="4"/>
  <c r="M38" i="4"/>
  <c r="G8" i="4"/>
  <c r="H28" i="4" s="1"/>
  <c r="J28" i="4" s="1"/>
  <c r="G11" i="4"/>
  <c r="G31" i="4"/>
  <c r="P31" i="4" s="1"/>
  <c r="M24" i="4"/>
  <c r="G9" i="4"/>
  <c r="Q9" i="4" s="1"/>
  <c r="G12" i="4"/>
  <c r="O12" i="4" s="1"/>
  <c r="G25" i="4"/>
  <c r="Q25" i="4" s="1"/>
  <c r="M22" i="4"/>
  <c r="M9" i="4"/>
  <c r="G33" i="4"/>
  <c r="R33" i="4" s="1"/>
  <c r="G10" i="4"/>
  <c r="P10" i="4" s="1"/>
  <c r="G26" i="4"/>
  <c r="R26" i="4" s="1"/>
  <c r="M30" i="4"/>
  <c r="D47" i="1"/>
  <c r="F32" i="5" s="1"/>
  <c r="I38" i="2"/>
  <c r="I24" i="2"/>
  <c r="M38" i="2"/>
  <c r="G22" i="4"/>
  <c r="P22" i="4" s="1"/>
  <c r="O22" i="4"/>
  <c r="G13" i="4"/>
  <c r="R13" i="4" s="1"/>
  <c r="Q11" i="4"/>
  <c r="G23" i="4"/>
  <c r="L23" i="4" s="1"/>
  <c r="D19" i="5" s="1"/>
  <c r="G30" i="4"/>
  <c r="K30" i="4" s="1"/>
  <c r="G14" i="4"/>
  <c r="S14" i="4" s="1"/>
  <c r="I25" i="2"/>
  <c r="G8" i="2"/>
  <c r="H16" i="2" s="1"/>
  <c r="J16" i="2" s="1"/>
  <c r="M36" i="2"/>
  <c r="M37" i="2"/>
  <c r="M9" i="2"/>
  <c r="S21" i="2"/>
  <c r="M19" i="2"/>
  <c r="G38" i="2"/>
  <c r="Q38" i="2" s="1"/>
  <c r="G10" i="2"/>
  <c r="R10" i="2" s="1"/>
  <c r="B52" i="1"/>
  <c r="M23" i="2"/>
  <c r="I23" i="2"/>
  <c r="G23" i="2"/>
  <c r="R23" i="2" s="1"/>
  <c r="I13" i="2"/>
  <c r="G13" i="2"/>
  <c r="Q13" i="2" s="1"/>
  <c r="G14" i="2"/>
  <c r="O14" i="2" s="1"/>
  <c r="P21" i="2"/>
  <c r="G8" i="3"/>
  <c r="M9" i="3"/>
  <c r="I9" i="3"/>
  <c r="G9" i="3"/>
  <c r="O9" i="3" s="1"/>
  <c r="M10" i="3"/>
  <c r="I10" i="3"/>
  <c r="G10" i="3"/>
  <c r="R10" i="3" s="1"/>
  <c r="M11" i="3"/>
  <c r="I11" i="3"/>
  <c r="G11" i="3"/>
  <c r="S11" i="3" s="1"/>
  <c r="M12" i="3"/>
  <c r="I12" i="3"/>
  <c r="G12" i="3"/>
  <c r="I13" i="3"/>
  <c r="G13" i="3"/>
  <c r="O13" i="3" s="1"/>
  <c r="M13" i="3"/>
  <c r="I14" i="3"/>
  <c r="G14" i="3"/>
  <c r="O14" i="3" s="1"/>
  <c r="M14" i="3"/>
  <c r="I15" i="3"/>
  <c r="G15" i="3"/>
  <c r="O15" i="3" s="1"/>
  <c r="M15" i="3"/>
  <c r="I16" i="3"/>
  <c r="G16" i="3"/>
  <c r="O16" i="3" s="1"/>
  <c r="M16" i="3"/>
  <c r="G17" i="3"/>
  <c r="O17" i="3" s="1"/>
  <c r="M17" i="3"/>
  <c r="I17" i="3"/>
  <c r="G18" i="3"/>
  <c r="O18" i="3" s="1"/>
  <c r="M18" i="3"/>
  <c r="I18" i="3"/>
  <c r="M19" i="3"/>
  <c r="I19" i="3"/>
  <c r="G19" i="3"/>
  <c r="P19" i="3" s="1"/>
  <c r="M20" i="3"/>
  <c r="I20" i="3"/>
  <c r="G20" i="3"/>
  <c r="R20" i="3" s="1"/>
  <c r="M21" i="3"/>
  <c r="I21" i="3"/>
  <c r="G21" i="3"/>
  <c r="P21" i="3" s="1"/>
  <c r="M23" i="3"/>
  <c r="I23" i="3"/>
  <c r="G23" i="3"/>
  <c r="P23" i="3" s="1"/>
  <c r="M24" i="3"/>
  <c r="I24" i="3"/>
  <c r="G24" i="3"/>
  <c r="O24" i="3" s="1"/>
  <c r="M25" i="3"/>
  <c r="I25" i="3"/>
  <c r="G25" i="3"/>
  <c r="O25" i="3" s="1"/>
  <c r="M26" i="3"/>
  <c r="I26" i="3"/>
  <c r="G26" i="3"/>
  <c r="O26" i="3" s="1"/>
  <c r="M27" i="3"/>
  <c r="I27" i="3"/>
  <c r="G27" i="3"/>
  <c r="S27" i="3" s="1"/>
  <c r="M28" i="3"/>
  <c r="I28" i="3"/>
  <c r="G28" i="3"/>
  <c r="O28" i="3" s="1"/>
  <c r="I29" i="3"/>
  <c r="G29" i="3"/>
  <c r="R29" i="3" s="1"/>
  <c r="M29" i="3"/>
  <c r="I30" i="3"/>
  <c r="G30" i="3"/>
  <c r="O30" i="3" s="1"/>
  <c r="M30" i="3"/>
  <c r="I31" i="3"/>
  <c r="G31" i="3"/>
  <c r="P31" i="3" s="1"/>
  <c r="M31" i="3"/>
  <c r="I32" i="3"/>
  <c r="G32" i="3"/>
  <c r="P32" i="3" s="1"/>
  <c r="M32" i="3"/>
  <c r="I33" i="3"/>
  <c r="G33" i="3"/>
  <c r="M33" i="3"/>
  <c r="I34" i="3"/>
  <c r="G34" i="3"/>
  <c r="P34" i="3" s="1"/>
  <c r="M34" i="3"/>
  <c r="I35" i="3"/>
  <c r="G35" i="3"/>
  <c r="M35" i="3"/>
  <c r="I36" i="3"/>
  <c r="G36" i="3"/>
  <c r="P36" i="3" s="1"/>
  <c r="M36" i="3"/>
  <c r="I37" i="3"/>
  <c r="G37" i="3"/>
  <c r="M37" i="3"/>
  <c r="I38" i="3"/>
  <c r="G38" i="3"/>
  <c r="M38" i="3"/>
  <c r="O26" i="4"/>
  <c r="L26" i="4"/>
  <c r="D16" i="5" s="1"/>
  <c r="M16" i="2"/>
  <c r="R21" i="2"/>
  <c r="I11" i="4"/>
  <c r="H11" i="4"/>
  <c r="J11" i="4" s="1"/>
  <c r="S11" i="4"/>
  <c r="R11" i="4"/>
  <c r="L11" i="4"/>
  <c r="D31" i="5" s="1"/>
  <c r="K11" i="4"/>
  <c r="P26" i="4"/>
  <c r="P11" i="4"/>
  <c r="Q26" i="4"/>
  <c r="I10" i="2"/>
  <c r="M18" i="2"/>
  <c r="K21" i="2"/>
  <c r="G27" i="4"/>
  <c r="P27" i="4" s="1"/>
  <c r="M10" i="2"/>
  <c r="I16" i="2"/>
  <c r="O21" i="2"/>
  <c r="G9" i="2"/>
  <c r="S9" i="2" s="1"/>
  <c r="I9" i="2"/>
  <c r="M15" i="2"/>
  <c r="I15" i="2"/>
  <c r="G15" i="2"/>
  <c r="Q15" i="2" s="1"/>
  <c r="Q21" i="2"/>
  <c r="L9" i="4"/>
  <c r="D33" i="5" s="1"/>
  <c r="I9" i="4"/>
  <c r="H9" i="4"/>
  <c r="J9" i="4" s="1"/>
  <c r="I31" i="4"/>
  <c r="F22" i="6"/>
  <c r="F25" i="6" s="1"/>
  <c r="F17" i="6"/>
  <c r="F19" i="6" s="1"/>
  <c r="F21" i="6" s="1"/>
  <c r="F23" i="6" s="1"/>
  <c r="F24" i="6" s="1"/>
  <c r="M34" i="4"/>
  <c r="M35" i="4"/>
  <c r="M36" i="4"/>
  <c r="M17" i="6"/>
  <c r="M19" i="6" s="1"/>
  <c r="M21" i="6" s="1"/>
  <c r="M23" i="6" s="1"/>
  <c r="M24" i="6" s="1"/>
  <c r="M22" i="6"/>
  <c r="M13" i="2"/>
  <c r="G18" i="2"/>
  <c r="P18" i="2" s="1"/>
  <c r="G20" i="2"/>
  <c r="R20" i="2" s="1"/>
  <c r="I20" i="2"/>
  <c r="I22" i="2"/>
  <c r="G22" i="2"/>
  <c r="S22" i="2" s="1"/>
  <c r="I28" i="4"/>
  <c r="R28" i="4"/>
  <c r="Q28" i="4"/>
  <c r="L28" i="4"/>
  <c r="D14" i="5" s="1"/>
  <c r="K28" i="4"/>
  <c r="S26" i="4"/>
  <c r="S28" i="4"/>
  <c r="M32" i="4"/>
  <c r="S33" i="4"/>
  <c r="M33" i="4"/>
  <c r="A31" i="6"/>
  <c r="A32" i="6" s="1"/>
  <c r="M11" i="2"/>
  <c r="I11" i="2"/>
  <c r="G11" i="2"/>
  <c r="Q11" i="2" s="1"/>
  <c r="G12" i="2"/>
  <c r="P12" i="2" s="1"/>
  <c r="I17" i="2"/>
  <c r="G17" i="2"/>
  <c r="R17" i="2" s="1"/>
  <c r="M17" i="2"/>
  <c r="P28" i="4"/>
  <c r="R31" i="4"/>
  <c r="F31" i="6"/>
  <c r="F32" i="6" s="1"/>
  <c r="I12" i="2"/>
  <c r="S9" i="4"/>
  <c r="M14" i="2"/>
  <c r="M20" i="2"/>
  <c r="K25" i="4"/>
  <c r="H10" i="4"/>
  <c r="J10" i="4" s="1"/>
  <c r="O10" i="4"/>
  <c r="L10" i="4"/>
  <c r="D32" i="5" s="1"/>
  <c r="G29" i="4"/>
  <c r="O29" i="4" s="1"/>
  <c r="G32" i="4"/>
  <c r="M12" i="2"/>
  <c r="I19" i="2"/>
  <c r="G19" i="2"/>
  <c r="P19" i="2" s="1"/>
  <c r="B20" i="1"/>
  <c r="M21" i="2"/>
  <c r="M22" i="2"/>
  <c r="Q10" i="4"/>
  <c r="G15" i="4"/>
  <c r="R15" i="4" s="1"/>
  <c r="Q22" i="4"/>
  <c r="M25" i="4"/>
  <c r="I21" i="2"/>
  <c r="M10" i="4"/>
  <c r="G16" i="4"/>
  <c r="S16" i="4" s="1"/>
  <c r="R22" i="4"/>
  <c r="M26" i="4"/>
  <c r="G24" i="2"/>
  <c r="G25" i="2"/>
  <c r="R25" i="2" s="1"/>
  <c r="G26" i="2"/>
  <c r="M11" i="4"/>
  <c r="K13" i="4"/>
  <c r="G17" i="4"/>
  <c r="S17" i="4" s="1"/>
  <c r="S22" i="4"/>
  <c r="M27" i="4"/>
  <c r="G27" i="2"/>
  <c r="P27" i="2" s="1"/>
  <c r="G28" i="2"/>
  <c r="G29" i="2"/>
  <c r="G30" i="2"/>
  <c r="G31" i="2"/>
  <c r="G32" i="2"/>
  <c r="R32" i="2" s="1"/>
  <c r="G33" i="2"/>
  <c r="G22" i="3"/>
  <c r="Q22" i="3" s="1"/>
  <c r="O11" i="4"/>
  <c r="M12" i="4"/>
  <c r="G18" i="4"/>
  <c r="S23" i="4"/>
  <c r="M28" i="4"/>
  <c r="G34" i="4"/>
  <c r="O34" i="4" s="1"/>
  <c r="G35" i="4"/>
  <c r="R35" i="4" s="1"/>
  <c r="G36" i="4"/>
  <c r="R36" i="4" s="1"/>
  <c r="G37" i="4"/>
  <c r="G38" i="4"/>
  <c r="O38" i="4" s="1"/>
  <c r="I26" i="2"/>
  <c r="G34" i="2"/>
  <c r="P34" i="2" s="1"/>
  <c r="M13" i="4"/>
  <c r="G19" i="4"/>
  <c r="O19" i="4" s="1"/>
  <c r="O28" i="4"/>
  <c r="M29" i="4"/>
  <c r="I27" i="2"/>
  <c r="I28" i="2"/>
  <c r="I29" i="2"/>
  <c r="I30" i="2"/>
  <c r="I31" i="2"/>
  <c r="I32" i="2"/>
  <c r="I33" i="2"/>
  <c r="G35" i="2"/>
  <c r="O35" i="2" s="1"/>
  <c r="I22" i="3"/>
  <c r="M14" i="4"/>
  <c r="G20" i="4"/>
  <c r="I34" i="2"/>
  <c r="G36" i="2"/>
  <c r="M15" i="4"/>
  <c r="G21" i="4"/>
  <c r="I35" i="2"/>
  <c r="G37" i="2"/>
  <c r="M16" i="4"/>
  <c r="M24" i="2"/>
  <c r="M25" i="2"/>
  <c r="M26" i="2"/>
  <c r="I36" i="2"/>
  <c r="M17" i="4"/>
  <c r="H22" i="4"/>
  <c r="J22" i="4" s="1"/>
  <c r="M27" i="2"/>
  <c r="M28" i="2"/>
  <c r="M29" i="2"/>
  <c r="M30" i="2"/>
  <c r="M31" i="2"/>
  <c r="M32" i="2"/>
  <c r="M33" i="2"/>
  <c r="I37" i="2"/>
  <c r="M22" i="3"/>
  <c r="S13" i="4"/>
  <c r="M18" i="4"/>
  <c r="I22" i="4"/>
  <c r="G24" i="4"/>
  <c r="S24" i="4" s="1"/>
  <c r="M34" i="2"/>
  <c r="M19" i="4"/>
  <c r="M35" i="2"/>
  <c r="M20" i="4"/>
  <c r="K22" i="4"/>
  <c r="M21" i="4"/>
  <c r="L22" i="4"/>
  <c r="D20" i="5" s="1"/>
  <c r="I13" i="4" l="1"/>
  <c r="G18" i="5"/>
  <c r="H18" i="5" s="1"/>
  <c r="L13" i="4"/>
  <c r="D29" i="5" s="1"/>
  <c r="L31" i="4"/>
  <c r="D11" i="5" s="1"/>
  <c r="I23" i="4"/>
  <c r="Q31" i="4"/>
  <c r="R23" i="4"/>
  <c r="P13" i="4"/>
  <c r="Q13" i="4"/>
  <c r="P16" i="2"/>
  <c r="K9" i="4"/>
  <c r="H23" i="4"/>
  <c r="J23" i="4" s="1"/>
  <c r="K23" i="4"/>
  <c r="O23" i="4"/>
  <c r="H13" i="4"/>
  <c r="J13" i="4" s="1"/>
  <c r="R9" i="4"/>
  <c r="H26" i="4"/>
  <c r="J26" i="4" s="1"/>
  <c r="L12" i="4"/>
  <c r="D30" i="5" s="1"/>
  <c r="R12" i="4"/>
  <c r="I12" i="4"/>
  <c r="O9" i="4"/>
  <c r="P9" i="4"/>
  <c r="P23" i="4"/>
  <c r="Q23" i="4"/>
  <c r="I33" i="4"/>
  <c r="L33" i="4"/>
  <c r="D9" i="5" s="1"/>
  <c r="Q33" i="4"/>
  <c r="O25" i="4"/>
  <c r="P25" i="4"/>
  <c r="H25" i="4"/>
  <c r="J25" i="4" s="1"/>
  <c r="I25" i="4"/>
  <c r="P33" i="4"/>
  <c r="L25" i="4"/>
  <c r="D17" i="5" s="1"/>
  <c r="Q13" i="3"/>
  <c r="Q27" i="4"/>
  <c r="S10" i="4"/>
  <c r="Q11" i="3"/>
  <c r="K12" i="4"/>
  <c r="Q16" i="3"/>
  <c r="I10" i="4"/>
  <c r="Q12" i="4"/>
  <c r="P12" i="4"/>
  <c r="S12" i="4"/>
  <c r="O27" i="4"/>
  <c r="K10" i="4"/>
  <c r="P16" i="3"/>
  <c r="Q16" i="2"/>
  <c r="H12" i="4"/>
  <c r="J12" i="4" s="1"/>
  <c r="S16" i="2"/>
  <c r="S25" i="4"/>
  <c r="H30" i="4"/>
  <c r="J30" i="4" s="1"/>
  <c r="G33" i="5"/>
  <c r="H33" i="5" s="1"/>
  <c r="R16" i="2"/>
  <c r="S30" i="4"/>
  <c r="H31" i="4"/>
  <c r="J31" i="4" s="1"/>
  <c r="I30" i="4"/>
  <c r="H33" i="4"/>
  <c r="J33" i="4" s="1"/>
  <c r="H38" i="2"/>
  <c r="J38" i="2" s="1"/>
  <c r="L30" i="4"/>
  <c r="D12" i="5" s="1"/>
  <c r="H21" i="2"/>
  <c r="J21" i="2" s="1"/>
  <c r="G8" i="5"/>
  <c r="H8" i="5" s="1"/>
  <c r="P14" i="2"/>
  <c r="K31" i="4"/>
  <c r="O30" i="4"/>
  <c r="K33" i="4"/>
  <c r="P30" i="4"/>
  <c r="O16" i="2"/>
  <c r="O31" i="4"/>
  <c r="Q30" i="4"/>
  <c r="O33" i="4"/>
  <c r="K16" i="2"/>
  <c r="S31" i="4"/>
  <c r="R30" i="4"/>
  <c r="D46" i="1"/>
  <c r="G4" i="5"/>
  <c r="H4" i="5" s="1"/>
  <c r="L38" i="2"/>
  <c r="B4" i="5" s="1"/>
  <c r="H14" i="4"/>
  <c r="J14" i="4" s="1"/>
  <c r="I14" i="4"/>
  <c r="K14" i="4"/>
  <c r="L14" i="4"/>
  <c r="D28" i="5" s="1"/>
  <c r="O13" i="4"/>
  <c r="O14" i="4"/>
  <c r="P14" i="4"/>
  <c r="Q14" i="4"/>
  <c r="R10" i="4"/>
  <c r="R14" i="4"/>
  <c r="R25" i="4"/>
  <c r="I26" i="4"/>
  <c r="K26" i="4"/>
  <c r="S13" i="3"/>
  <c r="G9" i="5"/>
  <c r="H9" i="5" s="1"/>
  <c r="G13" i="5"/>
  <c r="H13" i="5" s="1"/>
  <c r="R13" i="3"/>
  <c r="Q21" i="3"/>
  <c r="S29" i="3"/>
  <c r="O29" i="3"/>
  <c r="O35" i="3"/>
  <c r="Q35" i="3"/>
  <c r="O34" i="3"/>
  <c r="Q34" i="3"/>
  <c r="P33" i="3"/>
  <c r="Q33" i="3"/>
  <c r="O38" i="3"/>
  <c r="S38" i="3"/>
  <c r="Q37" i="3"/>
  <c r="S37" i="3"/>
  <c r="G19" i="5"/>
  <c r="H19" i="5" s="1"/>
  <c r="Q32" i="3"/>
  <c r="S36" i="3"/>
  <c r="Q31" i="3"/>
  <c r="Q20" i="3"/>
  <c r="O33" i="3"/>
  <c r="P15" i="3"/>
  <c r="G11" i="5"/>
  <c r="H11" i="5" s="1"/>
  <c r="O20" i="3"/>
  <c r="P17" i="3"/>
  <c r="O37" i="3"/>
  <c r="S9" i="3"/>
  <c r="P35" i="3"/>
  <c r="G12" i="5"/>
  <c r="H12" i="5" s="1"/>
  <c r="O31" i="3"/>
  <c r="P20" i="3"/>
  <c r="S19" i="3"/>
  <c r="Q19" i="3"/>
  <c r="S20" i="3"/>
  <c r="R19" i="3"/>
  <c r="R30" i="3"/>
  <c r="Q30" i="3"/>
  <c r="O10" i="2"/>
  <c r="P38" i="2"/>
  <c r="R22" i="2"/>
  <c r="P38" i="3"/>
  <c r="O36" i="3"/>
  <c r="O32" i="3"/>
  <c r="O35" i="4"/>
  <c r="P30" i="3"/>
  <c r="G10" i="5"/>
  <c r="H10" i="5" s="1"/>
  <c r="R24" i="4"/>
  <c r="R16" i="4"/>
  <c r="Q15" i="3"/>
  <c r="S18" i="3"/>
  <c r="Q38" i="3"/>
  <c r="P22" i="3"/>
  <c r="R21" i="3"/>
  <c r="R28" i="3"/>
  <c r="S14" i="3"/>
  <c r="Q18" i="3"/>
  <c r="G30" i="5"/>
  <c r="H30" i="5" s="1"/>
  <c r="S35" i="4"/>
  <c r="R18" i="3"/>
  <c r="Q14" i="3"/>
  <c r="R14" i="3"/>
  <c r="G24" i="5"/>
  <c r="H24" i="5" s="1"/>
  <c r="G7" i="5"/>
  <c r="H7" i="5" s="1"/>
  <c r="G14" i="5"/>
  <c r="H14" i="5" s="1"/>
  <c r="P14" i="3"/>
  <c r="S28" i="3"/>
  <c r="O21" i="3"/>
  <c r="R15" i="3"/>
  <c r="G21" i="5"/>
  <c r="H21" i="5" s="1"/>
  <c r="S27" i="4"/>
  <c r="Q16" i="4"/>
  <c r="G5" i="5"/>
  <c r="H5" i="5" s="1"/>
  <c r="G23" i="5"/>
  <c r="H23" i="5" s="1"/>
  <c r="P28" i="2"/>
  <c r="R28" i="2"/>
  <c r="Q22" i="2"/>
  <c r="Q10" i="2"/>
  <c r="O38" i="2"/>
  <c r="P10" i="2"/>
  <c r="H10" i="2"/>
  <c r="J10" i="2" s="1"/>
  <c r="S10" i="2"/>
  <c r="L10" i="2"/>
  <c r="B32" i="5" s="1"/>
  <c r="P26" i="2"/>
  <c r="R26" i="2"/>
  <c r="P29" i="2"/>
  <c r="R29" i="2"/>
  <c r="S38" i="2"/>
  <c r="O33" i="2"/>
  <c r="R33" i="2"/>
  <c r="P31" i="2"/>
  <c r="R31" i="2"/>
  <c r="R38" i="2"/>
  <c r="O30" i="2"/>
  <c r="R30" i="2"/>
  <c r="K38" i="2"/>
  <c r="K10" i="2"/>
  <c r="Q12" i="2"/>
  <c r="G6" i="5"/>
  <c r="H6" i="5" s="1"/>
  <c r="P22" i="2"/>
  <c r="P15" i="2"/>
  <c r="O15" i="2"/>
  <c r="Q27" i="2"/>
  <c r="O31" i="2"/>
  <c r="O27" i="2"/>
  <c r="O29" i="2"/>
  <c r="P32" i="4"/>
  <c r="O32" i="4"/>
  <c r="L32" i="4"/>
  <c r="D10" i="5" s="1"/>
  <c r="K32" i="4"/>
  <c r="I32" i="4"/>
  <c r="H32" i="4"/>
  <c r="J32" i="4" s="1"/>
  <c r="L12" i="3"/>
  <c r="C30" i="5" s="1"/>
  <c r="K12" i="3"/>
  <c r="H12" i="3"/>
  <c r="J12" i="3" s="1"/>
  <c r="Q12" i="3"/>
  <c r="H29" i="4"/>
  <c r="J29" i="4" s="1"/>
  <c r="R29" i="4"/>
  <c r="Q29" i="4"/>
  <c r="P29" i="4"/>
  <c r="L29" i="4"/>
  <c r="D13" i="5" s="1"/>
  <c r="K29" i="4"/>
  <c r="I29" i="4"/>
  <c r="H20" i="2"/>
  <c r="J20" i="2" s="1"/>
  <c r="Q20" i="2"/>
  <c r="K20" i="2"/>
  <c r="P20" i="2"/>
  <c r="L20" i="2"/>
  <c r="B22" i="5" s="1"/>
  <c r="G27" i="5"/>
  <c r="H27" i="5" s="1"/>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L14" i="2"/>
  <c r="B28" i="5" s="1"/>
  <c r="H14" i="2"/>
  <c r="J14" i="2" s="1"/>
  <c r="R14" i="2"/>
  <c r="K14" i="2"/>
  <c r="S14" i="2"/>
  <c r="Q14" i="2"/>
  <c r="O23" i="2"/>
  <c r="Q21" i="4"/>
  <c r="P21" i="4"/>
  <c r="L21" i="4"/>
  <c r="D21" i="5" s="1"/>
  <c r="K21" i="4"/>
  <c r="I21" i="4"/>
  <c r="H21" i="4"/>
  <c r="J21" i="4" s="1"/>
  <c r="S21" i="4"/>
  <c r="R21" i="4"/>
  <c r="O17" i="4"/>
  <c r="L17" i="4"/>
  <c r="D25" i="5" s="1"/>
  <c r="K17" i="4"/>
  <c r="I17" i="4"/>
  <c r="H17" i="4"/>
  <c r="J17" i="4" s="1"/>
  <c r="Q32" i="4"/>
  <c r="Q19" i="4"/>
  <c r="P19" i="4"/>
  <c r="G31" i="5"/>
  <c r="H31" i="5" s="1"/>
  <c r="H18" i="2"/>
  <c r="J18" i="2" s="1"/>
  <c r="S18" i="2"/>
  <c r="L18" i="2"/>
  <c r="B24" i="5" s="1"/>
  <c r="K18" i="2"/>
  <c r="R18" i="2"/>
  <c r="O18" i="2"/>
  <c r="S17" i="3"/>
  <c r="S16" i="3"/>
  <c r="K13" i="2"/>
  <c r="R13" i="2"/>
  <c r="L13" i="2"/>
  <c r="B29" i="5" s="1"/>
  <c r="H13" i="2"/>
  <c r="J13" i="2" s="1"/>
  <c r="P37" i="2"/>
  <c r="O37" i="2"/>
  <c r="L37" i="2"/>
  <c r="B5" i="5" s="1"/>
  <c r="K37" i="2"/>
  <c r="H37" i="2"/>
  <c r="J37" i="2" s="1"/>
  <c r="S37" i="2"/>
  <c r="Q37" i="2"/>
  <c r="S18" i="4"/>
  <c r="L18" i="4"/>
  <c r="D24" i="5" s="1"/>
  <c r="K18" i="4"/>
  <c r="I18" i="4"/>
  <c r="H18" i="4"/>
  <c r="J18" i="4" s="1"/>
  <c r="S15" i="4"/>
  <c r="G29" i="5"/>
  <c r="H29" i="5" s="1"/>
  <c r="R24" i="3"/>
  <c r="Q24" i="3"/>
  <c r="P24" i="3"/>
  <c r="L24" i="3"/>
  <c r="C18" i="5" s="1"/>
  <c r="K24" i="3"/>
  <c r="H24" i="3"/>
  <c r="J24" i="3" s="1"/>
  <c r="S24" i="3"/>
  <c r="L19" i="3"/>
  <c r="C23" i="5" s="1"/>
  <c r="K19" i="3"/>
  <c r="H19" i="3"/>
  <c r="J19" i="3" s="1"/>
  <c r="L11" i="3"/>
  <c r="C31" i="5" s="1"/>
  <c r="K11" i="3"/>
  <c r="H11" i="3"/>
  <c r="J11" i="3" s="1"/>
  <c r="R11" i="3"/>
  <c r="P11" i="3"/>
  <c r="S12" i="3"/>
  <c r="R12" i="2"/>
  <c r="P12" i="3"/>
  <c r="K9" i="2"/>
  <c r="P9" i="2"/>
  <c r="O9" i="2"/>
  <c r="L9" i="2"/>
  <c r="B33" i="5" s="1"/>
  <c r="H9" i="2"/>
  <c r="J9" i="2" s="1"/>
  <c r="L28" i="3"/>
  <c r="C14" i="5" s="1"/>
  <c r="K28" i="3"/>
  <c r="H28" i="3"/>
  <c r="J28" i="3" s="1"/>
  <c r="Q28" i="3"/>
  <c r="P28" i="3"/>
  <c r="O13" i="2"/>
  <c r="Q9" i="2"/>
  <c r="Q36" i="2"/>
  <c r="P36" i="2"/>
  <c r="O36" i="2"/>
  <c r="L36" i="2"/>
  <c r="B6" i="5" s="1"/>
  <c r="K36" i="2"/>
  <c r="H36" i="2"/>
  <c r="J36" i="2" s="1"/>
  <c r="R36" i="2"/>
  <c r="S19" i="4"/>
  <c r="R19" i="4"/>
  <c r="L19" i="4"/>
  <c r="D23" i="5" s="1"/>
  <c r="K19" i="4"/>
  <c r="I19" i="4"/>
  <c r="H19" i="4"/>
  <c r="J19" i="4" s="1"/>
  <c r="S26" i="2"/>
  <c r="L26" i="2"/>
  <c r="B16" i="5" s="1"/>
  <c r="K26" i="2"/>
  <c r="H26" i="2"/>
  <c r="J26" i="2" s="1"/>
  <c r="S36" i="4"/>
  <c r="P34" i="4"/>
  <c r="Q17" i="4"/>
  <c r="H36" i="3"/>
  <c r="J36" i="3" s="1"/>
  <c r="R36" i="3"/>
  <c r="L36" i="3"/>
  <c r="C6" i="5" s="1"/>
  <c r="K36" i="3"/>
  <c r="H32" i="3"/>
  <c r="J32" i="3" s="1"/>
  <c r="S32" i="3"/>
  <c r="R32" i="3"/>
  <c r="L32" i="3"/>
  <c r="C10" i="5" s="1"/>
  <c r="K32" i="3"/>
  <c r="H15" i="3"/>
  <c r="J15" i="3" s="1"/>
  <c r="S15" i="3"/>
  <c r="L15" i="3"/>
  <c r="C27" i="5" s="1"/>
  <c r="K15" i="3"/>
  <c r="G15" i="5"/>
  <c r="H15" i="5" s="1"/>
  <c r="S25" i="2"/>
  <c r="L25" i="2"/>
  <c r="B17" i="5" s="1"/>
  <c r="K25" i="2"/>
  <c r="H25" i="2"/>
  <c r="J25" i="2" s="1"/>
  <c r="R18" i="4"/>
  <c r="M25" i="6"/>
  <c r="M31" i="6" s="1"/>
  <c r="M32" i="6" s="1"/>
  <c r="O20" i="2"/>
  <c r="I27" i="4"/>
  <c r="H27" i="4"/>
  <c r="J27" i="4" s="1"/>
  <c r="R27" i="4"/>
  <c r="L27" i="4"/>
  <c r="D15" i="5" s="1"/>
  <c r="K27" i="4"/>
  <c r="O19" i="3"/>
  <c r="O11" i="3"/>
  <c r="P25" i="2"/>
  <c r="O12" i="2"/>
  <c r="S22" i="3"/>
  <c r="R22" i="3"/>
  <c r="L22" i="3"/>
  <c r="C20" i="5" s="1"/>
  <c r="K22" i="3"/>
  <c r="H22" i="3"/>
  <c r="J22" i="3" s="1"/>
  <c r="S24" i="2"/>
  <c r="L24" i="2"/>
  <c r="B18" i="5" s="1"/>
  <c r="K24" i="2"/>
  <c r="H24" i="2"/>
  <c r="J24" i="2" s="1"/>
  <c r="R24" i="2"/>
  <c r="P30" i="2"/>
  <c r="S34" i="4"/>
  <c r="P18" i="4"/>
  <c r="O18" i="4"/>
  <c r="Q18" i="2"/>
  <c r="R17" i="4"/>
  <c r="P37" i="3"/>
  <c r="L27" i="3"/>
  <c r="C15" i="5" s="1"/>
  <c r="K27" i="3"/>
  <c r="H27" i="3"/>
  <c r="J27" i="3" s="1"/>
  <c r="R27" i="3"/>
  <c r="Q27" i="3"/>
  <c r="P27" i="3"/>
  <c r="S23" i="3"/>
  <c r="R23" i="3"/>
  <c r="Q23" i="3"/>
  <c r="L23" i="3"/>
  <c r="C19" i="5" s="1"/>
  <c r="K23" i="3"/>
  <c r="H23" i="3"/>
  <c r="J23" i="3" s="1"/>
  <c r="P10" i="3"/>
  <c r="L10" i="3"/>
  <c r="C32" i="5" s="1"/>
  <c r="K10" i="3"/>
  <c r="H10" i="3"/>
  <c r="J10" i="3" s="1"/>
  <c r="S10" i="3"/>
  <c r="Q10" i="3"/>
  <c r="R32" i="4"/>
  <c r="D45" i="1"/>
  <c r="F31" i="5"/>
  <c r="R20" i="4"/>
  <c r="Q20" i="4"/>
  <c r="L20" i="4"/>
  <c r="D22" i="5" s="1"/>
  <c r="K20" i="4"/>
  <c r="I20" i="4"/>
  <c r="H20" i="4"/>
  <c r="J20" i="4" s="1"/>
  <c r="S20" i="4"/>
  <c r="S34" i="2"/>
  <c r="R34" i="2"/>
  <c r="Q34" i="2"/>
  <c r="L34" i="2"/>
  <c r="B8" i="5" s="1"/>
  <c r="K34" i="2"/>
  <c r="H34" i="2"/>
  <c r="J34" i="2" s="1"/>
  <c r="O20" i="4"/>
  <c r="Q15" i="4"/>
  <c r="P15" i="4"/>
  <c r="O15" i="4"/>
  <c r="L15" i="4"/>
  <c r="D27" i="5" s="1"/>
  <c r="K15" i="4"/>
  <c r="I15" i="4"/>
  <c r="H15" i="4"/>
  <c r="J15" i="4" s="1"/>
  <c r="S33" i="2"/>
  <c r="Q33" i="2"/>
  <c r="L33" i="2"/>
  <c r="B9" i="5" s="1"/>
  <c r="K33" i="2"/>
  <c r="H33" i="2"/>
  <c r="J33" i="2" s="1"/>
  <c r="R37" i="2"/>
  <c r="C52" i="1"/>
  <c r="C20" i="1"/>
  <c r="B21" i="1"/>
  <c r="G22" i="5"/>
  <c r="H22" i="5" s="1"/>
  <c r="Q24" i="2"/>
  <c r="O24" i="2"/>
  <c r="Q29" i="3"/>
  <c r="H35" i="3"/>
  <c r="J35" i="3" s="1"/>
  <c r="S35" i="3"/>
  <c r="R35" i="3"/>
  <c r="L35" i="3"/>
  <c r="C7" i="5" s="1"/>
  <c r="K35" i="3"/>
  <c r="H31" i="3"/>
  <c r="J31" i="3" s="1"/>
  <c r="S31" i="3"/>
  <c r="R31" i="3"/>
  <c r="L31" i="3"/>
  <c r="C11" i="5" s="1"/>
  <c r="K31" i="3"/>
  <c r="K14" i="3"/>
  <c r="H14" i="3"/>
  <c r="J14" i="3" s="1"/>
  <c r="L14" i="3"/>
  <c r="C28" i="5" s="1"/>
  <c r="S13" i="2"/>
  <c r="L24" i="4"/>
  <c r="D18" i="5" s="1"/>
  <c r="K24" i="4"/>
  <c r="I24" i="4"/>
  <c r="H24" i="4"/>
  <c r="J24" i="4" s="1"/>
  <c r="Q24" i="4"/>
  <c r="P24" i="4"/>
  <c r="O24" i="4"/>
  <c r="R38" i="4"/>
  <c r="Q38" i="4"/>
  <c r="P38" i="4"/>
  <c r="L38" i="4"/>
  <c r="D4" i="5" s="1"/>
  <c r="K38" i="4"/>
  <c r="I38" i="4"/>
  <c r="H38" i="4"/>
  <c r="J38" i="4" s="1"/>
  <c r="S32" i="2"/>
  <c r="Q32" i="2"/>
  <c r="L32" i="2"/>
  <c r="B10" i="5" s="1"/>
  <c r="K32" i="2"/>
  <c r="H32" i="2"/>
  <c r="J32" i="2" s="1"/>
  <c r="P16" i="4"/>
  <c r="O16" i="4"/>
  <c r="L16" i="4"/>
  <c r="D26" i="5" s="1"/>
  <c r="K16" i="4"/>
  <c r="I16" i="4"/>
  <c r="H16" i="4"/>
  <c r="J16" i="4" s="1"/>
  <c r="H19" i="2"/>
  <c r="J19" i="2" s="1"/>
  <c r="R19" i="2"/>
  <c r="L19" i="2"/>
  <c r="B23" i="5" s="1"/>
  <c r="K19" i="2"/>
  <c r="S19" i="2"/>
  <c r="O19" i="2"/>
  <c r="Q19" i="2"/>
  <c r="G28" i="5"/>
  <c r="H28" i="5" s="1"/>
  <c r="P33" i="2"/>
  <c r="G32" i="5"/>
  <c r="H32" i="5" s="1"/>
  <c r="Q23" i="2"/>
  <c r="P20" i="4"/>
  <c r="O27" i="3"/>
  <c r="O23" i="3"/>
  <c r="P18" i="3"/>
  <c r="L18" i="3"/>
  <c r="C24" i="5" s="1"/>
  <c r="K18" i="3"/>
  <c r="H18" i="3"/>
  <c r="J18" i="3" s="1"/>
  <c r="O10" i="3"/>
  <c r="Q25" i="2"/>
  <c r="Q36" i="3"/>
  <c r="R9" i="2"/>
  <c r="G16" i="5"/>
  <c r="H16" i="5" s="1"/>
  <c r="R35" i="2"/>
  <c r="Q35" i="2"/>
  <c r="P35" i="2"/>
  <c r="L35" i="2"/>
  <c r="B7" i="5" s="1"/>
  <c r="K35" i="2"/>
  <c r="H35" i="2"/>
  <c r="J35" i="2" s="1"/>
  <c r="S35" i="2"/>
  <c r="R37" i="4"/>
  <c r="Q37" i="4"/>
  <c r="P37" i="4"/>
  <c r="L37" i="4"/>
  <c r="D5" i="5" s="1"/>
  <c r="K37" i="4"/>
  <c r="I37" i="4"/>
  <c r="H37" i="4"/>
  <c r="J37" i="4" s="1"/>
  <c r="S31" i="2"/>
  <c r="Q31" i="2"/>
  <c r="L31" i="2"/>
  <c r="B11" i="5" s="1"/>
  <c r="K31" i="2"/>
  <c r="H31" i="2"/>
  <c r="J31" i="2" s="1"/>
  <c r="O28" i="2"/>
  <c r="O34" i="2"/>
  <c r="S36" i="2"/>
  <c r="S20" i="2"/>
  <c r="S32" i="4"/>
  <c r="Q26" i="2"/>
  <c r="O26" i="2"/>
  <c r="R17" i="3"/>
  <c r="P26" i="3"/>
  <c r="L26" i="3"/>
  <c r="C16" i="5" s="1"/>
  <c r="K26" i="3"/>
  <c r="H26" i="3"/>
  <c r="J26" i="3" s="1"/>
  <c r="S26" i="3"/>
  <c r="R26" i="3"/>
  <c r="Q26" i="3"/>
  <c r="S21" i="3"/>
  <c r="L21" i="3"/>
  <c r="C21" i="5" s="1"/>
  <c r="K21" i="3"/>
  <c r="H21" i="3"/>
  <c r="J21" i="3" s="1"/>
  <c r="Q9" i="3"/>
  <c r="P9" i="3"/>
  <c r="L9" i="3"/>
  <c r="C33" i="5" s="1"/>
  <c r="K9" i="3"/>
  <c r="H9" i="3"/>
  <c r="J9" i="3" s="1"/>
  <c r="R9" i="3"/>
  <c r="P23" i="2"/>
  <c r="G17" i="5"/>
  <c r="H17" i="5" s="1"/>
  <c r="Q36" i="4"/>
  <c r="L36" i="4"/>
  <c r="D6" i="5" s="1"/>
  <c r="K36" i="4"/>
  <c r="I36" i="4"/>
  <c r="H36" i="4"/>
  <c r="J36" i="4" s="1"/>
  <c r="S30" i="2"/>
  <c r="Q30" i="2"/>
  <c r="L30" i="2"/>
  <c r="B12" i="5" s="1"/>
  <c r="K30" i="2"/>
  <c r="H30" i="2"/>
  <c r="J30" i="2" s="1"/>
  <c r="O25" i="2"/>
  <c r="G25" i="5"/>
  <c r="H25" i="5" s="1"/>
  <c r="S29" i="4"/>
  <c r="P24" i="2"/>
  <c r="O32" i="2"/>
  <c r="G26" i="5"/>
  <c r="H26" i="5" s="1"/>
  <c r="R12" i="3"/>
  <c r="Q35" i="4"/>
  <c r="L35" i="4"/>
  <c r="D7" i="5" s="1"/>
  <c r="K35" i="4"/>
  <c r="I35" i="4"/>
  <c r="H35" i="4"/>
  <c r="J35" i="4" s="1"/>
  <c r="S29" i="2"/>
  <c r="Q29" i="2"/>
  <c r="L29" i="2"/>
  <c r="B13" i="5" s="1"/>
  <c r="K29" i="2"/>
  <c r="H29" i="2"/>
  <c r="J29" i="2" s="1"/>
  <c r="G20" i="5"/>
  <c r="H20" i="5" s="1"/>
  <c r="K17" i="2"/>
  <c r="L17" i="2"/>
  <c r="B25" i="5" s="1"/>
  <c r="H17" i="2"/>
  <c r="J17" i="2" s="1"/>
  <c r="S17" i="2"/>
  <c r="Q17" i="2"/>
  <c r="P17" i="2"/>
  <c r="O17" i="2"/>
  <c r="O22" i="2"/>
  <c r="L22" i="2"/>
  <c r="B20" i="5" s="1"/>
  <c r="H22" i="2"/>
  <c r="J22" i="2" s="1"/>
  <c r="K22" i="2"/>
  <c r="R34" i="4"/>
  <c r="P32" i="2"/>
  <c r="P13" i="2"/>
  <c r="H38" i="3"/>
  <c r="J38" i="3" s="1"/>
  <c r="R38" i="3"/>
  <c r="L38" i="3"/>
  <c r="C4" i="5" s="1"/>
  <c r="K38" i="3"/>
  <c r="H34" i="3"/>
  <c r="J34" i="3" s="1"/>
  <c r="S34" i="3"/>
  <c r="R34" i="3"/>
  <c r="L34" i="3"/>
  <c r="C8" i="5" s="1"/>
  <c r="K34" i="3"/>
  <c r="K30" i="3"/>
  <c r="H30" i="3"/>
  <c r="J30" i="3" s="1"/>
  <c r="S30" i="3"/>
  <c r="L30" i="3"/>
  <c r="C12" i="5" s="1"/>
  <c r="L13" i="3"/>
  <c r="C29" i="5" s="1"/>
  <c r="K13" i="3"/>
  <c r="H13" i="3"/>
  <c r="J13" i="3" s="1"/>
  <c r="P13" i="3"/>
  <c r="Q34" i="4"/>
  <c r="L34" i="4"/>
  <c r="D8" i="5" s="1"/>
  <c r="K34" i="4"/>
  <c r="I34" i="4"/>
  <c r="H34" i="4"/>
  <c r="J34" i="4" s="1"/>
  <c r="S28" i="2"/>
  <c r="Q28" i="2"/>
  <c r="L28" i="2"/>
  <c r="B14" i="5" s="1"/>
  <c r="K28" i="2"/>
  <c r="H28" i="2"/>
  <c r="J28" i="2" s="1"/>
  <c r="H17" i="3"/>
  <c r="J17" i="3" s="1"/>
  <c r="Q17" i="3"/>
  <c r="L17" i="3"/>
  <c r="C25" i="5" s="1"/>
  <c r="K17" i="3"/>
  <c r="K23" i="2"/>
  <c r="H23" i="2"/>
  <c r="J23" i="2" s="1"/>
  <c r="S23" i="2"/>
  <c r="L23" i="2"/>
  <c r="B19" i="5" s="1"/>
  <c r="K11" i="2"/>
  <c r="H11" i="2"/>
  <c r="J11" i="2" s="1"/>
  <c r="P11" i="2"/>
  <c r="S11" i="2"/>
  <c r="O11" i="2"/>
  <c r="L11" i="2"/>
  <c r="B31" i="5" s="1"/>
  <c r="S27" i="2"/>
  <c r="R27" i="2"/>
  <c r="L27" i="2"/>
  <c r="B15" i="5" s="1"/>
  <c r="K27" i="2"/>
  <c r="H27" i="2"/>
  <c r="J27" i="2" s="1"/>
  <c r="O37" i="4"/>
  <c r="R11" i="2"/>
  <c r="O36" i="4"/>
  <c r="L12" i="2"/>
  <c r="B30" i="5" s="1"/>
  <c r="H12" i="2"/>
  <c r="J12" i="2" s="1"/>
  <c r="K12" i="2"/>
  <c r="S12" i="2"/>
  <c r="Q18" i="4"/>
  <c r="L15" i="2"/>
  <c r="B27" i="5" s="1"/>
  <c r="K15" i="2"/>
  <c r="R15" i="2"/>
  <c r="H15" i="2"/>
  <c r="J15" i="2" s="1"/>
  <c r="S15" i="2"/>
  <c r="O21" i="4"/>
  <c r="P17" i="4"/>
  <c r="Q25" i="3"/>
  <c r="P25" i="3"/>
  <c r="L25" i="3"/>
  <c r="C17" i="5" s="1"/>
  <c r="K25" i="3"/>
  <c r="H25" i="3"/>
  <c r="J25" i="3" s="1"/>
  <c r="S25" i="3"/>
  <c r="R25" i="3"/>
  <c r="L20" i="3"/>
  <c r="C22" i="5" s="1"/>
  <c r="K20" i="3"/>
  <c r="H20" i="3"/>
  <c r="J20" i="3" s="1"/>
  <c r="O12" i="3"/>
  <c r="E4" i="5" l="1"/>
  <c r="E26" i="5"/>
  <c r="E31" i="5"/>
  <c r="E30" i="5"/>
  <c r="E15" i="5"/>
  <c r="E20" i="5"/>
  <c r="E25" i="5"/>
  <c r="E19" i="5"/>
  <c r="E32" i="5"/>
  <c r="E13" i="5"/>
  <c r="E16" i="5"/>
  <c r="E12" i="5"/>
  <c r="E11" i="5"/>
  <c r="E10" i="5"/>
  <c r="E27" i="5"/>
  <c r="E5" i="5"/>
  <c r="C21" i="1"/>
  <c r="B22" i="1"/>
  <c r="D52" i="1"/>
  <c r="E23" i="5"/>
  <c r="E17" i="5"/>
  <c r="E6" i="5"/>
  <c r="F30" i="5"/>
  <c r="D44" i="1"/>
  <c r="E8" i="5"/>
  <c r="E29" i="5"/>
  <c r="E9" i="5"/>
  <c r="E28" i="5"/>
  <c r="E21" i="5"/>
  <c r="E7" i="5"/>
  <c r="E22" i="5"/>
  <c r="E14" i="5"/>
  <c r="E24" i="5"/>
  <c r="E18" i="5"/>
  <c r="E33" i="5"/>
  <c r="F29" i="5" l="1"/>
  <c r="D43" i="1"/>
  <c r="C22" i="1"/>
  <c r="B23" i="1"/>
  <c r="E52" i="1"/>
  <c r="B24" i="1" l="1"/>
  <c r="C23" i="1"/>
  <c r="F52" i="1"/>
  <c r="F28" i="5"/>
  <c r="D42" i="1"/>
  <c r="F27" i="5" l="1"/>
  <c r="D41" i="1"/>
  <c r="C24" i="1"/>
  <c r="B25" i="1"/>
  <c r="G52" i="1"/>
  <c r="H52" i="1" l="1"/>
  <c r="B26" i="1"/>
  <c r="C25" i="1"/>
  <c r="D40" i="1"/>
  <c r="F26" i="5"/>
  <c r="I52" i="1" l="1"/>
  <c r="B27" i="1"/>
  <c r="C26" i="1"/>
  <c r="F25" i="5"/>
  <c r="D39" i="1"/>
  <c r="F24" i="5" l="1"/>
  <c r="D38" i="1"/>
  <c r="C27" i="1"/>
  <c r="B28" i="1"/>
  <c r="J52" i="1"/>
  <c r="K52" i="1" l="1"/>
  <c r="B29" i="1"/>
  <c r="C28" i="1"/>
  <c r="F23" i="5"/>
  <c r="D37" i="1"/>
  <c r="C29" i="1" l="1"/>
  <c r="B30" i="1"/>
  <c r="L52" i="1"/>
  <c r="F22" i="5"/>
  <c r="D36" i="1"/>
  <c r="F21" i="5" l="1"/>
  <c r="D35" i="1"/>
  <c r="B31" i="1"/>
  <c r="C30" i="1"/>
  <c r="M52" i="1"/>
  <c r="F20" i="5" l="1"/>
  <c r="D34" i="1"/>
  <c r="B32" i="1"/>
  <c r="C31" i="1"/>
  <c r="N52" i="1"/>
  <c r="F19" i="5" l="1"/>
  <c r="D33" i="1"/>
  <c r="O52" i="1"/>
  <c r="B33" i="1"/>
  <c r="C32" i="1"/>
  <c r="P52" i="1" l="1"/>
  <c r="B34" i="1"/>
  <c r="C33" i="1"/>
  <c r="F18" i="5"/>
  <c r="D32" i="1"/>
  <c r="F17" i="5" l="1"/>
  <c r="D31" i="1"/>
  <c r="B35" i="1"/>
  <c r="Q52" i="1"/>
  <c r="C34" i="1"/>
  <c r="C35" i="1" l="1"/>
  <c r="R52" i="1"/>
  <c r="B36" i="1"/>
  <c r="D30" i="1"/>
  <c r="F16" i="5"/>
  <c r="F15" i="5" l="1"/>
  <c r="D29" i="1"/>
  <c r="S52" i="1"/>
  <c r="B37" i="1"/>
  <c r="C36" i="1"/>
  <c r="B38" i="1" l="1"/>
  <c r="T52" i="1"/>
  <c r="C37" i="1"/>
  <c r="F14" i="5"/>
  <c r="D28" i="1"/>
  <c r="F13" i="5" l="1"/>
  <c r="D27" i="1"/>
  <c r="U52" i="1"/>
  <c r="B39" i="1"/>
  <c r="C38" i="1"/>
  <c r="B40" i="1" l="1"/>
  <c r="C39" i="1"/>
  <c r="V52" i="1"/>
  <c r="F12" i="5"/>
  <c r="D26" i="1"/>
  <c r="D25" i="1" l="1"/>
  <c r="F11" i="5"/>
  <c r="C40" i="1"/>
  <c r="B41" i="1"/>
  <c r="W52" i="1"/>
  <c r="X52" i="1" l="1"/>
  <c r="B42" i="1"/>
  <c r="C41" i="1"/>
  <c r="F10" i="5"/>
  <c r="D24" i="1"/>
  <c r="F9" i="5" l="1"/>
  <c r="D23" i="1"/>
  <c r="Y52" i="1"/>
  <c r="C42" i="1"/>
  <c r="B43" i="1"/>
  <c r="C43" i="1" l="1"/>
  <c r="B44" i="1"/>
  <c r="Z52" i="1"/>
  <c r="D22" i="1"/>
  <c r="F8" i="5"/>
  <c r="B45" i="1" l="1"/>
  <c r="C44" i="1"/>
  <c r="AA52" i="1"/>
  <c r="F7" i="5"/>
  <c r="D21" i="1"/>
  <c r="F6" i="5" l="1"/>
  <c r="D20" i="1"/>
  <c r="B46" i="1"/>
  <c r="C45" i="1"/>
  <c r="AB52" i="1"/>
  <c r="B47" i="1" l="1"/>
  <c r="C46" i="1"/>
  <c r="AC52" i="1"/>
  <c r="F5" i="5"/>
  <c r="D19" i="1"/>
  <c r="F4" i="5" s="1"/>
  <c r="M18" i="5"/>
  <c r="M7" i="5"/>
  <c r="M19" i="5"/>
  <c r="M24" i="5"/>
  <c r="M22" i="5"/>
  <c r="M6" i="5"/>
  <c r="M14" i="5"/>
  <c r="M4" i="5"/>
  <c r="M30" i="5"/>
  <c r="M27" i="5"/>
  <c r="M21" i="5"/>
  <c r="M5" i="5"/>
  <c r="M11" i="5"/>
  <c r="M17" i="5"/>
  <c r="M25" i="5"/>
  <c r="M12" i="5"/>
  <c r="M15" i="5"/>
  <c r="M29" i="5"/>
  <c r="M28" i="5"/>
  <c r="M10" i="5"/>
  <c r="M20" i="5"/>
  <c r="M16" i="5"/>
  <c r="M8" i="5"/>
  <c r="M9" i="5"/>
  <c r="M13" i="5"/>
  <c r="M23" i="5"/>
  <c r="M26" i="5"/>
  <c r="B13" i="7" l="1"/>
  <c r="B29" i="7"/>
  <c r="B14" i="7"/>
  <c r="B30" i="7"/>
  <c r="B16" i="7"/>
  <c r="B17" i="7"/>
  <c r="B18" i="7"/>
  <c r="B19" i="7"/>
  <c r="B20" i="7"/>
  <c r="B15" i="7"/>
  <c r="B21" i="7"/>
  <c r="B6" i="7"/>
  <c r="B22" i="7"/>
  <c r="B7" i="7"/>
  <c r="B23" i="7"/>
  <c r="B8" i="7"/>
  <c r="B24" i="7"/>
  <c r="B9" i="7"/>
  <c r="B25" i="7"/>
  <c r="B31" i="7"/>
  <c r="B10" i="7"/>
  <c r="B26" i="7"/>
  <c r="B11" i="7"/>
  <c r="B27" i="7"/>
  <c r="B12" i="7"/>
  <c r="B28" i="7"/>
  <c r="B5" i="7"/>
  <c r="B48" i="1"/>
  <c r="C47" i="1"/>
  <c r="AD52" i="1"/>
  <c r="D9" i="7"/>
  <c r="D23" i="7"/>
  <c r="D11" i="7"/>
  <c r="D6" i="7"/>
  <c r="G27" i="7"/>
  <c r="D29" i="7"/>
  <c r="D27" i="7"/>
  <c r="G28" i="7"/>
  <c r="D32" i="7"/>
  <c r="D24" i="7"/>
  <c r="D28" i="7"/>
  <c r="D13" i="7"/>
  <c r="D18" i="7"/>
  <c r="D5" i="7"/>
  <c r="D34" i="7"/>
  <c r="D8" i="7"/>
  <c r="D15" i="7"/>
  <c r="D14" i="7"/>
  <c r="D12" i="7"/>
  <c r="D22" i="7"/>
  <c r="D21" i="7"/>
  <c r="D30" i="7"/>
  <c r="D16" i="7"/>
  <c r="D31" i="7"/>
  <c r="D10" i="7"/>
  <c r="D20" i="7"/>
  <c r="D26" i="7"/>
  <c r="D25" i="7"/>
  <c r="D17" i="7"/>
  <c r="G29" i="7"/>
  <c r="D7" i="7"/>
  <c r="D19" i="7"/>
  <c r="D33" i="7"/>
  <c r="G25" i="1" l="1"/>
  <c r="G48" i="1"/>
  <c r="G33" i="1"/>
  <c r="G24" i="1"/>
  <c r="G32" i="1"/>
  <c r="G38" i="1"/>
  <c r="G39" i="1"/>
  <c r="G23" i="1"/>
  <c r="G31" i="1"/>
  <c r="G40" i="1"/>
  <c r="G28" i="1"/>
  <c r="G22" i="1"/>
  <c r="G30" i="1"/>
  <c r="G26" i="1"/>
  <c r="G34" i="1"/>
  <c r="G44" i="1"/>
  <c r="G37" i="1"/>
  <c r="G29" i="1"/>
  <c r="G42" i="1"/>
  <c r="G20" i="1"/>
  <c r="G35" i="1"/>
  <c r="G41" i="1"/>
  <c r="G45" i="1"/>
  <c r="G43" i="1"/>
  <c r="G47" i="1"/>
  <c r="G21" i="1"/>
  <c r="G36" i="1"/>
  <c r="G46" i="1"/>
  <c r="G27" i="1"/>
  <c r="G19"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48" i="1"/>
  <c r="AE52" i="1"/>
  <c r="I27" i="1"/>
  <c r="I32" i="1"/>
  <c r="I37" i="1"/>
  <c r="I41" i="1"/>
  <c r="I44" i="1"/>
  <c r="I35" i="1"/>
  <c r="I48" i="1"/>
  <c r="I20" i="1"/>
  <c r="I19" i="1"/>
  <c r="I40" i="1"/>
  <c r="I31" i="1"/>
  <c r="I22" i="1"/>
  <c r="I47" i="1"/>
  <c r="I46" i="1"/>
  <c r="I25" i="1"/>
  <c r="I21" i="1"/>
  <c r="I30" i="1"/>
  <c r="I24" i="1"/>
  <c r="I38" i="1"/>
  <c r="I29" i="1"/>
  <c r="I42" i="1"/>
  <c r="I39" i="1"/>
  <c r="I45" i="1"/>
  <c r="I28" i="1"/>
  <c r="I33" i="1"/>
  <c r="I43" i="1"/>
  <c r="I36" i="1"/>
  <c r="I26" i="1"/>
  <c r="I23" i="1"/>
  <c r="I34" i="1"/>
</calcChain>
</file>

<file path=xl/sharedStrings.xml><?xml version="1.0" encoding="utf-8"?>
<sst xmlns="http://schemas.openxmlformats.org/spreadsheetml/2006/main" count="427" uniqueCount="182">
  <si>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</si>
  <si>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</si>
  <si>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</si>
  <si>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</si>
  <si>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</si>
  <si>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</si>
  <si>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</si>
  <si>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</si>
  <si>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</si>
  <si>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</si>
  <si>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</si>
  <si>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</si>
  <si>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</si>
  <si>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</si>
  <si>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</si>
  <si>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</si>
  <si>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</si>
  <si>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</si>
  <si>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</si>
  <si>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</si>
  <si>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</si>
  <si>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</si>
  <si>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</si>
  <si>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</si>
  <si>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</si>
  <si>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</si>
  <si>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</si>
  <si>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</si>
  <si>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</si>
  <si>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</si>
  <si>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</si>
  <si>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</si>
  <si>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</si>
  <si>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</si>
  <si>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</si>
  <si>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</si>
  <si>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</si>
  <si>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</si>
  <si>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</si>
  <si>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</si>
  <si>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</si>
  <si>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</si>
  <si>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</si>
  <si>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</si>
  <si>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</si>
  <si>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ENSURE CALIBRATION THRESHOLDS LOADED INTO INSTRUMENT</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</si>
  <si>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</si>
  <si>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</si>
  <si>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</si>
  <si>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</si>
  <si>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</si>
  <si>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</si>
  <si>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</si>
  <si>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</si>
  <si>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</si>
  <si>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</si>
  <si>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</si>
  <si>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</si>
  <si>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</si>
  <si>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</si>
  <si>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</si>
  <si>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</si>
  <si>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</si>
  <si>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</si>
  <si>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</si>
  <si>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</si>
  <si>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</si>
  <si>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</si>
  <si>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</si>
  <si>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</si>
  <si>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</si>
  <si>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</si>
  <si>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</si>
  <si>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</si>
  <si>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</si>
  <si>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</si>
  <si>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</si>
  <si>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</si>
  <si>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</si>
  <si>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</si>
  <si>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</si>
  <si>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</si>
  <si>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</si>
  <si>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</si>
  <si>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</si>
  <si>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</si>
  <si>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</si>
  <si>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</si>
  <si>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</si>
  <si>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</si>
  <si>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</si>
  <si>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</si>
  <si>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</si>
  <si>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</si>
  <si>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</si>
  <si>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</si>
  <si>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</si>
  <si>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</si>
  <si>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</si>
  <si>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</si>
  <si>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</si>
  <si>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</si>
  <si>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</si>
  <si>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</si>
  <si>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</si>
  <si>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</si>
  <si>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</si>
  <si>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</si>
  <si>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</si>
  <si>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</si>
  <si>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</si>
  <si>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</si>
  <si>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</si>
  <si>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</si>
  <si>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</si>
  <si>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</si>
  <si>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</si>
  <si>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</si>
  <si>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</si>
  <si>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</si>
  <si>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</si>
  <si>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</si>
  <si>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</si>
  <si>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</si>
  <si>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11171-00001</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</si>
  <si>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</si>
  <si>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</si>
  <si>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</si>
  <si>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</si>
  <si>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</si>
  <si>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</si>
  <si>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</si>
  <si>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</si>
  <si>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</si>
  <si>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</si>
  <si>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</si>
  <si>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</si>
  <si>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</si>
  <si>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</si>
  <si>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</si>
  <si>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</si>
  <si>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</si>
  <si>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</si>
  <si>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</si>
  <si>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</si>
  <si>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</si>
  <si>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</si>
  <si>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</si>
  <si>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</si>
  <si>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</si>
  <si>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</si>
  <si>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</si>
  <si>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</si>
  <si>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</si>
  <si>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</si>
  <si>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</si>
  <si>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</si>
  <si>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</si>
  <si>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</si>
  <si>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</si>
  <si>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</si>
  <si>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</si>
  <si>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</si>
  <si>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</si>
  <si>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</si>
  <si>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</si>
  <si>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</si>
  <si>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</si>
  <si>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</si>
  <si>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</si>
  <si>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</si>
  <si>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</si>
  <si>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</si>
  <si>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</si>
  <si>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</si>
  <si>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</si>
  <si>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</si>
  <si>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</si>
  <si>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</si>
  <si>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</si>
  <si>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</si>
  <si>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SRM2806d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</si>
</sst>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1" x14ac:knownFonts="1">
    <font>
      <sz val="10"/>
      <name val="Arial"/>
      <family val="2"/>
    </font>
    <font>
      <sz val="11"/>
      <color theme="1"/>
      <name val="Arial"/>
      <family val="2"/>
      <scheme val="minor"/>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34998626667073579"/>
      <name val="Arial"/>
      <family val="2"/>
      <scheme val="minor"/>
    </font>
  </fonts>
  <fills count="7">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s>
  <borders count="29">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s>
  <cellStyleXfs count="6">
    <xf numFmtId="0" fontId="0" fillId="0" borderId="0"/>
    <xf numFmtId="9" fontId="4" fillId="0" borderId="0" applyFont="0" applyFill="0" applyBorder="0" applyAlignment="0" applyProtection="0"/>
    <xf numFmtId="0" fontId="3" fillId="2" borderId="1" applyNumberFormat="0" applyAlignment="0" applyProtection="0"/>
    <xf numFmtId="0" fontId="2" fillId="3" borderId="0" applyNumberFormat="0" applyBorder="0" applyAlignment="0" applyProtection="0"/>
    <xf numFmtId="0" fontId="24" fillId="0" borderId="22" applyNumberFormat="0" applyFill="0" applyAlignment="0" applyProtection="0"/>
    <xf numFmtId="0" fontId="29" fillId="0" borderId="0"/>
  </cellStyleXfs>
  <cellXfs count="158">
    <xf numFmtId="0" fontId="0" fillId="0" borderId="0" xfId="0"/>
    <xf numFmtId="0" fontId="5"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6" fillId="0" borderId="0" xfId="0" applyFont="1"/>
    <xf numFmtId="0" fontId="7" fillId="0" borderId="0" xfId="0" applyFont="1"/>
    <xf numFmtId="0" fontId="0" fillId="0" borderId="0" xfId="0" applyAlignment="1">
      <alignment horizontal="right" vertical="center"/>
    </xf>
    <xf numFmtId="0" fontId="4"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9" fillId="0" borderId="5" xfId="0" applyFont="1" applyBorder="1" applyAlignment="1">
      <alignment horizontal="right"/>
    </xf>
    <xf numFmtId="0" fontId="9" fillId="0" borderId="0" xfId="0" applyFont="1" applyAlignment="1">
      <alignment horizontal="right"/>
    </xf>
    <xf numFmtId="0" fontId="0" fillId="0" borderId="5" xfId="0" applyBorder="1"/>
    <xf numFmtId="1" fontId="0" fillId="0" borderId="0" xfId="0" applyNumberFormat="1"/>
    <xf numFmtId="0" fontId="8" fillId="0" borderId="0" xfId="0" applyFont="1"/>
    <xf numFmtId="164" fontId="0" fillId="0" borderId="0" xfId="0" applyNumberFormat="1" applyAlignment="1">
      <alignment horizontal="right" vertical="center"/>
    </xf>
    <xf numFmtId="2" fontId="4" fillId="0" borderId="0" xfId="0" applyNumberFormat="1" applyFont="1"/>
    <xf numFmtId="0" fontId="0" fillId="0" borderId="0" xfId="0" applyAlignment="1">
      <alignment horizontal="left"/>
    </xf>
    <xf numFmtId="0" fontId="2" fillId="3" borderId="0" xfId="3" applyAlignment="1">
      <alignment horizontal="left"/>
    </xf>
    <xf numFmtId="0" fontId="0" fillId="0" borderId="5" xfId="0" applyBorder="1" applyAlignment="1">
      <alignment horizontal="right"/>
    </xf>
    <xf numFmtId="165" fontId="0" fillId="0" borderId="0" xfId="0" applyNumberFormat="1" applyAlignment="1">
      <alignment horizontal="lef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1" fillId="0" borderId="0" xfId="0" applyFont="1"/>
    <xf numFmtId="0" fontId="9" fillId="0" borderId="0" xfId="0" applyFont="1"/>
    <xf numFmtId="0" fontId="10" fillId="0" borderId="0" xfId="0" applyFont="1"/>
    <xf numFmtId="164" fontId="0" fillId="0" borderId="0" xfId="0" applyNumberFormat="1"/>
    <xf numFmtId="165" fontId="0" fillId="0" borderId="0" xfId="0" applyNumberFormat="1"/>
    <xf numFmtId="166" fontId="9" fillId="0" borderId="0" xfId="0" applyNumberFormat="1" applyFont="1" applyAlignment="1">
      <alignment horizontal="right"/>
    </xf>
    <xf numFmtId="167" fontId="0" fillId="0" borderId="0" xfId="0" applyNumberFormat="1"/>
    <xf numFmtId="166" fontId="9" fillId="0" borderId="0" xfId="0" applyNumberFormat="1" applyFont="1"/>
    <xf numFmtId="1" fontId="0" fillId="0" borderId="0" xfId="0" applyNumberFormat="1" applyAlignment="1">
      <alignment horizontal="right"/>
    </xf>
    <xf numFmtId="10" fontId="0" fillId="0" borderId="0" xfId="0" applyNumberFormat="1"/>
    <xf numFmtId="0" fontId="0" fillId="0" borderId="13" xfId="0" applyBorder="1"/>
    <xf numFmtId="0" fontId="0" fillId="0" borderId="14" xfId="0" applyBorder="1" applyAlignment="1">
      <alignment horizontal="right"/>
    </xf>
    <xf numFmtId="0" fontId="0" fillId="0" borderId="13" xfId="0" applyBorder="1" applyAlignment="1">
      <alignment horizontal="right"/>
    </xf>
    <xf numFmtId="0" fontId="0" fillId="0" borderId="14" xfId="0" applyBorder="1"/>
    <xf numFmtId="0" fontId="0" fillId="0" borderId="15" xfId="0" applyBorder="1"/>
    <xf numFmtId="0" fontId="0" fillId="0" borderId="16" xfId="0" applyBorder="1" applyAlignment="1">
      <alignment horizontal="right"/>
    </xf>
    <xf numFmtId="0" fontId="0" fillId="0" borderId="17" xfId="0" applyBorder="1" applyAlignment="1">
      <alignment horizontal="right"/>
    </xf>
    <xf numFmtId="0" fontId="0" fillId="0" borderId="18" xfId="0" applyBorder="1" applyAlignment="1">
      <alignment horizontal="right"/>
    </xf>
    <xf numFmtId="0" fontId="0" fillId="0" borderId="19" xfId="0" applyBorder="1"/>
    <xf numFmtId="0" fontId="0" fillId="0" borderId="20" xfId="0" applyBorder="1"/>
    <xf numFmtId="0" fontId="0" fillId="0" borderId="16" xfId="0" applyBorder="1"/>
    <xf numFmtId="0" fontId="0" fillId="0" borderId="17" xfId="0" applyBorder="1"/>
    <xf numFmtId="0" fontId="0" fillId="0" borderId="18" xfId="0" applyBorder="1"/>
    <xf numFmtId="0" fontId="2" fillId="3" borderId="0" xfId="3"/>
    <xf numFmtId="0" fontId="14" fillId="0" borderId="0" xfId="0" applyFont="1"/>
    <xf numFmtId="0" fontId="15" fillId="0" borderId="0" xfId="0" applyFont="1" applyAlignment="1">
      <alignment horizontal="right"/>
    </xf>
    <xf numFmtId="0" fontId="15" fillId="0" borderId="0" xfId="0" applyFont="1"/>
    <xf numFmtId="0" fontId="16" fillId="0" borderId="0" xfId="0" applyFont="1"/>
    <xf numFmtId="0" fontId="0" fillId="4" borderId="21" xfId="0" applyFill="1" applyBorder="1" applyAlignment="1">
      <alignment horizontal="center" vertical="center" wrapText="1"/>
    </xf>
    <xf numFmtId="0" fontId="0" fillId="4" borderId="21" xfId="0" applyFill="1" applyBorder="1" applyAlignment="1">
      <alignment horizontal="center" wrapText="1"/>
    </xf>
    <xf numFmtId="0" fontId="9" fillId="5" borderId="21" xfId="0" applyFont="1" applyFill="1" applyBorder="1" applyAlignment="1">
      <alignment horizontal="center"/>
    </xf>
    <xf numFmtId="0" fontId="9" fillId="5" borderId="21" xfId="0" applyFont="1" applyFill="1" applyBorder="1" applyAlignment="1">
      <alignment horizontal="center" wrapText="1"/>
    </xf>
    <xf numFmtId="0" fontId="0" fillId="5" borderId="21" xfId="0" applyFill="1" applyBorder="1" applyAlignment="1">
      <alignment horizontal="center" vertical="center"/>
    </xf>
    <xf numFmtId="0" fontId="0" fillId="5" borderId="21" xfId="0" applyFill="1" applyBorder="1" applyAlignment="1">
      <alignment horizontal="center" wrapText="1"/>
    </xf>
    <xf numFmtId="0" fontId="0" fillId="5" borderId="21" xfId="0" applyFill="1" applyBorder="1" applyAlignment="1">
      <alignment horizontal="center"/>
    </xf>
    <xf numFmtId="0" fontId="18" fillId="5" borderId="21" xfId="0" applyFont="1" applyFill="1" applyBorder="1" applyAlignment="1">
      <alignment horizontal="center"/>
    </xf>
    <xf numFmtId="0" fontId="19" fillId="0" borderId="0" xfId="0" applyFont="1" applyAlignment="1">
      <alignment horizontal="right"/>
    </xf>
    <xf numFmtId="10" fontId="20" fillId="0" borderId="0" xfId="0" applyNumberFormat="1" applyFont="1" applyAlignment="1">
      <alignment horizontal="right"/>
    </xf>
    <xf numFmtId="0" fontId="0" fillId="6" borderId="21" xfId="0" applyFill="1" applyBorder="1"/>
    <xf numFmtId="0" fontId="0" fillId="0" borderId="21" xfId="0" applyBorder="1"/>
    <xf numFmtId="3" fontId="0" fillId="0" borderId="0" xfId="0" applyNumberFormat="1"/>
    <xf numFmtId="0" fontId="8" fillId="0" borderId="0" xfId="0" applyFont="1" applyAlignment="1">
      <alignment horizontal="right"/>
    </xf>
    <xf numFmtId="164" fontId="8" fillId="0" borderId="0" xfId="0" applyNumberFormat="1" applyFont="1" applyAlignment="1">
      <alignment horizontal="right"/>
    </xf>
    <xf numFmtId="0" fontId="7" fillId="0" borderId="0" xfId="0" applyFont="1" applyAlignment="1">
      <alignment horizontal="right"/>
    </xf>
    <xf numFmtId="164" fontId="7" fillId="0" borderId="0" xfId="0" applyNumberFormat="1" applyFont="1" applyAlignment="1">
      <alignment horizontal="right"/>
    </xf>
    <xf numFmtId="0" fontId="0" fillId="0" borderId="0" xfId="0" applyProtection="1">
      <protection locked="0"/>
    </xf>
    <xf numFmtId="0" fontId="0" fillId="0" borderId="14" xfId="0" applyBorder="1" applyProtection="1">
      <protection locked="0"/>
    </xf>
    <xf numFmtId="168" fontId="0" fillId="0" borderId="19" xfId="0" applyNumberFormat="1" applyBorder="1" applyProtection="1">
      <protection locked="0"/>
    </xf>
    <xf numFmtId="0" fontId="9" fillId="0" borderId="19" xfId="0" applyFont="1" applyBorder="1" applyProtection="1">
      <protection locked="0"/>
    </xf>
    <xf numFmtId="2" fontId="0" fillId="0" borderId="19" xfId="0" applyNumberFormat="1" applyBorder="1" applyProtection="1">
      <protection locked="0"/>
    </xf>
    <xf numFmtId="1" fontId="9" fillId="0" borderId="19" xfId="0" applyNumberFormat="1" applyFont="1" applyBorder="1" applyProtection="1">
      <protection locked="0"/>
    </xf>
    <xf numFmtId="1" fontId="0" fillId="0" borderId="19" xfId="0" applyNumberFormat="1" applyBorder="1" applyProtection="1">
      <protection locked="0"/>
    </xf>
    <xf numFmtId="166" fontId="0" fillId="0" borderId="19" xfId="0" applyNumberFormat="1" applyBorder="1"/>
    <xf numFmtId="0" fontId="9" fillId="0" borderId="19" xfId="0" applyFont="1" applyBorder="1"/>
    <xf numFmtId="0" fontId="21" fillId="0" borderId="0" xfId="0" applyFont="1"/>
    <xf numFmtId="2" fontId="0" fillId="0" borderId="0" xfId="0" applyNumberFormat="1"/>
    <xf numFmtId="0" fontId="23" fillId="0" borderId="0" xfId="0" applyFont="1" applyAlignment="1">
      <alignment vertical="center"/>
    </xf>
    <xf numFmtId="1" fontId="3" fillId="2" borderId="1" xfId="2" applyNumberFormat="1"/>
    <xf numFmtId="0" fontId="25" fillId="0" borderId="0" xfId="0" applyFont="1" applyAlignment="1">
      <alignment horizontal="right"/>
    </xf>
    <xf numFmtId="0" fontId="26" fillId="0" borderId="0" xfId="0" applyFont="1"/>
    <xf numFmtId="167" fontId="26" fillId="0" borderId="0" xfId="1" applyNumberFormat="1" applyFont="1"/>
    <xf numFmtId="166" fontId="26" fillId="0" borderId="0" xfId="0" applyNumberFormat="1" applyFont="1"/>
    <xf numFmtId="166" fontId="3" fillId="2" borderId="1" xfId="2" applyNumberFormat="1"/>
    <xf numFmtId="1" fontId="26" fillId="0" borderId="0" xfId="0" applyNumberFormat="1" applyFont="1"/>
    <xf numFmtId="0" fontId="18" fillId="0" borderId="21" xfId="0" applyFont="1" applyBorder="1" applyAlignment="1">
      <alignment horizontal="center" vertical="center"/>
    </xf>
    <xf numFmtId="0" fontId="18" fillId="0" borderId="21" xfId="0" applyFont="1" applyBorder="1" applyAlignment="1">
      <alignment horizontal="center" vertical="center" wrapText="1"/>
    </xf>
    <xf numFmtId="0" fontId="18" fillId="0" borderId="21" xfId="0" applyFont="1" applyBorder="1" applyAlignment="1">
      <alignment horizontal="center" wrapText="1"/>
    </xf>
    <xf numFmtId="0" fontId="18" fillId="0" borderId="21" xfId="0" applyFont="1" applyBorder="1" applyAlignment="1">
      <alignment horizontal="center"/>
    </xf>
    <xf numFmtId="1" fontId="26" fillId="0" borderId="14" xfId="0" applyNumberFormat="1" applyFont="1" applyBorder="1"/>
    <xf numFmtId="0" fontId="25" fillId="0" borderId="14" xfId="0" applyFont="1" applyBorder="1"/>
    <xf numFmtId="0" fontId="25" fillId="0" borderId="0" xfId="0" applyFont="1"/>
    <xf numFmtId="0" fontId="26" fillId="0" borderId="17" xfId="0" applyFont="1" applyBorder="1"/>
    <xf numFmtId="0" fontId="25" fillId="0" borderId="17" xfId="0" applyFont="1" applyBorder="1"/>
    <xf numFmtId="0" fontId="26" fillId="0" borderId="13" xfId="0" applyFont="1" applyBorder="1"/>
    <xf numFmtId="1" fontId="25" fillId="0" borderId="15" xfId="0" applyNumberFormat="1" applyFont="1" applyBorder="1"/>
    <xf numFmtId="0" fontId="26" fillId="0" borderId="19" xfId="0" applyFont="1" applyBorder="1"/>
    <xf numFmtId="1" fontId="25" fillId="0" borderId="20" xfId="0" applyNumberFormat="1" applyFont="1" applyBorder="1"/>
    <xf numFmtId="0" fontId="26" fillId="0" borderId="16" xfId="0" applyFont="1" applyBorder="1"/>
    <xf numFmtId="1" fontId="25" fillId="0" borderId="18" xfId="0" applyNumberFormat="1" applyFont="1" applyBorder="1"/>
    <xf numFmtId="0" fontId="0" fillId="0" borderId="2" xfId="0" applyBorder="1"/>
    <xf numFmtId="0" fontId="0" fillId="0" borderId="3" xfId="0" applyBorder="1"/>
    <xf numFmtId="0" fontId="3" fillId="2" borderId="25" xfId="2" applyBorder="1"/>
    <xf numFmtId="0" fontId="3" fillId="2" borderId="26" xfId="2" applyBorder="1"/>
    <xf numFmtId="0" fontId="3" fillId="2" borderId="27" xfId="2" applyBorder="1"/>
    <xf numFmtId="1" fontId="25" fillId="0" borderId="0" xfId="0" applyNumberFormat="1" applyFont="1"/>
    <xf numFmtId="165" fontId="3" fillId="2" borderId="1" xfId="2" applyNumberFormat="1"/>
    <xf numFmtId="0" fontId="29" fillId="0" borderId="0" xfId="5"/>
    <xf numFmtId="0" fontId="9"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3" fillId="2" borderId="25" xfId="2" applyNumberFormat="1" applyBorder="1"/>
    <xf numFmtId="1" fontId="3" fillId="2" borderId="26" xfId="2" applyNumberFormat="1" applyBorder="1"/>
    <xf numFmtId="1" fontId="3" fillId="2" borderId="27" xfId="2" applyNumberFormat="1" applyBorder="1"/>
    <xf numFmtId="164" fontId="2" fillId="3" borderId="0" xfId="3" applyNumberFormat="1" applyAlignment="1">
      <alignment horizontal="left"/>
    </xf>
    <xf numFmtId="166" fontId="27" fillId="2" borderId="1" xfId="2" applyNumberFormat="1" applyFont="1"/>
    <xf numFmtId="0" fontId="26" fillId="0" borderId="0" xfId="0" applyFont="1" applyAlignment="1">
      <alignment horizontal="right"/>
    </xf>
    <xf numFmtId="0" fontId="26" fillId="0" borderId="2" xfId="0" applyFont="1" applyBorder="1"/>
    <xf numFmtId="166" fontId="26" fillId="0" borderId="4" xfId="0" applyNumberFormat="1" applyFont="1" applyBorder="1"/>
    <xf numFmtId="0" fontId="26" fillId="0" borderId="5" xfId="0" applyFont="1" applyBorder="1"/>
    <xf numFmtId="166" fontId="26" fillId="0" borderId="6" xfId="0" applyNumberFormat="1" applyFont="1" applyBorder="1"/>
    <xf numFmtId="0" fontId="26" fillId="0" borderId="7" xfId="0" applyFont="1" applyBorder="1"/>
    <xf numFmtId="166" fontId="26" fillId="0" borderId="9" xfId="0" applyNumberFormat="1" applyFont="1" applyBorder="1"/>
    <xf numFmtId="0" fontId="24" fillId="0" borderId="22" xfId="4"/>
    <xf numFmtId="0" fontId="24" fillId="0" borderId="28" xfId="4" applyBorder="1" applyAlignment="1">
      <alignment horizontal="left"/>
    </xf>
    <xf numFmtId="0" fontId="29"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0" fontId="9" fillId="0" borderId="5" xfId="0" applyFont="1" applyBorder="1" applyProtection="1">
      <protection locked="0"/>
    </xf>
    <xf numFmtId="2" fontId="0" fillId="0" borderId="5" xfId="0" applyNumberFormat="1" applyBorder="1" applyProtection="1">
      <protection locked="0"/>
    </xf>
    <xf numFmtId="1" fontId="9" fillId="0" borderId="5" xfId="0" applyNumberFormat="1" applyFont="1" applyBorder="1" applyProtection="1">
      <protection locked="0"/>
    </xf>
    <xf numFmtId="166" fontId="0" fillId="0" borderId="5" xfId="0" applyNumberFormat="1" applyBorder="1"/>
    <xf numFmtId="0" fontId="0" fillId="0" borderId="8" xfId="0" applyBorder="1"/>
    <xf numFmtId="10" fontId="3" fillId="2" borderId="1" xfId="2" applyNumberFormat="1"/>
    <xf numFmtId="0" fontId="28" fillId="2" borderId="1" xfId="2" applyFont="1"/>
    <xf numFmtId="0" fontId="1" fillId="3" borderId="0" xfId="3" applyFont="1"/>
    <xf numFmtId="0" fontId="30" fillId="0" borderId="10" xfId="3" applyFont="1" applyFill="1" applyBorder="1"/>
    <xf numFmtId="164" fontId="30" fillId="0" borderId="11" xfId="3" applyNumberFormat="1" applyFont="1" applyFill="1" applyBorder="1"/>
    <xf numFmtId="0" fontId="30" fillId="0" borderId="11" xfId="3" applyFont="1" applyFill="1" applyBorder="1" applyAlignment="1">
      <alignment horizontal="right"/>
    </xf>
    <xf numFmtId="0" fontId="25" fillId="0" borderId="10" xfId="0" applyFont="1" applyBorder="1"/>
    <xf numFmtId="164" fontId="25" fillId="0" borderId="11" xfId="0" applyNumberFormat="1" applyFont="1" applyBorder="1"/>
    <xf numFmtId="0" fontId="25" fillId="0" borderId="12" xfId="0" applyFont="1" applyBorder="1" applyAlignment="1">
      <alignment horizontal="right"/>
    </xf>
    <xf numFmtId="0" fontId="10" fillId="0" borderId="0" xfId="0" applyFont="1" applyAlignment="1">
      <alignment horizontal="left" vertical="center"/>
    </xf>
    <xf numFmtId="0" fontId="0" fillId="0" borderId="0" xfId="0" applyAlignment="1">
      <alignment vertical="center" wrapText="1"/>
    </xf>
    <xf numFmtId="0" fontId="18" fillId="0" borderId="23" xfId="0" applyFont="1" applyBorder="1" applyAlignment="1">
      <alignment horizontal="center"/>
    </xf>
    <xf numFmtId="0" fontId="18" fillId="0" borderId="24" xfId="0" applyFont="1" applyBorder="1" applyAlignment="1">
      <alignment horizontal="center"/>
    </xf>
    <xf numFmtId="0" fontId="0" fillId="0" borderId="23" xfId="0" applyBorder="1" applyAlignment="1">
      <alignment wrapText="1"/>
    </xf>
    <xf numFmtId="0" fontId="0" fillId="0" borderId="24" xfId="0" applyBorder="1" applyAlignment="1">
      <alignment wrapText="1"/>
    </xf>
  </cellXfs>
  <cellStyles count="6">
    <cellStyle name="20% - Accent2" xfId="3" builtinId="34"/>
    <cellStyle name="Calculation" xfId="2" builtinId="22"/>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0</c:v>
                </c:pt>
                <c:pt idx="1">
                  <c:v>-2.6853662323431005E-2</c:v>
                </c:pt>
                <c:pt idx="2">
                  <c:v>1.3754906110764464E-2</c:v>
                </c:pt>
                <c:pt idx="3">
                  <c:v>3.3720238279870252E-2</c:v>
                </c:pt>
                <c:pt idx="4">
                  <c:v>-2.0621482067204044E-2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0</c:v>
                </c:pt>
                <c:pt idx="1">
                  <c:v>-2.9585511053295654E-2</c:v>
                </c:pt>
                <c:pt idx="2">
                  <c:v>1.6131603268757067E-2</c:v>
                </c:pt>
                <c:pt idx="3">
                  <c:v>3.467266438362393E-2</c:v>
                </c:pt>
                <c:pt idx="4">
                  <c:v>-2.121875659908512E-2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0</c:v>
                </c:pt>
                <c:pt idx="1">
                  <c:v>-3.0163614885022949E-2</c:v>
                </c:pt>
                <c:pt idx="2">
                  <c:v>1.5245732215965813E-2</c:v>
                </c:pt>
                <c:pt idx="3">
                  <c:v>3.6187175706944519E-2</c:v>
                </c:pt>
                <c:pt idx="4">
                  <c:v>-2.1269293037887382E-2</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0</c:v>
                </c:pt>
                <c:pt idx="1">
                  <c:v>-3.0808989397359432E-2</c:v>
                </c:pt>
                <c:pt idx="2">
                  <c:v>1.6736351359314172E-2</c:v>
                </c:pt>
                <c:pt idx="3">
                  <c:v>3.5427266169488547E-2</c:v>
                </c:pt>
                <c:pt idx="4">
                  <c:v>-2.135462813144362E-2</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0</c:v>
                </c:pt>
                <c:pt idx="1">
                  <c:v>-3.058912598202268E-2</c:v>
                </c:pt>
                <c:pt idx="2">
                  <c:v>1.4214769006356542E-2</c:v>
                </c:pt>
                <c:pt idx="3">
                  <c:v>3.6341489444261743E-2</c:v>
                </c:pt>
                <c:pt idx="4">
                  <c:v>-1.9967132468595827E-2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0</c:v>
                </c:pt>
                <c:pt idx="1">
                  <c:v>-3.1730783473343127E-2</c:v>
                </c:pt>
                <c:pt idx="2">
                  <c:v>1.6197644456016125E-2</c:v>
                </c:pt>
                <c:pt idx="3">
                  <c:v>3.5512720681345256E-2</c:v>
                </c:pt>
                <c:pt idx="4">
                  <c:v>-1.9979581664018031E-2</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0</c:v>
                </c:pt>
                <c:pt idx="1">
                  <c:v>-3.1255350764104572E-2</c:v>
                </c:pt>
                <c:pt idx="2">
                  <c:v>1.5624161605984899E-2</c:v>
                </c:pt>
                <c:pt idx="3">
                  <c:v>3.5098167313301953E-2</c:v>
                </c:pt>
                <c:pt idx="4">
                  <c:v>-1.9466978155182391E-2</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0</c:v>
                </c:pt>
                <c:pt idx="1">
                  <c:v>-2.9848898306028881E-2</c:v>
                </c:pt>
                <c:pt idx="2">
                  <c:v>1.5947891048550433E-2</c:v>
                </c:pt>
                <c:pt idx="3">
                  <c:v>3.4556689188437906E-2</c:v>
                </c:pt>
                <c:pt idx="4">
                  <c:v>-2.0655681930959569E-2</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0</c:v>
                </c:pt>
                <c:pt idx="1">
                  <c:v>-2.7643019447737727E-2</c:v>
                </c:pt>
                <c:pt idx="2">
                  <c:v>1.5254482066277664E-2</c:v>
                </c:pt>
                <c:pt idx="3">
                  <c:v>3.3664214981743434E-2</c:v>
                </c:pt>
                <c:pt idx="4">
                  <c:v>-2.1275677600283371E-2</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0</c:v>
                </c:pt>
                <c:pt idx="1">
                  <c:v>-3.1109215084968445E-2</c:v>
                </c:pt>
                <c:pt idx="2">
                  <c:v>1.6702707549733464E-2</c:v>
                </c:pt>
                <c:pt idx="3">
                  <c:v>3.4199614008215029E-2</c:v>
                </c:pt>
                <c:pt idx="4">
                  <c:v>-1.9793106472980493E-2</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0</c:v>
                </c:pt>
                <c:pt idx="1">
                  <c:v>-2.8898271975220546E-2</c:v>
                </c:pt>
                <c:pt idx="2">
                  <c:v>1.6379787430058412E-2</c:v>
                </c:pt>
                <c:pt idx="3">
                  <c:v>3.2424347622996175E-2</c:v>
                </c:pt>
                <c:pt idx="4">
                  <c:v>-1.9905863077834041E-2</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0</c:v>
                </c:pt>
                <c:pt idx="1">
                  <c:v>-2.6027488234160789E-2</c:v>
                </c:pt>
                <c:pt idx="2">
                  <c:v>1.4556727682141002E-2</c:v>
                </c:pt>
                <c:pt idx="3">
                  <c:v>3.5311748610724836E-2</c:v>
                </c:pt>
                <c:pt idx="4">
                  <c:v>-2.3840988058704715E-2</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0</c:v>
                </c:pt>
                <c:pt idx="1">
                  <c:v>-2.6494932785181335E-2</c:v>
                </c:pt>
                <c:pt idx="2">
                  <c:v>1.7847133926236713E-2</c:v>
                </c:pt>
                <c:pt idx="3">
                  <c:v>3.3620330330797588E-2</c:v>
                </c:pt>
                <c:pt idx="4">
                  <c:v>-2.4972531471852966E-2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0</c:v>
                </c:pt>
                <c:pt idx="1">
                  <c:v>-2.2136490090681415E-2</c:v>
                </c:pt>
                <c:pt idx="2">
                  <c:v>1.8820465615816406E-2</c:v>
                </c:pt>
                <c:pt idx="3">
                  <c:v>2.9445114899778968E-2</c:v>
                </c:pt>
                <c:pt idx="4">
                  <c:v>-2.6129090424914181E-2</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0</c:v>
                </c:pt>
                <c:pt idx="1">
                  <c:v>-2.8899665497653326E-2</c:v>
                </c:pt>
                <c:pt idx="2">
                  <c:v>1.7706613242715719E-2</c:v>
                </c:pt>
                <c:pt idx="3">
                  <c:v>3.5137021208921482E-2</c:v>
                </c:pt>
                <c:pt idx="4">
                  <c:v>-2.3943968953983985E-2</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0</c:v>
                </c:pt>
                <c:pt idx="1">
                  <c:v>-3.0350823857665521E-2</c:v>
                </c:pt>
                <c:pt idx="2">
                  <c:v>1.8356865249274712E-2</c:v>
                </c:pt>
                <c:pt idx="3">
                  <c:v>4.076733897610052E-2</c:v>
                </c:pt>
                <c:pt idx="4">
                  <c:v>-2.87733803677096E-2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0</c:v>
                </c:pt>
                <c:pt idx="1">
                  <c:v>-3.3389199320378871E-2</c:v>
                </c:pt>
                <c:pt idx="2">
                  <c:v>1.545054083334918E-2</c:v>
                </c:pt>
                <c:pt idx="3">
                  <c:v>4.7272832179954705E-2</c:v>
                </c:pt>
                <c:pt idx="4">
                  <c:v>-2.9334173692925125E-2</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0</c:v>
                </c:pt>
                <c:pt idx="1">
                  <c:v>-2.7976966423645111E-2</c:v>
                </c:pt>
                <c:pt idx="2">
                  <c:v>1.5844681539844752E-2</c:v>
                </c:pt>
                <c:pt idx="3">
                  <c:v>4.902412457380767E-2</c:v>
                </c:pt>
                <c:pt idx="4">
                  <c:v>-3.6891839690007089E-2</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0</c:v>
                </c:pt>
                <c:pt idx="1">
                  <c:v>-3.0331091658611697E-2</c:v>
                </c:pt>
                <c:pt idx="2">
                  <c:v>1.3534355894851968E-2</c:v>
                </c:pt>
                <c:pt idx="3">
                  <c:v>5.1974289750155833E-2</c:v>
                </c:pt>
                <c:pt idx="4">
                  <c:v>-3.5177553986395882E-2</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0</c:v>
                </c:pt>
                <c:pt idx="1">
                  <c:v>-4.2033362386221795E-2</c:v>
                </c:pt>
                <c:pt idx="2">
                  <c:v>2.6593199230355857E-2</c:v>
                </c:pt>
                <c:pt idx="3">
                  <c:v>5.9112649494282632E-2</c:v>
                </c:pt>
                <c:pt idx="4">
                  <c:v>-4.3672486338416805E-2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0</c:v>
                </c:pt>
                <c:pt idx="1">
                  <c:v>-5.666632974733854E-2</c:v>
                </c:pt>
                <c:pt idx="2">
                  <c:v>4.6559040598906254E-2</c:v>
                </c:pt>
                <c:pt idx="3">
                  <c:v>5.635538288606301E-2</c:v>
                </c:pt>
                <c:pt idx="4">
                  <c:v>-4.6248093737630724E-2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0</c:v>
                </c:pt>
                <c:pt idx="1">
                  <c:v>-7.1327784295462271E-2</c:v>
                </c:pt>
                <c:pt idx="2">
                  <c:v>3.7589180539901124E-2</c:v>
                </c:pt>
                <c:pt idx="3">
                  <c:v>6.9309419435188646E-2</c:v>
                </c:pt>
                <c:pt idx="4">
                  <c:v>-3.5570815679627388E-2</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0</c:v>
                </c:pt>
                <c:pt idx="1">
                  <c:v>-6.36196219562426E-2</c:v>
                </c:pt>
                <c:pt idx="2">
                  <c:v>5.3948277901695985E-2</c:v>
                </c:pt>
                <c:pt idx="3">
                  <c:v>5.9518120038246858E-2</c:v>
                </c:pt>
                <c:pt idx="4">
                  <c:v>-4.984677598370002E-2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0</c:v>
                </c:pt>
                <c:pt idx="1">
                  <c:v>-5.5716640446831112E-2</c:v>
                </c:pt>
                <c:pt idx="2">
                  <c:v>2.9177824465021596E-2</c:v>
                </c:pt>
                <c:pt idx="3">
                  <c:v>8.3002952941754193E-2</c:v>
                </c:pt>
                <c:pt idx="4">
                  <c:v>-5.6464136959944677E-2</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0</c:v>
                </c:pt>
                <c:pt idx="1">
                  <c:v>-5.0261237039953111E-2</c:v>
                </c:pt>
                <c:pt idx="2">
                  <c:v>3.8112871677586702E-2</c:v>
                </c:pt>
                <c:pt idx="3">
                  <c:v>6.0156821258281035E-2</c:v>
                </c:pt>
                <c:pt idx="4">
                  <c:v>-4.8008455895914848E-2</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0</c:v>
                </c:pt>
                <c:pt idx="1">
                  <c:v>-6.2650827483831995E-2</c:v>
                </c:pt>
                <c:pt idx="2">
                  <c:v>2.5809567196365402E-2</c:v>
                </c:pt>
                <c:pt idx="3">
                  <c:v>7.6161864843606653E-2</c:v>
                </c:pt>
                <c:pt idx="4">
                  <c:v>-3.9320604556140726E-2</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0</c:v>
                </c:pt>
                <c:pt idx="1">
                  <c:v>-7.8811362290704512E-2</c:v>
                </c:pt>
                <c:pt idx="2">
                  <c:v>3.5287392374764526E-2</c:v>
                </c:pt>
                <c:pt idx="3">
                  <c:v>9.401226010102337E-2</c:v>
                </c:pt>
                <c:pt idx="4">
                  <c:v>-5.0488290185083384E-2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0</c:v>
                </c:pt>
                <c:pt idx="1">
                  <c:v>-2.9657496154382845E-2</c:v>
                </c:pt>
                <c:pt idx="2">
                  <c:v>0.1003272689465029</c:v>
                </c:pt>
                <c:pt idx="3">
                  <c:v>7.1356440574880109E-2</c:v>
                </c:pt>
                <c:pt idx="4">
                  <c:v>-0.14202621336699983</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0</c:v>
                </c:pt>
                <c:pt idx="1">
                  <c:v>-1.1557275719316307E-2</c:v>
                </c:pt>
                <c:pt idx="2">
                  <c:v>5.9785250083183028E-2</c:v>
                </c:pt>
                <c:pt idx="3">
                  <c:v>3.6270786719448944E-2</c:v>
                </c:pt>
                <c:pt idx="4">
                  <c:v>-8.4498761083315888E-2</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0</c:v>
                </c:pt>
                <c:pt idx="1">
                  <c:v>-8.1840257739409505E-3</c:v>
                </c:pt>
                <c:pt idx="2">
                  <c:v>0.11736225077109608</c:v>
                </c:pt>
                <c:pt idx="3">
                  <c:v>-4.7639353437363141E-3</c:v>
                </c:pt>
                <c:pt idx="4">
                  <c:v>-0.10441428965341937</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-3.2070440256228849E-2</c:v>
                </c:pt>
                <c:pt idx="1">
                  <c:v>2.525282793975725E-2</c:v>
                </c:pt>
                <c:pt idx="2">
                  <c:v>-1.4015546405011126E-2</c:v>
                </c:pt>
                <c:pt idx="3">
                  <c:v>2.0833158721482725E-2</c:v>
                </c:pt>
                <c:pt idx="4">
                  <c:v>0</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-3.624621058635169E-2</c:v>
                </c:pt>
                <c:pt idx="1">
                  <c:v>2.682605156445339E-2</c:v>
                </c:pt>
                <c:pt idx="2">
                  <c:v>-1.2293810955396167E-2</c:v>
                </c:pt>
                <c:pt idx="3">
                  <c:v>2.1713969977294578E-2</c:v>
                </c:pt>
                <c:pt idx="4">
                  <c:v>0</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-3.6091551368780173E-2</c:v>
                </c:pt>
                <c:pt idx="1">
                  <c:v>2.6066579109127241E-2</c:v>
                </c:pt>
                <c:pt idx="2">
                  <c:v>-1.0874433735735378E-2</c:v>
                </c:pt>
                <c:pt idx="3">
                  <c:v>2.0899405995388642E-2</c:v>
                </c:pt>
                <c:pt idx="4">
                  <c:v>0</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-3.6737153427291225E-2</c:v>
                </c:pt>
                <c:pt idx="1">
                  <c:v>2.3890653493584102E-2</c:v>
                </c:pt>
                <c:pt idx="2">
                  <c:v>-7.8130897654653531E-3</c:v>
                </c:pt>
                <c:pt idx="3">
                  <c:v>2.0659589699171699E-2</c:v>
                </c:pt>
                <c:pt idx="4">
                  <c:v>0</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-3.8063465279029818E-2</c:v>
                </c:pt>
                <c:pt idx="1">
                  <c:v>2.2786682124273705E-2</c:v>
                </c:pt>
                <c:pt idx="2">
                  <c:v>-6.0458373494968187E-3</c:v>
                </c:pt>
                <c:pt idx="3">
                  <c:v>2.1322620504252932E-2</c:v>
                </c:pt>
                <c:pt idx="4">
                  <c:v>0</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-3.7368892426712041E-2</c:v>
                </c:pt>
                <c:pt idx="1">
                  <c:v>2.2213265852708997E-2</c:v>
                </c:pt>
                <c:pt idx="2">
                  <c:v>-6.2067217874672842E-3</c:v>
                </c:pt>
                <c:pt idx="3">
                  <c:v>2.1362348361470662E-2</c:v>
                </c:pt>
                <c:pt idx="4">
                  <c:v>0</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-3.7977325189285649E-2</c:v>
                </c:pt>
                <c:pt idx="1">
                  <c:v>2.4429125174063815E-2</c:v>
                </c:pt>
                <c:pt idx="2">
                  <c:v>-6.9417337941000135E-3</c:v>
                </c:pt>
                <c:pt idx="3">
                  <c:v>2.0489933809321847E-2</c:v>
                </c:pt>
                <c:pt idx="4">
                  <c:v>0</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-3.5529226983359807E-2</c:v>
                </c:pt>
                <c:pt idx="1">
                  <c:v>2.7339795303377823E-2</c:v>
                </c:pt>
                <c:pt idx="2">
                  <c:v>-9.8835229028566562E-3</c:v>
                </c:pt>
                <c:pt idx="3">
                  <c:v>1.8072954582838419E-2</c:v>
                </c:pt>
                <c:pt idx="4">
                  <c:v>0</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-3.479494842635944E-2</c:v>
                </c:pt>
                <c:pt idx="1">
                  <c:v>2.7389956241536506E-2</c:v>
                </c:pt>
                <c:pt idx="2">
                  <c:v>-1.0749883147607164E-2</c:v>
                </c:pt>
                <c:pt idx="3">
                  <c:v>1.8154875332430764E-2</c:v>
                </c:pt>
                <c:pt idx="4">
                  <c:v>0</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-3.4042048479364873E-2</c:v>
                </c:pt>
                <c:pt idx="1">
                  <c:v>2.6176133787007227E-2</c:v>
                </c:pt>
                <c:pt idx="2">
                  <c:v>-9.7446146533206601E-3</c:v>
                </c:pt>
                <c:pt idx="3">
                  <c:v>1.7610529345678971E-2</c:v>
                </c:pt>
                <c:pt idx="4">
                  <c:v>0</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-3.5217579977054325E-2</c:v>
                </c:pt>
                <c:pt idx="1">
                  <c:v>2.730655362173251E-2</c:v>
                </c:pt>
                <c:pt idx="2">
                  <c:v>-8.7154732072752816E-3</c:v>
                </c:pt>
                <c:pt idx="3">
                  <c:v>1.6626499562597319E-2</c:v>
                </c:pt>
                <c:pt idx="4">
                  <c:v>0</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-3.4723110408049651E-2</c:v>
                </c:pt>
                <c:pt idx="1">
                  <c:v>2.8590459167319837E-2</c:v>
                </c:pt>
                <c:pt idx="2">
                  <c:v>-9.7988093860782444E-3</c:v>
                </c:pt>
                <c:pt idx="3">
                  <c:v>1.5931460626807725E-2</c:v>
                </c:pt>
                <c:pt idx="4">
                  <c:v>0</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-3.7785911161776542E-2</c:v>
                </c:pt>
                <c:pt idx="1">
                  <c:v>3.1427884551932683E-2</c:v>
                </c:pt>
                <c:pt idx="2">
                  <c:v>-1.0247048199261366E-2</c:v>
                </c:pt>
                <c:pt idx="3">
                  <c:v>1.660507480910578E-2</c:v>
                </c:pt>
                <c:pt idx="4">
                  <c:v>0</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-3.4291180381386344E-2</c:v>
                </c:pt>
                <c:pt idx="1">
                  <c:v>2.7729132224978414E-2</c:v>
                </c:pt>
                <c:pt idx="2">
                  <c:v>-1.2470821043277458E-2</c:v>
                </c:pt>
                <c:pt idx="3">
                  <c:v>1.9032869199685498E-2</c:v>
                </c:pt>
                <c:pt idx="4">
                  <c:v>0</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-3.1884585484730277E-2</c:v>
                </c:pt>
                <c:pt idx="1">
                  <c:v>2.2143738026461746E-2</c:v>
                </c:pt>
                <c:pt idx="2">
                  <c:v>-5.9571607648256641E-3</c:v>
                </c:pt>
                <c:pt idx="3">
                  <c:v>1.5698008223094195E-2</c:v>
                </c:pt>
                <c:pt idx="4">
                  <c:v>0</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-3.3735640919913545E-2</c:v>
                </c:pt>
                <c:pt idx="1">
                  <c:v>2.6639450134640086E-2</c:v>
                </c:pt>
                <c:pt idx="2">
                  <c:v>-6.1725233704791327E-3</c:v>
                </c:pt>
                <c:pt idx="3">
                  <c:v>1.3268714155752592E-2</c:v>
                </c:pt>
                <c:pt idx="4">
                  <c:v>0</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-3.076931287346818E-2</c:v>
                </c:pt>
                <c:pt idx="1">
                  <c:v>2.2407291998699508E-2</c:v>
                </c:pt>
                <c:pt idx="2">
                  <c:v>-5.8256015797255589E-3</c:v>
                </c:pt>
                <c:pt idx="3">
                  <c:v>1.4187622454494342E-2</c:v>
                </c:pt>
                <c:pt idx="4">
                  <c:v>0</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-3.2693833910336534E-2</c:v>
                </c:pt>
                <c:pt idx="1">
                  <c:v>2.7189791055235002E-2</c:v>
                </c:pt>
                <c:pt idx="2">
                  <c:v>-3.175456049731018E-3</c:v>
                </c:pt>
                <c:pt idx="3">
                  <c:v>8.6794989048324389E-3</c:v>
                </c:pt>
                <c:pt idx="4">
                  <c:v>0</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-2.0539796457478943E-2</c:v>
                </c:pt>
                <c:pt idx="1">
                  <c:v>2.9620426037517023E-2</c:v>
                </c:pt>
                <c:pt idx="2">
                  <c:v>-1.235829110371478E-2</c:v>
                </c:pt>
                <c:pt idx="3">
                  <c:v>3.2776615236769224E-3</c:v>
                </c:pt>
                <c:pt idx="4">
                  <c:v>0</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-2.3842098781598597E-2</c:v>
                </c:pt>
                <c:pt idx="1">
                  <c:v>4.5235477987629169E-2</c:v>
                </c:pt>
                <c:pt idx="2">
                  <c:v>-1.6266182574848131E-2</c:v>
                </c:pt>
                <c:pt idx="3">
                  <c:v>-5.1271966311821071E-3</c:v>
                </c:pt>
                <c:pt idx="4">
                  <c:v>0</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-3.5906847396730557E-2</c:v>
                </c:pt>
                <c:pt idx="1">
                  <c:v>4.456152839472205E-2</c:v>
                </c:pt>
                <c:pt idx="2">
                  <c:v>8.234898972903304E-3</c:v>
                </c:pt>
                <c:pt idx="3">
                  <c:v>-1.6889579970894797E-2</c:v>
                </c:pt>
                <c:pt idx="4">
                  <c:v>0</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-9.9052940879682527E-3</c:v>
                </c:pt>
                <c:pt idx="1">
                  <c:v>5.46449173551673E-2</c:v>
                </c:pt>
                <c:pt idx="2">
                  <c:v>-1.3560695649283971E-4</c:v>
                </c:pt>
                <c:pt idx="3">
                  <c:v>-4.4604016310706207E-2</c:v>
                </c:pt>
                <c:pt idx="4">
                  <c:v>0</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-1.0232382069794488E-2</c:v>
                </c:pt>
                <c:pt idx="1">
                  <c:v>3.811324157254492E-2</c:v>
                </c:pt>
                <c:pt idx="2">
                  <c:v>1.192459893796749E-2</c:v>
                </c:pt>
                <c:pt idx="3">
                  <c:v>-3.9805458440718033E-2</c:v>
                </c:pt>
                <c:pt idx="4">
                  <c:v>0</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-1.6595452533340049E-2</c:v>
                </c:pt>
                <c:pt idx="1">
                  <c:v>6.2432104171352254E-2</c:v>
                </c:pt>
                <c:pt idx="2">
                  <c:v>-2.2370413847018211E-2</c:v>
                </c:pt>
                <c:pt idx="3">
                  <c:v>-2.3466237790993882E-2</c:v>
                </c:pt>
                <c:pt idx="4">
                  <c:v>0</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-4.4532949924054988E-2</c:v>
                </c:pt>
                <c:pt idx="1">
                  <c:v>9.1822635398751684E-2</c:v>
                </c:pt>
                <c:pt idx="2">
                  <c:v>-8.6200848358414239E-3</c:v>
                </c:pt>
                <c:pt idx="3">
                  <c:v>-3.8669600638855606E-2</c:v>
                </c:pt>
                <c:pt idx="4">
                  <c:v>0</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-5.5111858532645663E-2</c:v>
                </c:pt>
                <c:pt idx="1">
                  <c:v>8.2753995267584868E-2</c:v>
                </c:pt>
                <c:pt idx="2">
                  <c:v>1.5700467844111055E-2</c:v>
                </c:pt>
                <c:pt idx="3">
                  <c:v>-4.334260457905037E-2</c:v>
                </c:pt>
                <c:pt idx="4">
                  <c:v>0</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-5.8354803485170748E-2</c:v>
                </c:pt>
                <c:pt idx="1">
                  <c:v>8.2793268860592795E-2</c:v>
                </c:pt>
                <c:pt idx="2">
                  <c:v>1.8286994447696214E-2</c:v>
                </c:pt>
                <c:pt idx="3">
                  <c:v>-4.2725459823117928E-2</c:v>
                </c:pt>
                <c:pt idx="4">
                  <c:v>0</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-8.2171596992663742E-2</c:v>
                </c:pt>
                <c:pt idx="1">
                  <c:v>0.1327854467586751</c:v>
                </c:pt>
                <c:pt idx="2">
                  <c:v>3.3617486965259458E-2</c:v>
                </c:pt>
                <c:pt idx="3">
                  <c:v>-8.4231336731270479E-2</c:v>
                </c:pt>
                <c:pt idx="4">
                  <c:v>0</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-6.4448028705780924E-2</c:v>
                </c:pt>
                <c:pt idx="1">
                  <c:v>0.14708056521787416</c:v>
                </c:pt>
                <c:pt idx="2">
                  <c:v>-1.0750946484214596E-2</c:v>
                </c:pt>
                <c:pt idx="3">
                  <c:v>-7.1881590027879083E-2</c:v>
                </c:pt>
                <c:pt idx="4">
                  <c:v>0</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-1.3982330628088624E-2</c:v>
                </c:pt>
                <c:pt idx="1">
                  <c:v>0.17637991927377805</c:v>
                </c:pt>
                <c:pt idx="2">
                  <c:v>-2.7868256354585119E-2</c:v>
                </c:pt>
                <c:pt idx="3">
                  <c:v>-0.13452933229110464</c:v>
                </c:pt>
                <c:pt idx="4">
                  <c:v>0</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5.477221848430025E-3</c:v>
                </c:pt>
                <c:pt idx="1">
                  <c:v>-2.0420393595951047E-2</c:v>
                </c:pt>
                <c:pt idx="2">
                  <c:v>-1.848280011520842E-2</c:v>
                </c:pt>
                <c:pt idx="3">
                  <c:v>3.3425971862730108E-2</c:v>
                </c:pt>
                <c:pt idx="4">
                  <c:v>0</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3.8106481039952289E-3</c:v>
                </c:pt>
                <c:pt idx="1">
                  <c:v>-2.1151262694920736E-2</c:v>
                </c:pt>
                <c:pt idx="2">
                  <c:v>-1.5645652015985778E-2</c:v>
                </c:pt>
                <c:pt idx="3">
                  <c:v>3.2986266606911396E-2</c:v>
                </c:pt>
                <c:pt idx="4">
                  <c:v>0</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2.6355259858581448E-3</c:v>
                </c:pt>
                <c:pt idx="1">
                  <c:v>-2.0638673071934344E-2</c:v>
                </c:pt>
                <c:pt idx="2">
                  <c:v>-1.4481344239721694E-2</c:v>
                </c:pt>
                <c:pt idx="3">
                  <c:v>3.248449132579756E-2</c:v>
                </c:pt>
                <c:pt idx="4">
                  <c:v>0</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-3.7723989629312449E-4</c:v>
                </c:pt>
                <c:pt idx="1">
                  <c:v>-1.9352764678284062E-2</c:v>
                </c:pt>
                <c:pt idx="2">
                  <c:v>-1.3769807614017249E-2</c:v>
                </c:pt>
                <c:pt idx="3">
                  <c:v>3.3499812188594547E-2</c:v>
                </c:pt>
                <c:pt idx="4">
                  <c:v>0</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-1.0267148003109128E-3</c:v>
                </c:pt>
                <c:pt idx="1">
                  <c:v>-1.9713536945551557E-2</c:v>
                </c:pt>
                <c:pt idx="2">
                  <c:v>-1.2510373866556401E-2</c:v>
                </c:pt>
                <c:pt idx="3">
                  <c:v>3.3250625612419427E-2</c:v>
                </c:pt>
                <c:pt idx="4">
                  <c:v>0</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-1.2282366590307126E-3</c:v>
                </c:pt>
                <c:pt idx="1">
                  <c:v>-1.7641185841778761E-2</c:v>
                </c:pt>
                <c:pt idx="2">
                  <c:v>-1.4048302967436088E-2</c:v>
                </c:pt>
                <c:pt idx="3">
                  <c:v>3.2917725468245784E-2</c:v>
                </c:pt>
                <c:pt idx="4">
                  <c:v>0</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-2.0648877298514723E-3</c:v>
                </c:pt>
                <c:pt idx="1">
                  <c:v>-1.5487092960439819E-2</c:v>
                </c:pt>
                <c:pt idx="2">
                  <c:v>-1.3208299608889251E-2</c:v>
                </c:pt>
                <c:pt idx="3">
                  <c:v>3.0760280299180653E-2</c:v>
                </c:pt>
                <c:pt idx="4">
                  <c:v>0</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-1.2456304555422681E-3</c:v>
                </c:pt>
                <c:pt idx="1">
                  <c:v>-1.6058836002027399E-2</c:v>
                </c:pt>
                <c:pt idx="2">
                  <c:v>-1.2994391148584805E-2</c:v>
                </c:pt>
                <c:pt idx="3">
                  <c:v>3.0298857606154916E-2</c:v>
                </c:pt>
                <c:pt idx="4">
                  <c:v>0</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1.4613079431919918E-3</c:v>
                </c:pt>
                <c:pt idx="1">
                  <c:v>-1.596892214710488E-2</c:v>
                </c:pt>
                <c:pt idx="2">
                  <c:v>-1.5287741343742889E-2</c:v>
                </c:pt>
                <c:pt idx="3">
                  <c:v>2.9795355547655777E-2</c:v>
                </c:pt>
                <c:pt idx="4">
                  <c:v>0</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-8.8392659230118742E-4</c:v>
                </c:pt>
                <c:pt idx="1">
                  <c:v>-1.487197801272222E-2</c:v>
                </c:pt>
                <c:pt idx="2">
                  <c:v>-1.477919028433039E-2</c:v>
                </c:pt>
                <c:pt idx="3">
                  <c:v>3.0535094889353909E-2</c:v>
                </c:pt>
                <c:pt idx="4">
                  <c:v>0</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-2.1857186811162777E-3</c:v>
                </c:pt>
                <c:pt idx="1">
                  <c:v>-1.4843193654915821E-2</c:v>
                </c:pt>
                <c:pt idx="2">
                  <c:v>-1.4170541356081534E-2</c:v>
                </c:pt>
                <c:pt idx="3">
                  <c:v>3.1199453692113854E-2</c:v>
                </c:pt>
                <c:pt idx="4">
                  <c:v>0</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1.2533334955433517E-5</c:v>
                </c:pt>
                <c:pt idx="1">
                  <c:v>-1.2196947609566799E-2</c:v>
                </c:pt>
                <c:pt idx="2">
                  <c:v>-1.7292032220736164E-2</c:v>
                </c:pt>
                <c:pt idx="3">
                  <c:v>2.9476446495348085E-2</c:v>
                </c:pt>
                <c:pt idx="4">
                  <c:v>0</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1.2038650013104224E-3</c:v>
                </c:pt>
                <c:pt idx="1">
                  <c:v>-9.7471036082997786E-3</c:v>
                </c:pt>
                <c:pt idx="2">
                  <c:v>-1.6204535770729223E-2</c:v>
                </c:pt>
                <c:pt idx="3">
                  <c:v>2.474777437771869E-2</c:v>
                </c:pt>
                <c:pt idx="4">
                  <c:v>0</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-8.7011572441841878E-5</c:v>
                </c:pt>
                <c:pt idx="1">
                  <c:v>-1.0045897152883843E-2</c:v>
                </c:pt>
                <c:pt idx="2">
                  <c:v>-1.1688218974496345E-2</c:v>
                </c:pt>
                <c:pt idx="3">
                  <c:v>2.1821127699822584E-2</c:v>
                </c:pt>
                <c:pt idx="4">
                  <c:v>0</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3.8006129703220815E-3</c:v>
                </c:pt>
                <c:pt idx="1">
                  <c:v>-6.987651839118314E-3</c:v>
                </c:pt>
                <c:pt idx="2">
                  <c:v>-1.3924034303919419E-2</c:v>
                </c:pt>
                <c:pt idx="3">
                  <c:v>1.7111073172715763E-2</c:v>
                </c:pt>
                <c:pt idx="4">
                  <c:v>0</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5.386181329052997E-3</c:v>
                </c:pt>
                <c:pt idx="1">
                  <c:v>-3.498297432386055E-3</c:v>
                </c:pt>
                <c:pt idx="2">
                  <c:v>-1.5642463841047505E-2</c:v>
                </c:pt>
                <c:pt idx="3">
                  <c:v>1.3754579944380563E-2</c:v>
                </c:pt>
                <c:pt idx="4">
                  <c:v>0</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2.4897636559275682E-3</c:v>
                </c:pt>
                <c:pt idx="1">
                  <c:v>-5.0380882193302723E-3</c:v>
                </c:pt>
                <c:pt idx="2">
                  <c:v>-1.1701111513476636E-2</c:v>
                </c:pt>
                <c:pt idx="3">
                  <c:v>1.4249436076879674E-2</c:v>
                </c:pt>
                <c:pt idx="4">
                  <c:v>0</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5.0104637915993067E-3</c:v>
                </c:pt>
                <c:pt idx="1">
                  <c:v>-5.5889504423488612E-3</c:v>
                </c:pt>
                <c:pt idx="2">
                  <c:v>-1.9143362329500202E-2</c:v>
                </c:pt>
                <c:pt idx="3">
                  <c:v>1.9721848980249979E-2</c:v>
                </c:pt>
                <c:pt idx="4">
                  <c:v>0</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3.1985180244051836E-3</c:v>
                </c:pt>
                <c:pt idx="1">
                  <c:v>-1.6370202159281533E-2</c:v>
                </c:pt>
                <c:pt idx="2">
                  <c:v>-1.2519894030252554E-2</c:v>
                </c:pt>
                <c:pt idx="3">
                  <c:v>2.5691578165129014E-2</c:v>
                </c:pt>
                <c:pt idx="4">
                  <c:v>0</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1.4384389789761753E-2</c:v>
                </c:pt>
                <c:pt idx="1">
                  <c:v>-2.8518182008353321E-2</c:v>
                </c:pt>
                <c:pt idx="2">
                  <c:v>-1.9363423955550907E-2</c:v>
                </c:pt>
                <c:pt idx="3">
                  <c:v>3.3497216174142475E-2</c:v>
                </c:pt>
                <c:pt idx="4">
                  <c:v>0</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1.2000072976630305E-2</c:v>
                </c:pt>
                <c:pt idx="1">
                  <c:v>-2.0037481043287841E-2</c:v>
                </c:pt>
                <c:pt idx="2">
                  <c:v>-2.4215364252952565E-2</c:v>
                </c:pt>
                <c:pt idx="3">
                  <c:v>3.2252772319610212E-2</c:v>
                </c:pt>
                <c:pt idx="4">
                  <c:v>0</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-6.244400783846249E-3</c:v>
                </c:pt>
                <c:pt idx="1">
                  <c:v>-1.4316371438884534E-2</c:v>
                </c:pt>
                <c:pt idx="2">
                  <c:v>-1.428044990795152E-2</c:v>
                </c:pt>
                <c:pt idx="3">
                  <c:v>3.4841222130682636E-2</c:v>
                </c:pt>
                <c:pt idx="4">
                  <c:v>0</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-2.0438775524325159E-3</c:v>
                </c:pt>
                <c:pt idx="1">
                  <c:v>-2.8548654265533324E-2</c:v>
                </c:pt>
                <c:pt idx="2">
                  <c:v>-2.1851335381981363E-2</c:v>
                </c:pt>
                <c:pt idx="3">
                  <c:v>5.2443867199946981E-2</c:v>
                </c:pt>
                <c:pt idx="4">
                  <c:v>0</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-6.4109327962273976E-3</c:v>
                </c:pt>
                <c:pt idx="1">
                  <c:v>-4.1137385697561868E-2</c:v>
                </c:pt>
                <c:pt idx="2">
                  <c:v>-1.1717343976859751E-2</c:v>
                </c:pt>
                <c:pt idx="3">
                  <c:v>5.9265662470648683E-2</c:v>
                </c:pt>
                <c:pt idx="4">
                  <c:v>0</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-2.1374348895263795E-2</c:v>
                </c:pt>
                <c:pt idx="1">
                  <c:v>-1.6011643268429188E-2</c:v>
                </c:pt>
                <c:pt idx="2">
                  <c:v>-2.8097689842285223E-2</c:v>
                </c:pt>
                <c:pt idx="3">
                  <c:v>6.5483682005977872E-2</c:v>
                </c:pt>
                <c:pt idx="4">
                  <c:v>0</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-3.7105872075673174E-2</c:v>
                </c:pt>
                <c:pt idx="1">
                  <c:v>5.5707505692523807E-3</c:v>
                </c:pt>
                <c:pt idx="2">
                  <c:v>-1.6698506118820955E-2</c:v>
                </c:pt>
                <c:pt idx="3">
                  <c:v>4.8233627625241526E-2</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-1.5929805728447821E-2</c:v>
                </c:pt>
                <c:pt idx="1">
                  <c:v>0</c:v>
                </c:pt>
                <c:pt idx="2">
                  <c:v>-5.9155706002556041E-4</c:v>
                </c:pt>
                <c:pt idx="3">
                  <c:v>1.6521362788473937E-2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-1.9457012124313389E-2</c:v>
                </c:pt>
                <c:pt idx="1">
                  <c:v>0</c:v>
                </c:pt>
                <c:pt idx="2">
                  <c:v>1.105977485682641E-2</c:v>
                </c:pt>
                <c:pt idx="3">
                  <c:v>8.3972372674872009E-3</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-0.15287507773801723</c:v>
                </c:pt>
                <c:pt idx="1">
                  <c:v>6.3469786816865659E-2</c:v>
                </c:pt>
                <c:pt idx="2">
                  <c:v>9.3760595705969729E-2</c:v>
                </c:pt>
                <c:pt idx="3">
                  <c:v>-4.3553047848178261E-3</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-1.3990396275923134E-2</c:v>
                </c:pt>
                <c:pt idx="1">
                  <c:v>7.622460941999476E-2</c:v>
                </c:pt>
                <c:pt idx="2">
                  <c:v>5.0796906507824646E-2</c:v>
                </c:pt>
                <c:pt idx="3">
                  <c:v>-0.11303111965189627</c:v>
                </c:pt>
                <c:pt idx="4">
                  <c:v>0</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147.659450280584</c:v>
                </c:pt>
                <c:pt idx="1">
                  <c:v>244.99395201747345</c:v>
                </c:pt>
                <c:pt idx="2">
                  <c:v>381.85915077748371</c:v>
                </c:pt>
                <c:pt idx="3">
                  <c:v>536.20151395575056</c:v>
                </c:pt>
                <c:pt idx="4">
                  <c:v>729.34260450493684</c:v>
                </c:pt>
                <c:pt idx="5">
                  <c:v>949.57900818384758</c:v>
                </c:pt>
                <c:pt idx="6">
                  <c:v>1184.0958066609064</c:v>
                </c:pt>
                <c:pt idx="7">
                  <c:v>1444.1873948423834</c:v>
                </c:pt>
                <c:pt idx="8">
                  <c:v>1728.6899064572608</c:v>
                </c:pt>
                <c:pt idx="9">
                  <c:v>2028.8876107817332</c:v>
                </c:pt>
                <c:pt idx="10">
                  <c:v>2334.2675815282691</c:v>
                </c:pt>
                <c:pt idx="11">
                  <c:v>2660.9065053529625</c:v>
                </c:pt>
                <c:pt idx="12">
                  <c:v>2999.0507090869942</c:v>
                </c:pt>
                <c:pt idx="13">
                  <c:v>3335.4673971796897</c:v>
                </c:pt>
                <c:pt idx="14">
                  <c:v>3669.4783740145999</c:v>
                </c:pt>
                <c:pt idx="15">
                  <c:v>4033.3431166807522</c:v>
                </c:pt>
                <c:pt idx="16">
                  <c:v>4443.9021888414209</c:v>
                </c:pt>
                <c:pt idx="17">
                  <c:v>4930.1304762214968</c:v>
                </c:pt>
                <c:pt idx="18">
                  <c:v>5485.647765398825</c:v>
                </c:pt>
                <c:pt idx="19">
                  <c:v>6077.3375980462788</c:v>
                </c:pt>
                <c:pt idx="20">
                  <c:v>6727.4680216374545</c:v>
                </c:pt>
                <c:pt idx="21">
                  <c:v>7441.8471689839389</c:v>
                </c:pt>
                <c:pt idx="22">
                  <c:v>8212.4548709748997</c:v>
                </c:pt>
                <c:pt idx="23">
                  <c:v>9017.724073656831</c:v>
                </c:pt>
                <c:pt idx="24">
                  <c:v>9835.7629262689643</c:v>
                </c:pt>
                <c:pt idx="25">
                  <c:v>10642.029867910594</c:v>
                </c:pt>
                <c:pt idx="26">
                  <c:v>11551.511771767269</c:v>
                </c:pt>
                <c:pt idx="27">
                  <c:v>10053.20685088366</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6776</xdr:rowOff>
    </xdr:from>
    <xdr:to>
      <xdr:col>29</xdr:col>
      <xdr:colOff>555225</xdr:colOff>
      <xdr:row>77</xdr:row>
      <xdr:rowOff>83572</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85" zoomScaleNormal="85" workbookViewId="0">
      <selection activeCell="A14" sqref="A14"/>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31" t="s">
        <v>180</v>
      </c>
      <c r="F2" s="131" t="s">
        <v>1</v>
      </c>
      <c r="L2" s="132" t="s">
        <v>179</v>
      </c>
      <c r="M2" s="4"/>
      <c r="N2" s="4"/>
      <c r="O2" s="4"/>
      <c r="P2" s="4" t="s">
        <v>2</v>
      </c>
      <c r="Q2" s="133">
        <v>0.89</v>
      </c>
      <c r="R2" s="5" t="s">
        <v>3</v>
      </c>
    </row>
    <row r="3" spans="1:1024" ht="16.149999999999999" thickTop="1" x14ac:dyDescent="0.5">
      <c r="A3" s="6" t="s">
        <v>4</v>
      </c>
      <c r="B3" s="145" t="s">
        <v>181</v>
      </c>
      <c r="C3" s="7"/>
      <c r="E3" s="8" t="s">
        <v>5</v>
      </c>
      <c r="F3" s="114">
        <v>1</v>
      </c>
      <c r="G3" s="9"/>
      <c r="H3" s="9"/>
      <c r="L3" s="10" t="s">
        <v>6</v>
      </c>
      <c r="M3" s="11"/>
      <c r="N3" s="11"/>
      <c r="O3" s="11"/>
      <c r="P3" s="114">
        <v>1</v>
      </c>
      <c r="Q3" s="114">
        <v>90</v>
      </c>
      <c r="R3" s="12" t="s">
        <v>7</v>
      </c>
    </row>
    <row r="4" spans="1:1024" ht="13.9" x14ac:dyDescent="0.4">
      <c r="A4" s="7" t="s">
        <v>8</v>
      </c>
      <c r="B4" s="122">
        <v>46013</v>
      </c>
      <c r="C4" s="7"/>
      <c r="E4" s="8" t="s">
        <v>9</v>
      </c>
      <c r="F4" s="9">
        <v>0.86799999999999999</v>
      </c>
      <c r="G4" s="9"/>
      <c r="H4" s="9"/>
      <c r="L4" s="13" t="s">
        <v>10</v>
      </c>
      <c r="M4" s="14" t="s">
        <v>11</v>
      </c>
      <c r="N4" s="14" t="s">
        <v>12</v>
      </c>
      <c r="O4" s="14" t="s">
        <v>13</v>
      </c>
      <c r="P4" s="14" t="s">
        <v>14</v>
      </c>
      <c r="Q4" s="14" t="s">
        <v>15</v>
      </c>
      <c r="R4" s="12"/>
    </row>
    <row r="5" spans="1:1024" ht="13.9" x14ac:dyDescent="0.4">
      <c r="A5" s="7" t="s">
        <v>16</v>
      </c>
      <c r="B5" s="122" t="s">
        <v>17</v>
      </c>
      <c r="C5" s="7"/>
      <c r="L5" s="15">
        <v>1.5</v>
      </c>
      <c r="M5" s="16">
        <v>67392.070000000007</v>
      </c>
      <c r="N5" s="16"/>
      <c r="O5" s="16">
        <v>67392.070000000007</v>
      </c>
      <c r="P5" s="16">
        <f>O5*P$3</f>
        <v>67392.070000000007</v>
      </c>
      <c r="Q5" s="16">
        <f>P5*Q$2*Q$3</f>
        <v>5398104.807000001</v>
      </c>
      <c r="R5" s="12"/>
    </row>
    <row r="6" spans="1:1024" ht="13.9" x14ac:dyDescent="0.4">
      <c r="A6" s="7" t="s">
        <v>18</v>
      </c>
      <c r="B6" s="21" t="s">
        <v>123</v>
      </c>
      <c r="C6" s="17"/>
      <c r="E6" s="11" t="s">
        <v>19</v>
      </c>
      <c r="F6" s="14" t="s">
        <v>20</v>
      </c>
      <c r="G6" s="14" t="s">
        <v>21</v>
      </c>
      <c r="H6" s="14" t="s">
        <v>22</v>
      </c>
      <c r="I6" s="14" t="s">
        <v>23</v>
      </c>
      <c r="L6" s="15">
        <v>2</v>
      </c>
      <c r="M6" s="16">
        <v>41165</v>
      </c>
      <c r="N6" s="16"/>
      <c r="O6" s="16">
        <v>41165</v>
      </c>
      <c r="P6" s="16">
        <f t="shared" ref="P6:P34" si="0">O6*P$3</f>
        <v>41165</v>
      </c>
      <c r="Q6" s="16">
        <f t="shared" ref="Q6:Q34" si="1">P6*Q$2*Q$3</f>
        <v>3297316.5</v>
      </c>
      <c r="R6" s="12"/>
    </row>
    <row r="7" spans="1:1024" ht="13.9" x14ac:dyDescent="0.4">
      <c r="A7" s="7" t="s">
        <v>24</v>
      </c>
      <c r="B7" s="21" t="s">
        <v>124</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1439835.1470000001</v>
      </c>
      <c r="R7" s="12"/>
    </row>
    <row r="8" spans="1:1024" ht="13.9" x14ac:dyDescent="0.4">
      <c r="A8" s="7" t="s">
        <v>26</v>
      </c>
      <c r="B8" s="21" t="s">
        <v>123</v>
      </c>
      <c r="C8" s="7"/>
      <c r="E8" s="8" t="s">
        <v>27</v>
      </c>
      <c r="F8" s="114">
        <v>26.08</v>
      </c>
      <c r="G8" s="114">
        <v>26.08</v>
      </c>
      <c r="H8" s="114">
        <v>26.11</v>
      </c>
      <c r="I8" s="114">
        <v>26.16</v>
      </c>
      <c r="L8" s="15">
        <v>4</v>
      </c>
      <c r="M8" s="16">
        <v>10898.56</v>
      </c>
      <c r="N8" s="16">
        <v>10750.3</v>
      </c>
      <c r="O8" s="16">
        <v>10898.56</v>
      </c>
      <c r="P8" s="16">
        <f t="shared" si="0"/>
        <v>10898.56</v>
      </c>
      <c r="Q8" s="16">
        <f t="shared" si="1"/>
        <v>872974.65599999996</v>
      </c>
      <c r="R8" s="12"/>
    </row>
    <row r="9" spans="1:1024" ht="13.9" x14ac:dyDescent="0.4">
      <c r="A9" s="7" t="s">
        <v>28</v>
      </c>
      <c r="B9" s="21" t="s">
        <v>124</v>
      </c>
      <c r="C9" s="7"/>
      <c r="E9" s="18" t="s">
        <v>29</v>
      </c>
      <c r="F9" s="19">
        <f>(1/$F$3-1)*F8</f>
        <v>0</v>
      </c>
      <c r="G9" s="19">
        <f>(1/$F$3-1)*G8</f>
        <v>0</v>
      </c>
      <c r="H9" s="19">
        <f>(1/$F$3-1)*H8</f>
        <v>0</v>
      </c>
      <c r="I9" s="19">
        <f>(1/$F$3-1)*I8</f>
        <v>0</v>
      </c>
      <c r="L9" s="15">
        <v>5</v>
      </c>
      <c r="M9" s="16">
        <v>6986.32</v>
      </c>
      <c r="N9" s="16">
        <v>7121.1</v>
      </c>
      <c r="O9" s="16">
        <v>6986.32</v>
      </c>
      <c r="P9" s="16">
        <f t="shared" si="0"/>
        <v>6986.32</v>
      </c>
      <c r="Q9" s="16">
        <f t="shared" si="1"/>
        <v>559604.23199999996</v>
      </c>
      <c r="R9" s="12"/>
    </row>
    <row r="10" spans="1:1024" ht="13.9" x14ac:dyDescent="0.4">
      <c r="A10" s="17" t="s">
        <v>30</v>
      </c>
      <c r="B10" s="21" t="s">
        <v>31</v>
      </c>
      <c r="C10" s="7"/>
      <c r="E10" s="8" t="s">
        <v>32</v>
      </c>
      <c r="F10" s="114">
        <v>61</v>
      </c>
      <c r="G10" s="114">
        <v>61.18</v>
      </c>
      <c r="H10" s="114">
        <v>61.2</v>
      </c>
      <c r="I10" s="114">
        <v>61.09</v>
      </c>
      <c r="L10" s="15">
        <v>6</v>
      </c>
      <c r="M10" s="16">
        <v>4679.6499999999996</v>
      </c>
      <c r="N10" s="16">
        <v>4729.1000000000004</v>
      </c>
      <c r="O10" s="16">
        <v>4679.6499999999996</v>
      </c>
      <c r="P10" s="16">
        <f t="shared" si="0"/>
        <v>4679.6499999999996</v>
      </c>
      <c r="Q10" s="16">
        <f t="shared" si="1"/>
        <v>374839.96500000003</v>
      </c>
      <c r="R10" s="12"/>
    </row>
    <row r="11" spans="1:1024" ht="13.9" x14ac:dyDescent="0.4">
      <c r="B11" s="20"/>
      <c r="E11" s="8" t="s">
        <v>33</v>
      </c>
      <c r="F11" s="113">
        <f>IF($F3=1, 1, F8/(F8+F10))</f>
        <v>1</v>
      </c>
      <c r="G11" s="113">
        <f>IF($F3=1, 1, G8/(G8+G10))</f>
        <v>1</v>
      </c>
      <c r="H11" s="113">
        <f>IF($F3=1, 1, H8/(H8+H10))</f>
        <v>1</v>
      </c>
      <c r="I11" s="113">
        <f>IF($F3=1, 1, I8/(I8+I10))</f>
        <v>1</v>
      </c>
      <c r="L11" s="15">
        <v>7</v>
      </c>
      <c r="M11" s="16">
        <v>3163.23</v>
      </c>
      <c r="N11" s="16">
        <v>3199.3</v>
      </c>
      <c r="O11" s="16">
        <v>3163.23</v>
      </c>
      <c r="P11" s="16">
        <f t="shared" si="0"/>
        <v>3163.23</v>
      </c>
      <c r="Q11" s="16">
        <f t="shared" si="1"/>
        <v>253374.723</v>
      </c>
      <c r="R11" s="12"/>
    </row>
    <row r="12" spans="1:1024" ht="13.15" x14ac:dyDescent="0.4">
      <c r="A12" s="7" t="s">
        <v>34</v>
      </c>
      <c r="B12" s="114">
        <v>80</v>
      </c>
      <c r="C12" s="7"/>
      <c r="L12" s="15">
        <v>8</v>
      </c>
      <c r="M12" s="16">
        <v>2175.4699999999998</v>
      </c>
      <c r="N12" s="16">
        <v>2280.6</v>
      </c>
      <c r="O12" s="16">
        <v>2175.4699999999998</v>
      </c>
      <c r="P12" s="16">
        <f t="shared" si="0"/>
        <v>2175.4699999999998</v>
      </c>
      <c r="Q12" s="16">
        <f t="shared" si="1"/>
        <v>174255.147</v>
      </c>
      <c r="R12" s="12"/>
    </row>
    <row r="13" spans="1:1024" hidden="1" x14ac:dyDescent="0.35">
      <c r="B13" s="20"/>
      <c r="L13" s="22">
        <v>9</v>
      </c>
      <c r="M13" s="16">
        <v>1512.11</v>
      </c>
      <c r="N13" s="16">
        <v>1615</v>
      </c>
      <c r="O13" s="16">
        <v>1512.11</v>
      </c>
      <c r="P13" s="16">
        <f t="shared" si="0"/>
        <v>1512.11</v>
      </c>
      <c r="Q13" s="16">
        <f t="shared" si="1"/>
        <v>121120.01099999998</v>
      </c>
      <c r="R13" s="12"/>
    </row>
    <row r="14" spans="1:1024" x14ac:dyDescent="0.35">
      <c r="A14" t="s">
        <v>35</v>
      </c>
      <c r="B14" s="20">
        <f>B12*1.5</f>
        <v>120</v>
      </c>
      <c r="L14" s="15">
        <v>10</v>
      </c>
      <c r="M14" s="16">
        <v>1079.78</v>
      </c>
      <c r="N14" s="16">
        <v>1130.5</v>
      </c>
      <c r="O14" s="16">
        <v>1079.78</v>
      </c>
      <c r="P14" s="16">
        <f t="shared" si="0"/>
        <v>1079.78</v>
      </c>
      <c r="Q14" s="16">
        <f t="shared" si="1"/>
        <v>86490.377999999997</v>
      </c>
      <c r="R14" s="12"/>
    </row>
    <row r="15" spans="1:1024" ht="13.15" x14ac:dyDescent="0.4">
      <c r="A15" t="s">
        <v>36</v>
      </c>
      <c r="B15" s="114">
        <v>16000</v>
      </c>
      <c r="L15" s="15">
        <v>11</v>
      </c>
      <c r="M15" s="16">
        <v>786.62</v>
      </c>
      <c r="N15" s="16">
        <v>816.2</v>
      </c>
      <c r="O15" s="16">
        <v>786.62</v>
      </c>
      <c r="P15" s="16">
        <f t="shared" si="0"/>
        <v>786.62</v>
      </c>
      <c r="Q15" s="16">
        <f t="shared" si="1"/>
        <v>63008.262000000002</v>
      </c>
      <c r="R15" s="12"/>
    </row>
    <row r="16" spans="1:1024" x14ac:dyDescent="0.35">
      <c r="A16" t="s">
        <v>37</v>
      </c>
      <c r="B16" s="23">
        <f>10^((LOG(B15)-LOG(B14))/(30-1))</f>
        <v>1.1837874992800483</v>
      </c>
      <c r="L16" s="15">
        <v>12</v>
      </c>
      <c r="M16" s="16">
        <v>586.05999999999995</v>
      </c>
      <c r="N16" s="16">
        <v>618.6</v>
      </c>
      <c r="O16" s="16">
        <v>586.05999999999995</v>
      </c>
      <c r="P16" s="16">
        <f t="shared" si="0"/>
        <v>586.05999999999995</v>
      </c>
      <c r="Q16" s="16">
        <f t="shared" si="1"/>
        <v>46943.405999999995</v>
      </c>
      <c r="R16" s="12"/>
    </row>
    <row r="17" spans="1:18" x14ac:dyDescent="0.35">
      <c r="G17" t="s">
        <v>178</v>
      </c>
      <c r="L17" s="15">
        <v>13</v>
      </c>
      <c r="M17" s="16">
        <v>449.93</v>
      </c>
      <c r="N17" s="16">
        <v>481.9</v>
      </c>
      <c r="O17" s="16">
        <v>449.93</v>
      </c>
      <c r="P17" s="16">
        <f t="shared" si="0"/>
        <v>449.93</v>
      </c>
      <c r="Q17" s="16">
        <f t="shared" si="1"/>
        <v>36039.393000000004</v>
      </c>
      <c r="R17" s="12"/>
    </row>
    <row r="18" spans="1:18" ht="13.15" thickBot="1" x14ac:dyDescent="0.4">
      <c r="A18" s="11" t="s">
        <v>38</v>
      </c>
      <c r="B18" s="124" t="s">
        <v>39</v>
      </c>
      <c r="C18" s="124" t="s">
        <v>40</v>
      </c>
      <c r="D18" s="124" t="s">
        <v>41</v>
      </c>
      <c r="G18" s="11" t="s">
        <v>177</v>
      </c>
      <c r="H18" s="11" t="str">
        <f>B18</f>
        <v>Initial Value</v>
      </c>
      <c r="I18" s="11" t="s">
        <v>174</v>
      </c>
      <c r="L18" s="15">
        <v>14</v>
      </c>
      <c r="M18" s="16">
        <v>352.62</v>
      </c>
      <c r="N18" s="16">
        <v>384.7</v>
      </c>
      <c r="O18" s="16">
        <v>352.62</v>
      </c>
      <c r="P18" s="16">
        <f t="shared" si="0"/>
        <v>352.62</v>
      </c>
      <c r="Q18" s="16">
        <f t="shared" si="1"/>
        <v>28244.861999999997</v>
      </c>
      <c r="R18" s="12"/>
    </row>
    <row r="19" spans="1:18" x14ac:dyDescent="0.35">
      <c r="A19">
        <v>4</v>
      </c>
      <c r="B19" s="89">
        <f>B12*1.5</f>
        <v>120</v>
      </c>
      <c r="C19" s="91">
        <f t="shared" ref="C19:C48" si="2">INT($B19+0.5)</f>
        <v>120</v>
      </c>
      <c r="D19" s="91">
        <f t="shared" ref="D19:D47" si="3">D20*B$16</f>
        <v>16000.000000000053</v>
      </c>
      <c r="E19" s="11"/>
      <c r="F19" s="125">
        <f>'6 - Curve'!C5</f>
        <v>4</v>
      </c>
      <c r="G19" s="126">
        <f>'6 - Curve'!D5</f>
        <v>147.659450280584</v>
      </c>
      <c r="H19" s="91">
        <f t="shared" ref="H19:H48" si="4">B19</f>
        <v>120</v>
      </c>
      <c r="I19" s="123">
        <f t="shared" ref="I19:I48" si="5">CubicSpline(B19,$G$19:$G$48, $F$19:$F$48)</f>
        <v>0</v>
      </c>
      <c r="L19" s="15">
        <v>15</v>
      </c>
      <c r="M19" s="16">
        <v>282.04000000000002</v>
      </c>
      <c r="N19" s="16">
        <v>314.60000000000002</v>
      </c>
      <c r="O19" s="16">
        <v>282.04000000000002</v>
      </c>
      <c r="P19" s="16">
        <f t="shared" si="0"/>
        <v>282.04000000000002</v>
      </c>
      <c r="Q19" s="16">
        <f t="shared" si="1"/>
        <v>22591.404000000002</v>
      </c>
      <c r="R19" s="12"/>
    </row>
    <row r="20" spans="1:18" x14ac:dyDescent="0.35">
      <c r="A20">
        <v>5</v>
      </c>
      <c r="B20" s="89">
        <f t="shared" ref="B20:B48" si="6">B19*B$16</f>
        <v>142.05449991360581</v>
      </c>
      <c r="C20" s="91">
        <f t="shared" si="2"/>
        <v>142</v>
      </c>
      <c r="D20" s="91">
        <f t="shared" si="3"/>
        <v>13515.939313205179</v>
      </c>
      <c r="F20" s="127">
        <f>'6 - Curve'!C6</f>
        <v>5</v>
      </c>
      <c r="G20" s="128">
        <f>'6 - Curve'!D6</f>
        <v>244.99395201747345</v>
      </c>
      <c r="H20" s="91">
        <f t="shared" si="4"/>
        <v>142.05449991360581</v>
      </c>
      <c r="I20" s="123">
        <f t="shared" si="5"/>
        <v>0</v>
      </c>
      <c r="L20" s="15">
        <v>16</v>
      </c>
      <c r="M20" s="16">
        <v>229.42</v>
      </c>
      <c r="N20" s="16">
        <v>261.8</v>
      </c>
      <c r="O20" s="16">
        <v>229.42</v>
      </c>
      <c r="P20" s="16">
        <f t="shared" si="0"/>
        <v>229.42</v>
      </c>
      <c r="Q20" s="16">
        <f t="shared" si="1"/>
        <v>18376.541999999998</v>
      </c>
      <c r="R20" s="12"/>
    </row>
    <row r="21" spans="1:18" x14ac:dyDescent="0.35">
      <c r="A21">
        <v>6</v>
      </c>
      <c r="B21" s="89">
        <f t="shared" si="6"/>
        <v>168.16234121420527</v>
      </c>
      <c r="C21" s="91">
        <f t="shared" si="2"/>
        <v>168</v>
      </c>
      <c r="D21" s="91">
        <f t="shared" si="3"/>
        <v>11417.538469890293</v>
      </c>
      <c r="F21" s="127">
        <f>'6 - Curve'!C7</f>
        <v>6</v>
      </c>
      <c r="G21" s="128">
        <f>'6 - Curve'!D7</f>
        <v>381.85915077748371</v>
      </c>
      <c r="H21" s="91">
        <f t="shared" si="4"/>
        <v>168.16234121420527</v>
      </c>
      <c r="I21" s="123">
        <f t="shared" si="5"/>
        <v>4.2276321440246063</v>
      </c>
      <c r="L21" s="15">
        <v>17</v>
      </c>
      <c r="M21" s="16">
        <v>186.1</v>
      </c>
      <c r="N21" s="16">
        <v>221.2</v>
      </c>
      <c r="O21" s="16">
        <v>186.1</v>
      </c>
      <c r="P21" s="16">
        <f t="shared" si="0"/>
        <v>186.1</v>
      </c>
      <c r="Q21" s="16">
        <f t="shared" si="1"/>
        <v>14906.609999999999</v>
      </c>
      <c r="R21" s="12"/>
    </row>
    <row r="22" spans="1:18" x14ac:dyDescent="0.35">
      <c r="A22">
        <v>7</v>
      </c>
      <c r="B22" s="89">
        <f t="shared" si="6"/>
        <v>199.06847737904226</v>
      </c>
      <c r="C22" s="91">
        <f t="shared" si="2"/>
        <v>199</v>
      </c>
      <c r="D22" s="91">
        <f t="shared" si="3"/>
        <v>9644.9223165763869</v>
      </c>
      <c r="F22" s="127">
        <f>'6 - Curve'!C8</f>
        <v>7</v>
      </c>
      <c r="G22" s="128">
        <f>'6 - Curve'!D8</f>
        <v>536.20151395575056</v>
      </c>
      <c r="H22" s="91">
        <f t="shared" si="4"/>
        <v>199.06847737904226</v>
      </c>
      <c r="I22" s="123">
        <f t="shared" si="5"/>
        <v>4.5603088146099759</v>
      </c>
      <c r="L22" s="15">
        <v>18</v>
      </c>
      <c r="M22" s="16">
        <v>153.87</v>
      </c>
      <c r="N22" s="16">
        <v>188.7</v>
      </c>
      <c r="O22" s="16">
        <v>153.87</v>
      </c>
      <c r="P22" s="16">
        <f t="shared" si="0"/>
        <v>153.87</v>
      </c>
      <c r="Q22" s="16">
        <f t="shared" si="1"/>
        <v>12324.986999999999</v>
      </c>
      <c r="R22" s="12"/>
    </row>
    <row r="23" spans="1:18" x14ac:dyDescent="0.35">
      <c r="A23">
        <v>8</v>
      </c>
      <c r="B23" s="89">
        <f t="shared" si="6"/>
        <v>235.6547750220233</v>
      </c>
      <c r="C23" s="91">
        <f t="shared" si="2"/>
        <v>236</v>
      </c>
      <c r="D23" s="91">
        <f t="shared" si="3"/>
        <v>8147.5115444640205</v>
      </c>
      <c r="F23" s="127">
        <f>'6 - Curve'!C9</f>
        <v>8</v>
      </c>
      <c r="G23" s="128">
        <f>'6 - Curve'!D9</f>
        <v>729.34260450493684</v>
      </c>
      <c r="H23" s="91">
        <f t="shared" si="4"/>
        <v>235.6547750220233</v>
      </c>
      <c r="I23" s="123">
        <f t="shared" si="5"/>
        <v>4.9179896908996934</v>
      </c>
      <c r="L23" s="15">
        <v>19</v>
      </c>
      <c r="M23" s="16">
        <v>128.62</v>
      </c>
      <c r="N23" s="16">
        <v>161</v>
      </c>
      <c r="O23" s="16">
        <v>128.62</v>
      </c>
      <c r="P23" s="16">
        <f t="shared" si="0"/>
        <v>128.62</v>
      </c>
      <c r="Q23" s="16">
        <f t="shared" si="1"/>
        <v>10302.462</v>
      </c>
      <c r="R23" s="12"/>
    </row>
    <row r="24" spans="1:18" x14ac:dyDescent="0.35">
      <c r="A24">
        <v>9</v>
      </c>
      <c r="B24" s="89">
        <f t="shared" si="6"/>
        <v>278.96517681672339</v>
      </c>
      <c r="C24" s="91">
        <f t="shared" si="2"/>
        <v>279</v>
      </c>
      <c r="D24" s="91">
        <f t="shared" si="3"/>
        <v>6882.5794742883709</v>
      </c>
      <c r="F24" s="127">
        <f>'6 - Curve'!C10</f>
        <v>9</v>
      </c>
      <c r="G24" s="128">
        <f>'6 - Curve'!D10</f>
        <v>949.57900818384758</v>
      </c>
      <c r="H24" s="91">
        <f t="shared" si="4"/>
        <v>278.96517681672339</v>
      </c>
      <c r="I24" s="123">
        <f t="shared" si="5"/>
        <v>5.2746679174809712</v>
      </c>
      <c r="L24" s="15">
        <v>20</v>
      </c>
      <c r="M24" s="16">
        <v>107.35</v>
      </c>
      <c r="N24" s="16">
        <v>136.4</v>
      </c>
      <c r="O24" s="16">
        <v>107.35</v>
      </c>
      <c r="P24" s="16">
        <f t="shared" si="0"/>
        <v>107.35</v>
      </c>
      <c r="Q24" s="16">
        <f t="shared" si="1"/>
        <v>8598.7350000000006</v>
      </c>
      <c r="R24" s="12"/>
    </row>
    <row r="25" spans="1:18" x14ac:dyDescent="0.35">
      <c r="A25">
        <v>10</v>
      </c>
      <c r="B25" s="89">
        <f t="shared" si="6"/>
        <v>330.2354890500855</v>
      </c>
      <c r="C25" s="91">
        <f t="shared" si="2"/>
        <v>330</v>
      </c>
      <c r="D25" s="91">
        <f t="shared" si="3"/>
        <v>5814.0329057995577</v>
      </c>
      <c r="E25" s="24"/>
      <c r="F25" s="127">
        <f>'6 - Curve'!C11</f>
        <v>10</v>
      </c>
      <c r="G25" s="128">
        <f>'6 - Curve'!D11</f>
        <v>1184.0958066609064</v>
      </c>
      <c r="H25" s="91">
        <f t="shared" si="4"/>
        <v>330.2354890500855</v>
      </c>
      <c r="I25" s="123">
        <f t="shared" si="5"/>
        <v>5.6465508345316726</v>
      </c>
      <c r="L25" s="15">
        <v>21</v>
      </c>
      <c r="M25" s="16">
        <v>88.64</v>
      </c>
      <c r="N25" s="16">
        <v>114.4</v>
      </c>
      <c r="O25" s="16">
        <v>88.64</v>
      </c>
      <c r="P25" s="16">
        <f t="shared" si="0"/>
        <v>88.64</v>
      </c>
      <c r="Q25" s="16">
        <f t="shared" si="1"/>
        <v>7100.0640000000003</v>
      </c>
      <c r="R25" s="12"/>
    </row>
    <row r="26" spans="1:18" x14ac:dyDescent="0.35">
      <c r="A26">
        <v>11</v>
      </c>
      <c r="B26" s="89">
        <f t="shared" si="6"/>
        <v>390.92864375612453</v>
      </c>
      <c r="C26" s="91">
        <f t="shared" si="2"/>
        <v>391</v>
      </c>
      <c r="D26" s="91">
        <f t="shared" si="3"/>
        <v>4911.3822449852833</v>
      </c>
      <c r="E26" s="24"/>
      <c r="F26" s="127">
        <f>'6 - Curve'!C12</f>
        <v>11</v>
      </c>
      <c r="G26" s="128">
        <f>'6 - Curve'!D12</f>
        <v>1444.1873948423834</v>
      </c>
      <c r="H26" s="91">
        <f t="shared" si="4"/>
        <v>390.92864375612453</v>
      </c>
      <c r="I26" s="123">
        <f t="shared" si="5"/>
        <v>6.0622494558111111</v>
      </c>
      <c r="L26" s="15">
        <v>22</v>
      </c>
      <c r="M26" s="16">
        <v>75.56</v>
      </c>
      <c r="N26" s="16">
        <v>95.3</v>
      </c>
      <c r="O26" s="16">
        <v>75.56</v>
      </c>
      <c r="P26" s="16">
        <f t="shared" si="0"/>
        <v>75.56</v>
      </c>
      <c r="Q26" s="16">
        <f t="shared" si="1"/>
        <v>6052.3560000000007</v>
      </c>
      <c r="R26" s="12"/>
    </row>
    <row r="27" spans="1:18" x14ac:dyDescent="0.35">
      <c r="A27">
        <v>12</v>
      </c>
      <c r="B27" s="89">
        <f t="shared" si="6"/>
        <v>462.77644158900353</v>
      </c>
      <c r="C27" s="91">
        <f t="shared" si="2"/>
        <v>463</v>
      </c>
      <c r="D27" s="91">
        <f t="shared" si="3"/>
        <v>4148.8715229483923</v>
      </c>
      <c r="E27" s="24"/>
      <c r="F27" s="127">
        <f>'6 - Curve'!C13</f>
        <v>12</v>
      </c>
      <c r="G27" s="128">
        <f>'6 - Curve'!D13</f>
        <v>1728.6899064572608</v>
      </c>
      <c r="H27" s="91">
        <f t="shared" si="4"/>
        <v>462.77644158900353</v>
      </c>
      <c r="I27" s="123">
        <f t="shared" si="5"/>
        <v>6.5459925295732564</v>
      </c>
      <c r="L27" s="15">
        <v>23</v>
      </c>
      <c r="M27" s="16">
        <v>61.94</v>
      </c>
      <c r="N27" s="16">
        <v>79</v>
      </c>
      <c r="O27" s="16">
        <v>61.94</v>
      </c>
      <c r="P27" s="16">
        <f t="shared" si="0"/>
        <v>61.94</v>
      </c>
      <c r="Q27" s="16">
        <f t="shared" si="1"/>
        <v>4961.3939999999993</v>
      </c>
      <c r="R27" s="12"/>
    </row>
    <row r="28" spans="1:18" x14ac:dyDescent="0.35">
      <c r="A28">
        <v>13</v>
      </c>
      <c r="B28" s="89">
        <f t="shared" si="6"/>
        <v>547.82896651436579</v>
      </c>
      <c r="C28" s="91">
        <f t="shared" si="2"/>
        <v>548</v>
      </c>
      <c r="D28" s="91">
        <f t="shared" si="3"/>
        <v>3504.7434826534645</v>
      </c>
      <c r="E28" s="24"/>
      <c r="F28" s="127">
        <f>'6 - Curve'!C14</f>
        <v>13</v>
      </c>
      <c r="G28" s="128">
        <f>'6 - Curve'!D14</f>
        <v>2028.8876107817332</v>
      </c>
      <c r="H28" s="91">
        <f t="shared" si="4"/>
        <v>547.82896651436579</v>
      </c>
      <c r="I28" s="123">
        <f t="shared" si="5"/>
        <v>7.0663620501496505</v>
      </c>
      <c r="L28" s="15">
        <v>24</v>
      </c>
      <c r="M28" s="16">
        <v>50.86</v>
      </c>
      <c r="N28" s="16">
        <v>65.3</v>
      </c>
      <c r="O28" s="16">
        <v>50.86</v>
      </c>
      <c r="P28" s="16">
        <f t="shared" si="0"/>
        <v>50.86</v>
      </c>
      <c r="Q28" s="16">
        <f t="shared" si="1"/>
        <v>4073.886</v>
      </c>
      <c r="R28" s="12"/>
    </row>
    <row r="29" spans="1:18" x14ac:dyDescent="0.35">
      <c r="A29">
        <v>14</v>
      </c>
      <c r="B29" s="89">
        <f t="shared" si="6"/>
        <v>648.51308230321445</v>
      </c>
      <c r="C29" s="91">
        <f t="shared" si="2"/>
        <v>649</v>
      </c>
      <c r="D29" s="91">
        <f t="shared" si="3"/>
        <v>2960.618763743465</v>
      </c>
      <c r="E29" s="24"/>
      <c r="F29" s="127">
        <f>'6 - Curve'!C15</f>
        <v>14</v>
      </c>
      <c r="G29" s="128">
        <f>'6 - Curve'!D15</f>
        <v>2334.2675815282691</v>
      </c>
      <c r="H29" s="91">
        <f t="shared" si="4"/>
        <v>648.51308230321445</v>
      </c>
      <c r="I29" s="123">
        <f t="shared" si="5"/>
        <v>7.6021473905007415</v>
      </c>
      <c r="L29" s="15">
        <v>25</v>
      </c>
      <c r="M29" s="16">
        <v>41.61</v>
      </c>
      <c r="N29" s="16">
        <v>53.8</v>
      </c>
      <c r="O29" s="16">
        <v>41.61</v>
      </c>
      <c r="P29" s="16">
        <f t="shared" si="0"/>
        <v>41.61</v>
      </c>
      <c r="Q29" s="16">
        <f t="shared" si="1"/>
        <v>3332.9609999999998</v>
      </c>
      <c r="R29" s="12"/>
    </row>
    <row r="30" spans="1:18" x14ac:dyDescent="0.35">
      <c r="A30">
        <v>15</v>
      </c>
      <c r="B30" s="89">
        <f t="shared" si="6"/>
        <v>767.70167995011843</v>
      </c>
      <c r="C30" s="91">
        <f t="shared" si="2"/>
        <v>768</v>
      </c>
      <c r="D30" s="91">
        <f t="shared" si="3"/>
        <v>2500.9714712683176</v>
      </c>
      <c r="E30" s="24"/>
      <c r="F30" s="127">
        <f>'6 - Curve'!C16</f>
        <v>15</v>
      </c>
      <c r="G30" s="128">
        <f>'6 - Curve'!D16</f>
        <v>2660.9065053529625</v>
      </c>
      <c r="H30" s="91">
        <f t="shared" si="4"/>
        <v>767.70167995011843</v>
      </c>
      <c r="I30" s="123">
        <f t="shared" si="5"/>
        <v>8.1827448166487713</v>
      </c>
      <c r="L30" s="15">
        <v>26</v>
      </c>
      <c r="M30" s="16">
        <v>33.44</v>
      </c>
      <c r="N30" s="16">
        <v>44.6</v>
      </c>
      <c r="O30" s="16">
        <v>33.44</v>
      </c>
      <c r="P30" s="16">
        <f t="shared" si="0"/>
        <v>33.44</v>
      </c>
      <c r="Q30" s="16">
        <f t="shared" si="1"/>
        <v>2678.5439999999999</v>
      </c>
      <c r="R30" s="12"/>
    </row>
    <row r="31" spans="1:18" x14ac:dyDescent="0.35">
      <c r="A31">
        <v>16</v>
      </c>
      <c r="B31" s="89">
        <f t="shared" si="6"/>
        <v>908.79565190124276</v>
      </c>
      <c r="C31" s="91">
        <f t="shared" si="2"/>
        <v>909</v>
      </c>
      <c r="D31" s="91">
        <f t="shared" si="3"/>
        <v>2112.6861643574962</v>
      </c>
      <c r="E31" s="24"/>
      <c r="F31" s="127">
        <f>'6 - Curve'!C17</f>
        <v>16</v>
      </c>
      <c r="G31" s="128">
        <f>'6 - Curve'!D17</f>
        <v>2999.0507090869942</v>
      </c>
      <c r="H31" s="91">
        <f t="shared" si="4"/>
        <v>908.79565190124276</v>
      </c>
      <c r="I31" s="123">
        <f t="shared" si="5"/>
        <v>8.8205123920686361</v>
      </c>
      <c r="L31" s="15">
        <v>27</v>
      </c>
      <c r="M31" s="16">
        <v>26.08</v>
      </c>
      <c r="N31" s="16">
        <v>37</v>
      </c>
      <c r="O31" s="16">
        <v>26.08</v>
      </c>
      <c r="P31" s="16">
        <f t="shared" si="0"/>
        <v>26.08</v>
      </c>
      <c r="Q31" s="16">
        <f t="shared" si="1"/>
        <v>2089.0079999999998</v>
      </c>
      <c r="R31" s="12"/>
    </row>
    <row r="32" spans="1:18" x14ac:dyDescent="0.35">
      <c r="A32">
        <v>17</v>
      </c>
      <c r="B32" s="89">
        <f t="shared" si="6"/>
        <v>1075.8209321207535</v>
      </c>
      <c r="C32" s="91">
        <f t="shared" si="2"/>
        <v>1076</v>
      </c>
      <c r="D32" s="91">
        <f t="shared" si="3"/>
        <v>1784.683624081503</v>
      </c>
      <c r="E32" s="24"/>
      <c r="F32" s="127">
        <f>'6 - Curve'!C18</f>
        <v>17</v>
      </c>
      <c r="G32" s="128">
        <f>'6 - Curve'!D18</f>
        <v>3335.4673971796897</v>
      </c>
      <c r="H32" s="91">
        <f t="shared" si="4"/>
        <v>1075.8209321207535</v>
      </c>
      <c r="I32" s="123">
        <f t="shared" si="5"/>
        <v>9.5488275693743159</v>
      </c>
      <c r="L32" s="15">
        <v>28</v>
      </c>
      <c r="M32" s="16">
        <v>20.41</v>
      </c>
      <c r="N32" s="16">
        <v>30.7</v>
      </c>
      <c r="O32" s="16">
        <v>20.41</v>
      </c>
      <c r="P32" s="16">
        <f t="shared" si="0"/>
        <v>20.41</v>
      </c>
      <c r="Q32" s="16">
        <f t="shared" si="1"/>
        <v>1634.8409999999999</v>
      </c>
      <c r="R32" s="12"/>
    </row>
    <row r="33" spans="1:18" x14ac:dyDescent="0.35">
      <c r="A33">
        <v>18</v>
      </c>
      <c r="B33" s="89">
        <f t="shared" si="6"/>
        <v>1273.5433709083575</v>
      </c>
      <c r="C33" s="91">
        <f t="shared" si="2"/>
        <v>1274</v>
      </c>
      <c r="D33" s="91">
        <f t="shared" si="3"/>
        <v>1507.6047222722875</v>
      </c>
      <c r="E33" s="24"/>
      <c r="F33" s="127">
        <f>'6 - Curve'!C19</f>
        <v>18</v>
      </c>
      <c r="G33" s="128">
        <f>'6 - Curve'!D19</f>
        <v>3669.4783740145999</v>
      </c>
      <c r="H33" s="91">
        <f t="shared" si="4"/>
        <v>1273.5433709083575</v>
      </c>
      <c r="I33" s="123">
        <f t="shared" si="5"/>
        <v>10.355040792487928</v>
      </c>
      <c r="L33" s="15">
        <v>29</v>
      </c>
      <c r="M33" s="16">
        <v>16.39</v>
      </c>
      <c r="N33" s="16">
        <v>25.2</v>
      </c>
      <c r="O33" s="16">
        <v>16.39</v>
      </c>
      <c r="P33" s="16">
        <f t="shared" si="0"/>
        <v>16.39</v>
      </c>
      <c r="Q33" s="16">
        <f t="shared" si="1"/>
        <v>1312.8390000000002</v>
      </c>
      <c r="R33" s="12"/>
    </row>
    <row r="34" spans="1:18" ht="13.15" thickBot="1" x14ac:dyDescent="0.4">
      <c r="A34">
        <v>19</v>
      </c>
      <c r="B34" s="89">
        <f t="shared" si="6"/>
        <v>1507.6047222722875</v>
      </c>
      <c r="C34" s="91">
        <f t="shared" si="2"/>
        <v>1508</v>
      </c>
      <c r="D34" s="91">
        <f t="shared" si="3"/>
        <v>1273.5433709083575</v>
      </c>
      <c r="E34" s="24"/>
      <c r="F34" s="127">
        <f>'6 - Curve'!C20</f>
        <v>19</v>
      </c>
      <c r="G34" s="128">
        <f>'6 - Curve'!D20</f>
        <v>4033.3431166807522</v>
      </c>
      <c r="H34" s="91">
        <f t="shared" si="4"/>
        <v>1507.6047222722875</v>
      </c>
      <c r="I34" s="123">
        <f t="shared" si="5"/>
        <v>11.229976143402382</v>
      </c>
      <c r="L34" s="25">
        <v>30</v>
      </c>
      <c r="M34" s="26">
        <v>13.94</v>
      </c>
      <c r="N34" s="26">
        <v>20.100000000000001</v>
      </c>
      <c r="O34" s="26">
        <v>13.94</v>
      </c>
      <c r="P34" s="26">
        <f t="shared" si="0"/>
        <v>13.94</v>
      </c>
      <c r="Q34" s="26">
        <f t="shared" si="1"/>
        <v>1116.5939999999998</v>
      </c>
      <c r="R34" s="27"/>
    </row>
    <row r="35" spans="1:18" x14ac:dyDescent="0.35">
      <c r="A35">
        <v>20</v>
      </c>
      <c r="B35" s="89">
        <f t="shared" si="6"/>
        <v>1784.683624081503</v>
      </c>
      <c r="C35" s="91">
        <f t="shared" si="2"/>
        <v>1785</v>
      </c>
      <c r="D35" s="91">
        <f t="shared" si="3"/>
        <v>1075.8209321207535</v>
      </c>
      <c r="E35" s="24"/>
      <c r="F35" s="127">
        <f>'6 - Curve'!C21</f>
        <v>20</v>
      </c>
      <c r="G35" s="128">
        <f>'6 - Curve'!D21</f>
        <v>4443.9021888414209</v>
      </c>
      <c r="H35" s="91">
        <f t="shared" si="4"/>
        <v>1784.683624081503</v>
      </c>
      <c r="I35" s="123">
        <f t="shared" si="5"/>
        <v>12.190078260274854</v>
      </c>
    </row>
    <row r="36" spans="1:18" x14ac:dyDescent="0.35">
      <c r="A36">
        <v>21</v>
      </c>
      <c r="B36" s="89">
        <f t="shared" si="6"/>
        <v>2112.6861643574962</v>
      </c>
      <c r="C36" s="91">
        <f t="shared" si="2"/>
        <v>2113</v>
      </c>
      <c r="D36" s="91">
        <f t="shared" si="3"/>
        <v>908.79565190124276</v>
      </c>
      <c r="E36" s="24"/>
      <c r="F36" s="127">
        <f>'6 - Curve'!C22</f>
        <v>21</v>
      </c>
      <c r="G36" s="128">
        <f>'6 - Curve'!D22</f>
        <v>4930.1304762214968</v>
      </c>
      <c r="H36" s="91">
        <f t="shared" si="4"/>
        <v>2112.6861643574962</v>
      </c>
      <c r="I36" s="123">
        <f t="shared" si="5"/>
        <v>13.277481611862314</v>
      </c>
    </row>
    <row r="37" spans="1:18" x14ac:dyDescent="0.35">
      <c r="A37">
        <v>22</v>
      </c>
      <c r="B37" s="89">
        <f t="shared" si="6"/>
        <v>2500.9714712683176</v>
      </c>
      <c r="C37" s="91">
        <f t="shared" si="2"/>
        <v>2501</v>
      </c>
      <c r="D37" s="91">
        <f t="shared" si="3"/>
        <v>767.70167995011843</v>
      </c>
      <c r="E37" s="24"/>
      <c r="F37" s="127">
        <f>'6 - Curve'!C23</f>
        <v>22</v>
      </c>
      <c r="G37" s="128">
        <f>'6 - Curve'!D23</f>
        <v>5485.647765398825</v>
      </c>
      <c r="H37" s="91">
        <f t="shared" si="4"/>
        <v>2500.9714712683176</v>
      </c>
      <c r="I37" s="123">
        <f t="shared" si="5"/>
        <v>14.516684281612193</v>
      </c>
    </row>
    <row r="38" spans="1:18" x14ac:dyDescent="0.35">
      <c r="A38">
        <v>23</v>
      </c>
      <c r="B38" s="89">
        <f t="shared" si="6"/>
        <v>2960.618763743465</v>
      </c>
      <c r="C38" s="91">
        <f t="shared" si="2"/>
        <v>2961</v>
      </c>
      <c r="D38" s="91">
        <f t="shared" si="3"/>
        <v>648.51308230321445</v>
      </c>
      <c r="E38" s="24"/>
      <c r="F38" s="127">
        <f>'6 - Curve'!C24</f>
        <v>23</v>
      </c>
      <c r="G38" s="128">
        <f>'6 - Curve'!D24</f>
        <v>6077.3375980462788</v>
      </c>
      <c r="H38" s="91">
        <f t="shared" si="4"/>
        <v>2960.618763743465</v>
      </c>
      <c r="I38" s="123">
        <f t="shared" si="5"/>
        <v>15.886313999204129</v>
      </c>
    </row>
    <row r="39" spans="1:18" x14ac:dyDescent="0.35">
      <c r="A39">
        <v>24</v>
      </c>
      <c r="B39" s="89">
        <f t="shared" si="6"/>
        <v>3504.7434826534645</v>
      </c>
      <c r="C39" s="91">
        <f t="shared" si="2"/>
        <v>3505</v>
      </c>
      <c r="D39" s="91">
        <f t="shared" si="3"/>
        <v>547.82896651436579</v>
      </c>
      <c r="F39" s="127">
        <f>'6 - Curve'!C25</f>
        <v>24</v>
      </c>
      <c r="G39" s="128">
        <f>'6 - Curve'!D25</f>
        <v>6727.4680216374545</v>
      </c>
      <c r="H39" s="91">
        <f t="shared" si="4"/>
        <v>3504.7434826534645</v>
      </c>
      <c r="I39" s="123">
        <f t="shared" si="5"/>
        <v>17.511774567040749</v>
      </c>
    </row>
    <row r="40" spans="1:18" x14ac:dyDescent="0.35">
      <c r="A40">
        <v>25</v>
      </c>
      <c r="B40" s="89">
        <f t="shared" si="6"/>
        <v>4148.8715229483923</v>
      </c>
      <c r="C40" s="91">
        <f t="shared" si="2"/>
        <v>4149</v>
      </c>
      <c r="D40" s="91">
        <f t="shared" si="3"/>
        <v>462.77644158900353</v>
      </c>
      <c r="F40" s="127">
        <f>'6 - Curve'!C26</f>
        <v>25</v>
      </c>
      <c r="G40" s="128">
        <f>'6 - Curve'!D26</f>
        <v>7441.8471689839389</v>
      </c>
      <c r="H40" s="91">
        <f t="shared" si="4"/>
        <v>4148.8715229483923</v>
      </c>
      <c r="I40" s="123">
        <f t="shared" si="5"/>
        <v>19.294955633657164</v>
      </c>
    </row>
    <row r="41" spans="1:18" x14ac:dyDescent="0.35">
      <c r="A41">
        <v>26</v>
      </c>
      <c r="B41" s="89">
        <f t="shared" si="6"/>
        <v>4911.3822449852833</v>
      </c>
      <c r="C41" s="91">
        <f t="shared" si="2"/>
        <v>4911</v>
      </c>
      <c r="D41" s="91">
        <f t="shared" si="3"/>
        <v>390.92864375612453</v>
      </c>
      <c r="F41" s="127">
        <f>'6 - Curve'!C27</f>
        <v>26</v>
      </c>
      <c r="G41" s="128">
        <f>'6 - Curve'!D27</f>
        <v>8212.4548709748997</v>
      </c>
      <c r="H41" s="91">
        <f t="shared" si="4"/>
        <v>4911.3822449852833</v>
      </c>
      <c r="I41" s="123">
        <f t="shared" si="5"/>
        <v>20.963932772642778</v>
      </c>
    </row>
    <row r="42" spans="1:18" x14ac:dyDescent="0.35">
      <c r="A42">
        <v>27</v>
      </c>
      <c r="B42" s="89">
        <f t="shared" si="6"/>
        <v>5814.0329057995577</v>
      </c>
      <c r="C42" s="91">
        <f t="shared" si="2"/>
        <v>5814</v>
      </c>
      <c r="D42" s="91">
        <f t="shared" si="3"/>
        <v>330.2354890500855</v>
      </c>
      <c r="F42" s="127">
        <f>'6 - Curve'!C28</f>
        <v>27</v>
      </c>
      <c r="G42" s="128">
        <f>'6 - Curve'!D28</f>
        <v>9017.724073656831</v>
      </c>
      <c r="H42" s="91">
        <f t="shared" si="4"/>
        <v>5814.0329057995577</v>
      </c>
      <c r="I42" s="123">
        <f t="shared" si="5"/>
        <v>22.564911411658347</v>
      </c>
    </row>
    <row r="43" spans="1:18" x14ac:dyDescent="0.35">
      <c r="A43">
        <v>28</v>
      </c>
      <c r="B43" s="89">
        <f t="shared" si="6"/>
        <v>6882.5794742883709</v>
      </c>
      <c r="C43" s="91">
        <f t="shared" si="2"/>
        <v>6883</v>
      </c>
      <c r="D43" s="91">
        <f t="shared" si="3"/>
        <v>278.96517681672339</v>
      </c>
      <c r="F43" s="127">
        <f>'6 - Curve'!C29</f>
        <v>28</v>
      </c>
      <c r="G43" s="128">
        <f>'6 - Curve'!D29</f>
        <v>9835.7629262689643</v>
      </c>
      <c r="H43" s="91">
        <f t="shared" si="4"/>
        <v>6882.5794742883709</v>
      </c>
      <c r="I43" s="123">
        <f t="shared" si="5"/>
        <v>24.224791065226924</v>
      </c>
    </row>
    <row r="44" spans="1:18" x14ac:dyDescent="0.35">
      <c r="A44">
        <v>29</v>
      </c>
      <c r="B44" s="89">
        <f t="shared" si="6"/>
        <v>8147.5115444640205</v>
      </c>
      <c r="C44" s="91">
        <f t="shared" si="2"/>
        <v>8148</v>
      </c>
      <c r="D44" s="91">
        <f t="shared" si="3"/>
        <v>235.6547750220233</v>
      </c>
      <c r="F44" s="127">
        <f>'6 - Curve'!C30</f>
        <v>29</v>
      </c>
      <c r="G44" s="128">
        <f>'6 - Curve'!D30</f>
        <v>10642.029867910594</v>
      </c>
      <c r="H44" s="91">
        <f t="shared" si="4"/>
        <v>8147.5115444640205</v>
      </c>
      <c r="I44" s="123">
        <f t="shared" si="5"/>
        <v>25.917525169562683</v>
      </c>
    </row>
    <row r="45" spans="1:18" x14ac:dyDescent="0.35">
      <c r="A45">
        <v>30</v>
      </c>
      <c r="B45" s="89">
        <f t="shared" si="6"/>
        <v>9644.9223165763869</v>
      </c>
      <c r="C45" s="91">
        <f t="shared" si="2"/>
        <v>9645</v>
      </c>
      <c r="D45" s="91">
        <f t="shared" si="3"/>
        <v>199.06847737904226</v>
      </c>
      <c r="F45" s="127">
        <f>'6 - Curve'!C31</f>
        <v>30</v>
      </c>
      <c r="G45" s="128">
        <f>'6 - Curve'!D31</f>
        <v>11551.511771767269</v>
      </c>
      <c r="H45" s="91">
        <f t="shared" si="4"/>
        <v>9644.9223165763869</v>
      </c>
      <c r="I45" s="123">
        <f t="shared" si="5"/>
        <v>27.766043961308647</v>
      </c>
    </row>
    <row r="46" spans="1:18" x14ac:dyDescent="0.35">
      <c r="A46">
        <v>38</v>
      </c>
      <c r="B46" s="89">
        <f t="shared" si="6"/>
        <v>11417.538469890293</v>
      </c>
      <c r="C46" s="91">
        <f t="shared" si="2"/>
        <v>11418</v>
      </c>
      <c r="D46" s="91">
        <f t="shared" si="3"/>
        <v>168.16234121420527</v>
      </c>
      <c r="F46" s="127">
        <f>'6 - Curve'!C32</f>
        <v>38</v>
      </c>
      <c r="G46" s="128">
        <f>'6 - Curve'!D32</f>
        <v>10053.20685088366</v>
      </c>
      <c r="H46" s="91">
        <f t="shared" si="4"/>
        <v>11417.538469890293</v>
      </c>
      <c r="I46" s="123">
        <f t="shared" si="5"/>
        <v>29.691149421090969</v>
      </c>
    </row>
    <row r="47" spans="1:18" x14ac:dyDescent="0.35">
      <c r="A47">
        <v>50</v>
      </c>
      <c r="B47" s="89">
        <f t="shared" si="6"/>
        <v>13515.939313205179</v>
      </c>
      <c r="C47" s="91">
        <f t="shared" si="2"/>
        <v>13516</v>
      </c>
      <c r="D47" s="91">
        <f t="shared" si="3"/>
        <v>142.05449991360581</v>
      </c>
      <c r="F47" s="127">
        <f>'6 - Curve'!C33</f>
        <v>50</v>
      </c>
      <c r="G47" s="128">
        <f>'6 - Curve'!D33</f>
        <v>15895.418171796442</v>
      </c>
      <c r="H47" s="91">
        <f t="shared" si="4"/>
        <v>13515.939313205179</v>
      </c>
      <c r="I47" s="123">
        <f t="shared" si="5"/>
        <v>47.71005603007486</v>
      </c>
    </row>
    <row r="48" spans="1:18" ht="13.15" thickBot="1" x14ac:dyDescent="0.4">
      <c r="A48">
        <v>70</v>
      </c>
      <c r="B48" s="89">
        <f t="shared" si="6"/>
        <v>16000.000000000053</v>
      </c>
      <c r="C48" s="91">
        <f t="shared" si="2"/>
        <v>16000</v>
      </c>
      <c r="D48" s="91">
        <f>$B$12*1.5</f>
        <v>120</v>
      </c>
      <c r="E48" s="11"/>
      <c r="F48" s="129">
        <f>'6 - Curve'!C34</f>
        <v>70</v>
      </c>
      <c r="G48" s="130">
        <f>'6 - Curve'!D34</f>
        <v>24999.999999999996</v>
      </c>
      <c r="H48" s="91">
        <f t="shared" si="4"/>
        <v>16000.000000000053</v>
      </c>
      <c r="I48" s="123">
        <f t="shared" si="5"/>
        <v>50.222155591483201</v>
      </c>
    </row>
    <row r="49" spans="1:31" x14ac:dyDescent="0.35">
      <c r="C49" s="11"/>
      <c r="E49" s="24"/>
      <c r="F49" s="16"/>
      <c r="G49" s="16"/>
    </row>
    <row r="50" spans="1:31" ht="13.5" thickBot="1" x14ac:dyDescent="0.45">
      <c r="B50" s="115" t="s">
        <v>42</v>
      </c>
      <c r="E50" s="16"/>
    </row>
    <row r="51" spans="1:31" x14ac:dyDescent="0.35">
      <c r="A51" s="11" t="s">
        <v>176</v>
      </c>
      <c r="B51" s="116">
        <v>4</v>
      </c>
      <c r="C51" s="117">
        <v>5</v>
      </c>
      <c r="D51" s="117">
        <v>6</v>
      </c>
      <c r="E51" s="117">
        <v>7</v>
      </c>
      <c r="F51" s="117">
        <v>8</v>
      </c>
      <c r="G51" s="117">
        <v>9</v>
      </c>
      <c r="H51" s="117">
        <v>10</v>
      </c>
      <c r="I51" s="117">
        <v>11</v>
      </c>
      <c r="J51" s="117">
        <v>12</v>
      </c>
      <c r="K51" s="117">
        <v>13</v>
      </c>
      <c r="L51" s="117">
        <v>14</v>
      </c>
      <c r="M51" s="117">
        <v>15</v>
      </c>
      <c r="N51" s="117">
        <v>16</v>
      </c>
      <c r="O51" s="117">
        <v>17</v>
      </c>
      <c r="P51" s="117">
        <v>18</v>
      </c>
      <c r="Q51" s="117">
        <v>19</v>
      </c>
      <c r="R51" s="117">
        <v>20</v>
      </c>
      <c r="S51" s="117">
        <v>21</v>
      </c>
      <c r="T51" s="117">
        <v>22</v>
      </c>
      <c r="U51" s="117">
        <v>23</v>
      </c>
      <c r="V51" s="117">
        <v>24</v>
      </c>
      <c r="W51" s="117">
        <v>25</v>
      </c>
      <c r="X51" s="117">
        <v>26</v>
      </c>
      <c r="Y51" s="117">
        <v>27</v>
      </c>
      <c r="Z51" s="117">
        <v>28</v>
      </c>
      <c r="AA51" s="117">
        <v>29</v>
      </c>
      <c r="AB51" s="117">
        <v>30</v>
      </c>
      <c r="AC51" s="117">
        <v>38</v>
      </c>
      <c r="AD51" s="117">
        <v>50</v>
      </c>
      <c r="AE51" s="118">
        <v>70</v>
      </c>
    </row>
    <row r="52" spans="1:31" ht="14.25" thickBot="1" x14ac:dyDescent="0.45">
      <c r="A52" s="11" t="s">
        <v>44</v>
      </c>
      <c r="B52" s="119">
        <f>INT($B19+0.5)</f>
        <v>120</v>
      </c>
      <c r="C52" s="120">
        <f>INT($B20+0.5)</f>
        <v>142</v>
      </c>
      <c r="D52" s="120">
        <f>INT($B21+0.5)</f>
        <v>168</v>
      </c>
      <c r="E52" s="120">
        <f>INT($B22+0.5)</f>
        <v>199</v>
      </c>
      <c r="F52" s="120">
        <f>INT($B23+0.5)</f>
        <v>236</v>
      </c>
      <c r="G52" s="120">
        <f>INT($B24+0.5)</f>
        <v>279</v>
      </c>
      <c r="H52" s="120">
        <f>INT($B25+0.5)</f>
        <v>330</v>
      </c>
      <c r="I52" s="120">
        <f>INT($B26+0.5)</f>
        <v>391</v>
      </c>
      <c r="J52" s="120">
        <f>INT($B27+0.5)</f>
        <v>463</v>
      </c>
      <c r="K52" s="120">
        <f>INT($B28+0.5)</f>
        <v>548</v>
      </c>
      <c r="L52" s="120">
        <f>INT($B29+0.5)</f>
        <v>649</v>
      </c>
      <c r="M52" s="120">
        <f>INT($B30+0.5)</f>
        <v>768</v>
      </c>
      <c r="N52" s="120">
        <f>INT($B31+0.5)</f>
        <v>909</v>
      </c>
      <c r="O52" s="120">
        <f>INT($B32+0.5)</f>
        <v>1076</v>
      </c>
      <c r="P52" s="120">
        <f>INT($B33+0.5)</f>
        <v>1274</v>
      </c>
      <c r="Q52" s="120">
        <f>INT($B34+0.5)</f>
        <v>1508</v>
      </c>
      <c r="R52" s="120">
        <f>INT($B35+0.5)</f>
        <v>1785</v>
      </c>
      <c r="S52" s="120">
        <f>INT($B36+0.5)</f>
        <v>2113</v>
      </c>
      <c r="T52" s="120">
        <f>INT($B37+0.5)</f>
        <v>2501</v>
      </c>
      <c r="U52" s="120">
        <f>INT($B38+0.5)</f>
        <v>2961</v>
      </c>
      <c r="V52" s="120">
        <f>INT($B39+0.5)</f>
        <v>3505</v>
      </c>
      <c r="W52" s="120">
        <f>INT($B40+0.5)</f>
        <v>4149</v>
      </c>
      <c r="X52" s="120">
        <f>INT($B41+0.5)</f>
        <v>4911</v>
      </c>
      <c r="Y52" s="120">
        <f>INT($B42+0.5)</f>
        <v>5814</v>
      </c>
      <c r="Z52" s="120">
        <f>INT($B43+0.5)</f>
        <v>6883</v>
      </c>
      <c r="AA52" s="120">
        <f>INT($B44+0.5)</f>
        <v>8148</v>
      </c>
      <c r="AB52" s="120">
        <f>INT($B45+0.5)</f>
        <v>9645</v>
      </c>
      <c r="AC52" s="120">
        <f>INT($B46+0.5)</f>
        <v>11418</v>
      </c>
      <c r="AD52" s="120">
        <f>INT($B47+0.5)</f>
        <v>13516</v>
      </c>
      <c r="AE52" s="121">
        <f>INT($B48+0.5)</f>
        <v>16000</v>
      </c>
    </row>
    <row r="54" spans="1:31" ht="36.4" x14ac:dyDescent="0.35">
      <c r="B54" s="1" t="s">
        <v>45</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0"/>
  <sheetViews>
    <sheetView tabSelected="1" topLeftCell="A25" zoomScale="70" zoomScaleNormal="70" workbookViewId="0">
      <selection activeCell="K73" sqref="K73"/>
    </sheetView>
  </sheetViews>
  <sheetFormatPr defaultColWidth="11.53125" defaultRowHeight="12.75" x14ac:dyDescent="0.35"/>
  <cols>
    <col min="12" max="12" width="12.3984375" customWidth="1"/>
  </cols>
  <sheetData>
    <row r="1" spans="1:49" x14ac:dyDescent="0.35">
      <c r="A1" t="s">
        <v>46</v>
      </c>
    </row>
    <row r="2" spans="1:49" ht="40.15" x14ac:dyDescent="0.4">
      <c r="A2" s="152" t="s">
        <v>47</v>
      </c>
      <c r="B2" s="152"/>
      <c r="C2" s="152"/>
      <c r="D2" s="152"/>
      <c r="E2" s="152"/>
      <c r="H2" s="28" t="s">
        <v>48</v>
      </c>
    </row>
    <row r="3" spans="1:49" ht="13.9" x14ac:dyDescent="0.4">
      <c r="A3" t="s">
        <v>49</v>
      </c>
      <c r="B3" s="146" t="s">
        <v>124</v>
      </c>
      <c r="D3" t="s">
        <v>50</v>
      </c>
      <c r="E3" s="29">
        <f>'Clause 6'!$G$11</f>
        <v>1</v>
      </c>
    </row>
    <row r="4" spans="1:49" ht="18.100000000000001" customHeight="1" x14ac:dyDescent="1.05">
      <c r="A4" s="29" t="s">
        <v>8</v>
      </c>
      <c r="B4" s="147">
        <f>'Clause 6'!$B$4</f>
        <v>46013</v>
      </c>
      <c r="O4" s="30"/>
    </row>
    <row r="5" spans="1:49" ht="13.9" x14ac:dyDescent="0.4">
      <c r="A5" s="29" t="s">
        <v>4</v>
      </c>
      <c r="B5" s="148" t="str">
        <f>'Clause 6'!$B$3</f>
        <v>SRM2806d</v>
      </c>
      <c r="O5" s="31"/>
    </row>
    <row r="6" spans="1:49" ht="13.15" x14ac:dyDescent="0.4">
      <c r="C6" s="29"/>
      <c r="D6" s="29"/>
      <c r="E6" s="29"/>
      <c r="F6" s="29"/>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6" t="s">
        <v>51</v>
      </c>
      <c r="P7" s="86" t="s">
        <v>52</v>
      </c>
      <c r="Q7" s="86" t="s">
        <v>53</v>
      </c>
      <c r="R7" s="86" t="s">
        <v>54</v>
      </c>
      <c r="S7" s="86" t="s">
        <v>55</v>
      </c>
    </row>
    <row r="8" spans="1:49" ht="13.15" x14ac:dyDescent="0.4">
      <c r="A8" s="11" t="s">
        <v>63</v>
      </c>
      <c r="B8" s="32">
        <f>B52</f>
        <v>9.2982689999999995</v>
      </c>
      <c r="C8" s="32">
        <f t="shared" ref="C8:F8" si="0">C52</f>
        <v>10.025062999999999</v>
      </c>
      <c r="D8" s="32">
        <f t="shared" si="0"/>
        <v>9.9995159999999998</v>
      </c>
      <c r="E8" s="32">
        <f t="shared" si="0"/>
        <v>10.093608</v>
      </c>
      <c r="F8" s="32">
        <f t="shared" si="0"/>
        <v>10.072145000000001</v>
      </c>
      <c r="G8" s="33">
        <f>AVERAGE(B$8:F$8)*5</f>
        <v>49.488600999999989</v>
      </c>
      <c r="I8" s="34"/>
      <c r="K8" s="34"/>
      <c r="O8" s="87"/>
      <c r="P8" s="87"/>
      <c r="Q8" s="87"/>
      <c r="R8" s="87"/>
      <c r="S8" s="87"/>
    </row>
    <row r="9" spans="1:49" ht="13.15" x14ac:dyDescent="0.4">
      <c r="A9" s="11" t="s">
        <v>64</v>
      </c>
      <c r="B9" s="32"/>
      <c r="C9" s="32">
        <f t="shared" ref="C9:F38" si="1">C53</f>
        <v>11936.982421999999</v>
      </c>
      <c r="D9" s="32">
        <f t="shared" si="1"/>
        <v>12435.102539</v>
      </c>
      <c r="E9" s="32">
        <f t="shared" si="1"/>
        <v>12680.004883</v>
      </c>
      <c r="F9" s="32">
        <f t="shared" si="1"/>
        <v>12013.428711</v>
      </c>
      <c r="G9" s="35">
        <f t="shared" ref="G9:G38" si="2">AVERAGE(B9:F9)</f>
        <v>12266.379638750001</v>
      </c>
      <c r="H9" s="36">
        <f t="shared" ref="H9:H38" si="3">G9*G$8</f>
        <v>607045.96765662276</v>
      </c>
      <c r="I9" s="34">
        <f t="shared" ref="I9:I38" si="4">STDEVP(B9:F9)/AVERAGE(B9:F9)</f>
        <v>2.4862706080574008E-2</v>
      </c>
      <c r="J9" s="34">
        <f t="shared" ref="J9:J38" si="5">IF(H9&gt;$A$43, $C$43, IF(H9&gt;$A$44, $C$44, IF(H9&gt;$A$45,$C$45,IF(H9&gt;$A$46,$C$46, IF(H9&gt;$A$47,$C$47,IF(H9&gt;$A$48,$C$48,$C$49))))))/100</f>
        <v>0.11</v>
      </c>
      <c r="K9" s="34">
        <f t="shared" ref="K9:K38" si="6">(MAX(B9:F9)-MIN(B9:F9))/G9</f>
        <v>6.0573900603301221E-2</v>
      </c>
      <c r="L9" s="16">
        <f>G9/'Clause 6'!$G$11</f>
        <v>12266.379638750001</v>
      </c>
      <c r="M9">
        <f t="shared" ref="M9:M38" si="7">COUNTA(B9:F9)</f>
        <v>4</v>
      </c>
      <c r="O9" s="88">
        <f>IF(ISNUMBER(B9), (B9/$G9-1), 0)</f>
        <v>0</v>
      </c>
      <c r="P9" s="88">
        <f t="shared" ref="P9:S38" si="8">IF(ISNUMBER(C9), (C9/$G9-1), 0)</f>
        <v>-2.6853662323431005E-2</v>
      </c>
      <c r="Q9" s="88">
        <f t="shared" si="8"/>
        <v>1.3754906110764464E-2</v>
      </c>
      <c r="R9" s="88">
        <f t="shared" si="8"/>
        <v>3.3720238279870252E-2</v>
      </c>
      <c r="S9" s="88">
        <f t="shared" si="8"/>
        <v>-2.0621482067204044E-2</v>
      </c>
    </row>
    <row r="10" spans="1:49" ht="13.15" x14ac:dyDescent="0.4">
      <c r="A10" s="11" t="s">
        <v>65</v>
      </c>
      <c r="B10" s="32"/>
      <c r="C10" s="32">
        <f t="shared" si="1"/>
        <v>10326.818359000001</v>
      </c>
      <c r="D10" s="32">
        <f t="shared" si="1"/>
        <v>10813.324219</v>
      </c>
      <c r="E10" s="32">
        <f t="shared" si="1"/>
        <v>11010.631836</v>
      </c>
      <c r="F10" s="32">
        <f t="shared" si="1"/>
        <v>10415.854492</v>
      </c>
      <c r="G10" s="35">
        <f t="shared" si="2"/>
        <v>10641.6572265</v>
      </c>
      <c r="H10" s="36">
        <f t="shared" si="3"/>
        <v>526640.72846102493</v>
      </c>
      <c r="I10" s="34">
        <f t="shared" si="4"/>
        <v>2.6400569953013785E-2</v>
      </c>
      <c r="J10" s="34">
        <f t="shared" si="5"/>
        <v>0.11</v>
      </c>
      <c r="K10" s="34">
        <f t="shared" si="6"/>
        <v>6.4258175436919557E-2</v>
      </c>
      <c r="L10" s="16">
        <f>G10/'Clause 6'!$G$11</f>
        <v>10641.6572265</v>
      </c>
      <c r="M10">
        <f t="shared" si="7"/>
        <v>4</v>
      </c>
      <c r="O10" s="88">
        <f t="shared" ref="O10:O38" si="9">IF(ISNUMBER(B10), (B10/$G10-1), 0)</f>
        <v>0</v>
      </c>
      <c r="P10" s="88">
        <f t="shared" si="8"/>
        <v>-2.9585511053295654E-2</v>
      </c>
      <c r="Q10" s="88">
        <f t="shared" si="8"/>
        <v>1.6131603268757067E-2</v>
      </c>
      <c r="R10" s="88">
        <f t="shared" si="8"/>
        <v>3.467266438362393E-2</v>
      </c>
      <c r="S10" s="88">
        <f t="shared" si="8"/>
        <v>-2.121875659908512E-2</v>
      </c>
    </row>
    <row r="11" spans="1:49" ht="13.15" x14ac:dyDescent="0.4">
      <c r="A11" s="11" t="s">
        <v>66</v>
      </c>
      <c r="B11" s="32"/>
      <c r="C11" s="32">
        <f t="shared" si="1"/>
        <v>8977.7998050000006</v>
      </c>
      <c r="D11" s="32">
        <f t="shared" si="1"/>
        <v>9398.1552730000003</v>
      </c>
      <c r="E11" s="32">
        <f t="shared" si="1"/>
        <v>9592.0107420000004</v>
      </c>
      <c r="F11" s="32">
        <f t="shared" si="1"/>
        <v>9060.1347659999992</v>
      </c>
      <c r="G11" s="35">
        <f t="shared" si="2"/>
        <v>9257.0251465000001</v>
      </c>
      <c r="H11" s="36">
        <f t="shared" si="3"/>
        <v>458117.22392210492</v>
      </c>
      <c r="I11" s="34">
        <f t="shared" si="4"/>
        <v>2.6945178259336698E-2</v>
      </c>
      <c r="J11" s="34">
        <f t="shared" si="5"/>
        <v>0.11</v>
      </c>
      <c r="K11" s="34">
        <f t="shared" si="6"/>
        <v>6.6350790591967621E-2</v>
      </c>
      <c r="L11" s="16">
        <f>G11/'Clause 6'!$G$11</f>
        <v>9257.0251465000001</v>
      </c>
      <c r="M11">
        <f t="shared" si="7"/>
        <v>4</v>
      </c>
      <c r="O11" s="88">
        <f t="shared" si="9"/>
        <v>0</v>
      </c>
      <c r="P11" s="88">
        <f t="shared" si="8"/>
        <v>-3.0163614885022949E-2</v>
      </c>
      <c r="Q11" s="88">
        <f t="shared" si="8"/>
        <v>1.5245732215965813E-2</v>
      </c>
      <c r="R11" s="88">
        <f t="shared" si="8"/>
        <v>3.6187175706944519E-2</v>
      </c>
      <c r="S11" s="88">
        <f t="shared" si="8"/>
        <v>-2.1269293037887382E-2</v>
      </c>
    </row>
    <row r="12" spans="1:49" ht="13.15" x14ac:dyDescent="0.4">
      <c r="A12" s="11" t="s">
        <v>67</v>
      </c>
      <c r="B12" s="32"/>
      <c r="C12" s="32">
        <f t="shared" si="1"/>
        <v>7795.7617190000001</v>
      </c>
      <c r="D12" s="32">
        <f t="shared" si="1"/>
        <v>8178.1962890000004</v>
      </c>
      <c r="E12" s="32">
        <f t="shared" si="1"/>
        <v>8328.5380860000005</v>
      </c>
      <c r="F12" s="32">
        <f t="shared" si="1"/>
        <v>7871.8085940000001</v>
      </c>
      <c r="G12" s="35">
        <f t="shared" si="2"/>
        <v>8043.576172000001</v>
      </c>
      <c r="H12" s="36">
        <f t="shared" si="3"/>
        <v>398065.33178921533</v>
      </c>
      <c r="I12" s="34">
        <f t="shared" si="4"/>
        <v>2.7112776579433225E-2</v>
      </c>
      <c r="J12" s="34">
        <f t="shared" si="5"/>
        <v>0.11</v>
      </c>
      <c r="K12" s="34">
        <f t="shared" si="6"/>
        <v>6.6236255566847924E-2</v>
      </c>
      <c r="L12" s="16">
        <f>G12/'Clause 6'!$G$11</f>
        <v>8043.576172000001</v>
      </c>
      <c r="M12">
        <f t="shared" si="7"/>
        <v>4</v>
      </c>
      <c r="O12" s="88">
        <f t="shared" si="9"/>
        <v>0</v>
      </c>
      <c r="P12" s="88">
        <f t="shared" si="8"/>
        <v>-3.0808989397359432E-2</v>
      </c>
      <c r="Q12" s="88">
        <f t="shared" si="8"/>
        <v>1.6736351359314172E-2</v>
      </c>
      <c r="R12" s="88">
        <f t="shared" si="8"/>
        <v>3.5427266169488547E-2</v>
      </c>
      <c r="S12" s="88">
        <f t="shared" si="8"/>
        <v>-2.135462813144362E-2</v>
      </c>
    </row>
    <row r="13" spans="1:49" ht="13.15" x14ac:dyDescent="0.4">
      <c r="A13" s="11" t="s">
        <v>68</v>
      </c>
      <c r="B13" s="32"/>
      <c r="C13" s="32">
        <f t="shared" si="1"/>
        <v>6745.1948240000002</v>
      </c>
      <c r="D13" s="32">
        <f t="shared" si="1"/>
        <v>7056.9418949999999</v>
      </c>
      <c r="E13" s="32">
        <f t="shared" si="1"/>
        <v>7210.9003910000001</v>
      </c>
      <c r="F13" s="32">
        <f t="shared" si="1"/>
        <v>6819.1030270000001</v>
      </c>
      <c r="G13" s="35">
        <f t="shared" si="2"/>
        <v>6958.0350342500005</v>
      </c>
      <c r="H13" s="36">
        <f t="shared" si="3"/>
        <v>344343.41955401952</v>
      </c>
      <c r="I13" s="34">
        <f t="shared" si="4"/>
        <v>2.672613196991833E-2</v>
      </c>
      <c r="J13" s="34">
        <f t="shared" si="5"/>
        <v>0.11</v>
      </c>
      <c r="K13" s="34">
        <f t="shared" si="6"/>
        <v>6.693061542628434E-2</v>
      </c>
      <c r="L13" s="16">
        <f>G13/'Clause 6'!$G$11</f>
        <v>6958.0350342500005</v>
      </c>
      <c r="M13">
        <f t="shared" si="7"/>
        <v>4</v>
      </c>
      <c r="O13" s="88">
        <f t="shared" si="9"/>
        <v>0</v>
      </c>
      <c r="P13" s="88">
        <f t="shared" si="8"/>
        <v>-3.058912598202268E-2</v>
      </c>
      <c r="Q13" s="88">
        <f t="shared" si="8"/>
        <v>1.4214769006356542E-2</v>
      </c>
      <c r="R13" s="88">
        <f t="shared" si="8"/>
        <v>3.6341489444261743E-2</v>
      </c>
      <c r="S13" s="88">
        <f t="shared" si="8"/>
        <v>-1.9967132468595827E-2</v>
      </c>
    </row>
    <row r="14" spans="1:49" ht="13.15" x14ac:dyDescent="0.4">
      <c r="A14" s="11" t="s">
        <v>69</v>
      </c>
      <c r="B14" s="32"/>
      <c r="C14" s="32">
        <f t="shared" si="1"/>
        <v>5811.4350590000004</v>
      </c>
      <c r="D14" s="32">
        <f t="shared" si="1"/>
        <v>6099.095703</v>
      </c>
      <c r="E14" s="32">
        <f t="shared" si="1"/>
        <v>6215.0224609999996</v>
      </c>
      <c r="F14" s="32">
        <f t="shared" si="1"/>
        <v>5881.9643550000001</v>
      </c>
      <c r="G14" s="35">
        <f t="shared" si="2"/>
        <v>6001.8793944999998</v>
      </c>
      <c r="H14" s="36">
        <f t="shared" si="3"/>
        <v>297024.61460453202</v>
      </c>
      <c r="I14" s="34">
        <f t="shared" si="4"/>
        <v>2.7062627918478761E-2</v>
      </c>
      <c r="J14" s="34">
        <f t="shared" si="5"/>
        <v>0.11</v>
      </c>
      <c r="K14" s="34">
        <f t="shared" si="6"/>
        <v>6.7243504154688355E-2</v>
      </c>
      <c r="L14" s="16">
        <f>G14/'Clause 6'!$G$11</f>
        <v>6001.8793944999998</v>
      </c>
      <c r="M14">
        <f t="shared" si="7"/>
        <v>4</v>
      </c>
      <c r="O14" s="88">
        <f t="shared" si="9"/>
        <v>0</v>
      </c>
      <c r="P14" s="88">
        <f t="shared" si="8"/>
        <v>-3.1730783473343127E-2</v>
      </c>
      <c r="Q14" s="88">
        <f t="shared" si="8"/>
        <v>1.6197644456016125E-2</v>
      </c>
      <c r="R14" s="88">
        <f t="shared" si="8"/>
        <v>3.5512720681345256E-2</v>
      </c>
      <c r="S14" s="88">
        <f t="shared" si="8"/>
        <v>-1.9979581664018031E-2</v>
      </c>
    </row>
    <row r="15" spans="1:49" ht="13.15" x14ac:dyDescent="0.4">
      <c r="A15" s="11" t="s">
        <v>70</v>
      </c>
      <c r="B15" s="32"/>
      <c r="C15" s="32">
        <f t="shared" si="1"/>
        <v>4980.9165039999998</v>
      </c>
      <c r="D15" s="32">
        <f t="shared" si="1"/>
        <v>5221.953125</v>
      </c>
      <c r="E15" s="32">
        <f t="shared" si="1"/>
        <v>5322.0810549999997</v>
      </c>
      <c r="F15" s="32">
        <f t="shared" si="1"/>
        <v>5041.5278319999998</v>
      </c>
      <c r="G15" s="35">
        <f t="shared" si="2"/>
        <v>5141.6196289999998</v>
      </c>
      <c r="H15" s="36">
        <f t="shared" si="3"/>
        <v>254451.56231334896</v>
      </c>
      <c r="I15" s="34">
        <f t="shared" si="4"/>
        <v>2.6607592734612589E-2</v>
      </c>
      <c r="J15" s="34">
        <f t="shared" si="5"/>
        <v>0.11</v>
      </c>
      <c r="K15" s="34">
        <f t="shared" si="6"/>
        <v>6.6353518077406554E-2</v>
      </c>
      <c r="L15" s="16">
        <f>G15/'Clause 6'!$G$11</f>
        <v>5141.6196289999998</v>
      </c>
      <c r="M15">
        <f t="shared" si="7"/>
        <v>4</v>
      </c>
      <c r="O15" s="88">
        <f t="shared" si="9"/>
        <v>0</v>
      </c>
      <c r="P15" s="88">
        <f t="shared" si="8"/>
        <v>-3.1255350764104572E-2</v>
      </c>
      <c r="Q15" s="88">
        <f t="shared" si="8"/>
        <v>1.5624161605984899E-2</v>
      </c>
      <c r="R15" s="88">
        <f t="shared" si="8"/>
        <v>3.5098167313301953E-2</v>
      </c>
      <c r="S15" s="88">
        <f t="shared" si="8"/>
        <v>-1.9466978155182391E-2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71</v>
      </c>
      <c r="B16" s="32"/>
      <c r="C16" s="32">
        <f t="shared" si="1"/>
        <v>4230.7963870000003</v>
      </c>
      <c r="D16" s="32">
        <f t="shared" si="1"/>
        <v>4430.5146480000003</v>
      </c>
      <c r="E16" s="32">
        <f t="shared" si="1"/>
        <v>4511.6669920000004</v>
      </c>
      <c r="F16" s="32">
        <f t="shared" si="1"/>
        <v>4270.8876950000003</v>
      </c>
      <c r="G16" s="35">
        <f t="shared" si="2"/>
        <v>4360.9664305000006</v>
      </c>
      <c r="H16" s="36">
        <f t="shared" si="3"/>
        <v>215818.12765340871</v>
      </c>
      <c r="I16" s="34">
        <f t="shared" si="4"/>
        <v>2.6296929111016727E-2</v>
      </c>
      <c r="J16" s="34">
        <f t="shared" si="5"/>
        <v>0.11</v>
      </c>
      <c r="K16" s="34">
        <f t="shared" si="6"/>
        <v>6.4405587494466732E-2</v>
      </c>
      <c r="L16" s="16">
        <f>G16/'Clause 6'!$G$11</f>
        <v>4360.9664305000006</v>
      </c>
      <c r="M16">
        <f t="shared" si="7"/>
        <v>4</v>
      </c>
      <c r="O16" s="88">
        <f t="shared" si="9"/>
        <v>0</v>
      </c>
      <c r="P16" s="88">
        <f t="shared" si="8"/>
        <v>-2.9848898306028881E-2</v>
      </c>
      <c r="Q16" s="88">
        <f t="shared" si="8"/>
        <v>1.5947891048550433E-2</v>
      </c>
      <c r="R16" s="88">
        <f t="shared" si="8"/>
        <v>3.4556689188437906E-2</v>
      </c>
      <c r="S16" s="88">
        <f t="shared" si="8"/>
        <v>-2.0655681930959569E-2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72</v>
      </c>
      <c r="B17" s="32"/>
      <c r="C17" s="32">
        <f t="shared" si="1"/>
        <v>3556.2871089999999</v>
      </c>
      <c r="D17" s="32">
        <f t="shared" si="1"/>
        <v>3713.179932</v>
      </c>
      <c r="E17" s="32">
        <f t="shared" si="1"/>
        <v>3780.5114749999998</v>
      </c>
      <c r="F17" s="32">
        <f t="shared" si="1"/>
        <v>3579.5749510000001</v>
      </c>
      <c r="G17" s="35">
        <f t="shared" si="2"/>
        <v>3657.3883667499999</v>
      </c>
      <c r="H17" s="36">
        <f t="shared" si="3"/>
        <v>180999.03358413238</v>
      </c>
      <c r="I17" s="34">
        <f t="shared" si="4"/>
        <v>2.5410478030660086E-2</v>
      </c>
      <c r="J17" s="34">
        <f t="shared" si="5"/>
        <v>0.11</v>
      </c>
      <c r="K17" s="34">
        <f t="shared" si="6"/>
        <v>6.1307234429481286E-2</v>
      </c>
      <c r="L17" s="16">
        <f>G17/'Clause 6'!$G$11</f>
        <v>3657.3883667499999</v>
      </c>
      <c r="M17">
        <f t="shared" si="7"/>
        <v>4</v>
      </c>
      <c r="O17" s="88">
        <f t="shared" si="9"/>
        <v>0</v>
      </c>
      <c r="P17" s="88">
        <f t="shared" si="8"/>
        <v>-2.7643019447737727E-2</v>
      </c>
      <c r="Q17" s="88">
        <f t="shared" si="8"/>
        <v>1.5254482066277664E-2</v>
      </c>
      <c r="R17" s="88">
        <f t="shared" si="8"/>
        <v>3.3664214981743434E-2</v>
      </c>
      <c r="S17" s="88">
        <f t="shared" si="8"/>
        <v>-2.1275677600283371E-2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73</v>
      </c>
      <c r="B18" s="32"/>
      <c r="C18" s="32">
        <f t="shared" si="1"/>
        <v>2932.2509770000001</v>
      </c>
      <c r="D18" s="32">
        <f t="shared" si="1"/>
        <v>3076.9489749999998</v>
      </c>
      <c r="E18" s="32">
        <f t="shared" si="1"/>
        <v>3129.9016109999998</v>
      </c>
      <c r="F18" s="32">
        <f t="shared" si="1"/>
        <v>2966.498047</v>
      </c>
      <c r="G18" s="35">
        <f t="shared" si="2"/>
        <v>3026.3999025000003</v>
      </c>
      <c r="H18" s="36">
        <f t="shared" si="3"/>
        <v>149772.29724126137</v>
      </c>
      <c r="I18" s="34">
        <f t="shared" si="4"/>
        <v>2.6495963677777373E-2</v>
      </c>
      <c r="J18" s="34">
        <f t="shared" si="5"/>
        <v>0.11</v>
      </c>
      <c r="K18" s="34">
        <f t="shared" si="6"/>
        <v>6.5308829093183474E-2</v>
      </c>
      <c r="L18" s="16">
        <f>G18/'Clause 6'!$G$11</f>
        <v>3026.3999025000003</v>
      </c>
      <c r="M18">
        <f t="shared" si="7"/>
        <v>4</v>
      </c>
      <c r="O18" s="88">
        <f t="shared" si="9"/>
        <v>0</v>
      </c>
      <c r="P18" s="88">
        <f t="shared" si="8"/>
        <v>-3.1109215084968445E-2</v>
      </c>
      <c r="Q18" s="88">
        <f t="shared" si="8"/>
        <v>1.6702707549733464E-2</v>
      </c>
      <c r="R18" s="88">
        <f t="shared" si="8"/>
        <v>3.4199614008215029E-2</v>
      </c>
      <c r="S18" s="88">
        <f t="shared" si="8"/>
        <v>-1.9793106472980493E-2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74</v>
      </c>
      <c r="B19" s="32"/>
      <c r="C19" s="32">
        <f t="shared" si="1"/>
        <v>2394</v>
      </c>
      <c r="D19" s="32">
        <f t="shared" si="1"/>
        <v>2505.6213379999999</v>
      </c>
      <c r="E19" s="32">
        <f t="shared" si="1"/>
        <v>2545.1750489999999</v>
      </c>
      <c r="F19" s="32">
        <f t="shared" si="1"/>
        <v>2416.1684570000002</v>
      </c>
      <c r="G19" s="35">
        <f t="shared" si="2"/>
        <v>2465.241211</v>
      </c>
      <c r="H19" s="36">
        <f t="shared" si="3"/>
        <v>122001.33865993579</v>
      </c>
      <c r="I19" s="34">
        <f t="shared" si="4"/>
        <v>2.5253659452929234E-2</v>
      </c>
      <c r="J19" s="34">
        <f t="shared" si="5"/>
        <v>0.11</v>
      </c>
      <c r="K19" s="34">
        <f t="shared" si="6"/>
        <v>6.1322619598216652E-2</v>
      </c>
      <c r="L19" s="16">
        <f>G19/'Clause 6'!$G$11</f>
        <v>2465.241211</v>
      </c>
      <c r="M19">
        <f t="shared" si="7"/>
        <v>4</v>
      </c>
      <c r="O19" s="88">
        <f t="shared" si="9"/>
        <v>0</v>
      </c>
      <c r="P19" s="88">
        <f t="shared" si="8"/>
        <v>-2.8898271975220546E-2</v>
      </c>
      <c r="Q19" s="88">
        <f t="shared" si="8"/>
        <v>1.6379787430058412E-2</v>
      </c>
      <c r="R19" s="88">
        <f t="shared" si="8"/>
        <v>3.2424347622996175E-2</v>
      </c>
      <c r="S19" s="88">
        <f t="shared" si="8"/>
        <v>-1.9905863077834041E-2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75</v>
      </c>
      <c r="B20" s="32"/>
      <c r="C20" s="32">
        <f t="shared" si="1"/>
        <v>1922.681274</v>
      </c>
      <c r="D20" s="32">
        <f t="shared" si="1"/>
        <v>2002.7969969999999</v>
      </c>
      <c r="E20" s="32">
        <f t="shared" si="1"/>
        <v>2043.768677</v>
      </c>
      <c r="F20" s="32">
        <f t="shared" si="1"/>
        <v>1926.9975589999999</v>
      </c>
      <c r="G20" s="35">
        <f t="shared" si="2"/>
        <v>1974.0611267499999</v>
      </c>
      <c r="H20" s="36">
        <f t="shared" si="3"/>
        <v>97693.523451341141</v>
      </c>
      <c r="I20" s="34">
        <f t="shared" si="4"/>
        <v>2.6003080424027238E-2</v>
      </c>
      <c r="J20" s="34">
        <f t="shared" si="5"/>
        <v>0.11</v>
      </c>
      <c r="K20" s="34">
        <f t="shared" si="6"/>
        <v>6.1339236844885611E-2</v>
      </c>
      <c r="L20" s="16">
        <f>G20/'Clause 6'!$G$11</f>
        <v>1974.0611267499999</v>
      </c>
      <c r="M20">
        <f t="shared" si="7"/>
        <v>4</v>
      </c>
      <c r="O20" s="88">
        <f t="shared" si="9"/>
        <v>0</v>
      </c>
      <c r="P20" s="88">
        <f t="shared" si="8"/>
        <v>-2.6027488234160789E-2</v>
      </c>
      <c r="Q20" s="88">
        <f t="shared" si="8"/>
        <v>1.4556727682141002E-2</v>
      </c>
      <c r="R20" s="88">
        <f t="shared" si="8"/>
        <v>3.5311748610724836E-2</v>
      </c>
      <c r="S20" s="88">
        <f t="shared" si="8"/>
        <v>-2.3840988058704715E-2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76</v>
      </c>
      <c r="B21" s="32"/>
      <c r="C21" s="32">
        <f t="shared" si="1"/>
        <v>1511.9107670000001</v>
      </c>
      <c r="D21" s="32">
        <f t="shared" si="1"/>
        <v>1580.776611</v>
      </c>
      <c r="E21" s="32">
        <f t="shared" si="1"/>
        <v>1605.2733149999999</v>
      </c>
      <c r="F21" s="32">
        <f t="shared" si="1"/>
        <v>1514.2751459999999</v>
      </c>
      <c r="G21" s="35">
        <f t="shared" si="2"/>
        <v>1553.05895975</v>
      </c>
      <c r="H21" s="36">
        <f t="shared" si="3"/>
        <v>76858.715188542788</v>
      </c>
      <c r="I21" s="34">
        <f t="shared" si="4"/>
        <v>2.6336550610970958E-2</v>
      </c>
      <c r="J21" s="34">
        <f t="shared" si="5"/>
        <v>0.11</v>
      </c>
      <c r="K21" s="34">
        <f t="shared" si="6"/>
        <v>6.0115263115978965E-2</v>
      </c>
      <c r="L21" s="16">
        <f>G21/'Clause 6'!$G$11</f>
        <v>1553.05895975</v>
      </c>
      <c r="M21">
        <f t="shared" si="7"/>
        <v>4</v>
      </c>
      <c r="O21" s="88">
        <f t="shared" si="9"/>
        <v>0</v>
      </c>
      <c r="P21" s="88">
        <f t="shared" si="8"/>
        <v>-2.6494932785181335E-2</v>
      </c>
      <c r="Q21" s="88">
        <f t="shared" si="8"/>
        <v>1.7847133926236713E-2</v>
      </c>
      <c r="R21" s="88">
        <f t="shared" si="8"/>
        <v>3.3620330330797588E-2</v>
      </c>
      <c r="S21" s="88">
        <f t="shared" si="8"/>
        <v>-2.4972531471852966E-2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77</v>
      </c>
      <c r="B22" s="32"/>
      <c r="C22" s="32">
        <f t="shared" si="1"/>
        <v>1174.755737</v>
      </c>
      <c r="D22" s="32">
        <f t="shared" si="1"/>
        <v>1223.959351</v>
      </c>
      <c r="E22" s="32">
        <f t="shared" si="1"/>
        <v>1236.7232670000001</v>
      </c>
      <c r="F22" s="32">
        <f t="shared" si="1"/>
        <v>1169.9592290000001</v>
      </c>
      <c r="G22" s="35">
        <f t="shared" si="2"/>
        <v>1201.3493960000001</v>
      </c>
      <c r="H22" s="36">
        <f t="shared" si="3"/>
        <v>59453.100920234989</v>
      </c>
      <c r="I22" s="34">
        <f t="shared" si="4"/>
        <v>2.4464148653823473E-2</v>
      </c>
      <c r="J22" s="34">
        <f t="shared" si="5"/>
        <v>0.11</v>
      </c>
      <c r="K22" s="34">
        <f t="shared" si="6"/>
        <v>5.5574205324693086E-2</v>
      </c>
      <c r="L22" s="16">
        <f>G22/'Clause 6'!$G$11</f>
        <v>1201.3493960000001</v>
      </c>
      <c r="M22">
        <f t="shared" si="7"/>
        <v>4</v>
      </c>
      <c r="O22" s="88">
        <f t="shared" si="9"/>
        <v>0</v>
      </c>
      <c r="P22" s="88">
        <f t="shared" si="8"/>
        <v>-2.2136490090681415E-2</v>
      </c>
      <c r="Q22" s="88">
        <f t="shared" si="8"/>
        <v>1.8820465615816406E-2</v>
      </c>
      <c r="R22" s="88">
        <f t="shared" si="8"/>
        <v>2.9445114899778968E-2</v>
      </c>
      <c r="S22" s="88">
        <f t="shared" si="8"/>
        <v>-2.6129090424914181E-2</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ht="13.15" x14ac:dyDescent="0.4">
      <c r="A23" s="11" t="s">
        <v>78</v>
      </c>
      <c r="B23" s="32"/>
      <c r="C23" s="32">
        <f t="shared" si="1"/>
        <v>893.56048599999997</v>
      </c>
      <c r="D23" s="32">
        <f t="shared" si="1"/>
        <v>936.44537400000002</v>
      </c>
      <c r="E23" s="32">
        <f t="shared" si="1"/>
        <v>952.48400900000001</v>
      </c>
      <c r="F23" s="32">
        <f t="shared" si="1"/>
        <v>898.12048300000004</v>
      </c>
      <c r="G23" s="35">
        <f t="shared" si="2"/>
        <v>920.15258800000004</v>
      </c>
      <c r="H23" s="36">
        <f t="shared" si="3"/>
        <v>45537.06428664938</v>
      </c>
      <c r="I23" s="34">
        <f t="shared" si="4"/>
        <v>2.7187491274062597E-2</v>
      </c>
      <c r="J23" s="34">
        <f t="shared" si="5"/>
        <v>0.11</v>
      </c>
      <c r="K23" s="34">
        <f t="shared" si="6"/>
        <v>6.403668670657485E-2</v>
      </c>
      <c r="L23" s="16">
        <f>G23/'Clause 6'!$G$11</f>
        <v>920.15258800000004</v>
      </c>
      <c r="M23">
        <f t="shared" si="7"/>
        <v>4</v>
      </c>
      <c r="O23" s="88">
        <f t="shared" si="9"/>
        <v>0</v>
      </c>
      <c r="P23" s="88">
        <f t="shared" si="8"/>
        <v>-2.8899665497653326E-2</v>
      </c>
      <c r="Q23" s="88">
        <f t="shared" si="8"/>
        <v>1.7706613242715719E-2</v>
      </c>
      <c r="R23" s="88">
        <f t="shared" si="8"/>
        <v>3.5137021208921482E-2</v>
      </c>
      <c r="S23" s="88">
        <f t="shared" si="8"/>
        <v>-2.3943968953983985E-2</v>
      </c>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37"/>
      <c r="AS23" s="37"/>
      <c r="AT23" s="37"/>
      <c r="AU23" s="37"/>
      <c r="AV23" s="37"/>
      <c r="AW23" s="37"/>
    </row>
    <row r="24" spans="1:49" ht="13.15" x14ac:dyDescent="0.4">
      <c r="A24" s="11" t="s">
        <v>79</v>
      </c>
      <c r="B24" s="32"/>
      <c r="C24" s="32">
        <f t="shared" si="1"/>
        <v>677.50201400000003</v>
      </c>
      <c r="D24" s="32">
        <f t="shared" si="1"/>
        <v>711.53448500000002</v>
      </c>
      <c r="E24" s="32">
        <f t="shared" si="1"/>
        <v>727.19287099999997</v>
      </c>
      <c r="F24" s="32">
        <f t="shared" si="1"/>
        <v>678.60418700000002</v>
      </c>
      <c r="G24" s="35">
        <f t="shared" si="2"/>
        <v>698.70838924999998</v>
      </c>
      <c r="H24" s="36">
        <f t="shared" si="3"/>
        <v>34578.100690945932</v>
      </c>
      <c r="I24" s="34">
        <f t="shared" si="4"/>
        <v>3.0610579689039928E-2</v>
      </c>
      <c r="J24" s="34">
        <f t="shared" si="5"/>
        <v>0.11</v>
      </c>
      <c r="K24" s="34">
        <f t="shared" si="6"/>
        <v>7.111816283376611E-2</v>
      </c>
      <c r="L24" s="16">
        <f>G24/'Clause 6'!$G$11</f>
        <v>698.70838924999998</v>
      </c>
      <c r="M24">
        <f t="shared" si="7"/>
        <v>4</v>
      </c>
      <c r="O24" s="88">
        <f t="shared" si="9"/>
        <v>0</v>
      </c>
      <c r="P24" s="88">
        <f t="shared" si="8"/>
        <v>-3.0350823857665521E-2</v>
      </c>
      <c r="Q24" s="88">
        <f t="shared" si="8"/>
        <v>1.8356865249274712E-2</v>
      </c>
      <c r="R24" s="88">
        <f t="shared" si="8"/>
        <v>4.076733897610052E-2</v>
      </c>
      <c r="S24" s="88">
        <f t="shared" si="8"/>
        <v>-2.87733803677096E-2</v>
      </c>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row>
    <row r="25" spans="1:49" ht="13.15" x14ac:dyDescent="0.4">
      <c r="A25" s="11" t="s">
        <v>80</v>
      </c>
      <c r="B25" s="32"/>
      <c r="C25" s="32">
        <f t="shared" si="1"/>
        <v>514.90948500000002</v>
      </c>
      <c r="D25" s="32">
        <f t="shared" si="1"/>
        <v>540.92620799999997</v>
      </c>
      <c r="E25" s="32">
        <f t="shared" si="1"/>
        <v>557.87780799999996</v>
      </c>
      <c r="F25" s="32">
        <f t="shared" si="1"/>
        <v>517.06957999999997</v>
      </c>
      <c r="G25" s="35">
        <f t="shared" si="2"/>
        <v>532.69577025000001</v>
      </c>
      <c r="H25" s="36">
        <f t="shared" si="3"/>
        <v>26362.368428289916</v>
      </c>
      <c r="I25" s="34">
        <f t="shared" si="4"/>
        <v>3.3349558662221584E-2</v>
      </c>
      <c r="J25" s="34">
        <f t="shared" si="5"/>
        <v>0.11</v>
      </c>
      <c r="K25" s="34">
        <f t="shared" si="6"/>
        <v>8.0662031500333548E-2</v>
      </c>
      <c r="L25" s="16">
        <f>G25/'Clause 6'!$G$11</f>
        <v>532.69577025000001</v>
      </c>
      <c r="M25">
        <f t="shared" si="7"/>
        <v>4</v>
      </c>
      <c r="O25" s="88">
        <f t="shared" si="9"/>
        <v>0</v>
      </c>
      <c r="P25" s="88">
        <f t="shared" si="8"/>
        <v>-3.3389199320378871E-2</v>
      </c>
      <c r="Q25" s="88">
        <f t="shared" si="8"/>
        <v>1.545054083334918E-2</v>
      </c>
      <c r="R25" s="88">
        <f t="shared" si="8"/>
        <v>4.7272832179954705E-2</v>
      </c>
      <c r="S25" s="88">
        <f t="shared" si="8"/>
        <v>-2.9334173692925125E-2</v>
      </c>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c r="AW25" s="37"/>
    </row>
    <row r="26" spans="1:49" ht="13.15" x14ac:dyDescent="0.4">
      <c r="A26" s="11" t="s">
        <v>81</v>
      </c>
      <c r="B26" s="32"/>
      <c r="C26" s="32">
        <f t="shared" si="1"/>
        <v>397.40399200000002</v>
      </c>
      <c r="D26" s="32">
        <f t="shared" si="1"/>
        <v>415.32012900000001</v>
      </c>
      <c r="E26" s="32">
        <f t="shared" si="1"/>
        <v>428.88528400000001</v>
      </c>
      <c r="F26" s="32">
        <f t="shared" si="1"/>
        <v>393.75921599999998</v>
      </c>
      <c r="G26" s="35">
        <f t="shared" si="2"/>
        <v>408.84215524999996</v>
      </c>
      <c r="H26" s="36">
        <f t="shared" si="3"/>
        <v>20233.026293147297</v>
      </c>
      <c r="I26" s="34">
        <f t="shared" si="4"/>
        <v>3.4634293732189299E-2</v>
      </c>
      <c r="J26" s="34">
        <f t="shared" si="5"/>
        <v>0.11</v>
      </c>
      <c r="K26" s="34">
        <f t="shared" si="6"/>
        <v>8.5915964263814829E-2</v>
      </c>
      <c r="L26" s="16">
        <f>G26/'Clause 6'!$G$11</f>
        <v>408.84215524999996</v>
      </c>
      <c r="M26">
        <f t="shared" si="7"/>
        <v>4</v>
      </c>
      <c r="O26" s="88">
        <f t="shared" si="9"/>
        <v>0</v>
      </c>
      <c r="P26" s="88">
        <f t="shared" si="8"/>
        <v>-2.7976966423645111E-2</v>
      </c>
      <c r="Q26" s="88">
        <f t="shared" si="8"/>
        <v>1.5844681539844752E-2</v>
      </c>
      <c r="R26" s="88">
        <f t="shared" si="8"/>
        <v>4.902412457380767E-2</v>
      </c>
      <c r="S26" s="88">
        <f t="shared" si="8"/>
        <v>-3.6891839690007089E-2</v>
      </c>
    </row>
    <row r="27" spans="1:49" ht="13.15" x14ac:dyDescent="0.4">
      <c r="A27" s="11" t="s">
        <v>82</v>
      </c>
      <c r="B27" s="32"/>
      <c r="C27" s="32">
        <f t="shared" si="1"/>
        <v>306.93075599999997</v>
      </c>
      <c r="D27" s="32">
        <f t="shared" si="1"/>
        <v>320.81555200000003</v>
      </c>
      <c r="E27" s="32">
        <f t="shared" si="1"/>
        <v>332.983002</v>
      </c>
      <c r="F27" s="32">
        <f t="shared" si="1"/>
        <v>305.39669800000001</v>
      </c>
      <c r="G27" s="35">
        <f t="shared" si="2"/>
        <v>316.53150199999999</v>
      </c>
      <c r="H27" s="36">
        <f t="shared" si="3"/>
        <v>15664.701206408698</v>
      </c>
      <c r="I27" s="34">
        <f t="shared" si="4"/>
        <v>3.5503313261548416E-2</v>
      </c>
      <c r="J27" s="34">
        <f t="shared" si="5"/>
        <v>0.11</v>
      </c>
      <c r="K27" s="34">
        <f t="shared" si="6"/>
        <v>8.7151843736551646E-2</v>
      </c>
      <c r="L27" s="16">
        <f>G27/'Clause 6'!$G$11</f>
        <v>316.53150199999999</v>
      </c>
      <c r="M27">
        <f t="shared" si="7"/>
        <v>4</v>
      </c>
      <c r="O27" s="88">
        <f t="shared" si="9"/>
        <v>0</v>
      </c>
      <c r="P27" s="88">
        <f t="shared" si="8"/>
        <v>-3.0331091658611697E-2</v>
      </c>
      <c r="Q27" s="88">
        <f t="shared" si="8"/>
        <v>1.3534355894851968E-2</v>
      </c>
      <c r="R27" s="88">
        <f t="shared" si="8"/>
        <v>5.1974289750155833E-2</v>
      </c>
      <c r="S27" s="88">
        <f t="shared" si="8"/>
        <v>-3.5177553986395882E-2</v>
      </c>
    </row>
    <row r="28" spans="1:49" ht="13.15" x14ac:dyDescent="0.4">
      <c r="A28" s="11" t="s">
        <v>83</v>
      </c>
      <c r="B28" s="32"/>
      <c r="C28" s="32">
        <f t="shared" si="1"/>
        <v>234.51225299999999</v>
      </c>
      <c r="D28" s="32">
        <f t="shared" si="1"/>
        <v>251.31218000000001</v>
      </c>
      <c r="E28" s="32">
        <f t="shared" si="1"/>
        <v>259.27301</v>
      </c>
      <c r="F28" s="32">
        <f t="shared" si="1"/>
        <v>234.11099200000001</v>
      </c>
      <c r="G28" s="35">
        <f t="shared" si="2"/>
        <v>244.80210875</v>
      </c>
      <c r="H28" s="36">
        <f t="shared" si="3"/>
        <v>12114.913883887357</v>
      </c>
      <c r="I28" s="34">
        <f t="shared" si="4"/>
        <v>4.4372269470948723E-2</v>
      </c>
      <c r="J28" s="34">
        <f t="shared" si="5"/>
        <v>0.11</v>
      </c>
      <c r="K28" s="34">
        <f t="shared" si="6"/>
        <v>0.10278513583269935</v>
      </c>
      <c r="L28" s="16">
        <f>G28/'Clause 6'!$G$11</f>
        <v>244.80210875</v>
      </c>
      <c r="M28">
        <f t="shared" si="7"/>
        <v>4</v>
      </c>
      <c r="O28" s="88">
        <f t="shared" si="9"/>
        <v>0</v>
      </c>
      <c r="P28" s="88">
        <f t="shared" si="8"/>
        <v>-4.2033362386221795E-2</v>
      </c>
      <c r="Q28" s="88">
        <f t="shared" si="8"/>
        <v>2.6593199230355857E-2</v>
      </c>
      <c r="R28" s="88">
        <f t="shared" si="8"/>
        <v>5.9112649494282632E-2</v>
      </c>
      <c r="S28" s="88">
        <f t="shared" si="8"/>
        <v>-4.3672486338416805E-2</v>
      </c>
    </row>
    <row r="29" spans="1:49" ht="13.15" x14ac:dyDescent="0.4">
      <c r="A29" s="11" t="s">
        <v>84</v>
      </c>
      <c r="B29" s="32"/>
      <c r="C29" s="32">
        <f t="shared" si="1"/>
        <v>176.85675000000001</v>
      </c>
      <c r="D29" s="32">
        <f t="shared" si="1"/>
        <v>196.20950300000001</v>
      </c>
      <c r="E29" s="32">
        <f t="shared" si="1"/>
        <v>198.04612700000001</v>
      </c>
      <c r="F29" s="32">
        <f t="shared" si="1"/>
        <v>178.809967</v>
      </c>
      <c r="G29" s="35">
        <f t="shared" si="2"/>
        <v>187.48058675000001</v>
      </c>
      <c r="H29" s="36">
        <f t="shared" si="3"/>
        <v>9278.1519529166362</v>
      </c>
      <c r="I29" s="34">
        <f t="shared" si="4"/>
        <v>5.1705010741523241E-2</v>
      </c>
      <c r="J29" s="34">
        <f t="shared" si="5"/>
        <v>0.113</v>
      </c>
      <c r="K29" s="34">
        <f t="shared" si="6"/>
        <v>0.11302171263340152</v>
      </c>
      <c r="L29" s="16">
        <f>G29/'Clause 6'!$G$11</f>
        <v>187.48058675000001</v>
      </c>
      <c r="M29">
        <f t="shared" si="7"/>
        <v>4</v>
      </c>
      <c r="O29" s="88">
        <f t="shared" si="9"/>
        <v>0</v>
      </c>
      <c r="P29" s="88">
        <f t="shared" si="8"/>
        <v>-5.666632974733854E-2</v>
      </c>
      <c r="Q29" s="88">
        <f t="shared" si="8"/>
        <v>4.6559040598906254E-2</v>
      </c>
      <c r="R29" s="88">
        <f t="shared" si="8"/>
        <v>5.635538288606301E-2</v>
      </c>
      <c r="S29" s="88">
        <f t="shared" si="8"/>
        <v>-4.6248093737630724E-2</v>
      </c>
    </row>
    <row r="30" spans="1:49" ht="13.15" x14ac:dyDescent="0.4">
      <c r="A30" s="11" t="s">
        <v>85</v>
      </c>
      <c r="B30" s="32"/>
      <c r="C30" s="32">
        <f t="shared" si="1"/>
        <v>133.36575300000001</v>
      </c>
      <c r="D30" s="32">
        <f t="shared" si="1"/>
        <v>149.007217</v>
      </c>
      <c r="E30" s="32">
        <f t="shared" si="1"/>
        <v>153.56253100000001</v>
      </c>
      <c r="F30" s="32">
        <f t="shared" si="1"/>
        <v>138.500778</v>
      </c>
      <c r="G30" s="35">
        <f t="shared" si="2"/>
        <v>143.60906975</v>
      </c>
      <c r="H30" s="36">
        <f t="shared" si="3"/>
        <v>7107.0119528389187</v>
      </c>
      <c r="I30" s="34">
        <f t="shared" si="4"/>
        <v>5.6057287342321051E-2</v>
      </c>
      <c r="J30" s="34">
        <f t="shared" si="5"/>
        <v>0.113</v>
      </c>
      <c r="K30" s="34">
        <f t="shared" si="6"/>
        <v>0.14063720373065083</v>
      </c>
      <c r="L30" s="16">
        <f>G30/'Clause 6'!$G$11</f>
        <v>143.60906975</v>
      </c>
      <c r="M30">
        <f t="shared" si="7"/>
        <v>4</v>
      </c>
      <c r="O30" s="88">
        <f t="shared" si="9"/>
        <v>0</v>
      </c>
      <c r="P30" s="88">
        <f t="shared" si="8"/>
        <v>-7.1327784295462271E-2</v>
      </c>
      <c r="Q30" s="88">
        <f t="shared" si="8"/>
        <v>3.7589180539901124E-2</v>
      </c>
      <c r="R30" s="88">
        <f t="shared" si="8"/>
        <v>6.9309419435188646E-2</v>
      </c>
      <c r="S30" s="88">
        <f t="shared" si="8"/>
        <v>-3.5570815679627388E-2</v>
      </c>
    </row>
    <row r="31" spans="1:49" ht="13.15" x14ac:dyDescent="0.4">
      <c r="A31" s="11" t="s">
        <v>86</v>
      </c>
      <c r="B31" s="32"/>
      <c r="C31" s="32">
        <f t="shared" si="1"/>
        <v>102.443253</v>
      </c>
      <c r="D31" s="32">
        <f t="shared" si="1"/>
        <v>115.305588</v>
      </c>
      <c r="E31" s="32">
        <f t="shared" si="1"/>
        <v>115.914948</v>
      </c>
      <c r="F31" s="32">
        <f t="shared" si="1"/>
        <v>103.95005</v>
      </c>
      <c r="G31" s="35">
        <f t="shared" si="2"/>
        <v>109.40345975</v>
      </c>
      <c r="H31" s="36">
        <f t="shared" si="3"/>
        <v>5414.2241675873083</v>
      </c>
      <c r="I31" s="34">
        <f t="shared" si="4"/>
        <v>5.6975829689593284E-2</v>
      </c>
      <c r="J31" s="34">
        <f t="shared" si="5"/>
        <v>0.113</v>
      </c>
      <c r="K31" s="34">
        <f t="shared" si="6"/>
        <v>0.12313774199448932</v>
      </c>
      <c r="L31" s="16">
        <f>G31/'Clause 6'!$G$11</f>
        <v>109.40345975</v>
      </c>
      <c r="M31">
        <f t="shared" si="7"/>
        <v>4</v>
      </c>
      <c r="O31" s="88">
        <f t="shared" si="9"/>
        <v>0</v>
      </c>
      <c r="P31" s="88">
        <f t="shared" si="8"/>
        <v>-6.36196219562426E-2</v>
      </c>
      <c r="Q31" s="88">
        <f t="shared" si="8"/>
        <v>5.3948277901695985E-2</v>
      </c>
      <c r="R31" s="88">
        <f t="shared" si="8"/>
        <v>5.9518120038246858E-2</v>
      </c>
      <c r="S31" s="88">
        <f t="shared" si="8"/>
        <v>-4.984677598370002E-2</v>
      </c>
    </row>
    <row r="32" spans="1:49" ht="13.15" x14ac:dyDescent="0.4">
      <c r="A32" s="11" t="s">
        <v>87</v>
      </c>
      <c r="B32" s="32"/>
      <c r="C32" s="32">
        <f t="shared" si="1"/>
        <v>76.707747999999995</v>
      </c>
      <c r="D32" s="32">
        <f t="shared" si="1"/>
        <v>83.604050000000001</v>
      </c>
      <c r="E32" s="32">
        <f t="shared" si="1"/>
        <v>87.976471000000004</v>
      </c>
      <c r="F32" s="32">
        <f t="shared" si="1"/>
        <v>76.647025999999997</v>
      </c>
      <c r="G32" s="35">
        <f t="shared" si="2"/>
        <v>81.233823749999999</v>
      </c>
      <c r="H32" s="36">
        <f t="shared" si="3"/>
        <v>4020.1482912680726</v>
      </c>
      <c r="I32" s="34">
        <f t="shared" si="4"/>
        <v>5.923128063547909E-2</v>
      </c>
      <c r="J32" s="34">
        <f t="shared" si="5"/>
        <v>0.11900000000000001</v>
      </c>
      <c r="K32" s="34">
        <f t="shared" si="6"/>
        <v>0.13946708990169882</v>
      </c>
      <c r="L32" s="16">
        <f>G32/'Clause 6'!$G$11</f>
        <v>81.233823749999999</v>
      </c>
      <c r="M32">
        <f t="shared" si="7"/>
        <v>4</v>
      </c>
      <c r="O32" s="88">
        <f t="shared" si="9"/>
        <v>0</v>
      </c>
      <c r="P32" s="88">
        <f t="shared" si="8"/>
        <v>-5.5716640446831112E-2</v>
      </c>
      <c r="Q32" s="88">
        <f t="shared" si="8"/>
        <v>2.9177824465021596E-2</v>
      </c>
      <c r="R32" s="88">
        <f t="shared" si="8"/>
        <v>8.3002952941754193E-2</v>
      </c>
      <c r="S32" s="88">
        <f t="shared" si="8"/>
        <v>-5.6464136959944677E-2</v>
      </c>
    </row>
    <row r="33" spans="1:19" ht="13.15" x14ac:dyDescent="0.4">
      <c r="A33" s="11" t="s">
        <v>88</v>
      </c>
      <c r="B33" s="32"/>
      <c r="C33" s="32">
        <f t="shared" si="1"/>
        <v>56.358749000000003</v>
      </c>
      <c r="D33" s="32">
        <f t="shared" si="1"/>
        <v>61.602984999999997</v>
      </c>
      <c r="E33" s="32">
        <f t="shared" si="1"/>
        <v>62.911102</v>
      </c>
      <c r="F33" s="32">
        <f t="shared" si="1"/>
        <v>56.492432000000001</v>
      </c>
      <c r="G33" s="35">
        <f t="shared" si="2"/>
        <v>59.341317000000004</v>
      </c>
      <c r="H33" s="36">
        <f t="shared" si="3"/>
        <v>2936.7187598275164</v>
      </c>
      <c r="I33" s="34">
        <f t="shared" si="4"/>
        <v>4.9755496976990707E-2</v>
      </c>
      <c r="J33" s="34">
        <f t="shared" si="5"/>
        <v>0.11900000000000001</v>
      </c>
      <c r="K33" s="34">
        <f t="shared" si="6"/>
        <v>0.1104180582982342</v>
      </c>
      <c r="L33" s="16">
        <f>G33/'Clause 6'!$G$11</f>
        <v>59.341317000000004</v>
      </c>
      <c r="M33">
        <f t="shared" si="7"/>
        <v>4</v>
      </c>
      <c r="O33" s="88">
        <f t="shared" si="9"/>
        <v>0</v>
      </c>
      <c r="P33" s="88">
        <f t="shared" si="8"/>
        <v>-5.0261237039953111E-2</v>
      </c>
      <c r="Q33" s="88">
        <f t="shared" si="8"/>
        <v>3.8112871677586702E-2</v>
      </c>
      <c r="R33" s="88">
        <f t="shared" si="8"/>
        <v>6.0156821258281035E-2</v>
      </c>
      <c r="S33" s="88">
        <f t="shared" si="8"/>
        <v>-4.8008455895914848E-2</v>
      </c>
    </row>
    <row r="34" spans="1:19" ht="13.15" x14ac:dyDescent="0.4">
      <c r="A34" s="11" t="s">
        <v>89</v>
      </c>
      <c r="B34" s="32"/>
      <c r="C34" s="32">
        <f t="shared" si="1"/>
        <v>40.298999999999999</v>
      </c>
      <c r="D34" s="32">
        <f t="shared" si="1"/>
        <v>44.102134999999997</v>
      </c>
      <c r="E34" s="32">
        <f t="shared" si="1"/>
        <v>46.266907000000003</v>
      </c>
      <c r="F34" s="32">
        <f t="shared" si="1"/>
        <v>41.302025</v>
      </c>
      <c r="G34" s="35">
        <f t="shared" si="2"/>
        <v>42.992516750000007</v>
      </c>
      <c r="H34" s="36">
        <f t="shared" si="3"/>
        <v>2127.6395074265665</v>
      </c>
      <c r="I34" s="34">
        <f t="shared" si="4"/>
        <v>5.4630576471397359E-2</v>
      </c>
      <c r="J34" s="34">
        <f t="shared" si="5"/>
        <v>0.11900000000000001</v>
      </c>
      <c r="K34" s="34">
        <f t="shared" si="6"/>
        <v>0.13881269232743865</v>
      </c>
      <c r="L34" s="16">
        <f>G34/'Clause 6'!$G$11</f>
        <v>42.992516750000007</v>
      </c>
      <c r="M34">
        <f t="shared" si="7"/>
        <v>4</v>
      </c>
      <c r="O34" s="88">
        <f t="shared" si="9"/>
        <v>0</v>
      </c>
      <c r="P34" s="88">
        <f t="shared" si="8"/>
        <v>-6.2650827483831995E-2</v>
      </c>
      <c r="Q34" s="88">
        <f t="shared" si="8"/>
        <v>2.5809567196365402E-2</v>
      </c>
      <c r="R34" s="88">
        <f t="shared" si="8"/>
        <v>7.6161864843606653E-2</v>
      </c>
      <c r="S34" s="88">
        <f t="shared" si="8"/>
        <v>-3.9320604556140726E-2</v>
      </c>
    </row>
    <row r="35" spans="1:19" ht="13.15" x14ac:dyDescent="0.4">
      <c r="A35" s="11" t="s">
        <v>90</v>
      </c>
      <c r="B35" s="32"/>
      <c r="C35" s="32">
        <f t="shared" si="1"/>
        <v>28.029751000000001</v>
      </c>
      <c r="D35" s="32">
        <f t="shared" si="1"/>
        <v>31.501525999999998</v>
      </c>
      <c r="E35" s="32">
        <f t="shared" si="1"/>
        <v>33.288395000000001</v>
      </c>
      <c r="F35" s="32">
        <f t="shared" si="1"/>
        <v>28.891559999999998</v>
      </c>
      <c r="G35" s="35">
        <f t="shared" si="2"/>
        <v>30.427807999999999</v>
      </c>
      <c r="H35" s="36">
        <f t="shared" si="3"/>
        <v>1505.8296494166075</v>
      </c>
      <c r="I35" s="34">
        <f t="shared" si="4"/>
        <v>6.8636366785114269E-2</v>
      </c>
      <c r="J35" s="34">
        <f t="shared" si="5"/>
        <v>0.13400000000000001</v>
      </c>
      <c r="K35" s="34">
        <f t="shared" si="6"/>
        <v>0.17282362239172799</v>
      </c>
      <c r="L35" s="16">
        <f>G35/'Clause 6'!$G$11</f>
        <v>30.427807999999999</v>
      </c>
      <c r="M35">
        <f t="shared" si="7"/>
        <v>4</v>
      </c>
      <c r="O35" s="88">
        <f t="shared" si="9"/>
        <v>0</v>
      </c>
      <c r="P35" s="88">
        <f t="shared" si="8"/>
        <v>-7.8811362290704512E-2</v>
      </c>
      <c r="Q35" s="88">
        <f t="shared" si="8"/>
        <v>3.5287392374764526E-2</v>
      </c>
      <c r="R35" s="88">
        <f t="shared" si="8"/>
        <v>9.401226010102337E-2</v>
      </c>
      <c r="S35" s="88">
        <f t="shared" si="8"/>
        <v>-5.0488290185083384E-2</v>
      </c>
    </row>
    <row r="36" spans="1:19" ht="13.15" x14ac:dyDescent="0.4">
      <c r="A36" s="11" t="s">
        <v>91</v>
      </c>
      <c r="B36" s="32"/>
      <c r="C36" s="32">
        <f t="shared" si="1"/>
        <v>20.548500000000001</v>
      </c>
      <c r="D36" s="32">
        <f t="shared" si="1"/>
        <v>23.301127999999999</v>
      </c>
      <c r="E36" s="32">
        <f t="shared" si="1"/>
        <v>22.687626000000002</v>
      </c>
      <c r="F36" s="32">
        <f t="shared" si="1"/>
        <v>18.168918999999999</v>
      </c>
      <c r="G36" s="35">
        <f t="shared" si="2"/>
        <v>21.176543249999998</v>
      </c>
      <c r="H36" s="36">
        <f t="shared" si="3"/>
        <v>1047.9974994584929</v>
      </c>
      <c r="I36" s="34">
        <f t="shared" si="4"/>
        <v>9.5142412817964789E-2</v>
      </c>
      <c r="J36" s="34">
        <f t="shared" si="5"/>
        <v>0.13400000000000001</v>
      </c>
      <c r="K36" s="34">
        <f t="shared" si="6"/>
        <v>0.2423534823135027</v>
      </c>
      <c r="L36" s="16">
        <f>G36/'Clause 6'!$G$11</f>
        <v>21.176543249999998</v>
      </c>
      <c r="M36">
        <f t="shared" si="7"/>
        <v>4</v>
      </c>
      <c r="O36" s="88">
        <f t="shared" si="9"/>
        <v>0</v>
      </c>
      <c r="P36" s="88">
        <f t="shared" si="8"/>
        <v>-2.9657496154382845E-2</v>
      </c>
      <c r="Q36" s="88">
        <f t="shared" si="8"/>
        <v>0.1003272689465029</v>
      </c>
      <c r="R36" s="88">
        <f t="shared" si="8"/>
        <v>7.1356440574880109E-2</v>
      </c>
      <c r="S36" s="88">
        <f t="shared" si="8"/>
        <v>-0.14202621336699983</v>
      </c>
    </row>
    <row r="37" spans="1:19" ht="13.15" x14ac:dyDescent="0.4">
      <c r="A37" s="11" t="s">
        <v>92</v>
      </c>
      <c r="B37" s="32"/>
      <c r="C37" s="32">
        <f t="shared" si="1"/>
        <v>14.364000000000001</v>
      </c>
      <c r="D37" s="32">
        <f t="shared" si="1"/>
        <v>15.400746</v>
      </c>
      <c r="E37" s="32">
        <f t="shared" si="1"/>
        <v>15.059035</v>
      </c>
      <c r="F37" s="32">
        <f t="shared" si="1"/>
        <v>13.304017999999999</v>
      </c>
      <c r="G37" s="35">
        <f t="shared" si="2"/>
        <v>14.531949750000001</v>
      </c>
      <c r="H37" s="36">
        <f t="shared" si="3"/>
        <v>719.16586292979957</v>
      </c>
      <c r="I37" s="34">
        <f t="shared" si="4"/>
        <v>5.5144032640495375E-2</v>
      </c>
      <c r="J37" s="34">
        <f t="shared" si="5"/>
        <v>0.156</v>
      </c>
      <c r="K37" s="34">
        <f t="shared" si="6"/>
        <v>0.14428401116649886</v>
      </c>
      <c r="L37" s="16">
        <f>G37/'Clause 6'!$G$11</f>
        <v>14.531949750000001</v>
      </c>
      <c r="M37">
        <f t="shared" si="7"/>
        <v>4</v>
      </c>
      <c r="O37" s="88">
        <f t="shared" si="9"/>
        <v>0</v>
      </c>
      <c r="P37" s="88">
        <f t="shared" si="8"/>
        <v>-1.1557275719316307E-2</v>
      </c>
      <c r="Q37" s="88">
        <f t="shared" si="8"/>
        <v>5.9785250083183028E-2</v>
      </c>
      <c r="R37" s="88">
        <f t="shared" si="8"/>
        <v>3.6270786719448944E-2</v>
      </c>
      <c r="S37" s="88">
        <f t="shared" si="8"/>
        <v>-8.4498761083315888E-2</v>
      </c>
    </row>
    <row r="38" spans="1:19" ht="13.15" x14ac:dyDescent="0.4">
      <c r="A38" s="11" t="s">
        <v>93</v>
      </c>
      <c r="B38" s="32"/>
      <c r="C38" s="32">
        <f t="shared" si="1"/>
        <v>9.6757500000000007</v>
      </c>
      <c r="D38" s="32">
        <f t="shared" si="1"/>
        <v>10.900528</v>
      </c>
      <c r="E38" s="32">
        <f t="shared" si="1"/>
        <v>9.7091150000000006</v>
      </c>
      <c r="F38" s="32">
        <f t="shared" si="1"/>
        <v>8.7369669999999999</v>
      </c>
      <c r="G38" s="35">
        <f t="shared" si="2"/>
        <v>9.7555900000000015</v>
      </c>
      <c r="H38" s="36">
        <f t="shared" si="3"/>
        <v>482.79050102958996</v>
      </c>
      <c r="I38" s="34">
        <f t="shared" si="4"/>
        <v>7.868595037824995E-2</v>
      </c>
      <c r="J38" s="34">
        <f t="shared" si="5"/>
        <v>0.193</v>
      </c>
      <c r="K38" s="34">
        <f t="shared" si="6"/>
        <v>0.2217765404245155</v>
      </c>
      <c r="L38" s="16">
        <f>G38/'Clause 6'!$G$11</f>
        <v>9.7555900000000015</v>
      </c>
      <c r="M38">
        <f t="shared" si="7"/>
        <v>4</v>
      </c>
      <c r="O38" s="88">
        <f t="shared" si="9"/>
        <v>0</v>
      </c>
      <c r="P38" s="88">
        <f t="shared" si="8"/>
        <v>-8.1840257739409505E-3</v>
      </c>
      <c r="Q38" s="88">
        <f t="shared" si="8"/>
        <v>0.11736225077109608</v>
      </c>
      <c r="R38" s="88">
        <f t="shared" si="8"/>
        <v>-4.7639353437363141E-3</v>
      </c>
      <c r="S38" s="88">
        <f t="shared" si="8"/>
        <v>-0.10441428965341937</v>
      </c>
    </row>
    <row r="40" spans="1:19" x14ac:dyDescent="0.35">
      <c r="A40" t="s">
        <v>94</v>
      </c>
    </row>
    <row r="41" spans="1:19" ht="15" x14ac:dyDescent="0.5">
      <c r="A41" s="38"/>
      <c r="B41" s="39" t="s">
        <v>95</v>
      </c>
      <c r="C41" s="38"/>
      <c r="D41" s="40" t="s">
        <v>96</v>
      </c>
      <c r="E41" s="41"/>
      <c r="F41" s="41"/>
      <c r="G41" s="41"/>
      <c r="H41" s="42"/>
    </row>
    <row r="42" spans="1:19" ht="15" x14ac:dyDescent="0.5">
      <c r="A42" s="43" t="s">
        <v>97</v>
      </c>
      <c r="B42" s="44" t="s">
        <v>98</v>
      </c>
      <c r="C42" s="43" t="s">
        <v>99</v>
      </c>
      <c r="D42" s="43" t="s">
        <v>100</v>
      </c>
      <c r="E42" s="44" t="s">
        <v>101</v>
      </c>
      <c r="F42" s="44" t="s">
        <v>102</v>
      </c>
      <c r="G42" s="44" t="s">
        <v>103</v>
      </c>
      <c r="H42" s="45" t="s">
        <v>104</v>
      </c>
    </row>
    <row r="43" spans="1:19" x14ac:dyDescent="0.35">
      <c r="A43" s="46">
        <v>10000</v>
      </c>
      <c r="C43" s="46">
        <v>11</v>
      </c>
      <c r="D43" s="46">
        <v>7.8</v>
      </c>
      <c r="E43">
        <v>5.3</v>
      </c>
      <c r="F43">
        <v>4</v>
      </c>
      <c r="G43">
        <v>2.7</v>
      </c>
      <c r="H43" s="47">
        <v>1.8</v>
      </c>
    </row>
    <row r="44" spans="1:19" x14ac:dyDescent="0.35">
      <c r="A44" s="46">
        <v>5000</v>
      </c>
      <c r="B44">
        <v>10000</v>
      </c>
      <c r="C44" s="46">
        <v>11.3</v>
      </c>
      <c r="D44" s="46">
        <v>7.8</v>
      </c>
      <c r="E44">
        <v>5.3</v>
      </c>
      <c r="F44">
        <v>4</v>
      </c>
      <c r="G44">
        <v>2.7</v>
      </c>
      <c r="H44" s="47">
        <v>1.9</v>
      </c>
    </row>
    <row r="45" spans="1:19" x14ac:dyDescent="0.35">
      <c r="A45" s="46">
        <v>2000</v>
      </c>
      <c r="B45">
        <v>5000</v>
      </c>
      <c r="C45" s="46">
        <v>11.9</v>
      </c>
      <c r="D45" s="46">
        <v>7.9</v>
      </c>
      <c r="E45">
        <v>5.4</v>
      </c>
      <c r="F45">
        <v>4.0999999999999996</v>
      </c>
      <c r="G45">
        <v>2.9</v>
      </c>
      <c r="H45" s="47">
        <v>2.1</v>
      </c>
    </row>
    <row r="46" spans="1:19" x14ac:dyDescent="0.35">
      <c r="A46" s="46">
        <v>1000</v>
      </c>
      <c r="B46">
        <v>2000</v>
      </c>
      <c r="C46" s="46">
        <v>13.4</v>
      </c>
      <c r="D46" s="46">
        <v>8</v>
      </c>
      <c r="E46">
        <v>5.6</v>
      </c>
      <c r="F46">
        <v>4.3</v>
      </c>
      <c r="G46">
        <v>3.1</v>
      </c>
      <c r="H46" s="47">
        <v>2.4</v>
      </c>
    </row>
    <row r="47" spans="1:19" x14ac:dyDescent="0.35">
      <c r="A47" s="46">
        <v>500</v>
      </c>
      <c r="B47">
        <v>1000</v>
      </c>
      <c r="C47" s="46">
        <v>15.6</v>
      </c>
      <c r="D47" s="46">
        <v>8.1999999999999993</v>
      </c>
      <c r="E47">
        <v>5.9</v>
      </c>
      <c r="F47">
        <v>4.7</v>
      </c>
      <c r="G47">
        <v>3.6</v>
      </c>
      <c r="H47" s="47">
        <v>2.9</v>
      </c>
    </row>
    <row r="48" spans="1:19" x14ac:dyDescent="0.35">
      <c r="A48" s="46">
        <v>200</v>
      </c>
      <c r="B48">
        <v>500</v>
      </c>
      <c r="C48" s="46">
        <v>19.3</v>
      </c>
      <c r="D48" s="46">
        <v>8.9</v>
      </c>
      <c r="E48">
        <v>6.8</v>
      </c>
      <c r="F48">
        <v>5.7</v>
      </c>
      <c r="G48">
        <v>4.7</v>
      </c>
      <c r="H48" s="47">
        <v>4.0999999999999996</v>
      </c>
    </row>
    <row r="49" spans="1:16" x14ac:dyDescent="0.35">
      <c r="A49" s="48">
        <v>100</v>
      </c>
      <c r="B49" s="49">
        <v>200</v>
      </c>
      <c r="C49" s="48">
        <v>27.5</v>
      </c>
      <c r="D49" s="48">
        <v>10</v>
      </c>
      <c r="E49" s="49">
        <v>8</v>
      </c>
      <c r="F49" s="49">
        <v>7</v>
      </c>
      <c r="G49" s="49">
        <v>6.1</v>
      </c>
      <c r="H49" s="50">
        <v>5.5</v>
      </c>
    </row>
    <row r="51" spans="1:16" ht="13.15" x14ac:dyDescent="0.4">
      <c r="B51" s="14" t="s">
        <v>51</v>
      </c>
      <c r="C51" s="14" t="s">
        <v>52</v>
      </c>
      <c r="D51" s="14" t="s">
        <v>53</v>
      </c>
      <c r="E51" s="14" t="s">
        <v>54</v>
      </c>
      <c r="F51" s="14" t="s">
        <v>55</v>
      </c>
      <c r="G51" s="14" t="s">
        <v>51</v>
      </c>
      <c r="H51" s="14" t="s">
        <v>52</v>
      </c>
      <c r="I51" s="14" t="s">
        <v>53</v>
      </c>
      <c r="J51" s="14" t="s">
        <v>54</v>
      </c>
      <c r="K51" s="14" t="s">
        <v>55</v>
      </c>
      <c r="L51" s="14" t="s">
        <v>51</v>
      </c>
      <c r="M51" s="14" t="s">
        <v>52</v>
      </c>
      <c r="N51" s="14" t="s">
        <v>53</v>
      </c>
      <c r="O51" s="14" t="s">
        <v>54</v>
      </c>
      <c r="P51" s="14" t="s">
        <v>55</v>
      </c>
    </row>
    <row r="52" spans="1:16" ht="13.9" x14ac:dyDescent="0.4">
      <c r="A52" s="14" t="s">
        <v>105</v>
      </c>
      <c r="B52" s="51">
        <v>9.2982689999999995</v>
      </c>
      <c r="C52" s="51">
        <v>10.025062999999999</v>
      </c>
      <c r="D52" s="51">
        <v>9.9995159999999998</v>
      </c>
      <c r="E52" s="51">
        <v>10.093608</v>
      </c>
      <c r="F52" s="51">
        <v>10.072145000000001</v>
      </c>
      <c r="G52" s="51">
        <v>9.1780740000000005</v>
      </c>
      <c r="H52" s="51">
        <v>10.000737000000001</v>
      </c>
      <c r="I52" s="51">
        <v>9.9297850000000007</v>
      </c>
      <c r="J52" s="51">
        <v>9.9917110000000005</v>
      </c>
      <c r="K52" s="51">
        <v>10.085137</v>
      </c>
      <c r="L52" s="51">
        <v>9.1881740000000001</v>
      </c>
      <c r="M52" s="51">
        <v>10.021395</v>
      </c>
      <c r="N52" s="51">
        <v>9.8533419999999996</v>
      </c>
      <c r="O52" s="51">
        <v>9.9223119999999998</v>
      </c>
      <c r="P52" s="51">
        <v>10.022313</v>
      </c>
    </row>
    <row r="53" spans="1:16" ht="13.9" x14ac:dyDescent="0.4">
      <c r="A53" s="29">
        <v>4</v>
      </c>
      <c r="B53" s="51">
        <v>12293.363281</v>
      </c>
      <c r="C53" s="51">
        <v>11936.982421999999</v>
      </c>
      <c r="D53" s="51">
        <v>12435.102539</v>
      </c>
      <c r="E53" s="51">
        <v>12680.004883</v>
      </c>
      <c r="F53" s="51">
        <v>12013.428711</v>
      </c>
      <c r="G53" s="51">
        <v>12376.561523</v>
      </c>
      <c r="H53" s="51">
        <v>13109.533203000001</v>
      </c>
      <c r="I53" s="51">
        <v>12607.422852</v>
      </c>
      <c r="J53" s="51">
        <v>13053.020508</v>
      </c>
      <c r="K53" s="51">
        <v>12753.420898</v>
      </c>
      <c r="L53" s="51">
        <v>12747.254883</v>
      </c>
      <c r="M53" s="51">
        <v>12418.929688</v>
      </c>
      <c r="N53" s="51">
        <v>12443.494140999999</v>
      </c>
      <c r="O53" s="51">
        <v>13101.583984000001</v>
      </c>
      <c r="P53" s="51">
        <v>13393.415039</v>
      </c>
    </row>
    <row r="54" spans="1:16" ht="13.9" x14ac:dyDescent="0.4">
      <c r="A54" s="29">
        <v>5</v>
      </c>
      <c r="B54" s="51">
        <v>10675.857421999999</v>
      </c>
      <c r="C54" s="51">
        <v>10326.818359000001</v>
      </c>
      <c r="D54" s="51">
        <v>10813.324219</v>
      </c>
      <c r="E54" s="51">
        <v>11010.631836</v>
      </c>
      <c r="F54" s="51">
        <v>10415.854492</v>
      </c>
      <c r="G54" s="51">
        <v>10684.049805000001</v>
      </c>
      <c r="H54" s="51">
        <v>11383.260742</v>
      </c>
      <c r="I54" s="51">
        <v>10949.583008</v>
      </c>
      <c r="J54" s="51">
        <v>11326.588867</v>
      </c>
      <c r="K54" s="51">
        <v>11061.723633</v>
      </c>
      <c r="L54" s="51">
        <v>11044.196289</v>
      </c>
      <c r="M54" s="51">
        <v>10769.558594</v>
      </c>
      <c r="N54" s="51">
        <v>10830.132812</v>
      </c>
      <c r="O54" s="51">
        <v>11365.194336</v>
      </c>
      <c r="P54" s="51">
        <v>11605.903319999999</v>
      </c>
    </row>
    <row r="55" spans="1:16" ht="13.9" x14ac:dyDescent="0.4">
      <c r="A55" s="29">
        <v>6</v>
      </c>
      <c r="B55" s="51">
        <v>9274.4140619999998</v>
      </c>
      <c r="C55" s="51">
        <v>8977.7998050000006</v>
      </c>
      <c r="D55" s="51">
        <v>9398.1552730000003</v>
      </c>
      <c r="E55" s="51">
        <v>9592.0107420000004</v>
      </c>
      <c r="F55" s="51">
        <v>9060.1347659999992</v>
      </c>
      <c r="G55" s="51">
        <v>9292.2548829999996</v>
      </c>
      <c r="H55" s="51">
        <v>9891.4707030000009</v>
      </c>
      <c r="I55" s="51">
        <v>9535.3525389999995</v>
      </c>
      <c r="J55" s="51">
        <v>9841.6582030000009</v>
      </c>
      <c r="K55" s="51">
        <v>9605.1240230000003</v>
      </c>
      <c r="L55" s="51">
        <v>9600.4931639999995</v>
      </c>
      <c r="M55" s="51">
        <v>9377.6367190000001</v>
      </c>
      <c r="N55" s="51">
        <v>9436.5947269999997</v>
      </c>
      <c r="O55" s="51">
        <v>9886.3046880000002</v>
      </c>
      <c r="P55" s="51">
        <v>10080.90625</v>
      </c>
    </row>
    <row r="56" spans="1:16" ht="13.9" x14ac:dyDescent="0.4">
      <c r="A56" s="29">
        <v>7</v>
      </c>
      <c r="B56" s="51">
        <v>8048.4873049999997</v>
      </c>
      <c r="C56" s="51">
        <v>7795.7617190000001</v>
      </c>
      <c r="D56" s="51">
        <v>8178.1962890000004</v>
      </c>
      <c r="E56" s="51">
        <v>8328.5380860000005</v>
      </c>
      <c r="F56" s="51">
        <v>7871.8085940000001</v>
      </c>
      <c r="G56" s="51">
        <v>8072.3911129999997</v>
      </c>
      <c r="H56" s="51">
        <v>8580.4677730000003</v>
      </c>
      <c r="I56" s="51">
        <v>8314.7822269999997</v>
      </c>
      <c r="J56" s="51">
        <v>8553.390625</v>
      </c>
      <c r="K56" s="51">
        <v>8332.3603519999997</v>
      </c>
      <c r="L56" s="51">
        <v>8312.7509769999997</v>
      </c>
      <c r="M56" s="51">
        <v>8154.9526370000003</v>
      </c>
      <c r="N56" s="51">
        <v>8201.3798829999996</v>
      </c>
      <c r="O56" s="51">
        <v>8594.46875</v>
      </c>
      <c r="P56" s="51">
        <v>8734.3105469999991</v>
      </c>
    </row>
    <row r="57" spans="1:16" ht="13.9" x14ac:dyDescent="0.4">
      <c r="A57" s="29">
        <v>8</v>
      </c>
      <c r="B57" s="51">
        <v>6978.7182620000003</v>
      </c>
      <c r="C57" s="51">
        <v>6745.1948240000002</v>
      </c>
      <c r="D57" s="51">
        <v>7056.9418949999999</v>
      </c>
      <c r="E57" s="51">
        <v>7210.9003910000001</v>
      </c>
      <c r="F57" s="51">
        <v>6819.1030270000001</v>
      </c>
      <c r="G57" s="51">
        <v>6974.5571289999998</v>
      </c>
      <c r="H57" s="51">
        <v>7415.7534180000002</v>
      </c>
      <c r="I57" s="51">
        <v>7206.7021480000003</v>
      </c>
      <c r="J57" s="51">
        <v>7405.1381840000004</v>
      </c>
      <c r="K57" s="51">
        <v>7199.3071289999998</v>
      </c>
      <c r="L57" s="51">
        <v>7191.5268550000001</v>
      </c>
      <c r="M57" s="51">
        <v>7057.001953</v>
      </c>
      <c r="N57" s="51">
        <v>7108.8569340000004</v>
      </c>
      <c r="O57" s="51">
        <v>7438.2866210000002</v>
      </c>
      <c r="P57" s="51">
        <v>7536.4838870000003</v>
      </c>
    </row>
    <row r="58" spans="1:16" ht="13.9" x14ac:dyDescent="0.4">
      <c r="A58" s="29">
        <v>9</v>
      </c>
      <c r="B58" s="51">
        <v>6031.6601559999999</v>
      </c>
      <c r="C58" s="51">
        <v>5811.4350590000004</v>
      </c>
      <c r="D58" s="51">
        <v>6099.095703</v>
      </c>
      <c r="E58" s="51">
        <v>6215.0224609999996</v>
      </c>
      <c r="F58" s="51">
        <v>5881.9643550000001</v>
      </c>
      <c r="G58" s="51">
        <v>6027.0815430000002</v>
      </c>
      <c r="H58" s="51">
        <v>6400.1284180000002</v>
      </c>
      <c r="I58" s="51">
        <v>6222.189453</v>
      </c>
      <c r="J58" s="51">
        <v>6394.8007809999999</v>
      </c>
      <c r="K58" s="51">
        <v>6212.0126950000003</v>
      </c>
      <c r="L58" s="51">
        <v>6215.0541990000002</v>
      </c>
      <c r="M58" s="51">
        <v>6112.9213870000003</v>
      </c>
      <c r="N58" s="51">
        <v>6135.2788090000004</v>
      </c>
      <c r="O58" s="51">
        <v>6427.5341799999997</v>
      </c>
      <c r="P58" s="51">
        <v>6493.9101559999999</v>
      </c>
    </row>
    <row r="59" spans="1:16" ht="13.9" x14ac:dyDescent="0.4">
      <c r="A59" s="29">
        <v>10</v>
      </c>
      <c r="B59" s="51">
        <v>5188.169922</v>
      </c>
      <c r="C59" s="51">
        <v>4980.9165039999998</v>
      </c>
      <c r="D59" s="51">
        <v>5221.953125</v>
      </c>
      <c r="E59" s="51">
        <v>5322.0810549999997</v>
      </c>
      <c r="F59" s="51">
        <v>5041.5278319999998</v>
      </c>
      <c r="G59" s="51">
        <v>5165.7895509999998</v>
      </c>
      <c r="H59" s="51">
        <v>5500.8945309999999</v>
      </c>
      <c r="I59" s="51">
        <v>5332.4418949999999</v>
      </c>
      <c r="J59" s="51">
        <v>5479.7421880000002</v>
      </c>
      <c r="K59" s="51">
        <v>5326.2539059999999</v>
      </c>
      <c r="L59" s="51">
        <v>5324.779297</v>
      </c>
      <c r="M59" s="51">
        <v>5253.1611329999996</v>
      </c>
      <c r="N59" s="51">
        <v>5265.3203119999998</v>
      </c>
      <c r="O59" s="51">
        <v>5499.9277339999999</v>
      </c>
      <c r="P59" s="51">
        <v>5572.0668949999999</v>
      </c>
    </row>
    <row r="60" spans="1:16" ht="13.9" x14ac:dyDescent="0.4">
      <c r="A60" s="29">
        <v>11</v>
      </c>
      <c r="B60" s="51">
        <v>4412.0039059999999</v>
      </c>
      <c r="C60" s="51">
        <v>4230.7963870000003</v>
      </c>
      <c r="D60" s="51">
        <v>4430.5146480000003</v>
      </c>
      <c r="E60" s="51">
        <v>4511.6669920000004</v>
      </c>
      <c r="F60" s="51">
        <v>4270.8876950000003</v>
      </c>
      <c r="G60" s="51">
        <v>4402.6665039999998</v>
      </c>
      <c r="H60" s="51">
        <v>4689.654297</v>
      </c>
      <c r="I60" s="51">
        <v>4519.7353519999997</v>
      </c>
      <c r="J60" s="51">
        <v>4647.3525390000004</v>
      </c>
      <c r="K60" s="51">
        <v>4507.9208980000003</v>
      </c>
      <c r="L60" s="51">
        <v>4529.7358400000003</v>
      </c>
      <c r="M60" s="51">
        <v>4462.5522460000002</v>
      </c>
      <c r="N60" s="51">
        <v>4476.4506840000004</v>
      </c>
      <c r="O60" s="51">
        <v>4672.8022460000002</v>
      </c>
      <c r="P60" s="51">
        <v>4718.6713870000003</v>
      </c>
    </row>
    <row r="61" spans="1:16" ht="13.9" x14ac:dyDescent="0.4">
      <c r="A61" s="29">
        <v>12</v>
      </c>
      <c r="B61" s="51">
        <v>3721.3376459999999</v>
      </c>
      <c r="C61" s="51">
        <v>3556.2871089999999</v>
      </c>
      <c r="D61" s="51">
        <v>3713.179932</v>
      </c>
      <c r="E61" s="51">
        <v>3780.5114749999998</v>
      </c>
      <c r="F61" s="51">
        <v>3579.5749510000001</v>
      </c>
      <c r="G61" s="51">
        <v>3697.3989259999998</v>
      </c>
      <c r="H61" s="51">
        <v>3935.6098630000001</v>
      </c>
      <c r="I61" s="51">
        <v>3789.508057</v>
      </c>
      <c r="J61" s="51">
        <v>3900.233154</v>
      </c>
      <c r="K61" s="51">
        <v>3779.6213379999999</v>
      </c>
      <c r="L61" s="51">
        <v>3825.1342770000001</v>
      </c>
      <c r="M61" s="51">
        <v>3758.5585940000001</v>
      </c>
      <c r="N61" s="51">
        <v>3761.1604000000002</v>
      </c>
      <c r="O61" s="51">
        <v>3933.3576659999999</v>
      </c>
      <c r="P61" s="51">
        <v>3955.5739749999998</v>
      </c>
    </row>
    <row r="62" spans="1:16" ht="13.9" x14ac:dyDescent="0.4">
      <c r="A62" s="29">
        <v>13</v>
      </c>
      <c r="B62" s="51">
        <v>3068.743164</v>
      </c>
      <c r="C62" s="51">
        <v>2932.2509770000001</v>
      </c>
      <c r="D62" s="51">
        <v>3076.9489749999998</v>
      </c>
      <c r="E62" s="51">
        <v>3129.9016109999998</v>
      </c>
      <c r="F62" s="51">
        <v>2966.498047</v>
      </c>
      <c r="G62" s="51">
        <v>3065.4580080000001</v>
      </c>
      <c r="H62" s="51">
        <v>3256.5598140000002</v>
      </c>
      <c r="I62" s="51">
        <v>3142.5656739999999</v>
      </c>
      <c r="J62" s="51">
        <v>3229.376953</v>
      </c>
      <c r="K62" s="51">
        <v>3134.3151859999998</v>
      </c>
      <c r="L62" s="51">
        <v>3167.767578</v>
      </c>
      <c r="M62" s="51">
        <v>3123.4174800000001</v>
      </c>
      <c r="N62" s="51">
        <v>3123.7116700000001</v>
      </c>
      <c r="O62" s="51">
        <v>3267.383789</v>
      </c>
      <c r="P62" s="51">
        <v>3277.8859859999998</v>
      </c>
    </row>
    <row r="63" spans="1:16" ht="13.9" x14ac:dyDescent="0.4">
      <c r="A63" s="29">
        <v>14</v>
      </c>
      <c r="B63" s="51">
        <v>2504.2294919999999</v>
      </c>
      <c r="C63" s="51">
        <v>2394</v>
      </c>
      <c r="D63" s="51">
        <v>2505.6213379999999</v>
      </c>
      <c r="E63" s="51">
        <v>2545.1750489999999</v>
      </c>
      <c r="F63" s="51">
        <v>2416.1684570000002</v>
      </c>
      <c r="G63" s="51">
        <v>2487.123047</v>
      </c>
      <c r="H63" s="51">
        <v>2648.3046880000002</v>
      </c>
      <c r="I63" s="51">
        <v>2555.443115</v>
      </c>
      <c r="J63" s="51">
        <v>2620.772461</v>
      </c>
      <c r="K63" s="51">
        <v>2565.9541020000001</v>
      </c>
      <c r="L63" s="51">
        <v>2580.3820799999999</v>
      </c>
      <c r="M63" s="51">
        <v>2547.649414</v>
      </c>
      <c r="N63" s="51">
        <v>2549.3889159999999</v>
      </c>
      <c r="O63" s="51">
        <v>2666.7172850000002</v>
      </c>
      <c r="P63" s="51">
        <v>2657.669922</v>
      </c>
    </row>
    <row r="64" spans="1:16" ht="13.9" x14ac:dyDescent="0.4">
      <c r="A64" s="29">
        <v>15</v>
      </c>
      <c r="B64" s="51">
        <v>2008.5457759999999</v>
      </c>
      <c r="C64" s="51">
        <v>1922.681274</v>
      </c>
      <c r="D64" s="51">
        <v>2002.7969969999999</v>
      </c>
      <c r="E64" s="51">
        <v>2043.768677</v>
      </c>
      <c r="F64" s="51">
        <v>1926.9975589999999</v>
      </c>
      <c r="G64" s="51">
        <v>1997.8048100000001</v>
      </c>
      <c r="H64" s="51">
        <v>2128.843018</v>
      </c>
      <c r="I64" s="51">
        <v>2049.389893</v>
      </c>
      <c r="J64" s="51">
        <v>2102.6430660000001</v>
      </c>
      <c r="K64" s="51">
        <v>2062.936768</v>
      </c>
      <c r="L64" s="51">
        <v>2072.1201169999999</v>
      </c>
      <c r="M64" s="51">
        <v>2046.820923</v>
      </c>
      <c r="N64" s="51">
        <v>2036.263428</v>
      </c>
      <c r="O64" s="51">
        <v>2133.1721189999998</v>
      </c>
      <c r="P64" s="51">
        <v>2133.539307</v>
      </c>
    </row>
    <row r="65" spans="1:16" ht="13.9" x14ac:dyDescent="0.4">
      <c r="A65" s="29">
        <v>16</v>
      </c>
      <c r="B65" s="51">
        <v>1571.690308</v>
      </c>
      <c r="C65" s="51">
        <v>1511.9107670000001</v>
      </c>
      <c r="D65" s="51">
        <v>1580.776611</v>
      </c>
      <c r="E65" s="51">
        <v>1605.2733149999999</v>
      </c>
      <c r="F65" s="51">
        <v>1514.2751459999999</v>
      </c>
      <c r="G65" s="51">
        <v>1564.816284</v>
      </c>
      <c r="H65" s="51">
        <v>1677.3763429999999</v>
      </c>
      <c r="I65" s="51">
        <v>1609.601807</v>
      </c>
      <c r="J65" s="51">
        <v>1653.2705080000001</v>
      </c>
      <c r="K65" s="51">
        <v>1622.089966</v>
      </c>
      <c r="L65" s="51">
        <v>1632.0979</v>
      </c>
      <c r="M65" s="51">
        <v>1614.2463379999999</v>
      </c>
      <c r="N65" s="51">
        <v>1603.7198490000001</v>
      </c>
      <c r="O65" s="51">
        <v>1670.4776609999999</v>
      </c>
      <c r="P65" s="51">
        <v>1683.144409</v>
      </c>
    </row>
    <row r="66" spans="1:16" ht="13.9" x14ac:dyDescent="0.4">
      <c r="A66" s="29">
        <v>17</v>
      </c>
      <c r="B66" s="51">
        <v>1217.9686280000001</v>
      </c>
      <c r="C66" s="51">
        <v>1174.755737</v>
      </c>
      <c r="D66" s="51">
        <v>1223.959351</v>
      </c>
      <c r="E66" s="51">
        <v>1236.7232670000001</v>
      </c>
      <c r="F66" s="51">
        <v>1169.9592290000001</v>
      </c>
      <c r="G66" s="51">
        <v>1215.069702</v>
      </c>
      <c r="H66" s="51">
        <v>1293.1046140000001</v>
      </c>
      <c r="I66" s="51">
        <v>1242.524414</v>
      </c>
      <c r="J66" s="51">
        <v>1282.162842</v>
      </c>
      <c r="K66" s="51">
        <v>1259.873779</v>
      </c>
      <c r="L66" s="51">
        <v>1265.322144</v>
      </c>
      <c r="M66" s="51">
        <v>1252.7198490000001</v>
      </c>
      <c r="N66" s="51">
        <v>1250.6416019999999</v>
      </c>
      <c r="O66" s="51">
        <v>1293.0454099999999</v>
      </c>
      <c r="P66" s="51">
        <v>1294.0126949999999</v>
      </c>
    </row>
    <row r="67" spans="1:16" ht="13.9" x14ac:dyDescent="0.4">
      <c r="A67" s="29">
        <v>18</v>
      </c>
      <c r="B67" s="51">
        <v>934.58252000000005</v>
      </c>
      <c r="C67" s="51">
        <v>893.56048599999997</v>
      </c>
      <c r="D67" s="51">
        <v>936.44537400000002</v>
      </c>
      <c r="E67" s="51">
        <v>952.48400900000001</v>
      </c>
      <c r="F67" s="51">
        <v>898.12048300000004</v>
      </c>
      <c r="G67" s="51">
        <v>933.52917500000001</v>
      </c>
      <c r="H67" s="51">
        <v>985.62731900000006</v>
      </c>
      <c r="I67" s="51">
        <v>958.53033400000004</v>
      </c>
      <c r="J67" s="51">
        <v>979.41186500000003</v>
      </c>
      <c r="K67" s="51">
        <v>963.39788799999997</v>
      </c>
      <c r="L67" s="51">
        <v>977.23443599999996</v>
      </c>
      <c r="M67" s="51">
        <v>966.73168899999996</v>
      </c>
      <c r="N67" s="51">
        <v>959.978882</v>
      </c>
      <c r="O67" s="51">
        <v>990.19262700000002</v>
      </c>
      <c r="P67" s="51">
        <v>989.19281000000001</v>
      </c>
    </row>
    <row r="68" spans="1:16" ht="13.9" x14ac:dyDescent="0.4">
      <c r="A68" s="29">
        <v>19</v>
      </c>
      <c r="B68" s="51">
        <v>721.63964799999997</v>
      </c>
      <c r="C68" s="51">
        <v>677.50201400000003</v>
      </c>
      <c r="D68" s="51">
        <v>711.53448500000002</v>
      </c>
      <c r="E68" s="51">
        <v>727.19287099999997</v>
      </c>
      <c r="F68" s="51">
        <v>678.60418700000002</v>
      </c>
      <c r="G68" s="51">
        <v>710.17077600000005</v>
      </c>
      <c r="H68" s="51">
        <v>754.54437299999995</v>
      </c>
      <c r="I68" s="51">
        <v>730.42871100000002</v>
      </c>
      <c r="J68" s="51">
        <v>744.71734600000002</v>
      </c>
      <c r="K68" s="51">
        <v>735.04205300000001</v>
      </c>
      <c r="L68" s="51">
        <v>749.332764</v>
      </c>
      <c r="M68" s="51">
        <v>742.71099900000002</v>
      </c>
      <c r="N68" s="51">
        <v>733.65972899999997</v>
      </c>
      <c r="O68" s="51">
        <v>755.569885</v>
      </c>
      <c r="P68" s="51">
        <v>752.82025099999998</v>
      </c>
    </row>
    <row r="69" spans="1:16" ht="13.9" x14ac:dyDescent="0.4">
      <c r="A69" s="29">
        <v>20</v>
      </c>
      <c r="B69" s="51">
        <v>549.02691700000003</v>
      </c>
      <c r="C69" s="51">
        <v>514.90948500000002</v>
      </c>
      <c r="D69" s="51">
        <v>540.92620799999997</v>
      </c>
      <c r="E69" s="51">
        <v>557.87780799999996</v>
      </c>
      <c r="F69" s="51">
        <v>517.06957999999997</v>
      </c>
      <c r="G69" s="51">
        <v>541.07214399999998</v>
      </c>
      <c r="H69" s="51">
        <v>570.75793499999997</v>
      </c>
      <c r="I69" s="51">
        <v>554.99694799999997</v>
      </c>
      <c r="J69" s="51">
        <v>566.16931199999999</v>
      </c>
      <c r="K69" s="51">
        <v>560.32952899999998</v>
      </c>
      <c r="L69" s="51">
        <v>572.58380099999999</v>
      </c>
      <c r="M69" s="51">
        <v>568.28417999999999</v>
      </c>
      <c r="N69" s="51">
        <v>564.47851600000001</v>
      </c>
      <c r="O69" s="51">
        <v>579.300476</v>
      </c>
      <c r="P69" s="51">
        <v>571.32519500000001</v>
      </c>
    </row>
    <row r="70" spans="1:16" ht="13.9" x14ac:dyDescent="0.4">
      <c r="A70" s="29">
        <v>21</v>
      </c>
      <c r="B70" s="51">
        <v>419.970642</v>
      </c>
      <c r="C70" s="51">
        <v>397.40399200000002</v>
      </c>
      <c r="D70" s="51">
        <v>415.32012900000001</v>
      </c>
      <c r="E70" s="51">
        <v>428.88528400000001</v>
      </c>
      <c r="F70" s="51">
        <v>393.75921599999998</v>
      </c>
      <c r="G70" s="51">
        <v>413.37649499999998</v>
      </c>
      <c r="H70" s="51">
        <v>438.96765099999999</v>
      </c>
      <c r="I70" s="51">
        <v>425.99111900000003</v>
      </c>
      <c r="J70" s="51">
        <v>431.05731200000002</v>
      </c>
      <c r="K70" s="51">
        <v>425.37844799999999</v>
      </c>
      <c r="L70" s="51">
        <v>441.21933000000001</v>
      </c>
      <c r="M70" s="51">
        <v>436.56597900000003</v>
      </c>
      <c r="N70" s="51">
        <v>430.61532599999998</v>
      </c>
      <c r="O70" s="51">
        <v>447.67791699999998</v>
      </c>
      <c r="P70" s="51">
        <v>435.02932700000002</v>
      </c>
    </row>
    <row r="71" spans="1:16" ht="13.9" x14ac:dyDescent="0.4">
      <c r="A71" s="29">
        <v>22</v>
      </c>
      <c r="B71" s="51">
        <v>320.70483400000001</v>
      </c>
      <c r="C71" s="51">
        <v>306.93075599999997</v>
      </c>
      <c r="D71" s="51">
        <v>320.81555200000003</v>
      </c>
      <c r="E71" s="51">
        <v>332.983002</v>
      </c>
      <c r="F71" s="51">
        <v>305.39669800000001</v>
      </c>
      <c r="G71" s="51">
        <v>319.89282200000002</v>
      </c>
      <c r="H71" s="51">
        <v>336.27520800000002</v>
      </c>
      <c r="I71" s="51">
        <v>322.564911</v>
      </c>
      <c r="J71" s="51">
        <v>327.67163099999999</v>
      </c>
      <c r="K71" s="51">
        <v>326.12347399999999</v>
      </c>
      <c r="L71" s="51">
        <v>338.69622800000002</v>
      </c>
      <c r="M71" s="51">
        <v>332.08950800000002</v>
      </c>
      <c r="N71" s="51">
        <v>333.38943499999999</v>
      </c>
      <c r="O71" s="51">
        <v>346.29025300000001</v>
      </c>
      <c r="P71" s="51">
        <v>332.458191</v>
      </c>
    </row>
    <row r="72" spans="1:16" ht="13.9" x14ac:dyDescent="0.4">
      <c r="A72" s="29">
        <v>23</v>
      </c>
      <c r="B72" s="51">
        <v>249.508804</v>
      </c>
      <c r="C72" s="51">
        <v>234.51225299999999</v>
      </c>
      <c r="D72" s="51">
        <v>251.31218000000001</v>
      </c>
      <c r="E72" s="51">
        <v>259.27301</v>
      </c>
      <c r="F72" s="51">
        <v>234.11099200000001</v>
      </c>
      <c r="G72" s="51">
        <v>243.73306299999999</v>
      </c>
      <c r="H72" s="51">
        <v>260.980774</v>
      </c>
      <c r="I72" s="51">
        <v>245.624664</v>
      </c>
      <c r="J72" s="51">
        <v>248.405914</v>
      </c>
      <c r="K72" s="51">
        <v>247.69122300000001</v>
      </c>
      <c r="L72" s="51">
        <v>263.81738300000001</v>
      </c>
      <c r="M72" s="51">
        <v>252.65943899999999</v>
      </c>
      <c r="N72" s="51">
        <v>255.04037500000001</v>
      </c>
      <c r="O72" s="51">
        <v>268.78817700000002</v>
      </c>
      <c r="P72" s="51">
        <v>250.940079</v>
      </c>
    </row>
    <row r="73" spans="1:16" ht="13.9" x14ac:dyDescent="0.4">
      <c r="A73" s="29">
        <v>24</v>
      </c>
      <c r="B73" s="51">
        <v>191.325928</v>
      </c>
      <c r="C73" s="51">
        <v>176.85675000000001</v>
      </c>
      <c r="D73" s="51">
        <v>196.20950300000001</v>
      </c>
      <c r="E73" s="51">
        <v>198.04612700000001</v>
      </c>
      <c r="F73" s="51">
        <v>178.809967</v>
      </c>
      <c r="G73" s="51">
        <v>184.025543</v>
      </c>
      <c r="H73" s="51">
        <v>199.3853</v>
      </c>
      <c r="I73" s="51">
        <v>192.45129399999999</v>
      </c>
      <c r="J73" s="51">
        <v>187.65554800000001</v>
      </c>
      <c r="K73" s="51">
        <v>186.31376599999999</v>
      </c>
      <c r="L73" s="51">
        <v>201.563446</v>
      </c>
      <c r="M73" s="51">
        <v>195.18241900000001</v>
      </c>
      <c r="N73" s="51">
        <v>194.35029599999999</v>
      </c>
      <c r="O73" s="51">
        <v>205.59724399999999</v>
      </c>
      <c r="P73" s="51">
        <v>189.27766399999999</v>
      </c>
    </row>
    <row r="74" spans="1:16" ht="13.9" x14ac:dyDescent="0.4">
      <c r="A74" s="29">
        <v>25</v>
      </c>
      <c r="B74" s="51">
        <v>145.94113200000001</v>
      </c>
      <c r="C74" s="51">
        <v>133.36575300000001</v>
      </c>
      <c r="D74" s="51">
        <v>149.007217</v>
      </c>
      <c r="E74" s="51">
        <v>153.56253100000001</v>
      </c>
      <c r="F74" s="51">
        <v>138.500778</v>
      </c>
      <c r="G74" s="51">
        <v>142.40460200000001</v>
      </c>
      <c r="H74" s="51">
        <v>151.68881200000001</v>
      </c>
      <c r="I74" s="51">
        <v>143.80976899999999</v>
      </c>
      <c r="J74" s="51">
        <v>137.41390999999999</v>
      </c>
      <c r="K74" s="51">
        <v>138.32235700000001</v>
      </c>
      <c r="L74" s="51">
        <v>150.301895</v>
      </c>
      <c r="M74" s="51">
        <v>149.081039</v>
      </c>
      <c r="N74" s="51">
        <v>149.08647199999999</v>
      </c>
      <c r="O74" s="51">
        <v>156.51594499999999</v>
      </c>
      <c r="P74" s="51">
        <v>142.98097200000001</v>
      </c>
    </row>
    <row r="75" spans="1:16" ht="13.9" x14ac:dyDescent="0.4">
      <c r="A75" s="29">
        <v>26</v>
      </c>
      <c r="B75" s="51">
        <v>110.020477</v>
      </c>
      <c r="C75" s="51">
        <v>102.443253</v>
      </c>
      <c r="D75" s="51">
        <v>115.305588</v>
      </c>
      <c r="E75" s="51">
        <v>115.914948</v>
      </c>
      <c r="F75" s="51">
        <v>103.95005</v>
      </c>
      <c r="G75" s="51">
        <v>106.77621499999999</v>
      </c>
      <c r="H75" s="51">
        <v>111.99174499999999</v>
      </c>
      <c r="I75" s="51">
        <v>109.166512</v>
      </c>
      <c r="J75" s="51">
        <v>103.585869</v>
      </c>
      <c r="K75" s="51">
        <v>104.212761</v>
      </c>
      <c r="L75" s="51">
        <v>112.862465</v>
      </c>
      <c r="M75" s="51">
        <v>109.86494399999999</v>
      </c>
      <c r="N75" s="51">
        <v>110.62236799999999</v>
      </c>
      <c r="O75" s="51">
        <v>119.024681</v>
      </c>
      <c r="P75" s="51">
        <v>107.759552</v>
      </c>
    </row>
    <row r="76" spans="1:16" ht="13.9" x14ac:dyDescent="0.4">
      <c r="A76" s="29">
        <v>27</v>
      </c>
      <c r="B76" s="51">
        <v>79.692252999999994</v>
      </c>
      <c r="C76" s="51">
        <v>76.707747999999995</v>
      </c>
      <c r="D76" s="51">
        <v>83.604050000000001</v>
      </c>
      <c r="E76" s="51">
        <v>87.976471000000004</v>
      </c>
      <c r="F76" s="51">
        <v>76.647025999999997</v>
      </c>
      <c r="G76" s="51">
        <v>79.319473000000002</v>
      </c>
      <c r="H76" s="51">
        <v>85.693680000000001</v>
      </c>
      <c r="I76" s="51">
        <v>78.853675999999993</v>
      </c>
      <c r="J76" s="51">
        <v>78.765288999999996</v>
      </c>
      <c r="K76" s="51">
        <v>77.638999999999996</v>
      </c>
      <c r="L76" s="51">
        <v>84.891730999999993</v>
      </c>
      <c r="M76" s="51">
        <v>81.924721000000005</v>
      </c>
      <c r="N76" s="51">
        <v>84.438354000000004</v>
      </c>
      <c r="O76" s="51">
        <v>90.503105000000005</v>
      </c>
      <c r="P76" s="51">
        <v>78.624565000000004</v>
      </c>
    </row>
    <row r="77" spans="1:16" ht="13.9" x14ac:dyDescent="0.4">
      <c r="A77" s="29">
        <v>28</v>
      </c>
      <c r="B77" s="51">
        <v>60.011169000000002</v>
      </c>
      <c r="C77" s="51">
        <v>56.358749000000003</v>
      </c>
      <c r="D77" s="51">
        <v>61.602984999999997</v>
      </c>
      <c r="E77" s="51">
        <v>62.911102</v>
      </c>
      <c r="F77" s="51">
        <v>56.492432000000001</v>
      </c>
      <c r="G77" s="51">
        <v>56.003036000000002</v>
      </c>
      <c r="H77" s="51">
        <v>63.995280999999999</v>
      </c>
      <c r="I77" s="51">
        <v>58.108006000000003</v>
      </c>
      <c r="J77" s="51">
        <v>56.346705999999998</v>
      </c>
      <c r="K77" s="51">
        <v>56.122188999999999</v>
      </c>
      <c r="L77" s="51">
        <v>61.927428999999997</v>
      </c>
      <c r="M77" s="51">
        <v>62.266781000000002</v>
      </c>
      <c r="N77" s="51">
        <v>61.501975999999999</v>
      </c>
      <c r="O77" s="51">
        <v>67.423805000000002</v>
      </c>
      <c r="P77" s="51">
        <v>60.165751999999998</v>
      </c>
    </row>
    <row r="78" spans="1:16" ht="13.9" x14ac:dyDescent="0.4">
      <c r="A78" s="29">
        <v>29</v>
      </c>
      <c r="B78" s="51">
        <v>43.126305000000002</v>
      </c>
      <c r="C78" s="51">
        <v>40.298999999999999</v>
      </c>
      <c r="D78" s="51">
        <v>44.102134999999997</v>
      </c>
      <c r="E78" s="51">
        <v>46.266907000000003</v>
      </c>
      <c r="F78" s="51">
        <v>41.302025</v>
      </c>
      <c r="G78" s="51">
        <v>39.441825999999999</v>
      </c>
      <c r="H78" s="51">
        <v>45.196666999999998</v>
      </c>
      <c r="I78" s="51">
        <v>42.397697000000001</v>
      </c>
      <c r="J78" s="51">
        <v>39.933101999999998</v>
      </c>
      <c r="K78" s="51">
        <v>40.653885000000002</v>
      </c>
      <c r="L78" s="51">
        <v>44.622574</v>
      </c>
      <c r="M78" s="51">
        <v>46.600299999999997</v>
      </c>
      <c r="N78" s="51">
        <v>45.568294999999999</v>
      </c>
      <c r="O78" s="51">
        <v>48.577388999999997</v>
      </c>
      <c r="P78" s="51">
        <v>41.806716999999999</v>
      </c>
    </row>
    <row r="79" spans="1:16" ht="13.9" x14ac:dyDescent="0.4">
      <c r="A79" s="29">
        <v>30</v>
      </c>
      <c r="B79" s="51">
        <v>31.081053000000001</v>
      </c>
      <c r="C79" s="51">
        <v>28.029751000000001</v>
      </c>
      <c r="D79" s="51">
        <v>31.501525999999998</v>
      </c>
      <c r="E79" s="51">
        <v>33.288395000000001</v>
      </c>
      <c r="F79" s="51">
        <v>28.891559999999998</v>
      </c>
      <c r="G79" s="51">
        <v>27.565697</v>
      </c>
      <c r="H79" s="51">
        <v>31.697662000000001</v>
      </c>
      <c r="I79" s="51">
        <v>29.809307</v>
      </c>
      <c r="J79" s="51">
        <v>28.023230000000002</v>
      </c>
      <c r="K79" s="51">
        <v>29.449276000000001</v>
      </c>
      <c r="L79" s="51">
        <v>32.977173000000001</v>
      </c>
      <c r="M79" s="51">
        <v>34.027199000000003</v>
      </c>
      <c r="N79" s="51">
        <v>33.491173000000003</v>
      </c>
      <c r="O79" s="51">
        <v>34.064644000000001</v>
      </c>
      <c r="P79" s="51">
        <v>31.230315999999998</v>
      </c>
    </row>
    <row r="80" spans="1:16" ht="13.9" x14ac:dyDescent="0.4">
      <c r="A80" s="29">
        <v>38</v>
      </c>
      <c r="B80" s="51">
        <v>21.616925999999999</v>
      </c>
      <c r="C80" s="51">
        <v>20.548500000000001</v>
      </c>
      <c r="D80" s="51">
        <v>23.301127999999999</v>
      </c>
      <c r="E80" s="51">
        <v>22.687626000000002</v>
      </c>
      <c r="F80" s="51">
        <v>18.168918999999999</v>
      </c>
      <c r="G80" s="51">
        <v>18.958224999999999</v>
      </c>
      <c r="H80" s="51">
        <v>23.398275000000002</v>
      </c>
      <c r="I80" s="51">
        <v>21.349909</v>
      </c>
      <c r="J80" s="51">
        <v>18.915679999999998</v>
      </c>
      <c r="K80" s="51">
        <v>19.533695000000002</v>
      </c>
      <c r="L80" s="51">
        <v>22.637794</v>
      </c>
      <c r="M80" s="51">
        <v>24.84684</v>
      </c>
      <c r="N80" s="51">
        <v>23.342334999999999</v>
      </c>
      <c r="O80" s="51">
        <v>23.280864999999999</v>
      </c>
      <c r="P80" s="51">
        <v>21.851244000000001</v>
      </c>
    </row>
    <row r="81" spans="1:32" ht="13.9" x14ac:dyDescent="0.4">
      <c r="A81" s="29">
        <v>50</v>
      </c>
      <c r="B81" s="51">
        <v>12.582986999999999</v>
      </c>
      <c r="C81" s="51">
        <v>14.364000000000001</v>
      </c>
      <c r="D81" s="51">
        <v>15.400746</v>
      </c>
      <c r="E81" s="51">
        <v>15.059035</v>
      </c>
      <c r="F81" s="51">
        <v>13.304017999999999</v>
      </c>
      <c r="G81" s="51">
        <v>13.619415</v>
      </c>
      <c r="H81" s="51">
        <v>16.698768999999999</v>
      </c>
      <c r="I81" s="51">
        <v>14.401116999999999</v>
      </c>
      <c r="J81" s="51">
        <v>13.511200000000001</v>
      </c>
      <c r="K81" s="51">
        <v>13.782658</v>
      </c>
      <c r="L81" s="51">
        <v>14.148622</v>
      </c>
      <c r="M81" s="51">
        <v>17.761998999999999</v>
      </c>
      <c r="N81" s="51">
        <v>18.267914000000001</v>
      </c>
      <c r="O81" s="51">
        <v>16.629189</v>
      </c>
      <c r="P81" s="51">
        <v>14.767049999999999</v>
      </c>
    </row>
    <row r="82" spans="1:32" ht="13.9" x14ac:dyDescent="0.4">
      <c r="A82" s="29">
        <v>70</v>
      </c>
      <c r="B82" s="51">
        <v>8.7112990000000003</v>
      </c>
      <c r="C82" s="51">
        <v>9.6757500000000007</v>
      </c>
      <c r="D82" s="51">
        <v>10.900528</v>
      </c>
      <c r="E82" s="51">
        <v>9.7091150000000006</v>
      </c>
      <c r="F82" s="51">
        <v>8.7369669999999999</v>
      </c>
      <c r="G82" s="51">
        <v>9.8059790000000007</v>
      </c>
      <c r="H82" s="51">
        <v>11.699138</v>
      </c>
      <c r="I82" s="51">
        <v>9.6678829999999998</v>
      </c>
      <c r="J82" s="51">
        <v>8.6071349999999995</v>
      </c>
      <c r="K82" s="51">
        <v>8.9240239999999993</v>
      </c>
      <c r="L82" s="51">
        <v>11.427732000000001</v>
      </c>
      <c r="M82" s="51">
        <v>12.473312999999999</v>
      </c>
      <c r="N82" s="51">
        <v>12.178609</v>
      </c>
      <c r="O82" s="51">
        <v>10.279862</v>
      </c>
      <c r="P82" s="51">
        <v>9.9777360000000002</v>
      </c>
    </row>
    <row r="85" spans="1:32" ht="13.15" x14ac:dyDescent="0.4">
      <c r="B85" s="29" t="s">
        <v>106</v>
      </c>
    </row>
    <row r="86" spans="1:32" ht="13.5" x14ac:dyDescent="0.35">
      <c r="A86">
        <v>1</v>
      </c>
      <c r="B86" s="51">
        <v>10.794725</v>
      </c>
      <c r="C86" s="51">
        <v>11418.447265999999</v>
      </c>
      <c r="D86" s="51">
        <v>10016.373046999999</v>
      </c>
      <c r="E86" s="51">
        <v>8784.6611329999996</v>
      </c>
      <c r="F86" s="51">
        <v>7685.7905270000001</v>
      </c>
      <c r="G86" s="51">
        <v>6697.623047</v>
      </c>
      <c r="H86" s="51">
        <v>5830.5327150000003</v>
      </c>
      <c r="I86" s="51">
        <v>5028.7524409999996</v>
      </c>
      <c r="J86" s="51">
        <v>4274.4023440000001</v>
      </c>
      <c r="K86" s="51">
        <v>3616.9516600000002</v>
      </c>
      <c r="L86" s="51">
        <v>3011.3781739999999</v>
      </c>
      <c r="M86" s="51">
        <v>2469.6320799999999</v>
      </c>
      <c r="N86" s="51">
        <v>1989.7680660000001</v>
      </c>
      <c r="O86" s="51">
        <v>1566.320557</v>
      </c>
      <c r="P86" s="51">
        <v>1211.6102289999999</v>
      </c>
      <c r="Q86" s="51">
        <v>932.39984100000004</v>
      </c>
      <c r="R86" s="51">
        <v>713.03344700000002</v>
      </c>
      <c r="S86" s="51">
        <v>536.83624299999997</v>
      </c>
      <c r="T86" s="51">
        <v>406.30954000000003</v>
      </c>
      <c r="U86" s="51">
        <v>309.68829299999999</v>
      </c>
      <c r="V86" s="51">
        <v>233.53997799999999</v>
      </c>
      <c r="W86" s="51">
        <v>175.45605499999999</v>
      </c>
      <c r="X86" s="51">
        <v>131.82363900000001</v>
      </c>
      <c r="Y86" s="51">
        <v>96.435989000000006</v>
      </c>
      <c r="Z86" s="51">
        <v>67.810897999999995</v>
      </c>
      <c r="AA86" s="51">
        <v>48.356949</v>
      </c>
      <c r="AB86" s="51">
        <v>35.109741</v>
      </c>
      <c r="AC86" s="51">
        <v>23.715285999999999</v>
      </c>
      <c r="AD86" s="51">
        <v>15.007329</v>
      </c>
      <c r="AE86" s="51">
        <v>10.468076</v>
      </c>
      <c r="AF86" s="51">
        <v>6.2067350000000001</v>
      </c>
    </row>
    <row r="87" spans="1:32" ht="13.5" x14ac:dyDescent="0.35">
      <c r="A87">
        <v>2</v>
      </c>
      <c r="B87" s="51">
        <v>11.817764</v>
      </c>
      <c r="C87" s="51">
        <v>11549.815430000001</v>
      </c>
      <c r="D87" s="51">
        <v>10143.965819999999</v>
      </c>
      <c r="E87" s="51">
        <v>8923.4306639999995</v>
      </c>
      <c r="F87" s="51">
        <v>7819.1606449999999</v>
      </c>
      <c r="G87" s="51">
        <v>6810.3408200000003</v>
      </c>
      <c r="H87" s="51">
        <v>5924.216797</v>
      </c>
      <c r="I87" s="51">
        <v>5097.2416990000002</v>
      </c>
      <c r="J87" s="51">
        <v>4351.0766599999997</v>
      </c>
      <c r="K87" s="51">
        <v>3667.0219729999999</v>
      </c>
      <c r="L87" s="51">
        <v>3055.4848630000001</v>
      </c>
      <c r="M87" s="51">
        <v>2504.0268550000001</v>
      </c>
      <c r="N87" s="51">
        <v>2008.4171140000001</v>
      </c>
      <c r="O87" s="51">
        <v>1587.4406739999999</v>
      </c>
      <c r="P87" s="51">
        <v>1227.051025</v>
      </c>
      <c r="Q87" s="51">
        <v>939.01007100000004</v>
      </c>
      <c r="R87" s="51">
        <v>711.21740699999998</v>
      </c>
      <c r="S87" s="51">
        <v>535.38043200000004</v>
      </c>
      <c r="T87" s="51">
        <v>409.21444700000001</v>
      </c>
      <c r="U87" s="51">
        <v>314.018799</v>
      </c>
      <c r="V87" s="51">
        <v>239.97770700000001</v>
      </c>
      <c r="W87" s="51">
        <v>178.544769</v>
      </c>
      <c r="X87" s="51">
        <v>133.18931599999999</v>
      </c>
      <c r="Y87" s="51">
        <v>100.272774</v>
      </c>
      <c r="Z87" s="51">
        <v>74.294929999999994</v>
      </c>
      <c r="AA87" s="51">
        <v>52.209538000000002</v>
      </c>
      <c r="AB87" s="51">
        <v>37.570557000000001</v>
      </c>
      <c r="AC87" s="51">
        <v>25.554749000000001</v>
      </c>
      <c r="AD87" s="51">
        <v>17.008292999999998</v>
      </c>
      <c r="AE87" s="51">
        <v>11.254244</v>
      </c>
      <c r="AF87" s="51">
        <v>6.938707</v>
      </c>
    </row>
    <row r="88" spans="1:32" ht="13.5" x14ac:dyDescent="0.35">
      <c r="A88">
        <v>3</v>
      </c>
      <c r="B88" s="51">
        <v>11.661454000000001</v>
      </c>
      <c r="C88" s="51">
        <v>11089.697265999999</v>
      </c>
      <c r="D88" s="51">
        <v>9743.2958980000003</v>
      </c>
      <c r="E88" s="51">
        <v>8549.1054690000001</v>
      </c>
      <c r="F88" s="51">
        <v>7499.4936520000001</v>
      </c>
      <c r="G88" s="51">
        <v>6543.8666990000002</v>
      </c>
      <c r="H88" s="51">
        <v>5700.232422</v>
      </c>
      <c r="I88" s="51">
        <v>4910.3652339999999</v>
      </c>
      <c r="J88" s="51">
        <v>4191.2441410000001</v>
      </c>
      <c r="K88" s="51">
        <v>3546.0415039999998</v>
      </c>
      <c r="L88" s="51">
        <v>2964.6389159999999</v>
      </c>
      <c r="M88" s="51">
        <v>2423.540039</v>
      </c>
      <c r="N88" s="51">
        <v>1944.8688959999999</v>
      </c>
      <c r="O88" s="51">
        <v>1542.174683</v>
      </c>
      <c r="P88" s="51">
        <v>1197.535034</v>
      </c>
      <c r="Q88" s="51">
        <v>916.52374299999997</v>
      </c>
      <c r="R88" s="51">
        <v>694.76757799999996</v>
      </c>
      <c r="S88" s="51">
        <v>529.60803199999998</v>
      </c>
      <c r="T88" s="51">
        <v>402.00817899999998</v>
      </c>
      <c r="U88" s="51">
        <v>307.76608299999998</v>
      </c>
      <c r="V88" s="51">
        <v>235.81964099999999</v>
      </c>
      <c r="W88" s="51">
        <v>177.50787399999999</v>
      </c>
      <c r="X88" s="51">
        <v>132.65927099999999</v>
      </c>
      <c r="Y88" s="51">
        <v>98.358231000000004</v>
      </c>
      <c r="Z88" s="51">
        <v>69.545356999999996</v>
      </c>
      <c r="AA88" s="51">
        <v>48.878982999999998</v>
      </c>
      <c r="AB88" s="51">
        <v>33.186256</v>
      </c>
      <c r="AC88" s="51">
        <v>23.667717</v>
      </c>
      <c r="AD88" s="51">
        <v>14.835198999999999</v>
      </c>
      <c r="AE88" s="51">
        <v>10.461817</v>
      </c>
      <c r="AF88" s="51">
        <v>6.9459609999999996</v>
      </c>
    </row>
    <row r="89" spans="1:32" ht="13.5" x14ac:dyDescent="0.35">
      <c r="A89">
        <v>4</v>
      </c>
      <c r="B89" s="51">
        <v>11.792820000000001</v>
      </c>
      <c r="C89" s="51">
        <v>11333.930664</v>
      </c>
      <c r="D89" s="51">
        <v>9951.9033199999994</v>
      </c>
      <c r="E89" s="51">
        <v>8742.2685550000006</v>
      </c>
      <c r="F89" s="51">
        <v>7655.1665039999998</v>
      </c>
      <c r="G89" s="51">
        <v>6668.294922</v>
      </c>
      <c r="H89" s="51">
        <v>5781.8232420000004</v>
      </c>
      <c r="I89" s="51">
        <v>4992.2749020000001</v>
      </c>
      <c r="J89" s="51">
        <v>4261.8305659999996</v>
      </c>
      <c r="K89" s="51">
        <v>3582.5187989999999</v>
      </c>
      <c r="L89" s="51">
        <v>2975.7937010000001</v>
      </c>
      <c r="M89" s="51">
        <v>2438.7719729999999</v>
      </c>
      <c r="N89" s="51">
        <v>1951.356812</v>
      </c>
      <c r="O89" s="51">
        <v>1543.990356</v>
      </c>
      <c r="P89" s="51">
        <v>1194.4555660000001</v>
      </c>
      <c r="Q89" s="51">
        <v>907.92535399999997</v>
      </c>
      <c r="R89" s="51">
        <v>692.37042199999996</v>
      </c>
      <c r="S89" s="51">
        <v>527.10040300000003</v>
      </c>
      <c r="T89" s="51">
        <v>404.05941799999999</v>
      </c>
      <c r="U89" s="51">
        <v>306.71203600000001</v>
      </c>
      <c r="V89" s="51">
        <v>234.29510500000001</v>
      </c>
      <c r="W89" s="51">
        <v>176.29371599999999</v>
      </c>
      <c r="X89" s="51">
        <v>130.75752299999999</v>
      </c>
      <c r="Y89" s="51">
        <v>95.651420999999999</v>
      </c>
      <c r="Z89" s="51">
        <v>70.297011999999995</v>
      </c>
      <c r="AA89" s="51">
        <v>51.471995999999997</v>
      </c>
      <c r="AB89" s="51">
        <v>35.190902999999999</v>
      </c>
      <c r="AC89" s="51">
        <v>23.912855</v>
      </c>
      <c r="AD89" s="51">
        <v>16.196297000000001</v>
      </c>
      <c r="AE89" s="51">
        <v>9.9212910000000001</v>
      </c>
      <c r="AF89" s="51">
        <v>6.5293970000000003</v>
      </c>
    </row>
    <row r="90" spans="1:32" ht="13.5" x14ac:dyDescent="0.35">
      <c r="A90">
        <v>5</v>
      </c>
      <c r="B90" s="51">
        <v>11.778202</v>
      </c>
      <c r="C90" s="51">
        <v>11386.203125</v>
      </c>
      <c r="D90" s="51">
        <v>10031.497069999999</v>
      </c>
      <c r="E90" s="51">
        <v>8827.1533199999994</v>
      </c>
      <c r="F90" s="51">
        <v>7737.1743159999996</v>
      </c>
      <c r="G90" s="51">
        <v>6748.2285160000001</v>
      </c>
      <c r="H90" s="51">
        <v>5868.4677730000003</v>
      </c>
      <c r="I90" s="51">
        <v>5059.9404299999997</v>
      </c>
      <c r="J90" s="51">
        <v>4317.4672849999997</v>
      </c>
      <c r="K90" s="51">
        <v>3637.9916990000002</v>
      </c>
      <c r="L90" s="51">
        <v>3031.2775879999999</v>
      </c>
      <c r="M90" s="51">
        <v>2472.1938479999999</v>
      </c>
      <c r="N90" s="51">
        <v>1985.1926269999999</v>
      </c>
      <c r="O90" s="51">
        <v>1557.1137699999999</v>
      </c>
      <c r="P90" s="51">
        <v>1213.3431399999999</v>
      </c>
      <c r="Q90" s="51">
        <v>927.30621299999996</v>
      </c>
      <c r="R90" s="51">
        <v>704.86138900000003</v>
      </c>
      <c r="S90" s="51">
        <v>536.75427200000001</v>
      </c>
      <c r="T90" s="51">
        <v>406.85327100000001</v>
      </c>
      <c r="U90" s="51">
        <v>309.979401</v>
      </c>
      <c r="V90" s="51">
        <v>234.67079200000001</v>
      </c>
      <c r="W90" s="51">
        <v>176.51251199999999</v>
      </c>
      <c r="X90" s="51">
        <v>131.853745</v>
      </c>
      <c r="Y90" s="51">
        <v>96.704063000000005</v>
      </c>
      <c r="Z90" s="51">
        <v>71.233283999999998</v>
      </c>
      <c r="AA90" s="51">
        <v>50.347244000000003</v>
      </c>
      <c r="AB90" s="51">
        <v>34.555359000000003</v>
      </c>
      <c r="AC90" s="51">
        <v>23.687826000000001</v>
      </c>
      <c r="AD90" s="51">
        <v>13.159903999999999</v>
      </c>
      <c r="AE90" s="51">
        <v>8.1506500000000006</v>
      </c>
      <c r="AF90" s="51">
        <v>5.2639610000000001</v>
      </c>
    </row>
    <row r="91" spans="1:32" ht="13.5" x14ac:dyDescent="0.35">
      <c r="A91">
        <v>1</v>
      </c>
      <c r="B91" s="51">
        <v>10.765807000000001</v>
      </c>
      <c r="C91" s="51">
        <v>12207.909180000001</v>
      </c>
      <c r="D91" s="51">
        <v>10687.726562</v>
      </c>
      <c r="E91" s="51">
        <v>9371.4296880000002</v>
      </c>
      <c r="F91" s="51">
        <v>8141.7954099999997</v>
      </c>
      <c r="G91" s="51">
        <v>7059.5727539999998</v>
      </c>
      <c r="H91" s="51">
        <v>6098.1958009999998</v>
      </c>
      <c r="I91" s="51">
        <v>5234.9072269999997</v>
      </c>
      <c r="J91" s="51">
        <v>4462.8330079999996</v>
      </c>
      <c r="K91" s="51">
        <v>3753.8291020000001</v>
      </c>
      <c r="L91" s="51">
        <v>3102.0432129999999</v>
      </c>
      <c r="M91" s="51">
        <v>2520.4797359999998</v>
      </c>
      <c r="N91" s="51">
        <v>2012.7613530000001</v>
      </c>
      <c r="O91" s="51">
        <v>1571.0852050000001</v>
      </c>
      <c r="P91" s="51">
        <v>1206.0405270000001</v>
      </c>
      <c r="Q91" s="51">
        <v>918.74206500000003</v>
      </c>
      <c r="R91" s="51">
        <v>692.65594499999997</v>
      </c>
      <c r="S91" s="51">
        <v>525.18127400000003</v>
      </c>
      <c r="T91" s="51">
        <v>394.86123700000002</v>
      </c>
      <c r="U91" s="51">
        <v>296.772919</v>
      </c>
      <c r="V91" s="51">
        <v>224.04264800000001</v>
      </c>
      <c r="W91" s="51">
        <v>169.51817299999999</v>
      </c>
      <c r="X91" s="51">
        <v>125.489891</v>
      </c>
      <c r="Y91" s="51">
        <v>91.028937999999997</v>
      </c>
      <c r="Z91" s="51">
        <v>65.763762999999997</v>
      </c>
      <c r="AA91" s="51">
        <v>48.672615</v>
      </c>
      <c r="AB91" s="51">
        <v>34.832500000000003</v>
      </c>
      <c r="AC91" s="51">
        <v>24.429195</v>
      </c>
      <c r="AD91" s="51">
        <v>16.905374999999999</v>
      </c>
      <c r="AE91" s="51">
        <v>11.1464</v>
      </c>
      <c r="AF91" s="51">
        <v>7.2451610000000004</v>
      </c>
    </row>
    <row r="92" spans="1:32" ht="13.5" x14ac:dyDescent="0.35">
      <c r="A92">
        <v>2</v>
      </c>
      <c r="B92" s="51">
        <v>11.557717999999999</v>
      </c>
      <c r="C92" s="51">
        <v>12249.043944999999</v>
      </c>
      <c r="D92" s="51">
        <v>10704.015625</v>
      </c>
      <c r="E92" s="51">
        <v>9376.4179690000001</v>
      </c>
      <c r="F92" s="51">
        <v>8174.4506840000004</v>
      </c>
      <c r="G92" s="51">
        <v>7111.6977539999998</v>
      </c>
      <c r="H92" s="51">
        <v>6153.03125</v>
      </c>
      <c r="I92" s="51">
        <v>5294.8168949999999</v>
      </c>
      <c r="J92" s="51">
        <v>4495.2646480000003</v>
      </c>
      <c r="K92" s="51">
        <v>3773.5822750000002</v>
      </c>
      <c r="L92" s="51">
        <v>3118.7817380000001</v>
      </c>
      <c r="M92" s="51">
        <v>2536.0541990000002</v>
      </c>
      <c r="N92" s="51">
        <v>2013.8057859999999</v>
      </c>
      <c r="O92" s="51">
        <v>1571.8500979999999</v>
      </c>
      <c r="P92" s="51">
        <v>1210.3599850000001</v>
      </c>
      <c r="Q92" s="51">
        <v>915.05950900000005</v>
      </c>
      <c r="R92" s="51">
        <v>692.26464799999997</v>
      </c>
      <c r="S92" s="51">
        <v>523.20013400000005</v>
      </c>
      <c r="T92" s="51">
        <v>390.99414100000001</v>
      </c>
      <c r="U92" s="51">
        <v>296.77139299999999</v>
      </c>
      <c r="V92" s="51">
        <v>223.31397999999999</v>
      </c>
      <c r="W92" s="51">
        <v>170.189301</v>
      </c>
      <c r="X92" s="51">
        <v>127.620346</v>
      </c>
      <c r="Y92" s="51">
        <v>93.876662999999994</v>
      </c>
      <c r="Z92" s="51">
        <v>66.881714000000002</v>
      </c>
      <c r="AA92" s="51">
        <v>46.981589999999997</v>
      </c>
      <c r="AB92" s="51">
        <v>33.484119</v>
      </c>
      <c r="AC92" s="51">
        <v>22.668835000000001</v>
      </c>
      <c r="AD92" s="51">
        <v>15.400964</v>
      </c>
      <c r="AE92" s="51">
        <v>9.9500609999999998</v>
      </c>
      <c r="AF92" s="51">
        <v>6.4026480000000001</v>
      </c>
    </row>
    <row r="93" spans="1:32" ht="13.5" x14ac:dyDescent="0.35">
      <c r="A93">
        <v>3</v>
      </c>
      <c r="B93" s="51">
        <v>11.513206</v>
      </c>
      <c r="C93" s="51">
        <v>12479.756836</v>
      </c>
      <c r="D93" s="51">
        <v>10950.381836</v>
      </c>
      <c r="E93" s="51">
        <v>9595.9375</v>
      </c>
      <c r="F93" s="51">
        <v>8376.1210940000001</v>
      </c>
      <c r="G93" s="51">
        <v>7271.3891599999997</v>
      </c>
      <c r="H93" s="51">
        <v>6302.328125</v>
      </c>
      <c r="I93" s="51">
        <v>5401.970703</v>
      </c>
      <c r="J93" s="51">
        <v>4585.6040039999998</v>
      </c>
      <c r="K93" s="51">
        <v>3844.0207519999999</v>
      </c>
      <c r="L93" s="51">
        <v>3167.0588379999999</v>
      </c>
      <c r="M93" s="51">
        <v>2568.876221</v>
      </c>
      <c r="N93" s="51">
        <v>2055.1184079999998</v>
      </c>
      <c r="O93" s="51">
        <v>1602.594482</v>
      </c>
      <c r="P93" s="51">
        <v>1229.457764</v>
      </c>
      <c r="Q93" s="51">
        <v>928.06475799999998</v>
      </c>
      <c r="R93" s="51">
        <v>700.76055899999994</v>
      </c>
      <c r="S93" s="51">
        <v>529.56579599999998</v>
      </c>
      <c r="T93" s="51">
        <v>399.88864100000001</v>
      </c>
      <c r="U93" s="51">
        <v>301.74047899999999</v>
      </c>
      <c r="V93" s="51">
        <v>227.21734599999999</v>
      </c>
      <c r="W93" s="51">
        <v>170.499863</v>
      </c>
      <c r="X93" s="51">
        <v>124.552628</v>
      </c>
      <c r="Y93" s="51">
        <v>91.112762000000004</v>
      </c>
      <c r="Z93" s="51">
        <v>67.661438000000004</v>
      </c>
      <c r="AA93" s="51">
        <v>47.250092000000002</v>
      </c>
      <c r="AB93" s="51">
        <v>33.439861000000001</v>
      </c>
      <c r="AC93" s="51">
        <v>23.885615999999999</v>
      </c>
      <c r="AD93" s="51">
        <v>16.763359000000001</v>
      </c>
      <c r="AE93" s="51">
        <v>10.683384</v>
      </c>
      <c r="AF93" s="51">
        <v>7.035399</v>
      </c>
    </row>
    <row r="94" spans="1:32" ht="13.5" x14ac:dyDescent="0.35">
      <c r="A94">
        <v>4</v>
      </c>
      <c r="B94" s="51">
        <v>11.627454999999999</v>
      </c>
      <c r="C94" s="51">
        <v>12240.597656</v>
      </c>
      <c r="D94" s="51">
        <v>10724.014648</v>
      </c>
      <c r="E94" s="51">
        <v>9400.6816409999992</v>
      </c>
      <c r="F94" s="51">
        <v>8228.7138670000004</v>
      </c>
      <c r="G94" s="51">
        <v>7149.7158200000003</v>
      </c>
      <c r="H94" s="51">
        <v>6189.0585940000001</v>
      </c>
      <c r="I94" s="51">
        <v>5302.0200199999999</v>
      </c>
      <c r="J94" s="51">
        <v>4500.8129879999997</v>
      </c>
      <c r="K94" s="51">
        <v>3749.6599120000001</v>
      </c>
      <c r="L94" s="51">
        <v>3100.2485350000002</v>
      </c>
      <c r="M94" s="51">
        <v>2521.2741700000001</v>
      </c>
      <c r="N94" s="51">
        <v>2017.208496</v>
      </c>
      <c r="O94" s="51">
        <v>1572.0551760000001</v>
      </c>
      <c r="P94" s="51">
        <v>1207.229004</v>
      </c>
      <c r="Q94" s="51">
        <v>907.59332300000005</v>
      </c>
      <c r="R94" s="51">
        <v>683.38256799999999</v>
      </c>
      <c r="S94" s="51">
        <v>512.40789800000005</v>
      </c>
      <c r="T94" s="51">
        <v>383.23089599999997</v>
      </c>
      <c r="U94" s="51">
        <v>290.34728999999999</v>
      </c>
      <c r="V94" s="51">
        <v>219.99655200000001</v>
      </c>
      <c r="W94" s="51">
        <v>166.15846300000001</v>
      </c>
      <c r="X94" s="51">
        <v>124.102829</v>
      </c>
      <c r="Y94" s="51">
        <v>90.733528000000007</v>
      </c>
      <c r="Z94" s="51">
        <v>68.114647000000005</v>
      </c>
      <c r="AA94" s="51">
        <v>47.645851</v>
      </c>
      <c r="AB94" s="51">
        <v>34.401336999999998</v>
      </c>
      <c r="AC94" s="51">
        <v>23.822925999999999</v>
      </c>
      <c r="AD94" s="51">
        <v>17.716688000000001</v>
      </c>
      <c r="AE94" s="51">
        <v>10.922423999999999</v>
      </c>
      <c r="AF94" s="51">
        <v>6.3642469999999998</v>
      </c>
    </row>
    <row r="95" spans="1:32" ht="13.5" x14ac:dyDescent="0.35">
      <c r="A95">
        <v>5</v>
      </c>
      <c r="B95" s="51">
        <v>11.623797</v>
      </c>
      <c r="C95" s="51">
        <v>12626.338867</v>
      </c>
      <c r="D95" s="51">
        <v>11074.349609000001</v>
      </c>
      <c r="E95" s="51">
        <v>9690.6367190000001</v>
      </c>
      <c r="F95" s="51">
        <v>8446.6376949999994</v>
      </c>
      <c r="G95" s="51">
        <v>7324.7148440000001</v>
      </c>
      <c r="H95" s="51">
        <v>6343.2797849999997</v>
      </c>
      <c r="I95" s="51">
        <v>5444.9501950000003</v>
      </c>
      <c r="J95" s="51">
        <v>4608.21875</v>
      </c>
      <c r="K95" s="51">
        <v>3858.3776859999998</v>
      </c>
      <c r="L95" s="51">
        <v>3190.0073240000002</v>
      </c>
      <c r="M95" s="51">
        <v>2587.1064449999999</v>
      </c>
      <c r="N95" s="51">
        <v>2061.3745119999999</v>
      </c>
      <c r="O95" s="51">
        <v>1605.2413329999999</v>
      </c>
      <c r="P95" s="51">
        <v>1222.234009</v>
      </c>
      <c r="Q95" s="51">
        <v>929.64453100000003</v>
      </c>
      <c r="R95" s="51">
        <v>697.87866199999996</v>
      </c>
      <c r="S95" s="51">
        <v>526.33404499999995</v>
      </c>
      <c r="T95" s="51">
        <v>389.63171399999999</v>
      </c>
      <c r="U95" s="51">
        <v>296.202698</v>
      </c>
      <c r="V95" s="51">
        <v>223.42095900000001</v>
      </c>
      <c r="W95" s="51">
        <v>168.533569</v>
      </c>
      <c r="X95" s="51">
        <v>127.75515</v>
      </c>
      <c r="Y95" s="51">
        <v>96.095962999999998</v>
      </c>
      <c r="Z95" s="51">
        <v>68.996384000000006</v>
      </c>
      <c r="AA95" s="51">
        <v>48.865268999999998</v>
      </c>
      <c r="AB95" s="51">
        <v>35.100406999999997</v>
      </c>
      <c r="AC95" s="51">
        <v>23.142178999999999</v>
      </c>
      <c r="AD95" s="51">
        <v>16.517838000000001</v>
      </c>
      <c r="AE95" s="51">
        <v>11.097922000000001</v>
      </c>
      <c r="AF95" s="51">
        <v>7.3986150000000004</v>
      </c>
    </row>
    <row r="96" spans="1:32" ht="13.5" x14ac:dyDescent="0.35">
      <c r="A96">
        <v>1</v>
      </c>
      <c r="B96" s="51">
        <v>10.700115</v>
      </c>
      <c r="C96" s="51">
        <v>12891.916992</v>
      </c>
      <c r="D96" s="51">
        <v>11285.486328000001</v>
      </c>
      <c r="E96" s="51">
        <v>9851.5761719999991</v>
      </c>
      <c r="F96" s="51">
        <v>8584.2998050000006</v>
      </c>
      <c r="G96" s="51">
        <v>7460.6674800000001</v>
      </c>
      <c r="H96" s="51">
        <v>6462.080078</v>
      </c>
      <c r="I96" s="51">
        <v>5549.3793949999999</v>
      </c>
      <c r="J96" s="51">
        <v>4722.0986329999996</v>
      </c>
      <c r="K96" s="51">
        <v>3979.6767580000001</v>
      </c>
      <c r="L96" s="51">
        <v>3302.7680660000001</v>
      </c>
      <c r="M96" s="51">
        <v>2695.1110840000001</v>
      </c>
      <c r="N96" s="51">
        <v>2150.7246089999999</v>
      </c>
      <c r="O96" s="51">
        <v>1696.243408</v>
      </c>
      <c r="P96" s="51">
        <v>1305.593384</v>
      </c>
      <c r="Q96" s="51">
        <v>1001.297607</v>
      </c>
      <c r="R96" s="51">
        <v>759.52453600000001</v>
      </c>
      <c r="S96" s="51">
        <v>576.44238299999995</v>
      </c>
      <c r="T96" s="51">
        <v>438.49993899999998</v>
      </c>
      <c r="U96" s="51">
        <v>333.45434599999999</v>
      </c>
      <c r="V96" s="51">
        <v>253.64213599999999</v>
      </c>
      <c r="W96" s="51">
        <v>184.01670799999999</v>
      </c>
      <c r="X96" s="51">
        <v>138.97045900000001</v>
      </c>
      <c r="Y96" s="51">
        <v>104.578316</v>
      </c>
      <c r="Z96" s="51">
        <v>77.195426999999995</v>
      </c>
      <c r="AA96" s="51">
        <v>55.233051000000003</v>
      </c>
      <c r="AB96" s="51">
        <v>40.093024999999997</v>
      </c>
      <c r="AC96" s="51">
        <v>27.009053999999999</v>
      </c>
      <c r="AD96" s="51">
        <v>18.130645999999999</v>
      </c>
      <c r="AE96" s="51">
        <v>11.682117</v>
      </c>
      <c r="AF96" s="51">
        <v>7.756926</v>
      </c>
    </row>
    <row r="97" spans="1:32" ht="13.5" x14ac:dyDescent="0.35">
      <c r="A97">
        <v>2</v>
      </c>
      <c r="B97" s="51">
        <v>11.625601</v>
      </c>
      <c r="C97" s="51">
        <v>12675.043944999999</v>
      </c>
      <c r="D97" s="51">
        <v>11080.803711</v>
      </c>
      <c r="E97" s="51">
        <v>9710.5517579999996</v>
      </c>
      <c r="F97" s="51">
        <v>8491.0878909999992</v>
      </c>
      <c r="G97" s="51">
        <v>7378.1992190000001</v>
      </c>
      <c r="H97" s="51">
        <v>6390.0351559999999</v>
      </c>
      <c r="I97" s="51">
        <v>5497.7802730000003</v>
      </c>
      <c r="J97" s="51">
        <v>4676.0595700000003</v>
      </c>
      <c r="K97" s="51">
        <v>3930.4636230000001</v>
      </c>
      <c r="L97" s="51">
        <v>3259.186279</v>
      </c>
      <c r="M97" s="51">
        <v>2647.3471679999998</v>
      </c>
      <c r="N97" s="51">
        <v>2115.8476559999999</v>
      </c>
      <c r="O97" s="51">
        <v>1658.0648189999999</v>
      </c>
      <c r="P97" s="51">
        <v>1272.708374</v>
      </c>
      <c r="Q97" s="51">
        <v>964.07922399999995</v>
      </c>
      <c r="R97" s="51">
        <v>730.11279300000001</v>
      </c>
      <c r="S97" s="51">
        <v>553.17571999999996</v>
      </c>
      <c r="T97" s="51">
        <v>422.51580799999999</v>
      </c>
      <c r="U97" s="51">
        <v>318.349152</v>
      </c>
      <c r="V97" s="51">
        <v>239.81556699999999</v>
      </c>
      <c r="W97" s="51">
        <v>182.528198</v>
      </c>
      <c r="X97" s="51">
        <v>136.165009</v>
      </c>
      <c r="Y97" s="51">
        <v>97.715378000000001</v>
      </c>
      <c r="Z97" s="51">
        <v>72.770432</v>
      </c>
      <c r="AA97" s="51">
        <v>53.158543000000002</v>
      </c>
      <c r="AB97" s="51">
        <v>38.277591999999999</v>
      </c>
      <c r="AC97" s="51">
        <v>27.353424</v>
      </c>
      <c r="AD97" s="51">
        <v>19.181805000000001</v>
      </c>
      <c r="AE97" s="51">
        <v>12.386456000000001</v>
      </c>
      <c r="AF97" s="51">
        <v>9.0317919999999994</v>
      </c>
    </row>
    <row r="98" spans="1:32" ht="13.5" x14ac:dyDescent="0.35">
      <c r="A98">
        <v>3</v>
      </c>
      <c r="B98" s="51">
        <v>11.478261</v>
      </c>
      <c r="C98" s="51">
        <v>12273.113281</v>
      </c>
      <c r="D98" s="51">
        <v>10777.852539</v>
      </c>
      <c r="E98" s="51">
        <v>9460.4921880000002</v>
      </c>
      <c r="F98" s="51">
        <v>8266.234375</v>
      </c>
      <c r="G98" s="51">
        <v>7200.9165039999998</v>
      </c>
      <c r="H98" s="51">
        <v>6234.3066410000001</v>
      </c>
      <c r="I98" s="51">
        <v>5358.9125979999999</v>
      </c>
      <c r="J98" s="51">
        <v>4535.9658200000003</v>
      </c>
      <c r="K98" s="51">
        <v>3812.0756839999999</v>
      </c>
      <c r="L98" s="51">
        <v>3153.0036620000001</v>
      </c>
      <c r="M98" s="51">
        <v>2566.7651369999999</v>
      </c>
      <c r="N98" s="51">
        <v>2046.4772949999999</v>
      </c>
      <c r="O98" s="51">
        <v>1602.159058</v>
      </c>
      <c r="P98" s="51">
        <v>1229.193115</v>
      </c>
      <c r="Q98" s="51">
        <v>933.939392</v>
      </c>
      <c r="R98" s="51">
        <v>702.63256799999999</v>
      </c>
      <c r="S98" s="51">
        <v>529.78405799999996</v>
      </c>
      <c r="T98" s="51">
        <v>401.36743200000001</v>
      </c>
      <c r="U98" s="51">
        <v>306.405304</v>
      </c>
      <c r="V98" s="51">
        <v>227.996216</v>
      </c>
      <c r="W98" s="51">
        <v>174.590912</v>
      </c>
      <c r="X98" s="51">
        <v>132.16287199999999</v>
      </c>
      <c r="Y98" s="51">
        <v>97.924239999999998</v>
      </c>
      <c r="Z98" s="51">
        <v>70.655304000000001</v>
      </c>
      <c r="AA98" s="51">
        <v>50.094695999999999</v>
      </c>
      <c r="AB98" s="51">
        <v>36.155304000000001</v>
      </c>
      <c r="AC98" s="51">
        <v>24.829546000000001</v>
      </c>
      <c r="AD98" s="51">
        <v>16.378788</v>
      </c>
      <c r="AE98" s="51">
        <v>11.064394</v>
      </c>
      <c r="AF98" s="51">
        <v>7.3181820000000002</v>
      </c>
    </row>
    <row r="99" spans="1:32" ht="13.5" x14ac:dyDescent="0.35">
      <c r="A99">
        <v>4</v>
      </c>
      <c r="B99" s="51">
        <v>11.572549</v>
      </c>
      <c r="C99" s="51">
        <v>12978.558594</v>
      </c>
      <c r="D99" s="51">
        <v>11384.008789</v>
      </c>
      <c r="E99" s="51">
        <v>9964.3564449999994</v>
      </c>
      <c r="F99" s="51">
        <v>8695.1455079999996</v>
      </c>
      <c r="G99" s="51">
        <v>7554.861328</v>
      </c>
      <c r="H99" s="51">
        <v>6534.169922</v>
      </c>
      <c r="I99" s="51">
        <v>5609.8271480000003</v>
      </c>
      <c r="J99" s="51">
        <v>4764.1191410000001</v>
      </c>
      <c r="K99" s="51">
        <v>3993.329346</v>
      </c>
      <c r="L99" s="51">
        <v>3314.9135740000002</v>
      </c>
      <c r="M99" s="51">
        <v>2700.0102539999998</v>
      </c>
      <c r="N99" s="51">
        <v>2161.9265140000002</v>
      </c>
      <c r="O99" s="51">
        <v>1695.391357</v>
      </c>
      <c r="P99" s="51">
        <v>1294.874634</v>
      </c>
      <c r="Q99" s="51">
        <v>981.97900400000003</v>
      </c>
      <c r="R99" s="51">
        <v>741.84173599999997</v>
      </c>
      <c r="S99" s="51">
        <v>555.53881799999999</v>
      </c>
      <c r="T99" s="51">
        <v>420.82345600000002</v>
      </c>
      <c r="U99" s="51">
        <v>319.46289100000001</v>
      </c>
      <c r="V99" s="51">
        <v>247.39579800000001</v>
      </c>
      <c r="W99" s="51">
        <v>185.69807399999999</v>
      </c>
      <c r="X99" s="51">
        <v>138.69027700000001</v>
      </c>
      <c r="Y99" s="51">
        <v>104.384956</v>
      </c>
      <c r="Z99" s="51">
        <v>75.523551999999995</v>
      </c>
      <c r="AA99" s="51">
        <v>54.266350000000003</v>
      </c>
      <c r="AB99" s="51">
        <v>38.193832</v>
      </c>
      <c r="AC99" s="51">
        <v>25.404947</v>
      </c>
      <c r="AD99" s="51">
        <v>17.109455000000001</v>
      </c>
      <c r="AE99" s="51">
        <v>11.492715</v>
      </c>
      <c r="AF99" s="51">
        <v>8.1226699999999994</v>
      </c>
    </row>
    <row r="100" spans="1:32" ht="13.5" x14ac:dyDescent="0.35">
      <c r="A100">
        <v>5</v>
      </c>
      <c r="B100" s="51">
        <v>11.671184</v>
      </c>
      <c r="C100" s="51">
        <v>12555.024414</v>
      </c>
      <c r="D100" s="51">
        <v>11033.842773</v>
      </c>
      <c r="E100" s="51">
        <v>9702.8720699999994</v>
      </c>
      <c r="F100" s="51">
        <v>8496.3105469999991</v>
      </c>
      <c r="G100" s="51">
        <v>7411.4165039999998</v>
      </c>
      <c r="H100" s="51">
        <v>6428.2255859999996</v>
      </c>
      <c r="I100" s="51">
        <v>5524.0327150000003</v>
      </c>
      <c r="J100" s="51">
        <v>4694.2109380000002</v>
      </c>
      <c r="K100" s="51">
        <v>3929.5927729999999</v>
      </c>
      <c r="L100" s="51">
        <v>3245.2578119999998</v>
      </c>
      <c r="M100" s="51">
        <v>2631.1813959999999</v>
      </c>
      <c r="N100" s="51">
        <v>2110.0688479999999</v>
      </c>
      <c r="O100" s="51">
        <v>1646.4482419999999</v>
      </c>
      <c r="P100" s="51">
        <v>1275.2777100000001</v>
      </c>
      <c r="Q100" s="51">
        <v>972.30926499999998</v>
      </c>
      <c r="R100" s="51">
        <v>727.86108400000001</v>
      </c>
      <c r="S100" s="51">
        <v>549.98706100000004</v>
      </c>
      <c r="T100" s="51">
        <v>416.41021699999999</v>
      </c>
      <c r="U100" s="51">
        <v>315.22082499999999</v>
      </c>
      <c r="V100" s="51">
        <v>238.79325900000001</v>
      </c>
      <c r="W100" s="51">
        <v>181.55827300000001</v>
      </c>
      <c r="X100" s="51">
        <v>135.718887</v>
      </c>
      <c r="Y100" s="51">
        <v>98.876007000000001</v>
      </c>
      <c r="Z100" s="51">
        <v>70.515556000000004</v>
      </c>
      <c r="AA100" s="51">
        <v>50.380493000000001</v>
      </c>
      <c r="AB100" s="51">
        <v>35.643344999999997</v>
      </c>
      <c r="AC100" s="51">
        <v>22.705496</v>
      </c>
      <c r="AD100" s="51">
        <v>15.593963</v>
      </c>
      <c r="AE100" s="51">
        <v>9.6819659999999992</v>
      </c>
      <c r="AF100" s="51">
        <v>6.5117649999999996</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B3" sqref="B3:B5"/>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30" t="s">
        <v>107</v>
      </c>
      <c r="O2" s="30"/>
    </row>
    <row r="3" spans="1:49" x14ac:dyDescent="0.35">
      <c r="A3" t="str">
        <f>'6 - B1'!$A$3</f>
        <v>Serial #</v>
      </c>
      <c r="B3" s="149" t="str">
        <f>'6 - B1'!$B$3</f>
        <v>11171-00001</v>
      </c>
    </row>
    <row r="4" spans="1:49" ht="19.149999999999999" customHeight="1" x14ac:dyDescent="1.05">
      <c r="A4" s="29" t="str">
        <f>'6 - B1'!$A$4</f>
        <v>Date</v>
      </c>
      <c r="B4" s="150">
        <f>'6 - B1'!$B$4</f>
        <v>46013</v>
      </c>
      <c r="O4" s="30"/>
    </row>
    <row r="5" spans="1:49" ht="13.15" x14ac:dyDescent="0.4">
      <c r="A5" s="29" t="str">
        <f>'6 - B1'!$A$5</f>
        <v>RM</v>
      </c>
      <c r="B5" s="151" t="str">
        <f>'Clause 6'!$B$3</f>
        <v>SRM2806d</v>
      </c>
      <c r="O5" s="31"/>
    </row>
    <row r="6" spans="1:49" ht="13.15" x14ac:dyDescent="0.4">
      <c r="B6" s="29"/>
      <c r="C6" s="29"/>
      <c r="D6" s="29"/>
      <c r="E6" s="29"/>
      <c r="F6" s="29"/>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6" t="s">
        <v>51</v>
      </c>
      <c r="P7" s="86" t="s">
        <v>52</v>
      </c>
      <c r="Q7" s="86" t="s">
        <v>53</v>
      </c>
      <c r="R7" s="86" t="s">
        <v>54</v>
      </c>
      <c r="S7" s="86" t="s">
        <v>55</v>
      </c>
    </row>
    <row r="8" spans="1:49" ht="13.15" x14ac:dyDescent="0.4">
      <c r="A8" s="11" t="s">
        <v>63</v>
      </c>
      <c r="B8" s="32">
        <f>G52</f>
        <v>9.1780740000000005</v>
      </c>
      <c r="C8" s="32">
        <f>H52</f>
        <v>10.000737000000001</v>
      </c>
      <c r="D8" s="32">
        <f>I52</f>
        <v>9.9297850000000007</v>
      </c>
      <c r="E8" s="32">
        <f>J52</f>
        <v>9.9917110000000005</v>
      </c>
      <c r="F8" s="32"/>
      <c r="G8" s="33">
        <f>AVERAGE(B$8:F$8)*5</f>
        <v>48.875383750000012</v>
      </c>
      <c r="I8" s="34"/>
      <c r="K8" s="34"/>
      <c r="O8" s="87"/>
      <c r="P8" s="87"/>
      <c r="Q8" s="87"/>
      <c r="R8" s="87"/>
      <c r="S8" s="87"/>
    </row>
    <row r="9" spans="1:49" ht="13.15" x14ac:dyDescent="0.4">
      <c r="A9" s="11" t="s">
        <v>64</v>
      </c>
      <c r="B9" s="16">
        <f>G53</f>
        <v>12376.561523</v>
      </c>
      <c r="C9" s="16">
        <f t="shared" ref="C9:E24" si="0">H53</f>
        <v>13109.533203000001</v>
      </c>
      <c r="D9" s="16">
        <f t="shared" si="0"/>
        <v>12607.422852</v>
      </c>
      <c r="E9" s="16">
        <f t="shared" si="0"/>
        <v>13053.020508</v>
      </c>
      <c r="F9" s="16"/>
      <c r="G9" s="35">
        <f t="shared" ref="G9:G38" si="1">AVERAGE(B9:F9)</f>
        <v>12786.6345215</v>
      </c>
      <c r="H9" s="36">
        <f t="shared" ref="H9:H38" si="2">G9*G$8</f>
        <v>624951.66910931026</v>
      </c>
      <c r="I9" s="34">
        <f t="shared" ref="I9:I38" si="3">STDEVP(B9:F9)/AVERAGE(B9:F9)</f>
        <v>2.3961815981519672E-2</v>
      </c>
      <c r="J9" s="34">
        <f t="shared" ref="J9:J38" si="4">IF(H9&gt;$A$43, $C$43, IF(H9&gt;$A$44, $C$44, IF(H9&gt;$A$45,$C$45,IF(H9&gt;$A$46,$C$46, IF(H9&gt;$A$47,$C$47,IF(H9&gt;$A$48,$C$48,$C$49))))))/100</f>
        <v>0.11</v>
      </c>
      <c r="K9" s="34">
        <f t="shared" ref="K9:K38" si="5">(MAX(B9:F9)-MIN(B9:F9))/G9</f>
        <v>5.7323268195986231E-2</v>
      </c>
      <c r="L9" s="16">
        <f>G9/'Clause 6'!$H$11</f>
        <v>12786.6345215</v>
      </c>
      <c r="M9">
        <f t="shared" ref="M9:M38" si="6">COUNTA(B9:F9)</f>
        <v>4</v>
      </c>
      <c r="O9" s="88">
        <f>IF(ISNUMBER(B9), (B9/$G9-1), 0)</f>
        <v>-3.2070440256228849E-2</v>
      </c>
      <c r="P9" s="88">
        <f t="shared" ref="P9:S38" si="7">IF(ISNUMBER(C9), (C9/$G9-1), 0)</f>
        <v>2.525282793975725E-2</v>
      </c>
      <c r="Q9" s="88">
        <f t="shared" si="7"/>
        <v>-1.4015546405011126E-2</v>
      </c>
      <c r="R9" s="88">
        <f t="shared" si="7"/>
        <v>2.0833158721482725E-2</v>
      </c>
      <c r="S9" s="88">
        <f t="shared" si="7"/>
        <v>0</v>
      </c>
    </row>
    <row r="10" spans="1:49" ht="13.15" x14ac:dyDescent="0.4">
      <c r="A10" s="11" t="s">
        <v>65</v>
      </c>
      <c r="B10" s="16">
        <f t="shared" ref="B10:B38" si="8">G54</f>
        <v>10684.049805000001</v>
      </c>
      <c r="C10" s="16">
        <f t="shared" si="0"/>
        <v>11383.260742</v>
      </c>
      <c r="D10" s="16">
        <f t="shared" si="0"/>
        <v>10949.583008</v>
      </c>
      <c r="E10" s="16">
        <f t="shared" si="0"/>
        <v>11326.588867</v>
      </c>
      <c r="F10" s="16"/>
      <c r="G10" s="35">
        <f t="shared" si="1"/>
        <v>11085.8706055</v>
      </c>
      <c r="H10" s="36">
        <f t="shared" si="2"/>
        <v>541826.18004665745</v>
      </c>
      <c r="I10" s="34">
        <f t="shared" si="3"/>
        <v>2.5768484163754844E-2</v>
      </c>
      <c r="J10" s="34">
        <f t="shared" si="4"/>
        <v>0.11</v>
      </c>
      <c r="K10" s="34">
        <f t="shared" si="5"/>
        <v>6.3072262150805039E-2</v>
      </c>
      <c r="L10" s="16">
        <f>G10/'Clause 6'!$H$11</f>
        <v>11085.8706055</v>
      </c>
      <c r="M10">
        <f t="shared" si="6"/>
        <v>4</v>
      </c>
      <c r="O10" s="88">
        <f t="shared" ref="O10:O38" si="9">IF(ISNUMBER(B10), (B10/$G10-1), 0)</f>
        <v>-3.624621058635169E-2</v>
      </c>
      <c r="P10" s="88">
        <f t="shared" si="7"/>
        <v>2.682605156445339E-2</v>
      </c>
      <c r="Q10" s="88">
        <f t="shared" si="7"/>
        <v>-1.2293810955396167E-2</v>
      </c>
      <c r="R10" s="88">
        <f t="shared" si="7"/>
        <v>2.1713969977294578E-2</v>
      </c>
      <c r="S10" s="88">
        <f t="shared" si="7"/>
        <v>0</v>
      </c>
    </row>
    <row r="11" spans="1:49" ht="13.15" x14ac:dyDescent="0.4">
      <c r="A11" s="11" t="s">
        <v>66</v>
      </c>
      <c r="B11" s="16">
        <f t="shared" si="8"/>
        <v>9292.2548829999996</v>
      </c>
      <c r="C11" s="16">
        <f t="shared" si="0"/>
        <v>9891.4707030000009</v>
      </c>
      <c r="D11" s="16">
        <f t="shared" si="0"/>
        <v>9535.3525389999995</v>
      </c>
      <c r="E11" s="16">
        <f t="shared" si="0"/>
        <v>9841.6582030000009</v>
      </c>
      <c r="F11" s="16"/>
      <c r="G11" s="35">
        <f t="shared" si="1"/>
        <v>9640.1840819999998</v>
      </c>
      <c r="H11" s="36">
        <f t="shared" si="2"/>
        <v>471167.69642839156</v>
      </c>
      <c r="I11" s="34">
        <f t="shared" si="3"/>
        <v>2.5184842200670379E-2</v>
      </c>
      <c r="J11" s="34">
        <f t="shared" si="4"/>
        <v>0.11</v>
      </c>
      <c r="K11" s="34">
        <f t="shared" si="5"/>
        <v>6.2158130477907331E-2</v>
      </c>
      <c r="L11" s="16">
        <f>G11/'Clause 6'!$H$11</f>
        <v>9640.1840819999998</v>
      </c>
      <c r="M11">
        <f t="shared" si="6"/>
        <v>4</v>
      </c>
      <c r="O11" s="88">
        <f t="shared" si="9"/>
        <v>-3.6091551368780173E-2</v>
      </c>
      <c r="P11" s="88">
        <f t="shared" si="7"/>
        <v>2.6066579109127241E-2</v>
      </c>
      <c r="Q11" s="88">
        <f t="shared" si="7"/>
        <v>-1.0874433735735378E-2</v>
      </c>
      <c r="R11" s="88">
        <f t="shared" si="7"/>
        <v>2.0899405995388642E-2</v>
      </c>
      <c r="S11" s="88">
        <f t="shared" si="7"/>
        <v>0</v>
      </c>
    </row>
    <row r="12" spans="1:49" ht="13.15" x14ac:dyDescent="0.4">
      <c r="A12" s="11" t="s">
        <v>67</v>
      </c>
      <c r="B12" s="16">
        <f t="shared" si="8"/>
        <v>8072.3911129999997</v>
      </c>
      <c r="C12" s="16">
        <f t="shared" si="0"/>
        <v>8580.4677730000003</v>
      </c>
      <c r="D12" s="16">
        <f t="shared" si="0"/>
        <v>8314.7822269999997</v>
      </c>
      <c r="E12" s="16">
        <f t="shared" si="0"/>
        <v>8553.390625</v>
      </c>
      <c r="F12" s="16"/>
      <c r="G12" s="35">
        <f t="shared" si="1"/>
        <v>8380.2579345000013</v>
      </c>
      <c r="H12" s="36">
        <f t="shared" si="2"/>
        <v>409588.32247267</v>
      </c>
      <c r="I12" s="34">
        <f t="shared" si="3"/>
        <v>2.4536935345067994E-2</v>
      </c>
      <c r="J12" s="34">
        <f t="shared" si="4"/>
        <v>0.11</v>
      </c>
      <c r="K12" s="34">
        <f t="shared" si="5"/>
        <v>6.0627806920875459E-2</v>
      </c>
      <c r="L12" s="16">
        <f>G12/'Clause 6'!$H$11</f>
        <v>8380.2579345000013</v>
      </c>
      <c r="M12">
        <f t="shared" si="6"/>
        <v>4</v>
      </c>
      <c r="O12" s="88">
        <f t="shared" si="9"/>
        <v>-3.6737153427291225E-2</v>
      </c>
      <c r="P12" s="88">
        <f t="shared" si="7"/>
        <v>2.3890653493584102E-2</v>
      </c>
      <c r="Q12" s="88">
        <f t="shared" si="7"/>
        <v>-7.8130897654653531E-3</v>
      </c>
      <c r="R12" s="88">
        <f t="shared" si="7"/>
        <v>2.0659589699171699E-2</v>
      </c>
      <c r="S12" s="88">
        <f t="shared" si="7"/>
        <v>0</v>
      </c>
    </row>
    <row r="13" spans="1:49" ht="13.15" x14ac:dyDescent="0.4">
      <c r="A13" s="11" t="s">
        <v>68</v>
      </c>
      <c r="B13" s="16">
        <f t="shared" si="8"/>
        <v>6974.5571289999998</v>
      </c>
      <c r="C13" s="16">
        <f t="shared" si="0"/>
        <v>7415.7534180000002</v>
      </c>
      <c r="D13" s="16">
        <f t="shared" si="0"/>
        <v>7206.7021480000003</v>
      </c>
      <c r="E13" s="16">
        <f t="shared" si="0"/>
        <v>7405.1381840000004</v>
      </c>
      <c r="F13" s="16"/>
      <c r="G13" s="35">
        <f t="shared" si="1"/>
        <v>7250.5377197500002</v>
      </c>
      <c r="H13" s="36">
        <f t="shared" si="2"/>
        <v>354372.81344663131</v>
      </c>
      <c r="I13" s="34">
        <f t="shared" si="3"/>
        <v>2.4795496394030728E-2</v>
      </c>
      <c r="J13" s="34">
        <f t="shared" si="4"/>
        <v>0.11</v>
      </c>
      <c r="K13" s="34">
        <f t="shared" si="5"/>
        <v>6.085014740330362E-2</v>
      </c>
      <c r="L13" s="16">
        <f>G13/'Clause 6'!$H$11</f>
        <v>7250.5377197500002</v>
      </c>
      <c r="M13">
        <f t="shared" si="6"/>
        <v>4</v>
      </c>
      <c r="O13" s="88">
        <f t="shared" si="9"/>
        <v>-3.8063465279029818E-2</v>
      </c>
      <c r="P13" s="88">
        <f t="shared" si="7"/>
        <v>2.2786682124273705E-2</v>
      </c>
      <c r="Q13" s="88">
        <f t="shared" si="7"/>
        <v>-6.0458373494968187E-3</v>
      </c>
      <c r="R13" s="88">
        <f t="shared" si="7"/>
        <v>2.1322620504252932E-2</v>
      </c>
      <c r="S13" s="88">
        <f t="shared" si="7"/>
        <v>0</v>
      </c>
    </row>
    <row r="14" spans="1:49" ht="13.15" x14ac:dyDescent="0.4">
      <c r="A14" s="11" t="s">
        <v>69</v>
      </c>
      <c r="B14" s="16">
        <f t="shared" si="8"/>
        <v>6027.0815430000002</v>
      </c>
      <c r="C14" s="16">
        <f t="shared" si="0"/>
        <v>6400.1284180000002</v>
      </c>
      <c r="D14" s="16">
        <f t="shared" si="0"/>
        <v>6222.189453</v>
      </c>
      <c r="E14" s="16">
        <f t="shared" si="0"/>
        <v>6394.8007809999999</v>
      </c>
      <c r="F14" s="16"/>
      <c r="G14" s="35">
        <f t="shared" si="1"/>
        <v>6261.0500487499994</v>
      </c>
      <c r="H14" s="36">
        <f t="shared" si="2"/>
        <v>306011.22381061252</v>
      </c>
      <c r="I14" s="34">
        <f t="shared" si="3"/>
        <v>2.4416882601522666E-2</v>
      </c>
      <c r="J14" s="34">
        <f t="shared" si="4"/>
        <v>0.11</v>
      </c>
      <c r="K14" s="34">
        <f t="shared" si="5"/>
        <v>5.9582158279421156E-2</v>
      </c>
      <c r="L14" s="16">
        <f>G14/'Clause 6'!$H$11</f>
        <v>6261.0500487499994</v>
      </c>
      <c r="M14">
        <f t="shared" si="6"/>
        <v>4</v>
      </c>
      <c r="O14" s="88">
        <f t="shared" si="9"/>
        <v>-3.7368892426712041E-2</v>
      </c>
      <c r="P14" s="88">
        <f t="shared" si="7"/>
        <v>2.2213265852708997E-2</v>
      </c>
      <c r="Q14" s="88">
        <f t="shared" si="7"/>
        <v>-6.2067217874672842E-3</v>
      </c>
      <c r="R14" s="88">
        <f t="shared" si="7"/>
        <v>2.1362348361470662E-2</v>
      </c>
      <c r="S14" s="88">
        <f t="shared" si="7"/>
        <v>0</v>
      </c>
    </row>
    <row r="15" spans="1:49" ht="13.15" x14ac:dyDescent="0.4">
      <c r="A15" s="11" t="s">
        <v>70</v>
      </c>
      <c r="B15" s="16">
        <f t="shared" si="8"/>
        <v>5165.7895509999998</v>
      </c>
      <c r="C15" s="16">
        <f t="shared" si="0"/>
        <v>5500.8945309999999</v>
      </c>
      <c r="D15" s="16">
        <f t="shared" si="0"/>
        <v>5332.4418949999999</v>
      </c>
      <c r="E15" s="16">
        <f t="shared" si="0"/>
        <v>5479.7421880000002</v>
      </c>
      <c r="F15" s="16"/>
      <c r="G15" s="35">
        <f t="shared" si="1"/>
        <v>5369.71704125</v>
      </c>
      <c r="H15" s="36">
        <f t="shared" si="2"/>
        <v>262446.98102000839</v>
      </c>
      <c r="I15" s="34">
        <f t="shared" si="3"/>
        <v>2.5035397145249032E-2</v>
      </c>
      <c r="J15" s="34">
        <f t="shared" si="4"/>
        <v>0.11</v>
      </c>
      <c r="K15" s="34">
        <f t="shared" si="5"/>
        <v>6.2406450363349499E-2</v>
      </c>
      <c r="L15" s="16">
        <f>G15/'Clause 6'!$H$11</f>
        <v>5369.71704125</v>
      </c>
      <c r="M15">
        <f t="shared" si="6"/>
        <v>4</v>
      </c>
      <c r="O15" s="88">
        <f t="shared" si="9"/>
        <v>-3.7977325189285649E-2</v>
      </c>
      <c r="P15" s="88">
        <f t="shared" si="7"/>
        <v>2.4429125174063815E-2</v>
      </c>
      <c r="Q15" s="88">
        <f t="shared" si="7"/>
        <v>-6.9417337941000135E-3</v>
      </c>
      <c r="R15" s="88">
        <f t="shared" si="7"/>
        <v>2.0489933809321847E-2</v>
      </c>
      <c r="S15" s="88">
        <f t="shared" si="7"/>
        <v>0</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71</v>
      </c>
      <c r="B16" s="16">
        <f t="shared" si="8"/>
        <v>4402.6665039999998</v>
      </c>
      <c r="C16" s="16">
        <f t="shared" si="0"/>
        <v>4689.654297</v>
      </c>
      <c r="D16" s="16">
        <f t="shared" si="0"/>
        <v>4519.7353519999997</v>
      </c>
      <c r="E16" s="16">
        <f t="shared" si="0"/>
        <v>4647.3525390000004</v>
      </c>
      <c r="F16" s="16"/>
      <c r="G16" s="35">
        <f t="shared" si="1"/>
        <v>4564.8521730000002</v>
      </c>
      <c r="H16" s="36">
        <f t="shared" si="2"/>
        <v>223108.90171739645</v>
      </c>
      <c r="I16" s="34">
        <f t="shared" si="3"/>
        <v>2.4668330352854963E-2</v>
      </c>
      <c r="J16" s="34">
        <f t="shared" si="4"/>
        <v>0.11</v>
      </c>
      <c r="K16" s="34">
        <f t="shared" si="5"/>
        <v>6.2869022286737741E-2</v>
      </c>
      <c r="L16" s="16">
        <f>G16/'Clause 6'!$H$11</f>
        <v>4564.8521730000002</v>
      </c>
      <c r="M16">
        <f t="shared" si="6"/>
        <v>4</v>
      </c>
      <c r="O16" s="88">
        <f t="shared" si="9"/>
        <v>-3.5529226983359807E-2</v>
      </c>
      <c r="P16" s="88">
        <f t="shared" si="7"/>
        <v>2.7339795303377823E-2</v>
      </c>
      <c r="Q16" s="88">
        <f t="shared" si="7"/>
        <v>-9.8835229028566562E-3</v>
      </c>
      <c r="R16" s="88">
        <f t="shared" si="7"/>
        <v>1.8072954582838419E-2</v>
      </c>
      <c r="S16" s="88">
        <f t="shared" si="7"/>
        <v>0</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72</v>
      </c>
      <c r="B17" s="16">
        <f t="shared" si="8"/>
        <v>3697.3989259999998</v>
      </c>
      <c r="C17" s="16">
        <f t="shared" si="0"/>
        <v>3935.6098630000001</v>
      </c>
      <c r="D17" s="16">
        <f t="shared" si="0"/>
        <v>3789.508057</v>
      </c>
      <c r="E17" s="16">
        <f t="shared" si="0"/>
        <v>3900.233154</v>
      </c>
      <c r="F17" s="16"/>
      <c r="G17" s="35">
        <f t="shared" si="1"/>
        <v>3830.6874999999995</v>
      </c>
      <c r="H17" s="36">
        <f t="shared" si="2"/>
        <v>187226.32158882814</v>
      </c>
      <c r="I17" s="34">
        <f t="shared" si="3"/>
        <v>2.4525790634195674E-2</v>
      </c>
      <c r="J17" s="34">
        <f t="shared" si="4"/>
        <v>0.11</v>
      </c>
      <c r="K17" s="34">
        <f t="shared" si="5"/>
        <v>6.2184904667895856E-2</v>
      </c>
      <c r="L17" s="16">
        <f>G17/'Clause 6'!$H$11</f>
        <v>3830.6874999999995</v>
      </c>
      <c r="M17">
        <f t="shared" si="6"/>
        <v>4</v>
      </c>
      <c r="O17" s="88">
        <f t="shared" si="9"/>
        <v>-3.479494842635944E-2</v>
      </c>
      <c r="P17" s="88">
        <f t="shared" si="7"/>
        <v>2.7389956241536506E-2</v>
      </c>
      <c r="Q17" s="88">
        <f t="shared" si="7"/>
        <v>-1.0749883147607164E-2</v>
      </c>
      <c r="R17" s="88">
        <f t="shared" si="7"/>
        <v>1.8154875332430764E-2</v>
      </c>
      <c r="S17" s="88">
        <f t="shared" si="7"/>
        <v>0</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73</v>
      </c>
      <c r="B18" s="16">
        <f t="shared" si="8"/>
        <v>3065.4580080000001</v>
      </c>
      <c r="C18" s="16">
        <f t="shared" si="0"/>
        <v>3256.5598140000002</v>
      </c>
      <c r="D18" s="16">
        <f t="shared" si="0"/>
        <v>3142.5656739999999</v>
      </c>
      <c r="E18" s="16">
        <f t="shared" si="0"/>
        <v>3229.376953</v>
      </c>
      <c r="F18" s="16"/>
      <c r="G18" s="35">
        <f t="shared" si="1"/>
        <v>3173.4901122499996</v>
      </c>
      <c r="H18" s="36">
        <f t="shared" si="2"/>
        <v>155105.54706304934</v>
      </c>
      <c r="I18" s="34">
        <f t="shared" si="3"/>
        <v>2.371254574736472E-2</v>
      </c>
      <c r="J18" s="34">
        <f t="shared" si="4"/>
        <v>0.11</v>
      </c>
      <c r="K18" s="34">
        <f t="shared" si="5"/>
        <v>6.02181822663721E-2</v>
      </c>
      <c r="L18" s="16">
        <f>G18/'Clause 6'!$H$11</f>
        <v>3173.4901122499996</v>
      </c>
      <c r="M18">
        <f t="shared" si="6"/>
        <v>4</v>
      </c>
      <c r="O18" s="88">
        <f t="shared" si="9"/>
        <v>-3.4042048479364873E-2</v>
      </c>
      <c r="P18" s="88">
        <f t="shared" si="7"/>
        <v>2.6176133787007227E-2</v>
      </c>
      <c r="Q18" s="88">
        <f t="shared" si="7"/>
        <v>-9.7446146533206601E-3</v>
      </c>
      <c r="R18" s="88">
        <f t="shared" si="7"/>
        <v>1.7610529345678971E-2</v>
      </c>
      <c r="S18" s="88">
        <f t="shared" si="7"/>
        <v>0</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74</v>
      </c>
      <c r="B19" s="16">
        <f t="shared" si="8"/>
        <v>2487.123047</v>
      </c>
      <c r="C19" s="16">
        <f t="shared" si="0"/>
        <v>2648.3046880000002</v>
      </c>
      <c r="D19" s="16">
        <f t="shared" si="0"/>
        <v>2555.443115</v>
      </c>
      <c r="E19" s="16">
        <f t="shared" si="0"/>
        <v>2620.772461</v>
      </c>
      <c r="F19" s="16"/>
      <c r="G19" s="35">
        <f t="shared" si="1"/>
        <v>2577.91082775</v>
      </c>
      <c r="H19" s="36">
        <f t="shared" si="2"/>
        <v>125996.38097956142</v>
      </c>
      <c r="I19" s="34">
        <f t="shared" si="3"/>
        <v>2.4178119090763391E-2</v>
      </c>
      <c r="J19" s="34">
        <f t="shared" si="4"/>
        <v>0.11</v>
      </c>
      <c r="K19" s="34">
        <f t="shared" si="5"/>
        <v>6.2524133598786821E-2</v>
      </c>
      <c r="L19" s="16">
        <f>G19/'Clause 6'!$H$11</f>
        <v>2577.91082775</v>
      </c>
      <c r="M19">
        <f t="shared" si="6"/>
        <v>4</v>
      </c>
      <c r="O19" s="88">
        <f t="shared" si="9"/>
        <v>-3.5217579977054325E-2</v>
      </c>
      <c r="P19" s="88">
        <f t="shared" si="7"/>
        <v>2.730655362173251E-2</v>
      </c>
      <c r="Q19" s="88">
        <f t="shared" si="7"/>
        <v>-8.7154732072752816E-3</v>
      </c>
      <c r="R19" s="88">
        <f t="shared" si="7"/>
        <v>1.6626499562597319E-2</v>
      </c>
      <c r="S19" s="88">
        <f t="shared" si="7"/>
        <v>0</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75</v>
      </c>
      <c r="B20" s="16">
        <f t="shared" si="8"/>
        <v>1997.8048100000001</v>
      </c>
      <c r="C20" s="16">
        <f t="shared" si="0"/>
        <v>2128.843018</v>
      </c>
      <c r="D20" s="16">
        <f t="shared" si="0"/>
        <v>2049.389893</v>
      </c>
      <c r="E20" s="16">
        <f t="shared" si="0"/>
        <v>2102.6430660000001</v>
      </c>
      <c r="F20" s="16"/>
      <c r="G20" s="35">
        <f t="shared" si="1"/>
        <v>2069.6701967500003</v>
      </c>
      <c r="H20" s="36">
        <f t="shared" si="2"/>
        <v>101155.92510209429</v>
      </c>
      <c r="I20" s="34">
        <f t="shared" si="3"/>
        <v>2.4356399851455927E-2</v>
      </c>
      <c r="J20" s="34">
        <f t="shared" si="4"/>
        <v>0.11</v>
      </c>
      <c r="K20" s="34">
        <f t="shared" si="5"/>
        <v>6.3313569575369558E-2</v>
      </c>
      <c r="L20" s="16">
        <f>G20/'Clause 6'!$H$11</f>
        <v>2069.6701967500003</v>
      </c>
      <c r="M20">
        <f t="shared" si="6"/>
        <v>4</v>
      </c>
      <c r="O20" s="88">
        <f t="shared" si="9"/>
        <v>-3.4723110408049651E-2</v>
      </c>
      <c r="P20" s="88">
        <f t="shared" si="7"/>
        <v>2.8590459167319837E-2</v>
      </c>
      <c r="Q20" s="88">
        <f t="shared" si="7"/>
        <v>-9.7988093860782444E-3</v>
      </c>
      <c r="R20" s="88">
        <f t="shared" si="7"/>
        <v>1.5931460626807725E-2</v>
      </c>
      <c r="S20" s="88">
        <f t="shared" si="7"/>
        <v>0</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76</v>
      </c>
      <c r="B21" s="16">
        <f t="shared" si="8"/>
        <v>1564.816284</v>
      </c>
      <c r="C21" s="16">
        <f t="shared" si="0"/>
        <v>1677.3763429999999</v>
      </c>
      <c r="D21" s="16">
        <f t="shared" si="0"/>
        <v>1609.601807</v>
      </c>
      <c r="E21" s="16">
        <f t="shared" si="0"/>
        <v>1653.2705080000001</v>
      </c>
      <c r="F21" s="16"/>
      <c r="G21" s="35">
        <f t="shared" si="1"/>
        <v>1626.2662354999998</v>
      </c>
      <c r="H21" s="36">
        <f t="shared" si="2"/>
        <v>79484.386339730379</v>
      </c>
      <c r="I21" s="34">
        <f t="shared" si="3"/>
        <v>2.6439636513903048E-2</v>
      </c>
      <c r="J21" s="34">
        <f t="shared" si="4"/>
        <v>0.11</v>
      </c>
      <c r="K21" s="34">
        <f t="shared" si="5"/>
        <v>6.9213795713709225E-2</v>
      </c>
      <c r="L21" s="16">
        <f>G21/'Clause 6'!$H$11</f>
        <v>1626.2662354999998</v>
      </c>
      <c r="M21">
        <f t="shared" si="6"/>
        <v>4</v>
      </c>
      <c r="O21" s="88">
        <f t="shared" si="9"/>
        <v>-3.7785911161776542E-2</v>
      </c>
      <c r="P21" s="88">
        <f t="shared" si="7"/>
        <v>3.1427884551932683E-2</v>
      </c>
      <c r="Q21" s="88">
        <f t="shared" si="7"/>
        <v>-1.0247048199261366E-2</v>
      </c>
      <c r="R21" s="88">
        <f t="shared" si="7"/>
        <v>1.660507480910578E-2</v>
      </c>
      <c r="S21" s="88">
        <f t="shared" si="7"/>
        <v>0</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77</v>
      </c>
      <c r="B22" s="16">
        <f t="shared" si="8"/>
        <v>1215.069702</v>
      </c>
      <c r="C22" s="16">
        <f t="shared" si="0"/>
        <v>1293.1046140000001</v>
      </c>
      <c r="D22" s="16">
        <f t="shared" si="0"/>
        <v>1242.524414</v>
      </c>
      <c r="E22" s="16">
        <f t="shared" si="0"/>
        <v>1282.162842</v>
      </c>
      <c r="F22" s="16"/>
      <c r="G22" s="35">
        <f t="shared" si="1"/>
        <v>1258.2153929999999</v>
      </c>
      <c r="H22" s="36">
        <f t="shared" si="2"/>
        <v>61495.760173032075</v>
      </c>
      <c r="I22" s="34">
        <f t="shared" si="3"/>
        <v>2.4812100441946181E-2</v>
      </c>
      <c r="J22" s="34">
        <f t="shared" si="4"/>
        <v>0.11</v>
      </c>
      <c r="K22" s="34">
        <f t="shared" si="5"/>
        <v>6.2020312606364751E-2</v>
      </c>
      <c r="L22" s="16">
        <f>G22/'Clause 6'!$H$11</f>
        <v>1258.2153929999999</v>
      </c>
      <c r="M22">
        <f t="shared" si="6"/>
        <v>4</v>
      </c>
      <c r="O22" s="88">
        <f t="shared" si="9"/>
        <v>-3.4291180381386344E-2</v>
      </c>
      <c r="P22" s="88">
        <f t="shared" si="7"/>
        <v>2.7729132224978414E-2</v>
      </c>
      <c r="Q22" s="88">
        <f t="shared" si="7"/>
        <v>-1.2470821043277458E-2</v>
      </c>
      <c r="R22" s="88">
        <f t="shared" si="7"/>
        <v>1.9032869199685498E-2</v>
      </c>
      <c r="S22" s="88">
        <f t="shared" si="7"/>
        <v>0</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ht="13.15" x14ac:dyDescent="0.4">
      <c r="A23" s="11" t="s">
        <v>78</v>
      </c>
      <c r="B23" s="16">
        <f t="shared" si="8"/>
        <v>933.52917500000001</v>
      </c>
      <c r="C23" s="16">
        <f t="shared" si="0"/>
        <v>985.62731900000006</v>
      </c>
      <c r="D23" s="16">
        <f t="shared" si="0"/>
        <v>958.53033400000004</v>
      </c>
      <c r="E23" s="16">
        <f t="shared" si="0"/>
        <v>979.41186500000003</v>
      </c>
      <c r="F23" s="16"/>
      <c r="G23" s="35">
        <f t="shared" si="1"/>
        <v>964.27467324999998</v>
      </c>
      <c r="H23" s="36">
        <f t="shared" si="2"/>
        <v>47129.294695499622</v>
      </c>
      <c r="I23" s="34">
        <f t="shared" si="3"/>
        <v>2.1147618966847997E-2</v>
      </c>
      <c r="J23" s="34">
        <f t="shared" si="4"/>
        <v>0.11</v>
      </c>
      <c r="K23" s="34">
        <f t="shared" si="5"/>
        <v>5.4028323511192092E-2</v>
      </c>
      <c r="L23" s="16">
        <f>G23/'Clause 6'!$H$11</f>
        <v>964.27467324999998</v>
      </c>
      <c r="M23">
        <f t="shared" si="6"/>
        <v>4</v>
      </c>
      <c r="O23" s="88">
        <f t="shared" si="9"/>
        <v>-3.1884585484730277E-2</v>
      </c>
      <c r="P23" s="88">
        <f t="shared" si="7"/>
        <v>2.2143738026461746E-2</v>
      </c>
      <c r="Q23" s="88">
        <f t="shared" si="7"/>
        <v>-5.9571607648256641E-3</v>
      </c>
      <c r="R23" s="88">
        <f t="shared" si="7"/>
        <v>1.5698008223094195E-2</v>
      </c>
      <c r="S23" s="88">
        <f t="shared" si="7"/>
        <v>0</v>
      </c>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37"/>
      <c r="AS23" s="37"/>
      <c r="AT23" s="37"/>
      <c r="AU23" s="37"/>
      <c r="AV23" s="37"/>
      <c r="AW23" s="37"/>
    </row>
    <row r="24" spans="1:49" ht="13.15" x14ac:dyDescent="0.4">
      <c r="A24" s="11" t="s">
        <v>79</v>
      </c>
      <c r="B24" s="16">
        <f t="shared" si="8"/>
        <v>710.17077600000005</v>
      </c>
      <c r="C24" s="16">
        <f t="shared" si="0"/>
        <v>754.54437299999995</v>
      </c>
      <c r="D24" s="16">
        <f t="shared" si="0"/>
        <v>730.42871100000002</v>
      </c>
      <c r="E24" s="16">
        <f t="shared" si="0"/>
        <v>744.71734600000002</v>
      </c>
      <c r="F24" s="16"/>
      <c r="G24" s="35">
        <f t="shared" si="1"/>
        <v>734.96530150000001</v>
      </c>
      <c r="H24" s="36">
        <f t="shared" si="2"/>
        <v>35921.711153746961</v>
      </c>
      <c r="I24" s="34">
        <f t="shared" si="3"/>
        <v>2.2704143850074462E-2</v>
      </c>
      <c r="J24" s="34">
        <f t="shared" si="4"/>
        <v>0.11</v>
      </c>
      <c r="K24" s="34">
        <f t="shared" si="5"/>
        <v>6.0375091054553548E-2</v>
      </c>
      <c r="L24" s="16">
        <f>G24/'Clause 6'!$H$11</f>
        <v>734.96530150000001</v>
      </c>
      <c r="M24">
        <f t="shared" si="6"/>
        <v>4</v>
      </c>
      <c r="O24" s="88">
        <f t="shared" si="9"/>
        <v>-3.3735640919913545E-2</v>
      </c>
      <c r="P24" s="88">
        <f t="shared" si="7"/>
        <v>2.6639450134640086E-2</v>
      </c>
      <c r="Q24" s="88">
        <f t="shared" si="7"/>
        <v>-6.1725233704791327E-3</v>
      </c>
      <c r="R24" s="88">
        <f t="shared" si="7"/>
        <v>1.3268714155752592E-2</v>
      </c>
      <c r="S24" s="88">
        <f t="shared" si="7"/>
        <v>0</v>
      </c>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row>
    <row r="25" spans="1:49" ht="13.15" x14ac:dyDescent="0.4">
      <c r="A25" s="11" t="s">
        <v>80</v>
      </c>
      <c r="B25" s="16">
        <f t="shared" si="8"/>
        <v>541.07214399999998</v>
      </c>
      <c r="C25" s="16">
        <f t="shared" ref="C25:C38" si="10">H69</f>
        <v>570.75793499999997</v>
      </c>
      <c r="D25" s="16">
        <f t="shared" ref="D25:D38" si="11">I69</f>
        <v>554.99694799999997</v>
      </c>
      <c r="E25" s="16">
        <f t="shared" ref="E25:E38" si="12">J69</f>
        <v>566.16931199999999</v>
      </c>
      <c r="F25" s="16"/>
      <c r="G25" s="35">
        <f t="shared" si="1"/>
        <v>558.24908474999995</v>
      </c>
      <c r="H25" s="36">
        <f t="shared" si="2"/>
        <v>27284.638245242528</v>
      </c>
      <c r="I25" s="34">
        <f t="shared" si="3"/>
        <v>2.0518672070198227E-2</v>
      </c>
      <c r="J25" s="34">
        <f t="shared" si="4"/>
        <v>0.11</v>
      </c>
      <c r="K25" s="34">
        <f t="shared" si="5"/>
        <v>5.3176604872167681E-2</v>
      </c>
      <c r="L25" s="16">
        <f>G25/'Clause 6'!$H$11</f>
        <v>558.24908474999995</v>
      </c>
      <c r="M25">
        <f t="shared" si="6"/>
        <v>4</v>
      </c>
      <c r="O25" s="88">
        <f t="shared" si="9"/>
        <v>-3.076931287346818E-2</v>
      </c>
      <c r="P25" s="88">
        <f t="shared" si="7"/>
        <v>2.2407291998699508E-2</v>
      </c>
      <c r="Q25" s="88">
        <f t="shared" si="7"/>
        <v>-5.8256015797255589E-3</v>
      </c>
      <c r="R25" s="88">
        <f t="shared" si="7"/>
        <v>1.4187622454494342E-2</v>
      </c>
      <c r="S25" s="88">
        <f t="shared" si="7"/>
        <v>0</v>
      </c>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c r="AW25" s="37"/>
    </row>
    <row r="26" spans="1:49" ht="13.15" x14ac:dyDescent="0.4">
      <c r="A26" s="11" t="s">
        <v>81</v>
      </c>
      <c r="B26" s="16">
        <f t="shared" si="8"/>
        <v>413.37649499999998</v>
      </c>
      <c r="C26" s="16">
        <f t="shared" si="10"/>
        <v>438.96765099999999</v>
      </c>
      <c r="D26" s="16">
        <f t="shared" si="11"/>
        <v>425.99111900000003</v>
      </c>
      <c r="E26" s="16">
        <f t="shared" si="12"/>
        <v>431.05731200000002</v>
      </c>
      <c r="F26" s="16"/>
      <c r="G26" s="35">
        <f t="shared" si="1"/>
        <v>427.34814425000002</v>
      </c>
      <c r="H26" s="36">
        <f t="shared" si="2"/>
        <v>20886.804545069113</v>
      </c>
      <c r="I26" s="34">
        <f t="shared" si="3"/>
        <v>2.1757692523259296E-2</v>
      </c>
      <c r="J26" s="34">
        <f t="shared" si="4"/>
        <v>0.11</v>
      </c>
      <c r="K26" s="34">
        <f t="shared" si="5"/>
        <v>5.988362496557164E-2</v>
      </c>
      <c r="L26" s="16">
        <f>G26/'Clause 6'!$H$11</f>
        <v>427.34814425000002</v>
      </c>
      <c r="M26">
        <f t="shared" si="6"/>
        <v>4</v>
      </c>
      <c r="O26" s="88">
        <f t="shared" si="9"/>
        <v>-3.2693833910336534E-2</v>
      </c>
      <c r="P26" s="88">
        <f t="shared" si="7"/>
        <v>2.7189791055235002E-2</v>
      </c>
      <c r="Q26" s="88">
        <f t="shared" si="7"/>
        <v>-3.175456049731018E-3</v>
      </c>
      <c r="R26" s="88">
        <f t="shared" si="7"/>
        <v>8.6794989048324389E-3</v>
      </c>
      <c r="S26" s="88">
        <f t="shared" si="7"/>
        <v>0</v>
      </c>
    </row>
    <row r="27" spans="1:49" ht="13.15" x14ac:dyDescent="0.4">
      <c r="A27" s="11" t="s">
        <v>82</v>
      </c>
      <c r="B27" s="16">
        <f t="shared" si="8"/>
        <v>319.89282200000002</v>
      </c>
      <c r="C27" s="16">
        <f t="shared" si="10"/>
        <v>336.27520800000002</v>
      </c>
      <c r="D27" s="16">
        <f t="shared" si="11"/>
        <v>322.564911</v>
      </c>
      <c r="E27" s="16">
        <f t="shared" si="12"/>
        <v>327.67163099999999</v>
      </c>
      <c r="F27" s="16"/>
      <c r="G27" s="35">
        <f t="shared" si="1"/>
        <v>326.60114299999998</v>
      </c>
      <c r="H27" s="36">
        <f t="shared" si="2"/>
        <v>15962.756197313629</v>
      </c>
      <c r="I27" s="34">
        <f t="shared" si="3"/>
        <v>1.9122782886040874E-2</v>
      </c>
      <c r="J27" s="34">
        <f t="shared" si="4"/>
        <v>0.11</v>
      </c>
      <c r="K27" s="34">
        <f t="shared" si="5"/>
        <v>5.0160222494995979E-2</v>
      </c>
      <c r="L27" s="16">
        <f>G27/'Clause 6'!$H$11</f>
        <v>326.60114299999998</v>
      </c>
      <c r="M27">
        <f t="shared" si="6"/>
        <v>4</v>
      </c>
      <c r="O27" s="88">
        <f t="shared" si="9"/>
        <v>-2.0539796457478943E-2</v>
      </c>
      <c r="P27" s="88">
        <f t="shared" si="7"/>
        <v>2.9620426037517023E-2</v>
      </c>
      <c r="Q27" s="88">
        <f t="shared" si="7"/>
        <v>-1.235829110371478E-2</v>
      </c>
      <c r="R27" s="88">
        <f t="shared" si="7"/>
        <v>3.2776615236769224E-3</v>
      </c>
      <c r="S27" s="88">
        <f t="shared" si="7"/>
        <v>0</v>
      </c>
    </row>
    <row r="28" spans="1:49" ht="13.15" x14ac:dyDescent="0.4">
      <c r="A28" s="11" t="s">
        <v>83</v>
      </c>
      <c r="B28" s="16">
        <f t="shared" si="8"/>
        <v>243.73306299999999</v>
      </c>
      <c r="C28" s="16">
        <f t="shared" si="10"/>
        <v>260.980774</v>
      </c>
      <c r="D28" s="16">
        <f t="shared" si="11"/>
        <v>245.624664</v>
      </c>
      <c r="E28" s="16">
        <f t="shared" si="12"/>
        <v>248.405914</v>
      </c>
      <c r="F28" s="16"/>
      <c r="G28" s="35">
        <f t="shared" si="1"/>
        <v>249.68610374999997</v>
      </c>
      <c r="H28" s="36">
        <f t="shared" si="2"/>
        <v>12203.504137823566</v>
      </c>
      <c r="I28" s="34">
        <f t="shared" si="3"/>
        <v>2.6951674270506331E-2</v>
      </c>
      <c r="J28" s="34">
        <f t="shared" si="4"/>
        <v>0.11</v>
      </c>
      <c r="K28" s="34">
        <f t="shared" si="5"/>
        <v>6.9077576769227836E-2</v>
      </c>
      <c r="L28" s="16">
        <f>G28/'Clause 6'!$H$11</f>
        <v>249.68610374999997</v>
      </c>
      <c r="M28">
        <f t="shared" si="6"/>
        <v>4</v>
      </c>
      <c r="O28" s="88">
        <f t="shared" si="9"/>
        <v>-2.3842098781598597E-2</v>
      </c>
      <c r="P28" s="88">
        <f t="shared" si="7"/>
        <v>4.5235477987629169E-2</v>
      </c>
      <c r="Q28" s="88">
        <f t="shared" si="7"/>
        <v>-1.6266182574848131E-2</v>
      </c>
      <c r="R28" s="88">
        <f t="shared" si="7"/>
        <v>-5.1271966311821071E-3</v>
      </c>
      <c r="S28" s="88">
        <f t="shared" si="7"/>
        <v>0</v>
      </c>
    </row>
    <row r="29" spans="1:49" ht="13.15" x14ac:dyDescent="0.4">
      <c r="A29" s="11" t="s">
        <v>84</v>
      </c>
      <c r="B29" s="16">
        <f t="shared" si="8"/>
        <v>184.025543</v>
      </c>
      <c r="C29" s="16">
        <f t="shared" si="10"/>
        <v>199.3853</v>
      </c>
      <c r="D29" s="16">
        <f t="shared" si="11"/>
        <v>192.45129399999999</v>
      </c>
      <c r="E29" s="16">
        <f t="shared" si="12"/>
        <v>187.65554800000001</v>
      </c>
      <c r="F29" s="16"/>
      <c r="G29" s="35">
        <f t="shared" si="1"/>
        <v>190.87942125000001</v>
      </c>
      <c r="H29" s="36">
        <f t="shared" si="2"/>
        <v>9329.3049635716579</v>
      </c>
      <c r="I29" s="34">
        <f t="shared" si="3"/>
        <v>3.0116868095524548E-2</v>
      </c>
      <c r="J29" s="34">
        <f t="shared" si="4"/>
        <v>0.113</v>
      </c>
      <c r="K29" s="34">
        <f t="shared" si="5"/>
        <v>8.046837579145269E-2</v>
      </c>
      <c r="L29" s="16">
        <f>G29/'Clause 6'!$H$11</f>
        <v>190.87942125000001</v>
      </c>
      <c r="M29">
        <f t="shared" si="6"/>
        <v>4</v>
      </c>
      <c r="O29" s="88">
        <f t="shared" si="9"/>
        <v>-3.5906847396730557E-2</v>
      </c>
      <c r="P29" s="88">
        <f t="shared" si="7"/>
        <v>4.456152839472205E-2</v>
      </c>
      <c r="Q29" s="88">
        <f t="shared" si="7"/>
        <v>8.234898972903304E-3</v>
      </c>
      <c r="R29" s="88">
        <f t="shared" si="7"/>
        <v>-1.6889579970894797E-2</v>
      </c>
      <c r="S29" s="88">
        <f t="shared" si="7"/>
        <v>0</v>
      </c>
    </row>
    <row r="30" spans="1:49" ht="13.15" x14ac:dyDescent="0.4">
      <c r="A30" s="11" t="s">
        <v>85</v>
      </c>
      <c r="B30" s="16">
        <f t="shared" si="8"/>
        <v>142.40460200000001</v>
      </c>
      <c r="C30" s="16">
        <f t="shared" si="10"/>
        <v>151.68881200000001</v>
      </c>
      <c r="D30" s="16">
        <f t="shared" si="11"/>
        <v>143.80976899999999</v>
      </c>
      <c r="E30" s="16">
        <f t="shared" si="12"/>
        <v>137.41390999999999</v>
      </c>
      <c r="F30" s="16"/>
      <c r="G30" s="35">
        <f t="shared" si="1"/>
        <v>143.82927325</v>
      </c>
      <c r="H30" s="36">
        <f t="shared" si="2"/>
        <v>7029.7109245773618</v>
      </c>
      <c r="I30" s="34">
        <f t="shared" si="3"/>
        <v>3.5615019668724678E-2</v>
      </c>
      <c r="J30" s="34">
        <f t="shared" si="4"/>
        <v>0.113</v>
      </c>
      <c r="K30" s="34">
        <f t="shared" si="5"/>
        <v>9.9248933665873368E-2</v>
      </c>
      <c r="L30" s="16">
        <f>G30/'Clause 6'!$H$11</f>
        <v>143.82927325</v>
      </c>
      <c r="M30">
        <f t="shared" si="6"/>
        <v>4</v>
      </c>
      <c r="O30" s="88">
        <f t="shared" si="9"/>
        <v>-9.9052940879682527E-3</v>
      </c>
      <c r="P30" s="88">
        <f t="shared" si="7"/>
        <v>5.46449173551673E-2</v>
      </c>
      <c r="Q30" s="88">
        <f t="shared" si="7"/>
        <v>-1.3560695649283971E-4</v>
      </c>
      <c r="R30" s="88">
        <f t="shared" si="7"/>
        <v>-4.4604016310706207E-2</v>
      </c>
      <c r="S30" s="88">
        <f t="shared" si="7"/>
        <v>0</v>
      </c>
    </row>
    <row r="31" spans="1:49" ht="13.15" x14ac:dyDescent="0.4">
      <c r="A31" s="11" t="s">
        <v>86</v>
      </c>
      <c r="B31" s="16">
        <f t="shared" si="8"/>
        <v>106.77621499999999</v>
      </c>
      <c r="C31" s="16">
        <f t="shared" si="10"/>
        <v>111.99174499999999</v>
      </c>
      <c r="D31" s="16">
        <f t="shared" si="11"/>
        <v>109.166512</v>
      </c>
      <c r="E31" s="16">
        <f t="shared" si="12"/>
        <v>103.585869</v>
      </c>
      <c r="F31" s="16"/>
      <c r="G31" s="35">
        <f t="shared" si="1"/>
        <v>107.88008524999999</v>
      </c>
      <c r="H31" s="36">
        <f t="shared" si="2"/>
        <v>5272.6805655764656</v>
      </c>
      <c r="I31" s="34">
        <f t="shared" si="3"/>
        <v>2.865306007870945E-2</v>
      </c>
      <c r="J31" s="34">
        <f t="shared" si="4"/>
        <v>0.113</v>
      </c>
      <c r="K31" s="34">
        <f t="shared" si="5"/>
        <v>7.7918700013263037E-2</v>
      </c>
      <c r="L31" s="16">
        <f>G31/'Clause 6'!$H$11</f>
        <v>107.88008524999999</v>
      </c>
      <c r="M31">
        <f t="shared" si="6"/>
        <v>4</v>
      </c>
      <c r="O31" s="88">
        <f t="shared" si="9"/>
        <v>-1.0232382069794488E-2</v>
      </c>
      <c r="P31" s="88">
        <f t="shared" si="7"/>
        <v>3.811324157254492E-2</v>
      </c>
      <c r="Q31" s="88">
        <f t="shared" si="7"/>
        <v>1.192459893796749E-2</v>
      </c>
      <c r="R31" s="88">
        <f t="shared" si="7"/>
        <v>-3.9805458440718033E-2</v>
      </c>
      <c r="S31" s="88">
        <f t="shared" si="7"/>
        <v>0</v>
      </c>
    </row>
    <row r="32" spans="1:49" ht="13.15" x14ac:dyDescent="0.4">
      <c r="A32" s="11" t="s">
        <v>87</v>
      </c>
      <c r="B32" s="16">
        <f t="shared" si="8"/>
        <v>79.319473000000002</v>
      </c>
      <c r="C32" s="16">
        <f t="shared" si="10"/>
        <v>85.693680000000001</v>
      </c>
      <c r="D32" s="16">
        <f t="shared" si="11"/>
        <v>78.853675999999993</v>
      </c>
      <c r="E32" s="16">
        <f t="shared" si="12"/>
        <v>78.765288999999996</v>
      </c>
      <c r="F32" s="16"/>
      <c r="G32" s="35">
        <f t="shared" si="1"/>
        <v>80.658029499999998</v>
      </c>
      <c r="H32" s="36">
        <f t="shared" si="2"/>
        <v>3942.1921443313213</v>
      </c>
      <c r="I32" s="34">
        <f t="shared" si="3"/>
        <v>3.6139578054396472E-2</v>
      </c>
      <c r="J32" s="34">
        <f t="shared" si="4"/>
        <v>0.11900000000000001</v>
      </c>
      <c r="K32" s="34">
        <f t="shared" si="5"/>
        <v>8.5898341962346164E-2</v>
      </c>
      <c r="L32" s="16">
        <f>G32/'Clause 6'!$H$11</f>
        <v>80.658029499999998</v>
      </c>
      <c r="M32">
        <f t="shared" si="6"/>
        <v>4</v>
      </c>
      <c r="O32" s="88">
        <f t="shared" si="9"/>
        <v>-1.6595452533340049E-2</v>
      </c>
      <c r="P32" s="88">
        <f t="shared" si="7"/>
        <v>6.2432104171352254E-2</v>
      </c>
      <c r="Q32" s="88">
        <f t="shared" si="7"/>
        <v>-2.2370413847018211E-2</v>
      </c>
      <c r="R32" s="88">
        <f t="shared" si="7"/>
        <v>-2.3466237790993882E-2</v>
      </c>
      <c r="S32" s="88">
        <f t="shared" si="7"/>
        <v>0</v>
      </c>
    </row>
    <row r="33" spans="1:19" ht="13.15" x14ac:dyDescent="0.4">
      <c r="A33" s="11" t="s">
        <v>88</v>
      </c>
      <c r="B33" s="16">
        <f t="shared" si="8"/>
        <v>56.003036000000002</v>
      </c>
      <c r="C33" s="16">
        <f t="shared" si="10"/>
        <v>63.995280999999999</v>
      </c>
      <c r="D33" s="16">
        <f t="shared" si="11"/>
        <v>58.108006000000003</v>
      </c>
      <c r="E33" s="16">
        <f t="shared" si="12"/>
        <v>56.346705999999998</v>
      </c>
      <c r="F33" s="16"/>
      <c r="G33" s="35">
        <f t="shared" si="1"/>
        <v>58.613257250000004</v>
      </c>
      <c r="H33" s="36">
        <f t="shared" si="2"/>
        <v>2864.7454409312204</v>
      </c>
      <c r="I33" s="34">
        <f t="shared" si="3"/>
        <v>5.4736239998414614E-2</v>
      </c>
      <c r="J33" s="34">
        <f t="shared" si="4"/>
        <v>0.11900000000000001</v>
      </c>
      <c r="K33" s="34">
        <f t="shared" si="5"/>
        <v>0.13635558532280675</v>
      </c>
      <c r="L33" s="16">
        <f>G33/'Clause 6'!$H$11</f>
        <v>58.613257250000004</v>
      </c>
      <c r="M33">
        <f t="shared" si="6"/>
        <v>4</v>
      </c>
      <c r="O33" s="88">
        <f t="shared" si="9"/>
        <v>-4.4532949924054988E-2</v>
      </c>
      <c r="P33" s="88">
        <f t="shared" si="7"/>
        <v>9.1822635398751684E-2</v>
      </c>
      <c r="Q33" s="88">
        <f t="shared" si="7"/>
        <v>-8.6200848358414239E-3</v>
      </c>
      <c r="R33" s="88">
        <f t="shared" si="7"/>
        <v>-3.8669600638855606E-2</v>
      </c>
      <c r="S33" s="88">
        <f t="shared" si="7"/>
        <v>0</v>
      </c>
    </row>
    <row r="34" spans="1:19" ht="13.15" x14ac:dyDescent="0.4">
      <c r="A34" s="11" t="s">
        <v>89</v>
      </c>
      <c r="B34" s="16">
        <f t="shared" si="8"/>
        <v>39.441825999999999</v>
      </c>
      <c r="C34" s="16">
        <f t="shared" si="10"/>
        <v>45.196666999999998</v>
      </c>
      <c r="D34" s="16">
        <f t="shared" si="11"/>
        <v>42.397697000000001</v>
      </c>
      <c r="E34" s="16">
        <f t="shared" si="12"/>
        <v>39.933101999999998</v>
      </c>
      <c r="F34" s="16"/>
      <c r="G34" s="35">
        <f t="shared" si="1"/>
        <v>41.742322999999999</v>
      </c>
      <c r="H34" s="36">
        <f t="shared" si="2"/>
        <v>2040.1720552414517</v>
      </c>
      <c r="I34" s="34">
        <f t="shared" si="3"/>
        <v>5.4796502502189169E-2</v>
      </c>
      <c r="J34" s="34">
        <f t="shared" si="4"/>
        <v>0.11900000000000001</v>
      </c>
      <c r="K34" s="34">
        <f t="shared" si="5"/>
        <v>0.1378658538002305</v>
      </c>
      <c r="L34" s="16">
        <f>G34/'Clause 6'!$H$11</f>
        <v>41.742322999999999</v>
      </c>
      <c r="M34">
        <f t="shared" si="6"/>
        <v>4</v>
      </c>
      <c r="O34" s="88">
        <f t="shared" si="9"/>
        <v>-5.5111858532645663E-2</v>
      </c>
      <c r="P34" s="88">
        <f t="shared" si="7"/>
        <v>8.2753995267584868E-2</v>
      </c>
      <c r="Q34" s="88">
        <f t="shared" si="7"/>
        <v>1.5700467844111055E-2</v>
      </c>
      <c r="R34" s="88">
        <f t="shared" si="7"/>
        <v>-4.334260457905037E-2</v>
      </c>
      <c r="S34" s="88">
        <f t="shared" si="7"/>
        <v>0</v>
      </c>
    </row>
    <row r="35" spans="1:19" ht="13.15" x14ac:dyDescent="0.4">
      <c r="A35" s="11" t="s">
        <v>90</v>
      </c>
      <c r="B35" s="16">
        <f t="shared" si="8"/>
        <v>27.565697</v>
      </c>
      <c r="C35" s="16">
        <f t="shared" si="10"/>
        <v>31.697662000000001</v>
      </c>
      <c r="D35" s="16">
        <f t="shared" si="11"/>
        <v>29.809307</v>
      </c>
      <c r="E35" s="16">
        <f t="shared" si="12"/>
        <v>28.023230000000002</v>
      </c>
      <c r="F35" s="16"/>
      <c r="G35" s="35">
        <f t="shared" si="1"/>
        <v>29.273973999999999</v>
      </c>
      <c r="H35" s="36">
        <f t="shared" si="2"/>
        <v>1430.7767131375228</v>
      </c>
      <c r="I35" s="34">
        <f t="shared" si="3"/>
        <v>5.5722274588898085E-2</v>
      </c>
      <c r="J35" s="34">
        <f t="shared" si="4"/>
        <v>0.13400000000000001</v>
      </c>
      <c r="K35" s="34">
        <f t="shared" si="5"/>
        <v>0.14114807234576354</v>
      </c>
      <c r="L35" s="16">
        <f>G35/'Clause 6'!$H$11</f>
        <v>29.273973999999999</v>
      </c>
      <c r="M35">
        <f t="shared" si="6"/>
        <v>4</v>
      </c>
      <c r="O35" s="88">
        <f t="shared" si="9"/>
        <v>-5.8354803485170748E-2</v>
      </c>
      <c r="P35" s="88">
        <f t="shared" si="7"/>
        <v>8.2793268860592795E-2</v>
      </c>
      <c r="Q35" s="88">
        <f t="shared" si="7"/>
        <v>1.8286994447696214E-2</v>
      </c>
      <c r="R35" s="88">
        <f t="shared" si="7"/>
        <v>-4.2725459823117928E-2</v>
      </c>
      <c r="S35" s="88">
        <f t="shared" si="7"/>
        <v>0</v>
      </c>
    </row>
    <row r="36" spans="1:19" ht="13.15" x14ac:dyDescent="0.4">
      <c r="A36" s="11" t="s">
        <v>91</v>
      </c>
      <c r="B36" s="16">
        <f t="shared" si="8"/>
        <v>18.958224999999999</v>
      </c>
      <c r="C36" s="16">
        <f t="shared" si="10"/>
        <v>23.398275000000002</v>
      </c>
      <c r="D36" s="16">
        <f t="shared" si="11"/>
        <v>21.349909</v>
      </c>
      <c r="E36" s="16">
        <f t="shared" si="12"/>
        <v>18.915679999999998</v>
      </c>
      <c r="F36" s="16"/>
      <c r="G36" s="35">
        <f t="shared" si="1"/>
        <v>20.655522249999997</v>
      </c>
      <c r="H36" s="36">
        <f t="shared" si="2"/>
        <v>1009.5465765254136</v>
      </c>
      <c r="I36" s="34">
        <f t="shared" si="3"/>
        <v>9.0290087690484827E-2</v>
      </c>
      <c r="J36" s="34">
        <f t="shared" si="4"/>
        <v>0.13400000000000001</v>
      </c>
      <c r="K36" s="34">
        <f t="shared" si="5"/>
        <v>0.2170167834899456</v>
      </c>
      <c r="L36" s="16">
        <f>G36/'Clause 6'!$H$11</f>
        <v>20.655522249999997</v>
      </c>
      <c r="M36">
        <f t="shared" si="6"/>
        <v>4</v>
      </c>
      <c r="O36" s="88">
        <f t="shared" si="9"/>
        <v>-8.2171596992663742E-2</v>
      </c>
      <c r="P36" s="88">
        <f t="shared" si="7"/>
        <v>0.1327854467586751</v>
      </c>
      <c r="Q36" s="88">
        <f t="shared" si="7"/>
        <v>3.3617486965259458E-2</v>
      </c>
      <c r="R36" s="88">
        <f t="shared" si="7"/>
        <v>-8.4231336731270479E-2</v>
      </c>
      <c r="S36" s="88">
        <f t="shared" si="7"/>
        <v>0</v>
      </c>
    </row>
    <row r="37" spans="1:19" ht="13.15" x14ac:dyDescent="0.4">
      <c r="A37" s="11" t="s">
        <v>92</v>
      </c>
      <c r="B37" s="16">
        <f t="shared" si="8"/>
        <v>13.619415</v>
      </c>
      <c r="C37" s="16">
        <f t="shared" si="10"/>
        <v>16.698768999999999</v>
      </c>
      <c r="D37" s="16">
        <f t="shared" si="11"/>
        <v>14.401116999999999</v>
      </c>
      <c r="E37" s="16">
        <f t="shared" si="12"/>
        <v>13.511200000000001</v>
      </c>
      <c r="F37" s="16"/>
      <c r="G37" s="35">
        <f t="shared" si="1"/>
        <v>14.557625250000001</v>
      </c>
      <c r="H37" s="36">
        <f t="shared" si="2"/>
        <v>711.5095205824399</v>
      </c>
      <c r="I37" s="34">
        <f t="shared" si="3"/>
        <v>8.8131701027656661E-2</v>
      </c>
      <c r="J37" s="34">
        <f t="shared" si="4"/>
        <v>0.156</v>
      </c>
      <c r="K37" s="34">
        <f t="shared" si="5"/>
        <v>0.21896215524575327</v>
      </c>
      <c r="L37" s="16">
        <f>G37/'Clause 6'!$H$11</f>
        <v>14.557625250000001</v>
      </c>
      <c r="M37">
        <f t="shared" si="6"/>
        <v>4</v>
      </c>
      <c r="O37" s="88">
        <f t="shared" si="9"/>
        <v>-6.4448028705780924E-2</v>
      </c>
      <c r="P37" s="88">
        <f t="shared" si="7"/>
        <v>0.14708056521787416</v>
      </c>
      <c r="Q37" s="88">
        <f t="shared" si="7"/>
        <v>-1.0750946484214596E-2</v>
      </c>
      <c r="R37" s="88">
        <f t="shared" si="7"/>
        <v>-7.1881590027879083E-2</v>
      </c>
      <c r="S37" s="88">
        <f t="shared" si="7"/>
        <v>0</v>
      </c>
    </row>
    <row r="38" spans="1:19" ht="13.15" x14ac:dyDescent="0.4">
      <c r="A38" s="11" t="s">
        <v>93</v>
      </c>
      <c r="B38" s="16">
        <f t="shared" si="8"/>
        <v>9.8059790000000007</v>
      </c>
      <c r="C38" s="16">
        <f t="shared" si="10"/>
        <v>11.699138</v>
      </c>
      <c r="D38" s="16">
        <f t="shared" si="11"/>
        <v>9.6678829999999998</v>
      </c>
      <c r="E38" s="16">
        <f t="shared" si="12"/>
        <v>8.6071349999999995</v>
      </c>
      <c r="F38" s="16"/>
      <c r="G38" s="35">
        <f t="shared" si="1"/>
        <v>9.9450337500000003</v>
      </c>
      <c r="H38" s="36">
        <f t="shared" si="2"/>
        <v>486.06734093795171</v>
      </c>
      <c r="I38" s="34">
        <f t="shared" si="3"/>
        <v>0.11200464549713146</v>
      </c>
      <c r="J38" s="34">
        <f t="shared" si="4"/>
        <v>0.193</v>
      </c>
      <c r="K38" s="34">
        <f t="shared" si="5"/>
        <v>0.3109092515648828</v>
      </c>
      <c r="L38" s="16">
        <f>G38/'Clause 6'!$H$11</f>
        <v>9.9450337500000003</v>
      </c>
      <c r="M38">
        <f t="shared" si="6"/>
        <v>4</v>
      </c>
      <c r="O38" s="88">
        <f t="shared" si="9"/>
        <v>-1.3982330628088624E-2</v>
      </c>
      <c r="P38" s="88">
        <f t="shared" si="7"/>
        <v>0.17637991927377805</v>
      </c>
      <c r="Q38" s="88">
        <f t="shared" si="7"/>
        <v>-2.7868256354585119E-2</v>
      </c>
      <c r="R38" s="88">
        <f t="shared" si="7"/>
        <v>-0.13452933229110464</v>
      </c>
      <c r="S38" s="88">
        <f t="shared" si="7"/>
        <v>0</v>
      </c>
    </row>
    <row r="40" spans="1:19" x14ac:dyDescent="0.35">
      <c r="A40" t="s">
        <v>94</v>
      </c>
    </row>
    <row r="41" spans="1:19" ht="15" x14ac:dyDescent="0.5">
      <c r="A41" s="38"/>
      <c r="B41" s="39" t="s">
        <v>95</v>
      </c>
      <c r="C41" s="38"/>
      <c r="D41" s="40" t="s">
        <v>96</v>
      </c>
      <c r="E41" s="41"/>
      <c r="F41" s="41"/>
      <c r="G41" s="41"/>
      <c r="H41" s="42"/>
    </row>
    <row r="42" spans="1:19" ht="15" x14ac:dyDescent="0.5">
      <c r="A42" s="43" t="s">
        <v>97</v>
      </c>
      <c r="B42" s="44" t="s">
        <v>98</v>
      </c>
      <c r="C42" s="43" t="s">
        <v>99</v>
      </c>
      <c r="D42" s="43" t="s">
        <v>100</v>
      </c>
      <c r="E42" s="44" t="s">
        <v>101</v>
      </c>
      <c r="F42" s="44" t="s">
        <v>102</v>
      </c>
      <c r="G42" s="44" t="s">
        <v>103</v>
      </c>
      <c r="H42" s="45" t="s">
        <v>104</v>
      </c>
    </row>
    <row r="43" spans="1:19" x14ac:dyDescent="0.35">
      <c r="A43" s="46">
        <v>10000</v>
      </c>
      <c r="C43" s="46">
        <v>11</v>
      </c>
      <c r="D43" s="46">
        <v>7.8</v>
      </c>
      <c r="E43">
        <v>5.3</v>
      </c>
      <c r="F43">
        <v>4</v>
      </c>
      <c r="G43">
        <v>2.7</v>
      </c>
      <c r="H43" s="47">
        <v>1.8</v>
      </c>
    </row>
    <row r="44" spans="1:19" x14ac:dyDescent="0.35">
      <c r="A44" s="46">
        <v>5000</v>
      </c>
      <c r="B44">
        <v>10000</v>
      </c>
      <c r="C44" s="46">
        <v>11.3</v>
      </c>
      <c r="D44" s="46">
        <v>7.8</v>
      </c>
      <c r="E44">
        <v>5.3</v>
      </c>
      <c r="F44">
        <v>4</v>
      </c>
      <c r="G44">
        <v>2.7</v>
      </c>
      <c r="H44" s="47">
        <v>1.9</v>
      </c>
    </row>
    <row r="45" spans="1:19" x14ac:dyDescent="0.35">
      <c r="A45" s="46">
        <v>2000</v>
      </c>
      <c r="B45">
        <v>5000</v>
      </c>
      <c r="C45" s="46">
        <v>11.9</v>
      </c>
      <c r="D45" s="46">
        <v>7.9</v>
      </c>
      <c r="E45">
        <v>5.4</v>
      </c>
      <c r="F45">
        <v>4.0999999999999996</v>
      </c>
      <c r="G45">
        <v>2.9</v>
      </c>
      <c r="H45" s="47">
        <v>2.1</v>
      </c>
    </row>
    <row r="46" spans="1:19" x14ac:dyDescent="0.35">
      <c r="A46" s="46">
        <v>1000</v>
      </c>
      <c r="B46">
        <v>2000</v>
      </c>
      <c r="C46" s="46">
        <v>13.4</v>
      </c>
      <c r="D46" s="46">
        <v>8</v>
      </c>
      <c r="E46">
        <v>5.6</v>
      </c>
      <c r="F46">
        <v>4.3</v>
      </c>
      <c r="G46">
        <v>3.1</v>
      </c>
      <c r="H46" s="47">
        <v>2.4</v>
      </c>
    </row>
    <row r="47" spans="1:19" x14ac:dyDescent="0.35">
      <c r="A47" s="46">
        <v>500</v>
      </c>
      <c r="B47">
        <v>1000</v>
      </c>
      <c r="C47" s="46">
        <v>15.6</v>
      </c>
      <c r="D47" s="46">
        <v>8.1999999999999993</v>
      </c>
      <c r="E47">
        <v>5.9</v>
      </c>
      <c r="F47">
        <v>4.7</v>
      </c>
      <c r="G47">
        <v>3.6</v>
      </c>
      <c r="H47" s="47">
        <v>2.9</v>
      </c>
    </row>
    <row r="48" spans="1:19" x14ac:dyDescent="0.35">
      <c r="A48" s="46">
        <v>200</v>
      </c>
      <c r="B48">
        <v>500</v>
      </c>
      <c r="C48" s="46">
        <v>19.3</v>
      </c>
      <c r="D48" s="46">
        <v>8.9</v>
      </c>
      <c r="E48">
        <v>6.8</v>
      </c>
      <c r="F48">
        <v>5.7</v>
      </c>
      <c r="G48">
        <v>4.7</v>
      </c>
      <c r="H48" s="47">
        <v>4.0999999999999996</v>
      </c>
    </row>
    <row r="49" spans="1:16" x14ac:dyDescent="0.35">
      <c r="A49" s="48">
        <v>100</v>
      </c>
      <c r="B49" s="49">
        <v>200</v>
      </c>
      <c r="C49" s="48">
        <v>27.5</v>
      </c>
      <c r="D49" s="48">
        <v>10</v>
      </c>
      <c r="E49" s="49">
        <v>8</v>
      </c>
      <c r="F49" s="49">
        <v>7</v>
      </c>
      <c r="G49" s="49">
        <v>6.1</v>
      </c>
      <c r="H49" s="50">
        <v>5.5</v>
      </c>
    </row>
    <row r="51" spans="1:16" x14ac:dyDescent="0.35">
      <c r="A51" s="52">
        <f>'6 - B1'!A51</f>
        <v>0</v>
      </c>
      <c r="B51" s="53" t="str">
        <f>'6 - B1'!B51</f>
        <v>Portion 1</v>
      </c>
      <c r="C51" s="53" t="str">
        <f>'6 - B1'!C51</f>
        <v>Portion 2</v>
      </c>
      <c r="D51" s="53" t="str">
        <f>'6 - B1'!D51</f>
        <v>Portion 3</v>
      </c>
      <c r="E51" s="53" t="str">
        <f>'6 - B1'!E51</f>
        <v>Portion 4</v>
      </c>
      <c r="F51" s="53" t="str">
        <f>'6 - B1'!F51</f>
        <v>Portion 5</v>
      </c>
      <c r="G51" s="53" t="str">
        <f>'6 - B1'!G51</f>
        <v>Portion 1</v>
      </c>
      <c r="H51" s="53" t="str">
        <f>'6 - B1'!H51</f>
        <v>Portion 2</v>
      </c>
      <c r="I51" s="53" t="str">
        <f>'6 - B1'!I51</f>
        <v>Portion 3</v>
      </c>
      <c r="J51" s="53" t="str">
        <f>'6 - B1'!J51</f>
        <v>Portion 4</v>
      </c>
      <c r="K51" s="53" t="str">
        <f>'6 - B1'!K51</f>
        <v>Portion 5</v>
      </c>
      <c r="L51" s="53" t="str">
        <f>'6 - B1'!L51</f>
        <v>Portion 1</v>
      </c>
      <c r="M51" s="53" t="str">
        <f>'6 - B1'!M51</f>
        <v>Portion 2</v>
      </c>
      <c r="N51" s="53" t="str">
        <f>'6 - B1'!N51</f>
        <v>Portion 3</v>
      </c>
      <c r="O51" s="53" t="str">
        <f>'6 - B1'!O51</f>
        <v>Portion 4</v>
      </c>
      <c r="P51" s="53" t="str">
        <f>'6 - B1'!P51</f>
        <v>Portion 5</v>
      </c>
    </row>
    <row r="52" spans="1:16" x14ac:dyDescent="0.35">
      <c r="A52" s="54" t="str">
        <f>'6 - B1'!A52</f>
        <v>NAME\mL</v>
      </c>
      <c r="B52" s="52">
        <f>'6 - B1'!B52</f>
        <v>9.2982689999999995</v>
      </c>
      <c r="C52" s="52">
        <f>'6 - B1'!C52</f>
        <v>10.025062999999999</v>
      </c>
      <c r="D52" s="52">
        <f>'6 - B1'!D52</f>
        <v>9.9995159999999998</v>
      </c>
      <c r="E52" s="52">
        <f>'6 - B1'!E52</f>
        <v>10.093608</v>
      </c>
      <c r="F52" s="52">
        <f>'6 - B1'!F52</f>
        <v>10.072145000000001</v>
      </c>
      <c r="G52" s="52">
        <f>'6 - B1'!G52</f>
        <v>9.1780740000000005</v>
      </c>
      <c r="H52" s="52">
        <f>'6 - B1'!H52</f>
        <v>10.000737000000001</v>
      </c>
      <c r="I52" s="52">
        <f>'6 - B1'!I52</f>
        <v>9.9297850000000007</v>
      </c>
      <c r="J52" s="52">
        <f>'6 - B1'!J52</f>
        <v>9.9917110000000005</v>
      </c>
      <c r="K52" s="52">
        <f>'6 - B1'!K52</f>
        <v>10.085137</v>
      </c>
      <c r="L52" s="52">
        <f>'6 - B1'!L52</f>
        <v>9.1881740000000001</v>
      </c>
      <c r="M52" s="52">
        <f>'6 - B1'!M52</f>
        <v>10.021395</v>
      </c>
      <c r="N52" s="52">
        <f>'6 - B1'!N52</f>
        <v>9.8533419999999996</v>
      </c>
      <c r="O52" s="52">
        <f>'6 - B1'!O52</f>
        <v>9.9223119999999998</v>
      </c>
      <c r="P52" s="52">
        <f>'6 - B1'!P52</f>
        <v>10.022313</v>
      </c>
    </row>
    <row r="53" spans="1:16" x14ac:dyDescent="0.35">
      <c r="A53" s="54">
        <f>'6 - B1'!A53</f>
        <v>4</v>
      </c>
      <c r="B53" s="52">
        <f>'6 - B1'!B53</f>
        <v>12293.363281</v>
      </c>
      <c r="C53" s="52">
        <f>'6 - B1'!C53</f>
        <v>11936.982421999999</v>
      </c>
      <c r="D53" s="52">
        <f>'6 - B1'!D53</f>
        <v>12435.102539</v>
      </c>
      <c r="E53" s="52">
        <f>'6 - B1'!E53</f>
        <v>12680.004883</v>
      </c>
      <c r="F53" s="52">
        <f>'6 - B1'!F53</f>
        <v>12013.428711</v>
      </c>
      <c r="G53" s="52">
        <f>'6 - B1'!G53</f>
        <v>12376.561523</v>
      </c>
      <c r="H53" s="52">
        <f>'6 - B1'!H53</f>
        <v>13109.533203000001</v>
      </c>
      <c r="I53" s="52">
        <f>'6 - B1'!I53</f>
        <v>12607.422852</v>
      </c>
      <c r="J53" s="52">
        <f>'6 - B1'!J53</f>
        <v>13053.020508</v>
      </c>
      <c r="K53" s="52">
        <f>'6 - B1'!K53</f>
        <v>12753.420898</v>
      </c>
      <c r="L53" s="52">
        <f>'6 - B1'!L53</f>
        <v>12747.254883</v>
      </c>
      <c r="M53" s="52">
        <f>'6 - B1'!M53</f>
        <v>12418.929688</v>
      </c>
      <c r="N53" s="52">
        <f>'6 - B1'!N53</f>
        <v>12443.494140999999</v>
      </c>
      <c r="O53" s="52">
        <f>'6 - B1'!O53</f>
        <v>13101.583984000001</v>
      </c>
      <c r="P53" s="52">
        <f>'6 - B1'!P53</f>
        <v>13393.415039</v>
      </c>
    </row>
    <row r="54" spans="1:16" x14ac:dyDescent="0.35">
      <c r="A54" s="54">
        <f>'6 - B1'!A54</f>
        <v>5</v>
      </c>
      <c r="B54" s="52">
        <f>'6 - B1'!B54</f>
        <v>10675.857421999999</v>
      </c>
      <c r="C54" s="52">
        <f>'6 - B1'!C54</f>
        <v>10326.818359000001</v>
      </c>
      <c r="D54" s="52">
        <f>'6 - B1'!D54</f>
        <v>10813.324219</v>
      </c>
      <c r="E54" s="52">
        <f>'6 - B1'!E54</f>
        <v>11010.631836</v>
      </c>
      <c r="F54" s="52">
        <f>'6 - B1'!F54</f>
        <v>10415.854492</v>
      </c>
      <c r="G54" s="52">
        <f>'6 - B1'!G54</f>
        <v>10684.049805000001</v>
      </c>
      <c r="H54" s="52">
        <f>'6 - B1'!H54</f>
        <v>11383.260742</v>
      </c>
      <c r="I54" s="52">
        <f>'6 - B1'!I54</f>
        <v>10949.583008</v>
      </c>
      <c r="J54" s="52">
        <f>'6 - B1'!J54</f>
        <v>11326.588867</v>
      </c>
      <c r="K54" s="52">
        <f>'6 - B1'!K54</f>
        <v>11061.723633</v>
      </c>
      <c r="L54" s="52">
        <f>'6 - B1'!L54</f>
        <v>11044.196289</v>
      </c>
      <c r="M54" s="52">
        <f>'6 - B1'!M54</f>
        <v>10769.558594</v>
      </c>
      <c r="N54" s="52">
        <f>'6 - B1'!N54</f>
        <v>10830.132812</v>
      </c>
      <c r="O54" s="52">
        <f>'6 - B1'!O54</f>
        <v>11365.194336</v>
      </c>
      <c r="P54" s="52">
        <f>'6 - B1'!P54</f>
        <v>11605.903319999999</v>
      </c>
    </row>
    <row r="55" spans="1:16" x14ac:dyDescent="0.35">
      <c r="A55" s="54">
        <f>'6 - B1'!A55</f>
        <v>6</v>
      </c>
      <c r="B55" s="52">
        <f>'6 - B1'!B55</f>
        <v>9274.4140619999998</v>
      </c>
      <c r="C55" s="52">
        <f>'6 - B1'!C55</f>
        <v>8977.7998050000006</v>
      </c>
      <c r="D55" s="52">
        <f>'6 - B1'!D55</f>
        <v>9398.1552730000003</v>
      </c>
      <c r="E55" s="52">
        <f>'6 - B1'!E55</f>
        <v>9592.0107420000004</v>
      </c>
      <c r="F55" s="52">
        <f>'6 - B1'!F55</f>
        <v>9060.1347659999992</v>
      </c>
      <c r="G55" s="52">
        <f>'6 - B1'!G55</f>
        <v>9292.2548829999996</v>
      </c>
      <c r="H55" s="52">
        <f>'6 - B1'!H55</f>
        <v>9891.4707030000009</v>
      </c>
      <c r="I55" s="52">
        <f>'6 - B1'!I55</f>
        <v>9535.3525389999995</v>
      </c>
      <c r="J55" s="52">
        <f>'6 - B1'!J55</f>
        <v>9841.6582030000009</v>
      </c>
      <c r="K55" s="52">
        <f>'6 - B1'!K55</f>
        <v>9605.1240230000003</v>
      </c>
      <c r="L55" s="52">
        <f>'6 - B1'!L55</f>
        <v>9600.4931639999995</v>
      </c>
      <c r="M55" s="52">
        <f>'6 - B1'!M55</f>
        <v>9377.6367190000001</v>
      </c>
      <c r="N55" s="52">
        <f>'6 - B1'!N55</f>
        <v>9436.5947269999997</v>
      </c>
      <c r="O55" s="52">
        <f>'6 - B1'!O55</f>
        <v>9886.3046880000002</v>
      </c>
      <c r="P55" s="52">
        <f>'6 - B1'!P55</f>
        <v>10080.90625</v>
      </c>
    </row>
    <row r="56" spans="1:16" x14ac:dyDescent="0.35">
      <c r="A56" s="54">
        <f>'6 - B1'!A56</f>
        <v>7</v>
      </c>
      <c r="B56" s="52">
        <f>'6 - B1'!B56</f>
        <v>8048.4873049999997</v>
      </c>
      <c r="C56" s="52">
        <f>'6 - B1'!C56</f>
        <v>7795.7617190000001</v>
      </c>
      <c r="D56" s="52">
        <f>'6 - B1'!D56</f>
        <v>8178.1962890000004</v>
      </c>
      <c r="E56" s="52">
        <f>'6 - B1'!E56</f>
        <v>8328.5380860000005</v>
      </c>
      <c r="F56" s="52">
        <f>'6 - B1'!F56</f>
        <v>7871.8085940000001</v>
      </c>
      <c r="G56" s="52">
        <f>'6 - B1'!G56</f>
        <v>8072.3911129999997</v>
      </c>
      <c r="H56" s="52">
        <f>'6 - B1'!H56</f>
        <v>8580.4677730000003</v>
      </c>
      <c r="I56" s="52">
        <f>'6 - B1'!I56</f>
        <v>8314.7822269999997</v>
      </c>
      <c r="J56" s="52">
        <f>'6 - B1'!J56</f>
        <v>8553.390625</v>
      </c>
      <c r="K56" s="52">
        <f>'6 - B1'!K56</f>
        <v>8332.3603519999997</v>
      </c>
      <c r="L56" s="52">
        <f>'6 - B1'!L56</f>
        <v>8312.7509769999997</v>
      </c>
      <c r="M56" s="52">
        <f>'6 - B1'!M56</f>
        <v>8154.9526370000003</v>
      </c>
      <c r="N56" s="52">
        <f>'6 - B1'!N56</f>
        <v>8201.3798829999996</v>
      </c>
      <c r="O56" s="52">
        <f>'6 - B1'!O56</f>
        <v>8594.46875</v>
      </c>
      <c r="P56" s="52">
        <f>'6 - B1'!P56</f>
        <v>8734.3105469999991</v>
      </c>
    </row>
    <row r="57" spans="1:16" x14ac:dyDescent="0.35">
      <c r="A57" s="54">
        <f>'6 - B1'!A57</f>
        <v>8</v>
      </c>
      <c r="B57" s="52">
        <f>'6 - B1'!B57</f>
        <v>6978.7182620000003</v>
      </c>
      <c r="C57" s="52">
        <f>'6 - B1'!C57</f>
        <v>6745.1948240000002</v>
      </c>
      <c r="D57" s="52">
        <f>'6 - B1'!D57</f>
        <v>7056.9418949999999</v>
      </c>
      <c r="E57" s="52">
        <f>'6 - B1'!E57</f>
        <v>7210.9003910000001</v>
      </c>
      <c r="F57" s="52">
        <f>'6 - B1'!F57</f>
        <v>6819.1030270000001</v>
      </c>
      <c r="G57" s="52">
        <f>'6 - B1'!G57</f>
        <v>6974.5571289999998</v>
      </c>
      <c r="H57" s="52">
        <f>'6 - B1'!H57</f>
        <v>7415.7534180000002</v>
      </c>
      <c r="I57" s="52">
        <f>'6 - B1'!I57</f>
        <v>7206.7021480000003</v>
      </c>
      <c r="J57" s="52">
        <f>'6 - B1'!J57</f>
        <v>7405.1381840000004</v>
      </c>
      <c r="K57" s="52">
        <f>'6 - B1'!K57</f>
        <v>7199.3071289999998</v>
      </c>
      <c r="L57" s="52">
        <f>'6 - B1'!L57</f>
        <v>7191.5268550000001</v>
      </c>
      <c r="M57" s="52">
        <f>'6 - B1'!M57</f>
        <v>7057.001953</v>
      </c>
      <c r="N57" s="52">
        <f>'6 - B1'!N57</f>
        <v>7108.8569340000004</v>
      </c>
      <c r="O57" s="52">
        <f>'6 - B1'!O57</f>
        <v>7438.2866210000002</v>
      </c>
      <c r="P57" s="52">
        <f>'6 - B1'!P57</f>
        <v>7536.4838870000003</v>
      </c>
    </row>
    <row r="58" spans="1:16" x14ac:dyDescent="0.35">
      <c r="A58" s="54">
        <f>'6 - B1'!A58</f>
        <v>9</v>
      </c>
      <c r="B58" s="52">
        <f>'6 - B1'!B58</f>
        <v>6031.6601559999999</v>
      </c>
      <c r="C58" s="52">
        <f>'6 - B1'!C58</f>
        <v>5811.4350590000004</v>
      </c>
      <c r="D58" s="52">
        <f>'6 - B1'!D58</f>
        <v>6099.095703</v>
      </c>
      <c r="E58" s="52">
        <f>'6 - B1'!E58</f>
        <v>6215.0224609999996</v>
      </c>
      <c r="F58" s="52">
        <f>'6 - B1'!F58</f>
        <v>5881.9643550000001</v>
      </c>
      <c r="G58" s="52">
        <f>'6 - B1'!G58</f>
        <v>6027.0815430000002</v>
      </c>
      <c r="H58" s="52">
        <f>'6 - B1'!H58</f>
        <v>6400.1284180000002</v>
      </c>
      <c r="I58" s="52">
        <f>'6 - B1'!I58</f>
        <v>6222.189453</v>
      </c>
      <c r="J58" s="52">
        <f>'6 - B1'!J58</f>
        <v>6394.8007809999999</v>
      </c>
      <c r="K58" s="52">
        <f>'6 - B1'!K58</f>
        <v>6212.0126950000003</v>
      </c>
      <c r="L58" s="52">
        <f>'6 - B1'!L58</f>
        <v>6215.0541990000002</v>
      </c>
      <c r="M58" s="52">
        <f>'6 - B1'!M58</f>
        <v>6112.9213870000003</v>
      </c>
      <c r="N58" s="52">
        <f>'6 - B1'!N58</f>
        <v>6135.2788090000004</v>
      </c>
      <c r="O58" s="52">
        <f>'6 - B1'!O58</f>
        <v>6427.5341799999997</v>
      </c>
      <c r="P58" s="52">
        <f>'6 - B1'!P58</f>
        <v>6493.9101559999999</v>
      </c>
    </row>
    <row r="59" spans="1:16" x14ac:dyDescent="0.35">
      <c r="A59" s="54">
        <f>'6 - B1'!A59</f>
        <v>10</v>
      </c>
      <c r="B59" s="52">
        <f>'6 - B1'!B59</f>
        <v>5188.169922</v>
      </c>
      <c r="C59" s="52">
        <f>'6 - B1'!C59</f>
        <v>4980.9165039999998</v>
      </c>
      <c r="D59" s="52">
        <f>'6 - B1'!D59</f>
        <v>5221.953125</v>
      </c>
      <c r="E59" s="52">
        <f>'6 - B1'!E59</f>
        <v>5322.0810549999997</v>
      </c>
      <c r="F59" s="52">
        <f>'6 - B1'!F59</f>
        <v>5041.5278319999998</v>
      </c>
      <c r="G59" s="52">
        <f>'6 - B1'!G59</f>
        <v>5165.7895509999998</v>
      </c>
      <c r="H59" s="52">
        <f>'6 - B1'!H59</f>
        <v>5500.8945309999999</v>
      </c>
      <c r="I59" s="52">
        <f>'6 - B1'!I59</f>
        <v>5332.4418949999999</v>
      </c>
      <c r="J59" s="52">
        <f>'6 - B1'!J59</f>
        <v>5479.7421880000002</v>
      </c>
      <c r="K59" s="52">
        <f>'6 - B1'!K59</f>
        <v>5326.2539059999999</v>
      </c>
      <c r="L59" s="52">
        <f>'6 - B1'!L59</f>
        <v>5324.779297</v>
      </c>
      <c r="M59" s="52">
        <f>'6 - B1'!M59</f>
        <v>5253.1611329999996</v>
      </c>
      <c r="N59" s="52">
        <f>'6 - B1'!N59</f>
        <v>5265.3203119999998</v>
      </c>
      <c r="O59" s="52">
        <f>'6 - B1'!O59</f>
        <v>5499.9277339999999</v>
      </c>
      <c r="P59" s="52">
        <f>'6 - B1'!P59</f>
        <v>5572.0668949999999</v>
      </c>
    </row>
    <row r="60" spans="1:16" x14ac:dyDescent="0.35">
      <c r="A60" s="54">
        <f>'6 - B1'!A60</f>
        <v>11</v>
      </c>
      <c r="B60" s="52">
        <f>'6 - B1'!B60</f>
        <v>4412.0039059999999</v>
      </c>
      <c r="C60" s="52">
        <f>'6 - B1'!C60</f>
        <v>4230.7963870000003</v>
      </c>
      <c r="D60" s="52">
        <f>'6 - B1'!D60</f>
        <v>4430.5146480000003</v>
      </c>
      <c r="E60" s="52">
        <f>'6 - B1'!E60</f>
        <v>4511.6669920000004</v>
      </c>
      <c r="F60" s="52">
        <f>'6 - B1'!F60</f>
        <v>4270.8876950000003</v>
      </c>
      <c r="G60" s="52">
        <f>'6 - B1'!G60</f>
        <v>4402.6665039999998</v>
      </c>
      <c r="H60" s="52">
        <f>'6 - B1'!H60</f>
        <v>4689.654297</v>
      </c>
      <c r="I60" s="52">
        <f>'6 - B1'!I60</f>
        <v>4519.7353519999997</v>
      </c>
      <c r="J60" s="52">
        <f>'6 - B1'!J60</f>
        <v>4647.3525390000004</v>
      </c>
      <c r="K60" s="52">
        <f>'6 - B1'!K60</f>
        <v>4507.9208980000003</v>
      </c>
      <c r="L60" s="52">
        <f>'6 - B1'!L60</f>
        <v>4529.7358400000003</v>
      </c>
      <c r="M60" s="52">
        <f>'6 - B1'!M60</f>
        <v>4462.5522460000002</v>
      </c>
      <c r="N60" s="52">
        <f>'6 - B1'!N60</f>
        <v>4476.4506840000004</v>
      </c>
      <c r="O60" s="52">
        <f>'6 - B1'!O60</f>
        <v>4672.8022460000002</v>
      </c>
      <c r="P60" s="52">
        <f>'6 - B1'!P60</f>
        <v>4718.6713870000003</v>
      </c>
    </row>
    <row r="61" spans="1:16" x14ac:dyDescent="0.35">
      <c r="A61" s="54">
        <f>'6 - B1'!A61</f>
        <v>12</v>
      </c>
      <c r="B61" s="52">
        <f>'6 - B1'!B61</f>
        <v>3721.3376459999999</v>
      </c>
      <c r="C61" s="52">
        <f>'6 - B1'!C61</f>
        <v>3556.2871089999999</v>
      </c>
      <c r="D61" s="52">
        <f>'6 - B1'!D61</f>
        <v>3713.179932</v>
      </c>
      <c r="E61" s="52">
        <f>'6 - B1'!E61</f>
        <v>3780.5114749999998</v>
      </c>
      <c r="F61" s="52">
        <f>'6 - B1'!F61</f>
        <v>3579.5749510000001</v>
      </c>
      <c r="G61" s="52">
        <f>'6 - B1'!G61</f>
        <v>3697.3989259999998</v>
      </c>
      <c r="H61" s="52">
        <f>'6 - B1'!H61</f>
        <v>3935.6098630000001</v>
      </c>
      <c r="I61" s="52">
        <f>'6 - B1'!I61</f>
        <v>3789.508057</v>
      </c>
      <c r="J61" s="52">
        <f>'6 - B1'!J61</f>
        <v>3900.233154</v>
      </c>
      <c r="K61" s="52">
        <f>'6 - B1'!K61</f>
        <v>3779.6213379999999</v>
      </c>
      <c r="L61" s="52">
        <f>'6 - B1'!L61</f>
        <v>3825.1342770000001</v>
      </c>
      <c r="M61" s="52">
        <f>'6 - B1'!M61</f>
        <v>3758.5585940000001</v>
      </c>
      <c r="N61" s="52">
        <f>'6 - B1'!N61</f>
        <v>3761.1604000000002</v>
      </c>
      <c r="O61" s="52">
        <f>'6 - B1'!O61</f>
        <v>3933.3576659999999</v>
      </c>
      <c r="P61" s="52">
        <f>'6 - B1'!P61</f>
        <v>3955.5739749999998</v>
      </c>
    </row>
    <row r="62" spans="1:16" x14ac:dyDescent="0.35">
      <c r="A62" s="54">
        <f>'6 - B1'!A62</f>
        <v>13</v>
      </c>
      <c r="B62" s="52">
        <f>'6 - B1'!B62</f>
        <v>3068.743164</v>
      </c>
      <c r="C62" s="52">
        <f>'6 - B1'!C62</f>
        <v>2932.2509770000001</v>
      </c>
      <c r="D62" s="52">
        <f>'6 - B1'!D62</f>
        <v>3076.9489749999998</v>
      </c>
      <c r="E62" s="52">
        <f>'6 - B1'!E62</f>
        <v>3129.9016109999998</v>
      </c>
      <c r="F62" s="52">
        <f>'6 - B1'!F62</f>
        <v>2966.498047</v>
      </c>
      <c r="G62" s="52">
        <f>'6 - B1'!G62</f>
        <v>3065.4580080000001</v>
      </c>
      <c r="H62" s="52">
        <f>'6 - B1'!H62</f>
        <v>3256.5598140000002</v>
      </c>
      <c r="I62" s="52">
        <f>'6 - B1'!I62</f>
        <v>3142.5656739999999</v>
      </c>
      <c r="J62" s="52">
        <f>'6 - B1'!J62</f>
        <v>3229.376953</v>
      </c>
      <c r="K62" s="52">
        <f>'6 - B1'!K62</f>
        <v>3134.3151859999998</v>
      </c>
      <c r="L62" s="52">
        <f>'6 - B1'!L62</f>
        <v>3167.767578</v>
      </c>
      <c r="M62" s="52">
        <f>'6 - B1'!M62</f>
        <v>3123.4174800000001</v>
      </c>
      <c r="N62" s="52">
        <f>'6 - B1'!N62</f>
        <v>3123.7116700000001</v>
      </c>
      <c r="O62" s="52">
        <f>'6 - B1'!O62</f>
        <v>3267.383789</v>
      </c>
      <c r="P62" s="52">
        <f>'6 - B1'!P62</f>
        <v>3277.8859859999998</v>
      </c>
    </row>
    <row r="63" spans="1:16" x14ac:dyDescent="0.35">
      <c r="A63" s="54">
        <f>'6 - B1'!A63</f>
        <v>14</v>
      </c>
      <c r="B63" s="52">
        <f>'6 - B1'!B63</f>
        <v>2504.2294919999999</v>
      </c>
      <c r="C63" s="52">
        <f>'6 - B1'!C63</f>
        <v>2394</v>
      </c>
      <c r="D63" s="52">
        <f>'6 - B1'!D63</f>
        <v>2505.6213379999999</v>
      </c>
      <c r="E63" s="52">
        <f>'6 - B1'!E63</f>
        <v>2545.1750489999999</v>
      </c>
      <c r="F63" s="52">
        <f>'6 - B1'!F63</f>
        <v>2416.1684570000002</v>
      </c>
      <c r="G63" s="52">
        <f>'6 - B1'!G63</f>
        <v>2487.123047</v>
      </c>
      <c r="H63" s="52">
        <f>'6 - B1'!H63</f>
        <v>2648.3046880000002</v>
      </c>
      <c r="I63" s="52">
        <f>'6 - B1'!I63</f>
        <v>2555.443115</v>
      </c>
      <c r="J63" s="52">
        <f>'6 - B1'!J63</f>
        <v>2620.772461</v>
      </c>
      <c r="K63" s="52">
        <f>'6 - B1'!K63</f>
        <v>2565.9541020000001</v>
      </c>
      <c r="L63" s="52">
        <f>'6 - B1'!L63</f>
        <v>2580.3820799999999</v>
      </c>
      <c r="M63" s="52">
        <f>'6 - B1'!M63</f>
        <v>2547.649414</v>
      </c>
      <c r="N63" s="52">
        <f>'6 - B1'!N63</f>
        <v>2549.3889159999999</v>
      </c>
      <c r="O63" s="52">
        <f>'6 - B1'!O63</f>
        <v>2666.7172850000002</v>
      </c>
      <c r="P63" s="52">
        <f>'6 - B1'!P63</f>
        <v>2657.669922</v>
      </c>
    </row>
    <row r="64" spans="1:16" x14ac:dyDescent="0.35">
      <c r="A64" s="54">
        <f>'6 - B1'!A64</f>
        <v>15</v>
      </c>
      <c r="B64" s="52">
        <f>'6 - B1'!B64</f>
        <v>2008.5457759999999</v>
      </c>
      <c r="C64" s="52">
        <f>'6 - B1'!C64</f>
        <v>1922.681274</v>
      </c>
      <c r="D64" s="52">
        <f>'6 - B1'!D64</f>
        <v>2002.7969969999999</v>
      </c>
      <c r="E64" s="52">
        <f>'6 - B1'!E64</f>
        <v>2043.768677</v>
      </c>
      <c r="F64" s="52">
        <f>'6 - B1'!F64</f>
        <v>1926.9975589999999</v>
      </c>
      <c r="G64" s="52">
        <f>'6 - B1'!G64</f>
        <v>1997.8048100000001</v>
      </c>
      <c r="H64" s="52">
        <f>'6 - B1'!H64</f>
        <v>2128.843018</v>
      </c>
      <c r="I64" s="52">
        <f>'6 - B1'!I64</f>
        <v>2049.389893</v>
      </c>
      <c r="J64" s="52">
        <f>'6 - B1'!J64</f>
        <v>2102.6430660000001</v>
      </c>
      <c r="K64" s="52">
        <f>'6 - B1'!K64</f>
        <v>2062.936768</v>
      </c>
      <c r="L64" s="52">
        <f>'6 - B1'!L64</f>
        <v>2072.1201169999999</v>
      </c>
      <c r="M64" s="52">
        <f>'6 - B1'!M64</f>
        <v>2046.820923</v>
      </c>
      <c r="N64" s="52">
        <f>'6 - B1'!N64</f>
        <v>2036.263428</v>
      </c>
      <c r="O64" s="52">
        <f>'6 - B1'!O64</f>
        <v>2133.1721189999998</v>
      </c>
      <c r="P64" s="52">
        <f>'6 - B1'!P64</f>
        <v>2133.539307</v>
      </c>
    </row>
    <row r="65" spans="1:16" x14ac:dyDescent="0.35">
      <c r="A65" s="54">
        <f>'6 - B1'!A65</f>
        <v>16</v>
      </c>
      <c r="B65" s="52">
        <f>'6 - B1'!B65</f>
        <v>1571.690308</v>
      </c>
      <c r="C65" s="52">
        <f>'6 - B1'!C65</f>
        <v>1511.9107670000001</v>
      </c>
      <c r="D65" s="52">
        <f>'6 - B1'!D65</f>
        <v>1580.776611</v>
      </c>
      <c r="E65" s="52">
        <f>'6 - B1'!E65</f>
        <v>1605.2733149999999</v>
      </c>
      <c r="F65" s="52">
        <f>'6 - B1'!F65</f>
        <v>1514.2751459999999</v>
      </c>
      <c r="G65" s="52">
        <f>'6 - B1'!G65</f>
        <v>1564.816284</v>
      </c>
      <c r="H65" s="52">
        <f>'6 - B1'!H65</f>
        <v>1677.3763429999999</v>
      </c>
      <c r="I65" s="52">
        <f>'6 - B1'!I65</f>
        <v>1609.601807</v>
      </c>
      <c r="J65" s="52">
        <f>'6 - B1'!J65</f>
        <v>1653.2705080000001</v>
      </c>
      <c r="K65" s="52">
        <f>'6 - B1'!K65</f>
        <v>1622.089966</v>
      </c>
      <c r="L65" s="52">
        <f>'6 - B1'!L65</f>
        <v>1632.0979</v>
      </c>
      <c r="M65" s="52">
        <f>'6 - B1'!M65</f>
        <v>1614.2463379999999</v>
      </c>
      <c r="N65" s="52">
        <f>'6 - B1'!N65</f>
        <v>1603.7198490000001</v>
      </c>
      <c r="O65" s="52">
        <f>'6 - B1'!O65</f>
        <v>1670.4776609999999</v>
      </c>
      <c r="P65" s="52">
        <f>'6 - B1'!P65</f>
        <v>1683.144409</v>
      </c>
    </row>
    <row r="66" spans="1:16" x14ac:dyDescent="0.35">
      <c r="A66" s="54">
        <f>'6 - B1'!A66</f>
        <v>17</v>
      </c>
      <c r="B66" s="52">
        <f>'6 - B1'!B66</f>
        <v>1217.9686280000001</v>
      </c>
      <c r="C66" s="52">
        <f>'6 - B1'!C66</f>
        <v>1174.755737</v>
      </c>
      <c r="D66" s="52">
        <f>'6 - B1'!D66</f>
        <v>1223.959351</v>
      </c>
      <c r="E66" s="52">
        <f>'6 - B1'!E66</f>
        <v>1236.7232670000001</v>
      </c>
      <c r="F66" s="52">
        <f>'6 - B1'!F66</f>
        <v>1169.9592290000001</v>
      </c>
      <c r="G66" s="52">
        <f>'6 - B1'!G66</f>
        <v>1215.069702</v>
      </c>
      <c r="H66" s="52">
        <f>'6 - B1'!H66</f>
        <v>1293.1046140000001</v>
      </c>
      <c r="I66" s="52">
        <f>'6 - B1'!I66</f>
        <v>1242.524414</v>
      </c>
      <c r="J66" s="52">
        <f>'6 - B1'!J66</f>
        <v>1282.162842</v>
      </c>
      <c r="K66" s="52">
        <f>'6 - B1'!K66</f>
        <v>1259.873779</v>
      </c>
      <c r="L66" s="52">
        <f>'6 - B1'!L66</f>
        <v>1265.322144</v>
      </c>
      <c r="M66" s="52">
        <f>'6 - B1'!M66</f>
        <v>1252.7198490000001</v>
      </c>
      <c r="N66" s="52">
        <f>'6 - B1'!N66</f>
        <v>1250.6416019999999</v>
      </c>
      <c r="O66" s="52">
        <f>'6 - B1'!O66</f>
        <v>1293.0454099999999</v>
      </c>
      <c r="P66" s="52">
        <f>'6 - B1'!P66</f>
        <v>1294.0126949999999</v>
      </c>
    </row>
    <row r="67" spans="1:16" x14ac:dyDescent="0.35">
      <c r="A67" s="54">
        <f>'6 - B1'!A67</f>
        <v>18</v>
      </c>
      <c r="B67" s="52">
        <f>'6 - B1'!B67</f>
        <v>934.58252000000005</v>
      </c>
      <c r="C67" s="52">
        <f>'6 - B1'!C67</f>
        <v>893.56048599999997</v>
      </c>
      <c r="D67" s="52">
        <f>'6 - B1'!D67</f>
        <v>936.44537400000002</v>
      </c>
      <c r="E67" s="52">
        <f>'6 - B1'!E67</f>
        <v>952.48400900000001</v>
      </c>
      <c r="F67" s="52">
        <f>'6 - B1'!F67</f>
        <v>898.12048300000004</v>
      </c>
      <c r="G67" s="52">
        <f>'6 - B1'!G67</f>
        <v>933.52917500000001</v>
      </c>
      <c r="H67" s="52">
        <f>'6 - B1'!H67</f>
        <v>985.62731900000006</v>
      </c>
      <c r="I67" s="52">
        <f>'6 - B1'!I67</f>
        <v>958.53033400000004</v>
      </c>
      <c r="J67" s="52">
        <f>'6 - B1'!J67</f>
        <v>979.41186500000003</v>
      </c>
      <c r="K67" s="52">
        <f>'6 - B1'!K67</f>
        <v>963.39788799999997</v>
      </c>
      <c r="L67" s="52">
        <f>'6 - B1'!L67</f>
        <v>977.23443599999996</v>
      </c>
      <c r="M67" s="52">
        <f>'6 - B1'!M67</f>
        <v>966.73168899999996</v>
      </c>
      <c r="N67" s="52">
        <f>'6 - B1'!N67</f>
        <v>959.978882</v>
      </c>
      <c r="O67" s="52">
        <f>'6 - B1'!O67</f>
        <v>990.19262700000002</v>
      </c>
      <c r="P67" s="52">
        <f>'6 - B1'!P67</f>
        <v>989.19281000000001</v>
      </c>
    </row>
    <row r="68" spans="1:16" x14ac:dyDescent="0.35">
      <c r="A68" s="54">
        <f>'6 - B1'!A68</f>
        <v>19</v>
      </c>
      <c r="B68" s="52">
        <f>'6 - B1'!B68</f>
        <v>721.63964799999997</v>
      </c>
      <c r="C68" s="52">
        <f>'6 - B1'!C68</f>
        <v>677.50201400000003</v>
      </c>
      <c r="D68" s="52">
        <f>'6 - B1'!D68</f>
        <v>711.53448500000002</v>
      </c>
      <c r="E68" s="52">
        <f>'6 - B1'!E68</f>
        <v>727.19287099999997</v>
      </c>
      <c r="F68" s="52">
        <f>'6 - B1'!F68</f>
        <v>678.60418700000002</v>
      </c>
      <c r="G68" s="52">
        <f>'6 - B1'!G68</f>
        <v>710.17077600000005</v>
      </c>
      <c r="H68" s="52">
        <f>'6 - B1'!H68</f>
        <v>754.54437299999995</v>
      </c>
      <c r="I68" s="52">
        <f>'6 - B1'!I68</f>
        <v>730.42871100000002</v>
      </c>
      <c r="J68" s="52">
        <f>'6 - B1'!J68</f>
        <v>744.71734600000002</v>
      </c>
      <c r="K68" s="52">
        <f>'6 - B1'!K68</f>
        <v>735.04205300000001</v>
      </c>
      <c r="L68" s="52">
        <f>'6 - B1'!L68</f>
        <v>749.332764</v>
      </c>
      <c r="M68" s="52">
        <f>'6 - B1'!M68</f>
        <v>742.71099900000002</v>
      </c>
      <c r="N68" s="52">
        <f>'6 - B1'!N68</f>
        <v>733.65972899999997</v>
      </c>
      <c r="O68" s="52">
        <f>'6 - B1'!O68</f>
        <v>755.569885</v>
      </c>
      <c r="P68" s="52">
        <f>'6 - B1'!P68</f>
        <v>752.82025099999998</v>
      </c>
    </row>
    <row r="69" spans="1:16" x14ac:dyDescent="0.35">
      <c r="A69" s="54">
        <f>'6 - B1'!A69</f>
        <v>20</v>
      </c>
      <c r="B69" s="52">
        <f>'6 - B1'!B69</f>
        <v>549.02691700000003</v>
      </c>
      <c r="C69" s="52">
        <f>'6 - B1'!C69</f>
        <v>514.90948500000002</v>
      </c>
      <c r="D69" s="52">
        <f>'6 - B1'!D69</f>
        <v>540.92620799999997</v>
      </c>
      <c r="E69" s="52">
        <f>'6 - B1'!E69</f>
        <v>557.87780799999996</v>
      </c>
      <c r="F69" s="52">
        <f>'6 - B1'!F69</f>
        <v>517.06957999999997</v>
      </c>
      <c r="G69" s="52">
        <f>'6 - B1'!G69</f>
        <v>541.07214399999998</v>
      </c>
      <c r="H69" s="52">
        <f>'6 - B1'!H69</f>
        <v>570.75793499999997</v>
      </c>
      <c r="I69" s="52">
        <f>'6 - B1'!I69</f>
        <v>554.99694799999997</v>
      </c>
      <c r="J69" s="52">
        <f>'6 - B1'!J69</f>
        <v>566.16931199999999</v>
      </c>
      <c r="K69" s="52">
        <f>'6 - B1'!K69</f>
        <v>560.32952899999998</v>
      </c>
      <c r="L69" s="52">
        <f>'6 - B1'!L69</f>
        <v>572.58380099999999</v>
      </c>
      <c r="M69" s="52">
        <f>'6 - B1'!M69</f>
        <v>568.28417999999999</v>
      </c>
      <c r="N69" s="52">
        <f>'6 - B1'!N69</f>
        <v>564.47851600000001</v>
      </c>
      <c r="O69" s="52">
        <f>'6 - B1'!O69</f>
        <v>579.300476</v>
      </c>
      <c r="P69" s="52">
        <f>'6 - B1'!P69</f>
        <v>571.32519500000001</v>
      </c>
    </row>
    <row r="70" spans="1:16" x14ac:dyDescent="0.35">
      <c r="A70" s="54">
        <f>'6 - B1'!A70</f>
        <v>21</v>
      </c>
      <c r="B70" s="52">
        <f>'6 - B1'!B70</f>
        <v>419.970642</v>
      </c>
      <c r="C70" s="52">
        <f>'6 - B1'!C70</f>
        <v>397.40399200000002</v>
      </c>
      <c r="D70" s="52">
        <f>'6 - B1'!D70</f>
        <v>415.32012900000001</v>
      </c>
      <c r="E70" s="52">
        <f>'6 - B1'!E70</f>
        <v>428.88528400000001</v>
      </c>
      <c r="F70" s="52">
        <f>'6 - B1'!F70</f>
        <v>393.75921599999998</v>
      </c>
      <c r="G70" s="52">
        <f>'6 - B1'!G70</f>
        <v>413.37649499999998</v>
      </c>
      <c r="H70" s="52">
        <f>'6 - B1'!H70</f>
        <v>438.96765099999999</v>
      </c>
      <c r="I70" s="52">
        <f>'6 - B1'!I70</f>
        <v>425.99111900000003</v>
      </c>
      <c r="J70" s="52">
        <f>'6 - B1'!J70</f>
        <v>431.05731200000002</v>
      </c>
      <c r="K70" s="52">
        <f>'6 - B1'!K70</f>
        <v>425.37844799999999</v>
      </c>
      <c r="L70" s="52">
        <f>'6 - B1'!L70</f>
        <v>441.21933000000001</v>
      </c>
      <c r="M70" s="52">
        <f>'6 - B1'!M70</f>
        <v>436.56597900000003</v>
      </c>
      <c r="N70" s="52">
        <f>'6 - B1'!N70</f>
        <v>430.61532599999998</v>
      </c>
      <c r="O70" s="52">
        <f>'6 - B1'!O70</f>
        <v>447.67791699999998</v>
      </c>
      <c r="P70" s="52">
        <f>'6 - B1'!P70</f>
        <v>435.02932700000002</v>
      </c>
    </row>
    <row r="71" spans="1:16" x14ac:dyDescent="0.35">
      <c r="A71" s="54">
        <f>'6 - B1'!A71</f>
        <v>22</v>
      </c>
      <c r="B71" s="52">
        <f>'6 - B1'!B71</f>
        <v>320.70483400000001</v>
      </c>
      <c r="C71" s="52">
        <f>'6 - B1'!C71</f>
        <v>306.93075599999997</v>
      </c>
      <c r="D71" s="52">
        <f>'6 - B1'!D71</f>
        <v>320.81555200000003</v>
      </c>
      <c r="E71" s="52">
        <f>'6 - B1'!E71</f>
        <v>332.983002</v>
      </c>
      <c r="F71" s="52">
        <f>'6 - B1'!F71</f>
        <v>305.39669800000001</v>
      </c>
      <c r="G71" s="52">
        <f>'6 - B1'!G71</f>
        <v>319.89282200000002</v>
      </c>
      <c r="H71" s="52">
        <f>'6 - B1'!H71</f>
        <v>336.27520800000002</v>
      </c>
      <c r="I71" s="52">
        <f>'6 - B1'!I71</f>
        <v>322.564911</v>
      </c>
      <c r="J71" s="52">
        <f>'6 - B1'!J71</f>
        <v>327.67163099999999</v>
      </c>
      <c r="K71" s="52">
        <f>'6 - B1'!K71</f>
        <v>326.12347399999999</v>
      </c>
      <c r="L71" s="52">
        <f>'6 - B1'!L71</f>
        <v>338.69622800000002</v>
      </c>
      <c r="M71" s="52">
        <f>'6 - B1'!M71</f>
        <v>332.08950800000002</v>
      </c>
      <c r="N71" s="52">
        <f>'6 - B1'!N71</f>
        <v>333.38943499999999</v>
      </c>
      <c r="O71" s="52">
        <f>'6 - B1'!O71</f>
        <v>346.29025300000001</v>
      </c>
      <c r="P71" s="52">
        <f>'6 - B1'!P71</f>
        <v>332.458191</v>
      </c>
    </row>
    <row r="72" spans="1:16" x14ac:dyDescent="0.35">
      <c r="A72" s="54">
        <f>'6 - B1'!A72</f>
        <v>23</v>
      </c>
      <c r="B72" s="52">
        <f>'6 - B1'!B72</f>
        <v>249.508804</v>
      </c>
      <c r="C72" s="52">
        <f>'6 - B1'!C72</f>
        <v>234.51225299999999</v>
      </c>
      <c r="D72" s="52">
        <f>'6 - B1'!D72</f>
        <v>251.31218000000001</v>
      </c>
      <c r="E72" s="52">
        <f>'6 - B1'!E72</f>
        <v>259.27301</v>
      </c>
      <c r="F72" s="52">
        <f>'6 - B1'!F72</f>
        <v>234.11099200000001</v>
      </c>
      <c r="G72" s="52">
        <f>'6 - B1'!G72</f>
        <v>243.73306299999999</v>
      </c>
      <c r="H72" s="52">
        <f>'6 - B1'!H72</f>
        <v>260.980774</v>
      </c>
      <c r="I72" s="52">
        <f>'6 - B1'!I72</f>
        <v>245.624664</v>
      </c>
      <c r="J72" s="52">
        <f>'6 - B1'!J72</f>
        <v>248.405914</v>
      </c>
      <c r="K72" s="52">
        <f>'6 - B1'!K72</f>
        <v>247.69122300000001</v>
      </c>
      <c r="L72" s="52">
        <f>'6 - B1'!L72</f>
        <v>263.81738300000001</v>
      </c>
      <c r="M72" s="52">
        <f>'6 - B1'!M72</f>
        <v>252.65943899999999</v>
      </c>
      <c r="N72" s="52">
        <f>'6 - B1'!N72</f>
        <v>255.04037500000001</v>
      </c>
      <c r="O72" s="52">
        <f>'6 - B1'!O72</f>
        <v>268.78817700000002</v>
      </c>
      <c r="P72" s="52">
        <f>'6 - B1'!P72</f>
        <v>250.940079</v>
      </c>
    </row>
    <row r="73" spans="1:16" x14ac:dyDescent="0.35">
      <c r="A73" s="54">
        <f>'6 - B1'!A73</f>
        <v>24</v>
      </c>
      <c r="B73" s="52">
        <f>'6 - B1'!B73</f>
        <v>191.325928</v>
      </c>
      <c r="C73" s="52">
        <f>'6 - B1'!C73</f>
        <v>176.85675000000001</v>
      </c>
      <c r="D73" s="52">
        <f>'6 - B1'!D73</f>
        <v>196.20950300000001</v>
      </c>
      <c r="E73" s="52">
        <f>'6 - B1'!E73</f>
        <v>198.04612700000001</v>
      </c>
      <c r="F73" s="52">
        <f>'6 - B1'!F73</f>
        <v>178.809967</v>
      </c>
      <c r="G73" s="52">
        <f>'6 - B1'!G73</f>
        <v>184.025543</v>
      </c>
      <c r="H73" s="52">
        <f>'6 - B1'!H73</f>
        <v>199.3853</v>
      </c>
      <c r="I73" s="52">
        <f>'6 - B1'!I73</f>
        <v>192.45129399999999</v>
      </c>
      <c r="J73" s="52">
        <f>'6 - B1'!J73</f>
        <v>187.65554800000001</v>
      </c>
      <c r="K73" s="52">
        <f>'6 - B1'!K73</f>
        <v>186.31376599999999</v>
      </c>
      <c r="L73" s="52">
        <f>'6 - B1'!L73</f>
        <v>201.563446</v>
      </c>
      <c r="M73" s="52">
        <f>'6 - B1'!M73</f>
        <v>195.18241900000001</v>
      </c>
      <c r="N73" s="52">
        <f>'6 - B1'!N73</f>
        <v>194.35029599999999</v>
      </c>
      <c r="O73" s="52">
        <f>'6 - B1'!O73</f>
        <v>205.59724399999999</v>
      </c>
      <c r="P73" s="52">
        <f>'6 - B1'!P73</f>
        <v>189.27766399999999</v>
      </c>
    </row>
    <row r="74" spans="1:16" x14ac:dyDescent="0.35">
      <c r="A74" s="54">
        <f>'6 - B1'!A74</f>
        <v>25</v>
      </c>
      <c r="B74" s="52">
        <f>'6 - B1'!B74</f>
        <v>145.94113200000001</v>
      </c>
      <c r="C74" s="52">
        <f>'6 - B1'!C74</f>
        <v>133.36575300000001</v>
      </c>
      <c r="D74" s="52">
        <f>'6 - B1'!D74</f>
        <v>149.007217</v>
      </c>
      <c r="E74" s="52">
        <f>'6 - B1'!E74</f>
        <v>153.56253100000001</v>
      </c>
      <c r="F74" s="52">
        <f>'6 - B1'!F74</f>
        <v>138.500778</v>
      </c>
      <c r="G74" s="52">
        <f>'6 - B1'!G74</f>
        <v>142.40460200000001</v>
      </c>
      <c r="H74" s="52">
        <f>'6 - B1'!H74</f>
        <v>151.68881200000001</v>
      </c>
      <c r="I74" s="52">
        <f>'6 - B1'!I74</f>
        <v>143.80976899999999</v>
      </c>
      <c r="J74" s="52">
        <f>'6 - B1'!J74</f>
        <v>137.41390999999999</v>
      </c>
      <c r="K74" s="52">
        <f>'6 - B1'!K74</f>
        <v>138.32235700000001</v>
      </c>
      <c r="L74" s="52">
        <f>'6 - B1'!L74</f>
        <v>150.301895</v>
      </c>
      <c r="M74" s="52">
        <f>'6 - B1'!M74</f>
        <v>149.081039</v>
      </c>
      <c r="N74" s="52">
        <f>'6 - B1'!N74</f>
        <v>149.08647199999999</v>
      </c>
      <c r="O74" s="52">
        <f>'6 - B1'!O74</f>
        <v>156.51594499999999</v>
      </c>
      <c r="P74" s="52">
        <f>'6 - B1'!P74</f>
        <v>142.98097200000001</v>
      </c>
    </row>
    <row r="75" spans="1:16" x14ac:dyDescent="0.35">
      <c r="A75" s="54">
        <f>'6 - B1'!A75</f>
        <v>26</v>
      </c>
      <c r="B75" s="52">
        <f>'6 - B1'!B75</f>
        <v>110.020477</v>
      </c>
      <c r="C75" s="52">
        <f>'6 - B1'!C75</f>
        <v>102.443253</v>
      </c>
      <c r="D75" s="52">
        <f>'6 - B1'!D75</f>
        <v>115.305588</v>
      </c>
      <c r="E75" s="52">
        <f>'6 - B1'!E75</f>
        <v>115.914948</v>
      </c>
      <c r="F75" s="52">
        <f>'6 - B1'!F75</f>
        <v>103.95005</v>
      </c>
      <c r="G75" s="52">
        <f>'6 - B1'!G75</f>
        <v>106.77621499999999</v>
      </c>
      <c r="H75" s="52">
        <f>'6 - B1'!H75</f>
        <v>111.99174499999999</v>
      </c>
      <c r="I75" s="52">
        <f>'6 - B1'!I75</f>
        <v>109.166512</v>
      </c>
      <c r="J75" s="52">
        <f>'6 - B1'!J75</f>
        <v>103.585869</v>
      </c>
      <c r="K75" s="52">
        <f>'6 - B1'!K75</f>
        <v>104.212761</v>
      </c>
      <c r="L75" s="52">
        <f>'6 - B1'!L75</f>
        <v>112.862465</v>
      </c>
      <c r="M75" s="52">
        <f>'6 - B1'!M75</f>
        <v>109.86494399999999</v>
      </c>
      <c r="N75" s="52">
        <f>'6 - B1'!N75</f>
        <v>110.62236799999999</v>
      </c>
      <c r="O75" s="52">
        <f>'6 - B1'!O75</f>
        <v>119.024681</v>
      </c>
      <c r="P75" s="52">
        <f>'6 - B1'!P75</f>
        <v>107.759552</v>
      </c>
    </row>
    <row r="76" spans="1:16" x14ac:dyDescent="0.35">
      <c r="A76" s="54">
        <f>'6 - B1'!A76</f>
        <v>27</v>
      </c>
      <c r="B76" s="52">
        <f>'6 - B1'!B76</f>
        <v>79.692252999999994</v>
      </c>
      <c r="C76" s="52">
        <f>'6 - B1'!C76</f>
        <v>76.707747999999995</v>
      </c>
      <c r="D76" s="52">
        <f>'6 - B1'!D76</f>
        <v>83.604050000000001</v>
      </c>
      <c r="E76" s="52">
        <f>'6 - B1'!E76</f>
        <v>87.976471000000004</v>
      </c>
      <c r="F76" s="52">
        <f>'6 - B1'!F76</f>
        <v>76.647025999999997</v>
      </c>
      <c r="G76" s="52">
        <f>'6 - B1'!G76</f>
        <v>79.319473000000002</v>
      </c>
      <c r="H76" s="52">
        <f>'6 - B1'!H76</f>
        <v>85.693680000000001</v>
      </c>
      <c r="I76" s="52">
        <f>'6 - B1'!I76</f>
        <v>78.853675999999993</v>
      </c>
      <c r="J76" s="52">
        <f>'6 - B1'!J76</f>
        <v>78.765288999999996</v>
      </c>
      <c r="K76" s="52">
        <f>'6 - B1'!K76</f>
        <v>77.638999999999996</v>
      </c>
      <c r="L76" s="52">
        <f>'6 - B1'!L76</f>
        <v>84.891730999999993</v>
      </c>
      <c r="M76" s="52">
        <f>'6 - B1'!M76</f>
        <v>81.924721000000005</v>
      </c>
      <c r="N76" s="52">
        <f>'6 - B1'!N76</f>
        <v>84.438354000000004</v>
      </c>
      <c r="O76" s="52">
        <f>'6 - B1'!O76</f>
        <v>90.503105000000005</v>
      </c>
      <c r="P76" s="52">
        <f>'6 - B1'!P76</f>
        <v>78.624565000000004</v>
      </c>
    </row>
    <row r="77" spans="1:16" x14ac:dyDescent="0.35">
      <c r="A77" s="54">
        <f>'6 - B1'!A77</f>
        <v>28</v>
      </c>
      <c r="B77" s="52">
        <f>'6 - B1'!B77</f>
        <v>60.011169000000002</v>
      </c>
      <c r="C77" s="52">
        <f>'6 - B1'!C77</f>
        <v>56.358749000000003</v>
      </c>
      <c r="D77" s="52">
        <f>'6 - B1'!D77</f>
        <v>61.602984999999997</v>
      </c>
      <c r="E77" s="52">
        <f>'6 - B1'!E77</f>
        <v>62.911102</v>
      </c>
      <c r="F77" s="52">
        <f>'6 - B1'!F77</f>
        <v>56.492432000000001</v>
      </c>
      <c r="G77" s="52">
        <f>'6 - B1'!G77</f>
        <v>56.003036000000002</v>
      </c>
      <c r="H77" s="52">
        <f>'6 - B1'!H77</f>
        <v>63.995280999999999</v>
      </c>
      <c r="I77" s="52">
        <f>'6 - B1'!I77</f>
        <v>58.108006000000003</v>
      </c>
      <c r="J77" s="52">
        <f>'6 - B1'!J77</f>
        <v>56.346705999999998</v>
      </c>
      <c r="K77" s="52">
        <f>'6 - B1'!K77</f>
        <v>56.122188999999999</v>
      </c>
      <c r="L77" s="52">
        <f>'6 - B1'!L77</f>
        <v>61.927428999999997</v>
      </c>
      <c r="M77" s="52">
        <f>'6 - B1'!M77</f>
        <v>62.266781000000002</v>
      </c>
      <c r="N77" s="52">
        <f>'6 - B1'!N77</f>
        <v>61.501975999999999</v>
      </c>
      <c r="O77" s="52">
        <f>'6 - B1'!O77</f>
        <v>67.423805000000002</v>
      </c>
      <c r="P77" s="52">
        <f>'6 - B1'!P77</f>
        <v>60.165751999999998</v>
      </c>
    </row>
    <row r="78" spans="1:16" x14ac:dyDescent="0.35">
      <c r="A78" s="54">
        <f>'6 - B1'!A78</f>
        <v>29</v>
      </c>
      <c r="B78" s="52">
        <f>'6 - B1'!B78</f>
        <v>43.126305000000002</v>
      </c>
      <c r="C78" s="52">
        <f>'6 - B1'!C78</f>
        <v>40.298999999999999</v>
      </c>
      <c r="D78" s="52">
        <f>'6 - B1'!D78</f>
        <v>44.102134999999997</v>
      </c>
      <c r="E78" s="52">
        <f>'6 - B1'!E78</f>
        <v>46.266907000000003</v>
      </c>
      <c r="F78" s="52">
        <f>'6 - B1'!F78</f>
        <v>41.302025</v>
      </c>
      <c r="G78" s="52">
        <f>'6 - B1'!G78</f>
        <v>39.441825999999999</v>
      </c>
      <c r="H78" s="52">
        <f>'6 - B1'!H78</f>
        <v>45.196666999999998</v>
      </c>
      <c r="I78" s="52">
        <f>'6 - B1'!I78</f>
        <v>42.397697000000001</v>
      </c>
      <c r="J78" s="52">
        <f>'6 - B1'!J78</f>
        <v>39.933101999999998</v>
      </c>
      <c r="K78" s="52">
        <f>'6 - B1'!K78</f>
        <v>40.653885000000002</v>
      </c>
      <c r="L78" s="52">
        <f>'6 - B1'!L78</f>
        <v>44.622574</v>
      </c>
      <c r="M78" s="52">
        <f>'6 - B1'!M78</f>
        <v>46.600299999999997</v>
      </c>
      <c r="N78" s="52">
        <f>'6 - B1'!N78</f>
        <v>45.568294999999999</v>
      </c>
      <c r="O78" s="52">
        <f>'6 - B1'!O78</f>
        <v>48.577388999999997</v>
      </c>
      <c r="P78" s="52">
        <f>'6 - B1'!P78</f>
        <v>41.806716999999999</v>
      </c>
    </row>
    <row r="79" spans="1:16" x14ac:dyDescent="0.35">
      <c r="A79" s="54">
        <f>'6 - B1'!A79</f>
        <v>30</v>
      </c>
      <c r="B79" s="52">
        <f>'6 - B1'!B79</f>
        <v>31.081053000000001</v>
      </c>
      <c r="C79" s="52">
        <f>'6 - B1'!C79</f>
        <v>28.029751000000001</v>
      </c>
      <c r="D79" s="52">
        <f>'6 - B1'!D79</f>
        <v>31.501525999999998</v>
      </c>
      <c r="E79" s="52">
        <f>'6 - B1'!E79</f>
        <v>33.288395000000001</v>
      </c>
      <c r="F79" s="52">
        <f>'6 - B1'!F79</f>
        <v>28.891559999999998</v>
      </c>
      <c r="G79" s="52">
        <f>'6 - B1'!G79</f>
        <v>27.565697</v>
      </c>
      <c r="H79" s="52">
        <f>'6 - B1'!H79</f>
        <v>31.697662000000001</v>
      </c>
      <c r="I79" s="52">
        <f>'6 - B1'!I79</f>
        <v>29.809307</v>
      </c>
      <c r="J79" s="52">
        <f>'6 - B1'!J79</f>
        <v>28.023230000000002</v>
      </c>
      <c r="K79" s="52">
        <f>'6 - B1'!K79</f>
        <v>29.449276000000001</v>
      </c>
      <c r="L79" s="52">
        <f>'6 - B1'!L79</f>
        <v>32.977173000000001</v>
      </c>
      <c r="M79" s="52">
        <f>'6 - B1'!M79</f>
        <v>34.027199000000003</v>
      </c>
      <c r="N79" s="52">
        <f>'6 - B1'!N79</f>
        <v>33.491173000000003</v>
      </c>
      <c r="O79" s="52">
        <f>'6 - B1'!O79</f>
        <v>34.064644000000001</v>
      </c>
      <c r="P79" s="52">
        <f>'6 - B1'!P79</f>
        <v>31.230315999999998</v>
      </c>
    </row>
    <row r="80" spans="1:16" x14ac:dyDescent="0.35">
      <c r="A80" s="54">
        <f>'6 - B1'!A80</f>
        <v>38</v>
      </c>
      <c r="B80" s="52">
        <f>'6 - B1'!B80</f>
        <v>21.616925999999999</v>
      </c>
      <c r="C80" s="52">
        <f>'6 - B1'!C80</f>
        <v>20.548500000000001</v>
      </c>
      <c r="D80" s="52">
        <f>'6 - B1'!D80</f>
        <v>23.301127999999999</v>
      </c>
      <c r="E80" s="52">
        <f>'6 - B1'!E80</f>
        <v>22.687626000000002</v>
      </c>
      <c r="F80" s="52">
        <f>'6 - B1'!F80</f>
        <v>18.168918999999999</v>
      </c>
      <c r="G80" s="52">
        <f>'6 - B1'!G80</f>
        <v>18.958224999999999</v>
      </c>
      <c r="H80" s="52">
        <f>'6 - B1'!H80</f>
        <v>23.398275000000002</v>
      </c>
      <c r="I80" s="52">
        <f>'6 - B1'!I80</f>
        <v>21.349909</v>
      </c>
      <c r="J80" s="52">
        <f>'6 - B1'!J80</f>
        <v>18.915679999999998</v>
      </c>
      <c r="K80" s="52">
        <f>'6 - B1'!K80</f>
        <v>19.533695000000002</v>
      </c>
      <c r="L80" s="52">
        <f>'6 - B1'!L80</f>
        <v>22.637794</v>
      </c>
      <c r="M80" s="52">
        <f>'6 - B1'!M80</f>
        <v>24.84684</v>
      </c>
      <c r="N80" s="52">
        <f>'6 - B1'!N80</f>
        <v>23.342334999999999</v>
      </c>
      <c r="O80" s="52">
        <f>'6 - B1'!O80</f>
        <v>23.280864999999999</v>
      </c>
      <c r="P80" s="52">
        <f>'6 - B1'!P80</f>
        <v>21.851244000000001</v>
      </c>
    </row>
    <row r="81" spans="1:16" x14ac:dyDescent="0.35">
      <c r="A81" s="54">
        <f>'6 - B1'!A81</f>
        <v>50</v>
      </c>
      <c r="B81" s="52">
        <f>'6 - B1'!B81</f>
        <v>12.582986999999999</v>
      </c>
      <c r="C81" s="52">
        <f>'6 - B1'!C81</f>
        <v>14.364000000000001</v>
      </c>
      <c r="D81" s="52">
        <f>'6 - B1'!D81</f>
        <v>15.400746</v>
      </c>
      <c r="E81" s="52">
        <f>'6 - B1'!E81</f>
        <v>15.059035</v>
      </c>
      <c r="F81" s="52">
        <f>'6 - B1'!F81</f>
        <v>13.304017999999999</v>
      </c>
      <c r="G81" s="52">
        <f>'6 - B1'!G81</f>
        <v>13.619415</v>
      </c>
      <c r="H81" s="52">
        <f>'6 - B1'!H81</f>
        <v>16.698768999999999</v>
      </c>
      <c r="I81" s="52">
        <f>'6 - B1'!I81</f>
        <v>14.401116999999999</v>
      </c>
      <c r="J81" s="52">
        <f>'6 - B1'!J81</f>
        <v>13.511200000000001</v>
      </c>
      <c r="K81" s="52">
        <f>'6 - B1'!K81</f>
        <v>13.782658</v>
      </c>
      <c r="L81" s="52">
        <f>'6 - B1'!L81</f>
        <v>14.148622</v>
      </c>
      <c r="M81" s="52">
        <f>'6 - B1'!M81</f>
        <v>17.761998999999999</v>
      </c>
      <c r="N81" s="52">
        <f>'6 - B1'!N81</f>
        <v>18.267914000000001</v>
      </c>
      <c r="O81" s="52">
        <f>'6 - B1'!O81</f>
        <v>16.629189</v>
      </c>
      <c r="P81" s="52">
        <f>'6 - B1'!P81</f>
        <v>14.767049999999999</v>
      </c>
    </row>
    <row r="82" spans="1:16" x14ac:dyDescent="0.35">
      <c r="A82" s="54">
        <f>'6 - B1'!A82</f>
        <v>70</v>
      </c>
      <c r="B82" s="52">
        <f>'6 - B1'!B82</f>
        <v>8.7112990000000003</v>
      </c>
      <c r="C82" s="52">
        <f>'6 - B1'!C82</f>
        <v>9.6757500000000007</v>
      </c>
      <c r="D82" s="52">
        <f>'6 - B1'!D82</f>
        <v>10.900528</v>
      </c>
      <c r="E82" s="52">
        <f>'6 - B1'!E82</f>
        <v>9.7091150000000006</v>
      </c>
      <c r="F82" s="52">
        <f>'6 - B1'!F82</f>
        <v>8.7369669999999999</v>
      </c>
      <c r="G82" s="52">
        <f>'6 - B1'!G82</f>
        <v>9.8059790000000007</v>
      </c>
      <c r="H82" s="52">
        <f>'6 - B1'!H82</f>
        <v>11.699138</v>
      </c>
      <c r="I82" s="52">
        <f>'6 - B1'!I82</f>
        <v>9.6678829999999998</v>
      </c>
      <c r="J82" s="52">
        <f>'6 - B1'!J82</f>
        <v>8.6071349999999995</v>
      </c>
      <c r="K82" s="52">
        <f>'6 - B1'!K82</f>
        <v>8.9240239999999993</v>
      </c>
      <c r="L82" s="52">
        <f>'6 - B1'!L82</f>
        <v>11.427732000000001</v>
      </c>
      <c r="M82" s="52">
        <f>'6 - B1'!M82</f>
        <v>12.473312999999999</v>
      </c>
      <c r="N82" s="52">
        <f>'6 - B1'!N82</f>
        <v>12.178609</v>
      </c>
      <c r="O82" s="52">
        <f>'6 - B1'!O82</f>
        <v>10.279862</v>
      </c>
      <c r="P82" s="52">
        <f>'6 - B1'!P82</f>
        <v>9.9777360000000002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B3" sqref="B3:B5"/>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30" t="s">
        <v>108</v>
      </c>
      <c r="O2" s="30"/>
    </row>
    <row r="3" spans="1:49" x14ac:dyDescent="0.35">
      <c r="A3" t="str">
        <f>'6 - B1'!$A$3</f>
        <v>Serial #</v>
      </c>
      <c r="B3" s="149" t="str">
        <f>'6 - B1'!$B$3</f>
        <v>11171-00001</v>
      </c>
    </row>
    <row r="4" spans="1:49" ht="17.100000000000001" customHeight="1" x14ac:dyDescent="1.05">
      <c r="A4" s="29" t="str">
        <f>'6 - B1'!$A$4</f>
        <v>Date</v>
      </c>
      <c r="B4" s="150">
        <f>'6 - B1'!$B$4</f>
        <v>46013</v>
      </c>
      <c r="O4" s="30"/>
    </row>
    <row r="5" spans="1:49" ht="13.15" x14ac:dyDescent="0.4">
      <c r="A5" s="29" t="str">
        <f>'6 - B1'!$A$5</f>
        <v>RM</v>
      </c>
      <c r="B5" s="151" t="str">
        <f>'6 - B1'!$B$5</f>
        <v>SRM2806d</v>
      </c>
    </row>
    <row r="6" spans="1:49" ht="13.15" x14ac:dyDescent="0.4">
      <c r="B6" s="29"/>
      <c r="C6" s="29"/>
      <c r="D6" s="29"/>
      <c r="E6" s="29"/>
      <c r="F6" s="29"/>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6" t="s">
        <v>51</v>
      </c>
      <c r="P7" s="86" t="s">
        <v>52</v>
      </c>
      <c r="Q7" s="86" t="s">
        <v>53</v>
      </c>
      <c r="R7" s="86" t="s">
        <v>54</v>
      </c>
      <c r="S7" s="86" t="s">
        <v>55</v>
      </c>
    </row>
    <row r="8" spans="1:49" ht="13.15" x14ac:dyDescent="0.4">
      <c r="A8" s="11" t="s">
        <v>63</v>
      </c>
      <c r="B8" s="32">
        <f>L52</f>
        <v>9.1881740000000001</v>
      </c>
      <c r="C8" s="32">
        <f>M52</f>
        <v>10.021395</v>
      </c>
      <c r="D8" s="32">
        <f>N52</f>
        <v>9.8533419999999996</v>
      </c>
      <c r="E8" s="32">
        <f>O52</f>
        <v>9.9223119999999998</v>
      </c>
      <c r="F8" s="32"/>
      <c r="G8" s="33">
        <f>AVERAGE(B$8:F$8)*5</f>
        <v>48.731528749999995</v>
      </c>
      <c r="I8" s="34"/>
      <c r="K8" s="34"/>
      <c r="O8" s="87"/>
      <c r="P8" s="87"/>
      <c r="Q8" s="87"/>
      <c r="R8" s="87"/>
      <c r="S8" s="87"/>
    </row>
    <row r="9" spans="1:49" x14ac:dyDescent="0.35">
      <c r="A9" s="11" t="s">
        <v>64</v>
      </c>
      <c r="B9" s="16">
        <f>L53</f>
        <v>12747.254883</v>
      </c>
      <c r="C9" s="16">
        <f t="shared" ref="C9:E9" si="0">M53</f>
        <v>12418.929688</v>
      </c>
      <c r="D9" s="16">
        <f t="shared" si="0"/>
        <v>12443.494140999999</v>
      </c>
      <c r="E9" s="16">
        <f t="shared" si="0"/>
        <v>13101.583984000001</v>
      </c>
      <c r="F9" s="16"/>
      <c r="G9" s="24">
        <f t="shared" ref="G9:G38" si="1">AVERAGE(B9:F9)</f>
        <v>12677.815673999998</v>
      </c>
      <c r="H9" s="36">
        <f t="shared" ref="H9:H38" si="2">G9*G$8</f>
        <v>617809.3390047315</v>
      </c>
      <c r="I9" s="34">
        <f t="shared" ref="I9:I38" si="3">STDEVP(B9:F9)/G9</f>
        <v>2.1828318355162264E-2</v>
      </c>
      <c r="J9" s="34">
        <f t="shared" ref="J9:J38" si="4">IF(H9&gt;$A$43, $C$43, IF(H9&gt;$A$44, $C$44, IF(H9&gt;$A$45,$C$45,IF(H9&gt;$A$46,$C$46, IF(H9&gt;$A$47,$C$47,IF(H9&gt;$A$48,$C$48,$C$49))))))/100</f>
        <v>0.11</v>
      </c>
      <c r="K9" s="34">
        <f t="shared" ref="K9:K38" si="5">(MAX(B9:F9)-MIN(B9:F9))/G9</f>
        <v>5.3846365458681204E-2</v>
      </c>
      <c r="L9" s="16">
        <f>G9/'Clause 6'!$I$11</f>
        <v>12677.815673999998</v>
      </c>
      <c r="M9">
        <f t="shared" ref="M9:M38" si="6">COUNTA(B9:F9)</f>
        <v>4</v>
      </c>
      <c r="O9" s="88">
        <f>IF(ISNUMBER(B9), (B9/$G9-1), 0)</f>
        <v>5.477221848430025E-3</v>
      </c>
      <c r="P9" s="88">
        <f t="shared" ref="P9:S38" si="7">IF(ISNUMBER(C9), (C9/$G9-1), 0)</f>
        <v>-2.0420393595951047E-2</v>
      </c>
      <c r="Q9" s="88">
        <f t="shared" si="7"/>
        <v>-1.848280011520842E-2</v>
      </c>
      <c r="R9" s="88">
        <f t="shared" si="7"/>
        <v>3.3425971862730108E-2</v>
      </c>
      <c r="S9" s="88">
        <f t="shared" si="7"/>
        <v>0</v>
      </c>
    </row>
    <row r="10" spans="1:49" x14ac:dyDescent="0.35">
      <c r="A10" s="11" t="s">
        <v>65</v>
      </c>
      <c r="B10" s="16">
        <f t="shared" ref="B10:E25" si="8">L54</f>
        <v>11044.196289</v>
      </c>
      <c r="C10" s="16">
        <f t="shared" si="8"/>
        <v>10769.558594</v>
      </c>
      <c r="D10" s="16">
        <f t="shared" si="8"/>
        <v>10830.132812</v>
      </c>
      <c r="E10" s="16">
        <f t="shared" si="8"/>
        <v>11365.194336</v>
      </c>
      <c r="F10" s="16"/>
      <c r="G10" s="24">
        <f t="shared" si="1"/>
        <v>11002.27050775</v>
      </c>
      <c r="H10" s="36">
        <f t="shared" si="2"/>
        <v>536157.46156369615</v>
      </c>
      <c r="I10" s="34">
        <f t="shared" si="3"/>
        <v>2.1182405223614205E-2</v>
      </c>
      <c r="J10" s="34">
        <f t="shared" si="4"/>
        <v>0.11</v>
      </c>
      <c r="K10" s="34">
        <f t="shared" si="5"/>
        <v>5.413752930183225E-2</v>
      </c>
      <c r="L10" s="16">
        <f>G10/'Clause 6'!$I$11</f>
        <v>11002.27050775</v>
      </c>
      <c r="M10">
        <f t="shared" si="6"/>
        <v>4</v>
      </c>
      <c r="O10" s="88">
        <f t="shared" ref="O10:O38" si="9">IF(ISNUMBER(B10), (B10/$G10-1), 0)</f>
        <v>3.8106481039952289E-3</v>
      </c>
      <c r="P10" s="88">
        <f t="shared" si="7"/>
        <v>-2.1151262694920736E-2</v>
      </c>
      <c r="Q10" s="88">
        <f t="shared" si="7"/>
        <v>-1.5645652015985778E-2</v>
      </c>
      <c r="R10" s="88">
        <f t="shared" si="7"/>
        <v>3.2986266606911396E-2</v>
      </c>
      <c r="S10" s="88">
        <f t="shared" si="7"/>
        <v>0</v>
      </c>
    </row>
    <row r="11" spans="1:49" x14ac:dyDescent="0.35">
      <c r="A11" s="11" t="s">
        <v>66</v>
      </c>
      <c r="B11" s="16">
        <f t="shared" si="8"/>
        <v>9600.4931639999995</v>
      </c>
      <c r="C11" s="16">
        <f t="shared" si="8"/>
        <v>9377.6367190000001</v>
      </c>
      <c r="D11" s="16">
        <f t="shared" si="8"/>
        <v>9436.5947269999997</v>
      </c>
      <c r="E11" s="16">
        <f t="shared" si="8"/>
        <v>9886.3046880000002</v>
      </c>
      <c r="F11" s="16"/>
      <c r="G11" s="24">
        <f t="shared" si="1"/>
        <v>9575.2573245000003</v>
      </c>
      <c r="H11" s="36">
        <f t="shared" si="2"/>
        <v>466616.92759751983</v>
      </c>
      <c r="I11" s="34">
        <f t="shared" si="3"/>
        <v>2.060250185704068E-2</v>
      </c>
      <c r="J11" s="34">
        <f t="shared" si="4"/>
        <v>0.11</v>
      </c>
      <c r="K11" s="34">
        <f t="shared" si="5"/>
        <v>5.3123164397731903E-2</v>
      </c>
      <c r="L11" s="16">
        <f>G11/'Clause 6'!$I$11</f>
        <v>9575.2573245000003</v>
      </c>
      <c r="M11">
        <f t="shared" si="6"/>
        <v>4</v>
      </c>
      <c r="O11" s="88">
        <f t="shared" si="9"/>
        <v>2.6355259858581448E-3</v>
      </c>
      <c r="P11" s="88">
        <f t="shared" si="7"/>
        <v>-2.0638673071934344E-2</v>
      </c>
      <c r="Q11" s="88">
        <f t="shared" si="7"/>
        <v>-1.4481344239721694E-2</v>
      </c>
      <c r="R11" s="88">
        <f t="shared" si="7"/>
        <v>3.248449132579756E-2</v>
      </c>
      <c r="S11" s="88">
        <f t="shared" si="7"/>
        <v>0</v>
      </c>
    </row>
    <row r="12" spans="1:49" x14ac:dyDescent="0.35">
      <c r="A12" s="11" t="s">
        <v>67</v>
      </c>
      <c r="B12" s="16">
        <f t="shared" si="8"/>
        <v>8312.7509769999997</v>
      </c>
      <c r="C12" s="16">
        <f t="shared" si="8"/>
        <v>8154.9526370000003</v>
      </c>
      <c r="D12" s="16">
        <f t="shared" si="8"/>
        <v>8201.3798829999996</v>
      </c>
      <c r="E12" s="16">
        <f t="shared" si="8"/>
        <v>8594.46875</v>
      </c>
      <c r="F12" s="16"/>
      <c r="G12" s="24">
        <f t="shared" si="1"/>
        <v>8315.8880617499999</v>
      </c>
      <c r="H12" s="36">
        <f t="shared" si="2"/>
        <v>405245.93816295185</v>
      </c>
      <c r="I12" s="34">
        <f t="shared" si="3"/>
        <v>2.0533611646703472E-2</v>
      </c>
      <c r="J12" s="34">
        <f t="shared" si="4"/>
        <v>0.11</v>
      </c>
      <c r="K12" s="34">
        <f t="shared" si="5"/>
        <v>5.2852576866878567E-2</v>
      </c>
      <c r="L12" s="16">
        <f>G12/'Clause 6'!$I$11</f>
        <v>8315.8880617499999</v>
      </c>
      <c r="M12">
        <f t="shared" si="6"/>
        <v>4</v>
      </c>
      <c r="O12" s="88">
        <f t="shared" si="9"/>
        <v>-3.7723989629312449E-4</v>
      </c>
      <c r="P12" s="88">
        <f t="shared" si="7"/>
        <v>-1.9352764678284062E-2</v>
      </c>
      <c r="Q12" s="88">
        <f t="shared" si="7"/>
        <v>-1.3769807614017249E-2</v>
      </c>
      <c r="R12" s="88">
        <f t="shared" si="7"/>
        <v>3.3499812188594547E-2</v>
      </c>
      <c r="S12" s="88">
        <f t="shared" si="7"/>
        <v>0</v>
      </c>
    </row>
    <row r="13" spans="1:49" x14ac:dyDescent="0.35">
      <c r="A13" s="11" t="s">
        <v>68</v>
      </c>
      <c r="B13" s="16">
        <f t="shared" si="8"/>
        <v>7191.5268550000001</v>
      </c>
      <c r="C13" s="16">
        <f t="shared" si="8"/>
        <v>7057.001953</v>
      </c>
      <c r="D13" s="16">
        <f t="shared" si="8"/>
        <v>7108.8569340000004</v>
      </c>
      <c r="E13" s="16">
        <f t="shared" si="8"/>
        <v>7438.2866210000002</v>
      </c>
      <c r="F13" s="16"/>
      <c r="G13" s="24">
        <f t="shared" si="1"/>
        <v>7198.9180907499995</v>
      </c>
      <c r="H13" s="36">
        <f t="shared" si="2"/>
        <v>350814.28390827868</v>
      </c>
      <c r="I13" s="34">
        <f t="shared" si="3"/>
        <v>2.032111734183862E-2</v>
      </c>
      <c r="J13" s="34">
        <f t="shared" si="4"/>
        <v>0.11</v>
      </c>
      <c r="K13" s="34">
        <f t="shared" si="5"/>
        <v>5.2964162557970866E-2</v>
      </c>
      <c r="L13" s="16">
        <f>G13/'Clause 6'!$I$11</f>
        <v>7198.9180907499995</v>
      </c>
      <c r="M13">
        <f t="shared" si="6"/>
        <v>4</v>
      </c>
      <c r="O13" s="88">
        <f t="shared" si="9"/>
        <v>-1.0267148003109128E-3</v>
      </c>
      <c r="P13" s="88">
        <f t="shared" si="7"/>
        <v>-1.9713536945551557E-2</v>
      </c>
      <c r="Q13" s="88">
        <f t="shared" si="7"/>
        <v>-1.2510373866556401E-2</v>
      </c>
      <c r="R13" s="88">
        <f t="shared" si="7"/>
        <v>3.3250625612419427E-2</v>
      </c>
      <c r="S13" s="88">
        <f t="shared" si="7"/>
        <v>0</v>
      </c>
    </row>
    <row r="14" spans="1:49" x14ac:dyDescent="0.35">
      <c r="A14" s="11" t="s">
        <v>69</v>
      </c>
      <c r="B14" s="16">
        <f t="shared" si="8"/>
        <v>6215.0541990000002</v>
      </c>
      <c r="C14" s="16">
        <f t="shared" si="8"/>
        <v>6112.9213870000003</v>
      </c>
      <c r="D14" s="16">
        <f t="shared" si="8"/>
        <v>6135.2788090000004</v>
      </c>
      <c r="E14" s="16">
        <f t="shared" si="8"/>
        <v>6427.5341799999997</v>
      </c>
      <c r="F14" s="16"/>
      <c r="G14" s="24">
        <f t="shared" si="1"/>
        <v>6222.6971437499997</v>
      </c>
      <c r="H14" s="36">
        <f t="shared" si="2"/>
        <v>303241.54476319597</v>
      </c>
      <c r="I14" s="34">
        <f t="shared" si="3"/>
        <v>1.9960282246641925E-2</v>
      </c>
      <c r="J14" s="34">
        <f t="shared" si="4"/>
        <v>0.11</v>
      </c>
      <c r="K14" s="34">
        <f t="shared" si="5"/>
        <v>5.0558911310024553E-2</v>
      </c>
      <c r="L14" s="16">
        <f>G14/'Clause 6'!$I$11</f>
        <v>6222.6971437499997</v>
      </c>
      <c r="M14">
        <f t="shared" si="6"/>
        <v>4</v>
      </c>
      <c r="O14" s="88">
        <f t="shared" si="9"/>
        <v>-1.2282366590307126E-3</v>
      </c>
      <c r="P14" s="88">
        <f t="shared" si="7"/>
        <v>-1.7641185841778761E-2</v>
      </c>
      <c r="Q14" s="88">
        <f t="shared" si="7"/>
        <v>-1.4048302967436088E-2</v>
      </c>
      <c r="R14" s="88">
        <f t="shared" si="7"/>
        <v>3.2917725468245784E-2</v>
      </c>
      <c r="S14" s="88">
        <f t="shared" si="7"/>
        <v>0</v>
      </c>
    </row>
    <row r="15" spans="1:49" x14ac:dyDescent="0.35">
      <c r="A15" s="11" t="s">
        <v>70</v>
      </c>
      <c r="B15" s="16">
        <f t="shared" si="8"/>
        <v>5324.779297</v>
      </c>
      <c r="C15" s="16">
        <f t="shared" si="8"/>
        <v>5253.1611329999996</v>
      </c>
      <c r="D15" s="16">
        <f t="shared" si="8"/>
        <v>5265.3203119999998</v>
      </c>
      <c r="E15" s="16">
        <f t="shared" si="8"/>
        <v>5499.9277339999999</v>
      </c>
      <c r="F15" s="16"/>
      <c r="G15" s="24">
        <f t="shared" si="1"/>
        <v>5335.7971189999998</v>
      </c>
      <c r="H15" s="36">
        <f t="shared" si="2"/>
        <v>260021.55070871563</v>
      </c>
      <c r="I15" s="34">
        <f t="shared" si="3"/>
        <v>1.84713821379488E-2</v>
      </c>
      <c r="J15" s="34">
        <f t="shared" si="4"/>
        <v>0.11</v>
      </c>
      <c r="K15" s="34">
        <f t="shared" si="5"/>
        <v>4.6247373259620417E-2</v>
      </c>
      <c r="L15" s="16">
        <f>G15/'Clause 6'!$I$11</f>
        <v>5335.7971189999998</v>
      </c>
      <c r="M15">
        <f t="shared" si="6"/>
        <v>4</v>
      </c>
      <c r="O15" s="88">
        <f t="shared" si="9"/>
        <v>-2.0648877298514723E-3</v>
      </c>
      <c r="P15" s="88">
        <f t="shared" si="7"/>
        <v>-1.5487092960439819E-2</v>
      </c>
      <c r="Q15" s="88">
        <f t="shared" si="7"/>
        <v>-1.3208299608889251E-2</v>
      </c>
      <c r="R15" s="88">
        <f t="shared" si="7"/>
        <v>3.0760280299180653E-2</v>
      </c>
      <c r="S15" s="88">
        <f t="shared" si="7"/>
        <v>0</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71</v>
      </c>
      <c r="B16" s="16">
        <f t="shared" si="8"/>
        <v>4529.7358400000003</v>
      </c>
      <c r="C16" s="16">
        <f t="shared" si="8"/>
        <v>4462.5522460000002</v>
      </c>
      <c r="D16" s="16">
        <f t="shared" si="8"/>
        <v>4476.4506840000004</v>
      </c>
      <c r="E16" s="16">
        <f t="shared" si="8"/>
        <v>4672.8022460000002</v>
      </c>
      <c r="F16" s="16"/>
      <c r="G16" s="24">
        <f t="shared" si="1"/>
        <v>4535.3852539999998</v>
      </c>
      <c r="H16" s="36">
        <f t="shared" si="2"/>
        <v>221016.25689762703</v>
      </c>
      <c r="I16" s="34">
        <f t="shared" si="3"/>
        <v>1.8346067579540392E-2</v>
      </c>
      <c r="J16" s="34">
        <f t="shared" si="4"/>
        <v>0.11</v>
      </c>
      <c r="K16" s="34">
        <f t="shared" si="5"/>
        <v>4.6357693608182288E-2</v>
      </c>
      <c r="L16" s="16">
        <f>G16/'Clause 6'!$I$11</f>
        <v>4535.3852539999998</v>
      </c>
      <c r="M16">
        <f t="shared" si="6"/>
        <v>4</v>
      </c>
      <c r="O16" s="88">
        <f t="shared" si="9"/>
        <v>-1.2456304555422681E-3</v>
      </c>
      <c r="P16" s="88">
        <f t="shared" si="7"/>
        <v>-1.6058836002027399E-2</v>
      </c>
      <c r="Q16" s="88">
        <f t="shared" si="7"/>
        <v>-1.2994391148584805E-2</v>
      </c>
      <c r="R16" s="88">
        <f t="shared" si="7"/>
        <v>3.0298857606154916E-2</v>
      </c>
      <c r="S16" s="88">
        <f t="shared" si="7"/>
        <v>0</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72</v>
      </c>
      <c r="B17" s="16">
        <f t="shared" si="8"/>
        <v>3825.1342770000001</v>
      </c>
      <c r="C17" s="16">
        <f t="shared" si="8"/>
        <v>3758.5585940000001</v>
      </c>
      <c r="D17" s="16">
        <f t="shared" si="8"/>
        <v>3761.1604000000002</v>
      </c>
      <c r="E17" s="16">
        <f t="shared" si="8"/>
        <v>3933.3576659999999</v>
      </c>
      <c r="F17" s="16"/>
      <c r="G17" s="24">
        <f t="shared" si="1"/>
        <v>3819.55273425</v>
      </c>
      <c r="H17" s="36">
        <f t="shared" si="2"/>
        <v>186132.64388124496</v>
      </c>
      <c r="I17" s="34">
        <f t="shared" si="3"/>
        <v>1.8564887173435404E-2</v>
      </c>
      <c r="J17" s="34">
        <f t="shared" si="4"/>
        <v>0.11</v>
      </c>
      <c r="K17" s="34">
        <f t="shared" si="5"/>
        <v>4.5764277694760776E-2</v>
      </c>
      <c r="L17" s="16">
        <f>G17/'Clause 6'!$I$11</f>
        <v>3819.55273425</v>
      </c>
      <c r="M17">
        <f t="shared" si="6"/>
        <v>4</v>
      </c>
      <c r="O17" s="88">
        <f t="shared" si="9"/>
        <v>1.4613079431919918E-3</v>
      </c>
      <c r="P17" s="88">
        <f t="shared" si="7"/>
        <v>-1.596892214710488E-2</v>
      </c>
      <c r="Q17" s="88">
        <f t="shared" si="7"/>
        <v>-1.5287741343742889E-2</v>
      </c>
      <c r="R17" s="88">
        <f t="shared" si="7"/>
        <v>2.9795355547655777E-2</v>
      </c>
      <c r="S17" s="88">
        <f t="shared" si="7"/>
        <v>0</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73</v>
      </c>
      <c r="B18" s="16">
        <f t="shared" si="8"/>
        <v>3167.767578</v>
      </c>
      <c r="C18" s="16">
        <f t="shared" si="8"/>
        <v>3123.4174800000001</v>
      </c>
      <c r="D18" s="16">
        <f t="shared" si="8"/>
        <v>3123.7116700000001</v>
      </c>
      <c r="E18" s="16">
        <f t="shared" si="8"/>
        <v>3267.383789</v>
      </c>
      <c r="F18" s="16"/>
      <c r="G18" s="24">
        <f t="shared" si="1"/>
        <v>3170.5701292499998</v>
      </c>
      <c r="H18" s="36">
        <f t="shared" si="2"/>
        <v>154506.72940743755</v>
      </c>
      <c r="I18" s="34">
        <f t="shared" si="3"/>
        <v>1.8525479356778923E-2</v>
      </c>
      <c r="J18" s="34">
        <f t="shared" si="4"/>
        <v>0.11</v>
      </c>
      <c r="K18" s="34">
        <f t="shared" si="5"/>
        <v>4.5407072902076205E-2</v>
      </c>
      <c r="L18" s="16">
        <f>G18/'Clause 6'!$I$11</f>
        <v>3170.5701292499998</v>
      </c>
      <c r="M18">
        <f t="shared" si="6"/>
        <v>4</v>
      </c>
      <c r="O18" s="88">
        <f t="shared" si="9"/>
        <v>-8.8392659230118742E-4</v>
      </c>
      <c r="P18" s="88">
        <f t="shared" si="7"/>
        <v>-1.487197801272222E-2</v>
      </c>
      <c r="Q18" s="88">
        <f t="shared" si="7"/>
        <v>-1.477919028433039E-2</v>
      </c>
      <c r="R18" s="88">
        <f t="shared" si="7"/>
        <v>3.0535094889353909E-2</v>
      </c>
      <c r="S18" s="88">
        <f t="shared" si="7"/>
        <v>0</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74</v>
      </c>
      <c r="B19" s="16">
        <f t="shared" si="8"/>
        <v>2580.3820799999999</v>
      </c>
      <c r="C19" s="16">
        <f t="shared" si="8"/>
        <v>2547.649414</v>
      </c>
      <c r="D19" s="16">
        <f t="shared" si="8"/>
        <v>2549.3889159999999</v>
      </c>
      <c r="E19" s="16">
        <f t="shared" si="8"/>
        <v>2666.7172850000002</v>
      </c>
      <c r="F19" s="16"/>
      <c r="G19" s="24">
        <f t="shared" si="1"/>
        <v>2586.0344237499999</v>
      </c>
      <c r="H19" s="36">
        <f t="shared" si="2"/>
        <v>126021.41086946279</v>
      </c>
      <c r="I19" s="34">
        <f t="shared" si="3"/>
        <v>1.8703662188466499E-2</v>
      </c>
      <c r="J19" s="34">
        <f t="shared" si="4"/>
        <v>0.11</v>
      </c>
      <c r="K19" s="34">
        <f t="shared" si="5"/>
        <v>4.6042647347029619E-2</v>
      </c>
      <c r="L19" s="16">
        <f>G19/'Clause 6'!$I$11</f>
        <v>2586.0344237499999</v>
      </c>
      <c r="M19">
        <f t="shared" si="6"/>
        <v>4</v>
      </c>
      <c r="O19" s="88">
        <f t="shared" si="9"/>
        <v>-2.1857186811162777E-3</v>
      </c>
      <c r="P19" s="88">
        <f t="shared" si="7"/>
        <v>-1.4843193654915821E-2</v>
      </c>
      <c r="Q19" s="88">
        <f t="shared" si="7"/>
        <v>-1.4170541356081534E-2</v>
      </c>
      <c r="R19" s="88">
        <f t="shared" si="7"/>
        <v>3.1199453692113854E-2</v>
      </c>
      <c r="S19" s="88">
        <f t="shared" si="7"/>
        <v>0</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75</v>
      </c>
      <c r="B20" s="16">
        <f t="shared" si="8"/>
        <v>2072.1201169999999</v>
      </c>
      <c r="C20" s="16">
        <f t="shared" si="8"/>
        <v>2046.820923</v>
      </c>
      <c r="D20" s="16">
        <f t="shared" si="8"/>
        <v>2036.263428</v>
      </c>
      <c r="E20" s="16">
        <f t="shared" si="8"/>
        <v>2133.1721189999998</v>
      </c>
      <c r="F20" s="16"/>
      <c r="G20" s="24">
        <f t="shared" si="1"/>
        <v>2072.0941467499997</v>
      </c>
      <c r="H20" s="36">
        <f t="shared" si="2"/>
        <v>100976.31548505432</v>
      </c>
      <c r="I20" s="34">
        <f t="shared" si="3"/>
        <v>1.8142773798341116E-2</v>
      </c>
      <c r="J20" s="34">
        <f t="shared" si="4"/>
        <v>0.11</v>
      </c>
      <c r="K20" s="34">
        <f t="shared" si="5"/>
        <v>4.6768478716084125E-2</v>
      </c>
      <c r="L20" s="16">
        <f>G20/'Clause 6'!$I$11</f>
        <v>2072.0941467499997</v>
      </c>
      <c r="M20">
        <f t="shared" si="6"/>
        <v>4</v>
      </c>
      <c r="O20" s="88">
        <f t="shared" si="9"/>
        <v>1.2533334955433517E-5</v>
      </c>
      <c r="P20" s="88">
        <f t="shared" si="7"/>
        <v>-1.2196947609566799E-2</v>
      </c>
      <c r="Q20" s="88">
        <f t="shared" si="7"/>
        <v>-1.7292032220736164E-2</v>
      </c>
      <c r="R20" s="88">
        <f t="shared" si="7"/>
        <v>2.9476446495348085E-2</v>
      </c>
      <c r="S20" s="88">
        <f t="shared" si="7"/>
        <v>0</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76</v>
      </c>
      <c r="B21" s="16">
        <f t="shared" si="8"/>
        <v>1632.0979</v>
      </c>
      <c r="C21" s="16">
        <f t="shared" si="8"/>
        <v>1614.2463379999999</v>
      </c>
      <c r="D21" s="16">
        <f t="shared" si="8"/>
        <v>1603.7198490000001</v>
      </c>
      <c r="E21" s="16">
        <f t="shared" si="8"/>
        <v>1670.4776609999999</v>
      </c>
      <c r="F21" s="16"/>
      <c r="G21" s="24">
        <f t="shared" si="1"/>
        <v>1630.1354369999999</v>
      </c>
      <c r="H21" s="36">
        <f t="shared" si="2"/>
        <v>79438.991914559301</v>
      </c>
      <c r="I21" s="34">
        <f t="shared" si="3"/>
        <v>1.5584404350885752E-2</v>
      </c>
      <c r="J21" s="34">
        <f t="shared" si="4"/>
        <v>0.11</v>
      </c>
      <c r="K21" s="34">
        <f t="shared" si="5"/>
        <v>4.095231014844801E-2</v>
      </c>
      <c r="L21" s="16">
        <f>G21/'Clause 6'!$I$11</f>
        <v>1630.1354369999999</v>
      </c>
      <c r="M21">
        <f t="shared" si="6"/>
        <v>4</v>
      </c>
      <c r="O21" s="88">
        <f t="shared" si="9"/>
        <v>1.2038650013104224E-3</v>
      </c>
      <c r="P21" s="88">
        <f t="shared" si="7"/>
        <v>-9.7471036082997786E-3</v>
      </c>
      <c r="Q21" s="88">
        <f t="shared" si="7"/>
        <v>-1.6204535770729223E-2</v>
      </c>
      <c r="R21" s="88">
        <f t="shared" si="7"/>
        <v>2.474777437771869E-2</v>
      </c>
      <c r="S21" s="88">
        <f t="shared" si="7"/>
        <v>0</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77</v>
      </c>
      <c r="B22" s="16">
        <f t="shared" si="8"/>
        <v>1265.322144</v>
      </c>
      <c r="C22" s="16">
        <f t="shared" si="8"/>
        <v>1252.7198490000001</v>
      </c>
      <c r="D22" s="16">
        <f t="shared" si="8"/>
        <v>1250.6416019999999</v>
      </c>
      <c r="E22" s="16">
        <f t="shared" si="8"/>
        <v>1293.0454099999999</v>
      </c>
      <c r="F22" s="16"/>
      <c r="G22" s="24">
        <f t="shared" si="1"/>
        <v>1265.4322512499998</v>
      </c>
      <c r="H22" s="36">
        <f t="shared" si="2"/>
        <v>61666.448132966587</v>
      </c>
      <c r="I22" s="34">
        <f t="shared" si="3"/>
        <v>1.33576167176989E-2</v>
      </c>
      <c r="J22" s="34">
        <f t="shared" si="4"/>
        <v>0.11</v>
      </c>
      <c r="K22" s="34">
        <f t="shared" si="5"/>
        <v>3.3509346674318874E-2</v>
      </c>
      <c r="L22" s="16">
        <f>G22/'Clause 6'!$I$11</f>
        <v>1265.4322512499998</v>
      </c>
      <c r="M22">
        <f t="shared" si="6"/>
        <v>4</v>
      </c>
      <c r="O22" s="88">
        <f t="shared" si="9"/>
        <v>-8.7011572441841878E-5</v>
      </c>
      <c r="P22" s="88">
        <f t="shared" si="7"/>
        <v>-1.0045897152883843E-2</v>
      </c>
      <c r="Q22" s="88">
        <f t="shared" si="7"/>
        <v>-1.1688218974496345E-2</v>
      </c>
      <c r="R22" s="88">
        <f t="shared" si="7"/>
        <v>2.1821127699822584E-2</v>
      </c>
      <c r="S22" s="88">
        <f t="shared" si="7"/>
        <v>0</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x14ac:dyDescent="0.35">
      <c r="A23" s="11" t="s">
        <v>78</v>
      </c>
      <c r="B23" s="16">
        <f t="shared" si="8"/>
        <v>977.23443599999996</v>
      </c>
      <c r="C23" s="16">
        <f t="shared" si="8"/>
        <v>966.73168899999996</v>
      </c>
      <c r="D23" s="16">
        <f t="shared" si="8"/>
        <v>959.978882</v>
      </c>
      <c r="E23" s="16">
        <f t="shared" si="8"/>
        <v>990.19262700000002</v>
      </c>
      <c r="F23" s="16"/>
      <c r="G23" s="24">
        <f t="shared" si="1"/>
        <v>973.53440849999993</v>
      </c>
      <c r="H23" s="36">
        <f t="shared" si="2"/>
        <v>47441.82001693199</v>
      </c>
      <c r="I23" s="34">
        <f t="shared" si="3"/>
        <v>1.1725394381359571E-2</v>
      </c>
      <c r="J23" s="34">
        <f t="shared" si="4"/>
        <v>0.11</v>
      </c>
      <c r="K23" s="34">
        <f t="shared" si="5"/>
        <v>3.1035107476635244E-2</v>
      </c>
      <c r="L23" s="16">
        <f>G23/'Clause 6'!$I$11</f>
        <v>973.53440849999993</v>
      </c>
      <c r="M23">
        <f t="shared" si="6"/>
        <v>4</v>
      </c>
      <c r="O23" s="88">
        <f t="shared" si="9"/>
        <v>3.8006129703220815E-3</v>
      </c>
      <c r="P23" s="88">
        <f t="shared" si="7"/>
        <v>-6.987651839118314E-3</v>
      </c>
      <c r="Q23" s="88">
        <f t="shared" si="7"/>
        <v>-1.3924034303919419E-2</v>
      </c>
      <c r="R23" s="88">
        <f t="shared" si="7"/>
        <v>1.7111073172715763E-2</v>
      </c>
      <c r="S23" s="88">
        <f t="shared" si="7"/>
        <v>0</v>
      </c>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37"/>
      <c r="AS23" s="37"/>
      <c r="AT23" s="37"/>
      <c r="AU23" s="37"/>
      <c r="AV23" s="37"/>
      <c r="AW23" s="37"/>
    </row>
    <row r="24" spans="1:49" x14ac:dyDescent="0.35">
      <c r="A24" s="11" t="s">
        <v>79</v>
      </c>
      <c r="B24" s="16">
        <f t="shared" si="8"/>
        <v>749.332764</v>
      </c>
      <c r="C24" s="16">
        <f t="shared" si="8"/>
        <v>742.71099900000002</v>
      </c>
      <c r="D24" s="16">
        <f t="shared" si="8"/>
        <v>733.65972899999997</v>
      </c>
      <c r="E24" s="16">
        <f t="shared" si="8"/>
        <v>755.569885</v>
      </c>
      <c r="F24" s="16"/>
      <c r="G24" s="24">
        <f t="shared" si="1"/>
        <v>745.31834425</v>
      </c>
      <c r="H24" s="36">
        <f t="shared" si="2"/>
        <v>36320.502320721265</v>
      </c>
      <c r="I24" s="34">
        <f t="shared" si="3"/>
        <v>1.0898671693143538E-2</v>
      </c>
      <c r="J24" s="34">
        <f t="shared" si="4"/>
        <v>0.11</v>
      </c>
      <c r="K24" s="34">
        <f t="shared" si="5"/>
        <v>2.9397043785428106E-2</v>
      </c>
      <c r="L24" s="16">
        <f>G24/'Clause 6'!$I$11</f>
        <v>745.31834425</v>
      </c>
      <c r="M24">
        <f t="shared" si="6"/>
        <v>4</v>
      </c>
      <c r="O24" s="88">
        <f t="shared" si="9"/>
        <v>5.386181329052997E-3</v>
      </c>
      <c r="P24" s="88">
        <f t="shared" si="7"/>
        <v>-3.498297432386055E-3</v>
      </c>
      <c r="Q24" s="88">
        <f t="shared" si="7"/>
        <v>-1.5642463841047505E-2</v>
      </c>
      <c r="R24" s="88">
        <f t="shared" si="7"/>
        <v>1.3754579944380563E-2</v>
      </c>
      <c r="S24" s="88">
        <f t="shared" si="7"/>
        <v>0</v>
      </c>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row>
    <row r="25" spans="1:49" x14ac:dyDescent="0.35">
      <c r="A25" s="11" t="s">
        <v>80</v>
      </c>
      <c r="B25" s="16">
        <f t="shared" si="8"/>
        <v>572.58380099999999</v>
      </c>
      <c r="C25" s="16">
        <f t="shared" si="8"/>
        <v>568.28417999999999</v>
      </c>
      <c r="D25" s="16">
        <f t="shared" si="8"/>
        <v>564.47851600000001</v>
      </c>
      <c r="E25" s="16">
        <f t="shared" si="8"/>
        <v>579.300476</v>
      </c>
      <c r="F25" s="16"/>
      <c r="G25" s="24">
        <f t="shared" si="1"/>
        <v>571.16174324999997</v>
      </c>
      <c r="H25" s="36">
        <f t="shared" si="2"/>
        <v>27833.584912087488</v>
      </c>
      <c r="I25" s="34">
        <f t="shared" si="3"/>
        <v>9.6377343697575928E-3</v>
      </c>
      <c r="J25" s="34">
        <f t="shared" si="4"/>
        <v>0.11</v>
      </c>
      <c r="K25" s="34">
        <f t="shared" si="5"/>
        <v>2.5950547590356299E-2</v>
      </c>
      <c r="L25" s="16">
        <f>G25/'Clause 6'!$I$11</f>
        <v>571.16174324999997</v>
      </c>
      <c r="M25">
        <f t="shared" si="6"/>
        <v>4</v>
      </c>
      <c r="O25" s="88">
        <f t="shared" si="9"/>
        <v>2.4897636559275682E-3</v>
      </c>
      <c r="P25" s="88">
        <f t="shared" si="7"/>
        <v>-5.0380882193302723E-3</v>
      </c>
      <c r="Q25" s="88">
        <f t="shared" si="7"/>
        <v>-1.1701111513476636E-2</v>
      </c>
      <c r="R25" s="88">
        <f t="shared" si="7"/>
        <v>1.4249436076879674E-2</v>
      </c>
      <c r="S25" s="88">
        <f t="shared" si="7"/>
        <v>0</v>
      </c>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c r="AW25" s="37"/>
    </row>
    <row r="26" spans="1:49" x14ac:dyDescent="0.35">
      <c r="A26" s="11" t="s">
        <v>81</v>
      </c>
      <c r="B26" s="16">
        <f t="shared" ref="B26:E38" si="10">L70</f>
        <v>441.21933000000001</v>
      </c>
      <c r="C26" s="16">
        <f t="shared" si="10"/>
        <v>436.56597900000003</v>
      </c>
      <c r="D26" s="16">
        <f t="shared" si="10"/>
        <v>430.61532599999998</v>
      </c>
      <c r="E26" s="16">
        <f t="shared" si="10"/>
        <v>447.67791699999998</v>
      </c>
      <c r="F26" s="16"/>
      <c r="G26" s="24">
        <f t="shared" si="1"/>
        <v>439.01963799999999</v>
      </c>
      <c r="H26" s="36">
        <f t="shared" si="2"/>
        <v>21394.09811101159</v>
      </c>
      <c r="I26" s="34">
        <f t="shared" si="3"/>
        <v>1.4245707800354036E-2</v>
      </c>
      <c r="J26" s="34">
        <f t="shared" si="4"/>
        <v>0.11</v>
      </c>
      <c r="K26" s="34">
        <f t="shared" si="5"/>
        <v>3.8865211309750104E-2</v>
      </c>
      <c r="L26" s="16">
        <f>G26/'Clause 6'!$I$11</f>
        <v>439.01963799999999</v>
      </c>
      <c r="M26">
        <f t="shared" si="6"/>
        <v>4</v>
      </c>
      <c r="O26" s="88">
        <f t="shared" si="9"/>
        <v>5.0104637915993067E-3</v>
      </c>
      <c r="P26" s="88">
        <f t="shared" si="7"/>
        <v>-5.5889504423488612E-3</v>
      </c>
      <c r="Q26" s="88">
        <f t="shared" si="7"/>
        <v>-1.9143362329500202E-2</v>
      </c>
      <c r="R26" s="88">
        <f t="shared" si="7"/>
        <v>1.9721848980249979E-2</v>
      </c>
      <c r="S26" s="88">
        <f t="shared" si="7"/>
        <v>0</v>
      </c>
    </row>
    <row r="27" spans="1:49" x14ac:dyDescent="0.35">
      <c r="A27" s="11" t="s">
        <v>82</v>
      </c>
      <c r="B27" s="16">
        <f t="shared" si="10"/>
        <v>338.69622800000002</v>
      </c>
      <c r="C27" s="16">
        <f t="shared" si="10"/>
        <v>332.08950800000002</v>
      </c>
      <c r="D27" s="16">
        <f t="shared" si="10"/>
        <v>333.38943499999999</v>
      </c>
      <c r="E27" s="16">
        <f t="shared" si="10"/>
        <v>346.29025300000001</v>
      </c>
      <c r="F27" s="16"/>
      <c r="G27" s="24">
        <f t="shared" si="1"/>
        <v>337.616356</v>
      </c>
      <c r="H27" s="36">
        <f t="shared" si="2"/>
        <v>16452.561158884233</v>
      </c>
      <c r="I27" s="34">
        <f t="shared" si="3"/>
        <v>1.6545535435819811E-2</v>
      </c>
      <c r="J27" s="34">
        <f t="shared" si="4"/>
        <v>0.11</v>
      </c>
      <c r="K27" s="34">
        <f t="shared" si="5"/>
        <v>4.206178032441054E-2</v>
      </c>
      <c r="L27" s="16">
        <f>G27/'Clause 6'!$I$11</f>
        <v>337.616356</v>
      </c>
      <c r="M27">
        <f t="shared" si="6"/>
        <v>4</v>
      </c>
      <c r="O27" s="88">
        <f t="shared" si="9"/>
        <v>3.1985180244051836E-3</v>
      </c>
      <c r="P27" s="88">
        <f t="shared" si="7"/>
        <v>-1.6370202159281533E-2</v>
      </c>
      <c r="Q27" s="88">
        <f t="shared" si="7"/>
        <v>-1.2519894030252554E-2</v>
      </c>
      <c r="R27" s="88">
        <f t="shared" si="7"/>
        <v>2.5691578165129014E-2</v>
      </c>
      <c r="S27" s="88">
        <f t="shared" si="7"/>
        <v>0</v>
      </c>
    </row>
    <row r="28" spans="1:49" x14ac:dyDescent="0.35">
      <c r="A28" s="11" t="s">
        <v>83</v>
      </c>
      <c r="B28" s="16">
        <f t="shared" si="10"/>
        <v>263.81738300000001</v>
      </c>
      <c r="C28" s="16">
        <f t="shared" si="10"/>
        <v>252.65943899999999</v>
      </c>
      <c r="D28" s="16">
        <f t="shared" si="10"/>
        <v>255.04037500000001</v>
      </c>
      <c r="E28" s="16">
        <f t="shared" si="10"/>
        <v>268.78817700000002</v>
      </c>
      <c r="F28" s="16"/>
      <c r="G28" s="24">
        <f t="shared" si="1"/>
        <v>260.07634350000001</v>
      </c>
      <c r="H28" s="36">
        <f t="shared" si="2"/>
        <v>12673.917810465126</v>
      </c>
      <c r="I28" s="34">
        <f t="shared" si="3"/>
        <v>2.5085867801338878E-2</v>
      </c>
      <c r="J28" s="34">
        <f t="shared" si="4"/>
        <v>0.11</v>
      </c>
      <c r="K28" s="34">
        <f t="shared" si="5"/>
        <v>6.2015398182495698E-2</v>
      </c>
      <c r="L28" s="16">
        <f>G28/'Clause 6'!$I$11</f>
        <v>260.07634350000001</v>
      </c>
      <c r="M28">
        <f t="shared" si="6"/>
        <v>4</v>
      </c>
      <c r="O28" s="88">
        <f t="shared" si="9"/>
        <v>1.4384389789761753E-2</v>
      </c>
      <c r="P28" s="88">
        <f t="shared" si="7"/>
        <v>-2.8518182008353321E-2</v>
      </c>
      <c r="Q28" s="88">
        <f t="shared" si="7"/>
        <v>-1.9363423955550907E-2</v>
      </c>
      <c r="R28" s="88">
        <f t="shared" si="7"/>
        <v>3.3497216174142475E-2</v>
      </c>
      <c r="S28" s="88">
        <f t="shared" si="7"/>
        <v>0</v>
      </c>
    </row>
    <row r="29" spans="1:49" x14ac:dyDescent="0.35">
      <c r="A29" s="11" t="s">
        <v>84</v>
      </c>
      <c r="B29" s="16">
        <f t="shared" si="10"/>
        <v>201.563446</v>
      </c>
      <c r="C29" s="16">
        <f t="shared" si="10"/>
        <v>195.18241900000001</v>
      </c>
      <c r="D29" s="16">
        <f t="shared" si="10"/>
        <v>194.35029599999999</v>
      </c>
      <c r="E29" s="16">
        <f t="shared" si="10"/>
        <v>205.59724399999999</v>
      </c>
      <c r="F29" s="16"/>
      <c r="G29" s="24">
        <f t="shared" si="1"/>
        <v>199.17335125</v>
      </c>
      <c r="H29" s="36">
        <f t="shared" si="2"/>
        <v>9706.0218926732232</v>
      </c>
      <c r="I29" s="34">
        <f t="shared" si="3"/>
        <v>2.3303044791444929E-2</v>
      </c>
      <c r="J29" s="34">
        <f t="shared" si="4"/>
        <v>0.113</v>
      </c>
      <c r="K29" s="34">
        <f t="shared" si="5"/>
        <v>5.6468136572562708E-2</v>
      </c>
      <c r="L29" s="16">
        <f>G29/'Clause 6'!$I$11</f>
        <v>199.17335125</v>
      </c>
      <c r="M29">
        <f t="shared" si="6"/>
        <v>4</v>
      </c>
      <c r="O29" s="88">
        <f t="shared" si="9"/>
        <v>1.2000072976630305E-2</v>
      </c>
      <c r="P29" s="88">
        <f t="shared" si="7"/>
        <v>-2.0037481043287841E-2</v>
      </c>
      <c r="Q29" s="88">
        <f t="shared" si="7"/>
        <v>-2.4215364252952565E-2</v>
      </c>
      <c r="R29" s="88">
        <f t="shared" si="7"/>
        <v>3.2252772319610212E-2</v>
      </c>
      <c r="S29" s="88">
        <f t="shared" si="7"/>
        <v>0</v>
      </c>
    </row>
    <row r="30" spans="1:49" x14ac:dyDescent="0.35">
      <c r="A30" s="11" t="s">
        <v>85</v>
      </c>
      <c r="B30" s="16">
        <f t="shared" si="10"/>
        <v>150.301895</v>
      </c>
      <c r="C30" s="16">
        <f t="shared" si="10"/>
        <v>149.081039</v>
      </c>
      <c r="D30" s="16">
        <f t="shared" si="10"/>
        <v>149.08647199999999</v>
      </c>
      <c r="E30" s="16">
        <f t="shared" si="10"/>
        <v>156.51594499999999</v>
      </c>
      <c r="F30" s="16"/>
      <c r="G30" s="24">
        <f t="shared" si="1"/>
        <v>151.24633774999998</v>
      </c>
      <c r="H30" s="36">
        <f t="shared" si="2"/>
        <v>7370.4652563963336</v>
      </c>
      <c r="I30" s="34">
        <f t="shared" si="3"/>
        <v>2.0382547936031534E-2</v>
      </c>
      <c r="J30" s="34">
        <f t="shared" si="4"/>
        <v>0.113</v>
      </c>
      <c r="K30" s="34">
        <f t="shared" si="5"/>
        <v>4.9157593569567171E-2</v>
      </c>
      <c r="L30" s="16">
        <f>G30/'Clause 6'!$I$11</f>
        <v>151.24633774999998</v>
      </c>
      <c r="M30">
        <f t="shared" si="6"/>
        <v>4</v>
      </c>
      <c r="O30" s="88">
        <f t="shared" si="9"/>
        <v>-6.244400783846249E-3</v>
      </c>
      <c r="P30" s="88">
        <f t="shared" si="7"/>
        <v>-1.4316371438884534E-2</v>
      </c>
      <c r="Q30" s="88">
        <f t="shared" si="7"/>
        <v>-1.428044990795152E-2</v>
      </c>
      <c r="R30" s="88">
        <f t="shared" si="7"/>
        <v>3.4841222130682636E-2</v>
      </c>
      <c r="S30" s="88">
        <f t="shared" si="7"/>
        <v>0</v>
      </c>
    </row>
    <row r="31" spans="1:49" x14ac:dyDescent="0.35">
      <c r="A31" s="11" t="s">
        <v>86</v>
      </c>
      <c r="B31" s="16">
        <f t="shared" si="10"/>
        <v>112.862465</v>
      </c>
      <c r="C31" s="16">
        <f t="shared" si="10"/>
        <v>109.86494399999999</v>
      </c>
      <c r="D31" s="16">
        <f t="shared" si="10"/>
        <v>110.62236799999999</v>
      </c>
      <c r="E31" s="16">
        <f t="shared" si="10"/>
        <v>119.024681</v>
      </c>
      <c r="F31" s="16"/>
      <c r="G31" s="24">
        <f t="shared" si="1"/>
        <v>113.0936145</v>
      </c>
      <c r="H31" s="36">
        <f t="shared" si="2"/>
        <v>5511.2247264481666</v>
      </c>
      <c r="I31" s="34">
        <f t="shared" si="3"/>
        <v>3.1808187470696116E-2</v>
      </c>
      <c r="J31" s="34">
        <f t="shared" si="4"/>
        <v>0.113</v>
      </c>
      <c r="K31" s="34">
        <f t="shared" si="5"/>
        <v>8.0992521465480319E-2</v>
      </c>
      <c r="L31" s="16">
        <f>G31/'Clause 6'!$I$11</f>
        <v>113.0936145</v>
      </c>
      <c r="M31">
        <f t="shared" si="6"/>
        <v>4</v>
      </c>
      <c r="O31" s="88">
        <f t="shared" si="9"/>
        <v>-2.0438775524325159E-3</v>
      </c>
      <c r="P31" s="88">
        <f t="shared" si="7"/>
        <v>-2.8548654265533324E-2</v>
      </c>
      <c r="Q31" s="88">
        <f t="shared" si="7"/>
        <v>-2.1851335381981363E-2</v>
      </c>
      <c r="R31" s="88">
        <f t="shared" si="7"/>
        <v>5.2443867199946981E-2</v>
      </c>
      <c r="S31" s="88">
        <f t="shared" si="7"/>
        <v>0</v>
      </c>
    </row>
    <row r="32" spans="1:49" x14ac:dyDescent="0.35">
      <c r="A32" s="11" t="s">
        <v>87</v>
      </c>
      <c r="B32" s="16">
        <f t="shared" si="10"/>
        <v>84.891730999999993</v>
      </c>
      <c r="C32" s="16">
        <f t="shared" si="10"/>
        <v>81.924721000000005</v>
      </c>
      <c r="D32" s="16">
        <f t="shared" si="10"/>
        <v>84.438354000000004</v>
      </c>
      <c r="E32" s="16">
        <f t="shared" si="10"/>
        <v>90.503105000000005</v>
      </c>
      <c r="F32" s="16"/>
      <c r="G32" s="24">
        <f t="shared" si="1"/>
        <v>85.439477750000009</v>
      </c>
      <c r="H32" s="36">
        <f t="shared" si="2"/>
        <v>4163.5963663591101</v>
      </c>
      <c r="I32" s="34">
        <f t="shared" si="3"/>
        <v>3.6684804276786775E-2</v>
      </c>
      <c r="J32" s="34">
        <f t="shared" si="4"/>
        <v>0.11900000000000001</v>
      </c>
      <c r="K32" s="34">
        <f t="shared" si="5"/>
        <v>0.1004030481682105</v>
      </c>
      <c r="L32" s="16">
        <f>G32/'Clause 6'!$I$11</f>
        <v>85.439477750000009</v>
      </c>
      <c r="M32">
        <f t="shared" si="6"/>
        <v>4</v>
      </c>
      <c r="O32" s="88">
        <f t="shared" si="9"/>
        <v>-6.4109327962273976E-3</v>
      </c>
      <c r="P32" s="88">
        <f t="shared" si="7"/>
        <v>-4.1137385697561868E-2</v>
      </c>
      <c r="Q32" s="88">
        <f t="shared" si="7"/>
        <v>-1.1717343976859751E-2</v>
      </c>
      <c r="R32" s="88">
        <f t="shared" si="7"/>
        <v>5.9265662470648683E-2</v>
      </c>
      <c r="S32" s="88">
        <f t="shared" si="7"/>
        <v>0</v>
      </c>
    </row>
    <row r="33" spans="1:19" x14ac:dyDescent="0.35">
      <c r="A33" s="11" t="s">
        <v>88</v>
      </c>
      <c r="B33" s="16">
        <f t="shared" si="10"/>
        <v>61.927428999999997</v>
      </c>
      <c r="C33" s="16">
        <f t="shared" si="10"/>
        <v>62.266781000000002</v>
      </c>
      <c r="D33" s="16">
        <f t="shared" si="10"/>
        <v>61.501975999999999</v>
      </c>
      <c r="E33" s="16">
        <f t="shared" si="10"/>
        <v>67.423805000000002</v>
      </c>
      <c r="F33" s="16"/>
      <c r="G33" s="24">
        <f t="shared" si="1"/>
        <v>63.279997750000007</v>
      </c>
      <c r="H33" s="36">
        <f t="shared" si="2"/>
        <v>3083.7310296540604</v>
      </c>
      <c r="I33" s="34">
        <f t="shared" si="3"/>
        <v>3.8048746018709959E-2</v>
      </c>
      <c r="J33" s="34">
        <f t="shared" si="4"/>
        <v>0.11900000000000001</v>
      </c>
      <c r="K33" s="34">
        <f t="shared" si="5"/>
        <v>9.3581371848263095E-2</v>
      </c>
      <c r="L33" s="16">
        <f>G33/'Clause 6'!$I$11</f>
        <v>63.279997750000007</v>
      </c>
      <c r="M33">
        <f t="shared" si="6"/>
        <v>4</v>
      </c>
      <c r="O33" s="88">
        <f t="shared" si="9"/>
        <v>-2.1374348895263795E-2</v>
      </c>
      <c r="P33" s="88">
        <f t="shared" si="7"/>
        <v>-1.6011643268429188E-2</v>
      </c>
      <c r="Q33" s="88">
        <f t="shared" si="7"/>
        <v>-2.8097689842285223E-2</v>
      </c>
      <c r="R33" s="88">
        <f t="shared" si="7"/>
        <v>6.5483682005977872E-2</v>
      </c>
      <c r="S33" s="88">
        <f t="shared" si="7"/>
        <v>0</v>
      </c>
    </row>
    <row r="34" spans="1:19" x14ac:dyDescent="0.35">
      <c r="A34" s="11" t="s">
        <v>89</v>
      </c>
      <c r="B34" s="16">
        <f t="shared" si="10"/>
        <v>44.622574</v>
      </c>
      <c r="C34" s="16">
        <f t="shared" si="10"/>
        <v>46.600299999999997</v>
      </c>
      <c r="D34" s="16">
        <f t="shared" si="10"/>
        <v>45.568294999999999</v>
      </c>
      <c r="E34" s="16">
        <f t="shared" si="10"/>
        <v>48.577388999999997</v>
      </c>
      <c r="F34" s="16"/>
      <c r="G34" s="24">
        <f t="shared" si="1"/>
        <v>46.342139500000002</v>
      </c>
      <c r="H34" s="36">
        <f t="shared" si="2"/>
        <v>2258.3233033807605</v>
      </c>
      <c r="I34" s="34">
        <f t="shared" si="3"/>
        <v>3.1674918882657804E-2</v>
      </c>
      <c r="J34" s="34">
        <f t="shared" si="4"/>
        <v>0.11900000000000001</v>
      </c>
      <c r="K34" s="34">
        <f t="shared" si="5"/>
        <v>8.5339499700914673E-2</v>
      </c>
      <c r="L34" s="16">
        <f>G34/'Clause 6'!$I$11</f>
        <v>46.342139500000002</v>
      </c>
      <c r="M34">
        <f t="shared" si="6"/>
        <v>4</v>
      </c>
      <c r="O34" s="88">
        <f t="shared" si="9"/>
        <v>-3.7105872075673174E-2</v>
      </c>
      <c r="P34" s="88">
        <f t="shared" si="7"/>
        <v>5.5707505692523807E-3</v>
      </c>
      <c r="Q34" s="88">
        <f t="shared" si="7"/>
        <v>-1.6698506118820955E-2</v>
      </c>
      <c r="R34" s="88">
        <f t="shared" si="7"/>
        <v>4.8233627625241526E-2</v>
      </c>
      <c r="S34" s="88">
        <f t="shared" si="7"/>
        <v>0</v>
      </c>
    </row>
    <row r="35" spans="1:19" x14ac:dyDescent="0.35">
      <c r="A35" s="11" t="s">
        <v>90</v>
      </c>
      <c r="B35" s="16">
        <f t="shared" si="10"/>
        <v>32.977173000000001</v>
      </c>
      <c r="C35" s="16"/>
      <c r="D35" s="16">
        <f t="shared" si="10"/>
        <v>33.491173000000003</v>
      </c>
      <c r="E35" s="16">
        <f t="shared" si="10"/>
        <v>34.064644000000001</v>
      </c>
      <c r="F35" s="16"/>
      <c r="G35" s="24">
        <f t="shared" si="1"/>
        <v>33.510996666666664</v>
      </c>
      <c r="H35" s="36">
        <f t="shared" si="2"/>
        <v>1633.0420975028205</v>
      </c>
      <c r="I35" s="34">
        <f t="shared" si="3"/>
        <v>1.3254735992463525E-2</v>
      </c>
      <c r="J35" s="34">
        <f t="shared" si="4"/>
        <v>0.13400000000000001</v>
      </c>
      <c r="K35" s="34">
        <f t="shared" si="5"/>
        <v>3.2451168516921682E-2</v>
      </c>
      <c r="L35" s="16">
        <f>G35/'Clause 6'!$I$11</f>
        <v>33.510996666666664</v>
      </c>
      <c r="M35">
        <f t="shared" si="6"/>
        <v>3</v>
      </c>
      <c r="O35" s="88">
        <f t="shared" si="9"/>
        <v>-1.5929805728447821E-2</v>
      </c>
      <c r="P35" s="88">
        <f t="shared" si="7"/>
        <v>0</v>
      </c>
      <c r="Q35" s="88">
        <f t="shared" si="7"/>
        <v>-5.9155706002556041E-4</v>
      </c>
      <c r="R35" s="88">
        <f t="shared" si="7"/>
        <v>1.6521362788473937E-2</v>
      </c>
      <c r="S35" s="88">
        <f t="shared" si="7"/>
        <v>0</v>
      </c>
    </row>
    <row r="36" spans="1:19" x14ac:dyDescent="0.35">
      <c r="A36" s="11" t="s">
        <v>91</v>
      </c>
      <c r="B36" s="16">
        <f t="shared" si="10"/>
        <v>22.637794</v>
      </c>
      <c r="C36" s="16"/>
      <c r="D36" s="16">
        <f t="shared" si="10"/>
        <v>23.342334999999999</v>
      </c>
      <c r="E36" s="16">
        <f t="shared" si="10"/>
        <v>23.280864999999999</v>
      </c>
      <c r="F36" s="16"/>
      <c r="G36" s="24">
        <f t="shared" si="1"/>
        <v>23.086997999999998</v>
      </c>
      <c r="H36" s="36">
        <f t="shared" si="2"/>
        <v>1125.0647067881923</v>
      </c>
      <c r="I36" s="34">
        <f t="shared" si="3"/>
        <v>1.3801057138444633E-2</v>
      </c>
      <c r="J36" s="34">
        <f t="shared" si="4"/>
        <v>0.13400000000000001</v>
      </c>
      <c r="K36" s="34">
        <f t="shared" si="5"/>
        <v>3.0516786981139733E-2</v>
      </c>
      <c r="L36" s="16">
        <f>G36/'Clause 6'!$I$11</f>
        <v>23.086997999999998</v>
      </c>
      <c r="M36">
        <f t="shared" si="6"/>
        <v>3</v>
      </c>
      <c r="O36" s="88">
        <f t="shared" si="9"/>
        <v>-1.9457012124313389E-2</v>
      </c>
      <c r="P36" s="88">
        <f t="shared" si="7"/>
        <v>0</v>
      </c>
      <c r="Q36" s="88">
        <f t="shared" si="7"/>
        <v>1.105977485682641E-2</v>
      </c>
      <c r="R36" s="88">
        <f t="shared" si="7"/>
        <v>8.3972372674872009E-3</v>
      </c>
      <c r="S36" s="88">
        <f t="shared" si="7"/>
        <v>0</v>
      </c>
    </row>
    <row r="37" spans="1:19" x14ac:dyDescent="0.35">
      <c r="A37" s="11" t="s">
        <v>92</v>
      </c>
      <c r="B37" s="16">
        <f t="shared" si="10"/>
        <v>14.148622</v>
      </c>
      <c r="C37" s="16">
        <f t="shared" si="10"/>
        <v>17.761998999999999</v>
      </c>
      <c r="D37" s="16">
        <f t="shared" si="10"/>
        <v>18.267914000000001</v>
      </c>
      <c r="E37" s="16">
        <f t="shared" si="10"/>
        <v>16.629189</v>
      </c>
      <c r="F37" s="16"/>
      <c r="G37" s="24">
        <f t="shared" si="1"/>
        <v>16.701930999999998</v>
      </c>
      <c r="H37" s="36">
        <f t="shared" si="2"/>
        <v>813.91063070701614</v>
      </c>
      <c r="I37" s="34">
        <f t="shared" si="3"/>
        <v>9.514360359331854E-2</v>
      </c>
      <c r="J37" s="34">
        <f t="shared" si="4"/>
        <v>0.156</v>
      </c>
      <c r="K37" s="34">
        <f t="shared" si="5"/>
        <v>0.24663567344398693</v>
      </c>
      <c r="L37" s="16">
        <f>G37/'Clause 6'!$I$11</f>
        <v>16.701930999999998</v>
      </c>
      <c r="M37">
        <f t="shared" si="6"/>
        <v>4</v>
      </c>
      <c r="O37" s="88">
        <f t="shared" si="9"/>
        <v>-0.15287507773801723</v>
      </c>
      <c r="P37" s="88">
        <f t="shared" si="7"/>
        <v>6.3469786816865659E-2</v>
      </c>
      <c r="Q37" s="88">
        <f t="shared" si="7"/>
        <v>9.3760595705969729E-2</v>
      </c>
      <c r="R37" s="88">
        <f t="shared" si="7"/>
        <v>-4.3553047848178261E-3</v>
      </c>
      <c r="S37" s="88">
        <f t="shared" si="7"/>
        <v>0</v>
      </c>
    </row>
    <row r="38" spans="1:19" x14ac:dyDescent="0.35">
      <c r="A38" s="11" t="s">
        <v>93</v>
      </c>
      <c r="B38" s="16">
        <f t="shared" si="10"/>
        <v>11.427732000000001</v>
      </c>
      <c r="C38" s="16">
        <f t="shared" si="10"/>
        <v>12.473312999999999</v>
      </c>
      <c r="D38" s="16">
        <f t="shared" si="10"/>
        <v>12.178609</v>
      </c>
      <c r="E38" s="16">
        <f t="shared" si="10"/>
        <v>10.279862</v>
      </c>
      <c r="F38" s="16"/>
      <c r="G38" s="24">
        <f t="shared" si="1"/>
        <v>11.589879</v>
      </c>
      <c r="H38" s="36">
        <f t="shared" si="2"/>
        <v>564.79252169752124</v>
      </c>
      <c r="I38" s="34">
        <f t="shared" si="3"/>
        <v>7.3079207011492148E-2</v>
      </c>
      <c r="J38" s="34">
        <f t="shared" si="4"/>
        <v>0.156</v>
      </c>
      <c r="K38" s="34">
        <f t="shared" si="5"/>
        <v>0.18925572907189106</v>
      </c>
      <c r="L38" s="16">
        <f>G38/'Clause 6'!$I$11</f>
        <v>11.589879</v>
      </c>
      <c r="M38">
        <f t="shared" si="6"/>
        <v>4</v>
      </c>
      <c r="O38" s="88">
        <f t="shared" si="9"/>
        <v>-1.3990396275923134E-2</v>
      </c>
      <c r="P38" s="88">
        <f t="shared" si="7"/>
        <v>7.622460941999476E-2</v>
      </c>
      <c r="Q38" s="88">
        <f t="shared" si="7"/>
        <v>5.0796906507824646E-2</v>
      </c>
      <c r="R38" s="88">
        <f t="shared" si="7"/>
        <v>-0.11303111965189627</v>
      </c>
      <c r="S38" s="88">
        <f t="shared" si="7"/>
        <v>0</v>
      </c>
    </row>
    <row r="40" spans="1:19" x14ac:dyDescent="0.35">
      <c r="A40" t="s">
        <v>94</v>
      </c>
    </row>
    <row r="41" spans="1:19" ht="15" x14ac:dyDescent="0.5">
      <c r="A41" s="38"/>
      <c r="B41" s="39" t="s">
        <v>95</v>
      </c>
      <c r="C41" s="38"/>
      <c r="D41" s="40" t="s">
        <v>96</v>
      </c>
      <c r="E41" s="41"/>
      <c r="F41" s="41"/>
      <c r="G41" s="41"/>
      <c r="H41" s="42"/>
    </row>
    <row r="42" spans="1:19" ht="15" x14ac:dyDescent="0.5">
      <c r="A42" s="43" t="s">
        <v>97</v>
      </c>
      <c r="B42" s="44" t="s">
        <v>98</v>
      </c>
      <c r="C42" s="43" t="s">
        <v>99</v>
      </c>
      <c r="D42" s="43" t="s">
        <v>100</v>
      </c>
      <c r="E42" s="44" t="s">
        <v>101</v>
      </c>
      <c r="F42" s="44" t="s">
        <v>102</v>
      </c>
      <c r="G42" s="44" t="s">
        <v>103</v>
      </c>
      <c r="H42" s="45" t="s">
        <v>104</v>
      </c>
    </row>
    <row r="43" spans="1:19" x14ac:dyDescent="0.35">
      <c r="A43" s="46">
        <v>10000</v>
      </c>
      <c r="C43" s="46">
        <v>11</v>
      </c>
      <c r="D43" s="46">
        <v>7.8</v>
      </c>
      <c r="E43">
        <v>5.3</v>
      </c>
      <c r="F43">
        <v>4</v>
      </c>
      <c r="G43">
        <v>2.7</v>
      </c>
      <c r="H43" s="47">
        <v>1.8</v>
      </c>
    </row>
    <row r="44" spans="1:19" x14ac:dyDescent="0.35">
      <c r="A44" s="46">
        <v>5000</v>
      </c>
      <c r="B44">
        <v>10000</v>
      </c>
      <c r="C44" s="46">
        <v>11.3</v>
      </c>
      <c r="D44" s="46">
        <v>7.8</v>
      </c>
      <c r="E44">
        <v>5.3</v>
      </c>
      <c r="F44">
        <v>4</v>
      </c>
      <c r="G44">
        <v>2.7</v>
      </c>
      <c r="H44" s="47">
        <v>1.9</v>
      </c>
    </row>
    <row r="45" spans="1:19" x14ac:dyDescent="0.35">
      <c r="A45" s="46">
        <v>2000</v>
      </c>
      <c r="B45">
        <v>5000</v>
      </c>
      <c r="C45" s="46">
        <v>11.9</v>
      </c>
      <c r="D45" s="46">
        <v>7.9</v>
      </c>
      <c r="E45">
        <v>5.4</v>
      </c>
      <c r="F45">
        <v>4.0999999999999996</v>
      </c>
      <c r="G45">
        <v>2.9</v>
      </c>
      <c r="H45" s="47">
        <v>2.1</v>
      </c>
    </row>
    <row r="46" spans="1:19" x14ac:dyDescent="0.35">
      <c r="A46" s="46">
        <v>1000</v>
      </c>
      <c r="B46">
        <v>2000</v>
      </c>
      <c r="C46" s="46">
        <v>13.4</v>
      </c>
      <c r="D46" s="46">
        <v>8</v>
      </c>
      <c r="E46">
        <v>5.6</v>
      </c>
      <c r="F46">
        <v>4.3</v>
      </c>
      <c r="G46">
        <v>3.1</v>
      </c>
      <c r="H46" s="47">
        <v>2.4</v>
      </c>
    </row>
    <row r="47" spans="1:19" x14ac:dyDescent="0.35">
      <c r="A47" s="46">
        <v>500</v>
      </c>
      <c r="B47">
        <v>1000</v>
      </c>
      <c r="C47" s="46">
        <v>15.6</v>
      </c>
      <c r="D47" s="46">
        <v>8.1999999999999993</v>
      </c>
      <c r="E47">
        <v>5.9</v>
      </c>
      <c r="F47">
        <v>4.7</v>
      </c>
      <c r="G47">
        <v>3.6</v>
      </c>
      <c r="H47" s="47">
        <v>2.9</v>
      </c>
    </row>
    <row r="48" spans="1:19" x14ac:dyDescent="0.35">
      <c r="A48" s="46">
        <v>200</v>
      </c>
      <c r="B48">
        <v>500</v>
      </c>
      <c r="C48" s="46">
        <v>19.3</v>
      </c>
      <c r="D48" s="46">
        <v>8.9</v>
      </c>
      <c r="E48">
        <v>6.8</v>
      </c>
      <c r="F48">
        <v>5.7</v>
      </c>
      <c r="G48">
        <v>4.7</v>
      </c>
      <c r="H48" s="47">
        <v>4.0999999999999996</v>
      </c>
    </row>
    <row r="49" spans="1:16" x14ac:dyDescent="0.35">
      <c r="A49" s="48">
        <v>100</v>
      </c>
      <c r="B49" s="49">
        <v>200</v>
      </c>
      <c r="C49" s="48">
        <v>27.5</v>
      </c>
      <c r="D49" s="48">
        <v>10</v>
      </c>
      <c r="E49" s="49">
        <v>8</v>
      </c>
      <c r="F49" s="49">
        <v>7</v>
      </c>
      <c r="G49" s="49">
        <v>6.1</v>
      </c>
      <c r="H49" s="50">
        <v>5.5</v>
      </c>
    </row>
    <row r="51" spans="1:16" x14ac:dyDescent="0.35">
      <c r="A51" s="52">
        <f>'6 - B1'!A51</f>
        <v>0</v>
      </c>
      <c r="B51" s="53" t="str">
        <f>'6 - B1'!B51</f>
        <v>Portion 1</v>
      </c>
      <c r="C51" s="53" t="str">
        <f>'6 - B1'!C51</f>
        <v>Portion 2</v>
      </c>
      <c r="D51" s="53" t="str">
        <f>'6 - B1'!D51</f>
        <v>Portion 3</v>
      </c>
      <c r="E51" s="53" t="str">
        <f>'6 - B1'!E51</f>
        <v>Portion 4</v>
      </c>
      <c r="F51" s="53" t="str">
        <f>'6 - B1'!F51</f>
        <v>Portion 5</v>
      </c>
      <c r="G51" s="53" t="str">
        <f>'6 - B1'!G51</f>
        <v>Portion 1</v>
      </c>
      <c r="H51" s="53" t="str">
        <f>'6 - B1'!H51</f>
        <v>Portion 2</v>
      </c>
      <c r="I51" s="53" t="str">
        <f>'6 - B1'!I51</f>
        <v>Portion 3</v>
      </c>
      <c r="J51" s="53" t="str">
        <f>'6 - B1'!J51</f>
        <v>Portion 4</v>
      </c>
      <c r="K51" s="53" t="str">
        <f>'6 - B1'!K51</f>
        <v>Portion 5</v>
      </c>
      <c r="L51" s="53" t="str">
        <f>'6 - B1'!L51</f>
        <v>Portion 1</v>
      </c>
      <c r="M51" s="53" t="str">
        <f>'6 - B1'!M51</f>
        <v>Portion 2</v>
      </c>
      <c r="N51" s="53" t="str">
        <f>'6 - B1'!N51</f>
        <v>Portion 3</v>
      </c>
      <c r="O51" s="53" t="str">
        <f>'6 - B1'!O51</f>
        <v>Portion 4</v>
      </c>
      <c r="P51" s="53" t="str">
        <f>'6 - B1'!P51</f>
        <v>Portion 5</v>
      </c>
    </row>
    <row r="52" spans="1:16" x14ac:dyDescent="0.35">
      <c r="A52" s="52" t="str">
        <f>'6 - B1'!A52</f>
        <v>NAME\mL</v>
      </c>
      <c r="B52" s="52">
        <f>'6 - B1'!B52</f>
        <v>9.2982689999999995</v>
      </c>
      <c r="C52" s="52">
        <f>'6 - B1'!C52</f>
        <v>10.025062999999999</v>
      </c>
      <c r="D52" s="52">
        <f>'6 - B1'!D52</f>
        <v>9.9995159999999998</v>
      </c>
      <c r="E52" s="52">
        <f>'6 - B1'!E52</f>
        <v>10.093608</v>
      </c>
      <c r="F52" s="52">
        <f>'6 - B1'!F52</f>
        <v>10.072145000000001</v>
      </c>
      <c r="G52" s="52">
        <f>'6 - B1'!G52</f>
        <v>9.1780740000000005</v>
      </c>
      <c r="H52" s="52">
        <f>'6 - B1'!H52</f>
        <v>10.000737000000001</v>
      </c>
      <c r="I52" s="52">
        <f>'6 - B1'!I52</f>
        <v>9.9297850000000007</v>
      </c>
      <c r="J52" s="52">
        <f>'6 - B1'!J52</f>
        <v>9.9917110000000005</v>
      </c>
      <c r="K52" s="52">
        <f>'6 - B1'!K52</f>
        <v>10.085137</v>
      </c>
      <c r="L52" s="52">
        <f>'6 - B1'!L52</f>
        <v>9.1881740000000001</v>
      </c>
      <c r="M52" s="52">
        <f>'6 - B1'!M52</f>
        <v>10.021395</v>
      </c>
      <c r="N52" s="52">
        <f>'6 - B1'!N52</f>
        <v>9.8533419999999996</v>
      </c>
      <c r="O52" s="52">
        <f>'6 - B1'!O52</f>
        <v>9.9223119999999998</v>
      </c>
      <c r="P52" s="52">
        <f>'6 - B1'!P52</f>
        <v>10.022313</v>
      </c>
    </row>
    <row r="53" spans="1:16" x14ac:dyDescent="0.35">
      <c r="A53" s="52">
        <f>'6 - B1'!A53</f>
        <v>4</v>
      </c>
      <c r="B53" s="52">
        <f>'6 - B1'!B53</f>
        <v>12293.363281</v>
      </c>
      <c r="C53" s="52">
        <f>'6 - B1'!C53</f>
        <v>11936.982421999999</v>
      </c>
      <c r="D53" s="52">
        <f>'6 - B1'!D53</f>
        <v>12435.102539</v>
      </c>
      <c r="E53" s="52">
        <f>'6 - B1'!E53</f>
        <v>12680.004883</v>
      </c>
      <c r="F53" s="52">
        <f>'6 - B1'!F53</f>
        <v>12013.428711</v>
      </c>
      <c r="G53" s="52">
        <f>'6 - B1'!G53</f>
        <v>12376.561523</v>
      </c>
      <c r="H53" s="52">
        <f>'6 - B1'!H53</f>
        <v>13109.533203000001</v>
      </c>
      <c r="I53" s="52">
        <f>'6 - B1'!I53</f>
        <v>12607.422852</v>
      </c>
      <c r="J53" s="52">
        <f>'6 - B1'!J53</f>
        <v>13053.020508</v>
      </c>
      <c r="K53" s="52">
        <f>'6 - B1'!K53</f>
        <v>12753.420898</v>
      </c>
      <c r="L53" s="52">
        <f>'6 - B1'!L53</f>
        <v>12747.254883</v>
      </c>
      <c r="M53" s="52">
        <f>'6 - B1'!M53</f>
        <v>12418.929688</v>
      </c>
      <c r="N53" s="52">
        <f>'6 - B1'!N53</f>
        <v>12443.494140999999</v>
      </c>
      <c r="O53" s="52">
        <f>'6 - B1'!O53</f>
        <v>13101.583984000001</v>
      </c>
      <c r="P53" s="52">
        <f>'6 - B1'!P53</f>
        <v>13393.415039</v>
      </c>
    </row>
    <row r="54" spans="1:16" x14ac:dyDescent="0.35">
      <c r="A54" s="52">
        <f>'6 - B1'!A54</f>
        <v>5</v>
      </c>
      <c r="B54" s="52">
        <f>'6 - B1'!B54</f>
        <v>10675.857421999999</v>
      </c>
      <c r="C54" s="52">
        <f>'6 - B1'!C54</f>
        <v>10326.818359000001</v>
      </c>
      <c r="D54" s="52">
        <f>'6 - B1'!D54</f>
        <v>10813.324219</v>
      </c>
      <c r="E54" s="52">
        <f>'6 - B1'!E54</f>
        <v>11010.631836</v>
      </c>
      <c r="F54" s="52">
        <f>'6 - B1'!F54</f>
        <v>10415.854492</v>
      </c>
      <c r="G54" s="52">
        <f>'6 - B1'!G54</f>
        <v>10684.049805000001</v>
      </c>
      <c r="H54" s="52">
        <f>'6 - B1'!H54</f>
        <v>11383.260742</v>
      </c>
      <c r="I54" s="52">
        <f>'6 - B1'!I54</f>
        <v>10949.583008</v>
      </c>
      <c r="J54" s="52">
        <f>'6 - B1'!J54</f>
        <v>11326.588867</v>
      </c>
      <c r="K54" s="52">
        <f>'6 - B1'!K54</f>
        <v>11061.723633</v>
      </c>
      <c r="L54" s="52">
        <f>'6 - B1'!L54</f>
        <v>11044.196289</v>
      </c>
      <c r="M54" s="52">
        <f>'6 - B1'!M54</f>
        <v>10769.558594</v>
      </c>
      <c r="N54" s="52">
        <f>'6 - B1'!N54</f>
        <v>10830.132812</v>
      </c>
      <c r="O54" s="52">
        <f>'6 - B1'!O54</f>
        <v>11365.194336</v>
      </c>
      <c r="P54" s="52">
        <f>'6 - B1'!P54</f>
        <v>11605.903319999999</v>
      </c>
    </row>
    <row r="55" spans="1:16" x14ac:dyDescent="0.35">
      <c r="A55" s="52">
        <f>'6 - B1'!A55</f>
        <v>6</v>
      </c>
      <c r="B55" s="52">
        <f>'6 - B1'!B55</f>
        <v>9274.4140619999998</v>
      </c>
      <c r="C55" s="52">
        <f>'6 - B1'!C55</f>
        <v>8977.7998050000006</v>
      </c>
      <c r="D55" s="52">
        <f>'6 - B1'!D55</f>
        <v>9398.1552730000003</v>
      </c>
      <c r="E55" s="52">
        <f>'6 - B1'!E55</f>
        <v>9592.0107420000004</v>
      </c>
      <c r="F55" s="52">
        <f>'6 - B1'!F55</f>
        <v>9060.1347659999992</v>
      </c>
      <c r="G55" s="52">
        <f>'6 - B1'!G55</f>
        <v>9292.2548829999996</v>
      </c>
      <c r="H55" s="52">
        <f>'6 - B1'!H55</f>
        <v>9891.4707030000009</v>
      </c>
      <c r="I55" s="52">
        <f>'6 - B1'!I55</f>
        <v>9535.3525389999995</v>
      </c>
      <c r="J55" s="52">
        <f>'6 - B1'!J55</f>
        <v>9841.6582030000009</v>
      </c>
      <c r="K55" s="52">
        <f>'6 - B1'!K55</f>
        <v>9605.1240230000003</v>
      </c>
      <c r="L55" s="52">
        <f>'6 - B1'!L55</f>
        <v>9600.4931639999995</v>
      </c>
      <c r="M55" s="52">
        <f>'6 - B1'!M55</f>
        <v>9377.6367190000001</v>
      </c>
      <c r="N55" s="52">
        <f>'6 - B1'!N55</f>
        <v>9436.5947269999997</v>
      </c>
      <c r="O55" s="52">
        <f>'6 - B1'!O55</f>
        <v>9886.3046880000002</v>
      </c>
      <c r="P55" s="52">
        <f>'6 - B1'!P55</f>
        <v>10080.90625</v>
      </c>
    </row>
    <row r="56" spans="1:16" x14ac:dyDescent="0.35">
      <c r="A56" s="52">
        <f>'6 - B1'!A56</f>
        <v>7</v>
      </c>
      <c r="B56" s="52">
        <f>'6 - B1'!B56</f>
        <v>8048.4873049999997</v>
      </c>
      <c r="C56" s="52">
        <f>'6 - B1'!C56</f>
        <v>7795.7617190000001</v>
      </c>
      <c r="D56" s="52">
        <f>'6 - B1'!D56</f>
        <v>8178.1962890000004</v>
      </c>
      <c r="E56" s="52">
        <f>'6 - B1'!E56</f>
        <v>8328.5380860000005</v>
      </c>
      <c r="F56" s="52">
        <f>'6 - B1'!F56</f>
        <v>7871.8085940000001</v>
      </c>
      <c r="G56" s="52">
        <f>'6 - B1'!G56</f>
        <v>8072.3911129999997</v>
      </c>
      <c r="H56" s="52">
        <f>'6 - B1'!H56</f>
        <v>8580.4677730000003</v>
      </c>
      <c r="I56" s="52">
        <f>'6 - B1'!I56</f>
        <v>8314.7822269999997</v>
      </c>
      <c r="J56" s="52">
        <f>'6 - B1'!J56</f>
        <v>8553.390625</v>
      </c>
      <c r="K56" s="52">
        <f>'6 - B1'!K56</f>
        <v>8332.3603519999997</v>
      </c>
      <c r="L56" s="52">
        <f>'6 - B1'!L56</f>
        <v>8312.7509769999997</v>
      </c>
      <c r="M56" s="52">
        <f>'6 - B1'!M56</f>
        <v>8154.9526370000003</v>
      </c>
      <c r="N56" s="52">
        <f>'6 - B1'!N56</f>
        <v>8201.3798829999996</v>
      </c>
      <c r="O56" s="52">
        <f>'6 - B1'!O56</f>
        <v>8594.46875</v>
      </c>
      <c r="P56" s="52">
        <f>'6 - B1'!P56</f>
        <v>8734.3105469999991</v>
      </c>
    </row>
    <row r="57" spans="1:16" x14ac:dyDescent="0.35">
      <c r="A57" s="52">
        <f>'6 - B1'!A57</f>
        <v>8</v>
      </c>
      <c r="B57" s="52">
        <f>'6 - B1'!B57</f>
        <v>6978.7182620000003</v>
      </c>
      <c r="C57" s="52">
        <f>'6 - B1'!C57</f>
        <v>6745.1948240000002</v>
      </c>
      <c r="D57" s="52">
        <f>'6 - B1'!D57</f>
        <v>7056.9418949999999</v>
      </c>
      <c r="E57" s="52">
        <f>'6 - B1'!E57</f>
        <v>7210.9003910000001</v>
      </c>
      <c r="F57" s="52">
        <f>'6 - B1'!F57</f>
        <v>6819.1030270000001</v>
      </c>
      <c r="G57" s="52">
        <f>'6 - B1'!G57</f>
        <v>6974.5571289999998</v>
      </c>
      <c r="H57" s="52">
        <f>'6 - B1'!H57</f>
        <v>7415.7534180000002</v>
      </c>
      <c r="I57" s="52">
        <f>'6 - B1'!I57</f>
        <v>7206.7021480000003</v>
      </c>
      <c r="J57" s="52">
        <f>'6 - B1'!J57</f>
        <v>7405.1381840000004</v>
      </c>
      <c r="K57" s="52">
        <f>'6 - B1'!K57</f>
        <v>7199.3071289999998</v>
      </c>
      <c r="L57" s="52">
        <f>'6 - B1'!L57</f>
        <v>7191.5268550000001</v>
      </c>
      <c r="M57" s="52">
        <f>'6 - B1'!M57</f>
        <v>7057.001953</v>
      </c>
      <c r="N57" s="52">
        <f>'6 - B1'!N57</f>
        <v>7108.8569340000004</v>
      </c>
      <c r="O57" s="52">
        <f>'6 - B1'!O57</f>
        <v>7438.2866210000002</v>
      </c>
      <c r="P57" s="52">
        <f>'6 - B1'!P57</f>
        <v>7536.4838870000003</v>
      </c>
    </row>
    <row r="58" spans="1:16" x14ac:dyDescent="0.35">
      <c r="A58" s="52">
        <f>'6 - B1'!A58</f>
        <v>9</v>
      </c>
      <c r="B58" s="52">
        <f>'6 - B1'!B58</f>
        <v>6031.6601559999999</v>
      </c>
      <c r="C58" s="52">
        <f>'6 - B1'!C58</f>
        <v>5811.4350590000004</v>
      </c>
      <c r="D58" s="52">
        <f>'6 - B1'!D58</f>
        <v>6099.095703</v>
      </c>
      <c r="E58" s="52">
        <f>'6 - B1'!E58</f>
        <v>6215.0224609999996</v>
      </c>
      <c r="F58" s="52">
        <f>'6 - B1'!F58</f>
        <v>5881.9643550000001</v>
      </c>
      <c r="G58" s="52">
        <f>'6 - B1'!G58</f>
        <v>6027.0815430000002</v>
      </c>
      <c r="H58" s="52">
        <f>'6 - B1'!H58</f>
        <v>6400.1284180000002</v>
      </c>
      <c r="I58" s="52">
        <f>'6 - B1'!I58</f>
        <v>6222.189453</v>
      </c>
      <c r="J58" s="52">
        <f>'6 - B1'!J58</f>
        <v>6394.8007809999999</v>
      </c>
      <c r="K58" s="52">
        <f>'6 - B1'!K58</f>
        <v>6212.0126950000003</v>
      </c>
      <c r="L58" s="52">
        <f>'6 - B1'!L58</f>
        <v>6215.0541990000002</v>
      </c>
      <c r="M58" s="52">
        <f>'6 - B1'!M58</f>
        <v>6112.9213870000003</v>
      </c>
      <c r="N58" s="52">
        <f>'6 - B1'!N58</f>
        <v>6135.2788090000004</v>
      </c>
      <c r="O58" s="52">
        <f>'6 - B1'!O58</f>
        <v>6427.5341799999997</v>
      </c>
      <c r="P58" s="52">
        <f>'6 - B1'!P58</f>
        <v>6493.9101559999999</v>
      </c>
    </row>
    <row r="59" spans="1:16" x14ac:dyDescent="0.35">
      <c r="A59" s="52">
        <f>'6 - B1'!A59</f>
        <v>10</v>
      </c>
      <c r="B59" s="52">
        <f>'6 - B1'!B59</f>
        <v>5188.169922</v>
      </c>
      <c r="C59" s="52">
        <f>'6 - B1'!C59</f>
        <v>4980.9165039999998</v>
      </c>
      <c r="D59" s="52">
        <f>'6 - B1'!D59</f>
        <v>5221.953125</v>
      </c>
      <c r="E59" s="52">
        <f>'6 - B1'!E59</f>
        <v>5322.0810549999997</v>
      </c>
      <c r="F59" s="52">
        <f>'6 - B1'!F59</f>
        <v>5041.5278319999998</v>
      </c>
      <c r="G59" s="52">
        <f>'6 - B1'!G59</f>
        <v>5165.7895509999998</v>
      </c>
      <c r="H59" s="52">
        <f>'6 - B1'!H59</f>
        <v>5500.8945309999999</v>
      </c>
      <c r="I59" s="52">
        <f>'6 - B1'!I59</f>
        <v>5332.4418949999999</v>
      </c>
      <c r="J59" s="52">
        <f>'6 - B1'!J59</f>
        <v>5479.7421880000002</v>
      </c>
      <c r="K59" s="52">
        <f>'6 - B1'!K59</f>
        <v>5326.2539059999999</v>
      </c>
      <c r="L59" s="52">
        <f>'6 - B1'!L59</f>
        <v>5324.779297</v>
      </c>
      <c r="M59" s="52">
        <f>'6 - B1'!M59</f>
        <v>5253.1611329999996</v>
      </c>
      <c r="N59" s="52">
        <f>'6 - B1'!N59</f>
        <v>5265.3203119999998</v>
      </c>
      <c r="O59" s="52">
        <f>'6 - B1'!O59</f>
        <v>5499.9277339999999</v>
      </c>
      <c r="P59" s="52">
        <f>'6 - B1'!P59</f>
        <v>5572.0668949999999</v>
      </c>
    </row>
    <row r="60" spans="1:16" x14ac:dyDescent="0.35">
      <c r="A60" s="52">
        <f>'6 - B1'!A60</f>
        <v>11</v>
      </c>
      <c r="B60" s="52">
        <f>'6 - B1'!B60</f>
        <v>4412.0039059999999</v>
      </c>
      <c r="C60" s="52">
        <f>'6 - B1'!C60</f>
        <v>4230.7963870000003</v>
      </c>
      <c r="D60" s="52">
        <f>'6 - B1'!D60</f>
        <v>4430.5146480000003</v>
      </c>
      <c r="E60" s="52">
        <f>'6 - B1'!E60</f>
        <v>4511.6669920000004</v>
      </c>
      <c r="F60" s="52">
        <f>'6 - B1'!F60</f>
        <v>4270.8876950000003</v>
      </c>
      <c r="G60" s="52">
        <f>'6 - B1'!G60</f>
        <v>4402.6665039999998</v>
      </c>
      <c r="H60" s="52">
        <f>'6 - B1'!H60</f>
        <v>4689.654297</v>
      </c>
      <c r="I60" s="52">
        <f>'6 - B1'!I60</f>
        <v>4519.7353519999997</v>
      </c>
      <c r="J60" s="52">
        <f>'6 - B1'!J60</f>
        <v>4647.3525390000004</v>
      </c>
      <c r="K60" s="52">
        <f>'6 - B1'!K60</f>
        <v>4507.9208980000003</v>
      </c>
      <c r="L60" s="52">
        <f>'6 - B1'!L60</f>
        <v>4529.7358400000003</v>
      </c>
      <c r="M60" s="52">
        <f>'6 - B1'!M60</f>
        <v>4462.5522460000002</v>
      </c>
      <c r="N60" s="52">
        <f>'6 - B1'!N60</f>
        <v>4476.4506840000004</v>
      </c>
      <c r="O60" s="52">
        <f>'6 - B1'!O60</f>
        <v>4672.8022460000002</v>
      </c>
      <c r="P60" s="52">
        <f>'6 - B1'!P60</f>
        <v>4718.6713870000003</v>
      </c>
    </row>
    <row r="61" spans="1:16" x14ac:dyDescent="0.35">
      <c r="A61" s="52">
        <f>'6 - B1'!A61</f>
        <v>12</v>
      </c>
      <c r="B61" s="52">
        <f>'6 - B1'!B61</f>
        <v>3721.3376459999999</v>
      </c>
      <c r="C61" s="52">
        <f>'6 - B1'!C61</f>
        <v>3556.2871089999999</v>
      </c>
      <c r="D61" s="52">
        <f>'6 - B1'!D61</f>
        <v>3713.179932</v>
      </c>
      <c r="E61" s="52">
        <f>'6 - B1'!E61</f>
        <v>3780.5114749999998</v>
      </c>
      <c r="F61" s="52">
        <f>'6 - B1'!F61</f>
        <v>3579.5749510000001</v>
      </c>
      <c r="G61" s="52">
        <f>'6 - B1'!G61</f>
        <v>3697.3989259999998</v>
      </c>
      <c r="H61" s="52">
        <f>'6 - B1'!H61</f>
        <v>3935.6098630000001</v>
      </c>
      <c r="I61" s="52">
        <f>'6 - B1'!I61</f>
        <v>3789.508057</v>
      </c>
      <c r="J61" s="52">
        <f>'6 - B1'!J61</f>
        <v>3900.233154</v>
      </c>
      <c r="K61" s="52">
        <f>'6 - B1'!K61</f>
        <v>3779.6213379999999</v>
      </c>
      <c r="L61" s="52">
        <f>'6 - B1'!L61</f>
        <v>3825.1342770000001</v>
      </c>
      <c r="M61" s="52">
        <f>'6 - B1'!M61</f>
        <v>3758.5585940000001</v>
      </c>
      <c r="N61" s="52">
        <f>'6 - B1'!N61</f>
        <v>3761.1604000000002</v>
      </c>
      <c r="O61" s="52">
        <f>'6 - B1'!O61</f>
        <v>3933.3576659999999</v>
      </c>
      <c r="P61" s="52">
        <f>'6 - B1'!P61</f>
        <v>3955.5739749999998</v>
      </c>
    </row>
    <row r="62" spans="1:16" x14ac:dyDescent="0.35">
      <c r="A62" s="52">
        <f>'6 - B1'!A62</f>
        <v>13</v>
      </c>
      <c r="B62" s="52">
        <f>'6 - B1'!B62</f>
        <v>3068.743164</v>
      </c>
      <c r="C62" s="52">
        <f>'6 - B1'!C62</f>
        <v>2932.2509770000001</v>
      </c>
      <c r="D62" s="52">
        <f>'6 - B1'!D62</f>
        <v>3076.9489749999998</v>
      </c>
      <c r="E62" s="52">
        <f>'6 - B1'!E62</f>
        <v>3129.9016109999998</v>
      </c>
      <c r="F62" s="52">
        <f>'6 - B1'!F62</f>
        <v>2966.498047</v>
      </c>
      <c r="G62" s="52">
        <f>'6 - B1'!G62</f>
        <v>3065.4580080000001</v>
      </c>
      <c r="H62" s="52">
        <f>'6 - B1'!H62</f>
        <v>3256.5598140000002</v>
      </c>
      <c r="I62" s="52">
        <f>'6 - B1'!I62</f>
        <v>3142.5656739999999</v>
      </c>
      <c r="J62" s="52">
        <f>'6 - B1'!J62</f>
        <v>3229.376953</v>
      </c>
      <c r="K62" s="52">
        <f>'6 - B1'!K62</f>
        <v>3134.3151859999998</v>
      </c>
      <c r="L62" s="52">
        <f>'6 - B1'!L62</f>
        <v>3167.767578</v>
      </c>
      <c r="M62" s="52">
        <f>'6 - B1'!M62</f>
        <v>3123.4174800000001</v>
      </c>
      <c r="N62" s="52">
        <f>'6 - B1'!N62</f>
        <v>3123.7116700000001</v>
      </c>
      <c r="O62" s="52">
        <f>'6 - B1'!O62</f>
        <v>3267.383789</v>
      </c>
      <c r="P62" s="52">
        <f>'6 - B1'!P62</f>
        <v>3277.8859859999998</v>
      </c>
    </row>
    <row r="63" spans="1:16" x14ac:dyDescent="0.35">
      <c r="A63" s="52">
        <f>'6 - B1'!A63</f>
        <v>14</v>
      </c>
      <c r="B63" s="52">
        <f>'6 - B1'!B63</f>
        <v>2504.2294919999999</v>
      </c>
      <c r="C63" s="52">
        <f>'6 - B1'!C63</f>
        <v>2394</v>
      </c>
      <c r="D63" s="52">
        <f>'6 - B1'!D63</f>
        <v>2505.6213379999999</v>
      </c>
      <c r="E63" s="52">
        <f>'6 - B1'!E63</f>
        <v>2545.1750489999999</v>
      </c>
      <c r="F63" s="52">
        <f>'6 - B1'!F63</f>
        <v>2416.1684570000002</v>
      </c>
      <c r="G63" s="52">
        <f>'6 - B1'!G63</f>
        <v>2487.123047</v>
      </c>
      <c r="H63" s="52">
        <f>'6 - B1'!H63</f>
        <v>2648.3046880000002</v>
      </c>
      <c r="I63" s="52">
        <f>'6 - B1'!I63</f>
        <v>2555.443115</v>
      </c>
      <c r="J63" s="52">
        <f>'6 - B1'!J63</f>
        <v>2620.772461</v>
      </c>
      <c r="K63" s="52">
        <f>'6 - B1'!K63</f>
        <v>2565.9541020000001</v>
      </c>
      <c r="L63" s="52">
        <f>'6 - B1'!L63</f>
        <v>2580.3820799999999</v>
      </c>
      <c r="M63" s="52">
        <f>'6 - B1'!M63</f>
        <v>2547.649414</v>
      </c>
      <c r="N63" s="52">
        <f>'6 - B1'!N63</f>
        <v>2549.3889159999999</v>
      </c>
      <c r="O63" s="52">
        <f>'6 - B1'!O63</f>
        <v>2666.7172850000002</v>
      </c>
      <c r="P63" s="52">
        <f>'6 - B1'!P63</f>
        <v>2657.669922</v>
      </c>
    </row>
    <row r="64" spans="1:16" x14ac:dyDescent="0.35">
      <c r="A64" s="52">
        <f>'6 - B1'!A64</f>
        <v>15</v>
      </c>
      <c r="B64" s="52">
        <f>'6 - B1'!B64</f>
        <v>2008.5457759999999</v>
      </c>
      <c r="C64" s="52">
        <f>'6 - B1'!C64</f>
        <v>1922.681274</v>
      </c>
      <c r="D64" s="52">
        <f>'6 - B1'!D64</f>
        <v>2002.7969969999999</v>
      </c>
      <c r="E64" s="52">
        <f>'6 - B1'!E64</f>
        <v>2043.768677</v>
      </c>
      <c r="F64" s="52">
        <f>'6 - B1'!F64</f>
        <v>1926.9975589999999</v>
      </c>
      <c r="G64" s="52">
        <f>'6 - B1'!G64</f>
        <v>1997.8048100000001</v>
      </c>
      <c r="H64" s="52">
        <f>'6 - B1'!H64</f>
        <v>2128.843018</v>
      </c>
      <c r="I64" s="52">
        <f>'6 - B1'!I64</f>
        <v>2049.389893</v>
      </c>
      <c r="J64" s="52">
        <f>'6 - B1'!J64</f>
        <v>2102.6430660000001</v>
      </c>
      <c r="K64" s="52">
        <f>'6 - B1'!K64</f>
        <v>2062.936768</v>
      </c>
      <c r="L64" s="52">
        <f>'6 - B1'!L64</f>
        <v>2072.1201169999999</v>
      </c>
      <c r="M64" s="52">
        <f>'6 - B1'!M64</f>
        <v>2046.820923</v>
      </c>
      <c r="N64" s="52">
        <f>'6 - B1'!N64</f>
        <v>2036.263428</v>
      </c>
      <c r="O64" s="52">
        <f>'6 - B1'!O64</f>
        <v>2133.1721189999998</v>
      </c>
      <c r="P64" s="52">
        <f>'6 - B1'!P64</f>
        <v>2133.539307</v>
      </c>
    </row>
    <row r="65" spans="1:16" x14ac:dyDescent="0.35">
      <c r="A65" s="52">
        <f>'6 - B1'!A65</f>
        <v>16</v>
      </c>
      <c r="B65" s="52">
        <f>'6 - B1'!B65</f>
        <v>1571.690308</v>
      </c>
      <c r="C65" s="52">
        <f>'6 - B1'!C65</f>
        <v>1511.9107670000001</v>
      </c>
      <c r="D65" s="52">
        <f>'6 - B1'!D65</f>
        <v>1580.776611</v>
      </c>
      <c r="E65" s="52">
        <f>'6 - B1'!E65</f>
        <v>1605.2733149999999</v>
      </c>
      <c r="F65" s="52">
        <f>'6 - B1'!F65</f>
        <v>1514.2751459999999</v>
      </c>
      <c r="G65" s="52">
        <f>'6 - B1'!G65</f>
        <v>1564.816284</v>
      </c>
      <c r="H65" s="52">
        <f>'6 - B1'!H65</f>
        <v>1677.3763429999999</v>
      </c>
      <c r="I65" s="52">
        <f>'6 - B1'!I65</f>
        <v>1609.601807</v>
      </c>
      <c r="J65" s="52">
        <f>'6 - B1'!J65</f>
        <v>1653.2705080000001</v>
      </c>
      <c r="K65" s="52">
        <f>'6 - B1'!K65</f>
        <v>1622.089966</v>
      </c>
      <c r="L65" s="52">
        <f>'6 - B1'!L65</f>
        <v>1632.0979</v>
      </c>
      <c r="M65" s="52">
        <f>'6 - B1'!M65</f>
        <v>1614.2463379999999</v>
      </c>
      <c r="N65" s="52">
        <f>'6 - B1'!N65</f>
        <v>1603.7198490000001</v>
      </c>
      <c r="O65" s="52">
        <f>'6 - B1'!O65</f>
        <v>1670.4776609999999</v>
      </c>
      <c r="P65" s="52">
        <f>'6 - B1'!P65</f>
        <v>1683.144409</v>
      </c>
    </row>
    <row r="66" spans="1:16" x14ac:dyDescent="0.35">
      <c r="A66" s="52">
        <f>'6 - B1'!A66</f>
        <v>17</v>
      </c>
      <c r="B66" s="52">
        <f>'6 - B1'!B66</f>
        <v>1217.9686280000001</v>
      </c>
      <c r="C66" s="52">
        <f>'6 - B1'!C66</f>
        <v>1174.755737</v>
      </c>
      <c r="D66" s="52">
        <f>'6 - B1'!D66</f>
        <v>1223.959351</v>
      </c>
      <c r="E66" s="52">
        <f>'6 - B1'!E66</f>
        <v>1236.7232670000001</v>
      </c>
      <c r="F66" s="52">
        <f>'6 - B1'!F66</f>
        <v>1169.9592290000001</v>
      </c>
      <c r="G66" s="52">
        <f>'6 - B1'!G66</f>
        <v>1215.069702</v>
      </c>
      <c r="H66" s="52">
        <f>'6 - B1'!H66</f>
        <v>1293.1046140000001</v>
      </c>
      <c r="I66" s="52">
        <f>'6 - B1'!I66</f>
        <v>1242.524414</v>
      </c>
      <c r="J66" s="52">
        <f>'6 - B1'!J66</f>
        <v>1282.162842</v>
      </c>
      <c r="K66" s="52">
        <f>'6 - B1'!K66</f>
        <v>1259.873779</v>
      </c>
      <c r="L66" s="52">
        <f>'6 - B1'!L66</f>
        <v>1265.322144</v>
      </c>
      <c r="M66" s="52">
        <f>'6 - B1'!M66</f>
        <v>1252.7198490000001</v>
      </c>
      <c r="N66" s="52">
        <f>'6 - B1'!N66</f>
        <v>1250.6416019999999</v>
      </c>
      <c r="O66" s="52">
        <f>'6 - B1'!O66</f>
        <v>1293.0454099999999</v>
      </c>
      <c r="P66" s="52">
        <f>'6 - B1'!P66</f>
        <v>1294.0126949999999</v>
      </c>
    </row>
    <row r="67" spans="1:16" x14ac:dyDescent="0.35">
      <c r="A67" s="52">
        <f>'6 - B1'!A67</f>
        <v>18</v>
      </c>
      <c r="B67" s="52">
        <f>'6 - B1'!B67</f>
        <v>934.58252000000005</v>
      </c>
      <c r="C67" s="52">
        <f>'6 - B1'!C67</f>
        <v>893.56048599999997</v>
      </c>
      <c r="D67" s="52">
        <f>'6 - B1'!D67</f>
        <v>936.44537400000002</v>
      </c>
      <c r="E67" s="52">
        <f>'6 - B1'!E67</f>
        <v>952.48400900000001</v>
      </c>
      <c r="F67" s="52">
        <f>'6 - B1'!F67</f>
        <v>898.12048300000004</v>
      </c>
      <c r="G67" s="52">
        <f>'6 - B1'!G67</f>
        <v>933.52917500000001</v>
      </c>
      <c r="H67" s="52">
        <f>'6 - B1'!H67</f>
        <v>985.62731900000006</v>
      </c>
      <c r="I67" s="52">
        <f>'6 - B1'!I67</f>
        <v>958.53033400000004</v>
      </c>
      <c r="J67" s="52">
        <f>'6 - B1'!J67</f>
        <v>979.41186500000003</v>
      </c>
      <c r="K67" s="52">
        <f>'6 - B1'!K67</f>
        <v>963.39788799999997</v>
      </c>
      <c r="L67" s="52">
        <f>'6 - B1'!L67</f>
        <v>977.23443599999996</v>
      </c>
      <c r="M67" s="52">
        <f>'6 - B1'!M67</f>
        <v>966.73168899999996</v>
      </c>
      <c r="N67" s="52">
        <f>'6 - B1'!N67</f>
        <v>959.978882</v>
      </c>
      <c r="O67" s="52">
        <f>'6 - B1'!O67</f>
        <v>990.19262700000002</v>
      </c>
      <c r="P67" s="52">
        <f>'6 - B1'!P67</f>
        <v>989.19281000000001</v>
      </c>
    </row>
    <row r="68" spans="1:16" x14ac:dyDescent="0.35">
      <c r="A68" s="52">
        <f>'6 - B1'!A68</f>
        <v>19</v>
      </c>
      <c r="B68" s="52">
        <f>'6 - B1'!B68</f>
        <v>721.63964799999997</v>
      </c>
      <c r="C68" s="52">
        <f>'6 - B1'!C68</f>
        <v>677.50201400000003</v>
      </c>
      <c r="D68" s="52">
        <f>'6 - B1'!D68</f>
        <v>711.53448500000002</v>
      </c>
      <c r="E68" s="52">
        <f>'6 - B1'!E68</f>
        <v>727.19287099999997</v>
      </c>
      <c r="F68" s="52">
        <f>'6 - B1'!F68</f>
        <v>678.60418700000002</v>
      </c>
      <c r="G68" s="52">
        <f>'6 - B1'!G68</f>
        <v>710.17077600000005</v>
      </c>
      <c r="H68" s="52">
        <f>'6 - B1'!H68</f>
        <v>754.54437299999995</v>
      </c>
      <c r="I68" s="52">
        <f>'6 - B1'!I68</f>
        <v>730.42871100000002</v>
      </c>
      <c r="J68" s="52">
        <f>'6 - B1'!J68</f>
        <v>744.71734600000002</v>
      </c>
      <c r="K68" s="52">
        <f>'6 - B1'!K68</f>
        <v>735.04205300000001</v>
      </c>
      <c r="L68" s="52">
        <f>'6 - B1'!L68</f>
        <v>749.332764</v>
      </c>
      <c r="M68" s="52">
        <f>'6 - B1'!M68</f>
        <v>742.71099900000002</v>
      </c>
      <c r="N68" s="52">
        <f>'6 - B1'!N68</f>
        <v>733.65972899999997</v>
      </c>
      <c r="O68" s="52">
        <f>'6 - B1'!O68</f>
        <v>755.569885</v>
      </c>
      <c r="P68" s="52">
        <f>'6 - B1'!P68</f>
        <v>752.82025099999998</v>
      </c>
    </row>
    <row r="69" spans="1:16" x14ac:dyDescent="0.35">
      <c r="A69" s="52">
        <f>'6 - B1'!A69</f>
        <v>20</v>
      </c>
      <c r="B69" s="52">
        <f>'6 - B1'!B69</f>
        <v>549.02691700000003</v>
      </c>
      <c r="C69" s="52">
        <f>'6 - B1'!C69</f>
        <v>514.90948500000002</v>
      </c>
      <c r="D69" s="52">
        <f>'6 - B1'!D69</f>
        <v>540.92620799999997</v>
      </c>
      <c r="E69" s="52">
        <f>'6 - B1'!E69</f>
        <v>557.87780799999996</v>
      </c>
      <c r="F69" s="52">
        <f>'6 - B1'!F69</f>
        <v>517.06957999999997</v>
      </c>
      <c r="G69" s="52">
        <f>'6 - B1'!G69</f>
        <v>541.07214399999998</v>
      </c>
      <c r="H69" s="52">
        <f>'6 - B1'!H69</f>
        <v>570.75793499999997</v>
      </c>
      <c r="I69" s="52">
        <f>'6 - B1'!I69</f>
        <v>554.99694799999997</v>
      </c>
      <c r="J69" s="52">
        <f>'6 - B1'!J69</f>
        <v>566.16931199999999</v>
      </c>
      <c r="K69" s="52">
        <f>'6 - B1'!K69</f>
        <v>560.32952899999998</v>
      </c>
      <c r="L69" s="52">
        <f>'6 - B1'!L69</f>
        <v>572.58380099999999</v>
      </c>
      <c r="M69" s="52">
        <f>'6 - B1'!M69</f>
        <v>568.28417999999999</v>
      </c>
      <c r="N69" s="52">
        <f>'6 - B1'!N69</f>
        <v>564.47851600000001</v>
      </c>
      <c r="O69" s="52">
        <f>'6 - B1'!O69</f>
        <v>579.300476</v>
      </c>
      <c r="P69" s="52">
        <f>'6 - B1'!P69</f>
        <v>571.32519500000001</v>
      </c>
    </row>
    <row r="70" spans="1:16" x14ac:dyDescent="0.35">
      <c r="A70" s="52">
        <f>'6 - B1'!A70</f>
        <v>21</v>
      </c>
      <c r="B70" s="52">
        <f>'6 - B1'!B70</f>
        <v>419.970642</v>
      </c>
      <c r="C70" s="52">
        <f>'6 - B1'!C70</f>
        <v>397.40399200000002</v>
      </c>
      <c r="D70" s="52">
        <f>'6 - B1'!D70</f>
        <v>415.32012900000001</v>
      </c>
      <c r="E70" s="52">
        <f>'6 - B1'!E70</f>
        <v>428.88528400000001</v>
      </c>
      <c r="F70" s="52">
        <f>'6 - B1'!F70</f>
        <v>393.75921599999998</v>
      </c>
      <c r="G70" s="52">
        <f>'6 - B1'!G70</f>
        <v>413.37649499999998</v>
      </c>
      <c r="H70" s="52">
        <f>'6 - B1'!H70</f>
        <v>438.96765099999999</v>
      </c>
      <c r="I70" s="52">
        <f>'6 - B1'!I70</f>
        <v>425.99111900000003</v>
      </c>
      <c r="J70" s="52">
        <f>'6 - B1'!J70</f>
        <v>431.05731200000002</v>
      </c>
      <c r="K70" s="52">
        <f>'6 - B1'!K70</f>
        <v>425.37844799999999</v>
      </c>
      <c r="L70" s="52">
        <f>'6 - B1'!L70</f>
        <v>441.21933000000001</v>
      </c>
      <c r="M70" s="52">
        <f>'6 - B1'!M70</f>
        <v>436.56597900000003</v>
      </c>
      <c r="N70" s="52">
        <f>'6 - B1'!N70</f>
        <v>430.61532599999998</v>
      </c>
      <c r="O70" s="52">
        <f>'6 - B1'!O70</f>
        <v>447.67791699999998</v>
      </c>
      <c r="P70" s="52">
        <f>'6 - B1'!P70</f>
        <v>435.02932700000002</v>
      </c>
    </row>
    <row r="71" spans="1:16" x14ac:dyDescent="0.35">
      <c r="A71" s="52">
        <f>'6 - B1'!A71</f>
        <v>22</v>
      </c>
      <c r="B71" s="52">
        <f>'6 - B1'!B71</f>
        <v>320.70483400000001</v>
      </c>
      <c r="C71" s="52">
        <f>'6 - B1'!C71</f>
        <v>306.93075599999997</v>
      </c>
      <c r="D71" s="52">
        <f>'6 - B1'!D71</f>
        <v>320.81555200000003</v>
      </c>
      <c r="E71" s="52">
        <f>'6 - B1'!E71</f>
        <v>332.983002</v>
      </c>
      <c r="F71" s="52">
        <f>'6 - B1'!F71</f>
        <v>305.39669800000001</v>
      </c>
      <c r="G71" s="52">
        <f>'6 - B1'!G71</f>
        <v>319.89282200000002</v>
      </c>
      <c r="H71" s="52">
        <f>'6 - B1'!H71</f>
        <v>336.27520800000002</v>
      </c>
      <c r="I71" s="52">
        <f>'6 - B1'!I71</f>
        <v>322.564911</v>
      </c>
      <c r="J71" s="52">
        <f>'6 - B1'!J71</f>
        <v>327.67163099999999</v>
      </c>
      <c r="K71" s="52">
        <f>'6 - B1'!K71</f>
        <v>326.12347399999999</v>
      </c>
      <c r="L71" s="52">
        <f>'6 - B1'!L71</f>
        <v>338.69622800000002</v>
      </c>
      <c r="M71" s="52">
        <f>'6 - B1'!M71</f>
        <v>332.08950800000002</v>
      </c>
      <c r="N71" s="52">
        <f>'6 - B1'!N71</f>
        <v>333.38943499999999</v>
      </c>
      <c r="O71" s="52">
        <f>'6 - B1'!O71</f>
        <v>346.29025300000001</v>
      </c>
      <c r="P71" s="52">
        <f>'6 - B1'!P71</f>
        <v>332.458191</v>
      </c>
    </row>
    <row r="72" spans="1:16" x14ac:dyDescent="0.35">
      <c r="A72" s="52">
        <f>'6 - B1'!A72</f>
        <v>23</v>
      </c>
      <c r="B72" s="52">
        <f>'6 - B1'!B72</f>
        <v>249.508804</v>
      </c>
      <c r="C72" s="52">
        <f>'6 - B1'!C72</f>
        <v>234.51225299999999</v>
      </c>
      <c r="D72" s="52">
        <f>'6 - B1'!D72</f>
        <v>251.31218000000001</v>
      </c>
      <c r="E72" s="52">
        <f>'6 - B1'!E72</f>
        <v>259.27301</v>
      </c>
      <c r="F72" s="52">
        <f>'6 - B1'!F72</f>
        <v>234.11099200000001</v>
      </c>
      <c r="G72" s="52">
        <f>'6 - B1'!G72</f>
        <v>243.73306299999999</v>
      </c>
      <c r="H72" s="52">
        <f>'6 - B1'!H72</f>
        <v>260.980774</v>
      </c>
      <c r="I72" s="52">
        <f>'6 - B1'!I72</f>
        <v>245.624664</v>
      </c>
      <c r="J72" s="52">
        <f>'6 - B1'!J72</f>
        <v>248.405914</v>
      </c>
      <c r="K72" s="52">
        <f>'6 - B1'!K72</f>
        <v>247.69122300000001</v>
      </c>
      <c r="L72" s="52">
        <f>'6 - B1'!L72</f>
        <v>263.81738300000001</v>
      </c>
      <c r="M72" s="52">
        <f>'6 - B1'!M72</f>
        <v>252.65943899999999</v>
      </c>
      <c r="N72" s="52">
        <f>'6 - B1'!N72</f>
        <v>255.04037500000001</v>
      </c>
      <c r="O72" s="52">
        <f>'6 - B1'!O72</f>
        <v>268.78817700000002</v>
      </c>
      <c r="P72" s="52">
        <f>'6 - B1'!P72</f>
        <v>250.940079</v>
      </c>
    </row>
    <row r="73" spans="1:16" x14ac:dyDescent="0.35">
      <c r="A73" s="52">
        <f>'6 - B1'!A73</f>
        <v>24</v>
      </c>
      <c r="B73" s="52">
        <f>'6 - B1'!B73</f>
        <v>191.325928</v>
      </c>
      <c r="C73" s="52">
        <f>'6 - B1'!C73</f>
        <v>176.85675000000001</v>
      </c>
      <c r="D73" s="52">
        <f>'6 - B1'!D73</f>
        <v>196.20950300000001</v>
      </c>
      <c r="E73" s="52">
        <f>'6 - B1'!E73</f>
        <v>198.04612700000001</v>
      </c>
      <c r="F73" s="52">
        <f>'6 - B1'!F73</f>
        <v>178.809967</v>
      </c>
      <c r="G73" s="52">
        <f>'6 - B1'!G73</f>
        <v>184.025543</v>
      </c>
      <c r="H73" s="52">
        <f>'6 - B1'!H73</f>
        <v>199.3853</v>
      </c>
      <c r="I73" s="52">
        <f>'6 - B1'!I73</f>
        <v>192.45129399999999</v>
      </c>
      <c r="J73" s="52">
        <f>'6 - B1'!J73</f>
        <v>187.65554800000001</v>
      </c>
      <c r="K73" s="52">
        <f>'6 - B1'!K73</f>
        <v>186.31376599999999</v>
      </c>
      <c r="L73" s="52">
        <f>'6 - B1'!L73</f>
        <v>201.563446</v>
      </c>
      <c r="M73" s="52">
        <f>'6 - B1'!M73</f>
        <v>195.18241900000001</v>
      </c>
      <c r="N73" s="52">
        <f>'6 - B1'!N73</f>
        <v>194.35029599999999</v>
      </c>
      <c r="O73" s="52">
        <f>'6 - B1'!O73</f>
        <v>205.59724399999999</v>
      </c>
      <c r="P73" s="52">
        <f>'6 - B1'!P73</f>
        <v>189.27766399999999</v>
      </c>
    </row>
    <row r="74" spans="1:16" x14ac:dyDescent="0.35">
      <c r="A74" s="52">
        <f>'6 - B1'!A74</f>
        <v>25</v>
      </c>
      <c r="B74" s="52">
        <f>'6 - B1'!B74</f>
        <v>145.94113200000001</v>
      </c>
      <c r="C74" s="52">
        <f>'6 - B1'!C74</f>
        <v>133.36575300000001</v>
      </c>
      <c r="D74" s="52">
        <f>'6 - B1'!D74</f>
        <v>149.007217</v>
      </c>
      <c r="E74" s="52">
        <f>'6 - B1'!E74</f>
        <v>153.56253100000001</v>
      </c>
      <c r="F74" s="52">
        <f>'6 - B1'!F74</f>
        <v>138.500778</v>
      </c>
      <c r="G74" s="52">
        <f>'6 - B1'!G74</f>
        <v>142.40460200000001</v>
      </c>
      <c r="H74" s="52">
        <f>'6 - B1'!H74</f>
        <v>151.68881200000001</v>
      </c>
      <c r="I74" s="52">
        <f>'6 - B1'!I74</f>
        <v>143.80976899999999</v>
      </c>
      <c r="J74" s="52">
        <f>'6 - B1'!J74</f>
        <v>137.41390999999999</v>
      </c>
      <c r="K74" s="52">
        <f>'6 - B1'!K74</f>
        <v>138.32235700000001</v>
      </c>
      <c r="L74" s="52">
        <f>'6 - B1'!L74</f>
        <v>150.301895</v>
      </c>
      <c r="M74" s="52">
        <f>'6 - B1'!M74</f>
        <v>149.081039</v>
      </c>
      <c r="N74" s="52">
        <f>'6 - B1'!N74</f>
        <v>149.08647199999999</v>
      </c>
      <c r="O74" s="52">
        <f>'6 - B1'!O74</f>
        <v>156.51594499999999</v>
      </c>
      <c r="P74" s="52">
        <f>'6 - B1'!P74</f>
        <v>142.98097200000001</v>
      </c>
    </row>
    <row r="75" spans="1:16" x14ac:dyDescent="0.35">
      <c r="A75" s="52">
        <f>'6 - B1'!A75</f>
        <v>26</v>
      </c>
      <c r="B75" s="52">
        <f>'6 - B1'!B75</f>
        <v>110.020477</v>
      </c>
      <c r="C75" s="52">
        <f>'6 - B1'!C75</f>
        <v>102.443253</v>
      </c>
      <c r="D75" s="52">
        <f>'6 - B1'!D75</f>
        <v>115.305588</v>
      </c>
      <c r="E75" s="52">
        <f>'6 - B1'!E75</f>
        <v>115.914948</v>
      </c>
      <c r="F75" s="52">
        <f>'6 - B1'!F75</f>
        <v>103.95005</v>
      </c>
      <c r="G75" s="52">
        <f>'6 - B1'!G75</f>
        <v>106.77621499999999</v>
      </c>
      <c r="H75" s="52">
        <f>'6 - B1'!H75</f>
        <v>111.99174499999999</v>
      </c>
      <c r="I75" s="52">
        <f>'6 - B1'!I75</f>
        <v>109.166512</v>
      </c>
      <c r="J75" s="52">
        <f>'6 - B1'!J75</f>
        <v>103.585869</v>
      </c>
      <c r="K75" s="52">
        <f>'6 - B1'!K75</f>
        <v>104.212761</v>
      </c>
      <c r="L75" s="52">
        <f>'6 - B1'!L75</f>
        <v>112.862465</v>
      </c>
      <c r="M75" s="52">
        <f>'6 - B1'!M75</f>
        <v>109.86494399999999</v>
      </c>
      <c r="N75" s="52">
        <f>'6 - B1'!N75</f>
        <v>110.62236799999999</v>
      </c>
      <c r="O75" s="52">
        <f>'6 - B1'!O75</f>
        <v>119.024681</v>
      </c>
      <c r="P75" s="52">
        <f>'6 - B1'!P75</f>
        <v>107.759552</v>
      </c>
    </row>
    <row r="76" spans="1:16" x14ac:dyDescent="0.35">
      <c r="A76" s="52">
        <f>'6 - B1'!A76</f>
        <v>27</v>
      </c>
      <c r="B76" s="52">
        <f>'6 - B1'!B76</f>
        <v>79.692252999999994</v>
      </c>
      <c r="C76" s="52">
        <f>'6 - B1'!C76</f>
        <v>76.707747999999995</v>
      </c>
      <c r="D76" s="52">
        <f>'6 - B1'!D76</f>
        <v>83.604050000000001</v>
      </c>
      <c r="E76" s="52">
        <f>'6 - B1'!E76</f>
        <v>87.976471000000004</v>
      </c>
      <c r="F76" s="52">
        <f>'6 - B1'!F76</f>
        <v>76.647025999999997</v>
      </c>
      <c r="G76" s="52">
        <f>'6 - B1'!G76</f>
        <v>79.319473000000002</v>
      </c>
      <c r="H76" s="52">
        <f>'6 - B1'!H76</f>
        <v>85.693680000000001</v>
      </c>
      <c r="I76" s="52">
        <f>'6 - B1'!I76</f>
        <v>78.853675999999993</v>
      </c>
      <c r="J76" s="52">
        <f>'6 - B1'!J76</f>
        <v>78.765288999999996</v>
      </c>
      <c r="K76" s="52">
        <f>'6 - B1'!K76</f>
        <v>77.638999999999996</v>
      </c>
      <c r="L76" s="52">
        <f>'6 - B1'!L76</f>
        <v>84.891730999999993</v>
      </c>
      <c r="M76" s="52">
        <f>'6 - B1'!M76</f>
        <v>81.924721000000005</v>
      </c>
      <c r="N76" s="52">
        <f>'6 - B1'!N76</f>
        <v>84.438354000000004</v>
      </c>
      <c r="O76" s="52">
        <f>'6 - B1'!O76</f>
        <v>90.503105000000005</v>
      </c>
      <c r="P76" s="52">
        <f>'6 - B1'!P76</f>
        <v>78.624565000000004</v>
      </c>
    </row>
    <row r="77" spans="1:16" x14ac:dyDescent="0.35">
      <c r="A77" s="52">
        <f>'6 - B1'!A77</f>
        <v>28</v>
      </c>
      <c r="B77" s="52">
        <f>'6 - B1'!B77</f>
        <v>60.011169000000002</v>
      </c>
      <c r="C77" s="52">
        <f>'6 - B1'!C77</f>
        <v>56.358749000000003</v>
      </c>
      <c r="D77" s="52">
        <f>'6 - B1'!D77</f>
        <v>61.602984999999997</v>
      </c>
      <c r="E77" s="52">
        <f>'6 - B1'!E77</f>
        <v>62.911102</v>
      </c>
      <c r="F77" s="52">
        <f>'6 - B1'!F77</f>
        <v>56.492432000000001</v>
      </c>
      <c r="G77" s="52">
        <f>'6 - B1'!G77</f>
        <v>56.003036000000002</v>
      </c>
      <c r="H77" s="52">
        <f>'6 - B1'!H77</f>
        <v>63.995280999999999</v>
      </c>
      <c r="I77" s="52">
        <f>'6 - B1'!I77</f>
        <v>58.108006000000003</v>
      </c>
      <c r="J77" s="52">
        <f>'6 - B1'!J77</f>
        <v>56.346705999999998</v>
      </c>
      <c r="K77" s="52">
        <f>'6 - B1'!K77</f>
        <v>56.122188999999999</v>
      </c>
      <c r="L77" s="52">
        <f>'6 - B1'!L77</f>
        <v>61.927428999999997</v>
      </c>
      <c r="M77" s="52">
        <f>'6 - B1'!M77</f>
        <v>62.266781000000002</v>
      </c>
      <c r="N77" s="52">
        <f>'6 - B1'!N77</f>
        <v>61.501975999999999</v>
      </c>
      <c r="O77" s="52">
        <f>'6 - B1'!O77</f>
        <v>67.423805000000002</v>
      </c>
      <c r="P77" s="52">
        <f>'6 - B1'!P77</f>
        <v>60.165751999999998</v>
      </c>
    </row>
    <row r="78" spans="1:16" x14ac:dyDescent="0.35">
      <c r="A78" s="52">
        <f>'6 - B1'!A78</f>
        <v>29</v>
      </c>
      <c r="B78" s="52">
        <f>'6 - B1'!B78</f>
        <v>43.126305000000002</v>
      </c>
      <c r="C78" s="52">
        <f>'6 - B1'!C78</f>
        <v>40.298999999999999</v>
      </c>
      <c r="D78" s="52">
        <f>'6 - B1'!D78</f>
        <v>44.102134999999997</v>
      </c>
      <c r="E78" s="52">
        <f>'6 - B1'!E78</f>
        <v>46.266907000000003</v>
      </c>
      <c r="F78" s="52">
        <f>'6 - B1'!F78</f>
        <v>41.302025</v>
      </c>
      <c r="G78" s="52">
        <f>'6 - B1'!G78</f>
        <v>39.441825999999999</v>
      </c>
      <c r="H78" s="52">
        <f>'6 - B1'!H78</f>
        <v>45.196666999999998</v>
      </c>
      <c r="I78" s="52">
        <f>'6 - B1'!I78</f>
        <v>42.397697000000001</v>
      </c>
      <c r="J78" s="52">
        <f>'6 - B1'!J78</f>
        <v>39.933101999999998</v>
      </c>
      <c r="K78" s="52">
        <f>'6 - B1'!K78</f>
        <v>40.653885000000002</v>
      </c>
      <c r="L78" s="52">
        <f>'6 - B1'!L78</f>
        <v>44.622574</v>
      </c>
      <c r="M78" s="52">
        <f>'6 - B1'!M78</f>
        <v>46.600299999999997</v>
      </c>
      <c r="N78" s="52">
        <f>'6 - B1'!N78</f>
        <v>45.568294999999999</v>
      </c>
      <c r="O78" s="52">
        <f>'6 - B1'!O78</f>
        <v>48.577388999999997</v>
      </c>
      <c r="P78" s="52">
        <f>'6 - B1'!P78</f>
        <v>41.806716999999999</v>
      </c>
    </row>
    <row r="79" spans="1:16" x14ac:dyDescent="0.35">
      <c r="A79" s="52">
        <f>'6 - B1'!A79</f>
        <v>30</v>
      </c>
      <c r="B79" s="52">
        <f>'6 - B1'!B79</f>
        <v>31.081053000000001</v>
      </c>
      <c r="C79" s="52">
        <f>'6 - B1'!C79</f>
        <v>28.029751000000001</v>
      </c>
      <c r="D79" s="52">
        <f>'6 - B1'!D79</f>
        <v>31.501525999999998</v>
      </c>
      <c r="E79" s="52">
        <f>'6 - B1'!E79</f>
        <v>33.288395000000001</v>
      </c>
      <c r="F79" s="52">
        <f>'6 - B1'!F79</f>
        <v>28.891559999999998</v>
      </c>
      <c r="G79" s="52">
        <f>'6 - B1'!G79</f>
        <v>27.565697</v>
      </c>
      <c r="H79" s="52">
        <f>'6 - B1'!H79</f>
        <v>31.697662000000001</v>
      </c>
      <c r="I79" s="52">
        <f>'6 - B1'!I79</f>
        <v>29.809307</v>
      </c>
      <c r="J79" s="52">
        <f>'6 - B1'!J79</f>
        <v>28.023230000000002</v>
      </c>
      <c r="K79" s="52">
        <f>'6 - B1'!K79</f>
        <v>29.449276000000001</v>
      </c>
      <c r="L79" s="52">
        <f>'6 - B1'!L79</f>
        <v>32.977173000000001</v>
      </c>
      <c r="M79" s="52">
        <f>'6 - B1'!M79</f>
        <v>34.027199000000003</v>
      </c>
      <c r="N79" s="52">
        <f>'6 - B1'!N79</f>
        <v>33.491173000000003</v>
      </c>
      <c r="O79" s="52">
        <f>'6 - B1'!O79</f>
        <v>34.064644000000001</v>
      </c>
      <c r="P79" s="52">
        <f>'6 - B1'!P79</f>
        <v>31.230315999999998</v>
      </c>
    </row>
    <row r="80" spans="1:16" x14ac:dyDescent="0.35">
      <c r="A80" s="52">
        <f>'6 - B1'!A80</f>
        <v>38</v>
      </c>
      <c r="B80" s="52">
        <f>'6 - B1'!B80</f>
        <v>21.616925999999999</v>
      </c>
      <c r="C80" s="52">
        <f>'6 - B1'!C80</f>
        <v>20.548500000000001</v>
      </c>
      <c r="D80" s="52">
        <f>'6 - B1'!D80</f>
        <v>23.301127999999999</v>
      </c>
      <c r="E80" s="52">
        <f>'6 - B1'!E80</f>
        <v>22.687626000000002</v>
      </c>
      <c r="F80" s="52">
        <f>'6 - B1'!F80</f>
        <v>18.168918999999999</v>
      </c>
      <c r="G80" s="52">
        <f>'6 - B1'!G80</f>
        <v>18.958224999999999</v>
      </c>
      <c r="H80" s="52">
        <f>'6 - B1'!H80</f>
        <v>23.398275000000002</v>
      </c>
      <c r="I80" s="52">
        <f>'6 - B1'!I80</f>
        <v>21.349909</v>
      </c>
      <c r="J80" s="52">
        <f>'6 - B1'!J80</f>
        <v>18.915679999999998</v>
      </c>
      <c r="K80" s="52">
        <f>'6 - B1'!K80</f>
        <v>19.533695000000002</v>
      </c>
      <c r="L80" s="52">
        <f>'6 - B1'!L80</f>
        <v>22.637794</v>
      </c>
      <c r="M80" s="52">
        <f>'6 - B1'!M80</f>
        <v>24.84684</v>
      </c>
      <c r="N80" s="52">
        <f>'6 - B1'!N80</f>
        <v>23.342334999999999</v>
      </c>
      <c r="O80" s="52">
        <f>'6 - B1'!O80</f>
        <v>23.280864999999999</v>
      </c>
      <c r="P80" s="52">
        <f>'6 - B1'!P80</f>
        <v>21.851244000000001</v>
      </c>
    </row>
    <row r="81" spans="1:16" x14ac:dyDescent="0.35">
      <c r="A81" s="52">
        <f>'6 - B1'!A81</f>
        <v>50</v>
      </c>
      <c r="B81" s="52">
        <f>'6 - B1'!B81</f>
        <v>12.582986999999999</v>
      </c>
      <c r="C81" s="52">
        <f>'6 - B1'!C81</f>
        <v>14.364000000000001</v>
      </c>
      <c r="D81" s="52">
        <f>'6 - B1'!D81</f>
        <v>15.400746</v>
      </c>
      <c r="E81" s="52">
        <f>'6 - B1'!E81</f>
        <v>15.059035</v>
      </c>
      <c r="F81" s="52">
        <f>'6 - B1'!F81</f>
        <v>13.304017999999999</v>
      </c>
      <c r="G81" s="52">
        <f>'6 - B1'!G81</f>
        <v>13.619415</v>
      </c>
      <c r="H81" s="52">
        <f>'6 - B1'!H81</f>
        <v>16.698768999999999</v>
      </c>
      <c r="I81" s="52">
        <f>'6 - B1'!I81</f>
        <v>14.401116999999999</v>
      </c>
      <c r="J81" s="52">
        <f>'6 - B1'!J81</f>
        <v>13.511200000000001</v>
      </c>
      <c r="K81" s="52">
        <f>'6 - B1'!K81</f>
        <v>13.782658</v>
      </c>
      <c r="L81" s="52">
        <f>'6 - B1'!L81</f>
        <v>14.148622</v>
      </c>
      <c r="M81" s="52">
        <f>'6 - B1'!M81</f>
        <v>17.761998999999999</v>
      </c>
      <c r="N81" s="52">
        <f>'6 - B1'!N81</f>
        <v>18.267914000000001</v>
      </c>
      <c r="O81" s="52">
        <f>'6 - B1'!O81</f>
        <v>16.629189</v>
      </c>
      <c r="P81" s="52">
        <f>'6 - B1'!P81</f>
        <v>14.767049999999999</v>
      </c>
    </row>
    <row r="82" spans="1:16" x14ac:dyDescent="0.35">
      <c r="A82" s="52">
        <f>'6 - B1'!A82</f>
        <v>70</v>
      </c>
      <c r="B82" s="52">
        <f>'6 - B1'!B82</f>
        <v>8.7112990000000003</v>
      </c>
      <c r="C82" s="52">
        <f>'6 - B1'!C82</f>
        <v>9.6757500000000007</v>
      </c>
      <c r="D82" s="52">
        <f>'6 - B1'!D82</f>
        <v>10.900528</v>
      </c>
      <c r="E82" s="52">
        <f>'6 - B1'!E82</f>
        <v>9.7091150000000006</v>
      </c>
      <c r="F82" s="52">
        <f>'6 - B1'!F82</f>
        <v>8.7369669999999999</v>
      </c>
      <c r="G82" s="52">
        <f>'6 - B1'!G82</f>
        <v>9.8059790000000007</v>
      </c>
      <c r="H82" s="52">
        <f>'6 - B1'!H82</f>
        <v>11.699138</v>
      </c>
      <c r="I82" s="52">
        <f>'6 - B1'!I82</f>
        <v>9.6678829999999998</v>
      </c>
      <c r="J82" s="52">
        <f>'6 - B1'!J82</f>
        <v>8.6071349999999995</v>
      </c>
      <c r="K82" s="52">
        <f>'6 - B1'!K82</f>
        <v>8.9240239999999993</v>
      </c>
      <c r="L82" s="52">
        <f>'6 - B1'!L82</f>
        <v>11.427732000000001</v>
      </c>
      <c r="M82" s="52">
        <f>'6 - B1'!M82</f>
        <v>12.473312999999999</v>
      </c>
      <c r="N82" s="52">
        <f>'6 - B1'!N82</f>
        <v>12.178609</v>
      </c>
      <c r="O82" s="52">
        <f>'6 - B1'!O82</f>
        <v>10.279862</v>
      </c>
      <c r="P82" s="52">
        <f>'6 - B1'!P82</f>
        <v>9.9777360000000002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128"/>
  <sheetViews>
    <sheetView zoomScale="85" zoomScaleNormal="85" workbookViewId="0"/>
  </sheetViews>
  <sheetFormatPr defaultColWidth="11.53125" defaultRowHeight="12.75" x14ac:dyDescent="0.35"/>
  <cols>
    <col min="11" max="11" width="27.6640625" customWidth="1"/>
    <col min="12" max="12" width="15.3984375" customWidth="1"/>
  </cols>
  <sheetData>
    <row r="1" spans="1:16" ht="37.25" customHeight="1" x14ac:dyDescent="0.7">
      <c r="B1" s="55"/>
      <c r="K1" s="153"/>
      <c r="L1" s="153"/>
      <c r="M1" s="153"/>
      <c r="N1" s="153"/>
      <c r="O1" s="153"/>
    </row>
    <row r="2" spans="1:16" ht="52.15" x14ac:dyDescent="0.5">
      <c r="B2" s="56" t="s">
        <v>109</v>
      </c>
      <c r="C2" s="56" t="s">
        <v>110</v>
      </c>
      <c r="D2" s="56" t="s">
        <v>111</v>
      </c>
      <c r="E2" s="56" t="s">
        <v>112</v>
      </c>
      <c r="F2" s="57" t="s">
        <v>113</v>
      </c>
      <c r="G2" s="58" t="s">
        <v>62</v>
      </c>
      <c r="H2" s="59" t="s">
        <v>114</v>
      </c>
      <c r="K2" s="60" t="s">
        <v>115</v>
      </c>
      <c r="L2" s="61" t="s">
        <v>116</v>
      </c>
      <c r="M2" s="61" t="s">
        <v>117</v>
      </c>
      <c r="O2" s="11"/>
      <c r="P2" s="11"/>
    </row>
    <row r="3" spans="1:16" ht="26.25" x14ac:dyDescent="0.45">
      <c r="B3" s="57" t="s">
        <v>118</v>
      </c>
      <c r="C3" s="57" t="s">
        <v>118</v>
      </c>
      <c r="D3" s="57" t="s">
        <v>118</v>
      </c>
      <c r="E3" s="57" t="s">
        <v>118</v>
      </c>
      <c r="F3" s="57"/>
      <c r="G3" s="62" t="s">
        <v>119</v>
      </c>
      <c r="H3" s="62" t="s">
        <v>120</v>
      </c>
      <c r="K3" s="63" t="s">
        <v>121</v>
      </c>
      <c r="L3" s="61" t="str">
        <f>"/ml"</f>
        <v>/ml</v>
      </c>
      <c r="M3" s="61"/>
      <c r="O3" s="64"/>
      <c r="P3" s="65"/>
    </row>
    <row r="4" spans="1:16" ht="13.9" x14ac:dyDescent="0.4">
      <c r="A4" s="87">
        <v>30</v>
      </c>
      <c r="B4" s="89">
        <f>'6 - B1'!$L38</f>
        <v>9.7555900000000015</v>
      </c>
      <c r="C4" s="89">
        <f>'6 - B2'!$L38</f>
        <v>9.9450337500000003</v>
      </c>
      <c r="D4" s="89">
        <f>'6 - B3'!$L38</f>
        <v>11.589879</v>
      </c>
      <c r="E4" s="90">
        <f t="shared" ref="E4:E33" si="0">AVERAGE(B4:D4)</f>
        <v>10.430167583333334</v>
      </c>
      <c r="F4" s="91">
        <f>'Clause 6'!D19</f>
        <v>16000.000000000053</v>
      </c>
      <c r="G4" s="87">
        <f>'6 - B1'!$M38+'6 - B2'!$M38+'6 - B3'!$M38</f>
        <v>12</v>
      </c>
      <c r="H4" s="24">
        <f>STDEVP('6 - B1'!$B38:F38,'6 - B2'!B38:F38,'6 - B3'!B38:F38)/SQRT(G4)</f>
        <v>0.35678804264289837</v>
      </c>
      <c r="K4" s="66">
        <v>4</v>
      </c>
      <c r="L4" s="67">
        <v>10563.4</v>
      </c>
      <c r="M4" s="85">
        <f>CubicSpline(L4,$E$4:$E$33,$F$4:$F$33)</f>
        <v>147.65945028058397</v>
      </c>
    </row>
    <row r="5" spans="1:16" ht="13.9" x14ac:dyDescent="0.4">
      <c r="A5" s="87">
        <v>29</v>
      </c>
      <c r="B5" s="89">
        <f>'6 - B1'!$L37</f>
        <v>14.531949750000001</v>
      </c>
      <c r="C5" s="89">
        <f>'6 - B2'!$L37</f>
        <v>14.557625250000001</v>
      </c>
      <c r="D5" s="89">
        <f>'6 - B3'!$L37</f>
        <v>16.701930999999998</v>
      </c>
      <c r="E5" s="90">
        <f t="shared" si="0"/>
        <v>15.263835333333333</v>
      </c>
      <c r="F5" s="91">
        <f>'Clause 6'!D20</f>
        <v>13515.939313205179</v>
      </c>
      <c r="G5" s="87">
        <f>'6 - B1'!$M37+'6 - B2'!$M37+'6 - B3'!$M37</f>
        <v>12</v>
      </c>
      <c r="H5" s="24">
        <f>STDEVP('6 - B1'!$B37:F37,'6 - B2'!B37:F37,'6 - B3'!B37:F37)/SQRT(G5)</f>
        <v>0.46892047614086296</v>
      </c>
      <c r="K5" s="66">
        <v>5</v>
      </c>
      <c r="L5" s="67">
        <v>6899.8</v>
      </c>
      <c r="M5" s="85">
        <f t="shared" ref="M5:M9" si="1">CubicSpline(L5,$E$4:$E$33,$F$4:$F$33)</f>
        <v>244.99395201747345</v>
      </c>
    </row>
    <row r="6" spans="1:16" ht="13.9" x14ac:dyDescent="0.4">
      <c r="A6" s="87">
        <v>28</v>
      </c>
      <c r="B6" s="89">
        <f>'6 - B1'!$L36</f>
        <v>21.176543249999998</v>
      </c>
      <c r="C6" s="89">
        <f>'6 - B2'!$L36</f>
        <v>20.655522249999997</v>
      </c>
      <c r="D6" s="89">
        <f>'6 - B3'!$L36</f>
        <v>23.086997999999998</v>
      </c>
      <c r="E6" s="90">
        <f t="shared" si="0"/>
        <v>21.63968783333333</v>
      </c>
      <c r="F6" s="91">
        <f>'Clause 6'!D21</f>
        <v>11417.538469890293</v>
      </c>
      <c r="G6" s="87">
        <f>'6 - B1'!$M36+'6 - B2'!$M36+'6 - B3'!$M36</f>
        <v>11</v>
      </c>
      <c r="H6" s="24">
        <f>STDEVP('6 - B1'!$B36:F36,'6 - B2'!B36:F36,'6 - B3'!B36:F36)/SQRT(G6)</f>
        <v>0.58409218331113688</v>
      </c>
      <c r="K6" s="66">
        <v>6</v>
      </c>
      <c r="L6" s="67">
        <v>4593.5</v>
      </c>
      <c r="M6" s="85">
        <f t="shared" si="1"/>
        <v>381.85915077748371</v>
      </c>
    </row>
    <row r="7" spans="1:16" ht="13.9" x14ac:dyDescent="0.4">
      <c r="A7" s="87">
        <v>27</v>
      </c>
      <c r="B7" s="89">
        <f>'6 - B1'!$L35</f>
        <v>30.427807999999999</v>
      </c>
      <c r="C7" s="89">
        <f>'6 - B2'!$L35</f>
        <v>29.273973999999999</v>
      </c>
      <c r="D7" s="89">
        <f>'6 - B3'!$L35</f>
        <v>33.510996666666664</v>
      </c>
      <c r="E7" s="90">
        <f t="shared" si="0"/>
        <v>31.070926222222216</v>
      </c>
      <c r="F7" s="91">
        <f>'Clause 6'!D22</f>
        <v>9644.9223165763869</v>
      </c>
      <c r="G7" s="87">
        <f>'6 - B1'!$M35+'6 - B2'!$M35+'6 - B3'!$M35</f>
        <v>11</v>
      </c>
      <c r="H7" s="24">
        <f>STDEVP('6 - B1'!$B35:F35,'6 - B2'!B35:F35,'6 - B3'!B35:F35)/SQRT(G7)</f>
        <v>0.70753315217405899</v>
      </c>
      <c r="K7" s="66">
        <v>7</v>
      </c>
      <c r="L7" s="67">
        <v>3202.3</v>
      </c>
      <c r="M7" s="85">
        <f t="shared" si="1"/>
        <v>536.20151395575044</v>
      </c>
    </row>
    <row r="8" spans="1:16" ht="13.9" x14ac:dyDescent="0.4">
      <c r="A8" s="87">
        <v>26</v>
      </c>
      <c r="B8" s="89">
        <f>'6 - B1'!$L34</f>
        <v>42.992516750000007</v>
      </c>
      <c r="C8" s="89">
        <f>'6 - B2'!$L34</f>
        <v>41.742322999999999</v>
      </c>
      <c r="D8" s="89">
        <f>'6 - B3'!$L34</f>
        <v>46.342139500000002</v>
      </c>
      <c r="E8" s="90">
        <f t="shared" si="0"/>
        <v>43.692326416666674</v>
      </c>
      <c r="F8" s="91">
        <f>'Clause 6'!D23</f>
        <v>8147.5115444640205</v>
      </c>
      <c r="G8" s="87">
        <f>'6 - B1'!$M34+'6 - B2'!$M34+'6 - B3'!$M34</f>
        <v>12</v>
      </c>
      <c r="H8" s="24">
        <f>STDEVP('6 - B1'!$B34:F34,'6 - B2'!B34:F34,'6 - B3'!B34:F34)/SQRT(G8)</f>
        <v>0.82017531454208059</v>
      </c>
      <c r="K8" s="66">
        <v>8</v>
      </c>
      <c r="L8" s="67">
        <v>2184.8000000000002</v>
      </c>
      <c r="M8" s="85">
        <f t="shared" si="1"/>
        <v>729.34260450493684</v>
      </c>
    </row>
    <row r="9" spans="1:16" ht="13.9" x14ac:dyDescent="0.4">
      <c r="A9" s="87">
        <v>25</v>
      </c>
      <c r="B9" s="89">
        <f>'6 - B1'!$L33</f>
        <v>59.341317000000004</v>
      </c>
      <c r="C9" s="89">
        <f>'6 - B2'!$L33</f>
        <v>58.613257250000004</v>
      </c>
      <c r="D9" s="89">
        <f>'6 - B3'!$L33</f>
        <v>63.279997750000007</v>
      </c>
      <c r="E9" s="90">
        <f t="shared" si="0"/>
        <v>60.411524000000007</v>
      </c>
      <c r="F9" s="91">
        <f>'Clause 6'!D24</f>
        <v>6882.5794742883709</v>
      </c>
      <c r="G9" s="87">
        <f>'6 - B1'!$M33+'6 - B2'!$M33+'6 - B3'!$M33</f>
        <v>12</v>
      </c>
      <c r="H9" s="24">
        <f>STDEVP('6 - B1'!$B33:F33,'6 - B2'!B33:F33,'6 - B3'!B33:F33)/SQRT(G9)</f>
        <v>1.0194629404490998</v>
      </c>
      <c r="K9" s="66">
        <v>9</v>
      </c>
      <c r="L9" s="67">
        <v>1501.7</v>
      </c>
      <c r="M9" s="85">
        <f t="shared" si="1"/>
        <v>949.57900818384803</v>
      </c>
    </row>
    <row r="10" spans="1:16" ht="13.9" x14ac:dyDescent="0.4">
      <c r="A10" s="87">
        <v>24</v>
      </c>
      <c r="B10" s="89">
        <f>'6 - B1'!$L32</f>
        <v>81.233823749999999</v>
      </c>
      <c r="C10" s="89">
        <f>'6 - B2'!$L32</f>
        <v>80.658029499999998</v>
      </c>
      <c r="D10" s="89">
        <f>'6 - B3'!$L32</f>
        <v>85.439477750000009</v>
      </c>
      <c r="E10" s="90">
        <f t="shared" si="0"/>
        <v>82.443776999999997</v>
      </c>
      <c r="F10" s="91">
        <f>'Clause 6'!D25</f>
        <v>5814.0329057995577</v>
      </c>
      <c r="G10" s="87">
        <f>'6 - B1'!$M32+'6 - B2'!$M32+'6 - B3'!$M32</f>
        <v>12</v>
      </c>
      <c r="H10" s="24">
        <f>STDEVP('6 - B1'!$B32:F32,'6 - B2'!B32:F32,'6 - B3'!B32:F32)/SQRT(G10)</f>
        <v>1.2371493174974157</v>
      </c>
      <c r="K10" s="66">
        <v>10</v>
      </c>
      <c r="L10" s="67">
        <v>1069.5</v>
      </c>
      <c r="M10" s="85">
        <f t="shared" ref="M10:M30" si="2">CubicSpline(L10,$E$4:$E$33,$F$4:$F$33)</f>
        <v>1184.0958066609062</v>
      </c>
    </row>
    <row r="11" spans="1:16" ht="13.9" x14ac:dyDescent="0.4">
      <c r="A11" s="87">
        <v>23</v>
      </c>
      <c r="B11" s="89">
        <f>'6 - B1'!$L31</f>
        <v>109.40345975</v>
      </c>
      <c r="C11" s="89">
        <f>'6 - B2'!$L31</f>
        <v>107.88008524999999</v>
      </c>
      <c r="D11" s="89">
        <f>'6 - B3'!$L31</f>
        <v>113.0936145</v>
      </c>
      <c r="E11" s="90">
        <f t="shared" si="0"/>
        <v>110.12571983333333</v>
      </c>
      <c r="F11" s="91">
        <f>'Clause 6'!D26</f>
        <v>4911.3822449852833</v>
      </c>
      <c r="G11" s="87">
        <f>'6 - B1'!$M31+'6 - B2'!$M31+'6 - B3'!$M31</f>
        <v>12</v>
      </c>
      <c r="H11" s="24">
        <f>STDEVP('6 - B1'!$B31:F31,'6 - B2'!B31:F31,'6 - B3'!B31:F31)/SQRT(G11)</f>
        <v>1.450316775876858</v>
      </c>
      <c r="K11" s="66">
        <v>11</v>
      </c>
      <c r="L11" s="67">
        <v>779</v>
      </c>
      <c r="M11" s="85">
        <f t="shared" si="2"/>
        <v>1444.1873948423834</v>
      </c>
    </row>
    <row r="12" spans="1:16" ht="13.9" x14ac:dyDescent="0.4">
      <c r="A12" s="87">
        <v>22</v>
      </c>
      <c r="B12" s="89">
        <f>'6 - B1'!$L30</f>
        <v>143.60906975</v>
      </c>
      <c r="C12" s="89">
        <f>'6 - B2'!$L30</f>
        <v>143.82927325</v>
      </c>
      <c r="D12" s="89">
        <f>'6 - B3'!$L30</f>
        <v>151.24633774999998</v>
      </c>
      <c r="E12" s="90">
        <f t="shared" si="0"/>
        <v>146.22822691666667</v>
      </c>
      <c r="F12" s="91">
        <f>'Clause 6'!D27</f>
        <v>4148.8715229483923</v>
      </c>
      <c r="G12" s="87">
        <f>'6 - B1'!$M30+'6 - B2'!$M30+'6 - B3'!$M30</f>
        <v>12</v>
      </c>
      <c r="H12" s="24">
        <f>STDEVP('6 - B1'!$B30:F30,'6 - B2'!B30:F30,'6 - B3'!B30:F30)/SQRT(G12)</f>
        <v>1.9603548775225565</v>
      </c>
      <c r="K12" s="66">
        <v>12</v>
      </c>
      <c r="L12" s="67">
        <v>583.4</v>
      </c>
      <c r="M12" s="85">
        <f t="shared" si="2"/>
        <v>1728.6899064572613</v>
      </c>
    </row>
    <row r="13" spans="1:16" ht="13.9" x14ac:dyDescent="0.4">
      <c r="A13" s="87">
        <v>21</v>
      </c>
      <c r="B13" s="89">
        <f>'6 - B1'!$L29</f>
        <v>187.48058675000001</v>
      </c>
      <c r="C13" s="89">
        <f>'6 - B2'!$L29</f>
        <v>190.87942125000001</v>
      </c>
      <c r="D13" s="89">
        <f>'6 - B3'!$L29</f>
        <v>199.17335125</v>
      </c>
      <c r="E13" s="90">
        <f t="shared" si="0"/>
        <v>192.51111975000001</v>
      </c>
      <c r="F13" s="91">
        <f>'Clause 6'!D28</f>
        <v>3504.7434826534645</v>
      </c>
      <c r="G13" s="87">
        <f>'6 - B1'!$M29+'6 - B2'!$M29+'6 - B3'!$M29</f>
        <v>12</v>
      </c>
      <c r="H13" s="24">
        <f>STDEVP('6 - B1'!$B29:F29,'6 - B2'!B29:F29,'6 - B3'!B29:F29)/SQRT(G13)</f>
        <v>2.4771797546188488</v>
      </c>
      <c r="K13" s="66">
        <v>13</v>
      </c>
      <c r="L13" s="67">
        <v>453.2</v>
      </c>
      <c r="M13" s="85">
        <f t="shared" si="2"/>
        <v>2028.8876107817334</v>
      </c>
    </row>
    <row r="14" spans="1:16" ht="13.9" x14ac:dyDescent="0.4">
      <c r="A14" s="87">
        <v>20</v>
      </c>
      <c r="B14" s="89">
        <f>'6 - B1'!$L28</f>
        <v>244.80210875</v>
      </c>
      <c r="C14" s="89">
        <f>'6 - B2'!$L28</f>
        <v>249.68610374999997</v>
      </c>
      <c r="D14" s="89">
        <f>'6 - B3'!$L28</f>
        <v>260.07634350000001</v>
      </c>
      <c r="E14" s="90">
        <f t="shared" si="0"/>
        <v>251.52151866666668</v>
      </c>
      <c r="F14" s="91">
        <f>'Clause 6'!D29</f>
        <v>2960.618763743465</v>
      </c>
      <c r="G14" s="87">
        <f>'6 - B1'!$M28+'6 - B2'!$M28+'6 - B3'!$M28</f>
        <v>12</v>
      </c>
      <c r="H14" s="24">
        <f>STDEVP('6 - B1'!$B28:F28,'6 - B2'!B28:F28,'6 - B3'!B28:F28)/SQRT(G14)</f>
        <v>3.0163805351330959</v>
      </c>
      <c r="K14" s="66">
        <v>14</v>
      </c>
      <c r="L14" s="67">
        <v>364.1</v>
      </c>
      <c r="M14" s="85">
        <f t="shared" si="2"/>
        <v>2334.2675815282705</v>
      </c>
    </row>
    <row r="15" spans="1:16" ht="13.9" x14ac:dyDescent="0.4">
      <c r="A15" s="87">
        <v>19</v>
      </c>
      <c r="B15" s="89">
        <f>'6 - B1'!$L27</f>
        <v>316.53150199999999</v>
      </c>
      <c r="C15" s="89">
        <f>'6 - B2'!$L27</f>
        <v>326.60114299999998</v>
      </c>
      <c r="D15" s="89">
        <f>'6 - B3'!$L27</f>
        <v>337.616356</v>
      </c>
      <c r="E15" s="90">
        <f t="shared" si="0"/>
        <v>326.91633366666662</v>
      </c>
      <c r="F15" s="91">
        <f>'Clause 6'!D30</f>
        <v>2500.9714712683176</v>
      </c>
      <c r="G15" s="87">
        <f>'6 - B1'!$M27+'6 - B2'!$M27+'6 - B3'!$M27</f>
        <v>12</v>
      </c>
      <c r="H15" s="24">
        <f>STDEVP('6 - B1'!$B27:F27,'6 - B2'!B27:F27,'6 - B3'!B27:F27)/SQRT(G15)</f>
        <v>3.4113200728784348</v>
      </c>
      <c r="K15" s="66">
        <v>15</v>
      </c>
      <c r="L15" s="67">
        <v>296.89999999999998</v>
      </c>
      <c r="M15" s="85">
        <f t="shared" si="2"/>
        <v>2660.9065053529634</v>
      </c>
    </row>
    <row r="16" spans="1:16" ht="13.9" x14ac:dyDescent="0.4">
      <c r="A16" s="87">
        <v>18</v>
      </c>
      <c r="B16" s="89">
        <f>'6 - B1'!$L26</f>
        <v>408.84215524999996</v>
      </c>
      <c r="C16" s="89">
        <f>'6 - B2'!$L26</f>
        <v>427.34814425000002</v>
      </c>
      <c r="D16" s="89">
        <f>'6 - B3'!$L26</f>
        <v>439.01963799999999</v>
      </c>
      <c r="E16" s="90">
        <f t="shared" si="0"/>
        <v>425.06997916666666</v>
      </c>
      <c r="F16" s="91">
        <f>'Clause 6'!D31</f>
        <v>2112.6861643574962</v>
      </c>
      <c r="G16" s="87">
        <f>'6 - B1'!$M26+'6 - B2'!$M26+'6 - B3'!$M26</f>
        <v>12</v>
      </c>
      <c r="H16" s="24">
        <f>STDEVP('6 - B1'!$B26:F26,'6 - B2'!B26:F26,'6 - B3'!B26:F26)/SQRT(G16)</f>
        <v>4.6821140477661594</v>
      </c>
      <c r="K16" s="66">
        <v>16</v>
      </c>
      <c r="L16" s="67">
        <v>246.4</v>
      </c>
      <c r="M16" s="85">
        <f t="shared" si="2"/>
        <v>2999.050709086996</v>
      </c>
    </row>
    <row r="17" spans="1:13" ht="13.9" x14ac:dyDescent="0.4">
      <c r="A17" s="87">
        <v>17</v>
      </c>
      <c r="B17" s="89">
        <f>'6 - B1'!$L25</f>
        <v>532.69577025000001</v>
      </c>
      <c r="C17" s="89">
        <f>'6 - B2'!$L25</f>
        <v>558.24908474999995</v>
      </c>
      <c r="D17" s="89">
        <f>'6 - B3'!$L25</f>
        <v>571.16174324999997</v>
      </c>
      <c r="E17" s="90">
        <f t="shared" si="0"/>
        <v>554.03553275000002</v>
      </c>
      <c r="F17" s="91">
        <f>'Clause 6'!D32</f>
        <v>1784.683624081503</v>
      </c>
      <c r="G17" s="87">
        <f>'6 - B1'!$M25+'6 - B2'!$M25+'6 - B3'!$M25</f>
        <v>12</v>
      </c>
      <c r="H17" s="24">
        <f>STDEVP('6 - B1'!$B25:F25,'6 - B2'!B25:F25,'6 - B3'!B25:F25)/SQRT(G17)</f>
        <v>5.8773478245622819</v>
      </c>
      <c r="K17" s="66">
        <v>17</v>
      </c>
      <c r="L17" s="67">
        <v>208.5</v>
      </c>
      <c r="M17" s="85">
        <f t="shared" si="2"/>
        <v>3335.4673971796897</v>
      </c>
    </row>
    <row r="18" spans="1:13" ht="13.9" x14ac:dyDescent="0.4">
      <c r="A18" s="87">
        <v>16</v>
      </c>
      <c r="B18" s="89">
        <f>'6 - B1'!$L24</f>
        <v>698.70838924999998</v>
      </c>
      <c r="C18" s="89">
        <f>'6 - B2'!$L24</f>
        <v>734.96530150000001</v>
      </c>
      <c r="D18" s="89">
        <f>'6 - B3'!$L24</f>
        <v>745.31834425</v>
      </c>
      <c r="E18" s="90">
        <f t="shared" si="0"/>
        <v>726.33067833333325</v>
      </c>
      <c r="F18" s="91">
        <f>'Clause 6'!D33</f>
        <v>1507.6047222722875</v>
      </c>
      <c r="G18" s="87">
        <f>'6 - B1'!$M24+'6 - B2'!$M24+'6 - B3'!$M24</f>
        <v>12</v>
      </c>
      <c r="H18" s="24">
        <f>STDEVP('6 - B1'!$B24:F24,'6 - B2'!B24:F24,'6 - B3'!B24:F24)/SQRT(G18)</f>
        <v>7.4534679750055002</v>
      </c>
      <c r="K18" s="66">
        <v>18</v>
      </c>
      <c r="L18" s="67">
        <v>178.7</v>
      </c>
      <c r="M18" s="85">
        <f t="shared" si="2"/>
        <v>3669.478374014604</v>
      </c>
    </row>
    <row r="19" spans="1:13" ht="13.9" x14ac:dyDescent="0.4">
      <c r="A19" s="87">
        <v>15</v>
      </c>
      <c r="B19" s="89">
        <f>'6 - B1'!$L23</f>
        <v>920.15258800000004</v>
      </c>
      <c r="C19" s="89">
        <f>'6 - B2'!$L23</f>
        <v>964.27467324999998</v>
      </c>
      <c r="D19" s="89">
        <f>'6 - B3'!$L23</f>
        <v>973.53440849999993</v>
      </c>
      <c r="E19" s="90">
        <f t="shared" si="0"/>
        <v>952.65388991666657</v>
      </c>
      <c r="F19" s="91">
        <f>'Clause 6'!D34</f>
        <v>1273.5433709083575</v>
      </c>
      <c r="G19" s="87">
        <f>'6 - B1'!$M23+'6 - B2'!$M23+'6 - B3'!$M23</f>
        <v>12</v>
      </c>
      <c r="H19" s="24">
        <f>STDEVP('6 - B1'!$B23:F23,'6 - B2'!B23:F23,'6 - B3'!B23:F23)/SQRT(G19)</f>
        <v>8.8181438741791158</v>
      </c>
      <c r="K19" s="66">
        <v>19</v>
      </c>
      <c r="L19" s="67">
        <v>153.30000000000001</v>
      </c>
      <c r="M19" s="85">
        <f t="shared" si="2"/>
        <v>4033.3431166807513</v>
      </c>
    </row>
    <row r="20" spans="1:13" ht="13.9" x14ac:dyDescent="0.4">
      <c r="A20" s="87">
        <v>14</v>
      </c>
      <c r="B20" s="89">
        <f>'6 - B1'!$L22</f>
        <v>1201.3493960000001</v>
      </c>
      <c r="C20" s="89">
        <f>'6 - B2'!$L22</f>
        <v>1258.2153929999999</v>
      </c>
      <c r="D20" s="89">
        <f>'6 - B3'!$L22</f>
        <v>1265.4322512499998</v>
      </c>
      <c r="E20" s="90">
        <f t="shared" si="0"/>
        <v>1241.6656800833332</v>
      </c>
      <c r="F20" s="91">
        <f>'Clause 6'!D35</f>
        <v>1075.8209321207535</v>
      </c>
      <c r="G20" s="87">
        <f>'6 - B1'!$M22+'6 - B2'!$M22+'6 - B3'!$M22</f>
        <v>12</v>
      </c>
      <c r="H20" s="24">
        <f>STDEVP('6 - B1'!$B22:F22,'6 - B2'!B22:F22,'6 - B3'!B22:F22)/SQRT(G20)</f>
        <v>11.289446713836007</v>
      </c>
      <c r="K20" s="66">
        <v>20</v>
      </c>
      <c r="L20" s="67">
        <v>130.4</v>
      </c>
      <c r="M20" s="85">
        <f t="shared" si="2"/>
        <v>4443.9021888414154</v>
      </c>
    </row>
    <row r="21" spans="1:13" ht="13.9" x14ac:dyDescent="0.4">
      <c r="A21" s="87">
        <v>13</v>
      </c>
      <c r="B21" s="89">
        <f>'6 - B1'!$L21</f>
        <v>1553.05895975</v>
      </c>
      <c r="C21" s="89">
        <f>'6 - B2'!$L21</f>
        <v>1626.2662354999998</v>
      </c>
      <c r="D21" s="89">
        <f>'6 - B3'!$L21</f>
        <v>1630.1354369999999</v>
      </c>
      <c r="E21" s="90">
        <f t="shared" si="0"/>
        <v>1603.1535440833331</v>
      </c>
      <c r="F21" s="91">
        <f>'Clause 6'!D36</f>
        <v>908.79565190124276</v>
      </c>
      <c r="G21" s="87">
        <f>'6 - B1'!$M21+'6 - B2'!$M21+'6 - B3'!$M21</f>
        <v>12</v>
      </c>
      <c r="H21" s="24">
        <f>STDEVP('6 - B1'!$B21:F21,'6 - B2'!B21:F21,'6 - B3'!B21:F21)/SQRT(G21)</f>
        <v>14.850078883876106</v>
      </c>
      <c r="K21" s="66">
        <v>21</v>
      </c>
      <c r="L21" s="67">
        <v>109.4</v>
      </c>
      <c r="M21" s="85">
        <f t="shared" si="2"/>
        <v>4930.1304762214959</v>
      </c>
    </row>
    <row r="22" spans="1:13" ht="13.9" x14ac:dyDescent="0.4">
      <c r="A22" s="87">
        <v>12</v>
      </c>
      <c r="B22" s="89">
        <f>'6 - B1'!$L20</f>
        <v>1974.0611267499999</v>
      </c>
      <c r="C22" s="89">
        <f>'6 - B2'!$L20</f>
        <v>2069.6701967500003</v>
      </c>
      <c r="D22" s="89">
        <f>'6 - B3'!$L20</f>
        <v>2072.0941467499997</v>
      </c>
      <c r="E22" s="90">
        <f t="shared" si="0"/>
        <v>2038.6084900833332</v>
      </c>
      <c r="F22" s="91">
        <f>'Clause 6'!D37</f>
        <v>767.70167995011843</v>
      </c>
      <c r="G22" s="87">
        <f>'6 - B1'!$M20+'6 - B2'!$M20+'6 - B3'!$M20</f>
        <v>12</v>
      </c>
      <c r="H22" s="24">
        <f>STDEVP('6 - B1'!$B20:F20,'6 - B2'!B20:F20,'6 - B3'!B20:F20)/SQRT(G22)</f>
        <v>18.886969761186272</v>
      </c>
      <c r="K22" s="66">
        <v>22</v>
      </c>
      <c r="L22" s="67">
        <v>91.3</v>
      </c>
      <c r="M22" s="85">
        <f t="shared" si="2"/>
        <v>5485.6477653988322</v>
      </c>
    </row>
    <row r="23" spans="1:13" ht="13.9" x14ac:dyDescent="0.4">
      <c r="A23" s="87">
        <v>11</v>
      </c>
      <c r="B23" s="89">
        <f>'6 - B1'!$L19</f>
        <v>2465.241211</v>
      </c>
      <c r="C23" s="89">
        <f>'6 - B2'!$L19</f>
        <v>2577.91082775</v>
      </c>
      <c r="D23" s="89">
        <f>'6 - B3'!$L19</f>
        <v>2586.0344237499999</v>
      </c>
      <c r="E23" s="90">
        <f t="shared" si="0"/>
        <v>2543.0621541666665</v>
      </c>
      <c r="F23" s="91">
        <f>'Clause 6'!D38</f>
        <v>648.51308230321445</v>
      </c>
      <c r="G23" s="87">
        <f>'6 - B1'!$M19+'6 - B2'!$M19+'6 - B3'!$M19</f>
        <v>12</v>
      </c>
      <c r="H23" s="24">
        <f>STDEVP('6 - B1'!$B19:F19,'6 - B2'!B19:F19,'6 - B3'!B19:F19)/SQRT(G23)</f>
        <v>23.104474217441403</v>
      </c>
      <c r="K23" s="66">
        <v>23</v>
      </c>
      <c r="L23" s="67">
        <v>76.099999999999994</v>
      </c>
      <c r="M23" s="85">
        <f t="shared" si="2"/>
        <v>6077.3375980462797</v>
      </c>
    </row>
    <row r="24" spans="1:13" ht="13.9" x14ac:dyDescent="0.4">
      <c r="A24" s="87">
        <v>10</v>
      </c>
      <c r="B24" s="89">
        <f>'6 - B1'!$L18</f>
        <v>3026.3999025000003</v>
      </c>
      <c r="C24" s="89">
        <f>'6 - B2'!$L18</f>
        <v>3173.4901122499996</v>
      </c>
      <c r="D24" s="89">
        <f>'6 - B3'!$L18</f>
        <v>3170.5701292499998</v>
      </c>
      <c r="E24" s="90">
        <f t="shared" si="0"/>
        <v>3123.486714666667</v>
      </c>
      <c r="F24" s="91">
        <f>'Clause 6'!D39</f>
        <v>547.82896651436579</v>
      </c>
      <c r="G24" s="87">
        <f>'6 - B1'!$M18+'6 - B2'!$M18+'6 - B3'!$M18</f>
        <v>12</v>
      </c>
      <c r="H24" s="24">
        <f>STDEVP('6 - B1'!$B18:F18,'6 - B2'!B18:F18,'6 - B3'!B18:F18)/SQRT(G24)</f>
        <v>28.715947143435137</v>
      </c>
      <c r="K24" s="66">
        <v>24</v>
      </c>
      <c r="L24" s="67">
        <v>63.1</v>
      </c>
      <c r="M24" s="85">
        <f t="shared" si="2"/>
        <v>6727.4680216374545</v>
      </c>
    </row>
    <row r="25" spans="1:13" ht="13.9" x14ac:dyDescent="0.4">
      <c r="A25" s="87">
        <v>9</v>
      </c>
      <c r="B25" s="89">
        <f>'6 - B1'!$L17</f>
        <v>3657.3883667499999</v>
      </c>
      <c r="C25" s="89">
        <f>'6 - B2'!$L17</f>
        <v>3830.6874999999995</v>
      </c>
      <c r="D25" s="89">
        <f>'6 - B3'!$L17</f>
        <v>3819.55273425</v>
      </c>
      <c r="E25" s="90">
        <f t="shared" si="0"/>
        <v>3769.2095336666666</v>
      </c>
      <c r="F25" s="91">
        <f>'Clause 6'!D40</f>
        <v>462.77644158900353</v>
      </c>
      <c r="G25" s="87">
        <f>'6 - B1'!$M17+'6 - B2'!$M17+'6 - B3'!$M17</f>
        <v>12</v>
      </c>
      <c r="H25" s="24">
        <f>STDEVP('6 - B1'!$B17:F17,'6 - B2'!B17:F17,'6 - B3'!B17:F17)/SQRT(G25)</f>
        <v>33.874744100547723</v>
      </c>
      <c r="K25" s="66">
        <v>25</v>
      </c>
      <c r="L25" s="67">
        <v>52.1</v>
      </c>
      <c r="M25" s="85">
        <f t="shared" si="2"/>
        <v>7441.8471689839316</v>
      </c>
    </row>
    <row r="26" spans="1:13" ht="13.9" x14ac:dyDescent="0.4">
      <c r="A26" s="87">
        <v>8</v>
      </c>
      <c r="B26" s="89">
        <f>'6 - B1'!$L16</f>
        <v>4360.9664305000006</v>
      </c>
      <c r="C26" s="89">
        <f>'6 - B2'!$L16</f>
        <v>4564.8521730000002</v>
      </c>
      <c r="D26" s="89">
        <f>'6 - B3'!$L16</f>
        <v>4535.3852539999998</v>
      </c>
      <c r="E26" s="90">
        <f t="shared" si="0"/>
        <v>4487.0679525000005</v>
      </c>
      <c r="F26" s="91">
        <f>'Clause 6'!D41</f>
        <v>390.92864375612453</v>
      </c>
      <c r="G26" s="87">
        <f>'6 - B1'!$M16+'6 - B2'!$M16+'6 - B3'!$M16</f>
        <v>12</v>
      </c>
      <c r="H26" s="24">
        <f>STDEVP('6 - B1'!$B16:F16,'6 - B2'!B16:F16,'6 - B3'!B16:F16)/SQRT(G26)</f>
        <v>39.805697336001451</v>
      </c>
      <c r="K26" s="66">
        <v>26</v>
      </c>
      <c r="L26" s="67">
        <v>43</v>
      </c>
      <c r="M26" s="85">
        <f t="shared" si="2"/>
        <v>8212.4548709749124</v>
      </c>
    </row>
    <row r="27" spans="1:13" ht="13.9" x14ac:dyDescent="0.4">
      <c r="A27" s="87">
        <v>7</v>
      </c>
      <c r="B27" s="89">
        <f>'6 - B1'!$L15</f>
        <v>5141.6196289999998</v>
      </c>
      <c r="C27" s="89">
        <f>'6 - B2'!$L15</f>
        <v>5369.71704125</v>
      </c>
      <c r="D27" s="89">
        <f>'6 - B3'!$L15</f>
        <v>5335.7971189999998</v>
      </c>
      <c r="E27" s="90">
        <f t="shared" si="0"/>
        <v>5282.3779297499996</v>
      </c>
      <c r="F27" s="91">
        <f>'Clause 6'!D42</f>
        <v>330.2354890500855</v>
      </c>
      <c r="G27" s="87">
        <f>'6 - B1'!$M15+'6 - B2'!$M15+'6 - B3'!$M15</f>
        <v>12</v>
      </c>
      <c r="H27" s="24">
        <f>STDEVP('6 - B1'!$B15:F15,'6 - B2'!B15:F15,'6 - B3'!B15:F15)/SQRT(G27)</f>
        <v>46.187047165660914</v>
      </c>
      <c r="K27" s="66">
        <v>27</v>
      </c>
      <c r="L27" s="67">
        <v>35.700000000000003</v>
      </c>
      <c r="M27" s="85">
        <f t="shared" si="2"/>
        <v>9017.7240736568456</v>
      </c>
    </row>
    <row r="28" spans="1:13" ht="13.9" x14ac:dyDescent="0.4">
      <c r="A28" s="87">
        <v>6</v>
      </c>
      <c r="B28" s="89">
        <f>'6 - B1'!$L14</f>
        <v>6001.8793944999998</v>
      </c>
      <c r="C28" s="89">
        <f>'6 - B2'!$L14</f>
        <v>6261.0500487499994</v>
      </c>
      <c r="D28" s="89">
        <f>'6 - B3'!$L14</f>
        <v>6222.6971437499997</v>
      </c>
      <c r="E28" s="90">
        <f t="shared" si="0"/>
        <v>6161.8755289999999</v>
      </c>
      <c r="F28" s="91">
        <f>'Clause 6'!D43</f>
        <v>278.96517681672339</v>
      </c>
      <c r="G28" s="87">
        <f>'6 - B1'!$M14+'6 - B2'!$M14+'6 - B3'!$M14</f>
        <v>12</v>
      </c>
      <c r="H28" s="24">
        <f>STDEVP('6 - B1'!$B14:F14,'6 - B2'!B14:F14,'6 - B3'!B14:F14)/SQRT(G28)</f>
        <v>53.829519655385987</v>
      </c>
      <c r="K28" s="66">
        <v>28</v>
      </c>
      <c r="L28" s="67">
        <v>29.8</v>
      </c>
      <c r="M28" s="85">
        <f t="shared" si="2"/>
        <v>9835.7629262689716</v>
      </c>
    </row>
    <row r="29" spans="1:13" ht="13.9" x14ac:dyDescent="0.4">
      <c r="A29" s="87">
        <v>5</v>
      </c>
      <c r="B29" s="89">
        <f>'6 - B1'!$L13</f>
        <v>6958.0350342500005</v>
      </c>
      <c r="C29" s="89">
        <f>'6 - B2'!$L13</f>
        <v>7250.5377197500002</v>
      </c>
      <c r="D29" s="89">
        <f>'6 - B3'!$L13</f>
        <v>7198.9180907499995</v>
      </c>
      <c r="E29" s="90">
        <f t="shared" si="0"/>
        <v>7135.8302815833331</v>
      </c>
      <c r="F29" s="91">
        <f>'Clause 6'!D44</f>
        <v>235.6547750220233</v>
      </c>
      <c r="G29" s="87">
        <f>'6 - B1'!$M13+'6 - B2'!$M13+'6 - B3'!$M13</f>
        <v>12</v>
      </c>
      <c r="H29" s="24">
        <f>STDEVP('6 - B1'!$B13:F13,'6 - B2'!B13:F13,'6 - B3'!B13:F13)/SQRT(G29)</f>
        <v>61.701008770371303</v>
      </c>
      <c r="K29" s="66">
        <v>29</v>
      </c>
      <c r="L29" s="67">
        <v>25.2</v>
      </c>
      <c r="M29" s="85">
        <f t="shared" si="2"/>
        <v>10642.029867910478</v>
      </c>
    </row>
    <row r="30" spans="1:13" ht="13.9" x14ac:dyDescent="0.4">
      <c r="A30" s="87">
        <v>4</v>
      </c>
      <c r="B30" s="89">
        <f>'6 - B1'!$L12</f>
        <v>8043.576172000001</v>
      </c>
      <c r="C30" s="89">
        <f>'6 - B2'!$L12</f>
        <v>8380.2579345000013</v>
      </c>
      <c r="D30" s="89">
        <f>'6 - B3'!$L12</f>
        <v>8315.8880617499999</v>
      </c>
      <c r="E30" s="90">
        <f t="shared" si="0"/>
        <v>8246.5740560833347</v>
      </c>
      <c r="F30" s="91">
        <f>'Clause 6'!D45</f>
        <v>199.06847737904226</v>
      </c>
      <c r="G30" s="87">
        <f>'6 - B1'!$M12+'6 - B2'!$M12+'6 - B3'!$M12</f>
        <v>12</v>
      </c>
      <c r="H30" s="24">
        <f>STDEVP('6 - B1'!$B12:F12,'6 - B2'!B12:F12,'6 - B3'!B12:F12)/SQRT(G30)</f>
        <v>71.274854831522248</v>
      </c>
      <c r="K30" s="66">
        <v>30</v>
      </c>
      <c r="L30" s="67">
        <v>21.1</v>
      </c>
      <c r="M30" s="85">
        <f t="shared" si="2"/>
        <v>11551.511771767297</v>
      </c>
    </row>
    <row r="31" spans="1:13" ht="13.9" x14ac:dyDescent="0.4">
      <c r="A31" s="87">
        <v>3</v>
      </c>
      <c r="B31" s="89">
        <f>'6 - B1'!$L11</f>
        <v>9257.0251465000001</v>
      </c>
      <c r="C31" s="89">
        <f>'6 - B2'!$L11</f>
        <v>9640.1840819999998</v>
      </c>
      <c r="D31" s="89">
        <f>'6 - B3'!$L11</f>
        <v>9575.2573245000003</v>
      </c>
      <c r="E31" s="90">
        <f t="shared" si="0"/>
        <v>9490.8221843333322</v>
      </c>
      <c r="F31" s="91">
        <f>'Clause 6'!D46</f>
        <v>168.16234121420527</v>
      </c>
      <c r="G31" s="87">
        <f>'6 - B1'!$M11+'6 - B2'!$M11+'6 - B3'!$M11</f>
        <v>12</v>
      </c>
      <c r="H31" s="24">
        <f>STDEVP('6 - B1'!$B11:F11,'6 - B2'!B11:F11,'6 - B3'!B11:F11)/SQRT(G31)</f>
        <v>82.357312170912422</v>
      </c>
    </row>
    <row r="32" spans="1:13" ht="13.9" x14ac:dyDescent="0.4">
      <c r="A32" s="87">
        <v>2</v>
      </c>
      <c r="B32" s="89">
        <f>'6 - B1'!$L10</f>
        <v>10641.6572265</v>
      </c>
      <c r="C32" s="89">
        <f>'6 - B2'!$L10</f>
        <v>11085.8706055</v>
      </c>
      <c r="D32" s="89">
        <f>'6 - B3'!$L10</f>
        <v>11002.27050775</v>
      </c>
      <c r="E32" s="90">
        <f t="shared" si="0"/>
        <v>10909.932779916666</v>
      </c>
      <c r="F32" s="91">
        <f>'Clause 6'!D47</f>
        <v>142.05449991360581</v>
      </c>
      <c r="G32" s="87">
        <f>'6 - B1'!$M10+'6 - B2'!$M10+'6 - B3'!$M10</f>
        <v>12</v>
      </c>
      <c r="H32" s="24">
        <f>STDEVP('6 - B1'!$B10:F10,'6 - B2'!B10:F10,'6 - B3'!B10:F10)/SQRT(G32)</f>
        <v>95.204784077461113</v>
      </c>
      <c r="K32" s="29" t="s">
        <v>122</v>
      </c>
    </row>
    <row r="33" spans="1:40" ht="13.9" x14ac:dyDescent="0.4">
      <c r="A33" s="87">
        <v>1</v>
      </c>
      <c r="B33" s="89">
        <f>'6 - B1'!$L9</f>
        <v>12266.379638750001</v>
      </c>
      <c r="C33" s="89">
        <f>'6 - B2'!$L9</f>
        <v>12786.6345215</v>
      </c>
      <c r="D33" s="89">
        <f>'6 - B3'!$L9</f>
        <v>12677.815673999998</v>
      </c>
      <c r="E33" s="90">
        <f t="shared" si="0"/>
        <v>12576.943278083332</v>
      </c>
      <c r="F33" s="91">
        <f>'Clause 6'!D48</f>
        <v>120</v>
      </c>
      <c r="G33" s="87">
        <f>'6 - B1'!$M9+'6 - B2'!$M9+'6 - B3'!$M9</f>
        <v>12</v>
      </c>
      <c r="H33" s="24">
        <f>STDEVP('6 - B1'!$B9:F9,'6 - B2'!B9:F9,'6 - B3'!B9:F9)/SQRT(G33)</f>
        <v>107.24625554792635</v>
      </c>
    </row>
    <row r="34" spans="1:40" x14ac:dyDescent="0.35">
      <c r="B34" s="24"/>
      <c r="C34" s="24"/>
      <c r="D34" s="24"/>
      <c r="E34" s="24"/>
      <c r="F34" s="24"/>
    </row>
    <row r="35" spans="1:40" x14ac:dyDescent="0.35">
      <c r="B35" s="24"/>
      <c r="C35" s="24"/>
      <c r="D35" s="24"/>
      <c r="E35" s="24"/>
      <c r="F35" s="24"/>
    </row>
    <row r="36" spans="1:40" x14ac:dyDescent="0.35">
      <c r="B36" s="24"/>
      <c r="C36" s="24"/>
      <c r="D36" s="24"/>
      <c r="E36" s="24"/>
      <c r="F36" s="24"/>
    </row>
    <row r="37" spans="1:40" x14ac:dyDescent="0.35">
      <c r="B37" s="24"/>
      <c r="C37" s="24"/>
      <c r="D37" s="24"/>
      <c r="E37" s="24"/>
      <c r="F37" s="24"/>
    </row>
    <row r="38" spans="1:40" x14ac:dyDescent="0.35">
      <c r="B38" s="24"/>
      <c r="C38" s="24"/>
      <c r="D38" s="24"/>
      <c r="E38" s="24"/>
      <c r="F38" s="24"/>
    </row>
    <row r="42" spans="1:40" x14ac:dyDescent="0.35">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row>
    <row r="45" spans="1:40" x14ac:dyDescent="0.35">
      <c r="M45" s="68"/>
    </row>
    <row r="46" spans="1:40" x14ac:dyDescent="0.35">
      <c r="M46" s="68"/>
    </row>
    <row r="47" spans="1:40" x14ac:dyDescent="0.35">
      <c r="M47" s="68"/>
    </row>
    <row r="48" spans="1:40" x14ac:dyDescent="0.35">
      <c r="M48" s="68"/>
    </row>
    <row r="49" spans="13:13" x14ac:dyDescent="0.35">
      <c r="M49" s="68"/>
    </row>
    <row r="50" spans="13:13" x14ac:dyDescent="0.35">
      <c r="M50" s="68"/>
    </row>
    <row r="51" spans="13:13" x14ac:dyDescent="0.35">
      <c r="M51" s="68"/>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46"/>
  <sheetViews>
    <sheetView zoomScale="85" zoomScaleNormal="85" workbookViewId="0">
      <selection activeCell="J6" sqref="J6"/>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9" t="s">
        <v>123</v>
      </c>
    </row>
    <row r="2" spans="1:17" ht="13.15" x14ac:dyDescent="0.4">
      <c r="A2" s="7" t="s">
        <v>24</v>
      </c>
      <c r="B2" s="7"/>
      <c r="C2" s="7"/>
      <c r="D2" s="7" t="s">
        <v>124</v>
      </c>
    </row>
    <row r="3" spans="1:17" ht="13.15" x14ac:dyDescent="0.4">
      <c r="A3" s="7" t="s">
        <v>8</v>
      </c>
      <c r="B3" s="7"/>
      <c r="C3" s="7"/>
      <c r="D3" s="70"/>
    </row>
    <row r="4" spans="1:17" ht="13.15" x14ac:dyDescent="0.4">
      <c r="A4" s="7" t="s">
        <v>28</v>
      </c>
      <c r="B4" s="7"/>
      <c r="C4" s="7"/>
      <c r="D4" s="7" t="s">
        <v>124</v>
      </c>
    </row>
    <row r="5" spans="1:17" ht="13.15" x14ac:dyDescent="0.4">
      <c r="A5" s="7" t="s">
        <v>26</v>
      </c>
      <c r="B5" s="7"/>
      <c r="C5" s="7"/>
      <c r="D5" s="69" t="s">
        <v>123</v>
      </c>
    </row>
    <row r="6" spans="1:17" ht="13.15" x14ac:dyDescent="0.4">
      <c r="A6" s="17" t="s">
        <v>30</v>
      </c>
      <c r="B6" s="7"/>
      <c r="C6" s="7"/>
      <c r="D6" s="71" t="s">
        <v>125</v>
      </c>
    </row>
    <row r="7" spans="1:17" ht="13.15" x14ac:dyDescent="0.4">
      <c r="A7" s="7" t="s">
        <v>16</v>
      </c>
      <c r="B7" s="7"/>
      <c r="C7" s="7"/>
      <c r="D7" s="72" t="s">
        <v>17</v>
      </c>
    </row>
    <row r="10" spans="1:17" x14ac:dyDescent="0.35">
      <c r="A10" s="73" t="s">
        <v>126</v>
      </c>
      <c r="B10" s="73"/>
      <c r="C10" s="73"/>
      <c r="D10" s="73"/>
    </row>
    <row r="11" spans="1:17" ht="13.5" thickBot="1" x14ac:dyDescent="0.45">
      <c r="A11" s="73"/>
      <c r="B11" s="73"/>
      <c r="C11" s="73"/>
      <c r="D11" s="73"/>
      <c r="H11" s="29"/>
    </row>
    <row r="12" spans="1:17" ht="13.15" x14ac:dyDescent="0.4">
      <c r="A12" s="114">
        <v>49.4</v>
      </c>
      <c r="B12" s="134" t="s">
        <v>127</v>
      </c>
      <c r="C12" s="134" t="s">
        <v>128</v>
      </c>
      <c r="D12" s="135"/>
      <c r="F12" s="114">
        <v>39</v>
      </c>
      <c r="G12" s="74" t="s">
        <v>127</v>
      </c>
      <c r="H12" s="74" t="s">
        <v>128</v>
      </c>
      <c r="I12" s="41"/>
      <c r="J12" s="42"/>
      <c r="M12" s="114">
        <v>69.7</v>
      </c>
      <c r="N12" s="74" t="s">
        <v>127</v>
      </c>
      <c r="O12" s="74" t="s">
        <v>128</v>
      </c>
      <c r="P12" s="41"/>
      <c r="Q12" s="42"/>
    </row>
    <row r="13" spans="1:17" x14ac:dyDescent="0.35">
      <c r="A13" s="136">
        <f>(4/3)*(3.1415936)*((A12*0.000001/2)^3)</f>
        <v>6.3121832711697054E-14</v>
      </c>
      <c r="B13" s="73" t="s">
        <v>129</v>
      </c>
      <c r="C13" s="73" t="s">
        <v>130</v>
      </c>
      <c r="D13" s="137"/>
      <c r="F13" s="75">
        <f>(4/3)*(3.1415936)*((F12*0.000001/2)^3)</f>
        <v>3.1059365126399994E-14</v>
      </c>
      <c r="G13" s="73" t="s">
        <v>129</v>
      </c>
      <c r="H13" s="73" t="s">
        <v>130</v>
      </c>
      <c r="J13" s="47"/>
      <c r="M13" s="75">
        <f>(4/3)*(3.1415936)*((M12*0.000001/2)^3)</f>
        <v>1.7729524472000214E-13</v>
      </c>
      <c r="N13" s="73" t="s">
        <v>129</v>
      </c>
      <c r="O13" s="73" t="s">
        <v>130</v>
      </c>
      <c r="Q13" s="47"/>
    </row>
    <row r="14" spans="1:17" x14ac:dyDescent="0.35">
      <c r="A14" s="136">
        <f>A13*1.05*1000</f>
        <v>6.6277924347281912E-11</v>
      </c>
      <c r="B14" s="73" t="s">
        <v>131</v>
      </c>
      <c r="C14" s="73" t="s">
        <v>132</v>
      </c>
      <c r="D14" s="137"/>
      <c r="F14" s="75">
        <f>F13*1.05*1000</f>
        <v>3.2612333382719997E-11</v>
      </c>
      <c r="G14" s="73" t="s">
        <v>131</v>
      </c>
      <c r="H14" s="73" t="s">
        <v>132</v>
      </c>
      <c r="J14" s="47"/>
      <c r="M14" s="75">
        <f>M13*1.05*1000</f>
        <v>1.8616000695600225E-10</v>
      </c>
      <c r="N14" s="73" t="s">
        <v>131</v>
      </c>
      <c r="O14" s="73" t="s">
        <v>132</v>
      </c>
      <c r="Q14" s="47"/>
    </row>
    <row r="15" spans="1:17" x14ac:dyDescent="0.35">
      <c r="A15" s="136">
        <f>0.000001/A14</f>
        <v>15087.980045364991</v>
      </c>
      <c r="B15" s="73" t="s">
        <v>43</v>
      </c>
      <c r="C15" s="73" t="s">
        <v>133</v>
      </c>
      <c r="D15" s="137"/>
      <c r="F15" s="75">
        <f>0.000001/F14</f>
        <v>30663.245964787693</v>
      </c>
      <c r="G15" s="73" t="s">
        <v>43</v>
      </c>
      <c r="H15" s="73" t="s">
        <v>133</v>
      </c>
      <c r="J15" s="47"/>
      <c r="M15" s="75">
        <f>0.000001/M14</f>
        <v>5371.7230480999269</v>
      </c>
      <c r="N15" s="73" t="s">
        <v>43</v>
      </c>
      <c r="O15" s="73" t="s">
        <v>133</v>
      </c>
      <c r="Q15" s="47"/>
    </row>
    <row r="16" spans="1:17" ht="13.15" x14ac:dyDescent="0.4">
      <c r="A16" s="138">
        <v>5000</v>
      </c>
      <c r="B16" s="73"/>
      <c r="C16" s="73" t="s">
        <v>134</v>
      </c>
      <c r="D16" s="137"/>
      <c r="F16" s="76">
        <v>3000</v>
      </c>
      <c r="G16" s="73"/>
      <c r="H16" s="73" t="s">
        <v>134</v>
      </c>
      <c r="J16" s="47"/>
      <c r="M16" s="76">
        <v>2000</v>
      </c>
      <c r="N16" s="73"/>
      <c r="O16" s="73" t="s">
        <v>134</v>
      </c>
      <c r="Q16" s="47"/>
    </row>
    <row r="17" spans="1:17" x14ac:dyDescent="0.35">
      <c r="A17" s="139">
        <f>A16/A15*1000</f>
        <v>331.38962173640959</v>
      </c>
      <c r="B17" s="73" t="s">
        <v>135</v>
      </c>
      <c r="C17" s="73" t="s">
        <v>136</v>
      </c>
      <c r="D17" s="137"/>
      <c r="F17" s="77">
        <f>F16/F15*1000</f>
        <v>97.837000148159987</v>
      </c>
      <c r="G17" s="73" t="s">
        <v>135</v>
      </c>
      <c r="H17" s="73" t="s">
        <v>136</v>
      </c>
      <c r="J17" s="47"/>
      <c r="M17" s="77">
        <f>M16/M15*1000</f>
        <v>372.32001391200447</v>
      </c>
      <c r="N17" s="73" t="s">
        <v>135</v>
      </c>
      <c r="O17" s="73" t="s">
        <v>136</v>
      </c>
      <c r="Q17" s="47"/>
    </row>
    <row r="18" spans="1:17" ht="13.15" x14ac:dyDescent="0.4">
      <c r="A18" s="138">
        <v>0.20280000000000001</v>
      </c>
      <c r="B18" s="73" t="s">
        <v>137</v>
      </c>
      <c r="C18" s="73" t="s">
        <v>138</v>
      </c>
      <c r="D18" s="137"/>
      <c r="F18" s="76">
        <v>0.2</v>
      </c>
      <c r="G18" s="73" t="s">
        <v>137</v>
      </c>
      <c r="H18" s="73" t="s">
        <v>138</v>
      </c>
      <c r="J18" s="47"/>
      <c r="M18" s="76">
        <v>0.2</v>
      </c>
      <c r="N18" s="73" t="s">
        <v>137</v>
      </c>
      <c r="O18" s="73" t="s">
        <v>138</v>
      </c>
      <c r="Q18" s="47"/>
    </row>
    <row r="19" spans="1:17" x14ac:dyDescent="0.35">
      <c r="A19" s="139">
        <f>A18*A17</f>
        <v>67.205815288143867</v>
      </c>
      <c r="B19" s="73" t="s">
        <v>139</v>
      </c>
      <c r="C19" s="73" t="s">
        <v>140</v>
      </c>
      <c r="D19" s="137"/>
      <c r="F19" s="77">
        <f>F18*F17</f>
        <v>19.567400029631997</v>
      </c>
      <c r="G19" s="73" t="s">
        <v>139</v>
      </c>
      <c r="H19" s="73" t="s">
        <v>140</v>
      </c>
      <c r="J19" s="47"/>
      <c r="M19" s="77">
        <f>M18*M17</f>
        <v>74.464002782400897</v>
      </c>
      <c r="N19" s="73" t="s">
        <v>139</v>
      </c>
      <c r="O19" s="73" t="s">
        <v>140</v>
      </c>
      <c r="Q19" s="47"/>
    </row>
    <row r="20" spans="1:17" ht="13.15" x14ac:dyDescent="0.4">
      <c r="A20" s="138">
        <v>67.2</v>
      </c>
      <c r="B20" s="73" t="s">
        <v>139</v>
      </c>
      <c r="C20" s="73" t="s">
        <v>141</v>
      </c>
      <c r="D20" s="137"/>
      <c r="F20" s="76">
        <v>20.8</v>
      </c>
      <c r="G20" s="73" t="s">
        <v>139</v>
      </c>
      <c r="H20" s="73" t="s">
        <v>141</v>
      </c>
      <c r="J20" s="47"/>
      <c r="M20" s="76">
        <v>77.569999999999993</v>
      </c>
      <c r="N20" s="73" t="s">
        <v>139</v>
      </c>
      <c r="O20" s="73" t="s">
        <v>141</v>
      </c>
      <c r="Q20" s="47"/>
    </row>
    <row r="21" spans="1:17" ht="13.15" x14ac:dyDescent="0.4">
      <c r="A21" s="140">
        <f>A20/A19*A16</f>
        <v>4999.5673523102923</v>
      </c>
      <c r="B21" s="73" t="s">
        <v>142</v>
      </c>
      <c r="C21" s="73" t="s">
        <v>143</v>
      </c>
      <c r="D21" s="137"/>
      <c r="F21" s="79">
        <f>F20/F19*F16</f>
        <v>3188.9775803379202</v>
      </c>
      <c r="G21" s="73" t="s">
        <v>142</v>
      </c>
      <c r="H21" s="73" t="s">
        <v>143</v>
      </c>
      <c r="J21" s="47"/>
      <c r="M21" s="78">
        <f>M20/M19*M16</f>
        <v>2083.4227842055566</v>
      </c>
      <c r="N21" s="73" t="s">
        <v>142</v>
      </c>
      <c r="O21" s="73" t="s">
        <v>143</v>
      </c>
      <c r="Q21" s="47"/>
    </row>
    <row r="22" spans="1:17" x14ac:dyDescent="0.35">
      <c r="A22" s="80">
        <f>A20*A15</f>
        <v>1013912.2590485275</v>
      </c>
      <c r="C22" t="s">
        <v>144</v>
      </c>
      <c r="D22" s="12"/>
      <c r="F22" s="80">
        <f>F20*F15</f>
        <v>637795.51606758405</v>
      </c>
      <c r="H22" t="s">
        <v>144</v>
      </c>
      <c r="J22" s="47"/>
      <c r="M22" s="80">
        <f>M20*M15</f>
        <v>416684.55684111128</v>
      </c>
      <c r="O22" t="s">
        <v>144</v>
      </c>
      <c r="Q22" s="47"/>
    </row>
    <row r="23" spans="1:17" x14ac:dyDescent="0.35">
      <c r="A23" s="80">
        <f>A21/A16*A18*1000</f>
        <v>202.78245180970546</v>
      </c>
      <c r="B23" t="s">
        <v>7</v>
      </c>
      <c r="C23" t="s">
        <v>145</v>
      </c>
      <c r="D23" s="12"/>
      <c r="F23" s="80">
        <f>F21/F16*F18*1000</f>
        <v>212.59850535586136</v>
      </c>
      <c r="G23" t="s">
        <v>7</v>
      </c>
      <c r="H23" t="s">
        <v>145</v>
      </c>
      <c r="J23" s="47"/>
      <c r="M23" s="80">
        <f>M21/M16*M18*1000</f>
        <v>208.34227842055566</v>
      </c>
      <c r="N23" t="s">
        <v>7</v>
      </c>
      <c r="O23" t="s">
        <v>145</v>
      </c>
      <c r="Q23" s="47"/>
    </row>
    <row r="24" spans="1:17" x14ac:dyDescent="0.35">
      <c r="A24" s="80">
        <f>A23-A18*1000</f>
        <v>-1.7548190294547794E-2</v>
      </c>
      <c r="B24" t="s">
        <v>7</v>
      </c>
      <c r="C24" t="s">
        <v>146</v>
      </c>
      <c r="D24" s="12"/>
      <c r="F24" s="80">
        <f>F23-F18*1000</f>
        <v>12.598505355861363</v>
      </c>
      <c r="G24" t="s">
        <v>7</v>
      </c>
      <c r="H24" t="s">
        <v>146</v>
      </c>
      <c r="J24" s="47"/>
      <c r="M24" s="80">
        <f>M23-M18*1000</f>
        <v>8.3422784205556582</v>
      </c>
      <c r="N24" t="s">
        <v>7</v>
      </c>
      <c r="O24" t="s">
        <v>146</v>
      </c>
      <c r="Q24" s="47"/>
    </row>
    <row r="25" spans="1:17" ht="13.15" x14ac:dyDescent="0.4">
      <c r="A25" s="81">
        <f>A22/(A23)</f>
        <v>5000.0000000000009</v>
      </c>
      <c r="C25" t="s">
        <v>33</v>
      </c>
      <c r="D25" s="12"/>
      <c r="F25" s="81">
        <f>F22/(F23)</f>
        <v>3000</v>
      </c>
      <c r="H25" t="s">
        <v>33</v>
      </c>
      <c r="J25" s="47"/>
      <c r="M25" s="46">
        <f>M22/(M23)</f>
        <v>1999.9999999999998</v>
      </c>
      <c r="O25" t="s">
        <v>33</v>
      </c>
      <c r="Q25" s="47"/>
    </row>
    <row r="26" spans="1:17" x14ac:dyDescent="0.35">
      <c r="A26" s="15"/>
      <c r="D26" s="12"/>
      <c r="F26" s="46"/>
      <c r="J26" s="47"/>
      <c r="M26" s="46"/>
      <c r="Q26" s="47"/>
    </row>
    <row r="27" spans="1:17" x14ac:dyDescent="0.35">
      <c r="A27" s="15" t="s">
        <v>147</v>
      </c>
      <c r="D27" s="12"/>
      <c r="F27" s="46" t="s">
        <v>147</v>
      </c>
      <c r="J27" s="47"/>
      <c r="M27" s="46" t="s">
        <v>147</v>
      </c>
      <c r="Q27" s="47"/>
    </row>
    <row r="28" spans="1:17" x14ac:dyDescent="0.35">
      <c r="A28" s="15">
        <v>100</v>
      </c>
      <c r="B28" t="s">
        <v>7</v>
      </c>
      <c r="C28" t="s">
        <v>148</v>
      </c>
      <c r="D28" s="12"/>
      <c r="F28" s="46">
        <v>100</v>
      </c>
      <c r="G28" t="s">
        <v>7</v>
      </c>
      <c r="H28" t="s">
        <v>148</v>
      </c>
      <c r="J28" s="47"/>
      <c r="M28" s="46">
        <v>100</v>
      </c>
      <c r="N28" t="s">
        <v>7</v>
      </c>
      <c r="O28" t="s">
        <v>148</v>
      </c>
      <c r="Q28" s="47"/>
    </row>
    <row r="29" spans="1:17" x14ac:dyDescent="0.35">
      <c r="A29" s="15">
        <v>300</v>
      </c>
      <c r="B29" t="s">
        <v>120</v>
      </c>
      <c r="C29" t="s">
        <v>149</v>
      </c>
      <c r="D29" s="12"/>
      <c r="F29" s="46">
        <v>300</v>
      </c>
      <c r="G29" t="s">
        <v>120</v>
      </c>
      <c r="H29" t="s">
        <v>150</v>
      </c>
      <c r="J29" s="47"/>
      <c r="M29" s="46">
        <v>300</v>
      </c>
      <c r="N29" t="s">
        <v>120</v>
      </c>
      <c r="O29" t="s">
        <v>150</v>
      </c>
      <c r="Q29" s="47"/>
    </row>
    <row r="30" spans="1:17" x14ac:dyDescent="0.35">
      <c r="A30" s="15">
        <f>A28*A29</f>
        <v>30000</v>
      </c>
      <c r="B30" t="s">
        <v>151</v>
      </c>
      <c r="C30" t="s">
        <v>152</v>
      </c>
      <c r="D30" s="12"/>
      <c r="F30" s="46">
        <f>F28*F29</f>
        <v>30000</v>
      </c>
      <c r="G30" t="s">
        <v>151</v>
      </c>
      <c r="H30" t="s">
        <v>152</v>
      </c>
      <c r="J30" s="47"/>
      <c r="M30" s="46">
        <f>M28*M29</f>
        <v>30000</v>
      </c>
      <c r="N30" t="s">
        <v>151</v>
      </c>
      <c r="O30" t="s">
        <v>152</v>
      </c>
      <c r="Q30" s="47"/>
    </row>
    <row r="31" spans="1:17" x14ac:dyDescent="0.35">
      <c r="A31" s="141">
        <f>A30/A21</f>
        <v>6.0005192221557024</v>
      </c>
      <c r="B31" t="s">
        <v>7</v>
      </c>
      <c r="C31" t="s">
        <v>153</v>
      </c>
      <c r="D31" s="12"/>
      <c r="F31" s="80">
        <f>F30/F25</f>
        <v>10</v>
      </c>
      <c r="G31" t="s">
        <v>7</v>
      </c>
      <c r="H31" t="s">
        <v>153</v>
      </c>
      <c r="J31" s="47"/>
      <c r="M31" s="80">
        <f>M30/M25</f>
        <v>15.000000000000002</v>
      </c>
      <c r="N31" t="s">
        <v>7</v>
      </c>
      <c r="O31" t="s">
        <v>153</v>
      </c>
      <c r="Q31" s="47"/>
    </row>
    <row r="32" spans="1:17" x14ac:dyDescent="0.35">
      <c r="A32" s="141">
        <f>A28-A31</f>
        <v>93.999480777844298</v>
      </c>
      <c r="B32" t="s">
        <v>7</v>
      </c>
      <c r="C32" t="s">
        <v>154</v>
      </c>
      <c r="D32" s="12"/>
      <c r="F32" s="80">
        <f>F28-F31</f>
        <v>90</v>
      </c>
      <c r="G32" t="s">
        <v>7</v>
      </c>
      <c r="H32" t="s">
        <v>154</v>
      </c>
      <c r="J32" s="47"/>
      <c r="M32" s="80">
        <f>M28-M31</f>
        <v>85</v>
      </c>
      <c r="N32" t="s">
        <v>7</v>
      </c>
      <c r="O32" t="s">
        <v>154</v>
      </c>
      <c r="Q32" s="47"/>
    </row>
    <row r="33" spans="1:17" x14ac:dyDescent="0.35">
      <c r="A33" s="15"/>
      <c r="D33" s="12"/>
      <c r="F33" s="46"/>
      <c r="J33" s="47"/>
      <c r="M33" s="46"/>
      <c r="Q33" s="47"/>
    </row>
    <row r="34" spans="1:17" ht="13.15" thickBot="1" x14ac:dyDescent="0.4">
      <c r="A34" s="25"/>
      <c r="B34" s="142"/>
      <c r="C34" s="142"/>
      <c r="D34" s="27"/>
      <c r="F34" s="48"/>
      <c r="G34" s="49"/>
      <c r="H34" s="49"/>
      <c r="I34" s="49"/>
      <c r="J34" s="50"/>
      <c r="M34" s="48"/>
      <c r="N34" s="49"/>
      <c r="O34" s="49"/>
      <c r="P34" s="49"/>
      <c r="Q34" s="50"/>
    </row>
    <row r="37" spans="1:17" ht="13.15" x14ac:dyDescent="0.4">
      <c r="A37" s="29" t="s">
        <v>155</v>
      </c>
    </row>
    <row r="39" spans="1:17" x14ac:dyDescent="0.35">
      <c r="F39" s="31"/>
    </row>
    <row r="40" spans="1:17" ht="13.15" x14ac:dyDescent="0.4">
      <c r="A40" t="s">
        <v>156</v>
      </c>
      <c r="C40" s="29">
        <f>A12</f>
        <v>49.4</v>
      </c>
      <c r="D40" t="s">
        <v>157</v>
      </c>
      <c r="G40" s="29">
        <f>F12</f>
        <v>39</v>
      </c>
      <c r="H40" t="s">
        <v>157</v>
      </c>
      <c r="N40" s="29">
        <v>70</v>
      </c>
    </row>
    <row r="42" spans="1:17" ht="13.15" x14ac:dyDescent="0.4">
      <c r="A42" t="s">
        <v>158</v>
      </c>
      <c r="B42" s="144">
        <f>0.56*C42</f>
        <v>8736</v>
      </c>
      <c r="C42" s="114">
        <v>15600</v>
      </c>
      <c r="D42" s="144">
        <f>1.56*C42</f>
        <v>24336</v>
      </c>
      <c r="F42" s="144">
        <f>0.56*G42</f>
        <v>5600.0000000000009</v>
      </c>
      <c r="G42" s="114">
        <v>10000</v>
      </c>
      <c r="H42" s="144">
        <f>1.56*G42</f>
        <v>15600</v>
      </c>
      <c r="M42" s="144">
        <f>0.56*N42</f>
        <v>14000.000000000002</v>
      </c>
      <c r="N42" s="114">
        <v>25000</v>
      </c>
      <c r="O42" s="144">
        <f>1.56*N42</f>
        <v>39000</v>
      </c>
    </row>
    <row r="43" spans="1:17" x14ac:dyDescent="0.35">
      <c r="B43" s="48"/>
      <c r="C43" s="49"/>
      <c r="D43" s="50"/>
      <c r="F43" s="48"/>
      <c r="G43" s="49"/>
      <c r="H43" s="50"/>
      <c r="M43" s="48"/>
      <c r="N43" s="49"/>
      <c r="O43" s="50"/>
    </row>
    <row r="44" spans="1:17" x14ac:dyDescent="0.35">
      <c r="A44" t="s">
        <v>159</v>
      </c>
      <c r="B44" s="82">
        <v>13047</v>
      </c>
      <c r="C44" s="82">
        <v>13354</v>
      </c>
      <c r="D44" s="82"/>
      <c r="F44" s="82">
        <v>10000</v>
      </c>
      <c r="G44" s="82">
        <v>10000</v>
      </c>
      <c r="H44" s="82"/>
      <c r="M44" s="82">
        <v>10000</v>
      </c>
      <c r="N44" s="82">
        <v>10000</v>
      </c>
      <c r="O44" s="82"/>
    </row>
    <row r="46" spans="1:17" ht="13.9" x14ac:dyDescent="0.4">
      <c r="A46" t="s">
        <v>160</v>
      </c>
      <c r="B46" s="143">
        <f>(1-B44/C44)</f>
        <v>2.2989366481952933E-2</v>
      </c>
      <c r="F46" s="143">
        <f>(1-F44/G44)</f>
        <v>0</v>
      </c>
      <c r="M46" s="143">
        <f>(1-M44/N44)</f>
        <v>0</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zoomScale="70" zoomScaleNormal="70" workbookViewId="0">
      <selection sqref="A1:B1"/>
    </sheetView>
  </sheetViews>
  <sheetFormatPr defaultColWidth="11.53125" defaultRowHeight="12.75" x14ac:dyDescent="0.35"/>
  <sheetData>
    <row r="1" spans="1:4" ht="14.25" x14ac:dyDescent="0.45">
      <c r="A1" s="154" t="s">
        <v>161</v>
      </c>
      <c r="B1" s="155"/>
      <c r="C1" s="154" t="s">
        <v>162</v>
      </c>
      <c r="D1" s="155"/>
    </row>
    <row r="2" spans="1:4" ht="92.85" customHeight="1" x14ac:dyDescent="0.45">
      <c r="A2" s="156" t="s">
        <v>163</v>
      </c>
      <c r="B2" s="157"/>
      <c r="C2" s="156" t="s">
        <v>164</v>
      </c>
      <c r="D2" s="157"/>
    </row>
    <row r="3" spans="1:4" ht="57" x14ac:dyDescent="0.45">
      <c r="A3" s="92" t="s">
        <v>165</v>
      </c>
      <c r="B3" s="93" t="s">
        <v>166</v>
      </c>
      <c r="C3" s="92" t="s">
        <v>115</v>
      </c>
      <c r="D3" s="94" t="s">
        <v>117</v>
      </c>
    </row>
    <row r="4" spans="1:4" ht="14.25" x14ac:dyDescent="0.45">
      <c r="A4" s="95" t="s">
        <v>121</v>
      </c>
      <c r="B4" s="94" t="s">
        <v>167</v>
      </c>
      <c r="C4" s="95" t="s">
        <v>121</v>
      </c>
      <c r="D4" s="94" t="s">
        <v>167</v>
      </c>
    </row>
    <row r="5" spans="1:4" x14ac:dyDescent="0.35">
      <c r="A5" s="101">
        <v>4</v>
      </c>
      <c r="B5" s="96">
        <f>'6 - Thresholds'!$M4</f>
        <v>147.65945028058397</v>
      </c>
      <c r="C5" s="97">
        <v>4</v>
      </c>
      <c r="D5" s="102">
        <f>CubicSpline(C5,$A$5:$A$34,$B$5:$B$34)</f>
        <v>147.659450280584</v>
      </c>
    </row>
    <row r="6" spans="1:4" x14ac:dyDescent="0.35">
      <c r="A6" s="103">
        <v>5</v>
      </c>
      <c r="B6" s="91">
        <f>'6 - Thresholds'!$M5</f>
        <v>244.99395201747345</v>
      </c>
      <c r="C6" s="87">
        <v>5</v>
      </c>
      <c r="D6" s="104">
        <f t="shared" ref="D6:D30" si="0">CubicSpline(C6,$A$5:$A$34,$B$5:$B$34)</f>
        <v>244.99395201747345</v>
      </c>
    </row>
    <row r="7" spans="1:4" x14ac:dyDescent="0.35">
      <c r="A7" s="103">
        <v>6</v>
      </c>
      <c r="B7" s="91">
        <f>'6 - Thresholds'!$M6</f>
        <v>381.85915077748371</v>
      </c>
      <c r="C7" s="98">
        <v>6</v>
      </c>
      <c r="D7" s="104">
        <f t="shared" si="0"/>
        <v>381.85915077748371</v>
      </c>
    </row>
    <row r="8" spans="1:4" x14ac:dyDescent="0.35">
      <c r="A8" s="103">
        <v>7</v>
      </c>
      <c r="B8" s="91">
        <f>'6 - Thresholds'!$M7</f>
        <v>536.20151395575044</v>
      </c>
      <c r="C8" s="87">
        <v>7</v>
      </c>
      <c r="D8" s="104">
        <f t="shared" si="0"/>
        <v>536.20151395575056</v>
      </c>
    </row>
    <row r="9" spans="1:4" x14ac:dyDescent="0.35">
      <c r="A9" s="103">
        <v>8</v>
      </c>
      <c r="B9" s="91">
        <f>'6 - Thresholds'!$M8</f>
        <v>729.34260450493684</v>
      </c>
      <c r="C9" s="87">
        <v>8</v>
      </c>
      <c r="D9" s="104">
        <f t="shared" si="0"/>
        <v>729.34260450493684</v>
      </c>
    </row>
    <row r="10" spans="1:4" x14ac:dyDescent="0.35">
      <c r="A10" s="103">
        <v>9</v>
      </c>
      <c r="B10" s="91">
        <f>'6 - Thresholds'!$M9</f>
        <v>949.57900818384803</v>
      </c>
      <c r="C10" s="87">
        <v>9</v>
      </c>
      <c r="D10" s="104">
        <f t="shared" si="0"/>
        <v>949.57900818384758</v>
      </c>
    </row>
    <row r="11" spans="1:4" x14ac:dyDescent="0.35">
      <c r="A11" s="103">
        <v>10</v>
      </c>
      <c r="B11" s="91">
        <f>'6 - Thresholds'!$M10</f>
        <v>1184.0958066609062</v>
      </c>
      <c r="C11" s="87">
        <v>10</v>
      </c>
      <c r="D11" s="104">
        <f t="shared" si="0"/>
        <v>1184.0958066609064</v>
      </c>
    </row>
    <row r="12" spans="1:4" x14ac:dyDescent="0.35">
      <c r="A12" s="103">
        <v>11</v>
      </c>
      <c r="B12" s="91">
        <f>'6 - Thresholds'!$M11</f>
        <v>1444.1873948423834</v>
      </c>
      <c r="C12" s="87">
        <v>11</v>
      </c>
      <c r="D12" s="104">
        <f t="shared" si="0"/>
        <v>1444.1873948423834</v>
      </c>
    </row>
    <row r="13" spans="1:4" x14ac:dyDescent="0.35">
      <c r="A13" s="103">
        <v>12</v>
      </c>
      <c r="B13" s="91">
        <f>'6 - Thresholds'!$M12</f>
        <v>1728.6899064572613</v>
      </c>
      <c r="C13" s="87">
        <v>12</v>
      </c>
      <c r="D13" s="104">
        <f t="shared" si="0"/>
        <v>1728.6899064572608</v>
      </c>
    </row>
    <row r="14" spans="1:4" x14ac:dyDescent="0.35">
      <c r="A14" s="103">
        <v>13</v>
      </c>
      <c r="B14" s="91">
        <f>'6 - Thresholds'!$M13</f>
        <v>2028.8876107817334</v>
      </c>
      <c r="C14" s="87">
        <v>13</v>
      </c>
      <c r="D14" s="104">
        <f t="shared" si="0"/>
        <v>2028.8876107817332</v>
      </c>
    </row>
    <row r="15" spans="1:4" x14ac:dyDescent="0.35">
      <c r="A15" s="103">
        <v>14</v>
      </c>
      <c r="B15" s="91">
        <f>'6 - Thresholds'!$M14</f>
        <v>2334.2675815282705</v>
      </c>
      <c r="C15" s="98">
        <v>14</v>
      </c>
      <c r="D15" s="104">
        <f t="shared" si="0"/>
        <v>2334.2675815282691</v>
      </c>
    </row>
    <row r="16" spans="1:4" x14ac:dyDescent="0.35">
      <c r="A16" s="103">
        <v>15</v>
      </c>
      <c r="B16" s="91">
        <f>'6 - Thresholds'!$M15</f>
        <v>2660.9065053529634</v>
      </c>
      <c r="C16" s="87">
        <v>15</v>
      </c>
      <c r="D16" s="104">
        <f t="shared" si="0"/>
        <v>2660.9065053529625</v>
      </c>
    </row>
    <row r="17" spans="1:36" x14ac:dyDescent="0.35">
      <c r="A17" s="103">
        <v>16</v>
      </c>
      <c r="B17" s="91">
        <f>'6 - Thresholds'!$M16</f>
        <v>2999.050709086996</v>
      </c>
      <c r="C17" s="87">
        <v>16</v>
      </c>
      <c r="D17" s="104">
        <f t="shared" si="0"/>
        <v>2999.0507090869942</v>
      </c>
    </row>
    <row r="18" spans="1:36" x14ac:dyDescent="0.35">
      <c r="A18" s="103">
        <v>17</v>
      </c>
      <c r="B18" s="91">
        <f>'6 - Thresholds'!$M17</f>
        <v>3335.4673971796897</v>
      </c>
      <c r="C18" s="87">
        <v>17</v>
      </c>
      <c r="D18" s="104">
        <f t="shared" si="0"/>
        <v>3335.4673971796897</v>
      </c>
    </row>
    <row r="19" spans="1:36" x14ac:dyDescent="0.35">
      <c r="A19" s="103">
        <v>18</v>
      </c>
      <c r="B19" s="91">
        <f>'6 - Thresholds'!$M18</f>
        <v>3669.478374014604</v>
      </c>
      <c r="C19" s="87">
        <v>18</v>
      </c>
      <c r="D19" s="104">
        <f t="shared" si="0"/>
        <v>3669.4783740145999</v>
      </c>
    </row>
    <row r="20" spans="1:36" x14ac:dyDescent="0.35">
      <c r="A20" s="103">
        <v>19</v>
      </c>
      <c r="B20" s="91">
        <f>'6 - Thresholds'!$M19</f>
        <v>4033.3431166807513</v>
      </c>
      <c r="C20" s="87">
        <v>19</v>
      </c>
      <c r="D20" s="104">
        <f t="shared" si="0"/>
        <v>4033.3431166807522</v>
      </c>
      <c r="G20" s="91">
        <f>'6 - Curve'!$D$5</f>
        <v>147.659450280584</v>
      </c>
      <c r="H20" s="91">
        <f>'6 - Curve'!$D$6</f>
        <v>244.99395201747345</v>
      </c>
      <c r="I20" s="91">
        <f>'6 - Curve'!$D$7</f>
        <v>381.85915077748371</v>
      </c>
      <c r="J20" s="91">
        <f>'6 - Curve'!$D$8</f>
        <v>536.20151395575056</v>
      </c>
      <c r="K20" s="91">
        <f>'6 - Curve'!$D$9</f>
        <v>729.34260450493684</v>
      </c>
      <c r="L20" s="91">
        <f>'6 - Curve'!$D$10</f>
        <v>949.57900818384758</v>
      </c>
      <c r="M20" s="91">
        <f>'6 - Curve'!$D$11</f>
        <v>1184.0958066609064</v>
      </c>
      <c r="N20" s="91">
        <f>'6 - Curve'!$D$12</f>
        <v>1444.1873948423834</v>
      </c>
      <c r="O20" s="91">
        <f>'6 - Curve'!$D$13</f>
        <v>1728.6899064572608</v>
      </c>
      <c r="P20" s="91">
        <f>'6 - Curve'!$D$14</f>
        <v>2028.8876107817332</v>
      </c>
      <c r="Q20" s="91">
        <f>'6 - Curve'!$D$15</f>
        <v>2334.2675815282691</v>
      </c>
      <c r="R20" s="91">
        <f>'6 - Curve'!$D$16</f>
        <v>2660.9065053529625</v>
      </c>
      <c r="S20" s="91">
        <f>'6 - Curve'!$D$17</f>
        <v>2999.0507090869942</v>
      </c>
      <c r="T20" s="91">
        <f>'6 - Curve'!$D$18</f>
        <v>3335.4673971796897</v>
      </c>
      <c r="U20" s="91">
        <f>'6 - Curve'!$D$19</f>
        <v>3669.4783740145999</v>
      </c>
      <c r="V20" s="91">
        <f>'6 - Curve'!$D$20</f>
        <v>4033.3431166807522</v>
      </c>
      <c r="W20" s="91">
        <f>'6 - Curve'!$D$21</f>
        <v>4443.9021888414209</v>
      </c>
      <c r="X20" s="91">
        <f>'6 - Curve'!$D$22</f>
        <v>4930.1304762214968</v>
      </c>
      <c r="Y20" s="91">
        <f>'6 - Curve'!$D$23</f>
        <v>5485.647765398825</v>
      </c>
      <c r="Z20" s="91">
        <f>'6 - Curve'!$D$24</f>
        <v>6077.3375980462788</v>
      </c>
      <c r="AA20" s="91">
        <f>'6 - Curve'!$D$25</f>
        <v>6727.4680216374545</v>
      </c>
      <c r="AB20" s="91">
        <f>'6 - Curve'!$D$26</f>
        <v>7441.8471689839389</v>
      </c>
      <c r="AC20" s="91">
        <f>'6 - Curve'!$D$27</f>
        <v>8212.4548709748997</v>
      </c>
      <c r="AD20" s="91">
        <f>'6 - Curve'!$D$28</f>
        <v>9017.724073656831</v>
      </c>
      <c r="AE20" s="91">
        <f>'6 - Curve'!$D$29</f>
        <v>9835.7629262689643</v>
      </c>
      <c r="AF20" s="91">
        <f>'6 - Curve'!$D$30</f>
        <v>10642.029867910594</v>
      </c>
      <c r="AG20" s="91">
        <f>'6 - Curve'!$D$31</f>
        <v>11551.511771767269</v>
      </c>
      <c r="AH20" s="112">
        <f>'6 - Curve'!$D$32</f>
        <v>10053.20685088366</v>
      </c>
      <c r="AI20" s="112">
        <f>'6 - Curve'!$D$33</f>
        <v>15895.418171796442</v>
      </c>
      <c r="AJ20" s="112">
        <f>'6 - Curve'!$D$34</f>
        <v>24999.999999999996</v>
      </c>
    </row>
    <row r="21" spans="1:36" ht="13.15" thickBot="1" x14ac:dyDescent="0.4">
      <c r="A21" s="103">
        <v>20</v>
      </c>
      <c r="B21" s="91">
        <f>'6 - Thresholds'!$M20</f>
        <v>4443.9021888414154</v>
      </c>
      <c r="C21" s="87">
        <v>20</v>
      </c>
      <c r="D21" s="104">
        <f t="shared" si="0"/>
        <v>4443.9021888414209</v>
      </c>
    </row>
    <row r="22" spans="1:36" x14ac:dyDescent="0.35">
      <c r="A22" s="103">
        <v>21</v>
      </c>
      <c r="B22" s="91">
        <f>'6 - Thresholds'!$M21</f>
        <v>4930.1304762214959</v>
      </c>
      <c r="C22" s="98">
        <v>21</v>
      </c>
      <c r="D22" s="104">
        <f t="shared" si="0"/>
        <v>4930.1304762214968</v>
      </c>
      <c r="F22" s="11" t="s">
        <v>174</v>
      </c>
      <c r="G22" s="107">
        <v>4</v>
      </c>
      <c r="H22" s="108">
        <v>5</v>
      </c>
      <c r="I22" s="108">
        <v>6</v>
      </c>
      <c r="J22" s="108">
        <v>7</v>
      </c>
      <c r="K22" s="108">
        <v>8</v>
      </c>
      <c r="L22" s="108">
        <v>9</v>
      </c>
      <c r="M22" s="108">
        <v>10</v>
      </c>
      <c r="N22" s="108">
        <v>11</v>
      </c>
      <c r="O22" s="108">
        <v>12</v>
      </c>
      <c r="P22" s="108">
        <v>13</v>
      </c>
      <c r="Q22" s="108">
        <v>14</v>
      </c>
      <c r="R22" s="108">
        <v>15</v>
      </c>
      <c r="S22" s="108">
        <v>16</v>
      </c>
      <c r="T22" s="108">
        <v>17</v>
      </c>
      <c r="U22" s="108">
        <v>18</v>
      </c>
      <c r="V22" s="108">
        <v>19</v>
      </c>
      <c r="W22" s="108">
        <v>20</v>
      </c>
      <c r="X22" s="108">
        <v>21</v>
      </c>
      <c r="Y22" s="108">
        <v>22</v>
      </c>
      <c r="Z22" s="108">
        <v>23</v>
      </c>
      <c r="AA22" s="108">
        <v>24</v>
      </c>
      <c r="AB22" s="108">
        <v>25</v>
      </c>
      <c r="AC22" s="108">
        <v>26</v>
      </c>
      <c r="AD22" s="108">
        <v>27</v>
      </c>
      <c r="AE22" s="108">
        <v>28</v>
      </c>
      <c r="AF22" s="108">
        <v>29</v>
      </c>
      <c r="AG22" s="108">
        <v>30</v>
      </c>
      <c r="AH22" s="108">
        <v>38</v>
      </c>
      <c r="AI22" s="108">
        <v>50</v>
      </c>
      <c r="AJ22" s="5">
        <v>70</v>
      </c>
    </row>
    <row r="23" spans="1:36" ht="14.25" thickBot="1" x14ac:dyDescent="0.45">
      <c r="A23" s="103">
        <v>22</v>
      </c>
      <c r="B23" s="91">
        <f>'6 - Thresholds'!$M22</f>
        <v>5485.6477653988322</v>
      </c>
      <c r="C23" s="87">
        <v>22</v>
      </c>
      <c r="D23" s="104">
        <f t="shared" si="0"/>
        <v>5485.647765398825</v>
      </c>
      <c r="F23" s="11" t="s">
        <v>175</v>
      </c>
      <c r="G23" s="109">
        <f t="shared" ref="G23:AJ23" si="1">INT(G20+0.5)</f>
        <v>148</v>
      </c>
      <c r="H23" s="110">
        <f t="shared" si="1"/>
        <v>245</v>
      </c>
      <c r="I23" s="110">
        <f t="shared" si="1"/>
        <v>382</v>
      </c>
      <c r="J23" s="110">
        <f t="shared" si="1"/>
        <v>536</v>
      </c>
      <c r="K23" s="110">
        <f t="shared" si="1"/>
        <v>729</v>
      </c>
      <c r="L23" s="110">
        <f t="shared" si="1"/>
        <v>950</v>
      </c>
      <c r="M23" s="110">
        <f t="shared" si="1"/>
        <v>1184</v>
      </c>
      <c r="N23" s="110">
        <f t="shared" si="1"/>
        <v>1444</v>
      </c>
      <c r="O23" s="110">
        <f t="shared" si="1"/>
        <v>1729</v>
      </c>
      <c r="P23" s="110">
        <f t="shared" si="1"/>
        <v>2029</v>
      </c>
      <c r="Q23" s="110">
        <f t="shared" si="1"/>
        <v>2334</v>
      </c>
      <c r="R23" s="110">
        <f t="shared" si="1"/>
        <v>2661</v>
      </c>
      <c r="S23" s="110">
        <f t="shared" si="1"/>
        <v>2999</v>
      </c>
      <c r="T23" s="110">
        <f t="shared" si="1"/>
        <v>3335</v>
      </c>
      <c r="U23" s="110">
        <f t="shared" si="1"/>
        <v>3669</v>
      </c>
      <c r="V23" s="110">
        <f t="shared" si="1"/>
        <v>4033</v>
      </c>
      <c r="W23" s="110">
        <f t="shared" si="1"/>
        <v>4444</v>
      </c>
      <c r="X23" s="110">
        <f t="shared" si="1"/>
        <v>4930</v>
      </c>
      <c r="Y23" s="110">
        <f t="shared" si="1"/>
        <v>5486</v>
      </c>
      <c r="Z23" s="110">
        <f t="shared" si="1"/>
        <v>6077</v>
      </c>
      <c r="AA23" s="110">
        <f t="shared" si="1"/>
        <v>6727</v>
      </c>
      <c r="AB23" s="110">
        <f t="shared" si="1"/>
        <v>7442</v>
      </c>
      <c r="AC23" s="110">
        <f t="shared" si="1"/>
        <v>8212</v>
      </c>
      <c r="AD23" s="110">
        <f t="shared" si="1"/>
        <v>9018</v>
      </c>
      <c r="AE23" s="110">
        <f t="shared" si="1"/>
        <v>9836</v>
      </c>
      <c r="AF23" s="110">
        <f t="shared" si="1"/>
        <v>10642</v>
      </c>
      <c r="AG23" s="110">
        <f t="shared" si="1"/>
        <v>11552</v>
      </c>
      <c r="AH23" s="110">
        <f t="shared" si="1"/>
        <v>10053</v>
      </c>
      <c r="AI23" s="110">
        <f t="shared" si="1"/>
        <v>15895</v>
      </c>
      <c r="AJ23" s="111">
        <f t="shared" si="1"/>
        <v>25000</v>
      </c>
    </row>
    <row r="24" spans="1:36" x14ac:dyDescent="0.35">
      <c r="A24" s="103">
        <v>23</v>
      </c>
      <c r="B24" s="91">
        <f>'6 - Thresholds'!$M23</f>
        <v>6077.3375980462797</v>
      </c>
      <c r="C24" s="87">
        <v>23</v>
      </c>
      <c r="D24" s="104">
        <f t="shared" si="0"/>
        <v>6077.3375980462788</v>
      </c>
    </row>
    <row r="25" spans="1:36" x14ac:dyDescent="0.35">
      <c r="A25" s="103">
        <v>24</v>
      </c>
      <c r="B25" s="91">
        <f>'6 - Thresholds'!$M24</f>
        <v>6727.4680216374545</v>
      </c>
      <c r="C25" s="87">
        <v>24</v>
      </c>
      <c r="D25" s="104">
        <f t="shared" si="0"/>
        <v>6727.4680216374545</v>
      </c>
    </row>
    <row r="26" spans="1:36" x14ac:dyDescent="0.35">
      <c r="A26" s="103">
        <v>25</v>
      </c>
      <c r="B26" s="91">
        <f>'6 - Thresholds'!$M25</f>
        <v>7441.8471689839316</v>
      </c>
      <c r="C26" s="98">
        <v>25</v>
      </c>
      <c r="D26" s="104">
        <f t="shared" si="0"/>
        <v>7441.8471689839389</v>
      </c>
    </row>
    <row r="27" spans="1:36" x14ac:dyDescent="0.35">
      <c r="A27" s="103">
        <v>26</v>
      </c>
      <c r="B27" s="91">
        <f>'6 - Thresholds'!$M26</f>
        <v>8212.4548709749124</v>
      </c>
      <c r="C27" s="87">
        <v>26</v>
      </c>
      <c r="D27" s="104">
        <f t="shared" si="0"/>
        <v>8212.4548709748997</v>
      </c>
      <c r="F27" s="83">
        <v>10</v>
      </c>
      <c r="G27">
        <f>CubicSpline(F27, $A$5:$A$107, $B$5:$B$107)</f>
        <v>1184.0958066609064</v>
      </c>
    </row>
    <row r="28" spans="1:36" x14ac:dyDescent="0.35">
      <c r="A28" s="103">
        <v>27</v>
      </c>
      <c r="B28" s="91">
        <f>'6 - Thresholds'!$M27</f>
        <v>9017.7240736568456</v>
      </c>
      <c r="C28" s="87">
        <v>27</v>
      </c>
      <c r="D28" s="104">
        <f t="shared" si="0"/>
        <v>9017.724073656831</v>
      </c>
      <c r="F28" s="83">
        <v>11</v>
      </c>
      <c r="G28">
        <f>CubicSpline(F28, $A$5:$A$107, $B$5:$B$107)</f>
        <v>1444.1873948423834</v>
      </c>
    </row>
    <row r="29" spans="1:36" x14ac:dyDescent="0.35">
      <c r="A29" s="103">
        <v>28</v>
      </c>
      <c r="B29" s="91">
        <f>'6 - Thresholds'!$M28</f>
        <v>9835.7629262689716</v>
      </c>
      <c r="C29" s="87">
        <v>28</v>
      </c>
      <c r="D29" s="104">
        <f t="shared" si="0"/>
        <v>9835.7629262689643</v>
      </c>
      <c r="F29">
        <v>9</v>
      </c>
      <c r="G29">
        <f>CubicSpline(F29, $A$5:$A$107, $B$5:$B$107)</f>
        <v>949.57900818384758</v>
      </c>
    </row>
    <row r="30" spans="1:36" x14ac:dyDescent="0.35">
      <c r="A30" s="103">
        <v>29</v>
      </c>
      <c r="B30" s="91">
        <f>'6 - Thresholds'!$M29</f>
        <v>10642.029867910478</v>
      </c>
      <c r="C30" s="87">
        <v>29</v>
      </c>
      <c r="D30" s="104">
        <f t="shared" si="0"/>
        <v>10642.029867910594</v>
      </c>
    </row>
    <row r="31" spans="1:36" x14ac:dyDescent="0.35">
      <c r="A31" s="103">
        <v>30</v>
      </c>
      <c r="B31" s="91">
        <f>'6 - Thresholds'!$M30</f>
        <v>11551.511771767297</v>
      </c>
      <c r="C31" s="87">
        <v>30</v>
      </c>
      <c r="D31" s="104">
        <f>CubicSpline(C31,$A$5:$A$34,$B$5:$B$34)</f>
        <v>11551.511771767269</v>
      </c>
    </row>
    <row r="32" spans="1:36" x14ac:dyDescent="0.35">
      <c r="A32" s="103">
        <f>'6 - Spheres'!$G$40</f>
        <v>39</v>
      </c>
      <c r="B32" s="87">
        <f>'6 - Spheres'!$G$42</f>
        <v>10000</v>
      </c>
      <c r="C32" s="98">
        <v>38</v>
      </c>
      <c r="D32" s="104">
        <f t="shared" ref="D32:D34" si="2">CubicSpline(C32,$A$5:$A$34,$B$5:$B$34)</f>
        <v>10053.20685088366</v>
      </c>
    </row>
    <row r="33" spans="1:4" x14ac:dyDescent="0.35">
      <c r="A33" s="103">
        <f>'6 - Spheres'!$C$40</f>
        <v>49.4</v>
      </c>
      <c r="B33" s="87">
        <f>'6 - Spheres'!$C$42</f>
        <v>15600</v>
      </c>
      <c r="C33" s="98">
        <v>50</v>
      </c>
      <c r="D33" s="104">
        <f t="shared" si="2"/>
        <v>15895.418171796442</v>
      </c>
    </row>
    <row r="34" spans="1:4" x14ac:dyDescent="0.35">
      <c r="A34" s="105">
        <f>'6 - Spheres'!$N$40</f>
        <v>70</v>
      </c>
      <c r="B34" s="99">
        <f>'6 - Spheres'!$N$42</f>
        <v>25000</v>
      </c>
      <c r="C34" s="100">
        <v>70</v>
      </c>
      <c r="D34" s="106">
        <f t="shared" si="2"/>
        <v>24999.999999999996</v>
      </c>
    </row>
    <row r="36" spans="1:4" ht="40.15" x14ac:dyDescent="0.35">
      <c r="A36" s="84" t="s">
        <v>168</v>
      </c>
    </row>
    <row r="39" spans="1:4" ht="13.15" x14ac:dyDescent="0.4">
      <c r="A39" t="s">
        <v>169</v>
      </c>
    </row>
    <row r="40" spans="1:4" ht="13.15" x14ac:dyDescent="0.4">
      <c r="A40" t="s">
        <v>170</v>
      </c>
    </row>
    <row r="41" spans="1:4" x14ac:dyDescent="0.35">
      <c r="A41" t="s">
        <v>171</v>
      </c>
    </row>
    <row r="42" spans="1:4" x14ac:dyDescent="0.35">
      <c r="A42" t="s">
        <v>172</v>
      </c>
    </row>
    <row r="44" spans="1:4" x14ac:dyDescent="0.35">
      <c r="A44" t="s">
        <v>173</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2025-12-23T11:36:53Z</dcterms:modified>
</cp:coreProperties>
</file>