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EA1E17B2-B04A-48AC-9241-830F644A3FB0}" xr6:coauthVersionLast="47" xr6:coauthVersionMax="47" xr10:uidLastSave="{00000000-0000-0000-0000-000000000000}"/>
  <bookViews>
    <workbookView xWindow="-98" yWindow="-98" windowWidth="28996" windowHeight="17745" tabRatio="500" firstSheet="13" activeTab="22"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C33" i="7" l="1"/>
  <c r="D34" i="7"/>
  <c r="D33" i="7"/>
  <c r="C38" i="7"/>
  <c r="C9" i="7"/>
  <c r="B9" i="7"/>
  <c r="B10" i="7"/>
  <c r="B11" i="7"/>
  <c r="B12" i="7"/>
  <c r="B13" i="7"/>
  <c r="D10" i="6"/>
  <c r="D9" i="6"/>
  <c r="D36" i="6"/>
  <c r="E35" i="5"/>
  <c r="D34" i="5"/>
  <c r="E34" i="5"/>
  <c r="P36" i="7"/>
  <c r="P35" i="7"/>
  <c r="S32" i="7"/>
  <c r="R32" i="7"/>
  <c r="Q32" i="7"/>
  <c r="P32" i="7"/>
  <c r="O32" i="7"/>
  <c r="S31" i="7"/>
  <c r="R31" i="7"/>
  <c r="Q31" i="7"/>
  <c r="P31" i="7"/>
  <c r="O31" i="7"/>
  <c r="S30" i="7"/>
  <c r="R30" i="7"/>
  <c r="Q30" i="7"/>
  <c r="P30" i="7"/>
  <c r="O30" i="7"/>
  <c r="S29" i="7"/>
  <c r="R29" i="7"/>
  <c r="Q29" i="7"/>
  <c r="P29" i="7"/>
  <c r="O29" i="7"/>
  <c r="S28" i="7"/>
  <c r="R28" i="7"/>
  <c r="Q28" i="7"/>
  <c r="P28" i="7"/>
  <c r="O28" i="7"/>
  <c r="S27" i="7"/>
  <c r="R27" i="7"/>
  <c r="Q27" i="7"/>
  <c r="P27" i="7"/>
  <c r="O27" i="7"/>
  <c r="S26" i="7"/>
  <c r="R26" i="7"/>
  <c r="Q26" i="7"/>
  <c r="P26" i="7"/>
  <c r="O26" i="7"/>
  <c r="S25" i="7"/>
  <c r="R25" i="7"/>
  <c r="Q25" i="7"/>
  <c r="P25" i="7"/>
  <c r="O25" i="7"/>
  <c r="S24" i="7"/>
  <c r="R24" i="7"/>
  <c r="Q24" i="7"/>
  <c r="P24" i="7"/>
  <c r="O24" i="7"/>
  <c r="S23" i="7"/>
  <c r="R23" i="7"/>
  <c r="Q23" i="7"/>
  <c r="P23" i="7"/>
  <c r="O23" i="7"/>
  <c r="S22" i="7"/>
  <c r="R22" i="7"/>
  <c r="Q22" i="7"/>
  <c r="P22" i="7"/>
  <c r="O22" i="7"/>
  <c r="S21" i="7"/>
  <c r="R21" i="7"/>
  <c r="Q21" i="7"/>
  <c r="P21" i="7"/>
  <c r="O21" i="7"/>
  <c r="S20" i="7"/>
  <c r="R20" i="7"/>
  <c r="Q20" i="7"/>
  <c r="P20" i="7"/>
  <c r="O20" i="7"/>
  <c r="S19" i="7"/>
  <c r="R19" i="7"/>
  <c r="Q19" i="7"/>
  <c r="P19" i="7"/>
  <c r="O19" i="7"/>
  <c r="S18" i="7"/>
  <c r="R18" i="7"/>
  <c r="Q18" i="7"/>
  <c r="P18" i="7"/>
  <c r="O18" i="7"/>
  <c r="S17" i="7"/>
  <c r="R17" i="7"/>
  <c r="Q17" i="7"/>
  <c r="P17" i="7"/>
  <c r="O17" i="7"/>
  <c r="S16" i="7"/>
  <c r="R16" i="7"/>
  <c r="Q16" i="7"/>
  <c r="P16" i="7"/>
  <c r="O16" i="7"/>
  <c r="S15" i="7"/>
  <c r="R15" i="7"/>
  <c r="Q15" i="7"/>
  <c r="P15" i="7"/>
  <c r="O15" i="7"/>
  <c r="S14" i="7"/>
  <c r="R14" i="7"/>
  <c r="Q14" i="7"/>
  <c r="P14" i="7"/>
  <c r="O14" i="7"/>
  <c r="S38" i="6"/>
  <c r="S37" i="6"/>
  <c r="Q35" i="6"/>
  <c r="Q34" i="6"/>
  <c r="Q33" i="6"/>
  <c r="Q32" i="6"/>
  <c r="S31" i="6"/>
  <c r="R31" i="6"/>
  <c r="Q31" i="6"/>
  <c r="P31" i="6"/>
  <c r="O31" i="6"/>
  <c r="S30" i="6"/>
  <c r="R30" i="6"/>
  <c r="Q30" i="6"/>
  <c r="P30" i="6"/>
  <c r="O30" i="6"/>
  <c r="S29" i="6"/>
  <c r="R29" i="6"/>
  <c r="Q29" i="6"/>
  <c r="P29" i="6"/>
  <c r="O29" i="6"/>
  <c r="S28" i="6"/>
  <c r="R28" i="6"/>
  <c r="Q28" i="6"/>
  <c r="P28" i="6"/>
  <c r="O28" i="6"/>
  <c r="S27" i="6"/>
  <c r="R27" i="6"/>
  <c r="Q27" i="6"/>
  <c r="P27" i="6"/>
  <c r="O27" i="6"/>
  <c r="S26" i="6"/>
  <c r="R26" i="6"/>
  <c r="Q26" i="6"/>
  <c r="P26" i="6"/>
  <c r="O26" i="6"/>
  <c r="S25" i="6"/>
  <c r="R25" i="6"/>
  <c r="Q25" i="6"/>
  <c r="P25" i="6"/>
  <c r="O25" i="6"/>
  <c r="S24" i="6"/>
  <c r="R24" i="6"/>
  <c r="Q24" i="6"/>
  <c r="P24" i="6"/>
  <c r="O24" i="6"/>
  <c r="S23" i="6"/>
  <c r="R23" i="6"/>
  <c r="Q23" i="6"/>
  <c r="P23" i="6"/>
  <c r="O23" i="6"/>
  <c r="S22" i="6"/>
  <c r="R22" i="6"/>
  <c r="Q22" i="6"/>
  <c r="P22" i="6"/>
  <c r="O22" i="6"/>
  <c r="S21" i="6"/>
  <c r="R21" i="6"/>
  <c r="Q21" i="6"/>
  <c r="P21" i="6"/>
  <c r="O21" i="6"/>
  <c r="S20" i="6"/>
  <c r="R20" i="6"/>
  <c r="Q20" i="6"/>
  <c r="P20" i="6"/>
  <c r="O20" i="6"/>
  <c r="S19" i="6"/>
  <c r="R19" i="6"/>
  <c r="Q19" i="6"/>
  <c r="P19" i="6"/>
  <c r="O19" i="6"/>
  <c r="S18" i="6"/>
  <c r="R18" i="6"/>
  <c r="Q18" i="6"/>
  <c r="P18" i="6"/>
  <c r="O18" i="6"/>
  <c r="S17" i="6"/>
  <c r="R17" i="6"/>
  <c r="Q17" i="6"/>
  <c r="P17" i="6"/>
  <c r="O17" i="6"/>
  <c r="S16" i="6"/>
  <c r="R16" i="6"/>
  <c r="Q16" i="6"/>
  <c r="P16" i="6"/>
  <c r="O16" i="6"/>
  <c r="S15" i="6"/>
  <c r="R15" i="6"/>
  <c r="Q15" i="6"/>
  <c r="P15" i="6"/>
  <c r="O15" i="6"/>
  <c r="S14" i="6"/>
  <c r="R14" i="6"/>
  <c r="Q14" i="6"/>
  <c r="P14" i="6"/>
  <c r="O14" i="6"/>
  <c r="S13" i="6"/>
  <c r="R13" i="6"/>
  <c r="Q13" i="6"/>
  <c r="P13" i="6"/>
  <c r="O13" i="6"/>
  <c r="S12" i="6"/>
  <c r="R12" i="6"/>
  <c r="Q12" i="6"/>
  <c r="P12" i="6"/>
  <c r="O12" i="6"/>
  <c r="S11" i="6"/>
  <c r="R11" i="6"/>
  <c r="Q11" i="6"/>
  <c r="P11" i="6"/>
  <c r="O11" i="6"/>
  <c r="S38" i="5"/>
  <c r="R38" i="5"/>
  <c r="Q38" i="5"/>
  <c r="P38" i="5"/>
  <c r="O38" i="5"/>
  <c r="S37" i="5"/>
  <c r="R37" i="5"/>
  <c r="Q37" i="5"/>
  <c r="P37" i="5"/>
  <c r="O37" i="5"/>
  <c r="S36" i="5"/>
  <c r="R36" i="5"/>
  <c r="Q36" i="5"/>
  <c r="P36" i="5"/>
  <c r="O36" i="5"/>
  <c r="R32" i="5"/>
  <c r="R31" i="5"/>
  <c r="R30" i="5"/>
  <c r="R29" i="5"/>
  <c r="R28" i="5"/>
  <c r="S27" i="5"/>
  <c r="R27" i="5"/>
  <c r="Q27" i="5"/>
  <c r="P27" i="5"/>
  <c r="O27" i="5"/>
  <c r="R26" i="5"/>
  <c r="R25" i="5"/>
  <c r="S24" i="5"/>
  <c r="R24" i="5"/>
  <c r="Q24" i="5"/>
  <c r="P24" i="5"/>
  <c r="O24" i="5"/>
  <c r="S23" i="5"/>
  <c r="R23" i="5"/>
  <c r="Q23" i="5"/>
  <c r="P23" i="5"/>
  <c r="O23" i="5"/>
  <c r="S22" i="5"/>
  <c r="R22" i="5"/>
  <c r="Q22" i="5"/>
  <c r="P22" i="5"/>
  <c r="O22" i="5"/>
  <c r="S21" i="5"/>
  <c r="R21" i="5"/>
  <c r="Q21" i="5"/>
  <c r="P21" i="5"/>
  <c r="O21" i="5"/>
  <c r="S20" i="5"/>
  <c r="R20" i="5"/>
  <c r="Q20" i="5"/>
  <c r="P20" i="5"/>
  <c r="O20" i="5"/>
  <c r="S19" i="5"/>
  <c r="R19" i="5"/>
  <c r="Q19" i="5"/>
  <c r="P19" i="5"/>
  <c r="O19" i="5"/>
  <c r="S18" i="5"/>
  <c r="R18" i="5"/>
  <c r="Q18" i="5"/>
  <c r="P18" i="5"/>
  <c r="O18" i="5"/>
  <c r="S17" i="5"/>
  <c r="R17" i="5"/>
  <c r="Q17" i="5"/>
  <c r="P17" i="5"/>
  <c r="O17" i="5"/>
  <c r="S16" i="5"/>
  <c r="R16" i="5"/>
  <c r="Q16" i="5"/>
  <c r="P16" i="5"/>
  <c r="O16" i="5"/>
  <c r="S15" i="5"/>
  <c r="R15" i="5"/>
  <c r="Q15" i="5"/>
  <c r="P15" i="5"/>
  <c r="O15" i="5"/>
  <c r="S14" i="5"/>
  <c r="R14" i="5"/>
  <c r="Q14" i="5"/>
  <c r="P14" i="5"/>
  <c r="O14" i="5"/>
  <c r="S13" i="5"/>
  <c r="R13" i="5"/>
  <c r="Q13" i="5"/>
  <c r="P13" i="5"/>
  <c r="O13" i="5"/>
  <c r="S12" i="5"/>
  <c r="R12" i="5"/>
  <c r="Q12" i="5"/>
  <c r="P12" i="5"/>
  <c r="O12" i="5"/>
  <c r="S11" i="5"/>
  <c r="R11" i="5"/>
  <c r="Q11" i="5"/>
  <c r="P11" i="5"/>
  <c r="O11" i="5"/>
  <c r="S10" i="5"/>
  <c r="R10" i="5"/>
  <c r="Q10" i="5"/>
  <c r="P10" i="5"/>
  <c r="O10" i="5"/>
  <c r="S9" i="5"/>
  <c r="R9" i="5"/>
  <c r="Q9" i="5"/>
  <c r="P9" i="5"/>
  <c r="O9" i="5"/>
  <c r="B9" i="5"/>
  <c r="B8" i="5"/>
  <c r="D38" i="5"/>
  <c r="F23" i="5"/>
  <c r="F22" i="5"/>
  <c r="F21" i="5"/>
  <c r="F20" i="5"/>
  <c r="G15" i="15"/>
  <c r="G14" i="15"/>
  <c r="G13" i="15"/>
  <c r="G12" i="15"/>
  <c r="G11" i="15"/>
  <c r="G10" i="15"/>
  <c r="G9" i="15"/>
  <c r="G15" i="14"/>
  <c r="G14" i="14"/>
  <c r="G13" i="14"/>
  <c r="G12" i="14"/>
  <c r="G11" i="14"/>
  <c r="G10" i="14"/>
  <c r="G9" i="14"/>
  <c r="G15" i="13"/>
  <c r="G14" i="13"/>
  <c r="G13" i="13"/>
  <c r="H13" i="13" s="1"/>
  <c r="G12" i="13"/>
  <c r="H12" i="13" s="1"/>
  <c r="G11" i="13"/>
  <c r="H11" i="13" s="1"/>
  <c r="G10" i="13"/>
  <c r="G9" i="13"/>
  <c r="H9" i="13" s="1"/>
  <c r="H8" i="13"/>
  <c r="H10" i="13" l="1"/>
  <c r="B24" i="5"/>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F8" i="7" s="1"/>
  <c r="A53" i="7"/>
  <c r="B53" i="7"/>
  <c r="C53" i="7"/>
  <c r="D53" i="7"/>
  <c r="E53" i="7"/>
  <c r="F53" i="7"/>
  <c r="G53" i="7"/>
  <c r="H53" i="7"/>
  <c r="I53" i="7"/>
  <c r="J53" i="7"/>
  <c r="K53" i="7"/>
  <c r="L53" i="7"/>
  <c r="M53" i="7"/>
  <c r="N53" i="7"/>
  <c r="O53" i="7"/>
  <c r="E9" i="7" s="1"/>
  <c r="P53" i="7"/>
  <c r="F9" i="7" s="1"/>
  <c r="A54" i="7"/>
  <c r="B54" i="7"/>
  <c r="C54" i="7"/>
  <c r="D54" i="7"/>
  <c r="E54" i="7"/>
  <c r="F54" i="7"/>
  <c r="G54" i="7"/>
  <c r="H54" i="7"/>
  <c r="I54" i="7"/>
  <c r="J54" i="7"/>
  <c r="K54" i="7"/>
  <c r="L54" i="7"/>
  <c r="M54" i="7"/>
  <c r="C10" i="7" s="1"/>
  <c r="N54" i="7"/>
  <c r="O54" i="7"/>
  <c r="E10" i="7" s="1"/>
  <c r="P54" i="7"/>
  <c r="F10" i="7" s="1"/>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M56" i="7"/>
  <c r="C12" i="7" s="1"/>
  <c r="N56" i="7"/>
  <c r="O56" i="7"/>
  <c r="E12" i="7" s="1"/>
  <c r="P56" i="7"/>
  <c r="F12" i="7" s="1"/>
  <c r="A57" i="7"/>
  <c r="B57" i="7"/>
  <c r="C57" i="7"/>
  <c r="D57" i="7"/>
  <c r="E57" i="7"/>
  <c r="F57" i="7"/>
  <c r="G57" i="7"/>
  <c r="H57" i="7"/>
  <c r="I57" i="7"/>
  <c r="J57" i="7"/>
  <c r="K57" i="7"/>
  <c r="L57" i="7"/>
  <c r="M57" i="7"/>
  <c r="C13" i="7" s="1"/>
  <c r="N57" i="7"/>
  <c r="O57" i="7"/>
  <c r="E13" i="7" s="1"/>
  <c r="P57" i="7"/>
  <c r="F13" i="7" s="1"/>
  <c r="A58" i="7"/>
  <c r="B58" i="7"/>
  <c r="C58" i="7"/>
  <c r="D58" i="7"/>
  <c r="E58" i="7"/>
  <c r="F58" i="7"/>
  <c r="G58" i="7"/>
  <c r="H58" i="7"/>
  <c r="I58" i="7"/>
  <c r="J58" i="7"/>
  <c r="K58" i="7"/>
  <c r="L58" i="7"/>
  <c r="M58" i="7"/>
  <c r="C14" i="7" s="1"/>
  <c r="N58" i="7"/>
  <c r="O58" i="7"/>
  <c r="E14" i="7" s="1"/>
  <c r="P58" i="7"/>
  <c r="F14" i="7" s="1"/>
  <c r="A59" i="7"/>
  <c r="B59" i="7"/>
  <c r="C59" i="7"/>
  <c r="D59" i="7"/>
  <c r="E59" i="7"/>
  <c r="F59" i="7"/>
  <c r="G59" i="7"/>
  <c r="H59" i="7"/>
  <c r="I59" i="7"/>
  <c r="J59" i="7"/>
  <c r="K59" i="7"/>
  <c r="L59" i="7"/>
  <c r="B15" i="7" s="1"/>
  <c r="M59" i="7"/>
  <c r="C15" i="7" s="1"/>
  <c r="N59" i="7"/>
  <c r="O59" i="7"/>
  <c r="E15" i="7" s="1"/>
  <c r="P59" i="7"/>
  <c r="F15" i="7" s="1"/>
  <c r="A60" i="7"/>
  <c r="B60" i="7"/>
  <c r="C60" i="7"/>
  <c r="D60" i="7"/>
  <c r="E60" i="7"/>
  <c r="F60" i="7"/>
  <c r="G60" i="7"/>
  <c r="H60" i="7"/>
  <c r="I60" i="7"/>
  <c r="J60" i="7"/>
  <c r="K60" i="7"/>
  <c r="L60" i="7"/>
  <c r="B16" i="7" s="1"/>
  <c r="M60" i="7"/>
  <c r="C16" i="7" s="1"/>
  <c r="N60" i="7"/>
  <c r="O60" i="7"/>
  <c r="E16" i="7" s="1"/>
  <c r="P60" i="7"/>
  <c r="F16" i="7" s="1"/>
  <c r="A61" i="7"/>
  <c r="B61" i="7"/>
  <c r="C61" i="7"/>
  <c r="D61" i="7"/>
  <c r="E61" i="7"/>
  <c r="F61" i="7"/>
  <c r="G61" i="7"/>
  <c r="H61" i="7"/>
  <c r="I61" i="7"/>
  <c r="J61" i="7"/>
  <c r="K61" i="7"/>
  <c r="L61" i="7"/>
  <c r="B17" i="7" s="1"/>
  <c r="M61" i="7"/>
  <c r="C17" i="7" s="1"/>
  <c r="N61" i="7"/>
  <c r="O61" i="7"/>
  <c r="E17" i="7" s="1"/>
  <c r="P61" i="7"/>
  <c r="F17" i="7" s="1"/>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F19" i="7" s="1"/>
  <c r="A64" i="7"/>
  <c r="B64" i="7"/>
  <c r="C64" i="7"/>
  <c r="D64" i="7"/>
  <c r="E64" i="7"/>
  <c r="F64" i="7"/>
  <c r="G64" i="7"/>
  <c r="H64" i="7"/>
  <c r="I64" i="7"/>
  <c r="J64" i="7"/>
  <c r="K64" i="7"/>
  <c r="L64" i="7"/>
  <c r="M64" i="7"/>
  <c r="C20" i="7" s="1"/>
  <c r="N64" i="7"/>
  <c r="O64" i="7"/>
  <c r="E20" i="7" s="1"/>
  <c r="P64" i="7"/>
  <c r="F20" i="7" s="1"/>
  <c r="A65" i="7"/>
  <c r="B65" i="7"/>
  <c r="C65" i="7"/>
  <c r="D65" i="7"/>
  <c r="E65" i="7"/>
  <c r="F65" i="7"/>
  <c r="G65" i="7"/>
  <c r="H65" i="7"/>
  <c r="I65" i="7"/>
  <c r="J65" i="7"/>
  <c r="K65" i="7"/>
  <c r="L65" i="7"/>
  <c r="B21" i="7" s="1"/>
  <c r="M65" i="7"/>
  <c r="C21" i="7" s="1"/>
  <c r="N65" i="7"/>
  <c r="D21" i="7" s="1"/>
  <c r="O65" i="7"/>
  <c r="E21" i="7" s="1"/>
  <c r="P65" i="7"/>
  <c r="F21" i="7" s="1"/>
  <c r="A66" i="7"/>
  <c r="B66" i="7"/>
  <c r="C66" i="7"/>
  <c r="D66" i="7"/>
  <c r="E66" i="7"/>
  <c r="F66" i="7"/>
  <c r="G66" i="7"/>
  <c r="H66" i="7"/>
  <c r="I66" i="7"/>
  <c r="J66" i="7"/>
  <c r="K66" i="7"/>
  <c r="L66" i="7"/>
  <c r="B22" i="7" s="1"/>
  <c r="M66" i="7"/>
  <c r="C22" i="7" s="1"/>
  <c r="N66" i="7"/>
  <c r="D22" i="7" s="1"/>
  <c r="O66" i="7"/>
  <c r="E22" i="7" s="1"/>
  <c r="P66" i="7"/>
  <c r="F22" i="7" s="1"/>
  <c r="A67" i="7"/>
  <c r="B67" i="7"/>
  <c r="C67" i="7"/>
  <c r="D67" i="7"/>
  <c r="E67" i="7"/>
  <c r="F67" i="7"/>
  <c r="G67" i="7"/>
  <c r="H67" i="7"/>
  <c r="I67" i="7"/>
  <c r="J67" i="7"/>
  <c r="K67" i="7"/>
  <c r="L67" i="7"/>
  <c r="B23" i="7" s="1"/>
  <c r="M67" i="7"/>
  <c r="C23" i="7" s="1"/>
  <c r="N67" i="7"/>
  <c r="D23" i="7" s="1"/>
  <c r="O67" i="7"/>
  <c r="E23" i="7" s="1"/>
  <c r="P67" i="7"/>
  <c r="F23" i="7" s="1"/>
  <c r="A68" i="7"/>
  <c r="B68" i="7"/>
  <c r="C68" i="7"/>
  <c r="D68" i="7"/>
  <c r="E68" i="7"/>
  <c r="F68" i="7"/>
  <c r="G68" i="7"/>
  <c r="H68" i="7"/>
  <c r="I68" i="7"/>
  <c r="J68" i="7"/>
  <c r="K68" i="7"/>
  <c r="L68" i="7"/>
  <c r="B24" i="7" s="1"/>
  <c r="M68" i="7"/>
  <c r="C24" i="7" s="1"/>
  <c r="N68" i="7"/>
  <c r="D24" i="7" s="1"/>
  <c r="O68" i="7"/>
  <c r="E24" i="7" s="1"/>
  <c r="P68" i="7"/>
  <c r="F24" i="7" s="1"/>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D26" i="7" s="1"/>
  <c r="O70" i="7"/>
  <c r="E26" i="7" s="1"/>
  <c r="P70" i="7"/>
  <c r="A71" i="7"/>
  <c r="B71" i="7"/>
  <c r="C71" i="7"/>
  <c r="D71" i="7"/>
  <c r="E71" i="7"/>
  <c r="F71" i="7"/>
  <c r="G71" i="7"/>
  <c r="H71" i="7"/>
  <c r="I71" i="7"/>
  <c r="J71" i="7"/>
  <c r="K71" i="7"/>
  <c r="L71" i="7"/>
  <c r="M71" i="7"/>
  <c r="C27" i="7" s="1"/>
  <c r="N71" i="7"/>
  <c r="O71" i="7"/>
  <c r="E27" i="7" s="1"/>
  <c r="P71" i="7"/>
  <c r="F27" i="7" s="1"/>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E29" i="7" s="1"/>
  <c r="P73" i="7"/>
  <c r="F29" i="7" s="1"/>
  <c r="A74" i="7"/>
  <c r="B74" i="7"/>
  <c r="C74" i="7"/>
  <c r="D74" i="7"/>
  <c r="E74" i="7"/>
  <c r="F74" i="7"/>
  <c r="G74" i="7"/>
  <c r="H74" i="7"/>
  <c r="I74" i="7"/>
  <c r="J74" i="7"/>
  <c r="K74" i="7"/>
  <c r="L74" i="7"/>
  <c r="B30" i="7" s="1"/>
  <c r="M74" i="7"/>
  <c r="C30" i="7" s="1"/>
  <c r="N74" i="7"/>
  <c r="D30" i="7" s="1"/>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F32" i="7" s="1"/>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O78" i="7"/>
  <c r="E34" i="7" s="1"/>
  <c r="P78" i="7"/>
  <c r="F34" i="7" s="1"/>
  <c r="A79" i="7"/>
  <c r="B79" i="7"/>
  <c r="C79" i="7"/>
  <c r="D79" i="7"/>
  <c r="E79" i="7"/>
  <c r="F79" i="7"/>
  <c r="G79" i="7"/>
  <c r="H79" i="7"/>
  <c r="I79" i="7"/>
  <c r="J79" i="7"/>
  <c r="K79" i="7"/>
  <c r="L79" i="7"/>
  <c r="B35" i="7" s="1"/>
  <c r="M79" i="7"/>
  <c r="N79" i="7"/>
  <c r="D35" i="7" s="1"/>
  <c r="O79" i="7"/>
  <c r="E35" i="7" s="1"/>
  <c r="P79" i="7"/>
  <c r="F35" i="7" s="1"/>
  <c r="A80" i="7"/>
  <c r="B80" i="7"/>
  <c r="C80" i="7"/>
  <c r="D80" i="7"/>
  <c r="E80" i="7"/>
  <c r="F80" i="7"/>
  <c r="G80" i="7"/>
  <c r="H80" i="7"/>
  <c r="I80" i="7"/>
  <c r="J80" i="7"/>
  <c r="K80" i="7"/>
  <c r="L80" i="7"/>
  <c r="B36" i="7" s="1"/>
  <c r="M80" i="7"/>
  <c r="N80" i="7"/>
  <c r="O80" i="7"/>
  <c r="E36" i="7" s="1"/>
  <c r="P80" i="7"/>
  <c r="F36" i="7" s="1"/>
  <c r="A81" i="7"/>
  <c r="B81" i="7"/>
  <c r="C81" i="7"/>
  <c r="D81" i="7"/>
  <c r="E81" i="7"/>
  <c r="F81" i="7"/>
  <c r="G81" i="7"/>
  <c r="H81" i="7"/>
  <c r="I81" i="7"/>
  <c r="J81" i="7"/>
  <c r="K81" i="7"/>
  <c r="L81" i="7"/>
  <c r="B37" i="7" s="1"/>
  <c r="M81" i="7"/>
  <c r="C37" i="7" s="1"/>
  <c r="N81" i="7"/>
  <c r="D37" i="7" s="1"/>
  <c r="O81" i="7"/>
  <c r="E37" i="7" s="1"/>
  <c r="P81" i="7"/>
  <c r="A82" i="7"/>
  <c r="B82" i="7"/>
  <c r="C82" i="7"/>
  <c r="D82" i="7"/>
  <c r="E82" i="7"/>
  <c r="F82" i="7"/>
  <c r="G82" i="7"/>
  <c r="H82" i="7"/>
  <c r="I82" i="7"/>
  <c r="J82" i="7"/>
  <c r="K82" i="7"/>
  <c r="L82" i="7"/>
  <c r="B38" i="7" s="1"/>
  <c r="M82" i="7"/>
  <c r="N82" i="7"/>
  <c r="D38" i="7" s="1"/>
  <c r="O82" i="7"/>
  <c r="E38" i="7" s="1"/>
  <c r="P82" i="7"/>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E10" i="6" s="1"/>
  <c r="K54" i="6"/>
  <c r="L54" i="6"/>
  <c r="M54" i="6"/>
  <c r="N54" i="6"/>
  <c r="O54" i="6"/>
  <c r="P54" i="6"/>
  <c r="A55" i="6"/>
  <c r="B55" i="6"/>
  <c r="C55" i="6"/>
  <c r="D55" i="6"/>
  <c r="E55" i="6"/>
  <c r="F55" i="6"/>
  <c r="G55" i="6"/>
  <c r="H55" i="6"/>
  <c r="I55" i="6"/>
  <c r="J55" i="6"/>
  <c r="E11" i="6" s="1"/>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E13" i="6" s="1"/>
  <c r="K57" i="6"/>
  <c r="L57" i="6"/>
  <c r="M57" i="6"/>
  <c r="N57" i="6"/>
  <c r="O57" i="6"/>
  <c r="P57" i="6"/>
  <c r="A58" i="6"/>
  <c r="B58" i="6"/>
  <c r="C58" i="6"/>
  <c r="D58" i="6"/>
  <c r="E58" i="6"/>
  <c r="F58" i="6"/>
  <c r="G58" i="6"/>
  <c r="H58" i="6"/>
  <c r="I58" i="6"/>
  <c r="J58" i="6"/>
  <c r="E14" i="6" s="1"/>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E16" i="6" s="1"/>
  <c r="K60" i="6"/>
  <c r="L60" i="6"/>
  <c r="M60" i="6"/>
  <c r="N60" i="6"/>
  <c r="O60" i="6"/>
  <c r="P60" i="6"/>
  <c r="A61" i="6"/>
  <c r="B61" i="6"/>
  <c r="C61" i="6"/>
  <c r="D61" i="6"/>
  <c r="E61" i="6"/>
  <c r="F61" i="6"/>
  <c r="G61" i="6"/>
  <c r="H61" i="6"/>
  <c r="I61" i="6"/>
  <c r="J61" i="6"/>
  <c r="E17" i="6" s="1"/>
  <c r="K61" i="6"/>
  <c r="L61" i="6"/>
  <c r="M61" i="6"/>
  <c r="N61" i="6"/>
  <c r="O61" i="6"/>
  <c r="P61" i="6"/>
  <c r="A62" i="6"/>
  <c r="B62" i="6"/>
  <c r="C62" i="6"/>
  <c r="D62" i="6"/>
  <c r="E62" i="6"/>
  <c r="F62" i="6"/>
  <c r="G62" i="6"/>
  <c r="H62" i="6"/>
  <c r="I62" i="6"/>
  <c r="J62" i="6"/>
  <c r="E18" i="6" s="1"/>
  <c r="K62" i="6"/>
  <c r="L62" i="6"/>
  <c r="M62" i="6"/>
  <c r="N62" i="6"/>
  <c r="O62" i="6"/>
  <c r="P62" i="6"/>
  <c r="A63" i="6"/>
  <c r="B63" i="6"/>
  <c r="C63" i="6"/>
  <c r="D63" i="6"/>
  <c r="E63" i="6"/>
  <c r="F63" i="6"/>
  <c r="G63" i="6"/>
  <c r="H63" i="6"/>
  <c r="I63" i="6"/>
  <c r="J63" i="6"/>
  <c r="E19" i="6" s="1"/>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E21" i="6" s="1"/>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E23" i="6" s="1"/>
  <c r="K67" i="6"/>
  <c r="L67" i="6"/>
  <c r="M67" i="6"/>
  <c r="N67" i="6"/>
  <c r="O67" i="6"/>
  <c r="P67" i="6"/>
  <c r="A68" i="6"/>
  <c r="B68" i="6"/>
  <c r="C68" i="6"/>
  <c r="D68" i="6"/>
  <c r="E68" i="6"/>
  <c r="F68" i="6"/>
  <c r="G68" i="6"/>
  <c r="H68" i="6"/>
  <c r="I68" i="6"/>
  <c r="J68" i="6"/>
  <c r="E24" i="6" s="1"/>
  <c r="K68" i="6"/>
  <c r="L68" i="6"/>
  <c r="M68" i="6"/>
  <c r="N68" i="6"/>
  <c r="O68" i="6"/>
  <c r="P68" i="6"/>
  <c r="A69" i="6"/>
  <c r="B69" i="6"/>
  <c r="C69" i="6"/>
  <c r="D69" i="6"/>
  <c r="E69" i="6"/>
  <c r="F69" i="6"/>
  <c r="G69" i="6"/>
  <c r="H69" i="6"/>
  <c r="I69" i="6"/>
  <c r="J69" i="6"/>
  <c r="E25" i="6" s="1"/>
  <c r="K69" i="6"/>
  <c r="L69" i="6"/>
  <c r="M69" i="6"/>
  <c r="N69" i="6"/>
  <c r="O69" i="6"/>
  <c r="P69" i="6"/>
  <c r="A70" i="6"/>
  <c r="B70" i="6"/>
  <c r="C70" i="6"/>
  <c r="D70" i="6"/>
  <c r="E70" i="6"/>
  <c r="F70" i="6"/>
  <c r="G70" i="6"/>
  <c r="H70" i="6"/>
  <c r="I70" i="6"/>
  <c r="J70" i="6"/>
  <c r="E26" i="6" s="1"/>
  <c r="K70" i="6"/>
  <c r="L70" i="6"/>
  <c r="M70" i="6"/>
  <c r="N70" i="6"/>
  <c r="O70" i="6"/>
  <c r="P70" i="6"/>
  <c r="A71" i="6"/>
  <c r="B71" i="6"/>
  <c r="C71" i="6"/>
  <c r="D71" i="6"/>
  <c r="E71" i="6"/>
  <c r="F71" i="6"/>
  <c r="G71" i="6"/>
  <c r="H71" i="6"/>
  <c r="I71" i="6"/>
  <c r="J71" i="6"/>
  <c r="E27" i="6" s="1"/>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E29" i="6" s="1"/>
  <c r="K73" i="6"/>
  <c r="L73" i="6"/>
  <c r="M73" i="6"/>
  <c r="N73" i="6"/>
  <c r="O73" i="6"/>
  <c r="P73" i="6"/>
  <c r="A74" i="6"/>
  <c r="B74" i="6"/>
  <c r="C74" i="6"/>
  <c r="D74" i="6"/>
  <c r="E74" i="6"/>
  <c r="F74" i="6"/>
  <c r="G74" i="6"/>
  <c r="H74" i="6"/>
  <c r="I74" i="6"/>
  <c r="J74" i="6"/>
  <c r="E30" i="6" s="1"/>
  <c r="K74" i="6"/>
  <c r="L74" i="6"/>
  <c r="M74" i="6"/>
  <c r="N74" i="6"/>
  <c r="O74" i="6"/>
  <c r="P74" i="6"/>
  <c r="A75" i="6"/>
  <c r="B75" i="6"/>
  <c r="C75" i="6"/>
  <c r="D75" i="6"/>
  <c r="E75" i="6"/>
  <c r="F75" i="6"/>
  <c r="G75" i="6"/>
  <c r="H75" i="6"/>
  <c r="I75" i="6"/>
  <c r="J75" i="6"/>
  <c r="E31" i="6" s="1"/>
  <c r="K75" i="6"/>
  <c r="L75" i="6"/>
  <c r="M75" i="6"/>
  <c r="N75" i="6"/>
  <c r="O75" i="6"/>
  <c r="P75" i="6"/>
  <c r="A76" i="6"/>
  <c r="B76" i="6"/>
  <c r="C76" i="6"/>
  <c r="D76" i="6"/>
  <c r="E76" i="6"/>
  <c r="F76" i="6"/>
  <c r="G76" i="6"/>
  <c r="H76" i="6"/>
  <c r="I76" i="6"/>
  <c r="J76" i="6"/>
  <c r="E32" i="6" s="1"/>
  <c r="K76" i="6"/>
  <c r="L76" i="6"/>
  <c r="M76" i="6"/>
  <c r="N76" i="6"/>
  <c r="O76" i="6"/>
  <c r="P76" i="6"/>
  <c r="A77" i="6"/>
  <c r="B77" i="6"/>
  <c r="C77" i="6"/>
  <c r="D77" i="6"/>
  <c r="E77" i="6"/>
  <c r="F77" i="6"/>
  <c r="G77" i="6"/>
  <c r="H77" i="6"/>
  <c r="I77" i="6"/>
  <c r="J77" i="6"/>
  <c r="E33" i="6" s="1"/>
  <c r="K77" i="6"/>
  <c r="F33" i="6" s="1"/>
  <c r="L77" i="6"/>
  <c r="M77" i="6"/>
  <c r="N77" i="6"/>
  <c r="O77" i="6"/>
  <c r="P77" i="6"/>
  <c r="A78" i="6"/>
  <c r="B78" i="6"/>
  <c r="C78" i="6"/>
  <c r="D78" i="6"/>
  <c r="E78" i="6"/>
  <c r="F78" i="6"/>
  <c r="G78" i="6"/>
  <c r="H78" i="6"/>
  <c r="I78" i="6"/>
  <c r="J78" i="6"/>
  <c r="E34" i="6" s="1"/>
  <c r="K78" i="6"/>
  <c r="L78" i="6"/>
  <c r="M78" i="6"/>
  <c r="N78" i="6"/>
  <c r="O78" i="6"/>
  <c r="P78" i="6"/>
  <c r="A79" i="6"/>
  <c r="B79" i="6"/>
  <c r="C79" i="6"/>
  <c r="D79" i="6"/>
  <c r="E79" i="6"/>
  <c r="F79" i="6"/>
  <c r="G79" i="6"/>
  <c r="H79" i="6"/>
  <c r="I79" i="6"/>
  <c r="J79" i="6"/>
  <c r="E35" i="6" s="1"/>
  <c r="K79" i="6"/>
  <c r="F35" i="6" s="1"/>
  <c r="L79" i="6"/>
  <c r="M79" i="6"/>
  <c r="N79" i="6"/>
  <c r="O79" i="6"/>
  <c r="P79" i="6"/>
  <c r="A80" i="6"/>
  <c r="B80" i="6"/>
  <c r="C80" i="6"/>
  <c r="D80" i="6"/>
  <c r="E80" i="6"/>
  <c r="F80" i="6"/>
  <c r="G80" i="6"/>
  <c r="B36" i="6" s="1"/>
  <c r="H80" i="6"/>
  <c r="I80" i="6"/>
  <c r="J80" i="6"/>
  <c r="E36" i="6" s="1"/>
  <c r="K80" i="6"/>
  <c r="L80" i="6"/>
  <c r="M80" i="6"/>
  <c r="N80" i="6"/>
  <c r="O80" i="6"/>
  <c r="P80" i="6"/>
  <c r="A81" i="6"/>
  <c r="B81" i="6"/>
  <c r="C81" i="6"/>
  <c r="D81" i="6"/>
  <c r="E81" i="6"/>
  <c r="F81" i="6"/>
  <c r="G81" i="6"/>
  <c r="B37" i="6" s="1"/>
  <c r="H81" i="6"/>
  <c r="I81" i="6"/>
  <c r="J81" i="6"/>
  <c r="K81" i="6"/>
  <c r="L81" i="6"/>
  <c r="M81" i="6"/>
  <c r="N81" i="6"/>
  <c r="O81" i="6"/>
  <c r="P81" i="6"/>
  <c r="A82" i="6"/>
  <c r="B82" i="6"/>
  <c r="C82" i="6"/>
  <c r="D82" i="6"/>
  <c r="E82" i="6"/>
  <c r="F82" i="6"/>
  <c r="G82" i="6"/>
  <c r="B38" i="6" s="1"/>
  <c r="H82" i="6"/>
  <c r="I82" i="6"/>
  <c r="J82" i="6"/>
  <c r="E38" i="6" s="1"/>
  <c r="K82" i="6"/>
  <c r="L82" i="6"/>
  <c r="M82" i="6"/>
  <c r="N82" i="6"/>
  <c r="O82" i="6"/>
  <c r="P82" i="6"/>
  <c r="D36" i="7"/>
  <c r="D29" i="7"/>
  <c r="D27" i="7"/>
  <c r="B27" i="7"/>
  <c r="F26" i="7"/>
  <c r="D25" i="7"/>
  <c r="D20" i="7"/>
  <c r="B20" i="7"/>
  <c r="D19" i="7"/>
  <c r="F18" i="7"/>
  <c r="D18" i="7"/>
  <c r="D17" i="7"/>
  <c r="D16" i="7"/>
  <c r="D15" i="7"/>
  <c r="D14" i="7"/>
  <c r="B14" i="7"/>
  <c r="D13" i="7"/>
  <c r="D12" i="7"/>
  <c r="F11" i="7"/>
  <c r="D11" i="7"/>
  <c r="D10" i="7"/>
  <c r="D9" i="7"/>
  <c r="D38" i="6"/>
  <c r="C38" i="6"/>
  <c r="E37" i="6"/>
  <c r="D37" i="6"/>
  <c r="C37" i="6"/>
  <c r="C36" i="6"/>
  <c r="C35" i="6"/>
  <c r="B35" i="6"/>
  <c r="F34" i="6"/>
  <c r="C34" i="6"/>
  <c r="B34" i="6"/>
  <c r="C33" i="6"/>
  <c r="B33" i="6"/>
  <c r="F32" i="6"/>
  <c r="C32" i="6"/>
  <c r="B32" i="6"/>
  <c r="F31" i="6"/>
  <c r="D31" i="6"/>
  <c r="C31" i="6"/>
  <c r="B31" i="6"/>
  <c r="F30" i="6"/>
  <c r="D30" i="6"/>
  <c r="C30" i="6"/>
  <c r="B30" i="6"/>
  <c r="F29" i="6"/>
  <c r="D29" i="6"/>
  <c r="C29" i="6"/>
  <c r="B29" i="6"/>
  <c r="F28" i="6"/>
  <c r="E28" i="6"/>
  <c r="D28" i="6"/>
  <c r="C28" i="6"/>
  <c r="B28" i="6"/>
  <c r="F27" i="6"/>
  <c r="D27" i="6"/>
  <c r="C27" i="6"/>
  <c r="B27" i="6"/>
  <c r="F26" i="6"/>
  <c r="D26" i="6"/>
  <c r="C26" i="6"/>
  <c r="B26" i="6"/>
  <c r="F25" i="6"/>
  <c r="D25" i="6"/>
  <c r="C25" i="6"/>
  <c r="B25" i="6"/>
  <c r="F24" i="6"/>
  <c r="D24" i="6"/>
  <c r="C24" i="6"/>
  <c r="B24" i="6"/>
  <c r="F23" i="6"/>
  <c r="D23" i="6"/>
  <c r="C23" i="6"/>
  <c r="B23" i="6"/>
  <c r="F22" i="6"/>
  <c r="E22" i="6"/>
  <c r="D22" i="6"/>
  <c r="C22" i="6"/>
  <c r="B22" i="6"/>
  <c r="F21" i="6"/>
  <c r="D21" i="6"/>
  <c r="C21" i="6"/>
  <c r="B21" i="6"/>
  <c r="F20" i="6"/>
  <c r="E20" i="6"/>
  <c r="D20" i="6"/>
  <c r="C20" i="6"/>
  <c r="B20" i="6"/>
  <c r="F19" i="6"/>
  <c r="D19" i="6"/>
  <c r="C19" i="6"/>
  <c r="B19" i="6"/>
  <c r="F18" i="6"/>
  <c r="D18" i="6"/>
  <c r="C18" i="6"/>
  <c r="B18" i="6"/>
  <c r="F17" i="6"/>
  <c r="D17" i="6"/>
  <c r="C17" i="6"/>
  <c r="B17" i="6"/>
  <c r="F16" i="6"/>
  <c r="D16" i="6"/>
  <c r="C16" i="6"/>
  <c r="B16" i="6"/>
  <c r="F15" i="6"/>
  <c r="E15" i="6"/>
  <c r="D15" i="6"/>
  <c r="C15" i="6"/>
  <c r="B15" i="6"/>
  <c r="F14" i="6"/>
  <c r="D14" i="6"/>
  <c r="C14" i="6"/>
  <c r="B14" i="6"/>
  <c r="F13" i="6"/>
  <c r="D13" i="6"/>
  <c r="C13" i="6"/>
  <c r="B13" i="6"/>
  <c r="F12" i="6"/>
  <c r="E12" i="6"/>
  <c r="D12" i="6"/>
  <c r="C12" i="6"/>
  <c r="B12" i="6"/>
  <c r="F11" i="6"/>
  <c r="D11" i="6"/>
  <c r="C11" i="6"/>
  <c r="B11" i="6"/>
  <c r="F10" i="6"/>
  <c r="C10" i="6"/>
  <c r="B10" i="6"/>
  <c r="F9" i="6"/>
  <c r="E9" i="6"/>
  <c r="C9" i="6"/>
  <c r="B9" i="6"/>
  <c r="E38" i="5"/>
  <c r="C38" i="5"/>
  <c r="B38" i="5"/>
  <c r="E37" i="5"/>
  <c r="D37" i="5"/>
  <c r="C37" i="5"/>
  <c r="B37" i="5"/>
  <c r="E36" i="5"/>
  <c r="D36" i="5"/>
  <c r="C36" i="5"/>
  <c r="B36" i="5"/>
  <c r="D35" i="5"/>
  <c r="C35" i="5"/>
  <c r="B35" i="5"/>
  <c r="C34" i="5"/>
  <c r="B34" i="5"/>
  <c r="D33" i="5"/>
  <c r="C33" i="5"/>
  <c r="B33" i="5"/>
  <c r="D32" i="5"/>
  <c r="C32" i="5"/>
  <c r="B32" i="5"/>
  <c r="D31" i="5"/>
  <c r="C31" i="5"/>
  <c r="B31" i="5"/>
  <c r="D30" i="5"/>
  <c r="C30" i="5"/>
  <c r="B30" i="5"/>
  <c r="D29" i="5"/>
  <c r="C29" i="5"/>
  <c r="B29" i="5"/>
  <c r="D28" i="5"/>
  <c r="C28" i="5"/>
  <c r="B28" i="5"/>
  <c r="E27" i="5"/>
  <c r="D27" i="5"/>
  <c r="C27" i="5"/>
  <c r="B27" i="5"/>
  <c r="D26" i="5"/>
  <c r="C26" i="5"/>
  <c r="B26"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I12" i="4"/>
  <c r="H12" i="4"/>
  <c r="G12" i="4"/>
  <c r="E3" i="27" s="1"/>
  <c r="F12" i="4"/>
  <c r="R8" i="2"/>
  <c r="R7" i="2"/>
  <c r="R17" i="2"/>
  <c r="R15" i="2"/>
  <c r="W5" i="2"/>
  <c r="H8" i="15"/>
  <c r="H9" i="15" s="1"/>
  <c r="I9" i="15"/>
  <c r="I10" i="15"/>
  <c r="H11" i="15"/>
  <c r="I11" i="15"/>
  <c r="H12" i="15"/>
  <c r="I12" i="15"/>
  <c r="H8" i="14"/>
  <c r="I9" i="14"/>
  <c r="I10" i="14"/>
  <c r="I11" i="14"/>
  <c r="I12" i="14"/>
  <c r="I9" i="13"/>
  <c r="I10" i="13"/>
  <c r="I11" i="13"/>
  <c r="I12" i="13"/>
  <c r="M31" i="9"/>
  <c r="M25" i="9"/>
  <c r="F31" i="9"/>
  <c r="F30" i="9"/>
  <c r="F22" i="9"/>
  <c r="F15" i="9"/>
  <c r="F17" i="9" s="1"/>
  <c r="F19" i="9" s="1"/>
  <c r="F21" i="9" s="1"/>
  <c r="F23" i="9" s="1"/>
  <c r="F14" i="9"/>
  <c r="F13" i="9"/>
  <c r="F33" i="8"/>
  <c r="F8" i="6"/>
  <c r="F10" i="4"/>
  <c r="P35" i="4"/>
  <c r="Q35" i="4" s="1"/>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L3" i="8"/>
  <c r="D49"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I10" i="4"/>
  <c r="H10" i="4"/>
  <c r="G10" i="4"/>
  <c r="I8" i="4"/>
  <c r="H8"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H10" i="15" l="1"/>
  <c r="G8" i="4"/>
  <c r="F8" i="4"/>
  <c r="H10" i="14"/>
  <c r="J10" i="14" s="1"/>
  <c r="H12" i="14"/>
  <c r="K12" i="14" s="1"/>
  <c r="H11" i="14"/>
  <c r="J11" i="14" s="1"/>
  <c r="H9" i="14"/>
  <c r="J9" i="14" s="1"/>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I14" i="15"/>
  <c r="I13" i="15"/>
  <c r="D25" i="16"/>
  <c r="I15" i="14"/>
  <c r="H15" i="14"/>
  <c r="I14" i="14"/>
  <c r="C28" i="16"/>
  <c r="I13" i="14"/>
  <c r="C27" i="16"/>
  <c r="C26" i="16"/>
  <c r="C23" i="16"/>
  <c r="I15" i="13"/>
  <c r="I14" i="13"/>
  <c r="B28" i="16"/>
  <c r="I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6" i="5"/>
  <c r="B20" i="4"/>
  <c r="B53" i="4" s="1"/>
  <c r="B15"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I34" i="5" l="1"/>
  <c r="K10" i="14"/>
  <c r="K9" i="14"/>
  <c r="K11" i="14"/>
  <c r="H13" i="15"/>
  <c r="J13" i="15" s="1"/>
  <c r="K12" i="15"/>
  <c r="K13" i="13"/>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7" i="4"/>
  <c r="D48"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20"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7"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M18" i="7"/>
  <c r="I23" i="5"/>
  <c r="G34" i="5"/>
  <c r="R34" i="5" s="1"/>
  <c r="M34" i="5"/>
  <c r="G36" i="7"/>
  <c r="M23" i="5"/>
  <c r="M27" i="5"/>
  <c r="M19" i="5"/>
  <c r="M15" i="5"/>
  <c r="M13" i="6"/>
  <c r="I11" i="5"/>
  <c r="M11" i="5"/>
  <c r="G26" i="7"/>
  <c r="G35" i="6"/>
  <c r="I27" i="5"/>
  <c r="G13" i="7"/>
  <c r="O13" i="7" s="1"/>
  <c r="G23" i="5"/>
  <c r="I35" i="6"/>
  <c r="G10" i="7"/>
  <c r="O10" i="7" s="1"/>
  <c r="G37" i="5"/>
  <c r="M37" i="5"/>
  <c r="M36" i="7"/>
  <c r="G28" i="7"/>
  <c r="M34" i="7"/>
  <c r="G23" i="7"/>
  <c r="M29" i="6"/>
  <c r="I29" i="6"/>
  <c r="I22" i="6"/>
  <c r="G13" i="6"/>
  <c r="M26" i="7"/>
  <c r="M23" i="7"/>
  <c r="G18" i="7"/>
  <c r="G34" i="7"/>
  <c r="Q34" i="7" s="1"/>
  <c r="M13" i="7"/>
  <c r="M10" i="7"/>
  <c r="M28" i="7"/>
  <c r="G22" i="6"/>
  <c r="M22" i="6"/>
  <c r="G29" i="6"/>
  <c r="I13" i="6"/>
  <c r="M17" i="6"/>
  <c r="G17" i="6"/>
  <c r="L17" i="6" s="1"/>
  <c r="C25" i="8" s="1"/>
  <c r="I17" i="6"/>
  <c r="M35" i="7"/>
  <c r="G35" i="7"/>
  <c r="M11" i="7"/>
  <c r="G11" i="7"/>
  <c r="O11" i="7" s="1"/>
  <c r="K10" i="13"/>
  <c r="J10" i="13"/>
  <c r="M17" i="7"/>
  <c r="G17" i="7"/>
  <c r="L17" i="7" s="1"/>
  <c r="D25" i="8" s="1"/>
  <c r="M17" i="5"/>
  <c r="G17" i="5"/>
  <c r="I17" i="5"/>
  <c r="G11" i="6"/>
  <c r="L11" i="6" s="1"/>
  <c r="C31" i="8" s="1"/>
  <c r="M11" i="6"/>
  <c r="I11" i="6"/>
  <c r="G19" i="5"/>
  <c r="M29" i="7"/>
  <c r="G29" i="7"/>
  <c r="L29" i="7" s="1"/>
  <c r="D13" i="8" s="1"/>
  <c r="M33" i="7"/>
  <c r="G33" i="7"/>
  <c r="Q33" i="7" s="1"/>
  <c r="I22" i="5"/>
  <c r="G22" i="5"/>
  <c r="M22" i="5"/>
  <c r="M33" i="5"/>
  <c r="I33" i="5"/>
  <c r="G33" i="5"/>
  <c r="R33" i="5" s="1"/>
  <c r="M10" i="6"/>
  <c r="I10" i="6"/>
  <c r="G10" i="6"/>
  <c r="Q10" i="6" s="1"/>
  <c r="I19" i="5"/>
  <c r="I26" i="5"/>
  <c r="G26" i="5"/>
  <c r="M26" i="5"/>
  <c r="M31" i="5"/>
  <c r="I31" i="5"/>
  <c r="G31" i="5"/>
  <c r="M28" i="5"/>
  <c r="G28" i="5"/>
  <c r="I28" i="5"/>
  <c r="M13" i="5"/>
  <c r="G13" i="5"/>
  <c r="I13" i="5"/>
  <c r="G16" i="7"/>
  <c r="L16" i="7" s="1"/>
  <c r="D26" i="8" s="1"/>
  <c r="M16" i="7"/>
  <c r="I18" i="5"/>
  <c r="G18" i="5"/>
  <c r="M18" i="5"/>
  <c r="M16" i="6"/>
  <c r="I16" i="6"/>
  <c r="G16" i="6"/>
  <c r="L16" i="6" s="1"/>
  <c r="C26" i="8" s="1"/>
  <c r="M21" i="5"/>
  <c r="G21" i="5"/>
  <c r="I21" i="5"/>
  <c r="I15" i="6"/>
  <c r="G15" i="6"/>
  <c r="L15" i="6" s="1"/>
  <c r="C27" i="8" s="1"/>
  <c r="M15" i="6"/>
  <c r="J11" i="13"/>
  <c r="K11" i="13"/>
  <c r="M20" i="7"/>
  <c r="G20" i="7"/>
  <c r="L20" i="7" s="1"/>
  <c r="D22" i="8" s="1"/>
  <c r="I14" i="5"/>
  <c r="G14" i="5"/>
  <c r="M14" i="5"/>
  <c r="M32" i="6"/>
  <c r="I32" i="6"/>
  <c r="G32" i="6"/>
  <c r="G12" i="7"/>
  <c r="O12" i="7" s="1"/>
  <c r="M12" i="7"/>
  <c r="G32" i="7"/>
  <c r="L32" i="7" s="1"/>
  <c r="D10" i="8" s="1"/>
  <c r="M32" i="7"/>
  <c r="M9" i="5"/>
  <c r="G9" i="5"/>
  <c r="I9" i="5"/>
  <c r="I10" i="5"/>
  <c r="G10" i="5"/>
  <c r="M10" i="5"/>
  <c r="I38" i="6"/>
  <c r="G38" i="6"/>
  <c r="M38" i="6"/>
  <c r="M9" i="6"/>
  <c r="I9" i="6"/>
  <c r="G9" i="6"/>
  <c r="Q9" i="6" s="1"/>
  <c r="G22" i="7"/>
  <c r="L22" i="7" s="1"/>
  <c r="D20" i="8" s="1"/>
  <c r="M22" i="7"/>
  <c r="I37" i="5"/>
  <c r="G36" i="6"/>
  <c r="Q36" i="6" s="1"/>
  <c r="M36" i="6"/>
  <c r="I36" i="6"/>
  <c r="M25" i="6"/>
  <c r="I25" i="6"/>
  <c r="G25" i="6"/>
  <c r="L25" i="6" s="1"/>
  <c r="C17" i="8" s="1"/>
  <c r="G15" i="5"/>
  <c r="M14" i="6"/>
  <c r="I14" i="6"/>
  <c r="G14" i="6"/>
  <c r="L14" i="6" s="1"/>
  <c r="C28" i="8" s="1"/>
  <c r="I15" i="5"/>
  <c r="G30" i="5"/>
  <c r="M19" i="7"/>
  <c r="G19" i="7"/>
  <c r="L19" i="7" s="1"/>
  <c r="D23" i="8" s="1"/>
  <c r="M19" i="6"/>
  <c r="I19" i="6"/>
  <c r="G19" i="6"/>
  <c r="L19" i="6" s="1"/>
  <c r="C23" i="8" s="1"/>
  <c r="M33" i="6"/>
  <c r="G33" i="6"/>
  <c r="I33" i="6"/>
  <c r="K10" i="15"/>
  <c r="J10" i="15"/>
  <c r="G9" i="7"/>
  <c r="O9" i="7" s="1"/>
  <c r="M9" i="7"/>
  <c r="I29" i="5"/>
  <c r="G29" i="5"/>
  <c r="M29" i="5"/>
  <c r="I31" i="6"/>
  <c r="G31" i="6"/>
  <c r="L31" i="6" s="1"/>
  <c r="C11" i="8" s="1"/>
  <c r="M31" i="6"/>
  <c r="M28" i="6"/>
  <c r="I28" i="6"/>
  <c r="G28" i="6"/>
  <c r="L28" i="6" s="1"/>
  <c r="C14" i="8" s="1"/>
  <c r="I30" i="5"/>
  <c r="M24" i="5"/>
  <c r="I24" i="5"/>
  <c r="G24" i="5"/>
  <c r="G38" i="7"/>
  <c r="P38" i="7" s="1"/>
  <c r="M38" i="7"/>
  <c r="M12" i="6"/>
  <c r="I12" i="6"/>
  <c r="G12" i="6"/>
  <c r="L12" i="6" s="1"/>
  <c r="C30" i="8" s="1"/>
  <c r="M20" i="5"/>
  <c r="I20" i="5"/>
  <c r="G20" i="5"/>
  <c r="G25" i="7"/>
  <c r="L25" i="7" s="1"/>
  <c r="D17" i="8" s="1"/>
  <c r="M25" i="7"/>
  <c r="M30" i="6"/>
  <c r="I30" i="6"/>
  <c r="G30" i="6"/>
  <c r="L30" i="6" s="1"/>
  <c r="C12" i="8" s="1"/>
  <c r="M37" i="6"/>
  <c r="I37" i="6"/>
  <c r="G37" i="6"/>
  <c r="C36" i="3"/>
  <c r="M27" i="7"/>
  <c r="G27" i="7"/>
  <c r="L27" i="7" s="1"/>
  <c r="D15" i="8" s="1"/>
  <c r="M36" i="5"/>
  <c r="I36" i="5"/>
  <c r="G36" i="5"/>
  <c r="G14" i="7"/>
  <c r="L14" i="7" s="1"/>
  <c r="D28" i="8" s="1"/>
  <c r="M14" i="7"/>
  <c r="I32" i="5"/>
  <c r="G32" i="5"/>
  <c r="M32" i="5"/>
  <c r="M15" i="7"/>
  <c r="G15" i="7"/>
  <c r="L15" i="7" s="1"/>
  <c r="D27" i="8" s="1"/>
  <c r="G27" i="6"/>
  <c r="L27" i="6" s="1"/>
  <c r="C15" i="8" s="1"/>
  <c r="M27" i="6"/>
  <c r="I27" i="6"/>
  <c r="I18" i="6"/>
  <c r="G18" i="6"/>
  <c r="L18" i="6" s="1"/>
  <c r="C24" i="8" s="1"/>
  <c r="M18" i="6"/>
  <c r="M16" i="5"/>
  <c r="I16" i="5"/>
  <c r="G16" i="5"/>
  <c r="M30" i="7"/>
  <c r="G30" i="7"/>
  <c r="L30" i="7" s="1"/>
  <c r="D12" i="8" s="1"/>
  <c r="M31" i="7"/>
  <c r="G31" i="7"/>
  <c r="L31" i="7" s="1"/>
  <c r="D11" i="8" s="1"/>
  <c r="M26" i="6"/>
  <c r="I26" i="6"/>
  <c r="G26" i="6"/>
  <c r="L26" i="6" s="1"/>
  <c r="C16" i="8" s="1"/>
  <c r="I34" i="6"/>
  <c r="G34" i="6"/>
  <c r="M34" i="6"/>
  <c r="G27" i="5"/>
  <c r="M21" i="7"/>
  <c r="G21" i="7"/>
  <c r="L21" i="7" s="1"/>
  <c r="D21" i="8" s="1"/>
  <c r="I21" i="6"/>
  <c r="G21" i="6"/>
  <c r="L21" i="6" s="1"/>
  <c r="C21" i="8" s="1"/>
  <c r="M21" i="6"/>
  <c r="M24" i="7"/>
  <c r="G24" i="7"/>
  <c r="L24" i="7" s="1"/>
  <c r="D18" i="8" s="1"/>
  <c r="M38" i="5"/>
  <c r="G38" i="5"/>
  <c r="I38" i="5"/>
  <c r="M23" i="6"/>
  <c r="I23" i="6"/>
  <c r="G23" i="6"/>
  <c r="L23" i="6" s="1"/>
  <c r="C19" i="8" s="1"/>
  <c r="M12" i="5"/>
  <c r="I12" i="5"/>
  <c r="G12" i="5"/>
  <c r="M25" i="5"/>
  <c r="I25" i="5"/>
  <c r="G25" i="5"/>
  <c r="G35" i="5"/>
  <c r="R35" i="5" s="1"/>
  <c r="M35" i="5"/>
  <c r="I35" i="5"/>
  <c r="G37" i="7"/>
  <c r="S37" i="7" s="1"/>
  <c r="M37" i="7"/>
  <c r="M20" i="6"/>
  <c r="I20" i="6"/>
  <c r="G20" i="6"/>
  <c r="L20" i="6" s="1"/>
  <c r="C22" i="8" s="1"/>
  <c r="G24" i="6"/>
  <c r="L24" i="6" s="1"/>
  <c r="C18" i="8" s="1"/>
  <c r="M24" i="6"/>
  <c r="I24" i="6"/>
  <c r="L33" i="7" l="1"/>
  <c r="D9" i="8" s="1"/>
  <c r="R33" i="7"/>
  <c r="P33" i="7"/>
  <c r="O33" i="7"/>
  <c r="S33" i="7"/>
  <c r="R34" i="7"/>
  <c r="P34" i="7"/>
  <c r="O34" i="7"/>
  <c r="S34" i="7"/>
  <c r="L35" i="7"/>
  <c r="D7" i="8" s="1"/>
  <c r="Q35" i="7"/>
  <c r="O35" i="7"/>
  <c r="R35" i="7"/>
  <c r="S35" i="7"/>
  <c r="L36" i="7"/>
  <c r="D6" i="8" s="1"/>
  <c r="O36" i="7"/>
  <c r="Q36" i="7"/>
  <c r="S36" i="7"/>
  <c r="R36" i="7"/>
  <c r="O37" i="7"/>
  <c r="Q37" i="7"/>
  <c r="P37" i="7"/>
  <c r="R37" i="7"/>
  <c r="S38" i="7"/>
  <c r="R38" i="7"/>
  <c r="Q38" i="7"/>
  <c r="O38" i="7"/>
  <c r="H13" i="7"/>
  <c r="J13" i="7" s="1"/>
  <c r="S13" i="7"/>
  <c r="R13" i="7"/>
  <c r="Q13" i="7"/>
  <c r="P13" i="7"/>
  <c r="L12" i="7"/>
  <c r="D30" i="8" s="1"/>
  <c r="S12" i="7"/>
  <c r="R12" i="7"/>
  <c r="Q12" i="7"/>
  <c r="P12" i="7"/>
  <c r="L11" i="7"/>
  <c r="D31" i="8" s="1"/>
  <c r="E31" i="8" s="1"/>
  <c r="Q11" i="7"/>
  <c r="P11" i="7"/>
  <c r="S11" i="7"/>
  <c r="R11" i="7"/>
  <c r="Q10" i="7"/>
  <c r="P10" i="7"/>
  <c r="R10" i="7"/>
  <c r="S10" i="7"/>
  <c r="L9" i="7"/>
  <c r="D33" i="8" s="1"/>
  <c r="P9" i="7"/>
  <c r="R9" i="7"/>
  <c r="S9" i="7"/>
  <c r="Q9" i="7"/>
  <c r="P37" i="6"/>
  <c r="O37" i="6"/>
  <c r="Q37" i="6"/>
  <c r="R37" i="6"/>
  <c r="O38" i="6"/>
  <c r="R38" i="6"/>
  <c r="Q38" i="6"/>
  <c r="P38" i="6"/>
  <c r="L10" i="6"/>
  <c r="C32" i="8" s="1"/>
  <c r="S10" i="6"/>
  <c r="R10" i="6"/>
  <c r="P10" i="6"/>
  <c r="O10" i="6"/>
  <c r="L9" i="6"/>
  <c r="C33" i="8" s="1"/>
  <c r="S9" i="6"/>
  <c r="O9" i="6"/>
  <c r="R9" i="6"/>
  <c r="P9" i="6"/>
  <c r="L36" i="6"/>
  <c r="C6" i="8" s="1"/>
  <c r="P36" i="6"/>
  <c r="O36" i="6"/>
  <c r="S36" i="6"/>
  <c r="R36" i="6"/>
  <c r="S35" i="6"/>
  <c r="R35" i="6"/>
  <c r="P35" i="6"/>
  <c r="O35" i="6"/>
  <c r="L34" i="6"/>
  <c r="C8" i="8" s="1"/>
  <c r="P34" i="6"/>
  <c r="O34" i="6"/>
  <c r="S34" i="6"/>
  <c r="R34" i="6"/>
  <c r="L33" i="6"/>
  <c r="C9" i="8" s="1"/>
  <c r="P33" i="6"/>
  <c r="O33" i="6"/>
  <c r="S33" i="6"/>
  <c r="R33" i="6"/>
  <c r="L32" i="6"/>
  <c r="C10" i="8" s="1"/>
  <c r="S32" i="6"/>
  <c r="R32" i="6"/>
  <c r="P32" i="6"/>
  <c r="O32" i="6"/>
  <c r="O35" i="5"/>
  <c r="S35" i="5"/>
  <c r="P35" i="5"/>
  <c r="Q35" i="5"/>
  <c r="S34" i="5"/>
  <c r="P34" i="5"/>
  <c r="Q34" i="5"/>
  <c r="O34" i="5"/>
  <c r="Q33" i="5"/>
  <c r="S33" i="5"/>
  <c r="P33" i="5"/>
  <c r="O33" i="5"/>
  <c r="Q32" i="5"/>
  <c r="P32" i="5"/>
  <c r="S32" i="5"/>
  <c r="O32" i="5"/>
  <c r="Q31" i="5"/>
  <c r="P31" i="5"/>
  <c r="O31" i="5"/>
  <c r="S31" i="5"/>
  <c r="S30" i="5"/>
  <c r="Q30" i="5"/>
  <c r="P30" i="5"/>
  <c r="O30" i="5"/>
  <c r="S29" i="5"/>
  <c r="O29" i="5"/>
  <c r="Q29" i="5"/>
  <c r="P29" i="5"/>
  <c r="Q28" i="5"/>
  <c r="P28" i="5"/>
  <c r="O28" i="5"/>
  <c r="S28" i="5"/>
  <c r="O26" i="5"/>
  <c r="S26" i="5"/>
  <c r="Q26" i="5"/>
  <c r="P26" i="5"/>
  <c r="P25" i="5"/>
  <c r="O25" i="5"/>
  <c r="S25" i="5"/>
  <c r="Q25" i="5"/>
  <c r="L30" i="5"/>
  <c r="B12" i="8" s="1"/>
  <c r="L16" i="5"/>
  <c r="B26" i="8" s="1"/>
  <c r="E26" i="8" s="1"/>
  <c r="L36" i="5"/>
  <c r="B6" i="8" s="1"/>
  <c r="L12" i="5"/>
  <c r="B30" i="8" s="1"/>
  <c r="L27" i="5"/>
  <c r="B15" i="8" s="1"/>
  <c r="L10" i="5"/>
  <c r="B32" i="8" s="1"/>
  <c r="L17" i="5"/>
  <c r="B25" i="8" s="1"/>
  <c r="E25" i="8" s="1"/>
  <c r="L24" i="5"/>
  <c r="B18" i="8" s="1"/>
  <c r="L33" i="5"/>
  <c r="B9" i="8" s="1"/>
  <c r="L15" i="5"/>
  <c r="B27" i="8" s="1"/>
  <c r="E27" i="8" s="1"/>
  <c r="L13" i="5"/>
  <c r="B29" i="8" s="1"/>
  <c r="H34" i="5"/>
  <c r="J34" i="5" s="1"/>
  <c r="L9" i="5"/>
  <c r="B33" i="8" s="1"/>
  <c r="L28" i="5"/>
  <c r="B14" i="8" s="1"/>
  <c r="L11" i="5"/>
  <c r="B31" i="8" s="1"/>
  <c r="L32" i="5"/>
  <c r="B10" i="8" s="1"/>
  <c r="L31" i="5"/>
  <c r="B11" i="8" s="1"/>
  <c r="L26" i="5"/>
  <c r="B16" i="8" s="1"/>
  <c r="L35" i="5"/>
  <c r="B7" i="8" s="1"/>
  <c r="L29" i="5"/>
  <c r="B13" i="8" s="1"/>
  <c r="L19" i="5"/>
  <c r="B23" i="8" s="1"/>
  <c r="L25" i="5"/>
  <c r="B17" i="8" s="1"/>
  <c r="L14" i="5"/>
  <c r="B28" i="8" s="1"/>
  <c r="E28" i="8" s="1"/>
  <c r="L18" i="5"/>
  <c r="B24" i="8" s="1"/>
  <c r="H23" i="5"/>
  <c r="J23" i="5" s="1"/>
  <c r="L22" i="5"/>
  <c r="B20" i="8" s="1"/>
  <c r="L21" i="5"/>
  <c r="B21" i="8" s="1"/>
  <c r="L20" i="5"/>
  <c r="B22" i="8" s="1"/>
  <c r="F31" i="8"/>
  <c r="D46"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30" i="8" l="1"/>
  <c r="E32" i="8"/>
  <c r="E33" i="8"/>
  <c r="E29" i="8"/>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1" i="4" l="1"/>
  <c r="C53" i="4" s="1"/>
  <c r="D45" i="4" l="1"/>
  <c r="C21" i="4"/>
  <c r="B22" i="4"/>
  <c r="D53" i="4" l="1"/>
  <c r="C22" i="4"/>
  <c r="F29" i="8"/>
  <c r="D44" i="4"/>
  <c r="B23" i="4"/>
  <c r="F28" i="8" l="1"/>
  <c r="D43" i="4"/>
  <c r="E53" i="4"/>
  <c r="C23" i="4"/>
  <c r="B24" i="4"/>
  <c r="F53" i="4" l="1"/>
  <c r="C24" i="4"/>
  <c r="D42" i="4"/>
  <c r="F27" i="8"/>
  <c r="B25" i="4"/>
  <c r="G53" i="4" l="1"/>
  <c r="C25" i="4"/>
  <c r="D41" i="4"/>
  <c r="F26" i="8"/>
  <c r="B26" i="4"/>
  <c r="D40" i="4" l="1"/>
  <c r="F25" i="8"/>
  <c r="H53" i="4"/>
  <c r="B27" i="4"/>
  <c r="C26" i="4"/>
  <c r="C27" i="4" l="1"/>
  <c r="I53" i="4"/>
  <c r="B28" i="4"/>
  <c r="F24" i="8"/>
  <c r="D39" i="4"/>
  <c r="D38" i="4" s="1"/>
  <c r="D37" i="4" s="1"/>
  <c r="D36" i="4" s="1"/>
  <c r="D35" i="4" s="1"/>
  <c r="D34" i="4" s="1"/>
  <c r="D33" i="4" s="1"/>
  <c r="D32" i="4" s="1"/>
  <c r="D31" i="4" s="1"/>
  <c r="D30" i="4" s="1"/>
  <c r="D29" i="4" s="1"/>
  <c r="D28" i="4" s="1"/>
  <c r="D27" i="4" s="1"/>
  <c r="D26" i="4" s="1"/>
  <c r="D25" i="4" s="1"/>
  <c r="D24" i="4" s="1"/>
  <c r="B29" i="4" l="1"/>
  <c r="C28" i="4"/>
  <c r="J53" i="4"/>
  <c r="B30" i="4" l="1"/>
  <c r="C29" i="4"/>
  <c r="K53" i="4"/>
  <c r="B31" i="4" l="1"/>
  <c r="C30" i="4"/>
  <c r="L53" i="4"/>
  <c r="B32" i="4" l="1"/>
  <c r="C31" i="4"/>
  <c r="M53" i="4"/>
  <c r="B33" i="4" l="1"/>
  <c r="C32" i="4"/>
  <c r="N53" i="4"/>
  <c r="B34" i="4" l="1"/>
  <c r="C33" i="4"/>
  <c r="O53" i="4"/>
  <c r="B35" i="4" l="1"/>
  <c r="C34" i="4"/>
  <c r="P53" i="4"/>
  <c r="B36" i="4" l="1"/>
  <c r="C35" i="4"/>
  <c r="Q53" i="4"/>
  <c r="F23" i="8"/>
  <c r="F22" i="8"/>
  <c r="F21" i="8"/>
  <c r="F20" i="8"/>
  <c r="F19" i="8"/>
  <c r="F18" i="8"/>
  <c r="F17" i="8"/>
  <c r="F16" i="8"/>
  <c r="F15" i="8"/>
  <c r="F14" i="8"/>
  <c r="F13" i="8"/>
  <c r="F12" i="8"/>
  <c r="F11" i="8"/>
  <c r="F10" i="8"/>
  <c r="B37" i="4" l="1"/>
  <c r="C36" i="4"/>
  <c r="R53" i="4"/>
  <c r="F8" i="8"/>
  <c r="D23" i="4"/>
  <c r="F9" i="8"/>
  <c r="B38" i="4" l="1"/>
  <c r="C37" i="4"/>
  <c r="S53" i="4"/>
  <c r="F7" i="8"/>
  <c r="D22" i="4"/>
  <c r="B39" i="4" l="1"/>
  <c r="C38" i="4"/>
  <c r="T53" i="4"/>
  <c r="F6" i="8"/>
  <c r="D21" i="4"/>
  <c r="C39" i="4" l="1"/>
  <c r="U53" i="4"/>
  <c r="B40" i="4"/>
  <c r="F5" i="8"/>
  <c r="D20" i="4"/>
  <c r="F4" i="8" s="1"/>
  <c r="M21" i="8"/>
  <c r="M29" i="8"/>
  <c r="M25" i="8"/>
  <c r="M28" i="8"/>
  <c r="M11" i="8"/>
  <c r="M7" i="8"/>
  <c r="M5" i="8"/>
  <c r="M14" i="8"/>
  <c r="M18" i="8"/>
  <c r="M26" i="8"/>
  <c r="M15" i="8"/>
  <c r="M6" i="8"/>
  <c r="M9" i="8"/>
  <c r="M13" i="8"/>
  <c r="M4" i="8"/>
  <c r="M17" i="8"/>
  <c r="M19" i="8"/>
  <c r="M16" i="8"/>
  <c r="M20" i="8"/>
  <c r="M27" i="8"/>
  <c r="M12" i="8"/>
  <c r="M22" i="8"/>
  <c r="M8" i="8"/>
  <c r="M30" i="8"/>
  <c r="M24" i="8"/>
  <c r="M23" i="8"/>
  <c r="M10" i="8"/>
  <c r="C40" i="4" l="1"/>
  <c r="V53" i="4"/>
  <c r="B41"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10" i="10"/>
  <c r="D34" i="10"/>
  <c r="D30" i="10"/>
  <c r="D19" i="10"/>
  <c r="D13" i="10"/>
  <c r="D11" i="10"/>
  <c r="D24" i="10"/>
  <c r="D32" i="10"/>
  <c r="D25" i="10"/>
  <c r="D16" i="10"/>
  <c r="D8" i="10"/>
  <c r="D12" i="10"/>
  <c r="D15" i="10"/>
  <c r="D14" i="10"/>
  <c r="D22" i="10"/>
  <c r="D20" i="10"/>
  <c r="D33" i="10"/>
  <c r="D21" i="10"/>
  <c r="D6" i="10"/>
  <c r="G29" i="10"/>
  <c r="D26" i="10"/>
  <c r="G28" i="10"/>
  <c r="D5" i="10"/>
  <c r="D27" i="10"/>
  <c r="D31" i="10"/>
  <c r="D29" i="10"/>
  <c r="D18" i="10"/>
  <c r="G27" i="10"/>
  <c r="D9" i="10"/>
  <c r="D17" i="10"/>
  <c r="D7" i="10"/>
  <c r="D23" i="10"/>
  <c r="D28" i="10"/>
  <c r="W53" i="4" l="1"/>
  <c r="C41" i="4"/>
  <c r="B42"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3" i="4" l="1"/>
  <c r="C42" i="4"/>
  <c r="B43" i="4"/>
  <c r="C43" i="4" l="1"/>
  <c r="Y53" i="4"/>
  <c r="B44" i="4"/>
  <c r="C44" i="4" l="1"/>
  <c r="Z53" i="4"/>
  <c r="B45" i="4"/>
  <c r="C45" i="4" l="1"/>
  <c r="AA53" i="4"/>
  <c r="B46" i="4"/>
  <c r="C46" i="4" l="1"/>
  <c r="AB53" i="4"/>
  <c r="B47" i="4"/>
  <c r="B48" i="4" l="1"/>
  <c r="C47" i="4"/>
  <c r="AC53" i="4"/>
  <c r="C48" i="4" l="1"/>
  <c r="AD53" i="4"/>
  <c r="B49" i="4"/>
  <c r="C49" i="4" l="1"/>
  <c r="AE53" i="4"/>
</calcChain>
</file>

<file path=xl/sharedStrings.xml><?xml version="1.0" encoding="utf-8"?>
<sst xmlns="http://schemas.openxmlformats.org/spreadsheetml/2006/main" count="1692" uniqueCount="415">
  <si>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</si>
  <si>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</si>
  <si>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</si>
  <si>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</si>
  <si>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</si>
  <si>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</si>
  <si>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</si>
  <si>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</si>
  <si>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</si>
  <si>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</si>
  <si>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</si>
  <si>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</si>
  <si>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</si>
  <si>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</si>
  <si>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</si>
  <si>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</si>
  <si>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</si>
  <si>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</si>
  <si>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</si>
  <si>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</si>
  <si>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</si>
  <si>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</si>
  <si>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</si>
  <si>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</si>
  <si>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</si>
  <si>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</si>
  <si>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</si>
  <si>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</si>
  <si>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</si>
  <si>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</si>
  <si>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</si>
  <si>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</si>
  <si>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</si>
  <si>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</si>
  <si>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</si>
  <si>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</si>
  <si>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</si>
  <si>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</si>
  <si>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</si>
  <si>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</si>
  <si>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</si>
  <si>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</si>
  <si>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</si>
  <si>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</si>
  <si>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</si>
  <si>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</si>
  <si>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</si>
  <si>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</si>
  <si>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</si>
  <si>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</si>
  <si>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</si>
  <si>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</si>
  <si>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</si>
  <si>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</si>
  <si>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</si>
  <si>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</si>
  <si>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</si>
  <si>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</si>
  <si>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</si>
  <si>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</si>
  <si>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</si>
  <si>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</si>
  <si>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</si>
  <si>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</si>
  <si>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</si>
  <si>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</si>
  <si>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</si>
  <si>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</si>
  <si>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</si>
  <si>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</si>
  <si>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</si>
  <si>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</si>
  <si>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</si>
  <si>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</si>
  <si>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</si>
  <si>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</si>
  <si>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</si>
  <si>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</si>
  <si>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</si>
  <si>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</si>
  <si>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</si>
  <si>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</si>
  <si>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</si>
  <si>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</si>
  <si>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</si>
  <si>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</si>
  <si>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</si>
  <si>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</si>
  <si>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</si>
  <si>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</si>
  <si>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</si>
  <si>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</si>
  <si>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</si>
  <si>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</si>
  <si>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</si>
  <si>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</si>
  <si>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</si>
  <si>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</si>
  <si>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</si>
  <si>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</si>
  <si>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</si>
  <si>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</si>
  <si>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</si>
  <si>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</si>
  <si>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</si>
  <si>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</si>
  <si>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</si>
  <si>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</si>
  <si>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</si>
  <si>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</si>
  <si>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</si>
  <si>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</si>
  <si>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</si>
  <si>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</si>
  <si>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</si>
  <si>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</si>
  <si>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</si>
  <si>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</si>
  <si>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</si>
  <si>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</si>
  <si>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</si>
  <si>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</si>
  <si>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</si>
  <si>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</si>
  <si>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</si>
  <si>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</si>
  <si>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</si>
  <si>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</si>
  <si>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</si>
  <si>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</si>
  <si>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</si>
  <si>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</si>
  <si>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</si>
  <si>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</si>
  <si>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</si>
  <si>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</si>
  <si>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</si>
  <si>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</si>
  <si>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</si>
  <si>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</si>
  <si>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</si>
  <si>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</si>
  <si>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</si>
  <si>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</si>
  <si>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</si>
  <si>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</si>
  <si>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</si>
  <si>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</si>
  <si>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</si>
  <si>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</si>
  <si>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</si>
  <si>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</si>
  <si>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</si>
  <si>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</si>
  <si>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</si>
  <si>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</si>
  <si>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</si>
  <si>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</si>
  <si>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</si>
  <si>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</si>
  <si>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</si>
  <si>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</si>
  <si>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</si>
  <si>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</si>
  <si>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</si>
  <si>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</si>
  <si>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</si>
  <si>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</si>
  <si>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</si>
  <si>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</si>
  <si>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</si>
  <si>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</si>
  <si>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</si>
  <si>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</si>
  <si>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</si>
  <si>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</si>
  <si>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</si>
  <si>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</si>
  <si>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</si>
  <si>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</si>
  <si>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</si>
  <si>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</si>
  <si>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</si>
  <si>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</si>
  <si>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</si>
  <si>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</si>
  <si>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</si>
  <si>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</si>
  <si>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</si>
  <si>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</si>
  <si>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</si>
  <si>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</si>
  <si>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</si>
  <si>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</si>
  <si>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</si>
  <si>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</si>
  <si>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</si>
  <si>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</si>
  <si>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</si>
  <si>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</si>
  <si>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</si>
  <si>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</si>
  <si>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</si>
  <si>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</si>
  <si>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</si>
  <si>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</si>
  <si>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</si>
  <si>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</si>
  <si>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</si>
  <si>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</si>
  <si>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</si>
  <si>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</si>
  <si>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</si>
  <si>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</si>
  <si>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</si>
  <si>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</si>
  <si>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</si>
  <si>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</si>
  <si>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</si>
  <si>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</si>
  <si>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</si>
  <si>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</si>
  <si>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</si>
  <si>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</si>
  <si>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</si>
  <si>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</si>
  <si>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</si>
  <si>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</si>
  <si>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</si>
  <si>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</si>
  <si>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</si>
  <si>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</si>
  <si>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</si>
  <si>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</si>
  <si>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</si>
  <si>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</si>
  <si>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</si>
  <si>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</si>
  <si>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</si>
  <si>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</si>
  <si>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</si>
  <si>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</si>
  <si>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</si>
  <si>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</si>
  <si>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</si>
  <si>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</si>
  <si>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</si>
  <si>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</si>
  <si>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</si>
  <si>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</si>
  <si>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</si>
  <si>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</si>
  <si>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</si>
  <si>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</si>
  <si>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</si>
  <si>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</si>
  <si>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</si>
  <si>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</si>
  <si>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</si>
  <si>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</si>
  <si>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</si>
  <si>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</si>
  <si>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</si>
  <si>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</si>
  <si>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</si>
  <si>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</si>
  <si>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</si>
  <si>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</si>
  <si>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</si>
  <si>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</si>
  <si>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</si>
  <si>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</si>
  <si>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</si>
  <si>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</si>
  <si>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</si>
  <si>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</si>
  <si>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</si>
  <si>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</si>
  <si>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</si>
  <si>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</si>
  <si>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</si>
  <si>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</si>
  <si>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</si>
  <si>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</si>
  <si>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</si>
  <si>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</si>
  <si>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</si>
  <si>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</si>
  <si>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</si>
  <si>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</si>
  <si>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</si>
  <si>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</si>
  <si>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</si>
  <si>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</si>
  <si>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</si>
  <si>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</si>
  <si>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</si>
  <si>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</si>
  <si>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</si>
  <si>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</si>
  <si>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</si>
  <si>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</si>
  <si>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</si>
  <si>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</si>
  <si>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</si>
  <si>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</si>
  <si>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</si>
  <si>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</si>
  <si>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</si>
  <si>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</si>
  <si>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</si>
  <si>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</si>
  <si>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</si>
  <si>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</si>
  <si>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</si>
  <si>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</si>
  <si>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</si>
  <si>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</si>
  <si>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</si>
  <si>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</si>
  <si>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</si>
  <si>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</si>
  <si>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</si>
  <si>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</si>
  <si>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</si>
  <si>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</si>
  <si>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</si>
  <si>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</si>
  <si>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</si>
  <si>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</si>
  <si>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</si>
  <si>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</si>
  <si>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</si>
  <si>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</si>
  <si>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</si>
  <si>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</si>
  <si>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</si>
  <si>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</si>
  <si>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</si>
  <si>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</si>
  <si>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</si>
  <si>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</si>
  <si>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</si>
  <si>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</si>
  <si>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</si>
  <si>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</si>
  <si>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</si>
  <si>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</si>
  <si>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</si>
  <si>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</si>
  <si>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</si>
  <si>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</si>
  <si>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</si>
  <si>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</si>
  <si>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</si>
  <si>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</si>
  <si>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</si>
  <si>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</si>
  <si>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</si>
  <si>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</si>
  <si>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</si>
  <si>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</si>
  <si>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</si>
  <si>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</si>
  <si>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</si>
  <si>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</si>
  <si>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</si>
  <si>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</si>
  <si>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</si>
  <si>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</si>
  <si>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</si>
  <si>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</si>
  <si>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</si>
  <si>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</si>
  <si>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</si>
  <si>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</si>
  <si>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</si>
  <si>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</si>
  <si>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</si>
  <si>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</si>
  <si>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</si>
  <si>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</si>
  <si>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</si>
  <si>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</si>
  <si>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</si>
  <si>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</si>
  <si>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</si>
  <si>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</si>
  <si>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</si>
  <si>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</si>
  <si>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</si>
  <si>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</si>
  <si>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</si>
  <si>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</si>
  <si>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</si>
  <si>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</si>
  <si>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</si>
  <si>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</si>
  <si>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</si>
  <si>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</si>
  <si>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</si>
  <si>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</si>
  <si>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</si>
  <si>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</si>
  <si>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</si>
  <si>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</si>
  <si>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</si>
  <si>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</si>
  <si>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</si>
  <si>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</si>
  <si>
    <t>ENSURE CALIBRATION THRESHOLDS LOADED INTO INSTRUMENT</t>
  </si>
  <si>
    <t>Analysis using Bottle Samples and 25% coincidence RM8632a</t>
  </si>
  <si>
    <t>Can perform Annex C at same time using 5x bottles</t>
  </si>
  <si>
    <t>4-30um(c) threshold interpolation</t>
  </si>
  <si>
    <t>MOVED INTO SEPARATE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</si>
</sst>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3"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
      <sz val="8"/>
      <name val="Arial"/>
      <family val="2"/>
    </font>
    <font>
      <i/>
      <sz val="10"/>
      <color theme="2" tint="-0.499984740745262"/>
      <name val="Arial"/>
      <family val="2"/>
    </font>
    <font>
      <b/>
      <i/>
      <sz val="10"/>
      <color theme="2" tint="-0.499984740745262"/>
      <name val="Arial"/>
      <family val="2"/>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9" fillId="2" borderId="0" applyBorder="0" applyAlignment="0" applyProtection="0"/>
    <xf numFmtId="0" fontId="1" fillId="8" borderId="0" applyNumberFormat="0" applyBorder="0" applyAlignment="0" applyProtection="0"/>
    <xf numFmtId="0" fontId="23" fillId="0" borderId="0"/>
    <xf numFmtId="9" fontId="22" fillId="0" borderId="0" applyFont="0" applyFill="0" applyBorder="0" applyAlignment="0" applyProtection="0"/>
    <xf numFmtId="43" fontId="22" fillId="0" borderId="0" applyFont="0" applyFill="0" applyBorder="0" applyAlignment="0" applyProtection="0"/>
    <xf numFmtId="0" fontId="39" fillId="14" borderId="24" applyNumberFormat="0" applyAlignment="0" applyProtection="0"/>
  </cellStyleXfs>
  <cellXfs count="268">
    <xf numFmtId="0" fontId="0" fillId="0" borderId="0" xfId="0"/>
    <xf numFmtId="0" fontId="14"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6"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7" fillId="0" borderId="5" xfId="0" applyFont="1" applyBorder="1"/>
    <xf numFmtId="0" fontId="16" fillId="0" borderId="6" xfId="0" applyFont="1" applyBorder="1"/>
    <xf numFmtId="0" fontId="17" fillId="0" borderId="7" xfId="0" applyFont="1" applyBorder="1"/>
    <xf numFmtId="0" fontId="17" fillId="0" borderId="0" xfId="0" applyFont="1"/>
    <xf numFmtId="10" fontId="16" fillId="0" borderId="0" xfId="0" applyNumberFormat="1" applyFont="1"/>
    <xf numFmtId="0" fontId="14" fillId="6" borderId="13" xfId="0" applyFont="1" applyFill="1" applyBorder="1" applyAlignment="1">
      <alignment horizontal="center" vertical="center"/>
    </xf>
    <xf numFmtId="0" fontId="14" fillId="6" borderId="13" xfId="0" applyFont="1" applyFill="1" applyBorder="1" applyAlignment="1">
      <alignment horizontal="center" vertical="center" wrapText="1"/>
    </xf>
    <xf numFmtId="0" fontId="14" fillId="6" borderId="13" xfId="0" applyFont="1" applyFill="1" applyBorder="1" applyAlignment="1">
      <alignment horizontal="center" wrapText="1"/>
    </xf>
    <xf numFmtId="0" fontId="18"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7" fillId="0" borderId="0" xfId="0" applyNumberFormat="1" applyFont="1"/>
    <xf numFmtId="0" fontId="17" fillId="0" borderId="0" xfId="0" applyFont="1" applyAlignment="1">
      <alignment horizontal="right"/>
    </xf>
    <xf numFmtId="1" fontId="17" fillId="0" borderId="11" xfId="0" applyNumberFormat="1" applyFont="1" applyBorder="1"/>
    <xf numFmtId="1" fontId="0" fillId="0" borderId="11" xfId="0" applyNumberFormat="1" applyBorder="1"/>
    <xf numFmtId="0" fontId="17" fillId="0" borderId="11" xfId="0" applyFont="1" applyBorder="1" applyAlignment="1">
      <alignment horizontal="right"/>
    </xf>
    <xf numFmtId="166" fontId="17" fillId="0" borderId="0" xfId="0" applyNumberFormat="1" applyFont="1"/>
    <xf numFmtId="0" fontId="2" fillId="7" borderId="0" xfId="0" applyFont="1" applyFill="1"/>
    <xf numFmtId="0" fontId="20" fillId="0" borderId="0" xfId="0" applyFont="1"/>
    <xf numFmtId="0" fontId="21" fillId="0" borderId="0" xfId="0" applyFont="1" applyAlignment="1">
      <alignment vertical="center"/>
    </xf>
    <xf numFmtId="0" fontId="19" fillId="2" borderId="0" xfId="1"/>
    <xf numFmtId="165" fontId="0" fillId="5" borderId="0" xfId="0" applyNumberFormat="1" applyFill="1" applyAlignment="1">
      <alignment horizontal="right"/>
    </xf>
    <xf numFmtId="0" fontId="1" fillId="8" borderId="0" xfId="2" applyAlignment="1">
      <alignment horizontal="left"/>
    </xf>
    <xf numFmtId="0" fontId="19" fillId="9" borderId="0" xfId="3" applyFont="1" applyFill="1" applyAlignment="1">
      <alignment vertical="center" wrapText="1"/>
    </xf>
    <xf numFmtId="0" fontId="23" fillId="0" borderId="0" xfId="3" applyAlignment="1">
      <alignment vertical="center"/>
    </xf>
    <xf numFmtId="0" fontId="23" fillId="0" borderId="0" xfId="3"/>
    <xf numFmtId="164" fontId="23" fillId="0" borderId="0" xfId="3" applyNumberFormat="1"/>
    <xf numFmtId="0" fontId="23" fillId="0" borderId="0" xfId="3" applyAlignment="1">
      <alignment horizontal="right"/>
    </xf>
    <xf numFmtId="0" fontId="23" fillId="0" borderId="0" xfId="3" applyProtection="1">
      <protection locked="0"/>
    </xf>
    <xf numFmtId="1" fontId="23" fillId="0" borderId="0" xfId="3" applyNumberFormat="1" applyProtection="1">
      <protection locked="0"/>
    </xf>
    <xf numFmtId="10" fontId="23" fillId="0" borderId="0" xfId="3" applyNumberFormat="1"/>
    <xf numFmtId="2" fontId="23" fillId="0" borderId="0" xfId="3" applyNumberFormat="1"/>
    <xf numFmtId="0" fontId="22" fillId="0" borderId="0" xfId="3" applyFont="1"/>
    <xf numFmtId="0" fontId="0" fillId="0" borderId="0" xfId="0" applyAlignment="1">
      <alignment horizontal="right" vertical="center"/>
    </xf>
    <xf numFmtId="0" fontId="25" fillId="8" borderId="0" xfId="2" applyFont="1"/>
    <xf numFmtId="0" fontId="22" fillId="0" borderId="0" xfId="0" applyFont="1"/>
    <xf numFmtId="164" fontId="0" fillId="0" borderId="0" xfId="0" applyNumberFormat="1" applyAlignment="1">
      <alignment horizontal="right" vertical="center"/>
    </xf>
    <xf numFmtId="2" fontId="22" fillId="0" borderId="0" xfId="0" applyNumberFormat="1" applyFont="1"/>
    <xf numFmtId="165" fontId="19"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1" fillId="0" borderId="0" xfId="0" applyFont="1"/>
    <xf numFmtId="0" fontId="23" fillId="0" borderId="5" xfId="3" applyBorder="1"/>
    <xf numFmtId="0" fontId="23" fillId="0" borderId="6" xfId="3" applyBorder="1"/>
    <xf numFmtId="0" fontId="27" fillId="0" borderId="7" xfId="3" applyFont="1" applyBorder="1" applyAlignment="1">
      <alignment horizontal="right"/>
    </xf>
    <xf numFmtId="0" fontId="25" fillId="8" borderId="9" xfId="2" applyFont="1" applyBorder="1"/>
    <xf numFmtId="0" fontId="22" fillId="0" borderId="9" xfId="0" applyFont="1" applyBorder="1"/>
    <xf numFmtId="0" fontId="28" fillId="0" borderId="8" xfId="3" applyFont="1" applyBorder="1"/>
    <xf numFmtId="0" fontId="22" fillId="0" borderId="0" xfId="0" applyFont="1" applyAlignment="1">
      <alignment horizontal="right" vertical="center"/>
    </xf>
    <xf numFmtId="0" fontId="22" fillId="0" borderId="0" xfId="0" applyFont="1" applyAlignment="1">
      <alignment horizontal="right"/>
    </xf>
    <xf numFmtId="0" fontId="28" fillId="0" borderId="0" xfId="3" applyFont="1" applyAlignment="1">
      <alignment horizontal="right"/>
    </xf>
    <xf numFmtId="0" fontId="28" fillId="0" borderId="0" xfId="3" applyFont="1"/>
    <xf numFmtId="0" fontId="28" fillId="0" borderId="10" xfId="3" applyFont="1" applyBorder="1"/>
    <xf numFmtId="0" fontId="22" fillId="0" borderId="11" xfId="0" applyFont="1" applyBorder="1" applyAlignment="1">
      <alignment horizontal="right" vertical="center"/>
    </xf>
    <xf numFmtId="165" fontId="19" fillId="2" borderId="12" xfId="1" applyNumberFormat="1" applyBorder="1"/>
    <xf numFmtId="2" fontId="29" fillId="0" borderId="0" xfId="3" applyNumberFormat="1" applyFont="1"/>
    <xf numFmtId="2" fontId="2" fillId="0" borderId="9" xfId="0" applyNumberFormat="1" applyFont="1" applyBorder="1"/>
    <xf numFmtId="2" fontId="25" fillId="8" borderId="9" xfId="2" applyNumberFormat="1" applyFont="1" applyBorder="1"/>
    <xf numFmtId="0" fontId="17" fillId="0" borderId="0" xfId="0" applyFont="1" applyAlignment="1">
      <alignment horizontal="right" vertical="center"/>
    </xf>
    <xf numFmtId="0" fontId="17" fillId="0" borderId="9" xfId="0" applyFont="1" applyBorder="1"/>
    <xf numFmtId="0" fontId="30" fillId="0" borderId="0" xfId="3" applyFont="1" applyAlignment="1">
      <alignment horizontal="right"/>
    </xf>
    <xf numFmtId="0" fontId="30" fillId="0" borderId="0" xfId="3" applyFont="1"/>
    <xf numFmtId="0" fontId="30" fillId="0" borderId="9" xfId="3" applyFont="1" applyBorder="1"/>
    <xf numFmtId="2" fontId="30" fillId="0" borderId="0" xfId="3" applyNumberFormat="1" applyFont="1"/>
    <xf numFmtId="1" fontId="30" fillId="0" borderId="0" xfId="3" applyNumberFormat="1" applyFont="1"/>
    <xf numFmtId="1" fontId="2" fillId="0" borderId="8" xfId="0" applyNumberFormat="1" applyFont="1" applyBorder="1"/>
    <xf numFmtId="167" fontId="23"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7" fillId="0" borderId="0" xfId="0" applyNumberFormat="1" applyFont="1"/>
    <xf numFmtId="0" fontId="32" fillId="0" borderId="0" xfId="0" applyFont="1"/>
    <xf numFmtId="0" fontId="33" fillId="0" borderId="0" xfId="0" applyFont="1"/>
    <xf numFmtId="165" fontId="31" fillId="2" borderId="0" xfId="1" applyNumberFormat="1" applyFont="1"/>
    <xf numFmtId="1" fontId="19"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4"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7" fillId="5" borderId="0" xfId="0" applyNumberFormat="1" applyFont="1" applyFill="1"/>
    <xf numFmtId="1" fontId="17" fillId="5" borderId="11" xfId="0" applyNumberFormat="1" applyFont="1" applyFill="1" applyBorder="1"/>
    <xf numFmtId="166" fontId="17" fillId="5" borderId="0" xfId="0" applyNumberFormat="1" applyFont="1" applyFill="1"/>
    <xf numFmtId="165" fontId="17" fillId="5" borderId="0" xfId="0" applyNumberFormat="1" applyFont="1" applyFill="1"/>
    <xf numFmtId="0" fontId="17" fillId="5" borderId="0" xfId="0" applyFont="1" applyFill="1"/>
    <xf numFmtId="166" fontId="17" fillId="5" borderId="11" xfId="0" applyNumberFormat="1" applyFont="1" applyFill="1" applyBorder="1"/>
    <xf numFmtId="165" fontId="17" fillId="5" borderId="11" xfId="0" applyNumberFormat="1" applyFont="1" applyFill="1" applyBorder="1"/>
    <xf numFmtId="165" fontId="17"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5" fillId="0" borderId="0" xfId="0" applyFont="1"/>
    <xf numFmtId="10" fontId="36" fillId="0" borderId="0" xfId="0" applyNumberFormat="1" applyFont="1" applyAlignment="1">
      <alignment horizontal="right"/>
    </xf>
    <xf numFmtId="0" fontId="37"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4"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5" fillId="8" borderId="0" xfId="2" applyNumberFormat="1" applyFont="1"/>
    <xf numFmtId="0" fontId="31" fillId="2" borderId="0" xfId="1" applyFon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38"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39" fillId="14" borderId="24" xfId="6" applyNumberFormat="1" applyAlignment="1">
      <alignment horizontal="right"/>
    </xf>
    <xf numFmtId="166" fontId="39" fillId="14" borderId="24" xfId="6" applyNumberFormat="1" applyAlignment="1">
      <alignment horizontal="right"/>
    </xf>
    <xf numFmtId="0" fontId="0" fillId="0" borderId="22" xfId="0" applyBorder="1"/>
    <xf numFmtId="167" fontId="0" fillId="0" borderId="0" xfId="4" applyNumberFormat="1" applyFont="1"/>
    <xf numFmtId="0" fontId="41" fillId="0" borderId="0" xfId="0" applyFont="1"/>
    <xf numFmtId="0" fontId="42" fillId="0" borderId="0" xfId="0" applyFont="1" applyAlignment="1">
      <alignment horizontal="right"/>
    </xf>
    <xf numFmtId="0" fontId="42" fillId="0" borderId="0" xfId="0" applyFont="1"/>
    <xf numFmtId="0" fontId="1" fillId="8" borderId="0" xfId="2"/>
    <xf numFmtId="0" fontId="26"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4"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3" fillId="0" borderId="0" xfId="3" applyAlignment="1">
      <alignment vertical="center"/>
    </xf>
    <xf numFmtId="0" fontId="21"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2.430771760394923E-2</c:v>
                </c:pt>
                <c:pt idx="1">
                  <c:v>-3.6321832977500801E-2</c:v>
                </c:pt>
                <c:pt idx="2">
                  <c:v>1.5150489898519082E-2</c:v>
                </c:pt>
                <c:pt idx="3">
                  <c:v>-1.6301037262087426E-2</c:v>
                </c:pt>
                <c:pt idx="4">
                  <c:v>1.3164662737119803E-2</c:v>
                </c:pt>
              </c:numCache>
            </c:numRef>
          </c:val>
          <c:smooth val="0"/>
          <c:extLst>
            <c:ext xmlns:c16="http://schemas.microsoft.com/office/drawing/2014/chart" uri="{C3380CC4-5D6E-409C-BE32-E72D297353CC}">
              <c16:uniqueId val="{00000000-EFF3-455D-851F-23406735CEB0}"/>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2.3174902688744003E-2</c:v>
                </c:pt>
                <c:pt idx="1">
                  <c:v>-3.470506351639302E-2</c:v>
                </c:pt>
                <c:pt idx="2">
                  <c:v>1.7757780208313312E-2</c:v>
                </c:pt>
                <c:pt idx="3">
                  <c:v>-1.7398561895008768E-2</c:v>
                </c:pt>
                <c:pt idx="4">
                  <c:v>1.1170942514344251E-2</c:v>
                </c:pt>
              </c:numCache>
            </c:numRef>
          </c:val>
          <c:smooth val="0"/>
          <c:extLst>
            <c:ext xmlns:c16="http://schemas.microsoft.com/office/drawing/2014/chart" uri="{C3380CC4-5D6E-409C-BE32-E72D297353CC}">
              <c16:uniqueId val="{00000001-EFF3-455D-851F-23406735CEB0}"/>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2.2360610181896501E-2</c:v>
                </c:pt>
                <c:pt idx="1">
                  <c:v>-3.2023873430224392E-2</c:v>
                </c:pt>
                <c:pt idx="2">
                  <c:v>1.8664576300954305E-2</c:v>
                </c:pt>
                <c:pt idx="3">
                  <c:v>-1.8373777485373055E-2</c:v>
                </c:pt>
                <c:pt idx="4">
                  <c:v>9.372464432745975E-3</c:v>
                </c:pt>
              </c:numCache>
            </c:numRef>
          </c:val>
          <c:smooth val="0"/>
          <c:extLst>
            <c:ext xmlns:c16="http://schemas.microsoft.com/office/drawing/2014/chart" uri="{C3380CC4-5D6E-409C-BE32-E72D297353CC}">
              <c16:uniqueId val="{00000002-EFF3-455D-851F-23406735CEB0}"/>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2.3462655395180665E-2</c:v>
                </c:pt>
                <c:pt idx="1">
                  <c:v>-3.0624584037989955E-2</c:v>
                </c:pt>
                <c:pt idx="2">
                  <c:v>1.9789952788564102E-2</c:v>
                </c:pt>
                <c:pt idx="3">
                  <c:v>-2.1109137370581177E-2</c:v>
                </c:pt>
                <c:pt idx="4">
                  <c:v>8.4811132248265864E-3</c:v>
                </c:pt>
              </c:numCache>
            </c:numRef>
          </c:val>
          <c:smooth val="0"/>
          <c:extLst>
            <c:ext xmlns:c16="http://schemas.microsoft.com/office/drawing/2014/chart" uri="{C3380CC4-5D6E-409C-BE32-E72D297353CC}">
              <c16:uniqueId val="{00000003-EFF3-455D-851F-23406735CEB0}"/>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2.7817053552598336E-2</c:v>
                </c:pt>
                <c:pt idx="1">
                  <c:v>-3.055554579057207E-2</c:v>
                </c:pt>
                <c:pt idx="2">
                  <c:v>2.0016387515724876E-2</c:v>
                </c:pt>
                <c:pt idx="3">
                  <c:v>-2.3733914024111957E-2</c:v>
                </c:pt>
                <c:pt idx="4">
                  <c:v>6.4560187463607033E-3</c:v>
                </c:pt>
              </c:numCache>
            </c:numRef>
          </c:val>
          <c:smooth val="0"/>
          <c:extLst>
            <c:ext xmlns:c16="http://schemas.microsoft.com/office/drawing/2014/chart" uri="{C3380CC4-5D6E-409C-BE32-E72D297353CC}">
              <c16:uniqueId val="{00000004-EFF3-455D-851F-23406735CEB0}"/>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3.3149109862779191E-2</c:v>
                </c:pt>
                <c:pt idx="1">
                  <c:v>-2.9615764192839955E-2</c:v>
                </c:pt>
                <c:pt idx="2">
                  <c:v>1.8161960714699887E-2</c:v>
                </c:pt>
                <c:pt idx="3">
                  <c:v>-2.4304473029065687E-2</c:v>
                </c:pt>
                <c:pt idx="4">
                  <c:v>2.6091666444265638E-3</c:v>
                </c:pt>
              </c:numCache>
            </c:numRef>
          </c:val>
          <c:smooth val="0"/>
          <c:extLst>
            <c:ext xmlns:c16="http://schemas.microsoft.com/office/drawing/2014/chart" uri="{C3380CC4-5D6E-409C-BE32-E72D297353CC}">
              <c16:uniqueId val="{00000005-EFF3-455D-851F-23406735CEB0}"/>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3.4562480885776958E-2</c:v>
                </c:pt>
                <c:pt idx="1">
                  <c:v>-2.8775277719689907E-2</c:v>
                </c:pt>
                <c:pt idx="2">
                  <c:v>1.8598132471272733E-2</c:v>
                </c:pt>
                <c:pt idx="3">
                  <c:v>-2.8747461225613224E-2</c:v>
                </c:pt>
                <c:pt idx="4">
                  <c:v>4.3621255882526633E-3</c:v>
                </c:pt>
              </c:numCache>
            </c:numRef>
          </c:val>
          <c:smooth val="0"/>
          <c:extLst>
            <c:ext xmlns:c16="http://schemas.microsoft.com/office/drawing/2014/chart" uri="{C3380CC4-5D6E-409C-BE32-E72D297353CC}">
              <c16:uniqueId val="{00000006-EFF3-455D-851F-23406735CEB0}"/>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3.2589814752104207E-2</c:v>
                </c:pt>
                <c:pt idx="1">
                  <c:v>-2.7598488834949642E-2</c:v>
                </c:pt>
                <c:pt idx="2">
                  <c:v>2.0463376462292349E-2</c:v>
                </c:pt>
                <c:pt idx="3">
                  <c:v>-3.0648580509767598E-2</c:v>
                </c:pt>
                <c:pt idx="4">
                  <c:v>5.1938781303213499E-3</c:v>
                </c:pt>
              </c:numCache>
            </c:numRef>
          </c:val>
          <c:smooth val="0"/>
          <c:extLst>
            <c:ext xmlns:c16="http://schemas.microsoft.com/office/drawing/2014/chart" uri="{C3380CC4-5D6E-409C-BE32-E72D297353CC}">
              <c16:uniqueId val="{00000007-EFF3-455D-851F-23406735CEB0}"/>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3.3090748092144517E-2</c:v>
                </c:pt>
                <c:pt idx="1">
                  <c:v>-2.3203608644016827E-2</c:v>
                </c:pt>
                <c:pt idx="2">
                  <c:v>1.88174017843874E-2</c:v>
                </c:pt>
                <c:pt idx="3">
                  <c:v>-2.844648054413923E-2</c:v>
                </c:pt>
                <c:pt idx="4">
                  <c:v>-2.580606883763048E-4</c:v>
                </c:pt>
              </c:numCache>
            </c:numRef>
          </c:val>
          <c:smooth val="0"/>
          <c:extLst>
            <c:ext xmlns:c16="http://schemas.microsoft.com/office/drawing/2014/chart" uri="{C3380CC4-5D6E-409C-BE32-E72D297353CC}">
              <c16:uniqueId val="{00000008-EFF3-455D-851F-23406735CEB0}"/>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3.2354931561754396E-2</c:v>
                </c:pt>
                <c:pt idx="1">
                  <c:v>-2.3730232822995356E-2</c:v>
                </c:pt>
                <c:pt idx="2">
                  <c:v>1.8972736934759427E-2</c:v>
                </c:pt>
                <c:pt idx="3">
                  <c:v>-2.703314963764325E-2</c:v>
                </c:pt>
                <c:pt idx="4">
                  <c:v>-5.642860358749946E-4</c:v>
                </c:pt>
              </c:numCache>
            </c:numRef>
          </c:val>
          <c:smooth val="0"/>
          <c:extLst>
            <c:ext xmlns:c16="http://schemas.microsoft.com/office/drawing/2014/chart" uri="{C3380CC4-5D6E-409C-BE32-E72D297353CC}">
              <c16:uniqueId val="{00000009-EFF3-455D-851F-23406735CEB0}"/>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3.6469594134881378E-2</c:v>
                </c:pt>
                <c:pt idx="1">
                  <c:v>-2.3342170291153264E-2</c:v>
                </c:pt>
                <c:pt idx="2">
                  <c:v>2.266651797826813E-2</c:v>
                </c:pt>
                <c:pt idx="3">
                  <c:v>-3.0061760296479445E-2</c:v>
                </c:pt>
                <c:pt idx="4">
                  <c:v>-5.7321815255170216E-3</c:v>
                </c:pt>
              </c:numCache>
            </c:numRef>
          </c:val>
          <c:smooth val="0"/>
          <c:extLst>
            <c:ext xmlns:c16="http://schemas.microsoft.com/office/drawing/2014/chart" uri="{C3380CC4-5D6E-409C-BE32-E72D297353CC}">
              <c16:uniqueId val="{0000000A-EFF3-455D-851F-23406735CEB0}"/>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3.5259838811041E-2</c:v>
                </c:pt>
                <c:pt idx="1">
                  <c:v>-1.8672659900931587E-2</c:v>
                </c:pt>
                <c:pt idx="2">
                  <c:v>2.3357054075515249E-2</c:v>
                </c:pt>
                <c:pt idx="3">
                  <c:v>-3.4274992476320154E-2</c:v>
                </c:pt>
                <c:pt idx="4">
                  <c:v>-5.6692405093049514E-3</c:v>
                </c:pt>
              </c:numCache>
            </c:numRef>
          </c:val>
          <c:smooth val="0"/>
          <c:extLst>
            <c:ext xmlns:c16="http://schemas.microsoft.com/office/drawing/2014/chart" uri="{C3380CC4-5D6E-409C-BE32-E72D297353CC}">
              <c16:uniqueId val="{0000000B-EFF3-455D-851F-23406735CEB0}"/>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4.1522283970150786E-2</c:v>
                </c:pt>
                <c:pt idx="1">
                  <c:v>-1.9543346026896002E-2</c:v>
                </c:pt>
                <c:pt idx="2">
                  <c:v>2.4456277194093046E-2</c:v>
                </c:pt>
                <c:pt idx="3">
                  <c:v>-4.2201035960783617E-2</c:v>
                </c:pt>
                <c:pt idx="4">
                  <c:v>-4.2341791765645453E-3</c:v>
                </c:pt>
              </c:numCache>
            </c:numRef>
          </c:val>
          <c:smooth val="0"/>
          <c:extLst>
            <c:ext xmlns:c16="http://schemas.microsoft.com/office/drawing/2014/chart" uri="{C3380CC4-5D6E-409C-BE32-E72D297353CC}">
              <c16:uniqueId val="{0000000C-EFF3-455D-851F-23406735CEB0}"/>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4.8369485515691535E-2</c:v>
                </c:pt>
                <c:pt idx="1">
                  <c:v>-1.4802788025925828E-2</c:v>
                </c:pt>
                <c:pt idx="2">
                  <c:v>2.4890155788251267E-2</c:v>
                </c:pt>
                <c:pt idx="3">
                  <c:v>-5.0095471565326788E-2</c:v>
                </c:pt>
                <c:pt idx="4">
                  <c:v>-8.3613817126904078E-3</c:v>
                </c:pt>
              </c:numCache>
            </c:numRef>
          </c:val>
          <c:smooth val="0"/>
          <c:extLst>
            <c:ext xmlns:c16="http://schemas.microsoft.com/office/drawing/2014/chart" uri="{C3380CC4-5D6E-409C-BE32-E72D297353CC}">
              <c16:uniqueId val="{0000000D-EFF3-455D-851F-23406735CEB0}"/>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4.6251960575206086E-2</c:v>
                </c:pt>
                <c:pt idx="1">
                  <c:v>-1.2361780397154409E-2</c:v>
                </c:pt>
                <c:pt idx="2">
                  <c:v>3.3149702257311953E-2</c:v>
                </c:pt>
                <c:pt idx="3">
                  <c:v>-5.7300640841792094E-2</c:v>
                </c:pt>
                <c:pt idx="4">
                  <c:v>-9.7392415935713128E-3</c:v>
                </c:pt>
              </c:numCache>
            </c:numRef>
          </c:val>
          <c:smooth val="0"/>
          <c:extLst>
            <c:ext xmlns:c16="http://schemas.microsoft.com/office/drawing/2014/chart" uri="{C3380CC4-5D6E-409C-BE32-E72D297353CC}">
              <c16:uniqueId val="{0000000E-EFF3-455D-851F-23406735CEB0}"/>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4.0765336647701211E-2</c:v>
                </c:pt>
                <c:pt idx="1">
                  <c:v>-1.0828337823116541E-2</c:v>
                </c:pt>
                <c:pt idx="2">
                  <c:v>3.7861287163275525E-2</c:v>
                </c:pt>
                <c:pt idx="3">
                  <c:v>-6.2713821805585379E-2</c:v>
                </c:pt>
                <c:pt idx="4">
                  <c:v>-5.0844641822753722E-3</c:v>
                </c:pt>
              </c:numCache>
            </c:numRef>
          </c:val>
          <c:smooth val="0"/>
          <c:extLst>
            <c:ext xmlns:c16="http://schemas.microsoft.com/office/drawing/2014/chart" uri="{C3380CC4-5D6E-409C-BE32-E72D297353CC}">
              <c16:uniqueId val="{0000000F-EFF3-455D-851F-23406735CEB0}"/>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2.9335682001234265E-2</c:v>
                </c:pt>
                <c:pt idx="1">
                  <c:v>-2.2900587734426159E-2</c:v>
                </c:pt>
                <c:pt idx="2">
                  <c:v>2.0095535370318496E-2</c:v>
                </c:pt>
                <c:pt idx="3">
                  <c:v>0</c:v>
                </c:pt>
                <c:pt idx="4">
                  <c:v>-2.6530629637126379E-2</c:v>
                </c:pt>
              </c:numCache>
            </c:numRef>
          </c:val>
          <c:smooth val="0"/>
          <c:extLst>
            <c:ext xmlns:c16="http://schemas.microsoft.com/office/drawing/2014/chart" uri="{C3380CC4-5D6E-409C-BE32-E72D297353CC}">
              <c16:uniqueId val="{00000010-EFF3-455D-851F-23406735CEB0}"/>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3.6188843048516883E-2</c:v>
                </c:pt>
                <c:pt idx="1">
                  <c:v>-1.7078266286324806E-2</c:v>
                </c:pt>
                <c:pt idx="2">
                  <c:v>1.0796114783419242E-2</c:v>
                </c:pt>
                <c:pt idx="3">
                  <c:v>0</c:v>
                </c:pt>
                <c:pt idx="4">
                  <c:v>-2.9906691545611652E-2</c:v>
                </c:pt>
              </c:numCache>
            </c:numRef>
          </c:val>
          <c:smooth val="0"/>
          <c:extLst>
            <c:ext xmlns:c16="http://schemas.microsoft.com/office/drawing/2014/chart" uri="{C3380CC4-5D6E-409C-BE32-E72D297353CC}">
              <c16:uniqueId val="{00000011-EFF3-455D-851F-23406735CEB0}"/>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3.7477297910006424E-2</c:v>
                </c:pt>
                <c:pt idx="1">
                  <c:v>1.0178459517957927E-2</c:v>
                </c:pt>
                <c:pt idx="2">
                  <c:v>3.7559219801313493E-2</c:v>
                </c:pt>
                <c:pt idx="3">
                  <c:v>-6.6393026559643187E-2</c:v>
                </c:pt>
                <c:pt idx="4">
                  <c:v>-1.8821950669635212E-2</c:v>
                </c:pt>
              </c:numCache>
            </c:numRef>
          </c:val>
          <c:smooth val="0"/>
          <c:extLst>
            <c:ext xmlns:c16="http://schemas.microsoft.com/office/drawing/2014/chart" uri="{C3380CC4-5D6E-409C-BE32-E72D297353CC}">
              <c16:uniqueId val="{00000012-EFF3-455D-851F-23406735CEB0}"/>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1.8846278832275631E-2</c:v>
                </c:pt>
                <c:pt idx="1">
                  <c:v>1.0728657715374679E-2</c:v>
                </c:pt>
                <c:pt idx="2">
                  <c:v>1.8064005182772958E-2</c:v>
                </c:pt>
                <c:pt idx="3">
                  <c:v>0</c:v>
                </c:pt>
                <c:pt idx="4">
                  <c:v>-4.7638941730423823E-2</c:v>
                </c:pt>
              </c:numCache>
            </c:numRef>
          </c:val>
          <c:smooth val="0"/>
          <c:extLst>
            <c:ext xmlns:c16="http://schemas.microsoft.com/office/drawing/2014/chart" uri="{C3380CC4-5D6E-409C-BE32-E72D297353CC}">
              <c16:uniqueId val="{00000013-EFF3-455D-851F-23406735CEB0}"/>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1.7259291103703722E-2</c:v>
                </c:pt>
                <c:pt idx="1">
                  <c:v>1.8309320100538651E-2</c:v>
                </c:pt>
                <c:pt idx="2">
                  <c:v>1.1834716064054618E-2</c:v>
                </c:pt>
                <c:pt idx="3">
                  <c:v>0</c:v>
                </c:pt>
                <c:pt idx="4">
                  <c:v>-4.7403327268296991E-2</c:v>
                </c:pt>
              </c:numCache>
            </c:numRef>
          </c:val>
          <c:smooth val="0"/>
          <c:extLst>
            <c:ext xmlns:c16="http://schemas.microsoft.com/office/drawing/2014/chart" uri="{C3380CC4-5D6E-409C-BE32-E72D297353CC}">
              <c16:uniqueId val="{00000014-EFF3-455D-851F-23406735CEB0}"/>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5.8552919150947069E-3</c:v>
                </c:pt>
                <c:pt idx="1">
                  <c:v>3.6184408051077588E-2</c:v>
                </c:pt>
                <c:pt idx="2">
                  <c:v>8.9684544595511895E-3</c:v>
                </c:pt>
                <c:pt idx="3">
                  <c:v>0</c:v>
                </c:pt>
                <c:pt idx="4">
                  <c:v>-5.1008154425723484E-2</c:v>
                </c:pt>
              </c:numCache>
            </c:numRef>
          </c:val>
          <c:smooth val="0"/>
          <c:extLst>
            <c:ext xmlns:c16="http://schemas.microsoft.com/office/drawing/2014/chart" uri="{C3380CC4-5D6E-409C-BE32-E72D297353CC}">
              <c16:uniqueId val="{00000015-EFF3-455D-851F-23406735CEB0}"/>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-1.6658460836172617E-2</c:v>
                </c:pt>
                <c:pt idx="1">
                  <c:v>5.4401284977155351E-2</c:v>
                </c:pt>
                <c:pt idx="2">
                  <c:v>1.4233347675261632E-2</c:v>
                </c:pt>
                <c:pt idx="3">
                  <c:v>0</c:v>
                </c:pt>
                <c:pt idx="4">
                  <c:v>-5.1976171816244587E-2</c:v>
                </c:pt>
              </c:numCache>
            </c:numRef>
          </c:val>
          <c:smooth val="0"/>
          <c:extLst>
            <c:ext xmlns:c16="http://schemas.microsoft.com/office/drawing/2014/chart" uri="{C3380CC4-5D6E-409C-BE32-E72D297353CC}">
              <c16:uniqueId val="{00000016-EFF3-455D-851F-23406735CEB0}"/>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-5.0667683491863458E-2</c:v>
                </c:pt>
                <c:pt idx="1">
                  <c:v>6.2913285559954124E-2</c:v>
                </c:pt>
                <c:pt idx="2">
                  <c:v>4.1738353916529247E-2</c:v>
                </c:pt>
                <c:pt idx="3">
                  <c:v>0</c:v>
                </c:pt>
                <c:pt idx="4">
                  <c:v>-5.3983955984619691E-2</c:v>
                </c:pt>
              </c:numCache>
            </c:numRef>
          </c:val>
          <c:smooth val="0"/>
          <c:extLst>
            <c:ext xmlns:c16="http://schemas.microsoft.com/office/drawing/2014/chart" uri="{C3380CC4-5D6E-409C-BE32-E72D297353CC}">
              <c16:uniqueId val="{00000017-EFF3-455D-851F-23406735CEB0}"/>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-0.10295668269646541</c:v>
                </c:pt>
                <c:pt idx="1">
                  <c:v>8.2781097905316736E-2</c:v>
                </c:pt>
                <c:pt idx="2">
                  <c:v>8.5522170688136612E-2</c:v>
                </c:pt>
                <c:pt idx="3">
                  <c:v>0</c:v>
                </c:pt>
                <c:pt idx="4">
                  <c:v>-6.5346585896988163E-2</c:v>
                </c:pt>
              </c:numCache>
            </c:numRef>
          </c:val>
          <c:smooth val="0"/>
          <c:extLst>
            <c:ext xmlns:c16="http://schemas.microsoft.com/office/drawing/2014/chart" uri="{C3380CC4-5D6E-409C-BE32-E72D297353CC}">
              <c16:uniqueId val="{00000018-EFF3-455D-851F-23406735CEB0}"/>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-0.11661357732705935</c:v>
                </c:pt>
                <c:pt idx="1">
                  <c:v>0.11150599235366188</c:v>
                </c:pt>
                <c:pt idx="2">
                  <c:v>0.14107628981657538</c:v>
                </c:pt>
                <c:pt idx="3">
                  <c:v>-0.13316555831218579</c:v>
                </c:pt>
                <c:pt idx="4">
                  <c:v>-2.8031465309914516E-3</c:v>
                </c:pt>
              </c:numCache>
            </c:numRef>
          </c:val>
          <c:smooth val="0"/>
          <c:extLst>
            <c:ext xmlns:c16="http://schemas.microsoft.com/office/drawing/2014/chart" uri="{C3380CC4-5D6E-409C-BE32-E72D297353CC}">
              <c16:uniqueId val="{00000019-EFF3-455D-851F-23406735CEB0}"/>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-9.9456048147043452E-2</c:v>
                </c:pt>
                <c:pt idx="1">
                  <c:v>0.13262055919419491</c:v>
                </c:pt>
                <c:pt idx="2">
                  <c:v>0.16337197986719265</c:v>
                </c:pt>
                <c:pt idx="3">
                  <c:v>-0.17136085262100775</c:v>
                </c:pt>
                <c:pt idx="4">
                  <c:v>-2.5175638293336355E-2</c:v>
                </c:pt>
              </c:numCache>
            </c:numRef>
          </c:val>
          <c:smooth val="0"/>
          <c:extLst>
            <c:ext xmlns:c16="http://schemas.microsoft.com/office/drawing/2014/chart" uri="{C3380CC4-5D6E-409C-BE32-E72D297353CC}">
              <c16:uniqueId val="{0000001A-EFF3-455D-851F-23406735CEB0}"/>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-9.3404861074768308E-2</c:v>
                </c:pt>
                <c:pt idx="1">
                  <c:v>4.391795285938227E-2</c:v>
                </c:pt>
                <c:pt idx="2">
                  <c:v>0.22447876743042938</c:v>
                </c:pt>
                <c:pt idx="3">
                  <c:v>-0.17042985567893298</c:v>
                </c:pt>
                <c:pt idx="4">
                  <c:v>-4.5620035361108036E-3</c:v>
                </c:pt>
              </c:numCache>
            </c:numRef>
          </c:val>
          <c:smooth val="0"/>
          <c:extLst>
            <c:ext xmlns:c16="http://schemas.microsoft.com/office/drawing/2014/chart" uri="{C3380CC4-5D6E-409C-BE32-E72D297353CC}">
              <c16:uniqueId val="{0000001B-EFF3-455D-851F-23406735CEB0}"/>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-1.7238962240370137E-2</c:v>
                </c:pt>
                <c:pt idx="1">
                  <c:v>9.4191208595549636E-2</c:v>
                </c:pt>
                <c:pt idx="2">
                  <c:v>0.29095491081299585</c:v>
                </c:pt>
                <c:pt idx="3">
                  <c:v>-0.29594133451259097</c:v>
                </c:pt>
                <c:pt idx="4">
                  <c:v>-7.1965822655584377E-2</c:v>
                </c:pt>
              </c:numCache>
            </c:numRef>
          </c:val>
          <c:smooth val="0"/>
          <c:extLst>
            <c:ext xmlns:c16="http://schemas.microsoft.com/office/drawing/2014/chart" uri="{C3380CC4-5D6E-409C-BE32-E72D297353CC}">
              <c16:uniqueId val="{0000001C-EFF3-455D-851F-23406735CEB0}"/>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-3.8547791250682639E-2</c:v>
                </c:pt>
                <c:pt idx="1">
                  <c:v>0.14110265294906243</c:v>
                </c:pt>
                <c:pt idx="2">
                  <c:v>0.31647920834879395</c:v>
                </c:pt>
                <c:pt idx="3">
                  <c:v>-0.24575940317621814</c:v>
                </c:pt>
                <c:pt idx="4">
                  <c:v>-0.17327466687095494</c:v>
                </c:pt>
              </c:numCache>
            </c:numRef>
          </c:val>
          <c:smooth val="0"/>
          <c:extLst>
            <c:ext xmlns:c16="http://schemas.microsoft.com/office/drawing/2014/chart" uri="{C3380CC4-5D6E-409C-BE32-E72D297353CC}">
              <c16:uniqueId val="{0000001D-EFF3-455D-851F-23406735CEB0}"/>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403F-408A-B5B4-C48B4E9284F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1.8105292660596017E-2</c:v>
                </c:pt>
                <c:pt idx="1">
                  <c:v>1.908596323493339E-2</c:v>
                </c:pt>
                <c:pt idx="2">
                  <c:v>6.7203604139955964E-3</c:v>
                </c:pt>
                <c:pt idx="3">
                  <c:v>-1.8839009904001114E-2</c:v>
                </c:pt>
                <c:pt idx="4">
                  <c:v>-2.5072606405523667E-2</c:v>
                </c:pt>
              </c:numCache>
            </c:numRef>
          </c:val>
          <c:smooth val="0"/>
          <c:extLst>
            <c:ext xmlns:c16="http://schemas.microsoft.com/office/drawing/2014/chart" uri="{C3380CC4-5D6E-409C-BE32-E72D297353CC}">
              <c16:uniqueId val="{00000001-403F-408A-B5B4-C48B4E9284F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1.6944986408353069E-2</c:v>
                </c:pt>
                <c:pt idx="1">
                  <c:v>1.6880804399434624E-2</c:v>
                </c:pt>
                <c:pt idx="2">
                  <c:v>4.3681428225588181E-3</c:v>
                </c:pt>
                <c:pt idx="3">
                  <c:v>-1.6243645934901574E-2</c:v>
                </c:pt>
                <c:pt idx="4">
                  <c:v>-2.1950287695444493E-2</c:v>
                </c:pt>
              </c:numCache>
            </c:numRef>
          </c:val>
          <c:smooth val="0"/>
          <c:extLst>
            <c:ext xmlns:c16="http://schemas.microsoft.com/office/drawing/2014/chart" uri="{C3380CC4-5D6E-409C-BE32-E72D297353CC}">
              <c16:uniqueId val="{00000002-403F-408A-B5B4-C48B4E9284F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1.586614682596732E-2</c:v>
                </c:pt>
                <c:pt idx="1">
                  <c:v>1.6715032548522801E-2</c:v>
                </c:pt>
                <c:pt idx="2">
                  <c:v>2.1801131385077444E-3</c:v>
                </c:pt>
                <c:pt idx="3">
                  <c:v>-1.5792351456558218E-2</c:v>
                </c:pt>
                <c:pt idx="4">
                  <c:v>-1.8968941056439426E-2</c:v>
                </c:pt>
              </c:numCache>
            </c:numRef>
          </c:val>
          <c:smooth val="0"/>
          <c:extLst>
            <c:ext xmlns:c16="http://schemas.microsoft.com/office/drawing/2014/chart" uri="{C3380CC4-5D6E-409C-BE32-E72D297353CC}">
              <c16:uniqueId val="{00000003-403F-408A-B5B4-C48B4E9284F1}"/>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1.3285396622761958E-2</c:v>
                </c:pt>
                <c:pt idx="1">
                  <c:v>1.7958341188619942E-2</c:v>
                </c:pt>
                <c:pt idx="2">
                  <c:v>2.4253056552427932E-3</c:v>
                </c:pt>
                <c:pt idx="3">
                  <c:v>-1.6583930370133393E-2</c:v>
                </c:pt>
                <c:pt idx="4">
                  <c:v>-1.70851130964913E-2</c:v>
                </c:pt>
              </c:numCache>
            </c:numRef>
          </c:val>
          <c:smooth val="0"/>
          <c:extLst>
            <c:ext xmlns:c16="http://schemas.microsoft.com/office/drawing/2014/chart" uri="{C3380CC4-5D6E-409C-BE32-E72D297353CC}">
              <c16:uniqueId val="{00000004-403F-408A-B5B4-C48B4E9284F1}"/>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1.0051900049565354E-2</c:v>
                </c:pt>
                <c:pt idx="1">
                  <c:v>1.7447824948316537E-2</c:v>
                </c:pt>
                <c:pt idx="2">
                  <c:v>2.8428790950059124E-3</c:v>
                </c:pt>
                <c:pt idx="3">
                  <c:v>-1.4999842502304461E-2</c:v>
                </c:pt>
                <c:pt idx="4">
                  <c:v>-1.5342761590584009E-2</c:v>
                </c:pt>
              </c:numCache>
            </c:numRef>
          </c:val>
          <c:smooth val="0"/>
          <c:extLst>
            <c:ext xmlns:c16="http://schemas.microsoft.com/office/drawing/2014/chart" uri="{C3380CC4-5D6E-409C-BE32-E72D297353CC}">
              <c16:uniqueId val="{00000005-403F-408A-B5B4-C48B4E9284F1}"/>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6.8353905615221588E-3</c:v>
                </c:pt>
                <c:pt idx="1">
                  <c:v>1.5374002731487701E-2</c:v>
                </c:pt>
                <c:pt idx="2">
                  <c:v>4.1848523710736885E-3</c:v>
                </c:pt>
                <c:pt idx="3">
                  <c:v>-1.3028105307265392E-2</c:v>
                </c:pt>
                <c:pt idx="4">
                  <c:v>-1.3366140356818268E-2</c:v>
                </c:pt>
              </c:numCache>
            </c:numRef>
          </c:val>
          <c:smooth val="0"/>
          <c:extLst>
            <c:ext xmlns:c16="http://schemas.microsoft.com/office/drawing/2014/chart" uri="{C3380CC4-5D6E-409C-BE32-E72D297353CC}">
              <c16:uniqueId val="{00000006-403F-408A-B5B4-C48B4E9284F1}"/>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4.1187514902727429E-3</c:v>
                </c:pt>
                <c:pt idx="1">
                  <c:v>1.5201833332098458E-2</c:v>
                </c:pt>
                <c:pt idx="2">
                  <c:v>9.0386226140970471E-4</c:v>
                </c:pt>
                <c:pt idx="3">
                  <c:v>-1.0807611921530014E-2</c:v>
                </c:pt>
                <c:pt idx="4">
                  <c:v>-9.4168351622506696E-3</c:v>
                </c:pt>
              </c:numCache>
            </c:numRef>
          </c:val>
          <c:smooth val="0"/>
          <c:extLst>
            <c:ext xmlns:c16="http://schemas.microsoft.com/office/drawing/2014/chart" uri="{C3380CC4-5D6E-409C-BE32-E72D297353CC}">
              <c16:uniqueId val="{00000007-403F-408A-B5B4-C48B4E9284F1}"/>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2.2920809513349294E-3</c:v>
                </c:pt>
                <c:pt idx="1">
                  <c:v>1.5145923300873276E-2</c:v>
                </c:pt>
                <c:pt idx="2">
                  <c:v>-1.0943576690813916E-3</c:v>
                </c:pt>
                <c:pt idx="3">
                  <c:v>-8.1942893788433668E-3</c:v>
                </c:pt>
                <c:pt idx="4">
                  <c:v>-8.1493572042836693E-3</c:v>
                </c:pt>
              </c:numCache>
            </c:numRef>
          </c:val>
          <c:smooth val="0"/>
          <c:extLst>
            <c:ext xmlns:c16="http://schemas.microsoft.com/office/drawing/2014/chart" uri="{C3380CC4-5D6E-409C-BE32-E72D297353CC}">
              <c16:uniqueId val="{00000008-403F-408A-B5B4-C48B4E9284F1}"/>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8.0253750486658504E-4</c:v>
                </c:pt>
                <c:pt idx="1">
                  <c:v>1.5743233065627082E-2</c:v>
                </c:pt>
                <c:pt idx="2">
                  <c:v>-4.4511943249381236E-4</c:v>
                </c:pt>
                <c:pt idx="3">
                  <c:v>-9.260078984378306E-3</c:v>
                </c:pt>
                <c:pt idx="4">
                  <c:v>-6.8405721536213271E-3</c:v>
                </c:pt>
              </c:numCache>
            </c:numRef>
          </c:val>
          <c:smooth val="0"/>
          <c:extLst>
            <c:ext xmlns:c16="http://schemas.microsoft.com/office/drawing/2014/chart" uri="{C3380CC4-5D6E-409C-BE32-E72D297353CC}">
              <c16:uniqueId val="{00000009-403F-408A-B5B4-C48B4E9284F1}"/>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1.4886020632784991E-3</c:v>
                </c:pt>
                <c:pt idx="1">
                  <c:v>1.3375986292599062E-2</c:v>
                </c:pt>
                <c:pt idx="2">
                  <c:v>-2.1538562662606342E-3</c:v>
                </c:pt>
                <c:pt idx="3">
                  <c:v>-5.0445529481144558E-3</c:v>
                </c:pt>
                <c:pt idx="4">
                  <c:v>-7.6661791415024716E-3</c:v>
                </c:pt>
              </c:numCache>
            </c:numRef>
          </c:val>
          <c:smooth val="0"/>
          <c:extLst>
            <c:ext xmlns:c16="http://schemas.microsoft.com/office/drawing/2014/chart" uri="{C3380CC4-5D6E-409C-BE32-E72D297353CC}">
              <c16:uniqueId val="{0000000A-403F-408A-B5B4-C48B4E9284F1}"/>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-2.3165425863294065E-3</c:v>
                </c:pt>
                <c:pt idx="1">
                  <c:v>1.2608073520417484E-2</c:v>
                </c:pt>
                <c:pt idx="2">
                  <c:v>-1.023259905814311E-3</c:v>
                </c:pt>
                <c:pt idx="3">
                  <c:v>-5.4136391633469172E-3</c:v>
                </c:pt>
                <c:pt idx="4">
                  <c:v>-3.8546318649268496E-3</c:v>
                </c:pt>
              </c:numCache>
            </c:numRef>
          </c:val>
          <c:smooth val="0"/>
          <c:extLst>
            <c:ext xmlns:c16="http://schemas.microsoft.com/office/drawing/2014/chart" uri="{C3380CC4-5D6E-409C-BE32-E72D297353CC}">
              <c16:uniqueId val="{0000000B-403F-408A-B5B4-C48B4E9284F1}"/>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-1.0454885033231665E-2</c:v>
                </c:pt>
                <c:pt idx="1">
                  <c:v>1.6872181254329766E-2</c:v>
                </c:pt>
                <c:pt idx="2">
                  <c:v>2.6563176468874516E-4</c:v>
                </c:pt>
                <c:pt idx="3">
                  <c:v>-2.9678669757489118E-3</c:v>
                </c:pt>
                <c:pt idx="4">
                  <c:v>-3.7150610100382675E-3</c:v>
                </c:pt>
              </c:numCache>
            </c:numRef>
          </c:val>
          <c:smooth val="0"/>
          <c:extLst>
            <c:ext xmlns:c16="http://schemas.microsoft.com/office/drawing/2014/chart" uri="{C3380CC4-5D6E-409C-BE32-E72D297353CC}">
              <c16:uniqueId val="{0000000C-403F-408A-B5B4-C48B4E9284F1}"/>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-1.2394297202243609E-2</c:v>
                </c:pt>
                <c:pt idx="1">
                  <c:v>1.8287502616003204E-2</c:v>
                </c:pt>
                <c:pt idx="2">
                  <c:v>-1.9336136416268079E-3</c:v>
                </c:pt>
                <c:pt idx="3">
                  <c:v>-8.8098549865744946E-4</c:v>
                </c:pt>
                <c:pt idx="4">
                  <c:v>-3.0786062734747821E-3</c:v>
                </c:pt>
              </c:numCache>
            </c:numRef>
          </c:val>
          <c:smooth val="0"/>
          <c:extLst>
            <c:ext xmlns:c16="http://schemas.microsoft.com/office/drawing/2014/chart" uri="{C3380CC4-5D6E-409C-BE32-E72D297353CC}">
              <c16:uniqueId val="{0000000D-403F-408A-B5B4-C48B4E9284F1}"/>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-1.6634690932442742E-2</c:v>
                </c:pt>
                <c:pt idx="1">
                  <c:v>1.3576911395607238E-2</c:v>
                </c:pt>
                <c:pt idx="2">
                  <c:v>7.5065254301349693E-3</c:v>
                </c:pt>
                <c:pt idx="3">
                  <c:v>-4.0710611862626589E-3</c:v>
                </c:pt>
                <c:pt idx="4">
                  <c:v>-3.7768470703658519E-4</c:v>
                </c:pt>
              </c:numCache>
            </c:numRef>
          </c:val>
          <c:smooth val="0"/>
          <c:extLst>
            <c:ext xmlns:c16="http://schemas.microsoft.com/office/drawing/2014/chart" uri="{C3380CC4-5D6E-409C-BE32-E72D297353CC}">
              <c16:uniqueId val="{0000000E-403F-408A-B5B4-C48B4E9284F1}"/>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-1.7219959802159956E-2</c:v>
                </c:pt>
                <c:pt idx="1">
                  <c:v>5.7340523566828949E-3</c:v>
                </c:pt>
                <c:pt idx="2">
                  <c:v>1.2635244999550377E-2</c:v>
                </c:pt>
                <c:pt idx="3">
                  <c:v>-5.9904936302206391E-3</c:v>
                </c:pt>
                <c:pt idx="4">
                  <c:v>4.841156076148101E-3</c:v>
                </c:pt>
              </c:numCache>
            </c:numRef>
          </c:val>
          <c:smooth val="0"/>
          <c:extLst>
            <c:ext xmlns:c16="http://schemas.microsoft.com/office/drawing/2014/chart" uri="{C3380CC4-5D6E-409C-BE32-E72D297353CC}">
              <c16:uniqueId val="{0000000F-403F-408A-B5B4-C48B4E9284F1}"/>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-1.7024196702023597E-2</c:v>
                </c:pt>
                <c:pt idx="1">
                  <c:v>-2.4415928262473408E-3</c:v>
                </c:pt>
                <c:pt idx="2">
                  <c:v>1.0584021231029972E-2</c:v>
                </c:pt>
                <c:pt idx="3">
                  <c:v>7.19354091861657E-3</c:v>
                </c:pt>
                <c:pt idx="4">
                  <c:v>1.688227378623397E-3</c:v>
                </c:pt>
              </c:numCache>
            </c:numRef>
          </c:val>
          <c:smooth val="0"/>
          <c:extLst>
            <c:ext xmlns:c16="http://schemas.microsoft.com/office/drawing/2014/chart" uri="{C3380CC4-5D6E-409C-BE32-E72D297353CC}">
              <c16:uniqueId val="{00000010-403F-408A-B5B4-C48B4E9284F1}"/>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-6.9990198104096235E-3</c:v>
                </c:pt>
                <c:pt idx="1">
                  <c:v>-3.1563753572834141E-3</c:v>
                </c:pt>
                <c:pt idx="2">
                  <c:v>-7.9125985188047698E-3</c:v>
                </c:pt>
                <c:pt idx="3">
                  <c:v>1.1808487648543364E-2</c:v>
                </c:pt>
                <c:pt idx="4">
                  <c:v>6.2595060379539991E-3</c:v>
                </c:pt>
              </c:numCache>
            </c:numRef>
          </c:val>
          <c:smooth val="0"/>
          <c:extLst>
            <c:ext xmlns:c16="http://schemas.microsoft.com/office/drawing/2014/chart" uri="{C3380CC4-5D6E-409C-BE32-E72D297353CC}">
              <c16:uniqueId val="{00000011-403F-408A-B5B4-C48B4E9284F1}"/>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-1.7338755536511208E-4</c:v>
                </c:pt>
                <c:pt idx="1">
                  <c:v>4.7749413502455873E-3</c:v>
                </c:pt>
                <c:pt idx="2">
                  <c:v>-2.8408964355901345E-2</c:v>
                </c:pt>
                <c:pt idx="3">
                  <c:v>2.0817831899837547E-2</c:v>
                </c:pt>
                <c:pt idx="4">
                  <c:v>2.989578661182879E-3</c:v>
                </c:pt>
              </c:numCache>
            </c:numRef>
          </c:val>
          <c:smooth val="0"/>
          <c:extLst>
            <c:ext xmlns:c16="http://schemas.microsoft.com/office/drawing/2014/chart" uri="{C3380CC4-5D6E-409C-BE32-E72D297353CC}">
              <c16:uniqueId val="{00000012-403F-408A-B5B4-C48B4E9284F1}"/>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-1.4345011850861011E-2</c:v>
                </c:pt>
                <c:pt idx="1">
                  <c:v>3.5396019710132398E-2</c:v>
                </c:pt>
                <c:pt idx="2">
                  <c:v>-4.744602279443022E-2</c:v>
                </c:pt>
                <c:pt idx="3">
                  <c:v>3.1201084513586164E-2</c:v>
                </c:pt>
                <c:pt idx="4">
                  <c:v>-4.8060695784272189E-3</c:v>
                </c:pt>
              </c:numCache>
            </c:numRef>
          </c:val>
          <c:smooth val="0"/>
          <c:extLst>
            <c:ext xmlns:c16="http://schemas.microsoft.com/office/drawing/2014/chart" uri="{C3380CC4-5D6E-409C-BE32-E72D297353CC}">
              <c16:uniqueId val="{00000013-403F-408A-B5B4-C48B4E9284F1}"/>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-1.1710857716927481E-2</c:v>
                </c:pt>
                <c:pt idx="1">
                  <c:v>2.0695632816559506E-2</c:v>
                </c:pt>
                <c:pt idx="2">
                  <c:v>-4.6909715553835163E-2</c:v>
                </c:pt>
                <c:pt idx="3">
                  <c:v>3.4990551536271397E-2</c:v>
                </c:pt>
                <c:pt idx="4">
                  <c:v>2.9343889179318516E-3</c:v>
                </c:pt>
              </c:numCache>
            </c:numRef>
          </c:val>
          <c:smooth val="0"/>
          <c:extLst>
            <c:ext xmlns:c16="http://schemas.microsoft.com/office/drawing/2014/chart" uri="{C3380CC4-5D6E-409C-BE32-E72D297353CC}">
              <c16:uniqueId val="{00000014-403F-408A-B5B4-C48B4E9284F1}"/>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-1.7600322664786616E-2</c:v>
                </c:pt>
                <c:pt idx="1">
                  <c:v>2.6350506482521352E-2</c:v>
                </c:pt>
                <c:pt idx="2">
                  <c:v>-3.6988238303755638E-2</c:v>
                </c:pt>
                <c:pt idx="3">
                  <c:v>3.5587613133241991E-2</c:v>
                </c:pt>
                <c:pt idx="4">
                  <c:v>-7.3495586472215324E-3</c:v>
                </c:pt>
              </c:numCache>
            </c:numRef>
          </c:val>
          <c:smooth val="0"/>
          <c:extLst>
            <c:ext xmlns:c16="http://schemas.microsoft.com/office/drawing/2014/chart" uri="{C3380CC4-5D6E-409C-BE32-E72D297353CC}">
              <c16:uniqueId val="{00000015-403F-408A-B5B4-C48B4E9284F1}"/>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-3.0391801627839499E-2</c:v>
                </c:pt>
                <c:pt idx="1">
                  <c:v>3.1182573108073486E-2</c:v>
                </c:pt>
                <c:pt idx="2">
                  <c:v>-5.0098121808907936E-2</c:v>
                </c:pt>
                <c:pt idx="3">
                  <c:v>4.1908287230433938E-2</c:v>
                </c:pt>
                <c:pt idx="4">
                  <c:v>7.3990630982394556E-3</c:v>
                </c:pt>
              </c:numCache>
            </c:numRef>
          </c:val>
          <c:smooth val="0"/>
          <c:extLst>
            <c:ext xmlns:c16="http://schemas.microsoft.com/office/drawing/2014/chart" uri="{C3380CC4-5D6E-409C-BE32-E72D297353CC}">
              <c16:uniqueId val="{00000016-403F-408A-B5B4-C48B4E9284F1}"/>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-4.660781329975705E-2</c:v>
                </c:pt>
                <c:pt idx="1">
                  <c:v>1.7990801555890279E-2</c:v>
                </c:pt>
                <c:pt idx="2">
                  <c:v>-4.5460428104340811E-2</c:v>
                </c:pt>
                <c:pt idx="3">
                  <c:v>5.2174493963059287E-2</c:v>
                </c:pt>
                <c:pt idx="4">
                  <c:v>2.1902945885148739E-2</c:v>
                </c:pt>
              </c:numCache>
            </c:numRef>
          </c:val>
          <c:smooth val="0"/>
          <c:extLst>
            <c:ext xmlns:c16="http://schemas.microsoft.com/office/drawing/2014/chart" uri="{C3380CC4-5D6E-409C-BE32-E72D297353CC}">
              <c16:uniqueId val="{00000017-403F-408A-B5B4-C48B4E9284F1}"/>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-7.7088092853442314E-3</c:v>
                </c:pt>
                <c:pt idx="1">
                  <c:v>-1.1674714874518877E-3</c:v>
                </c:pt>
                <c:pt idx="2">
                  <c:v>0</c:v>
                </c:pt>
                <c:pt idx="3">
                  <c:v>2.8369919795295351E-2</c:v>
                </c:pt>
                <c:pt idx="4">
                  <c:v>-1.9493639022498899E-2</c:v>
                </c:pt>
              </c:numCache>
            </c:numRef>
          </c:val>
          <c:smooth val="0"/>
          <c:extLst>
            <c:ext xmlns:c16="http://schemas.microsoft.com/office/drawing/2014/chart" uri="{C3380CC4-5D6E-409C-BE32-E72D297353CC}">
              <c16:uniqueId val="{00000018-403F-408A-B5B4-C48B4E9284F1}"/>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9.1004420161620025E-3</c:v>
                </c:pt>
                <c:pt idx="1">
                  <c:v>6.3284969333934349E-3</c:v>
                </c:pt>
                <c:pt idx="2">
                  <c:v>0</c:v>
                </c:pt>
                <c:pt idx="3">
                  <c:v>-1.7913357817468056E-2</c:v>
                </c:pt>
                <c:pt idx="4">
                  <c:v>2.4844188679127299E-3</c:v>
                </c:pt>
              </c:numCache>
            </c:numRef>
          </c:val>
          <c:smooth val="0"/>
          <c:extLst>
            <c:ext xmlns:c16="http://schemas.microsoft.com/office/drawing/2014/chart" uri="{C3380CC4-5D6E-409C-BE32-E72D297353CC}">
              <c16:uniqueId val="{00000019-403F-408A-B5B4-C48B4E9284F1}"/>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-2.7837941233216368E-2</c:v>
                </c:pt>
                <c:pt idx="1">
                  <c:v>5.6112680008090887E-2</c:v>
                </c:pt>
                <c:pt idx="2">
                  <c:v>0</c:v>
                </c:pt>
                <c:pt idx="3">
                  <c:v>-2.3586341180868442E-2</c:v>
                </c:pt>
                <c:pt idx="4">
                  <c:v>-4.6883975940064104E-3</c:v>
                </c:pt>
              </c:numCache>
            </c:numRef>
          </c:val>
          <c:smooth val="0"/>
          <c:extLst>
            <c:ext xmlns:c16="http://schemas.microsoft.com/office/drawing/2014/chart" uri="{C3380CC4-5D6E-409C-BE32-E72D297353CC}">
              <c16:uniqueId val="{0000001A-403F-408A-B5B4-C48B4E9284F1}"/>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2.5858600066146487E-3</c:v>
                </c:pt>
                <c:pt idx="1">
                  <c:v>3.3140685832982353E-2</c:v>
                </c:pt>
                <c:pt idx="2">
                  <c:v>0</c:v>
                </c:pt>
                <c:pt idx="3">
                  <c:v>1.9961228837346523E-2</c:v>
                </c:pt>
                <c:pt idx="4">
                  <c:v>-5.568777467694408E-2</c:v>
                </c:pt>
              </c:numCache>
            </c:numRef>
          </c:val>
          <c:smooth val="0"/>
          <c:extLst>
            <c:ext xmlns:c16="http://schemas.microsoft.com/office/drawing/2014/chart" uri="{C3380CC4-5D6E-409C-BE32-E72D297353CC}">
              <c16:uniqueId val="{0000001B-403F-408A-B5B4-C48B4E9284F1}"/>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1.94500209316808E-2</c:v>
                </c:pt>
                <c:pt idx="1">
                  <c:v>-8.1732929018634159E-3</c:v>
                </c:pt>
                <c:pt idx="2">
                  <c:v>-2.4472860246343764E-2</c:v>
                </c:pt>
                <c:pt idx="3">
                  <c:v>1.3196132216527046E-2</c:v>
                </c:pt>
                <c:pt idx="4">
                  <c:v>0</c:v>
                </c:pt>
              </c:numCache>
            </c:numRef>
          </c:val>
          <c:smooth val="0"/>
          <c:extLst>
            <c:ext xmlns:c16="http://schemas.microsoft.com/office/drawing/2014/chart" uri="{C3380CC4-5D6E-409C-BE32-E72D297353CC}">
              <c16:uniqueId val="{0000001C-403F-408A-B5B4-C48B4E9284F1}"/>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5.6357626649409909E-2</c:v>
                </c:pt>
                <c:pt idx="1">
                  <c:v>-5.2536528768298285E-2</c:v>
                </c:pt>
                <c:pt idx="2">
                  <c:v>-6.8030052408909358E-2</c:v>
                </c:pt>
                <c:pt idx="3">
                  <c:v>6.4208954527797069E-2</c:v>
                </c:pt>
                <c:pt idx="4">
                  <c:v>0</c:v>
                </c:pt>
              </c:numCache>
            </c:numRef>
          </c:val>
          <c:smooth val="0"/>
          <c:extLst>
            <c:ext xmlns:c16="http://schemas.microsoft.com/office/drawing/2014/chart" uri="{C3380CC4-5D6E-409C-BE32-E72D297353CC}">
              <c16:uniqueId val="{0000001D-403F-408A-B5B4-C48B4E9284F1}"/>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5.2540430270140437E-3</c:v>
                </c:pt>
                <c:pt idx="1">
                  <c:v>-3.5188220188552721E-2</c:v>
                </c:pt>
                <c:pt idx="2">
                  <c:v>1.4468449841348763E-2</c:v>
                </c:pt>
                <c:pt idx="3">
                  <c:v>1.5465727320189693E-2</c:v>
                </c:pt>
                <c:pt idx="4">
                  <c:v>0</c:v>
                </c:pt>
              </c:numCache>
            </c:numRef>
          </c:val>
          <c:smooth val="0"/>
          <c:extLst>
            <c:ext xmlns:c16="http://schemas.microsoft.com/office/drawing/2014/chart" uri="{C3380CC4-5D6E-409C-BE32-E72D297353CC}">
              <c16:uniqueId val="{0000001E-403F-408A-B5B4-C48B4E9284F1}"/>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5057-45E9-A925-F78F5816D9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2.2715333874257615E-2</c:v>
                </c:pt>
                <c:pt idx="1">
                  <c:v>-1.4421674387704475E-2</c:v>
                </c:pt>
                <c:pt idx="2">
                  <c:v>-2.0366284027877324E-2</c:v>
                </c:pt>
                <c:pt idx="3">
                  <c:v>1.0770025606097411E-2</c:v>
                </c:pt>
                <c:pt idx="4">
                  <c:v>1.302598935226662E-3</c:v>
                </c:pt>
              </c:numCache>
            </c:numRef>
          </c:val>
          <c:smooth val="0"/>
          <c:extLst>
            <c:ext xmlns:c16="http://schemas.microsoft.com/office/drawing/2014/chart" uri="{C3380CC4-5D6E-409C-BE32-E72D297353CC}">
              <c16:uniqueId val="{00000001-5057-45E9-A925-F78F5816D9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2.2841999757513332E-2</c:v>
                </c:pt>
                <c:pt idx="1">
                  <c:v>-1.5815481617653004E-2</c:v>
                </c:pt>
                <c:pt idx="2">
                  <c:v>-1.9148224130438707E-2</c:v>
                </c:pt>
                <c:pt idx="3">
                  <c:v>9.6148456094415913E-3</c:v>
                </c:pt>
                <c:pt idx="4">
                  <c:v>2.5068603811371215E-3</c:v>
                </c:pt>
              </c:numCache>
            </c:numRef>
          </c:val>
          <c:smooth val="0"/>
          <c:extLst>
            <c:ext xmlns:c16="http://schemas.microsoft.com/office/drawing/2014/chart" uri="{C3380CC4-5D6E-409C-BE32-E72D297353CC}">
              <c16:uniqueId val="{00000002-5057-45E9-A925-F78F5816D9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2.5556246932558757E-2</c:v>
                </c:pt>
                <c:pt idx="1">
                  <c:v>-1.8672917257228638E-2</c:v>
                </c:pt>
                <c:pt idx="2">
                  <c:v>-1.8862502660014213E-2</c:v>
                </c:pt>
                <c:pt idx="3">
                  <c:v>8.9906440317815139E-3</c:v>
                </c:pt>
                <c:pt idx="4">
                  <c:v>2.9885289529016923E-3</c:v>
                </c:pt>
              </c:numCache>
            </c:numRef>
          </c:val>
          <c:smooth val="0"/>
          <c:extLst>
            <c:ext xmlns:c16="http://schemas.microsoft.com/office/drawing/2014/chart" uri="{C3380CC4-5D6E-409C-BE32-E72D297353CC}">
              <c16:uniqueId val="{00000003-5057-45E9-A925-F78F5816D9F7}"/>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2.3378143467813972E-2</c:v>
                </c:pt>
                <c:pt idx="1">
                  <c:v>-1.9653830098060099E-2</c:v>
                </c:pt>
                <c:pt idx="2">
                  <c:v>-1.441948672614346E-2</c:v>
                </c:pt>
                <c:pt idx="3">
                  <c:v>6.9731486684274646E-3</c:v>
                </c:pt>
                <c:pt idx="4">
                  <c:v>3.7220246879619001E-3</c:v>
                </c:pt>
              </c:numCache>
            </c:numRef>
          </c:val>
          <c:smooth val="0"/>
          <c:extLst>
            <c:ext xmlns:c16="http://schemas.microsoft.com/office/drawing/2014/chart" uri="{C3380CC4-5D6E-409C-BE32-E72D297353CC}">
              <c16:uniqueId val="{00000004-5057-45E9-A925-F78F5816D9F7}"/>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2.1419683976102499E-2</c:v>
                </c:pt>
                <c:pt idx="1">
                  <c:v>-1.9319704247245051E-2</c:v>
                </c:pt>
                <c:pt idx="2">
                  <c:v>-1.3389245252994231E-2</c:v>
                </c:pt>
                <c:pt idx="3">
                  <c:v>5.7947907671105359E-3</c:v>
                </c:pt>
                <c:pt idx="4">
                  <c:v>5.4944747570269126E-3</c:v>
                </c:pt>
              </c:numCache>
            </c:numRef>
          </c:val>
          <c:smooth val="0"/>
          <c:extLst>
            <c:ext xmlns:c16="http://schemas.microsoft.com/office/drawing/2014/chart" uri="{C3380CC4-5D6E-409C-BE32-E72D297353CC}">
              <c16:uniqueId val="{00000005-5057-45E9-A925-F78F5816D9F7}"/>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1.9832541517795566E-2</c:v>
                </c:pt>
                <c:pt idx="1">
                  <c:v>-2.1236073648113085E-2</c:v>
                </c:pt>
                <c:pt idx="2">
                  <c:v>-1.2033001976144986E-2</c:v>
                </c:pt>
                <c:pt idx="3">
                  <c:v>5.2794074077053832E-3</c:v>
                </c:pt>
                <c:pt idx="4">
                  <c:v>8.1571266987570112E-3</c:v>
                </c:pt>
              </c:numCache>
            </c:numRef>
          </c:val>
          <c:smooth val="0"/>
          <c:extLst>
            <c:ext xmlns:c16="http://schemas.microsoft.com/office/drawing/2014/chart" uri="{C3380CC4-5D6E-409C-BE32-E72D297353CC}">
              <c16:uniqueId val="{00000006-5057-45E9-A925-F78F5816D9F7}"/>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1.9826099486014215E-2</c:v>
                </c:pt>
                <c:pt idx="1">
                  <c:v>-1.9369299870449108E-2</c:v>
                </c:pt>
                <c:pt idx="2">
                  <c:v>-1.3605583722956061E-2</c:v>
                </c:pt>
                <c:pt idx="3">
                  <c:v>4.8111082077852974E-3</c:v>
                </c:pt>
                <c:pt idx="4">
                  <c:v>8.3376758996058786E-3</c:v>
                </c:pt>
              </c:numCache>
            </c:numRef>
          </c:val>
          <c:smooth val="0"/>
          <c:extLst>
            <c:ext xmlns:c16="http://schemas.microsoft.com/office/drawing/2014/chart" uri="{C3380CC4-5D6E-409C-BE32-E72D297353CC}">
              <c16:uniqueId val="{00000007-5057-45E9-A925-F78F5816D9F7}"/>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2.094525562866556E-2</c:v>
                </c:pt>
                <c:pt idx="1">
                  <c:v>-2.0263832517988245E-2</c:v>
                </c:pt>
                <c:pt idx="2">
                  <c:v>-1.3640640848134877E-2</c:v>
                </c:pt>
                <c:pt idx="3">
                  <c:v>3.2733765546866245E-3</c:v>
                </c:pt>
                <c:pt idx="4">
                  <c:v>9.6858411827707158E-3</c:v>
                </c:pt>
              </c:numCache>
            </c:numRef>
          </c:val>
          <c:smooth val="0"/>
          <c:extLst>
            <c:ext xmlns:c16="http://schemas.microsoft.com/office/drawing/2014/chart" uri="{C3380CC4-5D6E-409C-BE32-E72D297353CC}">
              <c16:uniqueId val="{00000008-5057-45E9-A925-F78F5816D9F7}"/>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1.9140997013173955E-2</c:v>
                </c:pt>
                <c:pt idx="1">
                  <c:v>-2.0794613134184514E-2</c:v>
                </c:pt>
                <c:pt idx="2">
                  <c:v>-1.2744472396769568E-2</c:v>
                </c:pt>
                <c:pt idx="3">
                  <c:v>5.0177484555342655E-3</c:v>
                </c:pt>
                <c:pt idx="4">
                  <c:v>9.3803400622469724E-3</c:v>
                </c:pt>
              </c:numCache>
            </c:numRef>
          </c:val>
          <c:smooth val="0"/>
          <c:extLst>
            <c:ext xmlns:c16="http://schemas.microsoft.com/office/drawing/2014/chart" uri="{C3380CC4-5D6E-409C-BE32-E72D297353CC}">
              <c16:uniqueId val="{00000009-5057-45E9-A925-F78F5816D9F7}"/>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1.9397678735883828E-2</c:v>
                </c:pt>
                <c:pt idx="1">
                  <c:v>-1.6377395342135892E-2</c:v>
                </c:pt>
                <c:pt idx="2">
                  <c:v>-1.4080126289194972E-2</c:v>
                </c:pt>
                <c:pt idx="3">
                  <c:v>3.2886494586386039E-3</c:v>
                </c:pt>
                <c:pt idx="4">
                  <c:v>7.7711934368089874E-3</c:v>
                </c:pt>
              </c:numCache>
            </c:numRef>
          </c:val>
          <c:smooth val="0"/>
          <c:extLst>
            <c:ext xmlns:c16="http://schemas.microsoft.com/office/drawing/2014/chart" uri="{C3380CC4-5D6E-409C-BE32-E72D297353CC}">
              <c16:uniqueId val="{0000000A-5057-45E9-A925-F78F5816D9F7}"/>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1.7120497728770223E-2</c:v>
                </c:pt>
                <c:pt idx="1">
                  <c:v>-1.3831736145676121E-2</c:v>
                </c:pt>
                <c:pt idx="2">
                  <c:v>-1.5489546396999287E-2</c:v>
                </c:pt>
                <c:pt idx="3">
                  <c:v>6.7030377289045706E-3</c:v>
                </c:pt>
                <c:pt idx="4">
                  <c:v>5.4977470850003929E-3</c:v>
                </c:pt>
              </c:numCache>
            </c:numRef>
          </c:val>
          <c:smooth val="0"/>
          <c:extLst>
            <c:ext xmlns:c16="http://schemas.microsoft.com/office/drawing/2014/chart" uri="{C3380CC4-5D6E-409C-BE32-E72D297353CC}">
              <c16:uniqueId val="{0000000B-5057-45E9-A925-F78F5816D9F7}"/>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2.5567022405727835E-2</c:v>
                </c:pt>
                <c:pt idx="1">
                  <c:v>-1.112375434753643E-2</c:v>
                </c:pt>
                <c:pt idx="2">
                  <c:v>-2.6344207315376678E-2</c:v>
                </c:pt>
                <c:pt idx="3">
                  <c:v>5.5698584586494349E-3</c:v>
                </c:pt>
                <c:pt idx="4">
                  <c:v>6.3310807985352824E-3</c:v>
                </c:pt>
              </c:numCache>
            </c:numRef>
          </c:val>
          <c:smooth val="0"/>
          <c:extLst>
            <c:ext xmlns:c16="http://schemas.microsoft.com/office/drawing/2014/chart" uri="{C3380CC4-5D6E-409C-BE32-E72D297353CC}">
              <c16:uniqueId val="{0000000C-5057-45E9-A925-F78F5816D9F7}"/>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2.6108492379092629E-2</c:v>
                </c:pt>
                <c:pt idx="1">
                  <c:v>-1.2262634171592235E-2</c:v>
                </c:pt>
                <c:pt idx="2">
                  <c:v>-2.1929732144136405E-2</c:v>
                </c:pt>
                <c:pt idx="3">
                  <c:v>2.0301678971208492E-3</c:v>
                </c:pt>
                <c:pt idx="4">
                  <c:v>6.0537060395142728E-3</c:v>
                </c:pt>
              </c:numCache>
            </c:numRef>
          </c:val>
          <c:smooth val="0"/>
          <c:extLst>
            <c:ext xmlns:c16="http://schemas.microsoft.com/office/drawing/2014/chart" uri="{C3380CC4-5D6E-409C-BE32-E72D297353CC}">
              <c16:uniqueId val="{0000000D-5057-45E9-A925-F78F5816D9F7}"/>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1.9442596588149286E-2</c:v>
                </c:pt>
                <c:pt idx="1">
                  <c:v>1.1246429756726073E-3</c:v>
                </c:pt>
                <c:pt idx="2">
                  <c:v>-2.0612094301250106E-2</c:v>
                </c:pt>
                <c:pt idx="3">
                  <c:v>1.9007068955083639E-3</c:v>
                </c:pt>
                <c:pt idx="4">
                  <c:v>-1.8558521580805953E-3</c:v>
                </c:pt>
              </c:numCache>
            </c:numRef>
          </c:val>
          <c:smooth val="0"/>
          <c:extLst>
            <c:ext xmlns:c16="http://schemas.microsoft.com/office/drawing/2014/chart" uri="{C3380CC4-5D6E-409C-BE32-E72D297353CC}">
              <c16:uniqueId val="{0000000E-5057-45E9-A925-F78F5816D9F7}"/>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1.8946420759978766E-2</c:v>
                </c:pt>
                <c:pt idx="1">
                  <c:v>5.8030471703047759E-3</c:v>
                </c:pt>
                <c:pt idx="2">
                  <c:v>-1.8930065260072459E-2</c:v>
                </c:pt>
                <c:pt idx="3">
                  <c:v>-6.4681297609614496E-4</c:v>
                </c:pt>
                <c:pt idx="4">
                  <c:v>-5.1725896941148264E-3</c:v>
                </c:pt>
              </c:numCache>
            </c:numRef>
          </c:val>
          <c:smooth val="0"/>
          <c:extLst>
            <c:ext xmlns:c16="http://schemas.microsoft.com/office/drawing/2014/chart" uri="{C3380CC4-5D6E-409C-BE32-E72D297353CC}">
              <c16:uniqueId val="{0000000F-5057-45E9-A925-F78F5816D9F7}"/>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-5.9812733630115744E-4</c:v>
                </c:pt>
                <c:pt idx="1">
                  <c:v>1.2535847277045153E-2</c:v>
                </c:pt>
                <c:pt idx="2">
                  <c:v>-6.6937244809298635E-3</c:v>
                </c:pt>
                <c:pt idx="3">
                  <c:v>-4.4987714908372167E-3</c:v>
                </c:pt>
                <c:pt idx="4">
                  <c:v>-7.4522396897769294E-4</c:v>
                </c:pt>
              </c:numCache>
            </c:numRef>
          </c:val>
          <c:smooth val="0"/>
          <c:extLst>
            <c:ext xmlns:c16="http://schemas.microsoft.com/office/drawing/2014/chart" uri="{C3380CC4-5D6E-409C-BE32-E72D297353CC}">
              <c16:uniqueId val="{00000010-5057-45E9-A925-F78F5816D9F7}"/>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-5.5340599633774135E-3</c:v>
                </c:pt>
                <c:pt idx="1">
                  <c:v>5.1560996278441351E-3</c:v>
                </c:pt>
                <c:pt idx="2">
                  <c:v>1.8053434217524256E-4</c:v>
                </c:pt>
                <c:pt idx="3">
                  <c:v>-6.1014822557289294E-3</c:v>
                </c:pt>
                <c:pt idx="4">
                  <c:v>6.2989082490869652E-3</c:v>
                </c:pt>
              </c:numCache>
            </c:numRef>
          </c:val>
          <c:smooth val="0"/>
          <c:extLst>
            <c:ext xmlns:c16="http://schemas.microsoft.com/office/drawing/2014/chart" uri="{C3380CC4-5D6E-409C-BE32-E72D297353CC}">
              <c16:uniqueId val="{00000011-5057-45E9-A925-F78F5816D9F7}"/>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1.0845648125757279E-2</c:v>
                </c:pt>
                <c:pt idx="1">
                  <c:v>8.620370461294824E-3</c:v>
                </c:pt>
                <c:pt idx="2">
                  <c:v>-1.8332084486740285E-2</c:v>
                </c:pt>
                <c:pt idx="3">
                  <c:v>-8.0398412400628505E-4</c:v>
                </c:pt>
                <c:pt idx="4">
                  <c:v>-3.2994997630586553E-4</c:v>
                </c:pt>
              </c:numCache>
            </c:numRef>
          </c:val>
          <c:smooth val="0"/>
          <c:extLst>
            <c:ext xmlns:c16="http://schemas.microsoft.com/office/drawing/2014/chart" uri="{C3380CC4-5D6E-409C-BE32-E72D297353CC}">
              <c16:uniqueId val="{00000012-5057-45E9-A925-F78F5816D9F7}"/>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4.2132154989822368E-3</c:v>
                </c:pt>
                <c:pt idx="1">
                  <c:v>1.0225027669623854E-2</c:v>
                </c:pt>
                <c:pt idx="2">
                  <c:v>-1.653608093766723E-2</c:v>
                </c:pt>
                <c:pt idx="3">
                  <c:v>5.6776335930943667E-3</c:v>
                </c:pt>
                <c:pt idx="4">
                  <c:v>-3.5797958240332273E-3</c:v>
                </c:pt>
              </c:numCache>
            </c:numRef>
          </c:val>
          <c:smooth val="0"/>
          <c:extLst>
            <c:ext xmlns:c16="http://schemas.microsoft.com/office/drawing/2014/chart" uri="{C3380CC4-5D6E-409C-BE32-E72D297353CC}">
              <c16:uniqueId val="{00000013-5057-45E9-A925-F78F5816D9F7}"/>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1.1593976013494212E-2</c:v>
                </c:pt>
                <c:pt idx="1">
                  <c:v>2.2557189156280355E-3</c:v>
                </c:pt>
                <c:pt idx="2">
                  <c:v>-1.2665071203185163E-2</c:v>
                </c:pt>
                <c:pt idx="3">
                  <c:v>7.1021254948895329E-3</c:v>
                </c:pt>
                <c:pt idx="4">
                  <c:v>-8.2867492208266169E-3</c:v>
                </c:pt>
              </c:numCache>
            </c:numRef>
          </c:val>
          <c:smooth val="0"/>
          <c:extLst>
            <c:ext xmlns:c16="http://schemas.microsoft.com/office/drawing/2014/chart" uri="{C3380CC4-5D6E-409C-BE32-E72D297353CC}">
              <c16:uniqueId val="{00000014-5057-45E9-A925-F78F5816D9F7}"/>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4.3026842010546629E-2</c:v>
                </c:pt>
                <c:pt idx="1">
                  <c:v>2.4971267892316185E-2</c:v>
                </c:pt>
                <c:pt idx="2">
                  <c:v>-4.5405226392939313E-2</c:v>
                </c:pt>
                <c:pt idx="3">
                  <c:v>-1.518588614964167E-2</c:v>
                </c:pt>
                <c:pt idx="4">
                  <c:v>-7.4069973602814976E-3</c:v>
                </c:pt>
              </c:numCache>
            </c:numRef>
          </c:val>
          <c:smooth val="0"/>
          <c:extLst>
            <c:ext xmlns:c16="http://schemas.microsoft.com/office/drawing/2014/chart" uri="{C3380CC4-5D6E-409C-BE32-E72D297353CC}">
              <c16:uniqueId val="{00000015-5057-45E9-A925-F78F5816D9F7}"/>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5.1374673484001043E-2</c:v>
                </c:pt>
                <c:pt idx="1">
                  <c:v>5.1693724804947827E-2</c:v>
                </c:pt>
                <c:pt idx="2">
                  <c:v>-5.4499765999021177E-2</c:v>
                </c:pt>
                <c:pt idx="3">
                  <c:v>-1.2249804511267004E-2</c:v>
                </c:pt>
                <c:pt idx="4">
                  <c:v>-3.6318827778660134E-2</c:v>
                </c:pt>
              </c:numCache>
            </c:numRef>
          </c:val>
          <c:smooth val="0"/>
          <c:extLst>
            <c:ext xmlns:c16="http://schemas.microsoft.com/office/drawing/2014/chart" uri="{C3380CC4-5D6E-409C-BE32-E72D297353CC}">
              <c16:uniqueId val="{00000016-5057-45E9-A925-F78F5816D9F7}"/>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8.6876497451450874E-2</c:v>
                </c:pt>
                <c:pt idx="1">
                  <c:v>5.1060787591574508E-2</c:v>
                </c:pt>
                <c:pt idx="2">
                  <c:v>-9.7168110267542573E-2</c:v>
                </c:pt>
                <c:pt idx="3">
                  <c:v>-7.0226163644614426E-3</c:v>
                </c:pt>
                <c:pt idx="4">
                  <c:v>-3.3746558411022143E-2</c:v>
                </c:pt>
              </c:numCache>
            </c:numRef>
          </c:val>
          <c:smooth val="0"/>
          <c:extLst>
            <c:ext xmlns:c16="http://schemas.microsoft.com/office/drawing/2014/chart" uri="{C3380CC4-5D6E-409C-BE32-E72D297353CC}">
              <c16:uniqueId val="{00000017-5057-45E9-A925-F78F5816D9F7}"/>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3.8365651775033038E-2</c:v>
                </c:pt>
                <c:pt idx="1">
                  <c:v>0.1127502214194247</c:v>
                </c:pt>
                <c:pt idx="2">
                  <c:v>-0.14200370606493362</c:v>
                </c:pt>
                <c:pt idx="3">
                  <c:v>-1.9549849916198792E-2</c:v>
                </c:pt>
                <c:pt idx="4">
                  <c:v>1.0437682786675229E-2</c:v>
                </c:pt>
              </c:numCache>
            </c:numRef>
          </c:val>
          <c:smooth val="0"/>
          <c:extLst>
            <c:ext xmlns:c16="http://schemas.microsoft.com/office/drawing/2014/chart" uri="{C3380CC4-5D6E-409C-BE32-E72D297353CC}">
              <c16:uniqueId val="{00000018-5057-45E9-A925-F78F5816D9F7}"/>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5.3123870313576571E-2</c:v>
                </c:pt>
                <c:pt idx="1">
                  <c:v>0.17644283881225076</c:v>
                </c:pt>
                <c:pt idx="2">
                  <c:v>-0.14510302633385863</c:v>
                </c:pt>
                <c:pt idx="3">
                  <c:v>-4.5380602921089808E-2</c:v>
                </c:pt>
                <c:pt idx="4">
                  <c:v>-3.908307987087789E-2</c:v>
                </c:pt>
              </c:numCache>
            </c:numRef>
          </c:val>
          <c:smooth val="0"/>
          <c:extLst>
            <c:ext xmlns:c16="http://schemas.microsoft.com/office/drawing/2014/chart" uri="{C3380CC4-5D6E-409C-BE32-E72D297353CC}">
              <c16:uniqueId val="{00000019-5057-45E9-A925-F78F5816D9F7}"/>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5.9094104091484523E-2</c:v>
                </c:pt>
                <c:pt idx="1">
                  <c:v>0.12992369408438109</c:v>
                </c:pt>
                <c:pt idx="2">
                  <c:v>-0.17829679347998806</c:v>
                </c:pt>
                <c:pt idx="3">
                  <c:v>8.3729219349282236E-3</c:v>
                </c:pt>
                <c:pt idx="4">
                  <c:v>-1.9093926630806002E-2</c:v>
                </c:pt>
              </c:numCache>
            </c:numRef>
          </c:val>
          <c:smooth val="0"/>
          <c:extLst>
            <c:ext xmlns:c16="http://schemas.microsoft.com/office/drawing/2014/chart" uri="{C3380CC4-5D6E-409C-BE32-E72D297353CC}">
              <c16:uniqueId val="{0000001A-5057-45E9-A925-F78F5816D9F7}"/>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0.12524819300417644</c:v>
                </c:pt>
                <c:pt idx="1">
                  <c:v>0</c:v>
                </c:pt>
                <c:pt idx="2">
                  <c:v>-0.10625466261559569</c:v>
                </c:pt>
                <c:pt idx="3">
                  <c:v>5.1761183629636331E-2</c:v>
                </c:pt>
                <c:pt idx="4">
                  <c:v>-7.0754714018217313E-2</c:v>
                </c:pt>
              </c:numCache>
            </c:numRef>
          </c:val>
          <c:smooth val="0"/>
          <c:extLst>
            <c:ext xmlns:c16="http://schemas.microsoft.com/office/drawing/2014/chart" uri="{C3380CC4-5D6E-409C-BE32-E72D297353CC}">
              <c16:uniqueId val="{0000001B-5057-45E9-A925-F78F5816D9F7}"/>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0.10978259841073745</c:v>
                </c:pt>
                <c:pt idx="1">
                  <c:v>0</c:v>
                </c:pt>
                <c:pt idx="2">
                  <c:v>-7.7334690328754063E-2</c:v>
                </c:pt>
                <c:pt idx="3">
                  <c:v>7.3328339414432619E-2</c:v>
                </c:pt>
                <c:pt idx="4">
                  <c:v>-0.10577624749641612</c:v>
                </c:pt>
              </c:numCache>
            </c:numRef>
          </c:val>
          <c:smooth val="0"/>
          <c:extLst>
            <c:ext xmlns:c16="http://schemas.microsoft.com/office/drawing/2014/chart" uri="{C3380CC4-5D6E-409C-BE32-E72D297353CC}">
              <c16:uniqueId val="{0000001C-5057-45E9-A925-F78F5816D9F7}"/>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-3.2310918739182348E-2</c:v>
                </c:pt>
                <c:pt idx="1">
                  <c:v>0.10977564277080565</c:v>
                </c:pt>
                <c:pt idx="2">
                  <c:v>-4.8182328854409984E-2</c:v>
                </c:pt>
                <c:pt idx="3">
                  <c:v>-2.9282395177213538E-2</c:v>
                </c:pt>
                <c:pt idx="4">
                  <c:v>0</c:v>
                </c:pt>
              </c:numCache>
            </c:numRef>
          </c:val>
          <c:smooth val="0"/>
          <c:extLst>
            <c:ext xmlns:c16="http://schemas.microsoft.com/office/drawing/2014/chart" uri="{C3380CC4-5D6E-409C-BE32-E72D297353CC}">
              <c16:uniqueId val="{0000001D-5057-45E9-A925-F78F5816D9F7}"/>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-1.4928969614786514E-2</c:v>
                </c:pt>
                <c:pt idx="1">
                  <c:v>7.9500451335133837E-2</c:v>
                </c:pt>
                <c:pt idx="2">
                  <c:v>2.9920196042243496E-2</c:v>
                </c:pt>
                <c:pt idx="3">
                  <c:v>-9.4491677762590709E-2</c:v>
                </c:pt>
                <c:pt idx="4">
                  <c:v>0</c:v>
                </c:pt>
              </c:numCache>
            </c:numRef>
          </c:val>
          <c:smooth val="0"/>
          <c:extLst>
            <c:ext xmlns:c16="http://schemas.microsoft.com/office/drawing/2014/chart" uri="{C3380CC4-5D6E-409C-BE32-E72D297353CC}">
              <c16:uniqueId val="{0000001E-5057-45E9-A925-F78F5816D9F7}"/>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55.824297191719552</c:v>
                </c:pt>
                <c:pt idx="1">
                  <c:v>93.819165044772774</c:v>
                </c:pt>
                <c:pt idx="2">
                  <c:v>145.93366328224386</c:v>
                </c:pt>
                <c:pt idx="3">
                  <c:v>202.96007381382276</c:v>
                </c:pt>
                <c:pt idx="4">
                  <c:v>274.02556560248922</c:v>
                </c:pt>
                <c:pt idx="5">
                  <c:v>354.72525507709457</c:v>
                </c:pt>
                <c:pt idx="6">
                  <c:v>439.16365330378312</c:v>
                </c:pt>
                <c:pt idx="7">
                  <c:v>533.40086228697442</c:v>
                </c:pt>
                <c:pt idx="8">
                  <c:v>636.84341796362787</c:v>
                </c:pt>
                <c:pt idx="9">
                  <c:v>742.4535962221895</c:v>
                </c:pt>
                <c:pt idx="10">
                  <c:v>846.52898028792617</c:v>
                </c:pt>
                <c:pt idx="11">
                  <c:v>958.16301083952055</c:v>
                </c:pt>
                <c:pt idx="12">
                  <c:v>1079.8099373992954</c:v>
                </c:pt>
                <c:pt idx="13">
                  <c:v>1198.8945291294419</c:v>
                </c:pt>
                <c:pt idx="14">
                  <c:v>1319.4997665049989</c:v>
                </c:pt>
                <c:pt idx="15">
                  <c:v>1450.8755093121931</c:v>
                </c:pt>
                <c:pt idx="16">
                  <c:v>1599.4503386671131</c:v>
                </c:pt>
                <c:pt idx="17">
                  <c:v>1771.7580624098962</c:v>
                </c:pt>
                <c:pt idx="18">
                  <c:v>1965.000734120249</c:v>
                </c:pt>
                <c:pt idx="19">
                  <c:v>2182.0701332973917</c:v>
                </c:pt>
                <c:pt idx="20">
                  <c:v>2427.4616684326684</c:v>
                </c:pt>
                <c:pt idx="21">
                  <c:v>2693.0727135542766</c:v>
                </c:pt>
                <c:pt idx="22">
                  <c:v>2973.606607704412</c:v>
                </c:pt>
                <c:pt idx="23">
                  <c:v>3253.0025662206435</c:v>
                </c:pt>
                <c:pt idx="24">
                  <c:v>3541.794787040978</c:v>
                </c:pt>
                <c:pt idx="25">
                  <c:v>3839.4268055058355</c:v>
                </c:pt>
                <c:pt idx="26">
                  <c:v>4200.0031012857889</c:v>
                </c:pt>
                <c:pt idx="27">
                  <c:v>9383.1992798272131</c:v>
                </c:pt>
                <c:pt idx="28">
                  <c:v>15895.418171796442</c:v>
                </c:pt>
                <c:pt idx="29">
                  <c:v>24999.999999999996</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32</c:v>
                </c:pt>
                <c:pt idx="101">
                  <c:v>21</c:v>
                </c:pt>
                <c:pt idx="102">
                  <c:v>29</c:v>
                </c:pt>
                <c:pt idx="103">
                  <c:v>35</c:v>
                </c:pt>
                <c:pt idx="104">
                  <c:v>25</c:v>
                </c:pt>
                <c:pt idx="105">
                  <c:v>36</c:v>
                </c:pt>
                <c:pt idx="106">
                  <c:v>24</c:v>
                </c:pt>
                <c:pt idx="107">
                  <c:v>25</c:v>
                </c:pt>
                <c:pt idx="108">
                  <c:v>32</c:v>
                </c:pt>
                <c:pt idx="109">
                  <c:v>20</c:v>
                </c:pt>
                <c:pt idx="110">
                  <c:v>22</c:v>
                </c:pt>
                <c:pt idx="111">
                  <c:v>22</c:v>
                </c:pt>
                <c:pt idx="112">
                  <c:v>34</c:v>
                </c:pt>
                <c:pt idx="113">
                  <c:v>31</c:v>
                </c:pt>
                <c:pt idx="114">
                  <c:v>31</c:v>
                </c:pt>
                <c:pt idx="115">
                  <c:v>25</c:v>
                </c:pt>
                <c:pt idx="116">
                  <c:v>31</c:v>
                </c:pt>
                <c:pt idx="117">
                  <c:v>15</c:v>
                </c:pt>
                <c:pt idx="118">
                  <c:v>15</c:v>
                </c:pt>
                <c:pt idx="119">
                  <c:v>21</c:v>
                </c:pt>
                <c:pt idx="120">
                  <c:v>20</c:v>
                </c:pt>
                <c:pt idx="121">
                  <c:v>24</c:v>
                </c:pt>
                <c:pt idx="122">
                  <c:v>23</c:v>
                </c:pt>
                <c:pt idx="123">
                  <c:v>18</c:v>
                </c:pt>
                <c:pt idx="124">
                  <c:v>21</c:v>
                </c:pt>
                <c:pt idx="125">
                  <c:v>25</c:v>
                </c:pt>
                <c:pt idx="126">
                  <c:v>29</c:v>
                </c:pt>
                <c:pt idx="127">
                  <c:v>23</c:v>
                </c:pt>
                <c:pt idx="128">
                  <c:v>24</c:v>
                </c:pt>
                <c:pt idx="129">
                  <c:v>21</c:v>
                </c:pt>
                <c:pt idx="130">
                  <c:v>31</c:v>
                </c:pt>
                <c:pt idx="131">
                  <c:v>34</c:v>
                </c:pt>
                <c:pt idx="132">
                  <c:v>29</c:v>
                </c:pt>
                <c:pt idx="133">
                  <c:v>28</c:v>
                </c:pt>
                <c:pt idx="134">
                  <c:v>33</c:v>
                </c:pt>
                <c:pt idx="135">
                  <c:v>31</c:v>
                </c:pt>
                <c:pt idx="136">
                  <c:v>21</c:v>
                </c:pt>
                <c:pt idx="137">
                  <c:v>23</c:v>
                </c:pt>
                <c:pt idx="138">
                  <c:v>35</c:v>
                </c:pt>
                <c:pt idx="139">
                  <c:v>25</c:v>
                </c:pt>
                <c:pt idx="140">
                  <c:v>24</c:v>
                </c:pt>
                <c:pt idx="141">
                  <c:v>38</c:v>
                </c:pt>
                <c:pt idx="142">
                  <c:v>30</c:v>
                </c:pt>
                <c:pt idx="143">
                  <c:v>30</c:v>
                </c:pt>
                <c:pt idx="144">
                  <c:v>35</c:v>
                </c:pt>
                <c:pt idx="145">
                  <c:v>24</c:v>
                </c:pt>
                <c:pt idx="146">
                  <c:v>29</c:v>
                </c:pt>
                <c:pt idx="147">
                  <c:v>33</c:v>
                </c:pt>
                <c:pt idx="148">
                  <c:v>31</c:v>
                </c:pt>
                <c:pt idx="149">
                  <c:v>22</c:v>
                </c:pt>
                <c:pt idx="150">
                  <c:v>27</c:v>
                </c:pt>
                <c:pt idx="151">
                  <c:v>33</c:v>
                </c:pt>
                <c:pt idx="152">
                  <c:v>26</c:v>
                </c:pt>
                <c:pt idx="153">
                  <c:v>25</c:v>
                </c:pt>
                <c:pt idx="154">
                  <c:v>31</c:v>
                </c:pt>
                <c:pt idx="155">
                  <c:v>42</c:v>
                </c:pt>
                <c:pt idx="156">
                  <c:v>31</c:v>
                </c:pt>
                <c:pt idx="157">
                  <c:v>38</c:v>
                </c:pt>
                <c:pt idx="158">
                  <c:v>36</c:v>
                </c:pt>
                <c:pt idx="159">
                  <c:v>41</c:v>
                </c:pt>
                <c:pt idx="160">
                  <c:v>45</c:v>
                </c:pt>
                <c:pt idx="161">
                  <c:v>34</c:v>
                </c:pt>
                <c:pt idx="162">
                  <c:v>41</c:v>
                </c:pt>
                <c:pt idx="163">
                  <c:v>46</c:v>
                </c:pt>
                <c:pt idx="164">
                  <c:v>56</c:v>
                </c:pt>
                <c:pt idx="165">
                  <c:v>52</c:v>
                </c:pt>
                <c:pt idx="166">
                  <c:v>58</c:v>
                </c:pt>
                <c:pt idx="167">
                  <c:v>48</c:v>
                </c:pt>
                <c:pt idx="168">
                  <c:v>65</c:v>
                </c:pt>
                <c:pt idx="169">
                  <c:v>65</c:v>
                </c:pt>
                <c:pt idx="170">
                  <c:v>65</c:v>
                </c:pt>
                <c:pt idx="171">
                  <c:v>86</c:v>
                </c:pt>
                <c:pt idx="172">
                  <c:v>89</c:v>
                </c:pt>
                <c:pt idx="173">
                  <c:v>71</c:v>
                </c:pt>
                <c:pt idx="174">
                  <c:v>78</c:v>
                </c:pt>
                <c:pt idx="175">
                  <c:v>99</c:v>
                </c:pt>
                <c:pt idx="176">
                  <c:v>95</c:v>
                </c:pt>
                <c:pt idx="177">
                  <c:v>114</c:v>
                </c:pt>
                <c:pt idx="178">
                  <c:v>148</c:v>
                </c:pt>
                <c:pt idx="179">
                  <c:v>140</c:v>
                </c:pt>
                <c:pt idx="180">
                  <c:v>125</c:v>
                </c:pt>
                <c:pt idx="181">
                  <c:v>160</c:v>
                </c:pt>
                <c:pt idx="182">
                  <c:v>174</c:v>
                </c:pt>
                <c:pt idx="183">
                  <c:v>213</c:v>
                </c:pt>
                <c:pt idx="184">
                  <c:v>188</c:v>
                </c:pt>
                <c:pt idx="185">
                  <c:v>189</c:v>
                </c:pt>
                <c:pt idx="186">
                  <c:v>223</c:v>
                </c:pt>
                <c:pt idx="187">
                  <c:v>241</c:v>
                </c:pt>
                <c:pt idx="188">
                  <c:v>232</c:v>
                </c:pt>
                <c:pt idx="189">
                  <c:v>271</c:v>
                </c:pt>
                <c:pt idx="190">
                  <c:v>274</c:v>
                </c:pt>
                <c:pt idx="191">
                  <c:v>338</c:v>
                </c:pt>
                <c:pt idx="192">
                  <c:v>324</c:v>
                </c:pt>
                <c:pt idx="193">
                  <c:v>365</c:v>
                </c:pt>
                <c:pt idx="194">
                  <c:v>385</c:v>
                </c:pt>
                <c:pt idx="195">
                  <c:v>395</c:v>
                </c:pt>
                <c:pt idx="196">
                  <c:v>478</c:v>
                </c:pt>
                <c:pt idx="197">
                  <c:v>459</c:v>
                </c:pt>
                <c:pt idx="198">
                  <c:v>518</c:v>
                </c:pt>
                <c:pt idx="199">
                  <c:v>543</c:v>
                </c:pt>
                <c:pt idx="200">
                  <c:v>546</c:v>
                </c:pt>
                <c:pt idx="201">
                  <c:v>590</c:v>
                </c:pt>
                <c:pt idx="202">
                  <c:v>647</c:v>
                </c:pt>
                <c:pt idx="203">
                  <c:v>618</c:v>
                </c:pt>
                <c:pt idx="204">
                  <c:v>670</c:v>
                </c:pt>
                <c:pt idx="205">
                  <c:v>696</c:v>
                </c:pt>
                <c:pt idx="206">
                  <c:v>754</c:v>
                </c:pt>
                <c:pt idx="207">
                  <c:v>754</c:v>
                </c:pt>
                <c:pt idx="208">
                  <c:v>728</c:v>
                </c:pt>
                <c:pt idx="209">
                  <c:v>742</c:v>
                </c:pt>
                <c:pt idx="210">
                  <c:v>810</c:v>
                </c:pt>
                <c:pt idx="211">
                  <c:v>834</c:v>
                </c:pt>
                <c:pt idx="212">
                  <c:v>780</c:v>
                </c:pt>
                <c:pt idx="213">
                  <c:v>859</c:v>
                </c:pt>
                <c:pt idx="214">
                  <c:v>835</c:v>
                </c:pt>
                <c:pt idx="215">
                  <c:v>864</c:v>
                </c:pt>
                <c:pt idx="216">
                  <c:v>861</c:v>
                </c:pt>
                <c:pt idx="217">
                  <c:v>893</c:v>
                </c:pt>
                <c:pt idx="218">
                  <c:v>853</c:v>
                </c:pt>
                <c:pt idx="219">
                  <c:v>850</c:v>
                </c:pt>
                <c:pt idx="220">
                  <c:v>863</c:v>
                </c:pt>
                <c:pt idx="221">
                  <c:v>798</c:v>
                </c:pt>
                <c:pt idx="222">
                  <c:v>817</c:v>
                </c:pt>
                <c:pt idx="223">
                  <c:v>849</c:v>
                </c:pt>
                <c:pt idx="224">
                  <c:v>871</c:v>
                </c:pt>
                <c:pt idx="225">
                  <c:v>793</c:v>
                </c:pt>
                <c:pt idx="226">
                  <c:v>821</c:v>
                </c:pt>
                <c:pt idx="227">
                  <c:v>794</c:v>
                </c:pt>
                <c:pt idx="228">
                  <c:v>709</c:v>
                </c:pt>
                <c:pt idx="229">
                  <c:v>757</c:v>
                </c:pt>
                <c:pt idx="230">
                  <c:v>723</c:v>
                </c:pt>
                <c:pt idx="231">
                  <c:v>647</c:v>
                </c:pt>
                <c:pt idx="232">
                  <c:v>720</c:v>
                </c:pt>
                <c:pt idx="233">
                  <c:v>631</c:v>
                </c:pt>
                <c:pt idx="234">
                  <c:v>627</c:v>
                </c:pt>
                <c:pt idx="235">
                  <c:v>626</c:v>
                </c:pt>
                <c:pt idx="236">
                  <c:v>519</c:v>
                </c:pt>
                <c:pt idx="237">
                  <c:v>514</c:v>
                </c:pt>
                <c:pt idx="238">
                  <c:v>536</c:v>
                </c:pt>
                <c:pt idx="239">
                  <c:v>506</c:v>
                </c:pt>
                <c:pt idx="240">
                  <c:v>516</c:v>
                </c:pt>
                <c:pt idx="241">
                  <c:v>475</c:v>
                </c:pt>
                <c:pt idx="242">
                  <c:v>402</c:v>
                </c:pt>
                <c:pt idx="243">
                  <c:v>413</c:v>
                </c:pt>
                <c:pt idx="244">
                  <c:v>389</c:v>
                </c:pt>
                <c:pt idx="245">
                  <c:v>393</c:v>
                </c:pt>
                <c:pt idx="246">
                  <c:v>324</c:v>
                </c:pt>
                <c:pt idx="247">
                  <c:v>355</c:v>
                </c:pt>
                <c:pt idx="248">
                  <c:v>328</c:v>
                </c:pt>
                <c:pt idx="249">
                  <c:v>296</c:v>
                </c:pt>
                <c:pt idx="250">
                  <c:v>270</c:v>
                </c:pt>
                <c:pt idx="251">
                  <c:v>215</c:v>
                </c:pt>
                <c:pt idx="252">
                  <c:v>236</c:v>
                </c:pt>
                <c:pt idx="253">
                  <c:v>218</c:v>
                </c:pt>
                <c:pt idx="254">
                  <c:v>240</c:v>
                </c:pt>
                <c:pt idx="255">
                  <c:v>179</c:v>
                </c:pt>
                <c:pt idx="256">
                  <c:v>203</c:v>
                </c:pt>
                <c:pt idx="257">
                  <c:v>157</c:v>
                </c:pt>
                <c:pt idx="258">
                  <c:v>162</c:v>
                </c:pt>
                <c:pt idx="259">
                  <c:v>156</c:v>
                </c:pt>
                <c:pt idx="260">
                  <c:v>146</c:v>
                </c:pt>
                <c:pt idx="261">
                  <c:v>134</c:v>
                </c:pt>
                <c:pt idx="262">
                  <c:v>124</c:v>
                </c:pt>
                <c:pt idx="263">
                  <c:v>112</c:v>
                </c:pt>
                <c:pt idx="264">
                  <c:v>105</c:v>
                </c:pt>
                <c:pt idx="265">
                  <c:v>104</c:v>
                </c:pt>
                <c:pt idx="266">
                  <c:v>89</c:v>
                </c:pt>
                <c:pt idx="267">
                  <c:v>84</c:v>
                </c:pt>
                <c:pt idx="268">
                  <c:v>69</c:v>
                </c:pt>
                <c:pt idx="269">
                  <c:v>73</c:v>
                </c:pt>
                <c:pt idx="270">
                  <c:v>69</c:v>
                </c:pt>
                <c:pt idx="271">
                  <c:v>59</c:v>
                </c:pt>
                <c:pt idx="272">
                  <c:v>58</c:v>
                </c:pt>
                <c:pt idx="273">
                  <c:v>64</c:v>
                </c:pt>
                <c:pt idx="274">
                  <c:v>48</c:v>
                </c:pt>
                <c:pt idx="275">
                  <c:v>37</c:v>
                </c:pt>
                <c:pt idx="276">
                  <c:v>49</c:v>
                </c:pt>
                <c:pt idx="277">
                  <c:v>29</c:v>
                </c:pt>
                <c:pt idx="278">
                  <c:v>34</c:v>
                </c:pt>
                <c:pt idx="279">
                  <c:v>25</c:v>
                </c:pt>
                <c:pt idx="280">
                  <c:v>22</c:v>
                </c:pt>
                <c:pt idx="281">
                  <c:v>28</c:v>
                </c:pt>
                <c:pt idx="282">
                  <c:v>20</c:v>
                </c:pt>
                <c:pt idx="283">
                  <c:v>27</c:v>
                </c:pt>
                <c:pt idx="284">
                  <c:v>24</c:v>
                </c:pt>
                <c:pt idx="285">
                  <c:v>22</c:v>
                </c:pt>
                <c:pt idx="286">
                  <c:v>12</c:v>
                </c:pt>
                <c:pt idx="287">
                  <c:v>12</c:v>
                </c:pt>
                <c:pt idx="288">
                  <c:v>14</c:v>
                </c:pt>
                <c:pt idx="289">
                  <c:v>14</c:v>
                </c:pt>
                <c:pt idx="290">
                  <c:v>15</c:v>
                </c:pt>
                <c:pt idx="291">
                  <c:v>7</c:v>
                </c:pt>
                <c:pt idx="292">
                  <c:v>11</c:v>
                </c:pt>
                <c:pt idx="293">
                  <c:v>7</c:v>
                </c:pt>
                <c:pt idx="294">
                  <c:v>11</c:v>
                </c:pt>
                <c:pt idx="295">
                  <c:v>5</c:v>
                </c:pt>
                <c:pt idx="296">
                  <c:v>11</c:v>
                </c:pt>
                <c:pt idx="297">
                  <c:v>13</c:v>
                </c:pt>
                <c:pt idx="298">
                  <c:v>6</c:v>
                </c:pt>
                <c:pt idx="299">
                  <c:v>11</c:v>
                </c:pt>
                <c:pt idx="300">
                  <c:v>9</c:v>
                </c:pt>
                <c:pt idx="301">
                  <c:v>6</c:v>
                </c:pt>
                <c:pt idx="302">
                  <c:v>7</c:v>
                </c:pt>
                <c:pt idx="303">
                  <c:v>7</c:v>
                </c:pt>
                <c:pt idx="304">
                  <c:v>6</c:v>
                </c:pt>
                <c:pt idx="305">
                  <c:v>2</c:v>
                </c:pt>
                <c:pt idx="306">
                  <c:v>6</c:v>
                </c:pt>
                <c:pt idx="307">
                  <c:v>0</c:v>
                </c:pt>
                <c:pt idx="308">
                  <c:v>3</c:v>
                </c:pt>
                <c:pt idx="309">
                  <c:v>6</c:v>
                </c:pt>
                <c:pt idx="310">
                  <c:v>4</c:v>
                </c:pt>
                <c:pt idx="311">
                  <c:v>2</c:v>
                </c:pt>
                <c:pt idx="312">
                  <c:v>3</c:v>
                </c:pt>
                <c:pt idx="313">
                  <c:v>2</c:v>
                </c:pt>
                <c:pt idx="314">
                  <c:v>4</c:v>
                </c:pt>
                <c:pt idx="315">
                  <c:v>5</c:v>
                </c:pt>
                <c:pt idx="316">
                  <c:v>5</c:v>
                </c:pt>
                <c:pt idx="317">
                  <c:v>2</c:v>
                </c:pt>
                <c:pt idx="318">
                  <c:v>6</c:v>
                </c:pt>
                <c:pt idx="319">
                  <c:v>1</c:v>
                </c:pt>
                <c:pt idx="320">
                  <c:v>1</c:v>
                </c:pt>
                <c:pt idx="321">
                  <c:v>4</c:v>
                </c:pt>
                <c:pt idx="322">
                  <c:v>6</c:v>
                </c:pt>
                <c:pt idx="323">
                  <c:v>4</c:v>
                </c:pt>
                <c:pt idx="324">
                  <c:v>4</c:v>
                </c:pt>
                <c:pt idx="325">
                  <c:v>4</c:v>
                </c:pt>
                <c:pt idx="326">
                  <c:v>3</c:v>
                </c:pt>
                <c:pt idx="327">
                  <c:v>1</c:v>
                </c:pt>
                <c:pt idx="328">
                  <c:v>4</c:v>
                </c:pt>
                <c:pt idx="329">
                  <c:v>3</c:v>
                </c:pt>
                <c:pt idx="330">
                  <c:v>2</c:v>
                </c:pt>
                <c:pt idx="331">
                  <c:v>3</c:v>
                </c:pt>
                <c:pt idx="332">
                  <c:v>5</c:v>
                </c:pt>
                <c:pt idx="333">
                  <c:v>5</c:v>
                </c:pt>
                <c:pt idx="334">
                  <c:v>2</c:v>
                </c:pt>
                <c:pt idx="335">
                  <c:v>2</c:v>
                </c:pt>
                <c:pt idx="336">
                  <c:v>2</c:v>
                </c:pt>
                <c:pt idx="337">
                  <c:v>3</c:v>
                </c:pt>
                <c:pt idx="338">
                  <c:v>4</c:v>
                </c:pt>
                <c:pt idx="339">
                  <c:v>4</c:v>
                </c:pt>
                <c:pt idx="340">
                  <c:v>5</c:v>
                </c:pt>
                <c:pt idx="341">
                  <c:v>3</c:v>
                </c:pt>
                <c:pt idx="342">
                  <c:v>3</c:v>
                </c:pt>
                <c:pt idx="343">
                  <c:v>6</c:v>
                </c:pt>
                <c:pt idx="344">
                  <c:v>2</c:v>
                </c:pt>
                <c:pt idx="345">
                  <c:v>6</c:v>
                </c:pt>
                <c:pt idx="346">
                  <c:v>3</c:v>
                </c:pt>
                <c:pt idx="347">
                  <c:v>7</c:v>
                </c:pt>
                <c:pt idx="348">
                  <c:v>4</c:v>
                </c:pt>
                <c:pt idx="349">
                  <c:v>2</c:v>
                </c:pt>
                <c:pt idx="350">
                  <c:v>4</c:v>
                </c:pt>
                <c:pt idx="351">
                  <c:v>4</c:v>
                </c:pt>
                <c:pt idx="352">
                  <c:v>5</c:v>
                </c:pt>
                <c:pt idx="353">
                  <c:v>8</c:v>
                </c:pt>
                <c:pt idx="354">
                  <c:v>5</c:v>
                </c:pt>
                <c:pt idx="355">
                  <c:v>1</c:v>
                </c:pt>
                <c:pt idx="356">
                  <c:v>1</c:v>
                </c:pt>
                <c:pt idx="357">
                  <c:v>5</c:v>
                </c:pt>
                <c:pt idx="358">
                  <c:v>3</c:v>
                </c:pt>
                <c:pt idx="359">
                  <c:v>5</c:v>
                </c:pt>
                <c:pt idx="360">
                  <c:v>5</c:v>
                </c:pt>
                <c:pt idx="361">
                  <c:v>1</c:v>
                </c:pt>
                <c:pt idx="362">
                  <c:v>3</c:v>
                </c:pt>
                <c:pt idx="363">
                  <c:v>3</c:v>
                </c:pt>
                <c:pt idx="364">
                  <c:v>1</c:v>
                </c:pt>
                <c:pt idx="365">
                  <c:v>7</c:v>
                </c:pt>
                <c:pt idx="366">
                  <c:v>2</c:v>
                </c:pt>
                <c:pt idx="367">
                  <c:v>2</c:v>
                </c:pt>
                <c:pt idx="368">
                  <c:v>7</c:v>
                </c:pt>
                <c:pt idx="369">
                  <c:v>4</c:v>
                </c:pt>
                <c:pt idx="370">
                  <c:v>5</c:v>
                </c:pt>
                <c:pt idx="371">
                  <c:v>4</c:v>
                </c:pt>
                <c:pt idx="372">
                  <c:v>3</c:v>
                </c:pt>
                <c:pt idx="373">
                  <c:v>5</c:v>
                </c:pt>
                <c:pt idx="374">
                  <c:v>3</c:v>
                </c:pt>
                <c:pt idx="375">
                  <c:v>0</c:v>
                </c:pt>
                <c:pt idx="376">
                  <c:v>5</c:v>
                </c:pt>
                <c:pt idx="377">
                  <c:v>6</c:v>
                </c:pt>
                <c:pt idx="378">
                  <c:v>5</c:v>
                </c:pt>
                <c:pt idx="379">
                  <c:v>4</c:v>
                </c:pt>
                <c:pt idx="380">
                  <c:v>3</c:v>
                </c:pt>
                <c:pt idx="381">
                  <c:v>3</c:v>
                </c:pt>
                <c:pt idx="382">
                  <c:v>3</c:v>
                </c:pt>
                <c:pt idx="383">
                  <c:v>5</c:v>
                </c:pt>
                <c:pt idx="384">
                  <c:v>8</c:v>
                </c:pt>
                <c:pt idx="385">
                  <c:v>7</c:v>
                </c:pt>
                <c:pt idx="386">
                  <c:v>4</c:v>
                </c:pt>
                <c:pt idx="387">
                  <c:v>4</c:v>
                </c:pt>
                <c:pt idx="388">
                  <c:v>7</c:v>
                </c:pt>
                <c:pt idx="389">
                  <c:v>4</c:v>
                </c:pt>
                <c:pt idx="390">
                  <c:v>5</c:v>
                </c:pt>
                <c:pt idx="391">
                  <c:v>5</c:v>
                </c:pt>
                <c:pt idx="392">
                  <c:v>2</c:v>
                </c:pt>
                <c:pt idx="393">
                  <c:v>2</c:v>
                </c:pt>
                <c:pt idx="394">
                  <c:v>1</c:v>
                </c:pt>
                <c:pt idx="395">
                  <c:v>5</c:v>
                </c:pt>
                <c:pt idx="396">
                  <c:v>7</c:v>
                </c:pt>
                <c:pt idx="397">
                  <c:v>3</c:v>
                </c:pt>
                <c:pt idx="398">
                  <c:v>6</c:v>
                </c:pt>
                <c:pt idx="399">
                  <c:v>7</c:v>
                </c:pt>
                <c:pt idx="400">
                  <c:v>5</c:v>
                </c:pt>
                <c:pt idx="401">
                  <c:v>5</c:v>
                </c:pt>
                <c:pt idx="402">
                  <c:v>3</c:v>
                </c:pt>
                <c:pt idx="403">
                  <c:v>4</c:v>
                </c:pt>
                <c:pt idx="404">
                  <c:v>2</c:v>
                </c:pt>
                <c:pt idx="405">
                  <c:v>2</c:v>
                </c:pt>
                <c:pt idx="406">
                  <c:v>4</c:v>
                </c:pt>
                <c:pt idx="407">
                  <c:v>8</c:v>
                </c:pt>
                <c:pt idx="408">
                  <c:v>7</c:v>
                </c:pt>
                <c:pt idx="409">
                  <c:v>5</c:v>
                </c:pt>
                <c:pt idx="410">
                  <c:v>3</c:v>
                </c:pt>
                <c:pt idx="411">
                  <c:v>4</c:v>
                </c:pt>
                <c:pt idx="412">
                  <c:v>6</c:v>
                </c:pt>
                <c:pt idx="413">
                  <c:v>6</c:v>
                </c:pt>
                <c:pt idx="414">
                  <c:v>5</c:v>
                </c:pt>
                <c:pt idx="415">
                  <c:v>3</c:v>
                </c:pt>
                <c:pt idx="416">
                  <c:v>6</c:v>
                </c:pt>
                <c:pt idx="417">
                  <c:v>7</c:v>
                </c:pt>
                <c:pt idx="418">
                  <c:v>6</c:v>
                </c:pt>
                <c:pt idx="419">
                  <c:v>6</c:v>
                </c:pt>
                <c:pt idx="420">
                  <c:v>1</c:v>
                </c:pt>
                <c:pt idx="421">
                  <c:v>3</c:v>
                </c:pt>
                <c:pt idx="422">
                  <c:v>6</c:v>
                </c:pt>
                <c:pt idx="423">
                  <c:v>8</c:v>
                </c:pt>
                <c:pt idx="424">
                  <c:v>4</c:v>
                </c:pt>
                <c:pt idx="425">
                  <c:v>6</c:v>
                </c:pt>
                <c:pt idx="426">
                  <c:v>5</c:v>
                </c:pt>
                <c:pt idx="427">
                  <c:v>8</c:v>
                </c:pt>
                <c:pt idx="428">
                  <c:v>1</c:v>
                </c:pt>
                <c:pt idx="429">
                  <c:v>5</c:v>
                </c:pt>
                <c:pt idx="430">
                  <c:v>6</c:v>
                </c:pt>
                <c:pt idx="431">
                  <c:v>5</c:v>
                </c:pt>
                <c:pt idx="432">
                  <c:v>3</c:v>
                </c:pt>
                <c:pt idx="433">
                  <c:v>3</c:v>
                </c:pt>
                <c:pt idx="434">
                  <c:v>5</c:v>
                </c:pt>
                <c:pt idx="435">
                  <c:v>7</c:v>
                </c:pt>
                <c:pt idx="436">
                  <c:v>8</c:v>
                </c:pt>
                <c:pt idx="437">
                  <c:v>2</c:v>
                </c:pt>
                <c:pt idx="438">
                  <c:v>4</c:v>
                </c:pt>
                <c:pt idx="439">
                  <c:v>2</c:v>
                </c:pt>
                <c:pt idx="440">
                  <c:v>6</c:v>
                </c:pt>
                <c:pt idx="441">
                  <c:v>4</c:v>
                </c:pt>
                <c:pt idx="442">
                  <c:v>7</c:v>
                </c:pt>
                <c:pt idx="443">
                  <c:v>5</c:v>
                </c:pt>
                <c:pt idx="444">
                  <c:v>5</c:v>
                </c:pt>
                <c:pt idx="445">
                  <c:v>4</c:v>
                </c:pt>
                <c:pt idx="446">
                  <c:v>4</c:v>
                </c:pt>
                <c:pt idx="447">
                  <c:v>8</c:v>
                </c:pt>
                <c:pt idx="448">
                  <c:v>3</c:v>
                </c:pt>
                <c:pt idx="449">
                  <c:v>2</c:v>
                </c:pt>
                <c:pt idx="450">
                  <c:v>6</c:v>
                </c:pt>
                <c:pt idx="451">
                  <c:v>7</c:v>
                </c:pt>
                <c:pt idx="452">
                  <c:v>0</c:v>
                </c:pt>
                <c:pt idx="453">
                  <c:v>3</c:v>
                </c:pt>
                <c:pt idx="454">
                  <c:v>2</c:v>
                </c:pt>
                <c:pt idx="455">
                  <c:v>1</c:v>
                </c:pt>
                <c:pt idx="456">
                  <c:v>2</c:v>
                </c:pt>
                <c:pt idx="457">
                  <c:v>5</c:v>
                </c:pt>
                <c:pt idx="458">
                  <c:v>2</c:v>
                </c:pt>
                <c:pt idx="459">
                  <c:v>3</c:v>
                </c:pt>
                <c:pt idx="460">
                  <c:v>3</c:v>
                </c:pt>
                <c:pt idx="461">
                  <c:v>2</c:v>
                </c:pt>
                <c:pt idx="462">
                  <c:v>2</c:v>
                </c:pt>
                <c:pt idx="463">
                  <c:v>5</c:v>
                </c:pt>
                <c:pt idx="464">
                  <c:v>3</c:v>
                </c:pt>
                <c:pt idx="465">
                  <c:v>2</c:v>
                </c:pt>
                <c:pt idx="466">
                  <c:v>6</c:v>
                </c:pt>
                <c:pt idx="467">
                  <c:v>1</c:v>
                </c:pt>
                <c:pt idx="468">
                  <c:v>3</c:v>
                </c:pt>
                <c:pt idx="469">
                  <c:v>4</c:v>
                </c:pt>
                <c:pt idx="470">
                  <c:v>6</c:v>
                </c:pt>
                <c:pt idx="471">
                  <c:v>2</c:v>
                </c:pt>
                <c:pt idx="472">
                  <c:v>2</c:v>
                </c:pt>
                <c:pt idx="473">
                  <c:v>4</c:v>
                </c:pt>
                <c:pt idx="474">
                  <c:v>0</c:v>
                </c:pt>
                <c:pt idx="475">
                  <c:v>3</c:v>
                </c:pt>
                <c:pt idx="476">
                  <c:v>0</c:v>
                </c:pt>
                <c:pt idx="477">
                  <c:v>1</c:v>
                </c:pt>
                <c:pt idx="478">
                  <c:v>1</c:v>
                </c:pt>
                <c:pt idx="479">
                  <c:v>1</c:v>
                </c:pt>
                <c:pt idx="480">
                  <c:v>1</c:v>
                </c:pt>
                <c:pt idx="481">
                  <c:v>1</c:v>
                </c:pt>
                <c:pt idx="482">
                  <c:v>0</c:v>
                </c:pt>
                <c:pt idx="483">
                  <c:v>2</c:v>
                </c:pt>
                <c:pt idx="484">
                  <c:v>1</c:v>
                </c:pt>
                <c:pt idx="485">
                  <c:v>2</c:v>
                </c:pt>
                <c:pt idx="486">
                  <c:v>1</c:v>
                </c:pt>
                <c:pt idx="487">
                  <c:v>1</c:v>
                </c:pt>
                <c:pt idx="488">
                  <c:v>1</c:v>
                </c:pt>
                <c:pt idx="489">
                  <c:v>0</c:v>
                </c:pt>
                <c:pt idx="490">
                  <c:v>1</c:v>
                </c:pt>
                <c:pt idx="491">
                  <c:v>0</c:v>
                </c:pt>
                <c:pt idx="492">
                  <c:v>1</c:v>
                </c:pt>
                <c:pt idx="493">
                  <c:v>1</c:v>
                </c:pt>
                <c:pt idx="494">
                  <c:v>2</c:v>
                </c:pt>
                <c:pt idx="495">
                  <c:v>1</c:v>
                </c:pt>
                <c:pt idx="496">
                  <c:v>0</c:v>
                </c:pt>
                <c:pt idx="497">
                  <c:v>2</c:v>
                </c:pt>
                <c:pt idx="498">
                  <c:v>1</c:v>
                </c:pt>
                <c:pt idx="499">
                  <c:v>2</c:v>
                </c:pt>
                <c:pt idx="500">
                  <c:v>1</c:v>
                </c:pt>
                <c:pt idx="501">
                  <c:v>0</c:v>
                </c:pt>
                <c:pt idx="502">
                  <c:v>0</c:v>
                </c:pt>
                <c:pt idx="503">
                  <c:v>0</c:v>
                </c:pt>
                <c:pt idx="504">
                  <c:v>2</c:v>
                </c:pt>
                <c:pt idx="505">
                  <c:v>1</c:v>
                </c:pt>
                <c:pt idx="506">
                  <c:v>0</c:v>
                </c:pt>
                <c:pt idx="507">
                  <c:v>2</c:v>
                </c:pt>
                <c:pt idx="508">
                  <c:v>1</c:v>
                </c:pt>
                <c:pt idx="509">
                  <c:v>0</c:v>
                </c:pt>
                <c:pt idx="510">
                  <c:v>1</c:v>
                </c:pt>
                <c:pt idx="511">
                  <c:v>0</c:v>
                </c:pt>
                <c:pt idx="512">
                  <c:v>1</c:v>
                </c:pt>
                <c:pt idx="513">
                  <c:v>0</c:v>
                </c:pt>
                <c:pt idx="514">
                  <c:v>0</c:v>
                </c:pt>
                <c:pt idx="515">
                  <c:v>0</c:v>
                </c:pt>
                <c:pt idx="516">
                  <c:v>0</c:v>
                </c:pt>
                <c:pt idx="517">
                  <c:v>0</c:v>
                </c:pt>
                <c:pt idx="518">
                  <c:v>0</c:v>
                </c:pt>
                <c:pt idx="519">
                  <c:v>0</c:v>
                </c:pt>
                <c:pt idx="520">
                  <c:v>0</c:v>
                </c:pt>
                <c:pt idx="521">
                  <c:v>0</c:v>
                </c:pt>
                <c:pt idx="522">
                  <c:v>0</c:v>
                </c:pt>
                <c:pt idx="523">
                  <c:v>1</c:v>
                </c:pt>
                <c:pt idx="524">
                  <c:v>0</c:v>
                </c:pt>
                <c:pt idx="525">
                  <c:v>0</c:v>
                </c:pt>
                <c:pt idx="526">
                  <c:v>0</c:v>
                </c:pt>
                <c:pt idx="527">
                  <c:v>0</c:v>
                </c:pt>
                <c:pt idx="528">
                  <c:v>2</c:v>
                </c:pt>
                <c:pt idx="529">
                  <c:v>0</c:v>
                </c:pt>
                <c:pt idx="530">
                  <c:v>1</c:v>
                </c:pt>
                <c:pt idx="531">
                  <c:v>0</c:v>
                </c:pt>
                <c:pt idx="532">
                  <c:v>1</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1</c:v>
                </c:pt>
                <c:pt idx="549">
                  <c:v>0</c:v>
                </c:pt>
                <c:pt idx="550">
                  <c:v>0</c:v>
                </c:pt>
                <c:pt idx="551">
                  <c:v>0</c:v>
                </c:pt>
                <c:pt idx="552">
                  <c:v>0</c:v>
                </c:pt>
                <c:pt idx="553">
                  <c:v>0</c:v>
                </c:pt>
                <c:pt idx="554">
                  <c:v>0</c:v>
                </c:pt>
                <c:pt idx="555">
                  <c:v>0</c:v>
                </c:pt>
                <c:pt idx="556">
                  <c:v>1</c:v>
                </c:pt>
                <c:pt idx="557">
                  <c:v>0</c:v>
                </c:pt>
                <c:pt idx="558">
                  <c:v>0</c:v>
                </c:pt>
                <c:pt idx="559">
                  <c:v>0</c:v>
                </c:pt>
                <c:pt idx="560">
                  <c:v>1</c:v>
                </c:pt>
                <c:pt idx="561">
                  <c:v>0</c:v>
                </c:pt>
                <c:pt idx="562">
                  <c:v>0</c:v>
                </c:pt>
                <c:pt idx="563">
                  <c:v>0</c:v>
                </c:pt>
                <c:pt idx="564">
                  <c:v>0</c:v>
                </c:pt>
                <c:pt idx="565">
                  <c:v>0</c:v>
                </c:pt>
                <c:pt idx="566">
                  <c:v>0</c:v>
                </c:pt>
                <c:pt idx="567">
                  <c:v>0</c:v>
                </c:pt>
                <c:pt idx="568">
                  <c:v>0</c:v>
                </c:pt>
                <c:pt idx="569">
                  <c:v>0</c:v>
                </c:pt>
                <c:pt idx="570">
                  <c:v>0</c:v>
                </c:pt>
                <c:pt idx="571">
                  <c:v>1</c:v>
                </c:pt>
                <c:pt idx="572">
                  <c:v>0</c:v>
                </c:pt>
                <c:pt idx="573">
                  <c:v>1</c:v>
                </c:pt>
                <c:pt idx="574">
                  <c:v>1</c:v>
                </c:pt>
                <c:pt idx="575">
                  <c:v>0</c:v>
                </c:pt>
                <c:pt idx="576">
                  <c:v>0</c:v>
                </c:pt>
                <c:pt idx="577">
                  <c:v>0</c:v>
                </c:pt>
                <c:pt idx="578">
                  <c:v>0</c:v>
                </c:pt>
                <c:pt idx="579">
                  <c:v>1</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1</c:v>
                </c:pt>
                <c:pt idx="600">
                  <c:v>0</c:v>
                </c:pt>
                <c:pt idx="601">
                  <c:v>0</c:v>
                </c:pt>
                <c:pt idx="602">
                  <c:v>0</c:v>
                </c:pt>
                <c:pt idx="603">
                  <c:v>0</c:v>
                </c:pt>
                <c:pt idx="604">
                  <c:v>0</c:v>
                </c:pt>
                <c:pt idx="605">
                  <c:v>0</c:v>
                </c:pt>
                <c:pt idx="606">
                  <c:v>1</c:v>
                </c:pt>
                <c:pt idx="607">
                  <c:v>0</c:v>
                </c:pt>
                <c:pt idx="608">
                  <c:v>0</c:v>
                </c:pt>
                <c:pt idx="609">
                  <c:v>0</c:v>
                </c:pt>
                <c:pt idx="610">
                  <c:v>1</c:v>
                </c:pt>
                <c:pt idx="611">
                  <c:v>1</c:v>
                </c:pt>
                <c:pt idx="612">
                  <c:v>0</c:v>
                </c:pt>
                <c:pt idx="613">
                  <c:v>0</c:v>
                </c:pt>
                <c:pt idx="614">
                  <c:v>0</c:v>
                </c:pt>
                <c:pt idx="615">
                  <c:v>0</c:v>
                </c:pt>
                <c:pt idx="616">
                  <c:v>0</c:v>
                </c:pt>
                <c:pt idx="617">
                  <c:v>1</c:v>
                </c:pt>
                <c:pt idx="618">
                  <c:v>0</c:v>
                </c:pt>
                <c:pt idx="619">
                  <c:v>0</c:v>
                </c:pt>
                <c:pt idx="620">
                  <c:v>0</c:v>
                </c:pt>
                <c:pt idx="621">
                  <c:v>0</c:v>
                </c:pt>
                <c:pt idx="622">
                  <c:v>0</c:v>
                </c:pt>
                <c:pt idx="623">
                  <c:v>0</c:v>
                </c:pt>
                <c:pt idx="624">
                  <c:v>0</c:v>
                </c:pt>
                <c:pt idx="625">
                  <c:v>0</c:v>
                </c:pt>
                <c:pt idx="626">
                  <c:v>0</c:v>
                </c:pt>
                <c:pt idx="627">
                  <c:v>1</c:v>
                </c:pt>
                <c:pt idx="628">
                  <c:v>1</c:v>
                </c:pt>
                <c:pt idx="629">
                  <c:v>0</c:v>
                </c:pt>
                <c:pt idx="630">
                  <c:v>0</c:v>
                </c:pt>
                <c:pt idx="631">
                  <c:v>0</c:v>
                </c:pt>
                <c:pt idx="632">
                  <c:v>0</c:v>
                </c:pt>
                <c:pt idx="633">
                  <c:v>0</c:v>
                </c:pt>
                <c:pt idx="634">
                  <c:v>1</c:v>
                </c:pt>
                <c:pt idx="635">
                  <c:v>0</c:v>
                </c:pt>
                <c:pt idx="636">
                  <c:v>0</c:v>
                </c:pt>
                <c:pt idx="637">
                  <c:v>0</c:v>
                </c:pt>
                <c:pt idx="638">
                  <c:v>1</c:v>
                </c:pt>
                <c:pt idx="639">
                  <c:v>0</c:v>
                </c:pt>
                <c:pt idx="640">
                  <c:v>0</c:v>
                </c:pt>
                <c:pt idx="641">
                  <c:v>0</c:v>
                </c:pt>
                <c:pt idx="642">
                  <c:v>1</c:v>
                </c:pt>
                <c:pt idx="643">
                  <c:v>0</c:v>
                </c:pt>
                <c:pt idx="644">
                  <c:v>0</c:v>
                </c:pt>
                <c:pt idx="645">
                  <c:v>0</c:v>
                </c:pt>
                <c:pt idx="646">
                  <c:v>0</c:v>
                </c:pt>
                <c:pt idx="647">
                  <c:v>0</c:v>
                </c:pt>
                <c:pt idx="648">
                  <c:v>0</c:v>
                </c:pt>
                <c:pt idx="649">
                  <c:v>0</c:v>
                </c:pt>
                <c:pt idx="650">
                  <c:v>0</c:v>
                </c:pt>
                <c:pt idx="651">
                  <c:v>1</c:v>
                </c:pt>
                <c:pt idx="652">
                  <c:v>0</c:v>
                </c:pt>
                <c:pt idx="653">
                  <c:v>0</c:v>
                </c:pt>
                <c:pt idx="654">
                  <c:v>1</c:v>
                </c:pt>
                <c:pt idx="655">
                  <c:v>0</c:v>
                </c:pt>
                <c:pt idx="656">
                  <c:v>0</c:v>
                </c:pt>
                <c:pt idx="657">
                  <c:v>0</c:v>
                </c:pt>
                <c:pt idx="658">
                  <c:v>0</c:v>
                </c:pt>
                <c:pt idx="659">
                  <c:v>0</c:v>
                </c:pt>
                <c:pt idx="660">
                  <c:v>0</c:v>
                </c:pt>
                <c:pt idx="661">
                  <c:v>0</c:v>
                </c:pt>
                <c:pt idx="662">
                  <c:v>0</c:v>
                </c:pt>
                <c:pt idx="663">
                  <c:v>0</c:v>
                </c:pt>
                <c:pt idx="664">
                  <c:v>0</c:v>
                </c:pt>
                <c:pt idx="665">
                  <c:v>0</c:v>
                </c:pt>
                <c:pt idx="666">
                  <c:v>1</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1</c:v>
                </c:pt>
                <c:pt idx="683">
                  <c:v>0</c:v>
                </c:pt>
                <c:pt idx="684">
                  <c:v>0</c:v>
                </c:pt>
                <c:pt idx="685">
                  <c:v>0</c:v>
                </c:pt>
                <c:pt idx="686">
                  <c:v>0</c:v>
                </c:pt>
                <c:pt idx="687">
                  <c:v>0</c:v>
                </c:pt>
                <c:pt idx="688">
                  <c:v>0</c:v>
                </c:pt>
                <c:pt idx="689">
                  <c:v>0</c:v>
                </c:pt>
                <c:pt idx="690">
                  <c:v>0</c:v>
                </c:pt>
                <c:pt idx="691">
                  <c:v>0</c:v>
                </c:pt>
                <c:pt idx="692">
                  <c:v>1</c:v>
                </c:pt>
                <c:pt idx="693">
                  <c:v>0</c:v>
                </c:pt>
                <c:pt idx="694">
                  <c:v>0</c:v>
                </c:pt>
                <c:pt idx="695">
                  <c:v>1</c:v>
                </c:pt>
                <c:pt idx="696">
                  <c:v>1</c:v>
                </c:pt>
                <c:pt idx="697">
                  <c:v>1</c:v>
                </c:pt>
                <c:pt idx="698">
                  <c:v>0</c:v>
                </c:pt>
                <c:pt idx="699">
                  <c:v>0</c:v>
                </c:pt>
                <c:pt idx="700">
                  <c:v>0</c:v>
                </c:pt>
                <c:pt idx="701">
                  <c:v>0</c:v>
                </c:pt>
                <c:pt idx="702">
                  <c:v>0</c:v>
                </c:pt>
                <c:pt idx="703">
                  <c:v>0</c:v>
                </c:pt>
                <c:pt idx="704">
                  <c:v>0</c:v>
                </c:pt>
                <c:pt idx="705">
                  <c:v>0</c:v>
                </c:pt>
                <c:pt idx="706">
                  <c:v>0</c:v>
                </c:pt>
                <c:pt idx="707">
                  <c:v>0</c:v>
                </c:pt>
                <c:pt idx="708">
                  <c:v>1</c:v>
                </c:pt>
                <c:pt idx="709">
                  <c:v>0</c:v>
                </c:pt>
                <c:pt idx="710">
                  <c:v>0</c:v>
                </c:pt>
                <c:pt idx="711">
                  <c:v>0</c:v>
                </c:pt>
                <c:pt idx="712">
                  <c:v>0</c:v>
                </c:pt>
                <c:pt idx="713">
                  <c:v>0</c:v>
                </c:pt>
                <c:pt idx="714">
                  <c:v>1</c:v>
                </c:pt>
                <c:pt idx="715">
                  <c:v>0</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1</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1</c:v>
                </c:pt>
                <c:pt idx="920">
                  <c:v>1</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1</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2</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1</c:v>
                </c:pt>
                <c:pt idx="990">
                  <c:v>1</c:v>
                </c:pt>
                <c:pt idx="991">
                  <c:v>0</c:v>
                </c:pt>
                <c:pt idx="992">
                  <c:v>0</c:v>
                </c:pt>
                <c:pt idx="993">
                  <c:v>0</c:v>
                </c:pt>
                <c:pt idx="994">
                  <c:v>0</c:v>
                </c:pt>
                <c:pt idx="995">
                  <c:v>0</c:v>
                </c:pt>
                <c:pt idx="996">
                  <c:v>0</c:v>
                </c:pt>
                <c:pt idx="997">
                  <c:v>0</c:v>
                </c:pt>
                <c:pt idx="998">
                  <c:v>1</c:v>
                </c:pt>
                <c:pt idx="999">
                  <c:v>0</c:v>
                </c:pt>
                <c:pt idx="1000">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4</c:v>
                </c:pt>
                <c:pt idx="97">
                  <c:v>6.625</c:v>
                </c:pt>
                <c:pt idx="98">
                  <c:v>10.25</c:v>
                </c:pt>
                <c:pt idx="99">
                  <c:v>14.625</c:v>
                </c:pt>
                <c:pt idx="100">
                  <c:v>17.75</c:v>
                </c:pt>
                <c:pt idx="101">
                  <c:v>22.25</c:v>
                </c:pt>
                <c:pt idx="102">
                  <c:v>25.25</c:v>
                </c:pt>
                <c:pt idx="103">
                  <c:v>28.375</c:v>
                </c:pt>
                <c:pt idx="104">
                  <c:v>28.375</c:v>
                </c:pt>
                <c:pt idx="105">
                  <c:v>28.25</c:v>
                </c:pt>
                <c:pt idx="106">
                  <c:v>27.375</c:v>
                </c:pt>
                <c:pt idx="107">
                  <c:v>25.75</c:v>
                </c:pt>
                <c:pt idx="108">
                  <c:v>26.875</c:v>
                </c:pt>
                <c:pt idx="109">
                  <c:v>26.25</c:v>
                </c:pt>
                <c:pt idx="110">
                  <c:v>27.125</c:v>
                </c:pt>
                <c:pt idx="111">
                  <c:v>27.125</c:v>
                </c:pt>
                <c:pt idx="112">
                  <c:v>27</c:v>
                </c:pt>
                <c:pt idx="113">
                  <c:v>26.375</c:v>
                </c:pt>
                <c:pt idx="114">
                  <c:v>25.5</c:v>
                </c:pt>
                <c:pt idx="115">
                  <c:v>25.375</c:v>
                </c:pt>
                <c:pt idx="116">
                  <c:v>23.625</c:v>
                </c:pt>
                <c:pt idx="117">
                  <c:v>22.75</c:v>
                </c:pt>
                <c:pt idx="118">
                  <c:v>21.75</c:v>
                </c:pt>
                <c:pt idx="119">
                  <c:v>20.875</c:v>
                </c:pt>
                <c:pt idx="120">
                  <c:v>19.625</c:v>
                </c:pt>
                <c:pt idx="121">
                  <c:v>20.875</c:v>
                </c:pt>
                <c:pt idx="122">
                  <c:v>22.625</c:v>
                </c:pt>
                <c:pt idx="123">
                  <c:v>22.875</c:v>
                </c:pt>
                <c:pt idx="124">
                  <c:v>23.375</c:v>
                </c:pt>
                <c:pt idx="125">
                  <c:v>23</c:v>
                </c:pt>
                <c:pt idx="126">
                  <c:v>24</c:v>
                </c:pt>
                <c:pt idx="127">
                  <c:v>26</c:v>
                </c:pt>
                <c:pt idx="128">
                  <c:v>27</c:v>
                </c:pt>
                <c:pt idx="129">
                  <c:v>27.375</c:v>
                </c:pt>
                <c:pt idx="130">
                  <c:v>27.875</c:v>
                </c:pt>
                <c:pt idx="131">
                  <c:v>28.875</c:v>
                </c:pt>
                <c:pt idx="132">
                  <c:v>28.5</c:v>
                </c:pt>
                <c:pt idx="133">
                  <c:v>28.75</c:v>
                </c:pt>
                <c:pt idx="134">
                  <c:v>29.25</c:v>
                </c:pt>
                <c:pt idx="135">
                  <c:v>28.125</c:v>
                </c:pt>
                <c:pt idx="136">
                  <c:v>27.5</c:v>
                </c:pt>
                <c:pt idx="137">
                  <c:v>28.75</c:v>
                </c:pt>
                <c:pt idx="138">
                  <c:v>28.375</c:v>
                </c:pt>
                <c:pt idx="139">
                  <c:v>28.25</c:v>
                </c:pt>
                <c:pt idx="140">
                  <c:v>30</c:v>
                </c:pt>
                <c:pt idx="141">
                  <c:v>30.125</c:v>
                </c:pt>
                <c:pt idx="142">
                  <c:v>29.375</c:v>
                </c:pt>
                <c:pt idx="143">
                  <c:v>30.375</c:v>
                </c:pt>
                <c:pt idx="144">
                  <c:v>31.25</c:v>
                </c:pt>
                <c:pt idx="145">
                  <c:v>29.25</c:v>
                </c:pt>
                <c:pt idx="146">
                  <c:v>28.875</c:v>
                </c:pt>
                <c:pt idx="147">
                  <c:v>29.25</c:v>
                </c:pt>
                <c:pt idx="148">
                  <c:v>28.125</c:v>
                </c:pt>
                <c:pt idx="149">
                  <c:v>28.25</c:v>
                </c:pt>
                <c:pt idx="150">
                  <c:v>28.5</c:v>
                </c:pt>
                <c:pt idx="151">
                  <c:v>29.625</c:v>
                </c:pt>
                <c:pt idx="152">
                  <c:v>29.625</c:v>
                </c:pt>
                <c:pt idx="153">
                  <c:v>31.625</c:v>
                </c:pt>
                <c:pt idx="154">
                  <c:v>32.75</c:v>
                </c:pt>
                <c:pt idx="155">
                  <c:v>33.75</c:v>
                </c:pt>
                <c:pt idx="156">
                  <c:v>36.125</c:v>
                </c:pt>
                <c:pt idx="157">
                  <c:v>37.25</c:v>
                </c:pt>
                <c:pt idx="158">
                  <c:v>38.5</c:v>
                </c:pt>
                <c:pt idx="159">
                  <c:v>39</c:v>
                </c:pt>
                <c:pt idx="160">
                  <c:v>42.125</c:v>
                </c:pt>
                <c:pt idx="161">
                  <c:v>43.875</c:v>
                </c:pt>
                <c:pt idx="162">
                  <c:v>46.625</c:v>
                </c:pt>
                <c:pt idx="163">
                  <c:v>47.5</c:v>
                </c:pt>
                <c:pt idx="164">
                  <c:v>50</c:v>
                </c:pt>
                <c:pt idx="165">
                  <c:v>53.875</c:v>
                </c:pt>
                <c:pt idx="166">
                  <c:v>56.875</c:v>
                </c:pt>
                <c:pt idx="167">
                  <c:v>61.875</c:v>
                </c:pt>
                <c:pt idx="168">
                  <c:v>66</c:v>
                </c:pt>
                <c:pt idx="169">
                  <c:v>68.375</c:v>
                </c:pt>
                <c:pt idx="170">
                  <c:v>70.875</c:v>
                </c:pt>
                <c:pt idx="171">
                  <c:v>77.25</c:v>
                </c:pt>
                <c:pt idx="172">
                  <c:v>81</c:v>
                </c:pt>
                <c:pt idx="173">
                  <c:v>87.125</c:v>
                </c:pt>
                <c:pt idx="174">
                  <c:v>97.5</c:v>
                </c:pt>
                <c:pt idx="175">
                  <c:v>104.25</c:v>
                </c:pt>
                <c:pt idx="176">
                  <c:v>108.75</c:v>
                </c:pt>
                <c:pt idx="177">
                  <c:v>119.875</c:v>
                </c:pt>
                <c:pt idx="178">
                  <c:v>131.875</c:v>
                </c:pt>
                <c:pt idx="179">
                  <c:v>146.125</c:v>
                </c:pt>
                <c:pt idx="180">
                  <c:v>157.75</c:v>
                </c:pt>
                <c:pt idx="181">
                  <c:v>167.125</c:v>
                </c:pt>
                <c:pt idx="182">
                  <c:v>176.5</c:v>
                </c:pt>
                <c:pt idx="183">
                  <c:v>189.125</c:v>
                </c:pt>
                <c:pt idx="184">
                  <c:v>202.5</c:v>
                </c:pt>
                <c:pt idx="185">
                  <c:v>216.375</c:v>
                </c:pt>
                <c:pt idx="186">
                  <c:v>228.875</c:v>
                </c:pt>
                <c:pt idx="187">
                  <c:v>244.5</c:v>
                </c:pt>
                <c:pt idx="188">
                  <c:v>261.5</c:v>
                </c:pt>
                <c:pt idx="189">
                  <c:v>283.5</c:v>
                </c:pt>
                <c:pt idx="190">
                  <c:v>303.75</c:v>
                </c:pt>
                <c:pt idx="191">
                  <c:v>323</c:v>
                </c:pt>
                <c:pt idx="192">
                  <c:v>353.75</c:v>
                </c:pt>
                <c:pt idx="193">
                  <c:v>377.25</c:v>
                </c:pt>
                <c:pt idx="194">
                  <c:v>407.75</c:v>
                </c:pt>
                <c:pt idx="195">
                  <c:v>433.375</c:v>
                </c:pt>
                <c:pt idx="196">
                  <c:v>461.125</c:v>
                </c:pt>
                <c:pt idx="197">
                  <c:v>489.25</c:v>
                </c:pt>
                <c:pt idx="198">
                  <c:v>522</c:v>
                </c:pt>
                <c:pt idx="199">
                  <c:v>549.875</c:v>
                </c:pt>
                <c:pt idx="200">
                  <c:v>573.875</c:v>
                </c:pt>
                <c:pt idx="201">
                  <c:v>603.5</c:v>
                </c:pt>
                <c:pt idx="202">
                  <c:v>633</c:v>
                </c:pt>
                <c:pt idx="203">
                  <c:v>659.375</c:v>
                </c:pt>
                <c:pt idx="204">
                  <c:v>682.125</c:v>
                </c:pt>
                <c:pt idx="205">
                  <c:v>701.125</c:v>
                </c:pt>
                <c:pt idx="206">
                  <c:v>721.5</c:v>
                </c:pt>
                <c:pt idx="207">
                  <c:v>748.5</c:v>
                </c:pt>
                <c:pt idx="208">
                  <c:v>762.25</c:v>
                </c:pt>
                <c:pt idx="209">
                  <c:v>782.625</c:v>
                </c:pt>
                <c:pt idx="210">
                  <c:v>792.75</c:v>
                </c:pt>
                <c:pt idx="211">
                  <c:v>806.5</c:v>
                </c:pt>
                <c:pt idx="212">
                  <c:v>823.125</c:v>
                </c:pt>
                <c:pt idx="213">
                  <c:v>842</c:v>
                </c:pt>
                <c:pt idx="214">
                  <c:v>847.375</c:v>
                </c:pt>
                <c:pt idx="215">
                  <c:v>849.375</c:v>
                </c:pt>
                <c:pt idx="216">
                  <c:v>859.75</c:v>
                </c:pt>
                <c:pt idx="217">
                  <c:v>852.125</c:v>
                </c:pt>
                <c:pt idx="218">
                  <c:v>849.875</c:v>
                </c:pt>
                <c:pt idx="219">
                  <c:v>848</c:v>
                </c:pt>
                <c:pt idx="220">
                  <c:v>849.25</c:v>
                </c:pt>
                <c:pt idx="221">
                  <c:v>836.75</c:v>
                </c:pt>
                <c:pt idx="222">
                  <c:v>832.75</c:v>
                </c:pt>
                <c:pt idx="223">
                  <c:v>825.75</c:v>
                </c:pt>
                <c:pt idx="224">
                  <c:v>806.5</c:v>
                </c:pt>
                <c:pt idx="225">
                  <c:v>801.375</c:v>
                </c:pt>
                <c:pt idx="226">
                  <c:v>789.625</c:v>
                </c:pt>
                <c:pt idx="227">
                  <c:v>764.375</c:v>
                </c:pt>
                <c:pt idx="228">
                  <c:v>745.5</c:v>
                </c:pt>
                <c:pt idx="229">
                  <c:v>725.25</c:v>
                </c:pt>
                <c:pt idx="230">
                  <c:v>701</c:v>
                </c:pt>
                <c:pt idx="231">
                  <c:v>680</c:v>
                </c:pt>
                <c:pt idx="232">
                  <c:v>656.25</c:v>
                </c:pt>
                <c:pt idx="233">
                  <c:v>625.875</c:v>
                </c:pt>
                <c:pt idx="234">
                  <c:v>602.5</c:v>
                </c:pt>
                <c:pt idx="235">
                  <c:v>584.875</c:v>
                </c:pt>
                <c:pt idx="236">
                  <c:v>559.375</c:v>
                </c:pt>
                <c:pt idx="237">
                  <c:v>539.875</c:v>
                </c:pt>
                <c:pt idx="238">
                  <c:v>511.75</c:v>
                </c:pt>
                <c:pt idx="239">
                  <c:v>485.125</c:v>
                </c:pt>
                <c:pt idx="240">
                  <c:v>468.875</c:v>
                </c:pt>
                <c:pt idx="241">
                  <c:v>453.75</c:v>
                </c:pt>
                <c:pt idx="242">
                  <c:v>427.25</c:v>
                </c:pt>
                <c:pt idx="243">
                  <c:v>408.375</c:v>
                </c:pt>
                <c:pt idx="244">
                  <c:v>384.875</c:v>
                </c:pt>
                <c:pt idx="245">
                  <c:v>362.5</c:v>
                </c:pt>
                <c:pt idx="246">
                  <c:v>346</c:v>
                </c:pt>
                <c:pt idx="247">
                  <c:v>321.25</c:v>
                </c:pt>
                <c:pt idx="248">
                  <c:v>302.125</c:v>
                </c:pt>
                <c:pt idx="249">
                  <c:v>280.25</c:v>
                </c:pt>
                <c:pt idx="250">
                  <c:v>269.75</c:v>
                </c:pt>
                <c:pt idx="251">
                  <c:v>247.75</c:v>
                </c:pt>
                <c:pt idx="252">
                  <c:v>232.125</c:v>
                </c:pt>
                <c:pt idx="253">
                  <c:v>214.75</c:v>
                </c:pt>
                <c:pt idx="254">
                  <c:v>201.25</c:v>
                </c:pt>
                <c:pt idx="255">
                  <c:v>193.875</c:v>
                </c:pt>
                <c:pt idx="256">
                  <c:v>182.625</c:v>
                </c:pt>
                <c:pt idx="257">
                  <c:v>172.125</c:v>
                </c:pt>
                <c:pt idx="258">
                  <c:v>157.625</c:v>
                </c:pt>
                <c:pt idx="259">
                  <c:v>149.25</c:v>
                </c:pt>
                <c:pt idx="260">
                  <c:v>137</c:v>
                </c:pt>
                <c:pt idx="261">
                  <c:v>130.375</c:v>
                </c:pt>
                <c:pt idx="262">
                  <c:v>121.25</c:v>
                </c:pt>
                <c:pt idx="263">
                  <c:v>112.25</c:v>
                </c:pt>
                <c:pt idx="264">
                  <c:v>102.625</c:v>
                </c:pt>
                <c:pt idx="265">
                  <c:v>95</c:v>
                </c:pt>
                <c:pt idx="266">
                  <c:v>88.125</c:v>
                </c:pt>
                <c:pt idx="267">
                  <c:v>81.5</c:v>
                </c:pt>
                <c:pt idx="268">
                  <c:v>75.625</c:v>
                </c:pt>
                <c:pt idx="269">
                  <c:v>70.625</c:v>
                </c:pt>
                <c:pt idx="270">
                  <c:v>65.5</c:v>
                </c:pt>
                <c:pt idx="271">
                  <c:v>59.625</c:v>
                </c:pt>
                <c:pt idx="272">
                  <c:v>57.125</c:v>
                </c:pt>
                <c:pt idx="273">
                  <c:v>51.625</c:v>
                </c:pt>
                <c:pt idx="274">
                  <c:v>47.25</c:v>
                </c:pt>
                <c:pt idx="275">
                  <c:v>43</c:v>
                </c:pt>
                <c:pt idx="276">
                  <c:v>38.5</c:v>
                </c:pt>
                <c:pt idx="277">
                  <c:v>34</c:v>
                </c:pt>
                <c:pt idx="278">
                  <c:v>30.5</c:v>
                </c:pt>
                <c:pt idx="279">
                  <c:v>29.25</c:v>
                </c:pt>
                <c:pt idx="280">
                  <c:v>26.125</c:v>
                </c:pt>
                <c:pt idx="281">
                  <c:v>25.25</c:v>
                </c:pt>
                <c:pt idx="282">
                  <c:v>22.5</c:v>
                </c:pt>
                <c:pt idx="283">
                  <c:v>20.875</c:v>
                </c:pt>
                <c:pt idx="284">
                  <c:v>19.875</c:v>
                </c:pt>
                <c:pt idx="285">
                  <c:v>18.125</c:v>
                </c:pt>
                <c:pt idx="286">
                  <c:v>17.5</c:v>
                </c:pt>
                <c:pt idx="287">
                  <c:v>15</c:v>
                </c:pt>
                <c:pt idx="288">
                  <c:v>13.375</c:v>
                </c:pt>
                <c:pt idx="289">
                  <c:v>11.5</c:v>
                </c:pt>
                <c:pt idx="290">
                  <c:v>11.375</c:v>
                </c:pt>
                <c:pt idx="291">
                  <c:v>10.5</c:v>
                </c:pt>
                <c:pt idx="292">
                  <c:v>10.125</c:v>
                </c:pt>
                <c:pt idx="293">
                  <c:v>10</c:v>
                </c:pt>
                <c:pt idx="294">
                  <c:v>8.875</c:v>
                </c:pt>
                <c:pt idx="295">
                  <c:v>9.375</c:v>
                </c:pt>
                <c:pt idx="296">
                  <c:v>9.125</c:v>
                </c:pt>
                <c:pt idx="297">
                  <c:v>9</c:v>
                </c:pt>
                <c:pt idx="298">
                  <c:v>8.5</c:v>
                </c:pt>
                <c:pt idx="299">
                  <c:v>8.75</c:v>
                </c:pt>
                <c:pt idx="300">
                  <c:v>8.125</c:v>
                </c:pt>
                <c:pt idx="301">
                  <c:v>6.75</c:v>
                </c:pt>
                <c:pt idx="302">
                  <c:v>6.75</c:v>
                </c:pt>
                <c:pt idx="303">
                  <c:v>5.375</c:v>
                </c:pt>
                <c:pt idx="304">
                  <c:v>4.625</c:v>
                </c:pt>
                <c:pt idx="305">
                  <c:v>4.625</c:v>
                </c:pt>
                <c:pt idx="306">
                  <c:v>4.25</c:v>
                </c:pt>
                <c:pt idx="307">
                  <c:v>3.625</c:v>
                </c:pt>
                <c:pt idx="308">
                  <c:v>3.25</c:v>
                </c:pt>
                <c:pt idx="309">
                  <c:v>3.25</c:v>
                </c:pt>
                <c:pt idx="310">
                  <c:v>3</c:v>
                </c:pt>
                <c:pt idx="311">
                  <c:v>3.625</c:v>
                </c:pt>
                <c:pt idx="312">
                  <c:v>3.875</c:v>
                </c:pt>
                <c:pt idx="313">
                  <c:v>3.375</c:v>
                </c:pt>
                <c:pt idx="314">
                  <c:v>3.625</c:v>
                </c:pt>
                <c:pt idx="315">
                  <c:v>3.5</c:v>
                </c:pt>
                <c:pt idx="316">
                  <c:v>3.25</c:v>
                </c:pt>
                <c:pt idx="317">
                  <c:v>3.5</c:v>
                </c:pt>
                <c:pt idx="318">
                  <c:v>3.75</c:v>
                </c:pt>
                <c:pt idx="319">
                  <c:v>3.625</c:v>
                </c:pt>
                <c:pt idx="320">
                  <c:v>3.5</c:v>
                </c:pt>
                <c:pt idx="321">
                  <c:v>3.75</c:v>
                </c:pt>
                <c:pt idx="322">
                  <c:v>3.375</c:v>
                </c:pt>
                <c:pt idx="323">
                  <c:v>3.375</c:v>
                </c:pt>
                <c:pt idx="324">
                  <c:v>3.75</c:v>
                </c:pt>
                <c:pt idx="325">
                  <c:v>3.625</c:v>
                </c:pt>
                <c:pt idx="326">
                  <c:v>3.125</c:v>
                </c:pt>
                <c:pt idx="327">
                  <c:v>3</c:v>
                </c:pt>
                <c:pt idx="328">
                  <c:v>3.125</c:v>
                </c:pt>
                <c:pt idx="329">
                  <c:v>3.25</c:v>
                </c:pt>
                <c:pt idx="330">
                  <c:v>3.125</c:v>
                </c:pt>
                <c:pt idx="331">
                  <c:v>3.25</c:v>
                </c:pt>
                <c:pt idx="332">
                  <c:v>3</c:v>
                </c:pt>
                <c:pt idx="333">
                  <c:v>3</c:v>
                </c:pt>
                <c:pt idx="334">
                  <c:v>3.25</c:v>
                </c:pt>
                <c:pt idx="335">
                  <c:v>3.375</c:v>
                </c:pt>
                <c:pt idx="336">
                  <c:v>3.375</c:v>
                </c:pt>
                <c:pt idx="337">
                  <c:v>3.125</c:v>
                </c:pt>
                <c:pt idx="338">
                  <c:v>3.25</c:v>
                </c:pt>
                <c:pt idx="339">
                  <c:v>3.75</c:v>
                </c:pt>
                <c:pt idx="340">
                  <c:v>3.75</c:v>
                </c:pt>
                <c:pt idx="341">
                  <c:v>4.125</c:v>
                </c:pt>
                <c:pt idx="342">
                  <c:v>4</c:v>
                </c:pt>
                <c:pt idx="343">
                  <c:v>4.375</c:v>
                </c:pt>
                <c:pt idx="344">
                  <c:v>4.25</c:v>
                </c:pt>
                <c:pt idx="345">
                  <c:v>4.125</c:v>
                </c:pt>
                <c:pt idx="346">
                  <c:v>4.25</c:v>
                </c:pt>
                <c:pt idx="347">
                  <c:v>4</c:v>
                </c:pt>
                <c:pt idx="348">
                  <c:v>4.375</c:v>
                </c:pt>
                <c:pt idx="349">
                  <c:v>4.625</c:v>
                </c:pt>
                <c:pt idx="350">
                  <c:v>4.875</c:v>
                </c:pt>
                <c:pt idx="351">
                  <c:v>4.125</c:v>
                </c:pt>
                <c:pt idx="352">
                  <c:v>3.75</c:v>
                </c:pt>
                <c:pt idx="353">
                  <c:v>4.125</c:v>
                </c:pt>
                <c:pt idx="354">
                  <c:v>4</c:v>
                </c:pt>
                <c:pt idx="355">
                  <c:v>4.125</c:v>
                </c:pt>
                <c:pt idx="356">
                  <c:v>4.125</c:v>
                </c:pt>
                <c:pt idx="357">
                  <c:v>3.25</c:v>
                </c:pt>
                <c:pt idx="358">
                  <c:v>3</c:v>
                </c:pt>
                <c:pt idx="359">
                  <c:v>3.25</c:v>
                </c:pt>
                <c:pt idx="360">
                  <c:v>3.25</c:v>
                </c:pt>
                <c:pt idx="361">
                  <c:v>3.5</c:v>
                </c:pt>
                <c:pt idx="362">
                  <c:v>3.375</c:v>
                </c:pt>
                <c:pt idx="363">
                  <c:v>3</c:v>
                </c:pt>
                <c:pt idx="364">
                  <c:v>3.25</c:v>
                </c:pt>
                <c:pt idx="365">
                  <c:v>3.625</c:v>
                </c:pt>
                <c:pt idx="366">
                  <c:v>3.875</c:v>
                </c:pt>
                <c:pt idx="367">
                  <c:v>4</c:v>
                </c:pt>
                <c:pt idx="368">
                  <c:v>4.25</c:v>
                </c:pt>
                <c:pt idx="369">
                  <c:v>4</c:v>
                </c:pt>
                <c:pt idx="370">
                  <c:v>4.125</c:v>
                </c:pt>
                <c:pt idx="371">
                  <c:v>3.875</c:v>
                </c:pt>
                <c:pt idx="372">
                  <c:v>3.625</c:v>
                </c:pt>
                <c:pt idx="373">
                  <c:v>3.875</c:v>
                </c:pt>
                <c:pt idx="374">
                  <c:v>3.875</c:v>
                </c:pt>
                <c:pt idx="375">
                  <c:v>3.875</c:v>
                </c:pt>
                <c:pt idx="376">
                  <c:v>3.875</c:v>
                </c:pt>
                <c:pt idx="377">
                  <c:v>3.625</c:v>
                </c:pt>
                <c:pt idx="378">
                  <c:v>3.625</c:v>
                </c:pt>
                <c:pt idx="379">
                  <c:v>4.25</c:v>
                </c:pt>
                <c:pt idx="380">
                  <c:v>4.625</c:v>
                </c:pt>
                <c:pt idx="381">
                  <c:v>4.75</c:v>
                </c:pt>
                <c:pt idx="382">
                  <c:v>4.625</c:v>
                </c:pt>
                <c:pt idx="383">
                  <c:v>4.625</c:v>
                </c:pt>
                <c:pt idx="384">
                  <c:v>5.125</c:v>
                </c:pt>
                <c:pt idx="385">
                  <c:v>5.25</c:v>
                </c:pt>
                <c:pt idx="386">
                  <c:v>5.5</c:v>
                </c:pt>
                <c:pt idx="387">
                  <c:v>5.5</c:v>
                </c:pt>
                <c:pt idx="388">
                  <c:v>4.75</c:v>
                </c:pt>
                <c:pt idx="389">
                  <c:v>4.125</c:v>
                </c:pt>
                <c:pt idx="390">
                  <c:v>3.75</c:v>
                </c:pt>
                <c:pt idx="391">
                  <c:v>3.875</c:v>
                </c:pt>
                <c:pt idx="392">
                  <c:v>3.875</c:v>
                </c:pt>
                <c:pt idx="393">
                  <c:v>3.75</c:v>
                </c:pt>
                <c:pt idx="394">
                  <c:v>3.875</c:v>
                </c:pt>
                <c:pt idx="395">
                  <c:v>4.125</c:v>
                </c:pt>
                <c:pt idx="396">
                  <c:v>4.5</c:v>
                </c:pt>
                <c:pt idx="397">
                  <c:v>4.875</c:v>
                </c:pt>
                <c:pt idx="398">
                  <c:v>5.125</c:v>
                </c:pt>
                <c:pt idx="399">
                  <c:v>5</c:v>
                </c:pt>
                <c:pt idx="400">
                  <c:v>4.375</c:v>
                </c:pt>
                <c:pt idx="401">
                  <c:v>4.25</c:v>
                </c:pt>
                <c:pt idx="402">
                  <c:v>4</c:v>
                </c:pt>
                <c:pt idx="403">
                  <c:v>4.125</c:v>
                </c:pt>
                <c:pt idx="404">
                  <c:v>4.375</c:v>
                </c:pt>
                <c:pt idx="405">
                  <c:v>4.375</c:v>
                </c:pt>
                <c:pt idx="406">
                  <c:v>4.375</c:v>
                </c:pt>
                <c:pt idx="407">
                  <c:v>4.375</c:v>
                </c:pt>
                <c:pt idx="408">
                  <c:v>4.875</c:v>
                </c:pt>
                <c:pt idx="409">
                  <c:v>5.375</c:v>
                </c:pt>
                <c:pt idx="410">
                  <c:v>5.5</c:v>
                </c:pt>
                <c:pt idx="411">
                  <c:v>4.875</c:v>
                </c:pt>
                <c:pt idx="412">
                  <c:v>4.75</c:v>
                </c:pt>
                <c:pt idx="413">
                  <c:v>5</c:v>
                </c:pt>
                <c:pt idx="414">
                  <c:v>5.375</c:v>
                </c:pt>
                <c:pt idx="415">
                  <c:v>5.625</c:v>
                </c:pt>
                <c:pt idx="416">
                  <c:v>5</c:v>
                </c:pt>
                <c:pt idx="417">
                  <c:v>4.625</c:v>
                </c:pt>
                <c:pt idx="418">
                  <c:v>4.75</c:v>
                </c:pt>
                <c:pt idx="419">
                  <c:v>5.375</c:v>
                </c:pt>
                <c:pt idx="420">
                  <c:v>5.125</c:v>
                </c:pt>
                <c:pt idx="421">
                  <c:v>5</c:v>
                </c:pt>
                <c:pt idx="422">
                  <c:v>4.875</c:v>
                </c:pt>
                <c:pt idx="423">
                  <c:v>5.125</c:v>
                </c:pt>
                <c:pt idx="424">
                  <c:v>5.125</c:v>
                </c:pt>
                <c:pt idx="425">
                  <c:v>5.375</c:v>
                </c:pt>
                <c:pt idx="426">
                  <c:v>5.375</c:v>
                </c:pt>
                <c:pt idx="427">
                  <c:v>5</c:v>
                </c:pt>
                <c:pt idx="428">
                  <c:v>4.875</c:v>
                </c:pt>
                <c:pt idx="429">
                  <c:v>4.5</c:v>
                </c:pt>
                <c:pt idx="430">
                  <c:v>4.5</c:v>
                </c:pt>
                <c:pt idx="431">
                  <c:v>4.375</c:v>
                </c:pt>
                <c:pt idx="432">
                  <c:v>5.25</c:v>
                </c:pt>
                <c:pt idx="433">
                  <c:v>4.875</c:v>
                </c:pt>
                <c:pt idx="434">
                  <c:v>4.625</c:v>
                </c:pt>
                <c:pt idx="435">
                  <c:v>4.25</c:v>
                </c:pt>
                <c:pt idx="436">
                  <c:v>4.625</c:v>
                </c:pt>
                <c:pt idx="437">
                  <c:v>4.75</c:v>
                </c:pt>
                <c:pt idx="438">
                  <c:v>5</c:v>
                </c:pt>
                <c:pt idx="439">
                  <c:v>4.75</c:v>
                </c:pt>
                <c:pt idx="440">
                  <c:v>4.375</c:v>
                </c:pt>
                <c:pt idx="441">
                  <c:v>4.625</c:v>
                </c:pt>
                <c:pt idx="442">
                  <c:v>4.625</c:v>
                </c:pt>
                <c:pt idx="443">
                  <c:v>5.375</c:v>
                </c:pt>
                <c:pt idx="444">
                  <c:v>5</c:v>
                </c:pt>
                <c:pt idx="445">
                  <c:v>4.75</c:v>
                </c:pt>
                <c:pt idx="446">
                  <c:v>4.625</c:v>
                </c:pt>
                <c:pt idx="447">
                  <c:v>4.875</c:v>
                </c:pt>
                <c:pt idx="448">
                  <c:v>4.25</c:v>
                </c:pt>
                <c:pt idx="449">
                  <c:v>4.125</c:v>
                </c:pt>
                <c:pt idx="450">
                  <c:v>3.875</c:v>
                </c:pt>
                <c:pt idx="451">
                  <c:v>3</c:v>
                </c:pt>
                <c:pt idx="452">
                  <c:v>2.875</c:v>
                </c:pt>
                <c:pt idx="453">
                  <c:v>3.25</c:v>
                </c:pt>
                <c:pt idx="454">
                  <c:v>2.75</c:v>
                </c:pt>
                <c:pt idx="455">
                  <c:v>2.25</c:v>
                </c:pt>
                <c:pt idx="456">
                  <c:v>2.625</c:v>
                </c:pt>
                <c:pt idx="457">
                  <c:v>2.5</c:v>
                </c:pt>
                <c:pt idx="458">
                  <c:v>2.5</c:v>
                </c:pt>
                <c:pt idx="459">
                  <c:v>3</c:v>
                </c:pt>
                <c:pt idx="460">
                  <c:v>3.125</c:v>
                </c:pt>
                <c:pt idx="461">
                  <c:v>2.75</c:v>
                </c:pt>
                <c:pt idx="462">
                  <c:v>3.25</c:v>
                </c:pt>
                <c:pt idx="463">
                  <c:v>3</c:v>
                </c:pt>
                <c:pt idx="464">
                  <c:v>3</c:v>
                </c:pt>
                <c:pt idx="465">
                  <c:v>3.25</c:v>
                </c:pt>
                <c:pt idx="466">
                  <c:v>3.75</c:v>
                </c:pt>
                <c:pt idx="467">
                  <c:v>3.375</c:v>
                </c:pt>
                <c:pt idx="468">
                  <c:v>3.25</c:v>
                </c:pt>
                <c:pt idx="469">
                  <c:v>3.5</c:v>
                </c:pt>
                <c:pt idx="470">
                  <c:v>2.75</c:v>
                </c:pt>
                <c:pt idx="471">
                  <c:v>3</c:v>
                </c:pt>
                <c:pt idx="472">
                  <c:v>2.625</c:v>
                </c:pt>
                <c:pt idx="473">
                  <c:v>2.25</c:v>
                </c:pt>
                <c:pt idx="474">
                  <c:v>1.625</c:v>
                </c:pt>
                <c:pt idx="475">
                  <c:v>1.5</c:v>
                </c:pt>
                <c:pt idx="476">
                  <c:v>1.375</c:v>
                </c:pt>
                <c:pt idx="477">
                  <c:v>1</c:v>
                </c:pt>
                <c:pt idx="478">
                  <c:v>1</c:v>
                </c:pt>
                <c:pt idx="479">
                  <c:v>0.875</c:v>
                </c:pt>
                <c:pt idx="480">
                  <c:v>1</c:v>
                </c:pt>
                <c:pt idx="481">
                  <c:v>1.125</c:v>
                </c:pt>
                <c:pt idx="482">
                  <c:v>1.125</c:v>
                </c:pt>
                <c:pt idx="483">
                  <c:v>1.125</c:v>
                </c:pt>
                <c:pt idx="484">
                  <c:v>1.125</c:v>
                </c:pt>
                <c:pt idx="485">
                  <c:v>1</c:v>
                </c:pt>
                <c:pt idx="486">
                  <c:v>1.125</c:v>
                </c:pt>
                <c:pt idx="487">
                  <c:v>0.875</c:v>
                </c:pt>
                <c:pt idx="488">
                  <c:v>0.875</c:v>
                </c:pt>
                <c:pt idx="489">
                  <c:v>0.75</c:v>
                </c:pt>
                <c:pt idx="490">
                  <c:v>0.875</c:v>
                </c:pt>
                <c:pt idx="491">
                  <c:v>0.875</c:v>
                </c:pt>
                <c:pt idx="492">
                  <c:v>0.75</c:v>
                </c:pt>
                <c:pt idx="493">
                  <c:v>1</c:v>
                </c:pt>
                <c:pt idx="494">
                  <c:v>1</c:v>
                </c:pt>
                <c:pt idx="495">
                  <c:v>1.25</c:v>
                </c:pt>
                <c:pt idx="496">
                  <c:v>1.25</c:v>
                </c:pt>
                <c:pt idx="497">
                  <c:v>1.125</c:v>
                </c:pt>
                <c:pt idx="498">
                  <c:v>0.875</c:v>
                </c:pt>
                <c:pt idx="499">
                  <c:v>0.75</c:v>
                </c:pt>
                <c:pt idx="500">
                  <c:v>1</c:v>
                </c:pt>
                <c:pt idx="501">
                  <c:v>0.875</c:v>
                </c:pt>
                <c:pt idx="502">
                  <c:v>0.75</c:v>
                </c:pt>
                <c:pt idx="503">
                  <c:v>0.75</c:v>
                </c:pt>
                <c:pt idx="504">
                  <c:v>0.75</c:v>
                </c:pt>
                <c:pt idx="505">
                  <c:v>0.75</c:v>
                </c:pt>
                <c:pt idx="506">
                  <c:v>0.875</c:v>
                </c:pt>
                <c:pt idx="507">
                  <c:v>0.875</c:v>
                </c:pt>
                <c:pt idx="508">
                  <c:v>0.75</c:v>
                </c:pt>
                <c:pt idx="509">
                  <c:v>0.625</c:v>
                </c:pt>
                <c:pt idx="510">
                  <c:v>0.625</c:v>
                </c:pt>
                <c:pt idx="511">
                  <c:v>0.375</c:v>
                </c:pt>
                <c:pt idx="512">
                  <c:v>0.25</c:v>
                </c:pt>
                <c:pt idx="513">
                  <c:v>0.25</c:v>
                </c:pt>
                <c:pt idx="514">
                  <c:v>0.125</c:v>
                </c:pt>
                <c:pt idx="515">
                  <c:v>0.125</c:v>
                </c:pt>
                <c:pt idx="516">
                  <c:v>0</c:v>
                </c:pt>
                <c:pt idx="517">
                  <c:v>0</c:v>
                </c:pt>
                <c:pt idx="518">
                  <c:v>0</c:v>
                </c:pt>
                <c:pt idx="519">
                  <c:v>0.125</c:v>
                </c:pt>
                <c:pt idx="520">
                  <c:v>0.125</c:v>
                </c:pt>
                <c:pt idx="521">
                  <c:v>0.125</c:v>
                </c:pt>
                <c:pt idx="522">
                  <c:v>0.125</c:v>
                </c:pt>
                <c:pt idx="523">
                  <c:v>0.125</c:v>
                </c:pt>
                <c:pt idx="524">
                  <c:v>0.375</c:v>
                </c:pt>
                <c:pt idx="525">
                  <c:v>0.375</c:v>
                </c:pt>
                <c:pt idx="526">
                  <c:v>0.5</c:v>
                </c:pt>
                <c:pt idx="527">
                  <c:v>0.375</c:v>
                </c:pt>
                <c:pt idx="528">
                  <c:v>0.5</c:v>
                </c:pt>
                <c:pt idx="529">
                  <c:v>0.5</c:v>
                </c:pt>
                <c:pt idx="530">
                  <c:v>0.5</c:v>
                </c:pt>
                <c:pt idx="531">
                  <c:v>0.5</c:v>
                </c:pt>
                <c:pt idx="532">
                  <c:v>0.25</c:v>
                </c:pt>
                <c:pt idx="533">
                  <c:v>0.25</c:v>
                </c:pt>
                <c:pt idx="534">
                  <c:v>0.125</c:v>
                </c:pt>
                <c:pt idx="535">
                  <c:v>0.125</c:v>
                </c:pt>
                <c:pt idx="536">
                  <c:v>0</c:v>
                </c:pt>
                <c:pt idx="537">
                  <c:v>0</c:v>
                </c:pt>
                <c:pt idx="538">
                  <c:v>0</c:v>
                </c:pt>
                <c:pt idx="539">
                  <c:v>0</c:v>
                </c:pt>
                <c:pt idx="540">
                  <c:v>0</c:v>
                </c:pt>
                <c:pt idx="541">
                  <c:v>0</c:v>
                </c:pt>
                <c:pt idx="542">
                  <c:v>0</c:v>
                </c:pt>
                <c:pt idx="543">
                  <c:v>0</c:v>
                </c:pt>
                <c:pt idx="544">
                  <c:v>0.125</c:v>
                </c:pt>
                <c:pt idx="545">
                  <c:v>0.125</c:v>
                </c:pt>
                <c:pt idx="546">
                  <c:v>0.125</c:v>
                </c:pt>
                <c:pt idx="547">
                  <c:v>0.125</c:v>
                </c:pt>
                <c:pt idx="548">
                  <c:v>0.125</c:v>
                </c:pt>
                <c:pt idx="549">
                  <c:v>0.125</c:v>
                </c:pt>
                <c:pt idx="550">
                  <c:v>0.125</c:v>
                </c:pt>
                <c:pt idx="551">
                  <c:v>0.125</c:v>
                </c:pt>
                <c:pt idx="552">
                  <c:v>0.125</c:v>
                </c:pt>
                <c:pt idx="553">
                  <c:v>0.125</c:v>
                </c:pt>
                <c:pt idx="554">
                  <c:v>0.125</c:v>
                </c:pt>
                <c:pt idx="555">
                  <c:v>0.125</c:v>
                </c:pt>
                <c:pt idx="556">
                  <c:v>0.25</c:v>
                </c:pt>
                <c:pt idx="557">
                  <c:v>0.25</c:v>
                </c:pt>
                <c:pt idx="558">
                  <c:v>0.25</c:v>
                </c:pt>
                <c:pt idx="559">
                  <c:v>0.25</c:v>
                </c:pt>
                <c:pt idx="560">
                  <c:v>0.125</c:v>
                </c:pt>
                <c:pt idx="561">
                  <c:v>0.125</c:v>
                </c:pt>
                <c:pt idx="562">
                  <c:v>0.125</c:v>
                </c:pt>
                <c:pt idx="563">
                  <c:v>0.125</c:v>
                </c:pt>
                <c:pt idx="564">
                  <c:v>0</c:v>
                </c:pt>
                <c:pt idx="565">
                  <c:v>0</c:v>
                </c:pt>
                <c:pt idx="566">
                  <c:v>0</c:v>
                </c:pt>
                <c:pt idx="567">
                  <c:v>0.125</c:v>
                </c:pt>
                <c:pt idx="568">
                  <c:v>0.125</c:v>
                </c:pt>
                <c:pt idx="569">
                  <c:v>0.25</c:v>
                </c:pt>
                <c:pt idx="570">
                  <c:v>0.375</c:v>
                </c:pt>
                <c:pt idx="571">
                  <c:v>0.375</c:v>
                </c:pt>
                <c:pt idx="572">
                  <c:v>0.375</c:v>
                </c:pt>
                <c:pt idx="573">
                  <c:v>0.375</c:v>
                </c:pt>
                <c:pt idx="574">
                  <c:v>0.375</c:v>
                </c:pt>
                <c:pt idx="575">
                  <c:v>0.375</c:v>
                </c:pt>
                <c:pt idx="576">
                  <c:v>0.375</c:v>
                </c:pt>
                <c:pt idx="577">
                  <c:v>0.25</c:v>
                </c:pt>
                <c:pt idx="578">
                  <c:v>0.125</c:v>
                </c:pt>
                <c:pt idx="579">
                  <c:v>0.125</c:v>
                </c:pt>
                <c:pt idx="580">
                  <c:v>0.125</c:v>
                </c:pt>
                <c:pt idx="581">
                  <c:v>0.125</c:v>
                </c:pt>
                <c:pt idx="582">
                  <c:v>0.125</c:v>
                </c:pt>
                <c:pt idx="583">
                  <c:v>0</c:v>
                </c:pt>
                <c:pt idx="584">
                  <c:v>0</c:v>
                </c:pt>
                <c:pt idx="585">
                  <c:v>0</c:v>
                </c:pt>
                <c:pt idx="586">
                  <c:v>0</c:v>
                </c:pt>
                <c:pt idx="587">
                  <c:v>0</c:v>
                </c:pt>
                <c:pt idx="588">
                  <c:v>0</c:v>
                </c:pt>
                <c:pt idx="589">
                  <c:v>0</c:v>
                </c:pt>
                <c:pt idx="590">
                  <c:v>0</c:v>
                </c:pt>
                <c:pt idx="591">
                  <c:v>0</c:v>
                </c:pt>
                <c:pt idx="592">
                  <c:v>0</c:v>
                </c:pt>
                <c:pt idx="593">
                  <c:v>0</c:v>
                </c:pt>
                <c:pt idx="594">
                  <c:v>0</c:v>
                </c:pt>
                <c:pt idx="595">
                  <c:v>0.125</c:v>
                </c:pt>
                <c:pt idx="596">
                  <c:v>0.125</c:v>
                </c:pt>
                <c:pt idx="597">
                  <c:v>0.125</c:v>
                </c:pt>
                <c:pt idx="598">
                  <c:v>0.125</c:v>
                </c:pt>
                <c:pt idx="599">
                  <c:v>0.125</c:v>
                </c:pt>
                <c:pt idx="600">
                  <c:v>0.125</c:v>
                </c:pt>
                <c:pt idx="601">
                  <c:v>0.125</c:v>
                </c:pt>
                <c:pt idx="602">
                  <c:v>0.25</c:v>
                </c:pt>
                <c:pt idx="603">
                  <c:v>0.125</c:v>
                </c:pt>
                <c:pt idx="604">
                  <c:v>0.125</c:v>
                </c:pt>
                <c:pt idx="605">
                  <c:v>0.125</c:v>
                </c:pt>
                <c:pt idx="606">
                  <c:v>0.25</c:v>
                </c:pt>
                <c:pt idx="607">
                  <c:v>0.375</c:v>
                </c:pt>
                <c:pt idx="608">
                  <c:v>0.375</c:v>
                </c:pt>
                <c:pt idx="609">
                  <c:v>0.375</c:v>
                </c:pt>
                <c:pt idx="610">
                  <c:v>0.25</c:v>
                </c:pt>
                <c:pt idx="611">
                  <c:v>0.25</c:v>
                </c:pt>
                <c:pt idx="612">
                  <c:v>0.25</c:v>
                </c:pt>
                <c:pt idx="613">
                  <c:v>0.375</c:v>
                </c:pt>
                <c:pt idx="614">
                  <c:v>0.25</c:v>
                </c:pt>
                <c:pt idx="615">
                  <c:v>0.125</c:v>
                </c:pt>
                <c:pt idx="616">
                  <c:v>0.125</c:v>
                </c:pt>
                <c:pt idx="617">
                  <c:v>0.125</c:v>
                </c:pt>
                <c:pt idx="618">
                  <c:v>0.125</c:v>
                </c:pt>
                <c:pt idx="619">
                  <c:v>0.125</c:v>
                </c:pt>
                <c:pt idx="620">
                  <c:v>0.125</c:v>
                </c:pt>
                <c:pt idx="621">
                  <c:v>0</c:v>
                </c:pt>
                <c:pt idx="622">
                  <c:v>0</c:v>
                </c:pt>
                <c:pt idx="623">
                  <c:v>0.125</c:v>
                </c:pt>
                <c:pt idx="624">
                  <c:v>0.25</c:v>
                </c:pt>
                <c:pt idx="625">
                  <c:v>0.25</c:v>
                </c:pt>
                <c:pt idx="626">
                  <c:v>0.25</c:v>
                </c:pt>
                <c:pt idx="627">
                  <c:v>0.25</c:v>
                </c:pt>
                <c:pt idx="628">
                  <c:v>0.25</c:v>
                </c:pt>
                <c:pt idx="629">
                  <c:v>0.25</c:v>
                </c:pt>
                <c:pt idx="630">
                  <c:v>0.375</c:v>
                </c:pt>
                <c:pt idx="631">
                  <c:v>0.25</c:v>
                </c:pt>
                <c:pt idx="632">
                  <c:v>0.125</c:v>
                </c:pt>
                <c:pt idx="633">
                  <c:v>0.125</c:v>
                </c:pt>
                <c:pt idx="634">
                  <c:v>0.25</c:v>
                </c:pt>
                <c:pt idx="635">
                  <c:v>0.25</c:v>
                </c:pt>
                <c:pt idx="636">
                  <c:v>0.25</c:v>
                </c:pt>
                <c:pt idx="637">
                  <c:v>0.25</c:v>
                </c:pt>
                <c:pt idx="638">
                  <c:v>0.25</c:v>
                </c:pt>
                <c:pt idx="639">
                  <c:v>0.25</c:v>
                </c:pt>
                <c:pt idx="640">
                  <c:v>0.25</c:v>
                </c:pt>
                <c:pt idx="641">
                  <c:v>0.25</c:v>
                </c:pt>
                <c:pt idx="642">
                  <c:v>0.125</c:v>
                </c:pt>
                <c:pt idx="643">
                  <c:v>0.125</c:v>
                </c:pt>
                <c:pt idx="644">
                  <c:v>0.125</c:v>
                </c:pt>
                <c:pt idx="645">
                  <c:v>0.125</c:v>
                </c:pt>
                <c:pt idx="646">
                  <c:v>0</c:v>
                </c:pt>
                <c:pt idx="647">
                  <c:v>0.125</c:v>
                </c:pt>
                <c:pt idx="648">
                  <c:v>0.125</c:v>
                </c:pt>
                <c:pt idx="649">
                  <c:v>0.125</c:v>
                </c:pt>
                <c:pt idx="650">
                  <c:v>0.25</c:v>
                </c:pt>
                <c:pt idx="651">
                  <c:v>0.25</c:v>
                </c:pt>
                <c:pt idx="652">
                  <c:v>0.25</c:v>
                </c:pt>
                <c:pt idx="653">
                  <c:v>0.25</c:v>
                </c:pt>
                <c:pt idx="654">
                  <c:v>0.25</c:v>
                </c:pt>
                <c:pt idx="655">
                  <c:v>0.125</c:v>
                </c:pt>
                <c:pt idx="656">
                  <c:v>0.125</c:v>
                </c:pt>
                <c:pt idx="657">
                  <c:v>0.125</c:v>
                </c:pt>
                <c:pt idx="658">
                  <c:v>0</c:v>
                </c:pt>
                <c:pt idx="659">
                  <c:v>0</c:v>
                </c:pt>
                <c:pt idx="660">
                  <c:v>0</c:v>
                </c:pt>
                <c:pt idx="661">
                  <c:v>0</c:v>
                </c:pt>
                <c:pt idx="662">
                  <c:v>0.125</c:v>
                </c:pt>
                <c:pt idx="663">
                  <c:v>0.125</c:v>
                </c:pt>
                <c:pt idx="664">
                  <c:v>0.125</c:v>
                </c:pt>
                <c:pt idx="665">
                  <c:v>0.125</c:v>
                </c:pt>
                <c:pt idx="666">
                  <c:v>0.125</c:v>
                </c:pt>
                <c:pt idx="667">
                  <c:v>0.125</c:v>
                </c:pt>
                <c:pt idx="668">
                  <c:v>0.125</c:v>
                </c:pt>
                <c:pt idx="669">
                  <c:v>0.125</c:v>
                </c:pt>
                <c:pt idx="670">
                  <c:v>0</c:v>
                </c:pt>
                <c:pt idx="671">
                  <c:v>0</c:v>
                </c:pt>
                <c:pt idx="672">
                  <c:v>0</c:v>
                </c:pt>
                <c:pt idx="673">
                  <c:v>0</c:v>
                </c:pt>
                <c:pt idx="674">
                  <c:v>0</c:v>
                </c:pt>
                <c:pt idx="675">
                  <c:v>0</c:v>
                </c:pt>
                <c:pt idx="676">
                  <c:v>0</c:v>
                </c:pt>
                <c:pt idx="677">
                  <c:v>0</c:v>
                </c:pt>
                <c:pt idx="678">
                  <c:v>0.125</c:v>
                </c:pt>
                <c:pt idx="679">
                  <c:v>0.125</c:v>
                </c:pt>
                <c:pt idx="680">
                  <c:v>0.125</c:v>
                </c:pt>
                <c:pt idx="681">
                  <c:v>0.125</c:v>
                </c:pt>
                <c:pt idx="682">
                  <c:v>0.125</c:v>
                </c:pt>
                <c:pt idx="683">
                  <c:v>0.125</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4" name="Chart 3">
          <a:extLst>
            <a:ext uri="{FF2B5EF4-FFF2-40B4-BE49-F238E27FC236}">
              <a16:creationId xmlns:a16="http://schemas.microsoft.com/office/drawing/2014/main" id="{4FFF603D-33D5-E5E2-7368-BA58487966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3" name="Chart 2">
          <a:extLst>
            <a:ext uri="{FF2B5EF4-FFF2-40B4-BE49-F238E27FC236}">
              <a16:creationId xmlns:a16="http://schemas.microsoft.com/office/drawing/2014/main" id="{A347C1A5-9F32-3BDC-E34C-C1A9A6968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A3DE33DA-715A-7115-53E0-D340F827E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317</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318</v>
      </c>
      <c r="B13" s="9"/>
      <c r="C13" s="2" t="s">
        <v>319</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zoomScale="85" zoomScaleNormal="85" workbookViewId="0">
      <selection activeCell="A4" sqref="A4"/>
    </sheetView>
  </sheetViews>
  <sheetFormatPr defaultColWidth="11.53125" defaultRowHeight="12.75" x14ac:dyDescent="0.35"/>
  <cols>
    <col min="2" max="2" width="15.19921875" customWidth="1"/>
    <col min="5" max="5" width="16.86328125" customWidth="1"/>
  </cols>
  <sheetData>
    <row r="1" spans="1:23" ht="36.75" thickBot="1" x14ac:dyDescent="0.45">
      <c r="A1" s="259" t="s">
        <v>287</v>
      </c>
      <c r="B1" s="259"/>
      <c r="C1" s="259"/>
      <c r="D1" s="259"/>
      <c r="E1" s="259"/>
      <c r="F1" s="10"/>
      <c r="G1" s="10"/>
      <c r="H1" s="10"/>
      <c r="I1" s="10"/>
      <c r="J1" s="10"/>
      <c r="K1" s="10"/>
      <c r="L1" s="10"/>
      <c r="M1" s="10"/>
      <c r="N1" s="10"/>
      <c r="O1" s="10"/>
    </row>
    <row r="2" spans="1:23" ht="15.75" x14ac:dyDescent="0.5">
      <c r="A2" s="11" t="s">
        <v>411</v>
      </c>
      <c r="B2" s="10"/>
      <c r="C2" s="10"/>
      <c r="D2" s="10"/>
      <c r="E2" s="10"/>
      <c r="F2" s="10"/>
      <c r="G2" s="10"/>
      <c r="H2" s="10"/>
      <c r="I2" s="10"/>
      <c r="J2" s="10"/>
      <c r="K2" s="10"/>
      <c r="L2" s="10"/>
      <c r="M2" s="10"/>
      <c r="N2" s="10"/>
      <c r="O2" s="10"/>
      <c r="P2" s="247" t="s">
        <v>395</v>
      </c>
      <c r="Q2" s="248"/>
      <c r="R2" s="248"/>
      <c r="S2" s="228"/>
      <c r="U2" s="8" t="s">
        <v>396</v>
      </c>
    </row>
    <row r="3" spans="1:23" ht="15.75" x14ac:dyDescent="0.5">
      <c r="A3" t="s">
        <v>412</v>
      </c>
      <c r="B3" s="10"/>
      <c r="C3" s="10"/>
      <c r="D3" s="10"/>
      <c r="E3" s="10"/>
      <c r="F3" s="11" t="s">
        <v>20</v>
      </c>
      <c r="G3" s="11"/>
      <c r="H3" s="10"/>
      <c r="I3" s="10"/>
      <c r="J3" s="10"/>
      <c r="K3" s="67" t="s">
        <v>345</v>
      </c>
      <c r="L3" s="11"/>
      <c r="M3" s="10"/>
      <c r="N3" s="10"/>
      <c r="O3" s="10"/>
      <c r="P3" s="232" t="s">
        <v>403</v>
      </c>
      <c r="Q3" s="10"/>
      <c r="R3" s="249">
        <v>100</v>
      </c>
      <c r="S3" s="230" t="s">
        <v>70</v>
      </c>
      <c r="U3" t="s">
        <v>398</v>
      </c>
      <c r="W3" s="8">
        <v>250</v>
      </c>
    </row>
    <row r="4" spans="1:23" ht="13.9" x14ac:dyDescent="0.4">
      <c r="A4" s="10"/>
      <c r="B4" s="10"/>
      <c r="C4" s="10"/>
      <c r="E4" s="10"/>
      <c r="F4" s="10"/>
      <c r="G4" s="10"/>
      <c r="H4" s="10"/>
      <c r="I4" s="10"/>
      <c r="J4" s="10"/>
      <c r="K4" s="10"/>
      <c r="L4" s="10"/>
      <c r="M4" s="10"/>
      <c r="N4" s="10"/>
      <c r="O4" s="10"/>
      <c r="P4" s="232" t="s">
        <v>404</v>
      </c>
      <c r="R4" s="249">
        <v>100</v>
      </c>
      <c r="S4" s="230" t="s">
        <v>52</v>
      </c>
      <c r="U4" t="s">
        <v>397</v>
      </c>
      <c r="W4" s="8">
        <v>1000</v>
      </c>
    </row>
    <row r="5" spans="1:23" ht="13.9" x14ac:dyDescent="0.4">
      <c r="A5" s="10" t="s">
        <v>21</v>
      </c>
      <c r="B5" s="10"/>
      <c r="C5" s="10"/>
      <c r="D5" s="12" t="s">
        <v>22</v>
      </c>
      <c r="E5" s="10"/>
      <c r="G5" s="10"/>
      <c r="H5" s="10"/>
      <c r="I5" s="10"/>
      <c r="K5" s="10" t="s">
        <v>351</v>
      </c>
      <c r="L5" s="10"/>
      <c r="M5" s="10"/>
      <c r="N5" s="10"/>
      <c r="O5" s="10"/>
      <c r="P5" s="232" t="s">
        <v>405</v>
      </c>
      <c r="R5" s="250">
        <v>1</v>
      </c>
      <c r="S5" s="230" t="s">
        <v>70</v>
      </c>
      <c r="U5" t="s">
        <v>399</v>
      </c>
      <c r="W5" s="8">
        <f>W4*W3/1000</f>
        <v>250</v>
      </c>
    </row>
    <row r="6" spans="1:23" ht="13.15" x14ac:dyDescent="0.4">
      <c r="A6" s="10" t="s">
        <v>23</v>
      </c>
      <c r="B6" s="10"/>
      <c r="C6" s="10"/>
      <c r="D6" s="12" t="s">
        <v>24</v>
      </c>
      <c r="E6" s="10"/>
      <c r="F6" s="10"/>
      <c r="G6" s="10"/>
      <c r="H6" s="10"/>
      <c r="I6" s="10"/>
      <c r="K6" s="10" t="s">
        <v>352</v>
      </c>
      <c r="L6" s="10"/>
      <c r="M6" s="10"/>
      <c r="N6" s="10"/>
      <c r="O6" s="10"/>
      <c r="P6" s="232"/>
      <c r="S6" s="230"/>
    </row>
    <row r="7" spans="1:23" ht="13.9" x14ac:dyDescent="0.4">
      <c r="A7" s="10" t="s">
        <v>25</v>
      </c>
      <c r="B7" s="10"/>
      <c r="C7" s="10"/>
      <c r="D7" s="12" t="s">
        <v>22</v>
      </c>
      <c r="E7" s="10"/>
      <c r="F7" s="10"/>
      <c r="G7" s="10"/>
      <c r="H7" s="10"/>
      <c r="I7" s="10"/>
      <c r="K7" s="10" t="s">
        <v>353</v>
      </c>
      <c r="L7" s="10"/>
      <c r="M7" s="10"/>
      <c r="N7" s="10"/>
      <c r="O7" s="10"/>
      <c r="P7" s="232" t="s">
        <v>402</v>
      </c>
      <c r="R7" s="251">
        <f>R5/R3*R4</f>
        <v>1</v>
      </c>
      <c r="S7" s="230" t="s">
        <v>52</v>
      </c>
    </row>
    <row r="8" spans="1:23" ht="13.9" x14ac:dyDescent="0.4">
      <c r="A8" s="10" t="s">
        <v>26</v>
      </c>
      <c r="B8" s="10"/>
      <c r="C8" s="10"/>
      <c r="D8" s="12" t="s">
        <v>24</v>
      </c>
      <c r="E8" s="10"/>
      <c r="F8" s="10"/>
      <c r="G8" s="10"/>
      <c r="H8" s="10"/>
      <c r="I8" s="10"/>
      <c r="K8" s="10" t="s">
        <v>356</v>
      </c>
      <c r="L8" s="10"/>
      <c r="M8" s="10"/>
      <c r="N8" s="10"/>
      <c r="O8" s="10"/>
      <c r="P8" s="232" t="s">
        <v>406</v>
      </c>
      <c r="R8" s="252">
        <f>R4*(1-R5/R3)</f>
        <v>99</v>
      </c>
      <c r="S8" s="230" t="s">
        <v>52</v>
      </c>
    </row>
    <row r="9" spans="1:23" ht="13.5" thickBot="1" x14ac:dyDescent="0.45">
      <c r="A9" s="10" t="s">
        <v>27</v>
      </c>
      <c r="B9" s="10"/>
      <c r="C9" s="10"/>
      <c r="D9" s="93">
        <v>45832</v>
      </c>
      <c r="E9" s="10"/>
      <c r="F9" s="10"/>
      <c r="G9" s="10"/>
      <c r="H9" s="10"/>
      <c r="I9" s="10"/>
      <c r="K9" s="10" t="s">
        <v>357</v>
      </c>
      <c r="L9" s="10"/>
      <c r="M9" s="10"/>
      <c r="N9" s="10"/>
      <c r="O9" s="10"/>
      <c r="P9" s="233"/>
      <c r="Q9" s="253"/>
      <c r="R9" s="253"/>
      <c r="S9" s="235"/>
    </row>
    <row r="10" spans="1:23" ht="13.15" x14ac:dyDescent="0.4">
      <c r="A10" s="10" t="s">
        <v>28</v>
      </c>
      <c r="B10" s="10"/>
      <c r="C10" s="10"/>
      <c r="D10" s="13" t="s">
        <v>29</v>
      </c>
      <c r="E10" s="10"/>
      <c r="F10" s="10"/>
      <c r="G10" s="10"/>
      <c r="H10" s="10"/>
      <c r="I10" s="10"/>
      <c r="K10" s="10" t="s">
        <v>358</v>
      </c>
      <c r="L10" s="10"/>
      <c r="M10" s="10"/>
      <c r="N10" s="10"/>
      <c r="O10" s="10"/>
    </row>
    <row r="11" spans="1:23" ht="13.15" x14ac:dyDescent="0.4">
      <c r="A11" s="10" t="s">
        <v>30</v>
      </c>
      <c r="B11" s="10"/>
      <c r="C11" s="10"/>
      <c r="D11" s="14">
        <v>35</v>
      </c>
      <c r="E11" s="10"/>
      <c r="F11" s="10"/>
      <c r="G11" s="10"/>
      <c r="H11" s="10"/>
      <c r="I11" s="10"/>
      <c r="K11" s="10"/>
      <c r="L11" s="10"/>
      <c r="M11" s="10"/>
      <c r="N11" s="10"/>
      <c r="O11" s="10"/>
      <c r="P11" s="8" t="s">
        <v>400</v>
      </c>
    </row>
    <row r="12" spans="1:23" ht="13.15" x14ac:dyDescent="0.4">
      <c r="A12" s="10"/>
      <c r="B12" s="10"/>
      <c r="C12" s="10"/>
      <c r="D12" s="12"/>
      <c r="E12" s="10"/>
      <c r="F12" s="10"/>
      <c r="G12" s="10"/>
      <c r="H12" s="10"/>
      <c r="I12" s="10"/>
      <c r="K12" s="10"/>
      <c r="L12" s="10"/>
      <c r="M12" s="10"/>
      <c r="N12" s="10"/>
      <c r="O12" s="10"/>
      <c r="P12" t="s">
        <v>34</v>
      </c>
      <c r="Q12" s="10"/>
      <c r="R12" s="65">
        <v>100</v>
      </c>
    </row>
    <row r="13" spans="1:23" ht="13.15" x14ac:dyDescent="0.4">
      <c r="A13" s="10" t="s">
        <v>31</v>
      </c>
      <c r="B13" s="10"/>
      <c r="C13" s="10"/>
      <c r="D13" s="12">
        <v>40000</v>
      </c>
      <c r="E13" s="10"/>
      <c r="F13" s="10"/>
      <c r="G13" s="10"/>
      <c r="H13" s="10"/>
      <c r="I13" s="10"/>
      <c r="K13" s="10"/>
      <c r="L13" s="10"/>
      <c r="M13" s="10"/>
      <c r="N13" s="10"/>
      <c r="O13" s="10"/>
      <c r="P13" t="s">
        <v>401</v>
      </c>
      <c r="R13" s="65">
        <v>500</v>
      </c>
    </row>
    <row r="14" spans="1:23" ht="13.15" x14ac:dyDescent="0.4">
      <c r="A14" s="10" t="s">
        <v>32</v>
      </c>
      <c r="B14" s="10"/>
      <c r="C14" s="10"/>
      <c r="D14" s="12">
        <v>6300</v>
      </c>
      <c r="E14" s="10"/>
      <c r="F14" s="10"/>
      <c r="G14" s="10"/>
      <c r="H14" s="10"/>
      <c r="I14" s="10"/>
      <c r="K14" s="10"/>
      <c r="L14" s="10"/>
      <c r="M14" s="10"/>
      <c r="N14" s="10"/>
      <c r="O14" s="10"/>
      <c r="P14" t="s">
        <v>394</v>
      </c>
      <c r="R14" s="245">
        <v>6.5</v>
      </c>
    </row>
    <row r="15" spans="1:23" ht="13.15" x14ac:dyDescent="0.4">
      <c r="A15" s="67" t="s">
        <v>33</v>
      </c>
      <c r="B15" s="10"/>
      <c r="C15" s="10"/>
      <c r="D15" s="150">
        <f>D13/D14*0.25</f>
        <v>1.5873015873015872</v>
      </c>
      <c r="E15" s="10"/>
      <c r="F15" s="10"/>
      <c r="G15" s="10"/>
      <c r="H15" s="10"/>
      <c r="I15" s="10"/>
      <c r="K15" s="10"/>
      <c r="L15" s="10"/>
      <c r="M15" s="10"/>
      <c r="N15" s="10"/>
      <c r="O15" s="10"/>
      <c r="P15" t="s">
        <v>402</v>
      </c>
      <c r="R15">
        <f>R14*R13/R12</f>
        <v>32.5</v>
      </c>
    </row>
    <row r="16" spans="1:23" ht="13.15" x14ac:dyDescent="0.4">
      <c r="D16" s="68"/>
      <c r="E16" s="10"/>
      <c r="F16" s="10"/>
      <c r="G16" s="10"/>
      <c r="H16" s="10"/>
      <c r="I16" s="10"/>
      <c r="K16" s="10"/>
      <c r="L16" s="10"/>
      <c r="M16" s="10"/>
      <c r="N16" s="10"/>
      <c r="O16" s="10"/>
      <c r="P16" t="s">
        <v>78</v>
      </c>
      <c r="R16" s="8">
        <v>3.27</v>
      </c>
    </row>
    <row r="17" spans="1:18" ht="13.15" x14ac:dyDescent="0.4">
      <c r="A17" t="s">
        <v>34</v>
      </c>
      <c r="B17" s="10"/>
      <c r="C17" s="10"/>
      <c r="D17" s="65">
        <v>100</v>
      </c>
      <c r="E17" s="10"/>
      <c r="F17" s="10"/>
      <c r="G17" s="10"/>
      <c r="H17" s="10"/>
      <c r="I17" s="10"/>
      <c r="K17" s="10"/>
      <c r="L17" s="10"/>
      <c r="M17" s="10"/>
      <c r="N17" s="10"/>
      <c r="O17" s="10"/>
      <c r="P17" t="s">
        <v>312</v>
      </c>
      <c r="R17" s="246">
        <f>R16*R12/(R13+R16)</f>
        <v>0.64975063087408347</v>
      </c>
    </row>
    <row r="18" spans="1:18" ht="13.15" x14ac:dyDescent="0.4">
      <c r="A18" t="s">
        <v>292</v>
      </c>
      <c r="D18" s="65">
        <v>100</v>
      </c>
      <c r="E18" s="10"/>
      <c r="F18" s="10"/>
      <c r="G18" s="10"/>
      <c r="H18" s="10"/>
      <c r="I18" s="10"/>
      <c r="K18" s="10"/>
      <c r="L18" s="10"/>
      <c r="M18" s="10"/>
      <c r="N18" s="10"/>
      <c r="O18" s="10"/>
    </row>
    <row r="19" spans="1:18" ht="13.15" x14ac:dyDescent="0.4">
      <c r="A19" t="s">
        <v>35</v>
      </c>
      <c r="D19" s="15">
        <f>D18*D15/1000</f>
        <v>0.15873015873015872</v>
      </c>
      <c r="E19" s="10"/>
      <c r="F19" s="10"/>
      <c r="G19" s="10"/>
      <c r="H19" s="10"/>
      <c r="I19" s="10"/>
      <c r="K19" s="10"/>
      <c r="L19" s="10"/>
      <c r="M19" s="10"/>
      <c r="N19" s="13"/>
      <c r="O19" s="10"/>
    </row>
    <row r="20" spans="1:18" ht="13.15" x14ac:dyDescent="0.4">
      <c r="A20" t="s">
        <v>36</v>
      </c>
      <c r="D20" s="151">
        <f>D19/D17*1000</f>
        <v>1.5873015873015872</v>
      </c>
      <c r="E20" s="10"/>
      <c r="F20" s="10"/>
      <c r="G20" s="10"/>
      <c r="H20" s="10"/>
      <c r="I20" s="10"/>
      <c r="K20" s="10"/>
      <c r="L20" s="10"/>
      <c r="M20" s="10"/>
      <c r="N20" s="12"/>
      <c r="O20" s="10"/>
    </row>
    <row r="21" spans="1:18" ht="13.15" x14ac:dyDescent="0.4">
      <c r="A21" t="s">
        <v>293</v>
      </c>
      <c r="D21" s="152">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37</v>
      </c>
      <c r="D23" s="12" t="s">
        <v>38</v>
      </c>
      <c r="E23" s="10"/>
      <c r="F23" s="10" t="s">
        <v>27</v>
      </c>
      <c r="G23" s="10"/>
      <c r="H23" s="93">
        <v>45832</v>
      </c>
      <c r="I23" s="10"/>
      <c r="K23" s="10" t="s">
        <v>27</v>
      </c>
      <c r="L23" s="10"/>
      <c r="M23" s="93">
        <v>45987</v>
      </c>
      <c r="N23" s="12"/>
      <c r="O23" s="10"/>
    </row>
    <row r="24" spans="1:18" ht="13.15" x14ac:dyDescent="0.4">
      <c r="A24" s="10"/>
      <c r="B24" s="10" t="s">
        <v>39</v>
      </c>
      <c r="C24" s="17">
        <v>10328.31</v>
      </c>
      <c r="D24" s="18">
        <f>(C24-$C$30)/$C$30</f>
        <v>-1.1926553370723604E-2</v>
      </c>
      <c r="E24" s="10"/>
      <c r="F24" s="10" t="s">
        <v>28</v>
      </c>
      <c r="G24" s="10"/>
      <c r="H24" s="12" t="s">
        <v>29</v>
      </c>
      <c r="I24" s="10"/>
      <c r="K24" s="10" t="s">
        <v>28</v>
      </c>
      <c r="L24" s="10"/>
      <c r="M24" s="12" t="s">
        <v>29</v>
      </c>
      <c r="N24" s="12"/>
      <c r="O24" s="10"/>
    </row>
    <row r="25" spans="1:18" ht="13.15" x14ac:dyDescent="0.4">
      <c r="A25" s="10"/>
      <c r="B25" s="10" t="s">
        <v>40</v>
      </c>
      <c r="C25" s="19">
        <v>10474.82</v>
      </c>
      <c r="D25" s="18">
        <f>(C25-$C$30)/$C$30</f>
        <v>2.0895480694593017E-3</v>
      </c>
      <c r="E25" s="10"/>
      <c r="F25" s="10" t="s">
        <v>41</v>
      </c>
      <c r="G25" s="10"/>
      <c r="H25" s="12" t="s">
        <v>24</v>
      </c>
      <c r="I25" s="10"/>
      <c r="K25" s="10" t="s">
        <v>41</v>
      </c>
      <c r="L25" s="10"/>
      <c r="M25" s="12" t="s">
        <v>346</v>
      </c>
      <c r="N25" s="12"/>
      <c r="O25" s="10"/>
    </row>
    <row r="26" spans="1:18" ht="13.9" customHeight="1" x14ac:dyDescent="0.4">
      <c r="A26" s="10"/>
      <c r="B26" s="10" t="s">
        <v>42</v>
      </c>
      <c r="C26" s="19">
        <v>10444.34</v>
      </c>
      <c r="D26" s="18">
        <f>(C26-$C$30)/$C$30</f>
        <v>-8.2636737588073089E-4</v>
      </c>
      <c r="E26" s="10"/>
      <c r="F26" s="10"/>
      <c r="G26" s="10"/>
      <c r="H26" s="12"/>
      <c r="I26" s="10"/>
    </row>
    <row r="27" spans="1:18" ht="13.15" x14ac:dyDescent="0.4">
      <c r="A27" s="10"/>
      <c r="B27" s="10" t="s">
        <v>43</v>
      </c>
      <c r="C27" s="19">
        <v>10591.38</v>
      </c>
      <c r="D27" s="18">
        <f>(C27-$C$30)/$C$30</f>
        <v>1.3240437318436913E-2</v>
      </c>
      <c r="E27" s="10"/>
      <c r="F27" s="10" t="s">
        <v>44</v>
      </c>
      <c r="G27" s="10"/>
      <c r="H27" s="12"/>
      <c r="I27" s="10"/>
      <c r="K27" s="183" t="s">
        <v>354</v>
      </c>
      <c r="L27" s="107"/>
      <c r="M27" s="122">
        <f>AVERAGE('A - B1'!$G$11, 'A - B2'!$G$11,'A - B3'!$G$11,'A - B4'!$G$11,'A - B5'!$G$11)</f>
        <v>1783.4873937</v>
      </c>
    </row>
    <row r="28" spans="1:18" ht="13.15" x14ac:dyDescent="0.4">
      <c r="A28" s="10"/>
      <c r="B28" s="10" t="s">
        <v>45</v>
      </c>
      <c r="C28" s="20">
        <v>10426.040000000001</v>
      </c>
      <c r="D28" s="18">
        <f>(C28-$C$30)/$C$30</f>
        <v>-2.5770646412915329E-3</v>
      </c>
      <c r="E28" s="10"/>
      <c r="F28" s="10" t="s">
        <v>46</v>
      </c>
      <c r="G28" s="10"/>
      <c r="H28" s="12" t="s">
        <v>47</v>
      </c>
      <c r="I28" s="10"/>
      <c r="K28" s="183" t="s">
        <v>355</v>
      </c>
      <c r="L28" s="107"/>
      <c r="M28" s="184">
        <v>2000</v>
      </c>
    </row>
    <row r="29" spans="1:18" ht="13.15" x14ac:dyDescent="0.4">
      <c r="A29" s="10"/>
      <c r="B29" s="10"/>
      <c r="C29" s="10"/>
      <c r="D29" s="10"/>
      <c r="E29" s="10"/>
      <c r="F29" s="10" t="s">
        <v>48</v>
      </c>
      <c r="G29" s="10"/>
      <c r="H29" s="16">
        <v>8.3870000000000005</v>
      </c>
      <c r="I29" s="10"/>
      <c r="K29" s="131" t="s">
        <v>264</v>
      </c>
      <c r="L29" s="131"/>
      <c r="M29" s="185">
        <f>M27/M28</f>
        <v>0.89174369684999999</v>
      </c>
    </row>
    <row r="30" spans="1:18" ht="13.15" x14ac:dyDescent="0.4">
      <c r="A30" s="10"/>
      <c r="B30" s="10" t="s">
        <v>49</v>
      </c>
      <c r="C30" s="21">
        <f>AVERAGE(C24:C28)</f>
        <v>10452.977999999999</v>
      </c>
      <c r="D30" s="10"/>
      <c r="E30" s="10"/>
      <c r="F30" s="10" t="s">
        <v>294</v>
      </c>
      <c r="G30" s="10"/>
      <c r="H30" s="16">
        <v>95.525999999999996</v>
      </c>
      <c r="I30" s="10"/>
    </row>
    <row r="31" spans="1:18" ht="13.15" x14ac:dyDescent="0.4">
      <c r="A31" s="10"/>
      <c r="B31" s="10" t="s">
        <v>50</v>
      </c>
      <c r="C31" s="21">
        <f>STDEVP(C24:C28)</f>
        <v>84.822836170455702</v>
      </c>
      <c r="D31" s="10"/>
      <c r="E31" s="10"/>
      <c r="F31" s="10" t="s">
        <v>51</v>
      </c>
      <c r="G31" s="10"/>
      <c r="H31" s="12">
        <v>20</v>
      </c>
      <c r="I31" s="10" t="s">
        <v>52</v>
      </c>
      <c r="K31" t="s">
        <v>359</v>
      </c>
      <c r="M31" s="186">
        <f>(M29-1)*1000</f>
        <v>-108.25630315000001</v>
      </c>
    </row>
    <row r="32" spans="1:18" ht="13.15" x14ac:dyDescent="0.4">
      <c r="A32" s="10"/>
      <c r="B32" s="10"/>
      <c r="C32" s="21"/>
      <c r="D32" s="10"/>
      <c r="E32" s="10"/>
      <c r="F32" s="10" t="s">
        <v>53</v>
      </c>
      <c r="G32" s="10"/>
      <c r="H32" s="12">
        <v>50</v>
      </c>
      <c r="I32" s="10" t="s">
        <v>52</v>
      </c>
    </row>
    <row r="33" spans="1:10" ht="13.15" x14ac:dyDescent="0.4">
      <c r="A33" s="10"/>
      <c r="B33" s="10"/>
      <c r="C33" s="10"/>
      <c r="D33" s="10"/>
      <c r="E33" s="10"/>
      <c r="F33" s="10" t="s">
        <v>295</v>
      </c>
      <c r="G33" s="10"/>
      <c r="H33" s="12">
        <f>H31+H32</f>
        <v>70</v>
      </c>
      <c r="I33" s="10" t="s">
        <v>52</v>
      </c>
    </row>
    <row r="34" spans="1:10" ht="13.15" x14ac:dyDescent="0.4">
      <c r="A34" s="10"/>
      <c r="B34" s="10"/>
      <c r="C34" s="18"/>
      <c r="D34" s="10"/>
      <c r="E34" s="10"/>
      <c r="F34" s="10" t="s">
        <v>296</v>
      </c>
      <c r="G34" s="10"/>
      <c r="H34" s="16">
        <v>35.415999999999997</v>
      </c>
      <c r="I34" s="10" t="s">
        <v>54</v>
      </c>
    </row>
    <row r="35" spans="1:10" ht="13.15" x14ac:dyDescent="0.4">
      <c r="A35" s="10"/>
      <c r="B35" s="10"/>
      <c r="C35" s="10"/>
      <c r="D35" s="10"/>
      <c r="F35" s="10" t="s">
        <v>55</v>
      </c>
      <c r="G35" s="10"/>
      <c r="H35" s="16">
        <f>H30-H34</f>
        <v>60.11</v>
      </c>
      <c r="I35" s="10"/>
    </row>
    <row r="36" spans="1:10" ht="13.15" x14ac:dyDescent="0.4">
      <c r="A36" s="10"/>
      <c r="B36" s="10"/>
      <c r="C36" s="10"/>
      <c r="D36" s="10"/>
      <c r="F36" s="22" t="s">
        <v>56</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57</v>
      </c>
      <c r="C38" s="18">
        <f>C31/C30</f>
        <v>8.1147053184705553E-3</v>
      </c>
      <c r="D38" s="10" t="str">
        <f>IF(C38&lt;0.03,"&lt;3% = PASS","&gt;3% = FAIL")</f>
        <v>&lt;3% = PASS</v>
      </c>
      <c r="F38" s="10" t="s">
        <v>58</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266</v>
      </c>
      <c r="B2" s="260"/>
      <c r="C2" s="260"/>
      <c r="D2" s="260"/>
      <c r="E2" s="260"/>
      <c r="H2" s="72" t="s">
        <v>127</v>
      </c>
    </row>
    <row r="3" spans="1:49" ht="13.15" x14ac:dyDescent="0.4">
      <c r="A3" t="s">
        <v>128</v>
      </c>
      <c r="B3" s="73"/>
      <c r="D3" t="s">
        <v>129</v>
      </c>
      <c r="E3" s="8">
        <f>'Clause 6'!$G$12</f>
        <v>1</v>
      </c>
    </row>
    <row r="4" spans="1:49" ht="18.100000000000001" customHeight="1" x14ac:dyDescent="1.05">
      <c r="A4" s="8" t="s">
        <v>27</v>
      </c>
      <c r="B4" s="74"/>
      <c r="O4" s="75"/>
    </row>
    <row r="5" spans="1:49" ht="13.15" x14ac:dyDescent="0.4">
      <c r="A5" s="8" t="s">
        <v>115</v>
      </c>
      <c r="B5" s="181"/>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139</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140</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141</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142</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143</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144</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145</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157</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158</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159</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160</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161</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162</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163</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164</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165</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166</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167</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168</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c r="Q51" s="65" t="s">
        <v>39</v>
      </c>
      <c r="R51" s="65" t="s">
        <v>40</v>
      </c>
      <c r="S51" s="65" t="s">
        <v>42</v>
      </c>
      <c r="T51" s="65" t="s">
        <v>43</v>
      </c>
      <c r="U51" s="65" t="s">
        <v>45</v>
      </c>
      <c r="V51" s="65" t="s">
        <v>39</v>
      </c>
      <c r="W51" s="65" t="s">
        <v>40</v>
      </c>
      <c r="X51" s="65" t="s">
        <v>42</v>
      </c>
      <c r="Y51" s="65" t="s">
        <v>43</v>
      </c>
      <c r="Z51" s="65" t="s">
        <v>45</v>
      </c>
      <c r="AA51" s="65"/>
      <c r="AB51" s="65"/>
      <c r="AC51" s="65"/>
      <c r="AD51" s="65"/>
      <c r="AE51" s="65"/>
    </row>
    <row r="52" spans="1:31" ht="13.15" x14ac:dyDescent="0.4">
      <c r="A52" s="65" t="s">
        <v>180</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85" spans="1:32" x14ac:dyDescent="0.35">
      <c r="B85" t="s">
        <v>390</v>
      </c>
    </row>
    <row r="92" spans="1:32" x14ac:dyDescent="0.35">
      <c r="A92" t="s">
        <v>348</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181</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139</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140</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141</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142</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143</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144</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145</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157</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158</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159</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160</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161</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162</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163</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164</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165</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166</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167</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168</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182</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139</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140</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141</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142</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143</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144</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145</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157</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158</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159</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160</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161</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162</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163</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164</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165</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166</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167</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168</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349</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139</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140</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141</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142</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143</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144</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145</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157</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158</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159</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160</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161</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162</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163</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164</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165</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166</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167</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168</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126</v>
      </c>
    </row>
    <row r="2" spans="1:49" ht="40.15" x14ac:dyDescent="0.4">
      <c r="A2" s="260" t="s">
        <v>350</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139</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140</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141</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142</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143</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144</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145</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157</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158</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159</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160</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161</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162</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163</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164</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165</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166</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167</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168</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zoomScale="70" zoomScaleNormal="70" workbookViewId="0">
      <selection activeCell="G37" sqref="G37"/>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3" t="s">
        <v>320</v>
      </c>
    </row>
    <row r="2" spans="1:1009" ht="53" customHeight="1" x14ac:dyDescent="1.05">
      <c r="A2" s="3" t="s">
        <v>10</v>
      </c>
      <c r="B2" s="32" t="s">
        <v>8</v>
      </c>
      <c r="C2" s="261" t="s">
        <v>11</v>
      </c>
      <c r="D2" s="261"/>
      <c r="E2" s="261"/>
      <c r="F2" s="261"/>
      <c r="G2" s="261"/>
      <c r="H2" s="261"/>
      <c r="I2" s="261"/>
      <c r="J2" s="261"/>
      <c r="K2" s="261"/>
      <c r="L2" s="261"/>
      <c r="M2" s="9"/>
      <c r="N2" s="33"/>
      <c r="Q2" s="9" t="s">
        <v>367</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21</v>
      </c>
      <c r="B4" s="36"/>
      <c r="C4" s="36"/>
      <c r="D4" s="37" t="s">
        <v>360</v>
      </c>
      <c r="P4" s="35"/>
      <c r="Q4" s="36"/>
      <c r="R4" s="36"/>
      <c r="S4" s="83" t="s">
        <v>371</v>
      </c>
      <c r="T4" s="83" t="s">
        <v>371</v>
      </c>
      <c r="U4" s="83" t="s">
        <v>371</v>
      </c>
      <c r="V4" s="83" t="s">
        <v>371</v>
      </c>
      <c r="W4" s="83" t="s">
        <v>371</v>
      </c>
      <c r="X4" s="83" t="s">
        <v>371</v>
      </c>
      <c r="Y4" s="83" t="s">
        <v>371</v>
      </c>
      <c r="Z4" s="83" t="s">
        <v>371</v>
      </c>
      <c r="AA4" s="83" t="s">
        <v>371</v>
      </c>
      <c r="AB4" s="83" t="s">
        <v>371</v>
      </c>
      <c r="AC4" s="190" t="s">
        <v>366</v>
      </c>
      <c r="AD4" s="191"/>
      <c r="AE4" s="37" t="s">
        <v>372</v>
      </c>
    </row>
    <row r="5" spans="1:1009" x14ac:dyDescent="0.4">
      <c r="A5" s="38" t="s">
        <v>23</v>
      </c>
      <c r="D5" s="39" t="s">
        <v>346</v>
      </c>
      <c r="P5" s="47"/>
      <c r="Q5" s="87" t="s">
        <v>60</v>
      </c>
      <c r="R5" s="87" t="s">
        <v>52</v>
      </c>
      <c r="S5" s="192">
        <v>4</v>
      </c>
      <c r="T5" s="192">
        <v>5</v>
      </c>
      <c r="U5" s="192">
        <v>6</v>
      </c>
      <c r="V5" s="192">
        <v>7</v>
      </c>
      <c r="W5" s="192">
        <v>8</v>
      </c>
      <c r="X5" s="192">
        <v>9</v>
      </c>
      <c r="Y5" s="192">
        <v>10</v>
      </c>
      <c r="Z5" s="192">
        <v>11</v>
      </c>
      <c r="AA5" s="192">
        <v>12</v>
      </c>
      <c r="AB5" s="192">
        <v>13</v>
      </c>
      <c r="AC5" s="193">
        <f>S5</f>
        <v>4</v>
      </c>
      <c r="AD5" s="192" t="s">
        <v>49</v>
      </c>
      <c r="AE5" s="88" t="s">
        <v>373</v>
      </c>
    </row>
    <row r="6" spans="1:1009" x14ac:dyDescent="0.4">
      <c r="A6" s="38" t="s">
        <v>26</v>
      </c>
      <c r="D6" s="39" t="s">
        <v>346</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3">
        <f t="shared" ref="AC6:AC69" si="0">S6</f>
        <v>149.99073799999999</v>
      </c>
      <c r="AD6" s="9"/>
      <c r="AE6" s="45"/>
    </row>
    <row r="7" spans="1:1009" x14ac:dyDescent="0.4">
      <c r="A7" s="38" t="s">
        <v>27</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3">
        <f t="shared" si="0"/>
        <v>144.14454699999999</v>
      </c>
      <c r="AE7" s="45"/>
    </row>
    <row r="8" spans="1:1009" x14ac:dyDescent="0.4">
      <c r="A8" s="38" t="s">
        <v>28</v>
      </c>
      <c r="D8" s="41" t="s">
        <v>29</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3">
        <f t="shared" si="0"/>
        <v>155.511169</v>
      </c>
      <c r="AD8" s="42"/>
      <c r="AE8" s="45"/>
    </row>
    <row r="9" spans="1:1009" x14ac:dyDescent="0.4">
      <c r="A9" s="38" t="s">
        <v>30</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3">
        <f t="shared" si="0"/>
        <v>142.84118699999999</v>
      </c>
      <c r="AD9" s="42"/>
      <c r="AE9" s="194"/>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3">
        <f t="shared" si="0"/>
        <v>125.786621</v>
      </c>
      <c r="AD10" s="42">
        <f>AVERAGE(AC6:AC10)</f>
        <v>143.65485239999998</v>
      </c>
      <c r="AE10" s="194">
        <f>(MAX(AC6:AC10)-MIN(AC6:AC10))/AD10*100</f>
        <v>20.691642157156956</v>
      </c>
    </row>
    <row r="11" spans="1:1009" x14ac:dyDescent="0.4">
      <c r="A11" s="47" t="s">
        <v>69</v>
      </c>
      <c r="B11" s="48"/>
      <c r="C11" s="48"/>
      <c r="D11" s="49" t="s">
        <v>364</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3">
        <f t="shared" si="0"/>
        <v>2317.7639159999999</v>
      </c>
      <c r="AD11" s="42"/>
      <c r="AE11" s="194"/>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3">
        <f t="shared" si="0"/>
        <v>2389.515625</v>
      </c>
      <c r="AD12" s="42"/>
      <c r="AE12" s="194"/>
    </row>
    <row r="13" spans="1:1009" x14ac:dyDescent="0.4">
      <c r="A13">
        <v>6300</v>
      </c>
      <c r="B13" t="s">
        <v>61</v>
      </c>
      <c r="C13" t="s">
        <v>62</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3">
        <f t="shared" si="0"/>
        <v>2381.0483399999998</v>
      </c>
      <c r="AD13" s="42"/>
      <c r="AE13" s="194"/>
    </row>
    <row r="14" spans="1:1009" x14ac:dyDescent="0.4">
      <c r="A14">
        <v>12.74</v>
      </c>
      <c r="B14" t="s">
        <v>63</v>
      </c>
      <c r="C14" t="s">
        <v>64</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3">
        <f t="shared" si="0"/>
        <v>2478.9184570000002</v>
      </c>
      <c r="AD14" s="42"/>
      <c r="AE14" s="194"/>
    </row>
    <row r="15" spans="1:1009" x14ac:dyDescent="0.4">
      <c r="A15" s="8">
        <v>20000</v>
      </c>
      <c r="B15" t="s">
        <v>37</v>
      </c>
      <c r="C15" t="s">
        <v>65</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3">
        <f t="shared" si="0"/>
        <v>2386.2517090000001</v>
      </c>
      <c r="AD15" s="42">
        <f>AVERAGE(AC11:AC15)</f>
        <v>2390.6996093999996</v>
      </c>
      <c r="AE15" s="194">
        <f>(MAX(AC11:AC15)-MIN(AC11:AC15))/AD15*100</f>
        <v>6.7408946053429828</v>
      </c>
    </row>
    <row r="16" spans="1:1009" x14ac:dyDescent="0.4">
      <c r="A16">
        <f>A15/10</f>
        <v>2000</v>
      </c>
      <c r="B16" t="s">
        <v>37</v>
      </c>
      <c r="C16" t="s">
        <v>66</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3">
        <f t="shared" si="0"/>
        <v>4602.6645509999998</v>
      </c>
      <c r="AD16" s="42"/>
      <c r="AE16" s="194"/>
    </row>
    <row r="17" spans="1:1009" x14ac:dyDescent="0.4">
      <c r="A17" s="204">
        <f>A16/A13*A14</f>
        <v>4.0444444444444443</v>
      </c>
      <c r="B17" t="s">
        <v>67</v>
      </c>
      <c r="C17" t="s">
        <v>68</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3">
        <f t="shared" si="0"/>
        <v>4729.8095700000003</v>
      </c>
      <c r="AD17" s="42"/>
      <c r="AE17" s="194"/>
    </row>
    <row r="18" spans="1:1009" x14ac:dyDescent="0.4">
      <c r="A18" s="182">
        <f>A17*100</f>
        <v>404.44444444444446</v>
      </c>
      <c r="B18" t="s">
        <v>70</v>
      </c>
      <c r="C18" t="s">
        <v>71</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3">
        <f t="shared" si="0"/>
        <v>4708.2114259999998</v>
      </c>
      <c r="AD18" s="42"/>
      <c r="AE18" s="194"/>
    </row>
    <row r="19" spans="1:1009" x14ac:dyDescent="0.4">
      <c r="A19">
        <v>200</v>
      </c>
      <c r="B19" t="s">
        <v>52</v>
      </c>
      <c r="C19" t="s">
        <v>72</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3">
        <f t="shared" si="0"/>
        <v>4710.2495120000003</v>
      </c>
      <c r="AD19" s="42"/>
      <c r="AE19" s="194"/>
    </row>
    <row r="20" spans="1:1009" x14ac:dyDescent="0.4">
      <c r="A20" s="51">
        <f>A18*A19/1000</f>
        <v>80.888888888888886</v>
      </c>
      <c r="B20" t="s">
        <v>67</v>
      </c>
      <c r="C20" t="s">
        <v>73</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3">
        <f t="shared" si="0"/>
        <v>4728.576172</v>
      </c>
      <c r="AD20" s="42">
        <f>AVERAGE(AC16:AC20)</f>
        <v>4695.9022462000003</v>
      </c>
      <c r="AE20" s="194">
        <f>(MAX(AC16:AC20)-MIN(AC16:AC20))/AD20*100</f>
        <v>2.7075738023057934</v>
      </c>
    </row>
    <row r="21" spans="1:1009" x14ac:dyDescent="0.4">
      <c r="A21">
        <v>200</v>
      </c>
      <c r="B21" t="s">
        <v>67</v>
      </c>
      <c r="C21" t="s">
        <v>374</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3">
        <f t="shared" si="0"/>
        <v>6657.7880859999996</v>
      </c>
      <c r="AD21" s="42"/>
      <c r="AE21" s="194"/>
    </row>
    <row r="22" spans="1:1009" x14ac:dyDescent="0.4">
      <c r="A22" s="50">
        <f>A18*A21/A20</f>
        <v>1000.0000000000001</v>
      </c>
      <c r="B22" t="s">
        <v>70</v>
      </c>
      <c r="C22" t="s">
        <v>75</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3">
        <f t="shared" si="0"/>
        <v>6747.185547</v>
      </c>
      <c r="AD22" s="42"/>
      <c r="AE22" s="194"/>
    </row>
    <row r="23" spans="1:1009" x14ac:dyDescent="0.4">
      <c r="A23" s="50">
        <f>A20/A21*10</f>
        <v>4.0444444444444443</v>
      </c>
      <c r="B23" t="s">
        <v>52</v>
      </c>
      <c r="C23" t="s">
        <v>76</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3">
        <f t="shared" si="0"/>
        <v>6567.9985349999997</v>
      </c>
      <c r="AD23" s="42"/>
      <c r="AE23" s="194"/>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3">
        <f t="shared" si="0"/>
        <v>6657.5810549999997</v>
      </c>
      <c r="AD24" s="42"/>
      <c r="AE24" s="194"/>
    </row>
    <row r="25" spans="1:1009" x14ac:dyDescent="0.4">
      <c r="A25" s="205">
        <v>10000</v>
      </c>
      <c r="B25" s="36"/>
      <c r="C25" s="36" t="s">
        <v>370</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3">
        <f t="shared" si="0"/>
        <v>6655.1240230000003</v>
      </c>
      <c r="AD25" s="42">
        <f>AVERAGE(AC21:AC25)</f>
        <v>6657.1354492</v>
      </c>
      <c r="AE25" s="194">
        <f>(MAX(AC21:AC25)-MIN(AC21:AC25))/AD25*100</f>
        <v>2.691653390070853</v>
      </c>
    </row>
    <row r="26" spans="1:1009" x14ac:dyDescent="0.4">
      <c r="A26" s="38">
        <v>0</v>
      </c>
      <c r="C26" t="s">
        <v>369</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3">
        <f t="shared" si="0"/>
        <v>8535.2109380000002</v>
      </c>
      <c r="AD26" s="42"/>
      <c r="AE26" s="194"/>
    </row>
    <row r="27" spans="1:1009" x14ac:dyDescent="0.4">
      <c r="A27" s="47">
        <v>0.24</v>
      </c>
      <c r="B27" s="48"/>
      <c r="C27" s="48" t="s">
        <v>368</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3">
        <f t="shared" si="0"/>
        <v>8813.6425780000009</v>
      </c>
      <c r="AD27" s="42"/>
      <c r="AE27" s="194"/>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3">
        <f t="shared" si="0"/>
        <v>8563.2880860000005</v>
      </c>
      <c r="AD28" s="42"/>
      <c r="AE28" s="194"/>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3">
        <f t="shared" si="0"/>
        <v>8983.5351559999999</v>
      </c>
      <c r="AD29" s="42"/>
      <c r="AE29" s="194"/>
    </row>
    <row r="30" spans="1:1009" x14ac:dyDescent="0.4">
      <c r="A30" s="52"/>
      <c r="B30" s="52"/>
      <c r="C30" s="52" t="s">
        <v>77</v>
      </c>
      <c r="D30" s="52" t="s">
        <v>78</v>
      </c>
      <c r="E30" s="52" t="s">
        <v>79</v>
      </c>
      <c r="F30" s="52" t="s">
        <v>80</v>
      </c>
      <c r="G30" s="52" t="s">
        <v>81</v>
      </c>
      <c r="H30" s="52" t="s">
        <v>82</v>
      </c>
      <c r="I30" s="52" t="s">
        <v>83</v>
      </c>
      <c r="J30" s="52" t="s">
        <v>84</v>
      </c>
      <c r="K30" s="52"/>
      <c r="L30" s="52"/>
      <c r="M30" s="52" t="s">
        <v>85</v>
      </c>
      <c r="N30" s="188" t="s">
        <v>363</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3">
        <f t="shared" si="0"/>
        <v>8619.0400389999995</v>
      </c>
      <c r="AD30" s="42">
        <f>AVERAGE(AC26:AC30)</f>
        <v>8702.9433594000002</v>
      </c>
      <c r="AE30" s="194">
        <f>(MAX(AC26:AC30)-MIN(AC26:AC30))/AD30*100</f>
        <v>5.1514091208667612</v>
      </c>
    </row>
    <row r="31" spans="1:1009" x14ac:dyDescent="0.4">
      <c r="A31" s="53" t="s">
        <v>86</v>
      </c>
      <c r="B31" s="53" t="s">
        <v>87</v>
      </c>
      <c r="C31" s="53" t="s">
        <v>74</v>
      </c>
      <c r="D31" s="53" t="s">
        <v>88</v>
      </c>
      <c r="E31" s="53" t="s">
        <v>89</v>
      </c>
      <c r="F31" s="53" t="s">
        <v>365</v>
      </c>
      <c r="G31" s="53" t="s">
        <v>90</v>
      </c>
      <c r="H31" s="53" t="s">
        <v>91</v>
      </c>
      <c r="I31" s="53" t="s">
        <v>92</v>
      </c>
      <c r="J31" s="53" t="s">
        <v>38</v>
      </c>
      <c r="K31" s="54" t="str">
        <f>"95%"</f>
        <v>95%</v>
      </c>
      <c r="L31" s="53" t="s">
        <v>85</v>
      </c>
      <c r="M31" s="53" t="s">
        <v>93</v>
      </c>
      <c r="N31" s="132"/>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3">
        <f t="shared" si="0"/>
        <v>10733.752930000001</v>
      </c>
      <c r="AD31" s="58"/>
      <c r="AE31" s="194"/>
    </row>
    <row r="32" spans="1:1009" x14ac:dyDescent="0.4">
      <c r="A32" s="55">
        <v>0</v>
      </c>
      <c r="B32" s="57">
        <v>0</v>
      </c>
      <c r="C32" s="199">
        <v>0</v>
      </c>
      <c r="D32" s="200">
        <v>0</v>
      </c>
      <c r="E32" s="200">
        <v>0</v>
      </c>
      <c r="F32" s="201">
        <v>1</v>
      </c>
      <c r="G32" s="55">
        <f>1</f>
        <v>1</v>
      </c>
      <c r="H32" s="55"/>
      <c r="I32" s="55">
        <v>1</v>
      </c>
      <c r="J32" s="55">
        <v>1</v>
      </c>
      <c r="K32" s="55">
        <f t="shared" ref="K32:K47" si="1">I32*0.95</f>
        <v>0.95</v>
      </c>
      <c r="L32" s="187">
        <f t="shared" ref="L32:L47" si="2">G32*(1+G32/$A$25*$A$26+(G32/$A$25*$A$27)^2)</f>
        <v>1.0000000005759999</v>
      </c>
      <c r="M32" s="132">
        <v>1</v>
      </c>
      <c r="N32" s="132">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3">
        <f t="shared" si="0"/>
        <v>10756.520508</v>
      </c>
      <c r="AD32" s="42"/>
      <c r="AE32" s="194"/>
    </row>
    <row r="33" spans="1:31" x14ac:dyDescent="0.4">
      <c r="A33" s="55">
        <v>10</v>
      </c>
      <c r="B33" s="57">
        <v>4.04</v>
      </c>
      <c r="C33" s="199">
        <f>B33</f>
        <v>4.04</v>
      </c>
      <c r="D33" s="200">
        <f t="shared" ref="D33:D47" si="3">C33*$A$22/1000</f>
        <v>4.04</v>
      </c>
      <c r="E33" s="200">
        <f t="shared" ref="E33:E47" si="4">D33/($A$14+C33/1000)</f>
        <v>0.31701093216907666</v>
      </c>
      <c r="F33" s="197">
        <f t="shared" ref="F33:F47" si="5">$A$13*E33</f>
        <v>1997.168872665183</v>
      </c>
      <c r="G33" s="197">
        <f>AD15</f>
        <v>2390.6996093999996</v>
      </c>
      <c r="H33" s="57">
        <f t="shared" ref="H33:H47" si="6">G33/F33</f>
        <v>1.1970442971152748</v>
      </c>
      <c r="I33" s="56">
        <f t="shared" ref="I33:I47" si="7">E33*$C$111</f>
        <v>2220.513476948091</v>
      </c>
      <c r="J33" s="57">
        <f t="shared" ref="J33:J47" si="8">G33/I33</f>
        <v>1.0766426928810247</v>
      </c>
      <c r="K33" s="56">
        <f t="shared" si="1"/>
        <v>2109.4878031006865</v>
      </c>
      <c r="L33" s="187">
        <f t="shared" si="2"/>
        <v>2398.5700222663395</v>
      </c>
      <c r="M33" s="132">
        <f t="shared" ref="M33:M47" si="9">L33/I33</f>
        <v>1.080187104094037</v>
      </c>
      <c r="N33" s="132">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3">
        <f t="shared" si="0"/>
        <v>10323.500977</v>
      </c>
      <c r="AD33" s="42"/>
      <c r="AE33" s="194"/>
    </row>
    <row r="34" spans="1:31" x14ac:dyDescent="0.4">
      <c r="A34" s="55">
        <v>20</v>
      </c>
      <c r="B34" s="57">
        <v>4.04</v>
      </c>
      <c r="C34" s="199">
        <f t="shared" ref="C34:C47" si="10">C33+B34</f>
        <v>8.08</v>
      </c>
      <c r="D34" s="200">
        <f t="shared" si="3"/>
        <v>8.08</v>
      </c>
      <c r="E34" s="200">
        <f t="shared" si="4"/>
        <v>0.63382093617234914</v>
      </c>
      <c r="F34" s="197">
        <f t="shared" si="5"/>
        <v>3993.0718978857994</v>
      </c>
      <c r="G34" s="197">
        <f>AD20</f>
        <v>4695.9022462000003</v>
      </c>
      <c r="H34" s="57">
        <f t="shared" si="6"/>
        <v>1.1760124451268525</v>
      </c>
      <c r="I34" s="56">
        <f t="shared" si="7"/>
        <v>4439.61954596544</v>
      </c>
      <c r="J34" s="57">
        <f t="shared" si="8"/>
        <v>1.0577262753218257</v>
      </c>
      <c r="K34" s="56">
        <f t="shared" si="1"/>
        <v>4217.6385686671674</v>
      </c>
      <c r="L34" s="187">
        <f t="shared" si="2"/>
        <v>4755.5480130437827</v>
      </c>
      <c r="M34" s="132">
        <f t="shared" si="9"/>
        <v>1.0711611577990836</v>
      </c>
      <c r="N34" s="132">
        <v>2.3E-2</v>
      </c>
      <c r="O34" s="189"/>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3">
        <f t="shared" si="0"/>
        <v>10541.857421999999</v>
      </c>
      <c r="AD34" s="42"/>
      <c r="AE34" s="194"/>
    </row>
    <row r="35" spans="1:31" x14ac:dyDescent="0.4">
      <c r="A35" s="55">
        <v>30</v>
      </c>
      <c r="B35" s="57">
        <v>4.04</v>
      </c>
      <c r="C35" s="199">
        <f t="shared" si="10"/>
        <v>12.120000000000001</v>
      </c>
      <c r="D35" s="200">
        <f t="shared" si="3"/>
        <v>12.120000000000001</v>
      </c>
      <c r="E35" s="200">
        <f t="shared" si="4"/>
        <v>0.95043020297801473</v>
      </c>
      <c r="F35" s="197">
        <f t="shared" si="5"/>
        <v>5987.7102787614931</v>
      </c>
      <c r="G35" s="197">
        <f>AD25</f>
        <v>6657.1354492</v>
      </c>
      <c r="H35" s="57">
        <f t="shared" si="6"/>
        <v>1.1117998599252488</v>
      </c>
      <c r="I35" s="56">
        <f t="shared" si="7"/>
        <v>6657.3195446950513</v>
      </c>
      <c r="J35" s="57">
        <f t="shared" si="8"/>
        <v>0.99997234690421344</v>
      </c>
      <c r="K35" s="56">
        <f t="shared" si="1"/>
        <v>6324.4535674602985</v>
      </c>
      <c r="L35" s="187">
        <f t="shared" si="2"/>
        <v>6827.0711643905997</v>
      </c>
      <c r="M35" s="132">
        <f t="shared" si="9"/>
        <v>1.0254984935837752</v>
      </c>
      <c r="N35" s="132">
        <v>3.6999999999999998E-2</v>
      </c>
      <c r="O35" s="189"/>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3">
        <f t="shared" si="0"/>
        <v>10622.324219</v>
      </c>
      <c r="AD35" s="42">
        <f>AVERAGE(AC31:AC35)</f>
        <v>10595.591211200001</v>
      </c>
      <c r="AE35" s="194">
        <f>(MAX(AC31:AC35)-MIN(AC31:AC35))/AD35*100</f>
        <v>4.0867897068573145</v>
      </c>
    </row>
    <row r="36" spans="1:31" x14ac:dyDescent="0.4">
      <c r="A36" s="55">
        <v>40</v>
      </c>
      <c r="B36" s="57">
        <v>4.04</v>
      </c>
      <c r="C36" s="199">
        <f t="shared" si="10"/>
        <v>16.16</v>
      </c>
      <c r="D36" s="200">
        <f t="shared" si="3"/>
        <v>16.16</v>
      </c>
      <c r="E36" s="200">
        <f t="shared" si="4"/>
        <v>1.2668389233123449</v>
      </c>
      <c r="F36" s="197">
        <f t="shared" si="5"/>
        <v>7981.0852168677729</v>
      </c>
      <c r="G36" s="197">
        <f>AD30</f>
        <v>8702.9433594000002</v>
      </c>
      <c r="H36" s="57">
        <f t="shared" si="6"/>
        <v>1.0904461138952135</v>
      </c>
      <c r="I36" s="56">
        <f t="shared" si="7"/>
        <v>8873.614809085353</v>
      </c>
      <c r="J36" s="57">
        <f t="shared" si="8"/>
        <v>0.98076641218293481</v>
      </c>
      <c r="K36" s="56">
        <f t="shared" si="1"/>
        <v>8429.9340686310843</v>
      </c>
      <c r="L36" s="187">
        <f t="shared" si="2"/>
        <v>9082.6261864607659</v>
      </c>
      <c r="M36" s="132">
        <f t="shared" si="9"/>
        <v>1.0235542540297573</v>
      </c>
      <c r="N36" s="132">
        <v>4.9000000000000002E-2</v>
      </c>
      <c r="O36" s="189"/>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3">
        <f t="shared" si="0"/>
        <v>12401.166015999999</v>
      </c>
      <c r="AD36" s="42"/>
      <c r="AE36" s="194"/>
    </row>
    <row r="37" spans="1:31" x14ac:dyDescent="0.4">
      <c r="A37" s="55">
        <v>50</v>
      </c>
      <c r="B37" s="57">
        <v>4.04</v>
      </c>
      <c r="C37" s="199">
        <f t="shared" si="10"/>
        <v>20.2</v>
      </c>
      <c r="D37" s="200">
        <f t="shared" si="3"/>
        <v>20.2</v>
      </c>
      <c r="E37" s="200">
        <f t="shared" si="4"/>
        <v>1.5830472876600679</v>
      </c>
      <c r="F37" s="197">
        <f t="shared" si="5"/>
        <v>9973.1979122584271</v>
      </c>
      <c r="G37" s="197">
        <f>AD35</f>
        <v>10595.591211200001</v>
      </c>
      <c r="H37" s="57">
        <f t="shared" si="6"/>
        <v>1.0624065925911854</v>
      </c>
      <c r="I37" s="56">
        <f t="shared" si="7"/>
        <v>11088.506673392872</v>
      </c>
      <c r="J37" s="57">
        <f t="shared" si="8"/>
        <v>0.95554717359952224</v>
      </c>
      <c r="K37" s="56">
        <f t="shared" si="1"/>
        <v>10534.081339723229</v>
      </c>
      <c r="L37" s="187">
        <f t="shared" si="2"/>
        <v>11280.760781213416</v>
      </c>
      <c r="M37" s="132">
        <f t="shared" si="9"/>
        <v>1.0173381424102725</v>
      </c>
      <c r="N37" s="132">
        <v>6.3E-2</v>
      </c>
      <c r="O37" s="189"/>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3">
        <f t="shared" si="0"/>
        <v>12746.001953000001</v>
      </c>
      <c r="AD37" s="42"/>
      <c r="AE37" s="194"/>
    </row>
    <row r="38" spans="1:31" x14ac:dyDescent="0.4">
      <c r="A38" s="55">
        <v>60</v>
      </c>
      <c r="B38" s="57">
        <v>4.04</v>
      </c>
      <c r="C38" s="199">
        <f t="shared" si="10"/>
        <v>24.24</v>
      </c>
      <c r="D38" s="200">
        <f t="shared" si="3"/>
        <v>24.24</v>
      </c>
      <c r="E38" s="200">
        <f t="shared" si="4"/>
        <v>1.899055486264752</v>
      </c>
      <c r="F38" s="197">
        <f t="shared" si="5"/>
        <v>11964.049563467937</v>
      </c>
      <c r="G38" s="197">
        <f>AD40</f>
        <v>12469.3638672</v>
      </c>
      <c r="H38" s="57">
        <f t="shared" si="6"/>
        <v>1.0422360590409983</v>
      </c>
      <c r="I38" s="56">
        <f t="shared" si="7"/>
        <v>13301.996470184929</v>
      </c>
      <c r="J38" s="57">
        <f t="shared" si="8"/>
        <v>0.93740544099141876</v>
      </c>
      <c r="K38" s="56">
        <f t="shared" si="1"/>
        <v>12636.896646675683</v>
      </c>
      <c r="L38" s="187">
        <f t="shared" si="2"/>
        <v>13586.112367950431</v>
      </c>
      <c r="M38" s="132">
        <f t="shared" si="9"/>
        <v>1.0213588913816296</v>
      </c>
      <c r="N38" s="132">
        <v>7.8E-2</v>
      </c>
      <c r="O38" s="189"/>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3">
        <f t="shared" si="0"/>
        <v>12146.411133</v>
      </c>
      <c r="AD38" s="42"/>
      <c r="AE38" s="194"/>
    </row>
    <row r="39" spans="1:31" x14ac:dyDescent="0.4">
      <c r="A39" s="55">
        <v>70</v>
      </c>
      <c r="B39" s="57">
        <v>4.04</v>
      </c>
      <c r="C39" s="199">
        <f t="shared" si="10"/>
        <v>28.279999999999998</v>
      </c>
      <c r="D39" s="200">
        <f t="shared" si="3"/>
        <v>28.28</v>
      </c>
      <c r="E39" s="200">
        <f t="shared" si="4"/>
        <v>2.2148637091291858</v>
      </c>
      <c r="F39" s="197">
        <f t="shared" si="5"/>
        <v>13953.64136751387</v>
      </c>
      <c r="G39" s="197">
        <f>AD45</f>
        <v>14291.721093999999</v>
      </c>
      <c r="H39" s="57">
        <f t="shared" si="6"/>
        <v>1.0242287814042024</v>
      </c>
      <c r="I39" s="56">
        <f t="shared" si="7"/>
        <v>15514.08553034229</v>
      </c>
      <c r="J39" s="57">
        <f t="shared" si="8"/>
        <v>0.92120937879634579</v>
      </c>
      <c r="K39" s="56">
        <f t="shared" si="1"/>
        <v>14738.381253825175</v>
      </c>
      <c r="L39" s="187">
        <f t="shared" si="2"/>
        <v>15973.140595703841</v>
      </c>
      <c r="M39" s="132">
        <f t="shared" si="9"/>
        <v>1.0295895664919299</v>
      </c>
      <c r="N39" s="132">
        <v>9.6000000000000002E-2</v>
      </c>
      <c r="O39" s="189"/>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3">
        <f t="shared" si="0"/>
        <v>12523</v>
      </c>
      <c r="AD39" s="42"/>
      <c r="AE39" s="194"/>
    </row>
    <row r="40" spans="1:31" x14ac:dyDescent="0.4">
      <c r="A40" s="55">
        <v>80</v>
      </c>
      <c r="B40" s="57">
        <v>4.04</v>
      </c>
      <c r="C40" s="199">
        <f t="shared" si="10"/>
        <v>32.32</v>
      </c>
      <c r="D40" s="200">
        <f t="shared" si="3"/>
        <v>32.32</v>
      </c>
      <c r="E40" s="200">
        <f t="shared" si="4"/>
        <v>2.5304721460157591</v>
      </c>
      <c r="F40" s="197">
        <f t="shared" si="5"/>
        <v>15941.974519899282</v>
      </c>
      <c r="G40" s="197">
        <f>AD50</f>
        <v>15812.914258000001</v>
      </c>
      <c r="H40" s="57">
        <f t="shared" si="6"/>
        <v>0.99190437409505428</v>
      </c>
      <c r="I40" s="56">
        <f t="shared" si="7"/>
        <v>17724.77518306184</v>
      </c>
      <c r="J40" s="57">
        <f t="shared" si="8"/>
        <v>0.89213623838293576</v>
      </c>
      <c r="K40" s="56">
        <f t="shared" si="1"/>
        <v>16838.536423908747</v>
      </c>
      <c r="L40" s="187">
        <f t="shared" si="2"/>
        <v>18090.413450436277</v>
      </c>
      <c r="M40" s="132">
        <f t="shared" si="9"/>
        <v>1.0206286547275278</v>
      </c>
      <c r="N40" s="132">
        <v>0.109</v>
      </c>
      <c r="O40" s="189"/>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3">
        <f t="shared" si="0"/>
        <v>12530.240234000001</v>
      </c>
      <c r="AD40" s="42">
        <f>AVERAGE(AC36:AC40)</f>
        <v>12469.3638672</v>
      </c>
      <c r="AE40" s="194">
        <f>(MAX(AC36:AC40)-MIN(AC36:AC40))/AD40*100</f>
        <v>4.8085116962316992</v>
      </c>
    </row>
    <row r="41" spans="1:31" x14ac:dyDescent="0.4">
      <c r="A41" s="55">
        <v>90</v>
      </c>
      <c r="B41" s="57">
        <v>4.04</v>
      </c>
      <c r="C41" s="199">
        <f t="shared" si="10"/>
        <v>36.36</v>
      </c>
      <c r="D41" s="200">
        <f t="shared" si="3"/>
        <v>36.36</v>
      </c>
      <c r="E41" s="200">
        <f t="shared" si="4"/>
        <v>2.845880986446844</v>
      </c>
      <c r="F41" s="197">
        <f t="shared" si="5"/>
        <v>17929.050214615116</v>
      </c>
      <c r="G41" s="197">
        <f>AD55</f>
        <v>17216.896874999999</v>
      </c>
      <c r="H41" s="57">
        <f>G41/F41</f>
        <v>0.96027936052995178</v>
      </c>
      <c r="I41" s="56">
        <f t="shared" si="7"/>
        <v>19934.066755859254</v>
      </c>
      <c r="J41" s="57">
        <f>G41/I41</f>
        <v>0.86369214500294611</v>
      </c>
      <c r="K41" s="56">
        <f t="shared" si="1"/>
        <v>18937.363418066292</v>
      </c>
      <c r="L41" s="187">
        <f t="shared" si="2"/>
        <v>20156.489288577817</v>
      </c>
      <c r="M41" s="132">
        <f t="shared" si="9"/>
        <v>1.0111579104977757</v>
      </c>
      <c r="N41" s="132">
        <v>0.123</v>
      </c>
      <c r="O41" s="189"/>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3">
        <f t="shared" si="0"/>
        <v>14339.085938</v>
      </c>
      <c r="AD41" s="42"/>
      <c r="AE41" s="194"/>
    </row>
    <row r="42" spans="1:31" x14ac:dyDescent="0.4">
      <c r="A42" s="55">
        <v>100</v>
      </c>
      <c r="B42" s="57">
        <v>4.04</v>
      </c>
      <c r="C42" s="199">
        <f t="shared" si="10"/>
        <v>40.4</v>
      </c>
      <c r="D42" s="200">
        <f t="shared" si="3"/>
        <v>40.4</v>
      </c>
      <c r="E42" s="200">
        <f t="shared" si="4"/>
        <v>3.1610904197051735</v>
      </c>
      <c r="F42" s="197">
        <f t="shared" si="5"/>
        <v>19914.869644142593</v>
      </c>
      <c r="G42" s="197">
        <f>AD60</f>
        <v>18637.5695314</v>
      </c>
      <c r="H42" s="57">
        <f>G42/F42</f>
        <v>0.93586198978117463</v>
      </c>
      <c r="I42" s="56">
        <f t="shared" si="7"/>
        <v>22141.961574571647</v>
      </c>
      <c r="J42" s="57">
        <f>G42/I42</f>
        <v>0.84173073233059104</v>
      </c>
      <c r="K42" s="56">
        <f t="shared" si="1"/>
        <v>21034.863495843063</v>
      </c>
      <c r="L42" s="187">
        <f t="shared" si="2"/>
        <v>22366.551758892947</v>
      </c>
      <c r="M42" s="132">
        <f t="shared" si="9"/>
        <v>1.0101431927593634</v>
      </c>
      <c r="N42" s="132">
        <v>0.14299999999999999</v>
      </c>
      <c r="O42" s="189"/>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3">
        <f t="shared" si="0"/>
        <v>14356.335938</v>
      </c>
      <c r="AD42" s="42"/>
      <c r="AE42" s="194"/>
    </row>
    <row r="43" spans="1:31" x14ac:dyDescent="0.4">
      <c r="A43" s="55">
        <v>110</v>
      </c>
      <c r="B43" s="57">
        <v>4.04</v>
      </c>
      <c r="C43" s="199">
        <f t="shared" si="10"/>
        <v>44.44</v>
      </c>
      <c r="D43" s="200">
        <f t="shared" si="3"/>
        <v>44.44</v>
      </c>
      <c r="E43" s="200">
        <f t="shared" si="4"/>
        <v>3.47610063483422</v>
      </c>
      <c r="F43" s="197">
        <f t="shared" si="5"/>
        <v>21899.433999455585</v>
      </c>
      <c r="G43" s="197">
        <f>AD65</f>
        <v>19836.311718599998</v>
      </c>
      <c r="H43" s="57">
        <f t="shared" si="6"/>
        <v>0.90579106834875844</v>
      </c>
      <c r="I43" s="56">
        <f t="shared" si="7"/>
        <v>24348.460963360227</v>
      </c>
      <c r="J43" s="57">
        <f t="shared" si="8"/>
        <v>0.81468441674608716</v>
      </c>
      <c r="K43" s="56">
        <f t="shared" si="1"/>
        <v>23131.037915192213</v>
      </c>
      <c r="L43" s="187">
        <f t="shared" si="2"/>
        <v>24332.093847828419</v>
      </c>
      <c r="M43" s="132">
        <f t="shared" si="9"/>
        <v>0.99932779671140459</v>
      </c>
      <c r="N43" s="132">
        <v>0.156</v>
      </c>
      <c r="O43" s="189"/>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3">
        <f t="shared" si="0"/>
        <v>14306.542969</v>
      </c>
      <c r="AD43" s="42"/>
      <c r="AE43" s="194"/>
    </row>
    <row r="44" spans="1:31" x14ac:dyDescent="0.4">
      <c r="A44" s="55">
        <v>120</v>
      </c>
      <c r="B44" s="57">
        <v>4.04</v>
      </c>
      <c r="C44" s="199">
        <f t="shared" si="10"/>
        <v>48.48</v>
      </c>
      <c r="D44" s="200">
        <f t="shared" si="3"/>
        <v>48.48</v>
      </c>
      <c r="E44" s="200">
        <f t="shared" si="4"/>
        <v>3.7909118206385743</v>
      </c>
      <c r="F44" s="197">
        <f t="shared" si="5"/>
        <v>23882.744470023019</v>
      </c>
      <c r="G44" s="197">
        <f>AD70</f>
        <v>21232.237500199997</v>
      </c>
      <c r="H44" s="57">
        <f t="shared" si="6"/>
        <v>0.88902000047984986</v>
      </c>
      <c r="I44" s="56">
        <f t="shared" si="7"/>
        <v>26553.56624471294</v>
      </c>
      <c r="J44" s="57">
        <f t="shared" si="8"/>
        <v>0.79960022335709924</v>
      </c>
      <c r="K44" s="56">
        <f t="shared" si="1"/>
        <v>25225.887932477293</v>
      </c>
      <c r="L44" s="187">
        <f t="shared" si="2"/>
        <v>26745.51400377302</v>
      </c>
      <c r="M44" s="132">
        <f t="shared" si="9"/>
        <v>1.0072286998021707</v>
      </c>
      <c r="N44" s="132">
        <v>0.17799999999999999</v>
      </c>
      <c r="O44" s="189"/>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3">
        <f t="shared" si="0"/>
        <v>14212.322265999999</v>
      </c>
      <c r="AD44" s="42"/>
      <c r="AE44" s="194"/>
    </row>
    <row r="45" spans="1:31" x14ac:dyDescent="0.4">
      <c r="A45" s="55">
        <v>130</v>
      </c>
      <c r="B45" s="57">
        <v>4.04</v>
      </c>
      <c r="C45" s="199">
        <f t="shared" si="10"/>
        <v>52.519999999999996</v>
      </c>
      <c r="D45" s="200">
        <f t="shared" si="3"/>
        <v>52.52</v>
      </c>
      <c r="E45" s="200">
        <f t="shared" si="4"/>
        <v>4.1055241656843222</v>
      </c>
      <c r="F45" s="197">
        <f t="shared" si="5"/>
        <v>25864.802243811231</v>
      </c>
      <c r="G45" s="197">
        <f>AD75</f>
        <v>22068.1945314</v>
      </c>
      <c r="H45" s="57">
        <f t="shared" si="6"/>
        <v>0.85321334852580755</v>
      </c>
      <c r="I45" s="56">
        <f t="shared" si="7"/>
        <v>28757.278739447127</v>
      </c>
      <c r="J45" s="57">
        <f t="shared" si="8"/>
        <v>0.76739509086888913</v>
      </c>
      <c r="K45" s="56">
        <f t="shared" si="1"/>
        <v>27319.41480247477</v>
      </c>
      <c r="L45" s="187">
        <f t="shared" si="2"/>
        <v>28258.654139981289</v>
      </c>
      <c r="M45" s="132">
        <f t="shared" si="9"/>
        <v>0.98266092546573747</v>
      </c>
      <c r="N45" s="132">
        <v>0.188</v>
      </c>
      <c r="O45" s="189"/>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3">
        <f t="shared" si="0"/>
        <v>14244.318359000001</v>
      </c>
      <c r="AD45" s="42">
        <f>AVERAGE(AC41:AC45)</f>
        <v>14291.721093999999</v>
      </c>
      <c r="AE45" s="194">
        <f>(MAX(AC41:AC45)-MIN(AC41:AC45))/AD45*100</f>
        <v>1.0076720015230447</v>
      </c>
    </row>
    <row r="46" spans="1:31" x14ac:dyDescent="0.4">
      <c r="A46" s="59">
        <v>140</v>
      </c>
      <c r="B46" s="57">
        <v>4.04</v>
      </c>
      <c r="C46" s="202">
        <f t="shared" si="10"/>
        <v>56.559999999999995</v>
      </c>
      <c r="D46" s="203">
        <f t="shared" si="3"/>
        <v>56.56</v>
      </c>
      <c r="E46" s="203">
        <f t="shared" si="4"/>
        <v>4.4199378582994182</v>
      </c>
      <c r="F46" s="197">
        <f t="shared" si="5"/>
        <v>27845.608507286335</v>
      </c>
      <c r="G46" s="198">
        <f>AD80</f>
        <v>23504.204687199999</v>
      </c>
      <c r="H46" s="61">
        <f t="shared" si="6"/>
        <v>0.84409017964357558</v>
      </c>
      <c r="I46" s="60">
        <f t="shared" si="7"/>
        <v>30959.599766712126</v>
      </c>
      <c r="J46" s="61">
        <f t="shared" si="8"/>
        <v>0.75918955232980123</v>
      </c>
      <c r="K46" s="60">
        <f t="shared" si="1"/>
        <v>29411.61977837652</v>
      </c>
      <c r="L46" s="187">
        <f t="shared" si="2"/>
        <v>30983.473887706379</v>
      </c>
      <c r="M46" s="132">
        <f t="shared" si="9"/>
        <v>1.0007711379079236</v>
      </c>
      <c r="N46" s="132">
        <v>0.20799999999999999</v>
      </c>
      <c r="O46" s="189"/>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3">
        <f t="shared" si="0"/>
        <v>15855.306640999999</v>
      </c>
      <c r="AD46" s="42"/>
      <c r="AE46" s="194"/>
    </row>
    <row r="47" spans="1:31" x14ac:dyDescent="0.4">
      <c r="A47" s="59">
        <v>150</v>
      </c>
      <c r="B47" s="57">
        <v>4.04</v>
      </c>
      <c r="C47" s="202">
        <f t="shared" si="10"/>
        <v>60.599999999999994</v>
      </c>
      <c r="D47" s="203">
        <f t="shared" si="3"/>
        <v>60.6</v>
      </c>
      <c r="E47" s="203">
        <f t="shared" si="4"/>
        <v>4.7341530865740662</v>
      </c>
      <c r="F47" s="197">
        <f t="shared" si="5"/>
        <v>29825.164445416616</v>
      </c>
      <c r="G47" s="198">
        <f>AD85</f>
        <v>24328.89453125</v>
      </c>
      <c r="H47" s="61">
        <f t="shared" si="6"/>
        <v>0.8157170290133553</v>
      </c>
      <c r="I47" s="60">
        <f t="shared" si="7"/>
        <v>33160.530643991937</v>
      </c>
      <c r="J47" s="61">
        <f t="shared" si="8"/>
        <v>0.73367024166297345</v>
      </c>
      <c r="K47" s="60">
        <f t="shared" si="1"/>
        <v>31502.504111792339</v>
      </c>
      <c r="L47" s="187">
        <f t="shared" si="2"/>
        <v>32623.383052753186</v>
      </c>
      <c r="M47" s="132">
        <f t="shared" si="9"/>
        <v>0.98380159844227122</v>
      </c>
      <c r="N47" s="132">
        <v>0.214</v>
      </c>
      <c r="O47" s="189"/>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3">
        <f t="shared" si="0"/>
        <v>15937.399414</v>
      </c>
      <c r="AD47" s="42"/>
      <c r="AE47" s="194"/>
    </row>
    <row r="48" spans="1:31" x14ac:dyDescent="0.4">
      <c r="O48" s="189"/>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3">
        <f t="shared" si="0"/>
        <v>15836.694336</v>
      </c>
      <c r="AD48" s="42"/>
      <c r="AE48" s="194"/>
    </row>
    <row r="49" spans="6:31" x14ac:dyDescent="0.4">
      <c r="O49" s="189"/>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3">
        <f t="shared" si="0"/>
        <v>15915.096680000001</v>
      </c>
      <c r="AD49" s="42"/>
      <c r="AE49" s="194"/>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3">
        <f t="shared" si="0"/>
        <v>15520.074219</v>
      </c>
      <c r="AD50" s="42">
        <f>AVERAGE(AC46:AC50)</f>
        <v>15812.914258000001</v>
      </c>
      <c r="AE50" s="194">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3">
        <f t="shared" si="0"/>
        <v>17436.28125</v>
      </c>
      <c r="AD51" s="42"/>
      <c r="AE51" s="194"/>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3">
        <f t="shared" si="0"/>
        <v>17052.761718999998</v>
      </c>
      <c r="AD52" s="42"/>
      <c r="AE52" s="194"/>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3">
        <f t="shared" si="0"/>
        <v>16808.771484000001</v>
      </c>
      <c r="AD53" s="42"/>
      <c r="AE53" s="194"/>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3">
        <f t="shared" si="0"/>
        <v>17532.5625</v>
      </c>
      <c r="AD54" s="42"/>
      <c r="AE54" s="194"/>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3">
        <f t="shared" si="0"/>
        <v>17254.107422000001</v>
      </c>
      <c r="AD55" s="42">
        <f>AVERAGE(AC51:AC55)</f>
        <v>17216.896874999999</v>
      </c>
      <c r="AE55" s="194">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3">
        <f t="shared" si="0"/>
        <v>18440.431640999999</v>
      </c>
      <c r="AD56" s="42"/>
      <c r="AE56" s="194"/>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3">
        <f t="shared" si="0"/>
        <v>18889.638672000001</v>
      </c>
      <c r="AD57" s="42"/>
      <c r="AE57" s="194"/>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3">
        <f t="shared" si="0"/>
        <v>18572.947265999999</v>
      </c>
      <c r="AD58" s="42"/>
      <c r="AE58" s="194"/>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3">
        <f t="shared" si="0"/>
        <v>19052.902343999998</v>
      </c>
      <c r="AD59" s="42"/>
      <c r="AE59" s="194"/>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3">
        <f t="shared" si="0"/>
        <v>18231.927734000001</v>
      </c>
      <c r="AD60" s="42">
        <f>AVERAGE(AC56:AC60)</f>
        <v>18637.5695314</v>
      </c>
      <c r="AE60" s="194">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3">
        <f t="shared" si="0"/>
        <v>19909.132812</v>
      </c>
      <c r="AD61" s="42"/>
      <c r="AE61" s="194"/>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3">
        <f t="shared" si="0"/>
        <v>19909.509765999999</v>
      </c>
      <c r="AD62" s="42"/>
      <c r="AE62" s="194"/>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3">
        <f t="shared" si="0"/>
        <v>20022.830077999999</v>
      </c>
      <c r="AD63" s="42"/>
      <c r="AE63" s="194"/>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3">
        <f t="shared" si="0"/>
        <v>19626.501952999999</v>
      </c>
      <c r="AD64" s="42"/>
      <c r="AE64" s="194"/>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3">
        <f t="shared" si="0"/>
        <v>19713.583984000001</v>
      </c>
      <c r="AD65" s="42">
        <f>AVERAGE(AC61:AC65)</f>
        <v>19836.311718599998</v>
      </c>
      <c r="AE65" s="194">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3">
        <f t="shared" si="0"/>
        <v>21158.339843999998</v>
      </c>
      <c r="AD66" s="42"/>
      <c r="AE66" s="194"/>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3">
        <f t="shared" si="0"/>
        <v>21430.056640999999</v>
      </c>
      <c r="AD67" s="42"/>
      <c r="AE67" s="194"/>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3">
        <f t="shared" si="0"/>
        <v>21458.542968999998</v>
      </c>
      <c r="AD68" s="42"/>
      <c r="AE68" s="194"/>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3">
        <f t="shared" si="0"/>
        <v>21295.685547000001</v>
      </c>
      <c r="AD69" s="42"/>
      <c r="AE69" s="194"/>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3">
        <f t="shared" ref="AC70:AC84" si="11">S70</f>
        <v>20818.5625</v>
      </c>
      <c r="AD70" s="42">
        <f>AVERAGE(AC66:AC70)</f>
        <v>21232.237500199997</v>
      </c>
      <c r="AE70" s="194">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3">
        <f t="shared" si="11"/>
        <v>22185.173827999999</v>
      </c>
      <c r="AD71" s="42"/>
      <c r="AE71" s="194"/>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3">
        <f t="shared" si="11"/>
        <v>22189.541015999999</v>
      </c>
      <c r="AD72" s="42"/>
      <c r="AE72" s="194"/>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3">
        <f t="shared" si="11"/>
        <v>22050.917968999998</v>
      </c>
      <c r="AD73" s="42"/>
      <c r="AE73" s="194"/>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3">
        <f t="shared" si="11"/>
        <v>22177.929688</v>
      </c>
      <c r="AD74" s="42"/>
      <c r="AE74" s="194"/>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3">
        <f t="shared" si="11"/>
        <v>21737.410156000002</v>
      </c>
      <c r="AD75" s="42">
        <f>AVERAGE(AC71:AC75)</f>
        <v>22068.1945314</v>
      </c>
      <c r="AE75" s="194">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3">
        <f t="shared" si="11"/>
        <v>23405.664062</v>
      </c>
      <c r="AD76" s="42"/>
      <c r="AE76" s="194"/>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3">
        <f t="shared" si="11"/>
        <v>23674.142577999999</v>
      </c>
      <c r="AD77" s="42"/>
      <c r="AE77" s="194"/>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3">
        <f t="shared" si="11"/>
        <v>23094.673827999999</v>
      </c>
      <c r="AD78" s="42"/>
      <c r="AE78" s="194"/>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3">
        <f t="shared" si="11"/>
        <v>23775.851562</v>
      </c>
      <c r="AD79" s="42"/>
      <c r="AE79" s="194"/>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3">
        <f t="shared" si="11"/>
        <v>23570.691406000002</v>
      </c>
      <c r="AD80" s="42">
        <f>AVERAGE(AC76:AC80)</f>
        <v>23504.204687199999</v>
      </c>
      <c r="AE80" s="194">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3">
        <f t="shared" si="11"/>
        <v>24010.865234000001</v>
      </c>
      <c r="AD81" s="42"/>
      <c r="AE81" s="194"/>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3">
        <f t="shared" si="11"/>
        <v>24215.523438</v>
      </c>
      <c r="AD82" s="42"/>
      <c r="AE82" s="194"/>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3">
        <f t="shared" si="11"/>
        <v>24728.849609000001</v>
      </c>
      <c r="AD83" s="42"/>
      <c r="AE83" s="194"/>
    </row>
    <row r="84" spans="2:31" x14ac:dyDescent="0.4">
      <c r="B84" s="8" t="s">
        <v>83</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3">
        <f t="shared" si="11"/>
        <v>24360.339843999998</v>
      </c>
      <c r="AD84" s="42"/>
      <c r="AE84" s="194"/>
    </row>
    <row r="85" spans="2:31" x14ac:dyDescent="0.4">
      <c r="B85" t="s">
        <v>94</v>
      </c>
      <c r="C85" t="s">
        <v>95</v>
      </c>
      <c r="P85" s="47"/>
      <c r="Q85" s="48"/>
      <c r="R85" s="125"/>
      <c r="S85" s="125"/>
      <c r="T85" s="195"/>
      <c r="U85" s="125"/>
      <c r="V85" s="125"/>
      <c r="W85" s="125"/>
      <c r="X85" s="125"/>
      <c r="Y85" s="125"/>
      <c r="Z85" s="125"/>
      <c r="AA85" s="125"/>
      <c r="AB85" s="125"/>
      <c r="AC85" s="48"/>
      <c r="AD85" s="125">
        <f>AVERAGE(AC81:AC85)</f>
        <v>24328.89453125</v>
      </c>
      <c r="AE85" s="196">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96</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97</v>
      </c>
      <c r="Q94" s="42"/>
      <c r="R94" s="42"/>
      <c r="S94" s="58"/>
      <c r="T94" s="42"/>
      <c r="U94" s="42"/>
      <c r="V94" s="42"/>
      <c r="W94" s="42"/>
      <c r="X94" s="42"/>
      <c r="Y94" s="42"/>
      <c r="Z94" s="42"/>
      <c r="AA94" s="42"/>
      <c r="AC94" s="42"/>
      <c r="AD94" s="43"/>
    </row>
    <row r="95" spans="2:31" x14ac:dyDescent="0.4">
      <c r="B95" t="s">
        <v>98</v>
      </c>
      <c r="C95">
        <f>$B$90</f>
        <v>0.99916270318666023</v>
      </c>
      <c r="Q95" s="42"/>
      <c r="R95" s="42"/>
      <c r="S95" s="58"/>
      <c r="T95" s="42"/>
      <c r="U95" s="42"/>
      <c r="V95" s="42"/>
      <c r="W95" s="42"/>
      <c r="X95" s="42"/>
      <c r="Y95" s="42"/>
      <c r="Z95" s="42"/>
      <c r="AA95" s="42"/>
      <c r="AC95" s="42"/>
      <c r="AD95" s="43"/>
    </row>
    <row r="96" spans="2:31" x14ac:dyDescent="0.4">
      <c r="B96" t="s">
        <v>99</v>
      </c>
      <c r="C96">
        <f>$C$90</f>
        <v>175.90758919622218</v>
      </c>
      <c r="Q96" s="42"/>
      <c r="R96" s="42"/>
      <c r="S96" s="58"/>
      <c r="T96" s="42"/>
      <c r="U96" s="42"/>
      <c r="V96" s="42"/>
      <c r="W96" s="42"/>
      <c r="X96" s="42"/>
      <c r="Y96" s="42"/>
      <c r="Z96" s="42"/>
      <c r="AA96" s="42"/>
      <c r="AC96" s="42"/>
      <c r="AD96" s="43"/>
    </row>
    <row r="97" spans="2:30" x14ac:dyDescent="0.4">
      <c r="B97" t="s">
        <v>100</v>
      </c>
      <c r="C97">
        <f>1</f>
        <v>1</v>
      </c>
      <c r="Q97" s="42"/>
      <c r="R97" s="42"/>
      <c r="S97" s="58"/>
      <c r="T97" s="42"/>
      <c r="U97" s="42"/>
      <c r="V97" s="42"/>
      <c r="W97" s="42"/>
      <c r="X97" s="42"/>
      <c r="Y97" s="42"/>
      <c r="Z97" s="42"/>
      <c r="AA97" s="42"/>
      <c r="AC97" s="42"/>
      <c r="AD97" s="43"/>
    </row>
    <row r="98" spans="2:30" x14ac:dyDescent="0.4">
      <c r="B98" t="s">
        <v>101</v>
      </c>
      <c r="C98">
        <f>5</f>
        <v>5</v>
      </c>
      <c r="Q98" s="42"/>
      <c r="R98" s="42"/>
      <c r="S98" s="58"/>
      <c r="T98" s="42"/>
      <c r="U98" s="42"/>
      <c r="V98" s="42"/>
      <c r="W98" s="42"/>
      <c r="X98" s="42"/>
      <c r="Y98" s="42"/>
      <c r="Z98" s="42"/>
      <c r="AA98" s="42"/>
      <c r="AC98" s="42"/>
      <c r="AD98" s="43"/>
    </row>
    <row r="99" spans="2:30" x14ac:dyDescent="0.4">
      <c r="B99" t="s">
        <v>102</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103</v>
      </c>
      <c r="Q101" s="42"/>
      <c r="R101" s="42"/>
      <c r="S101" s="58"/>
      <c r="T101" s="42"/>
      <c r="U101" s="42"/>
      <c r="V101" s="42"/>
      <c r="W101" s="42"/>
      <c r="X101" s="42"/>
      <c r="Y101" s="42"/>
      <c r="Z101" s="42"/>
      <c r="AA101" s="42"/>
    </row>
    <row r="102" spans="2:30" x14ac:dyDescent="0.4">
      <c r="C102" t="s">
        <v>104</v>
      </c>
      <c r="D102" t="s">
        <v>105</v>
      </c>
      <c r="E102" t="s">
        <v>106</v>
      </c>
      <c r="F102" t="s">
        <v>107</v>
      </c>
      <c r="G102" t="s">
        <v>108</v>
      </c>
      <c r="Q102" s="42"/>
      <c r="R102" s="42"/>
      <c r="S102" s="58"/>
      <c r="T102" s="42"/>
      <c r="U102" s="42"/>
      <c r="V102" s="42"/>
      <c r="W102" s="42"/>
      <c r="X102" s="42"/>
      <c r="Y102" s="42"/>
      <c r="Z102" s="42"/>
      <c r="AA102" s="42"/>
    </row>
    <row r="103" spans="2:30" x14ac:dyDescent="0.4">
      <c r="B103" t="s">
        <v>83</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109</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77</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110</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111</v>
      </c>
      <c r="D109" t="s">
        <v>99</v>
      </c>
      <c r="E109" t="s">
        <v>112</v>
      </c>
      <c r="F109" t="s">
        <v>113</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114</v>
      </c>
      <c r="D113" t="str">
        <f>"Y"</f>
        <v>Y</v>
      </c>
      <c r="E113" t="s">
        <v>109</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280</v>
      </c>
      <c r="C122" s="36"/>
      <c r="D122" s="206"/>
      <c r="E122" s="85"/>
    </row>
    <row r="123" spans="2:27" x14ac:dyDescent="0.4">
      <c r="B123" s="207" t="s">
        <v>224</v>
      </c>
      <c r="C123" s="120" t="s">
        <v>283</v>
      </c>
      <c r="D123" s="120" t="s">
        <v>284</v>
      </c>
      <c r="E123" s="208" t="s">
        <v>285</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09">
        <v>4</v>
      </c>
      <c r="C126" s="128">
        <v>6300</v>
      </c>
      <c r="D126" s="128">
        <v>4553</v>
      </c>
      <c r="E126" s="210">
        <v>8713</v>
      </c>
    </row>
    <row r="127" spans="2:27" x14ac:dyDescent="0.4">
      <c r="B127" s="38">
        <v>5</v>
      </c>
      <c r="C127">
        <v>3475</v>
      </c>
      <c r="D127">
        <v>2330</v>
      </c>
      <c r="E127" s="45">
        <v>5183</v>
      </c>
    </row>
    <row r="128" spans="2:27" x14ac:dyDescent="0.4">
      <c r="B128" s="209">
        <v>6</v>
      </c>
      <c r="C128" s="128">
        <v>1631</v>
      </c>
      <c r="D128" s="128">
        <v>938.2</v>
      </c>
      <c r="E128" s="210">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9"/>
  <sheetViews>
    <sheetView zoomScale="70" zoomScaleNormal="70" workbookViewId="0"/>
  </sheetViews>
  <sheetFormatPr defaultColWidth="11.53125" defaultRowHeight="12.75" x14ac:dyDescent="0.35"/>
  <cols>
    <col min="1" max="1" width="22.9296875" customWidth="1"/>
    <col min="2" max="2" width="17.1328125" customWidth="1"/>
  </cols>
  <sheetData>
    <row r="1" spans="1:1024" ht="51.85" customHeight="1" x14ac:dyDescent="0.35">
      <c r="A1" s="130" t="s">
        <v>414</v>
      </c>
    </row>
    <row r="2" spans="1:1024" ht="67.150000000000006" customHeight="1" thickBot="1" x14ac:dyDescent="0.4">
      <c r="A2" s="130" t="s">
        <v>288</v>
      </c>
      <c r="B2" s="9"/>
      <c r="C2" s="2"/>
      <c r="D2" s="2"/>
      <c r="E2" s="2"/>
      <c r="F2" s="2"/>
      <c r="G2" s="2"/>
      <c r="H2" s="9"/>
      <c r="I2" s="9"/>
      <c r="J2" s="9"/>
      <c r="K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c r="ALV2" s="9"/>
      <c r="ALW2" s="9"/>
      <c r="ALX2" s="9"/>
      <c r="ALY2" s="9"/>
      <c r="ALZ2" s="9"/>
      <c r="AMA2" s="9"/>
      <c r="AMB2" s="9"/>
      <c r="AMC2" s="9"/>
      <c r="AMD2" s="9"/>
      <c r="AME2" s="9"/>
      <c r="AMF2" s="9"/>
      <c r="AMG2" s="9"/>
      <c r="AMH2" s="9"/>
      <c r="AMI2" s="9"/>
      <c r="AMJ2" s="9"/>
    </row>
    <row r="3" spans="1:1024" ht="18.399999999999999" x14ac:dyDescent="0.7">
      <c r="D3" s="211" t="s">
        <v>321</v>
      </c>
      <c r="L3" s="242" t="s">
        <v>392</v>
      </c>
      <c r="M3" s="227"/>
      <c r="N3" s="227"/>
      <c r="O3" s="227"/>
      <c r="P3" s="227" t="s">
        <v>391</v>
      </c>
      <c r="Q3" s="243">
        <v>0.89</v>
      </c>
      <c r="R3" s="228" t="s">
        <v>384</v>
      </c>
    </row>
    <row r="4" spans="1:1024" ht="15.75" x14ac:dyDescent="0.5">
      <c r="A4" s="11" t="s">
        <v>115</v>
      </c>
      <c r="B4" s="10" t="s">
        <v>408</v>
      </c>
      <c r="C4" s="10"/>
      <c r="E4" s="144" t="s">
        <v>313</v>
      </c>
      <c r="F4" s="145">
        <v>1</v>
      </c>
      <c r="G4" s="146"/>
      <c r="H4" s="146"/>
      <c r="L4" s="244" t="s">
        <v>393</v>
      </c>
      <c r="M4" s="68"/>
      <c r="N4" s="68"/>
      <c r="O4" s="68"/>
      <c r="P4" s="145">
        <v>1</v>
      </c>
      <c r="Q4" s="145">
        <v>90</v>
      </c>
      <c r="R4" s="230" t="s">
        <v>52</v>
      </c>
    </row>
    <row r="5" spans="1:1024" ht="13.15" x14ac:dyDescent="0.4">
      <c r="A5" s="10" t="s">
        <v>27</v>
      </c>
      <c r="B5" s="62">
        <v>46009</v>
      </c>
      <c r="C5" s="10"/>
      <c r="E5" s="144" t="s">
        <v>323</v>
      </c>
      <c r="F5" s="146">
        <v>0.86799999999999999</v>
      </c>
      <c r="G5" s="146"/>
      <c r="H5" s="146"/>
      <c r="L5" s="231" t="s">
        <v>383</v>
      </c>
      <c r="M5" s="65" t="s">
        <v>380</v>
      </c>
      <c r="N5" s="65" t="s">
        <v>130</v>
      </c>
      <c r="O5" s="65" t="s">
        <v>381</v>
      </c>
      <c r="P5" s="65" t="s">
        <v>379</v>
      </c>
      <c r="Q5" s="65" t="s">
        <v>382</v>
      </c>
      <c r="R5" s="230"/>
    </row>
    <row r="6" spans="1:1024" ht="13.15" x14ac:dyDescent="0.4">
      <c r="A6" s="10" t="s">
        <v>28</v>
      </c>
      <c r="B6" s="64" t="s">
        <v>29</v>
      </c>
      <c r="C6" s="10"/>
      <c r="L6" s="232">
        <v>1.5</v>
      </c>
      <c r="M6" s="42">
        <v>67392.070000000007</v>
      </c>
      <c r="N6" s="42"/>
      <c r="O6" s="42">
        <v>67392.070000000007</v>
      </c>
      <c r="P6" s="42">
        <f>O6*P$4</f>
        <v>67392.070000000007</v>
      </c>
      <c r="Q6" s="42">
        <f>P6*Q$3*Q$4</f>
        <v>5398104.807000001</v>
      </c>
      <c r="R6" s="230"/>
    </row>
    <row r="7" spans="1:1024" ht="13.15" x14ac:dyDescent="0.4">
      <c r="A7" s="10" t="s">
        <v>21</v>
      </c>
      <c r="B7" s="66" t="s">
        <v>407</v>
      </c>
      <c r="C7" s="67"/>
      <c r="E7" s="68" t="s">
        <v>322</v>
      </c>
      <c r="F7" s="65" t="s">
        <v>387</v>
      </c>
      <c r="G7" s="65" t="s">
        <v>314</v>
      </c>
      <c r="H7" s="65" t="s">
        <v>315</v>
      </c>
      <c r="I7" s="65" t="s">
        <v>316</v>
      </c>
      <c r="L7" s="232">
        <v>2</v>
      </c>
      <c r="M7" s="42">
        <v>41165</v>
      </c>
      <c r="N7" s="42"/>
      <c r="O7" s="42">
        <v>41165</v>
      </c>
      <c r="P7" s="42">
        <f t="shared" ref="P7:P35" si="0">O7*P$4</f>
        <v>41165</v>
      </c>
      <c r="Q7" s="42">
        <f t="shared" ref="Q7:Q35" si="1">P7*Q$3*Q$4</f>
        <v>3297316.5</v>
      </c>
      <c r="R7" s="230"/>
    </row>
    <row r="8" spans="1:1024" ht="13.15" x14ac:dyDescent="0.4">
      <c r="A8" s="10" t="s">
        <v>23</v>
      </c>
      <c r="B8" s="69" t="s">
        <v>24</v>
      </c>
      <c r="C8" s="10"/>
      <c r="E8" s="144" t="s">
        <v>385</v>
      </c>
      <c r="F8" s="146">
        <f>$F4*$F5*100</f>
        <v>86.8</v>
      </c>
      <c r="G8" s="146">
        <f>$F4*$F5*100</f>
        <v>86.8</v>
      </c>
      <c r="H8" s="146">
        <f>$F4*$F5*100</f>
        <v>86.8</v>
      </c>
      <c r="I8" s="146">
        <f>$F4*$F5*100</f>
        <v>86.8</v>
      </c>
      <c r="L8" s="232">
        <v>3</v>
      </c>
      <c r="M8" s="42">
        <v>17975.47</v>
      </c>
      <c r="N8" s="42">
        <v>17634.099999999999</v>
      </c>
      <c r="O8" s="42">
        <v>17975.47</v>
      </c>
      <c r="P8" s="42">
        <f t="shared" si="0"/>
        <v>17975.47</v>
      </c>
      <c r="Q8" s="42">
        <f t="shared" si="1"/>
        <v>1439835.1470000001</v>
      </c>
      <c r="R8" s="230"/>
    </row>
    <row r="9" spans="1:1024" ht="13.15" x14ac:dyDescent="0.4">
      <c r="A9" s="10" t="s">
        <v>25</v>
      </c>
      <c r="B9" s="66" t="s">
        <v>407</v>
      </c>
      <c r="C9" s="10"/>
      <c r="E9" s="144" t="s">
        <v>386</v>
      </c>
      <c r="F9" s="145">
        <v>26.08</v>
      </c>
      <c r="G9" s="145">
        <v>26.08</v>
      </c>
      <c r="H9" s="145">
        <v>26.11</v>
      </c>
      <c r="I9" s="145">
        <v>26.16</v>
      </c>
      <c r="L9" s="232">
        <v>4</v>
      </c>
      <c r="M9" s="42">
        <v>10898.56</v>
      </c>
      <c r="N9" s="42">
        <v>10750.3</v>
      </c>
      <c r="O9" s="42">
        <v>10898.56</v>
      </c>
      <c r="P9" s="42">
        <f t="shared" si="0"/>
        <v>10898.56</v>
      </c>
      <c r="Q9" s="42">
        <f t="shared" si="1"/>
        <v>872974.65599999996</v>
      </c>
      <c r="R9" s="230"/>
    </row>
    <row r="10" spans="1:1024" ht="13.15" x14ac:dyDescent="0.4">
      <c r="A10" s="10" t="s">
        <v>26</v>
      </c>
      <c r="B10" s="69" t="s">
        <v>24</v>
      </c>
      <c r="C10" s="10"/>
      <c r="E10" s="147" t="s">
        <v>330</v>
      </c>
      <c r="F10" s="148">
        <f>(1/$F$4-1)*F9</f>
        <v>0</v>
      </c>
      <c r="G10" s="148">
        <f>(1/$F$4-1)*G9</f>
        <v>0</v>
      </c>
      <c r="H10" s="148">
        <f>(1/$F$4-1)*H9</f>
        <v>0</v>
      </c>
      <c r="I10" s="148">
        <f>(1/$F$4-1)*I9</f>
        <v>0</v>
      </c>
      <c r="L10" s="232">
        <v>5</v>
      </c>
      <c r="M10" s="42">
        <v>6986.32</v>
      </c>
      <c r="N10" s="42">
        <v>7121.1</v>
      </c>
      <c r="O10" s="42">
        <v>6986.32</v>
      </c>
      <c r="P10" s="42">
        <f t="shared" si="0"/>
        <v>6986.32</v>
      </c>
      <c r="Q10" s="42">
        <f t="shared" si="1"/>
        <v>559604.23199999996</v>
      </c>
      <c r="R10" s="230"/>
    </row>
    <row r="11" spans="1:1024" ht="13.15" x14ac:dyDescent="0.4">
      <c r="A11" s="67" t="s">
        <v>116</v>
      </c>
      <c r="B11" s="69" t="s">
        <v>362</v>
      </c>
      <c r="C11" s="10"/>
      <c r="E11" s="144" t="s">
        <v>331</v>
      </c>
      <c r="F11" s="236">
        <v>61</v>
      </c>
      <c r="G11" s="236">
        <v>61.18</v>
      </c>
      <c r="H11" s="236">
        <v>61.2</v>
      </c>
      <c r="I11" s="236">
        <v>61.09</v>
      </c>
      <c r="L11" s="232">
        <v>6</v>
      </c>
      <c r="M11" s="42">
        <v>4679.6499999999996</v>
      </c>
      <c r="N11" s="42">
        <v>4729.1000000000004</v>
      </c>
      <c r="O11" s="42">
        <v>4679.6499999999996</v>
      </c>
      <c r="P11" s="42">
        <f t="shared" si="0"/>
        <v>4679.6499999999996</v>
      </c>
      <c r="Q11" s="42">
        <f t="shared" si="1"/>
        <v>374839.96500000003</v>
      </c>
      <c r="R11" s="230"/>
    </row>
    <row r="12" spans="1:1024" x14ac:dyDescent="0.35">
      <c r="B12" s="70"/>
      <c r="E12" s="144" t="s">
        <v>312</v>
      </c>
      <c r="F12" s="149">
        <f>IF($F4=1, 1, F9/(F9+F11))</f>
        <v>1</v>
      </c>
      <c r="G12" s="149">
        <f>IF($F4=1, 1, G9/(G9+G11))</f>
        <v>1</v>
      </c>
      <c r="H12" s="149">
        <f>IF($F4=1, 1, H9/(H9+H11))</f>
        <v>1</v>
      </c>
      <c r="I12" s="149">
        <f>IF($F4=1, 1, I9/(I9+I11))</f>
        <v>1</v>
      </c>
      <c r="L12" s="232">
        <v>7</v>
      </c>
      <c r="M12" s="42">
        <v>3163.23</v>
      </c>
      <c r="N12" s="42">
        <v>3199.3</v>
      </c>
      <c r="O12" s="42">
        <v>3163.23</v>
      </c>
      <c r="P12" s="42">
        <f t="shared" si="0"/>
        <v>3163.23</v>
      </c>
      <c r="Q12" s="42">
        <f t="shared" si="1"/>
        <v>253374.723</v>
      </c>
      <c r="R12" s="230"/>
    </row>
    <row r="13" spans="1:1024" ht="13.9" x14ac:dyDescent="0.4">
      <c r="A13" s="10" t="s">
        <v>30</v>
      </c>
      <c r="B13" s="133">
        <v>31</v>
      </c>
      <c r="C13" s="10"/>
      <c r="L13" s="232">
        <v>8</v>
      </c>
      <c r="M13" s="42">
        <v>2175.4699999999998</v>
      </c>
      <c r="N13" s="42">
        <v>2280.6</v>
      </c>
      <c r="O13" s="42">
        <v>2175.4699999999998</v>
      </c>
      <c r="P13" s="42">
        <f t="shared" si="0"/>
        <v>2175.4699999999998</v>
      </c>
      <c r="Q13" s="42">
        <f t="shared" si="1"/>
        <v>174255.147</v>
      </c>
      <c r="R13" s="230"/>
    </row>
    <row r="14" spans="1:1024" hidden="1" x14ac:dyDescent="0.35">
      <c r="B14" s="70"/>
      <c r="L14" s="229">
        <v>9</v>
      </c>
      <c r="M14" s="42">
        <v>1512.11</v>
      </c>
      <c r="N14" s="42">
        <v>1615</v>
      </c>
      <c r="O14" s="42">
        <v>1512.11</v>
      </c>
      <c r="P14" s="42">
        <f t="shared" si="0"/>
        <v>1512.11</v>
      </c>
      <c r="Q14" s="42">
        <f t="shared" si="1"/>
        <v>121120.01099999998</v>
      </c>
      <c r="R14" s="230"/>
    </row>
    <row r="15" spans="1:1024" x14ac:dyDescent="0.35">
      <c r="A15" t="s">
        <v>117</v>
      </c>
      <c r="B15" s="70">
        <f>B13*1.5</f>
        <v>46.5</v>
      </c>
      <c r="L15" s="232">
        <v>10</v>
      </c>
      <c r="M15" s="42">
        <v>1079.78</v>
      </c>
      <c r="N15" s="42">
        <v>1130.5</v>
      </c>
      <c r="O15" s="42">
        <v>1079.78</v>
      </c>
      <c r="P15" s="42">
        <f t="shared" si="0"/>
        <v>1079.78</v>
      </c>
      <c r="Q15" s="42">
        <f t="shared" si="1"/>
        <v>86490.377999999997</v>
      </c>
      <c r="R15" s="230"/>
    </row>
    <row r="16" spans="1:1024" ht="13.5" x14ac:dyDescent="0.35">
      <c r="A16" t="s">
        <v>118</v>
      </c>
      <c r="B16" s="133">
        <v>6000</v>
      </c>
      <c r="L16" s="232">
        <v>11</v>
      </c>
      <c r="M16" s="42">
        <v>786.62</v>
      </c>
      <c r="N16" s="42">
        <v>816.2</v>
      </c>
      <c r="O16" s="42">
        <v>786.62</v>
      </c>
      <c r="P16" s="42">
        <f t="shared" si="0"/>
        <v>786.62</v>
      </c>
      <c r="Q16" s="42">
        <f t="shared" si="1"/>
        <v>63008.262000000002</v>
      </c>
      <c r="R16" s="230"/>
    </row>
    <row r="17" spans="1:18" x14ac:dyDescent="0.35">
      <c r="A17" t="s">
        <v>119</v>
      </c>
      <c r="B17" s="71">
        <f>10^((LOG(B16)-LOG(B15))/(30-1))</f>
        <v>1.1824497666517551</v>
      </c>
      <c r="L17" s="232">
        <v>12</v>
      </c>
      <c r="M17" s="42">
        <v>586.05999999999995</v>
      </c>
      <c r="N17" s="42">
        <v>618.6</v>
      </c>
      <c r="O17" s="42">
        <v>586.05999999999995</v>
      </c>
      <c r="P17" s="42">
        <f t="shared" si="0"/>
        <v>586.05999999999995</v>
      </c>
      <c r="Q17" s="42">
        <f t="shared" si="1"/>
        <v>46943.405999999995</v>
      </c>
      <c r="R17" s="230"/>
    </row>
    <row r="18" spans="1:18" x14ac:dyDescent="0.35">
      <c r="L18" s="232">
        <v>13</v>
      </c>
      <c r="M18" s="42">
        <v>449.93</v>
      </c>
      <c r="N18" s="42">
        <v>481.9</v>
      </c>
      <c r="O18" s="42">
        <v>449.93</v>
      </c>
      <c r="P18" s="42">
        <f t="shared" si="0"/>
        <v>449.93</v>
      </c>
      <c r="Q18" s="42">
        <f t="shared" si="1"/>
        <v>36039.393000000004</v>
      </c>
      <c r="R18" s="230"/>
    </row>
    <row r="19" spans="1:18" x14ac:dyDescent="0.35">
      <c r="A19" s="68" t="s">
        <v>120</v>
      </c>
      <c r="B19" s="68" t="s">
        <v>121</v>
      </c>
      <c r="C19" s="68" t="s">
        <v>122</v>
      </c>
      <c r="D19" s="68" t="s">
        <v>123</v>
      </c>
      <c r="L19" s="232">
        <v>14</v>
      </c>
      <c r="M19" s="42">
        <v>352.62</v>
      </c>
      <c r="N19" s="42">
        <v>384.7</v>
      </c>
      <c r="O19" s="42">
        <v>352.62</v>
      </c>
      <c r="P19" s="42">
        <f t="shared" si="0"/>
        <v>352.62</v>
      </c>
      <c r="Q19" s="42">
        <f t="shared" si="1"/>
        <v>28244.861999999997</v>
      </c>
      <c r="R19" s="230"/>
    </row>
    <row r="20" spans="1:18" x14ac:dyDescent="0.35">
      <c r="A20">
        <v>4</v>
      </c>
      <c r="B20" s="43">
        <f>B13*1.5</f>
        <v>46.5</v>
      </c>
      <c r="C20" s="42">
        <f t="shared" ref="C20:C49" si="2">INT($B20+0.5)</f>
        <v>47</v>
      </c>
      <c r="D20" s="42">
        <f t="shared" ref="D20:D48" si="3">D21*B$17</f>
        <v>6000.0000000000146</v>
      </c>
      <c r="E20" s="68" t="s">
        <v>124</v>
      </c>
      <c r="L20" s="232">
        <v>15</v>
      </c>
      <c r="M20" s="42">
        <v>282.04000000000002</v>
      </c>
      <c r="N20" s="42">
        <v>314.60000000000002</v>
      </c>
      <c r="O20" s="42">
        <v>282.04000000000002</v>
      </c>
      <c r="P20" s="42">
        <f t="shared" si="0"/>
        <v>282.04000000000002</v>
      </c>
      <c r="Q20" s="42">
        <f t="shared" si="1"/>
        <v>22591.404000000002</v>
      </c>
      <c r="R20" s="230"/>
    </row>
    <row r="21" spans="1:18" x14ac:dyDescent="0.35">
      <c r="A21">
        <v>5</v>
      </c>
      <c r="B21" s="43">
        <f t="shared" ref="B21:B49" si="4">B20*B$17</f>
        <v>54.983914149306607</v>
      </c>
      <c r="C21" s="42">
        <f t="shared" si="2"/>
        <v>55</v>
      </c>
      <c r="D21" s="42">
        <f t="shared" si="3"/>
        <v>5074.2113273781742</v>
      </c>
      <c r="L21" s="232">
        <v>16</v>
      </c>
      <c r="M21" s="42">
        <v>229.42</v>
      </c>
      <c r="N21" s="42">
        <v>261.8</v>
      </c>
      <c r="O21" s="42">
        <v>229.42</v>
      </c>
      <c r="P21" s="42">
        <f t="shared" si="0"/>
        <v>229.42</v>
      </c>
      <c r="Q21" s="42">
        <f t="shared" si="1"/>
        <v>18376.541999999998</v>
      </c>
      <c r="R21" s="230"/>
    </row>
    <row r="22" spans="1:18" x14ac:dyDescent="0.35">
      <c r="A22">
        <v>6</v>
      </c>
      <c r="B22" s="43">
        <f t="shared" si="4"/>
        <v>65.01571645544773</v>
      </c>
      <c r="C22" s="42">
        <f t="shared" si="2"/>
        <v>65</v>
      </c>
      <c r="D22" s="42">
        <f t="shared" si="3"/>
        <v>4291.2700991488182</v>
      </c>
      <c r="L22" s="232">
        <v>17</v>
      </c>
      <c r="M22" s="42">
        <v>186.1</v>
      </c>
      <c r="N22" s="42">
        <v>221.2</v>
      </c>
      <c r="O22" s="42">
        <v>186.1</v>
      </c>
      <c r="P22" s="42">
        <f t="shared" si="0"/>
        <v>186.1</v>
      </c>
      <c r="Q22" s="42">
        <f t="shared" si="1"/>
        <v>14906.609999999999</v>
      </c>
      <c r="R22" s="230"/>
    </row>
    <row r="23" spans="1:18" x14ac:dyDescent="0.35">
      <c r="A23">
        <v>7</v>
      </c>
      <c r="B23" s="43">
        <f t="shared" si="4"/>
        <v>76.877818751440842</v>
      </c>
      <c r="C23" s="42">
        <f t="shared" si="2"/>
        <v>77</v>
      </c>
      <c r="D23" s="42">
        <f t="shared" si="3"/>
        <v>3629.1352243233573</v>
      </c>
      <c r="L23" s="232">
        <v>18</v>
      </c>
      <c r="M23" s="42">
        <v>153.87</v>
      </c>
      <c r="N23" s="42">
        <v>188.7</v>
      </c>
      <c r="O23" s="42">
        <v>153.87</v>
      </c>
      <c r="P23" s="42">
        <f t="shared" si="0"/>
        <v>153.87</v>
      </c>
      <c r="Q23" s="42">
        <f t="shared" si="1"/>
        <v>12324.986999999999</v>
      </c>
      <c r="R23" s="230"/>
    </row>
    <row r="24" spans="1:18" x14ac:dyDescent="0.35">
      <c r="A24">
        <v>8</v>
      </c>
      <c r="B24" s="43">
        <f t="shared" si="4"/>
        <v>90.904158843337143</v>
      </c>
      <c r="C24" s="42">
        <f t="shared" si="2"/>
        <v>91</v>
      </c>
      <c r="D24" s="42">
        <f t="shared" si="3"/>
        <v>3069.1665106414443</v>
      </c>
      <c r="L24" s="232">
        <v>19</v>
      </c>
      <c r="M24" s="42">
        <v>128.62</v>
      </c>
      <c r="N24" s="42">
        <v>161</v>
      </c>
      <c r="O24" s="42">
        <v>128.62</v>
      </c>
      <c r="P24" s="42">
        <f t="shared" si="0"/>
        <v>128.62</v>
      </c>
      <c r="Q24" s="42">
        <f t="shared" si="1"/>
        <v>10302.462</v>
      </c>
      <c r="R24" s="230"/>
    </row>
    <row r="25" spans="1:18" x14ac:dyDescent="0.35">
      <c r="A25">
        <v>9</v>
      </c>
      <c r="B25" s="43">
        <f t="shared" si="4"/>
        <v>107.48960141197809</v>
      </c>
      <c r="C25" s="42">
        <f t="shared" si="2"/>
        <v>107</v>
      </c>
      <c r="D25" s="42">
        <f t="shared" si="3"/>
        <v>2595.5999123177544</v>
      </c>
      <c r="L25" s="232">
        <v>20</v>
      </c>
      <c r="M25" s="42">
        <v>107.35</v>
      </c>
      <c r="N25" s="42">
        <v>136.4</v>
      </c>
      <c r="O25" s="42">
        <v>107.35</v>
      </c>
      <c r="P25" s="42">
        <f t="shared" si="0"/>
        <v>107.35</v>
      </c>
      <c r="Q25" s="42">
        <f t="shared" si="1"/>
        <v>8598.7350000000006</v>
      </c>
      <c r="R25" s="230"/>
    </row>
    <row r="26" spans="1:18" x14ac:dyDescent="0.35">
      <c r="A26">
        <v>10</v>
      </c>
      <c r="B26" s="43">
        <f t="shared" si="4"/>
        <v>127.10105410708364</v>
      </c>
      <c r="C26" s="42">
        <f t="shared" si="2"/>
        <v>127</v>
      </c>
      <c r="D26" s="42">
        <f t="shared" si="3"/>
        <v>2195.1037460707521</v>
      </c>
      <c r="E26" s="43"/>
      <c r="F26" s="43"/>
      <c r="L26" s="232">
        <v>21</v>
      </c>
      <c r="M26" s="42">
        <v>88.64</v>
      </c>
      <c r="N26" s="42">
        <v>114.4</v>
      </c>
      <c r="O26" s="42">
        <v>88.64</v>
      </c>
      <c r="P26" s="42">
        <f t="shared" si="0"/>
        <v>88.64</v>
      </c>
      <c r="Q26" s="42">
        <f t="shared" si="1"/>
        <v>7100.0640000000003</v>
      </c>
      <c r="R26" s="230"/>
    </row>
    <row r="27" spans="1:18" x14ac:dyDescent="0.35">
      <c r="A27">
        <v>11</v>
      </c>
      <c r="B27" s="43">
        <f t="shared" ref="B27:B39" si="5">B26*B$17</f>
        <v>150.29061177011314</v>
      </c>
      <c r="C27" s="42">
        <f t="shared" si="2"/>
        <v>150</v>
      </c>
      <c r="D27" s="42">
        <f t="shared" si="3"/>
        <v>1856.403382180408</v>
      </c>
      <c r="E27" s="43"/>
      <c r="F27" s="43"/>
      <c r="L27" s="232">
        <v>22</v>
      </c>
      <c r="M27" s="42">
        <v>75.56</v>
      </c>
      <c r="N27" s="42">
        <v>95.3</v>
      </c>
      <c r="O27" s="42">
        <v>75.56</v>
      </c>
      <c r="P27" s="42">
        <f t="shared" si="0"/>
        <v>75.56</v>
      </c>
      <c r="Q27" s="42">
        <f t="shared" si="1"/>
        <v>6052.3560000000007</v>
      </c>
      <c r="R27" s="230"/>
    </row>
    <row r="28" spans="1:18" x14ac:dyDescent="0.35">
      <c r="A28">
        <v>12</v>
      </c>
      <c r="B28" s="43">
        <f t="shared" si="5"/>
        <v>177.7110988175198</v>
      </c>
      <c r="C28" s="42">
        <f t="shared" si="2"/>
        <v>178</v>
      </c>
      <c r="D28" s="42">
        <f t="shared" si="3"/>
        <v>1569.9638450071595</v>
      </c>
      <c r="E28" s="43"/>
      <c r="F28" s="43"/>
      <c r="L28" s="232">
        <v>23</v>
      </c>
      <c r="M28" s="42">
        <v>61.94</v>
      </c>
      <c r="N28" s="42">
        <v>79</v>
      </c>
      <c r="O28" s="42">
        <v>61.94</v>
      </c>
      <c r="P28" s="42">
        <f t="shared" si="0"/>
        <v>61.94</v>
      </c>
      <c r="Q28" s="42">
        <f t="shared" si="1"/>
        <v>4961.3939999999993</v>
      </c>
      <c r="R28" s="230"/>
    </row>
    <row r="29" spans="1:18" x14ac:dyDescent="0.35">
      <c r="A29">
        <v>13</v>
      </c>
      <c r="B29" s="43">
        <f t="shared" si="5"/>
        <v>210.13444732820327</v>
      </c>
      <c r="C29" s="42">
        <f t="shared" si="2"/>
        <v>210</v>
      </c>
      <c r="D29" s="42">
        <f t="shared" si="3"/>
        <v>1327.7213876515837</v>
      </c>
      <c r="E29" s="43"/>
      <c r="F29" s="43"/>
      <c r="L29" s="232">
        <v>24</v>
      </c>
      <c r="M29" s="42">
        <v>50.86</v>
      </c>
      <c r="N29" s="42">
        <v>65.3</v>
      </c>
      <c r="O29" s="42">
        <v>50.86</v>
      </c>
      <c r="P29" s="42">
        <f t="shared" si="0"/>
        <v>50.86</v>
      </c>
      <c r="Q29" s="42">
        <f t="shared" si="1"/>
        <v>4073.886</v>
      </c>
      <c r="R29" s="230"/>
    </row>
    <row r="30" spans="1:18" x14ac:dyDescent="0.35">
      <c r="A30">
        <v>14</v>
      </c>
      <c r="B30" s="43">
        <f t="shared" si="5"/>
        <v>248.47342820872947</v>
      </c>
      <c r="C30" s="42">
        <f t="shared" si="2"/>
        <v>248</v>
      </c>
      <c r="D30" s="42">
        <f t="shared" si="3"/>
        <v>1122.8564841373195</v>
      </c>
      <c r="E30" s="43"/>
      <c r="F30" s="43"/>
      <c r="L30" s="232">
        <v>25</v>
      </c>
      <c r="M30" s="42">
        <v>41.61</v>
      </c>
      <c r="N30" s="42">
        <v>53.8</v>
      </c>
      <c r="O30" s="42">
        <v>41.61</v>
      </c>
      <c r="P30" s="42">
        <f t="shared" si="0"/>
        <v>41.61</v>
      </c>
      <c r="Q30" s="42">
        <f t="shared" si="1"/>
        <v>3332.9609999999998</v>
      </c>
      <c r="R30" s="230"/>
    </row>
    <row r="31" spans="1:18" x14ac:dyDescent="0.35">
      <c r="A31">
        <v>15</v>
      </c>
      <c r="B31" s="43">
        <f t="shared" si="5"/>
        <v>293.80734720457377</v>
      </c>
      <c r="C31" s="42">
        <f t="shared" si="2"/>
        <v>294</v>
      </c>
      <c r="D31" s="42">
        <f t="shared" si="3"/>
        <v>949.60184847160065</v>
      </c>
      <c r="E31" s="43"/>
      <c r="F31" s="43"/>
      <c r="L31" s="232">
        <v>26</v>
      </c>
      <c r="M31" s="42">
        <v>33.44</v>
      </c>
      <c r="N31" s="42">
        <v>44.6</v>
      </c>
      <c r="O31" s="42">
        <v>33.44</v>
      </c>
      <c r="P31" s="42">
        <f t="shared" si="0"/>
        <v>33.44</v>
      </c>
      <c r="Q31" s="42">
        <f t="shared" si="1"/>
        <v>2678.5439999999999</v>
      </c>
      <c r="R31" s="230"/>
    </row>
    <row r="32" spans="1:18" x14ac:dyDescent="0.35">
      <c r="A32">
        <v>16</v>
      </c>
      <c r="B32" s="43">
        <f t="shared" si="5"/>
        <v>347.41242914261943</v>
      </c>
      <c r="C32" s="42">
        <f t="shared" si="2"/>
        <v>347</v>
      </c>
      <c r="D32" s="42">
        <f t="shared" si="3"/>
        <v>803.08007600230621</v>
      </c>
      <c r="E32" s="43"/>
      <c r="F32" s="43"/>
      <c r="L32" s="232">
        <v>27</v>
      </c>
      <c r="M32" s="42">
        <v>26.08</v>
      </c>
      <c r="N32" s="42">
        <v>37</v>
      </c>
      <c r="O32" s="42">
        <v>26.08</v>
      </c>
      <c r="P32" s="42">
        <f t="shared" si="0"/>
        <v>26.08</v>
      </c>
      <c r="Q32" s="42">
        <f t="shared" si="1"/>
        <v>2089.0079999999998</v>
      </c>
      <c r="R32" s="230"/>
    </row>
    <row r="33" spans="1:18" x14ac:dyDescent="0.35">
      <c r="A33">
        <v>17</v>
      </c>
      <c r="B33" s="43">
        <f t="shared" si="5"/>
        <v>410.79774577160975</v>
      </c>
      <c r="C33" s="42">
        <f t="shared" si="2"/>
        <v>411</v>
      </c>
      <c r="D33" s="42">
        <f t="shared" si="3"/>
        <v>679.1663364071029</v>
      </c>
      <c r="E33" s="43"/>
      <c r="F33" s="43"/>
      <c r="L33" s="232">
        <v>28</v>
      </c>
      <c r="M33" s="42">
        <v>20.41</v>
      </c>
      <c r="N33" s="42">
        <v>30.7</v>
      </c>
      <c r="O33" s="42">
        <v>20.41</v>
      </c>
      <c r="P33" s="42">
        <f t="shared" si="0"/>
        <v>20.41</v>
      </c>
      <c r="Q33" s="42">
        <f t="shared" si="1"/>
        <v>1634.8409999999999</v>
      </c>
      <c r="R33" s="230"/>
    </row>
    <row r="34" spans="1:18" x14ac:dyDescent="0.35">
      <c r="A34">
        <v>18</v>
      </c>
      <c r="B34" s="43">
        <f t="shared" si="5"/>
        <v>485.74769862870693</v>
      </c>
      <c r="C34" s="42">
        <f t="shared" si="2"/>
        <v>486</v>
      </c>
      <c r="D34" s="42">
        <f t="shared" si="3"/>
        <v>574.37225289514151</v>
      </c>
      <c r="E34" s="43"/>
      <c r="F34" s="43"/>
      <c r="L34" s="232">
        <v>29</v>
      </c>
      <c r="M34" s="42">
        <v>16.39</v>
      </c>
      <c r="N34" s="42">
        <v>25.2</v>
      </c>
      <c r="O34" s="42">
        <v>16.39</v>
      </c>
      <c r="P34" s="42">
        <f t="shared" si="0"/>
        <v>16.39</v>
      </c>
      <c r="Q34" s="42">
        <f t="shared" si="1"/>
        <v>1312.8390000000002</v>
      </c>
      <c r="R34" s="230"/>
    </row>
    <row r="35" spans="1:18" ht="13.15" thickBot="1" x14ac:dyDescent="0.4">
      <c r="A35">
        <v>19</v>
      </c>
      <c r="B35" s="43">
        <f t="shared" si="5"/>
        <v>574.37225289514151</v>
      </c>
      <c r="C35" s="42">
        <f t="shared" si="2"/>
        <v>574</v>
      </c>
      <c r="D35" s="42">
        <f t="shared" si="3"/>
        <v>485.74769862870693</v>
      </c>
      <c r="E35" s="43"/>
      <c r="F35" s="43"/>
      <c r="L35" s="233">
        <v>30</v>
      </c>
      <c r="M35" s="234">
        <v>13.94</v>
      </c>
      <c r="N35" s="234">
        <v>20.100000000000001</v>
      </c>
      <c r="O35" s="234">
        <v>13.94</v>
      </c>
      <c r="P35" s="234">
        <f t="shared" si="0"/>
        <v>13.94</v>
      </c>
      <c r="Q35" s="234">
        <f t="shared" si="1"/>
        <v>1116.5939999999998</v>
      </c>
      <c r="R35" s="235"/>
    </row>
    <row r="36" spans="1:18" x14ac:dyDescent="0.35">
      <c r="A36">
        <v>20</v>
      </c>
      <c r="B36" s="43">
        <f t="shared" si="5"/>
        <v>679.1663364071029</v>
      </c>
      <c r="C36" s="42">
        <f t="shared" si="2"/>
        <v>679</v>
      </c>
      <c r="D36" s="42">
        <f t="shared" si="3"/>
        <v>410.79774577160975</v>
      </c>
      <c r="E36" s="43"/>
      <c r="F36" s="43"/>
    </row>
    <row r="37" spans="1:18" x14ac:dyDescent="0.35">
      <c r="A37">
        <v>21</v>
      </c>
      <c r="B37" s="43">
        <f t="shared" si="5"/>
        <v>803.08007600230621</v>
      </c>
      <c r="C37" s="42">
        <f t="shared" si="2"/>
        <v>803</v>
      </c>
      <c r="D37" s="42">
        <f t="shared" si="3"/>
        <v>347.41242914261943</v>
      </c>
      <c r="E37" s="43"/>
      <c r="F37" s="43"/>
    </row>
    <row r="38" spans="1:18" x14ac:dyDescent="0.35">
      <c r="A38">
        <v>22</v>
      </c>
      <c r="B38" s="43">
        <f t="shared" si="5"/>
        <v>949.60184847160065</v>
      </c>
      <c r="C38" s="42">
        <f t="shared" si="2"/>
        <v>950</v>
      </c>
      <c r="D38" s="42">
        <f t="shared" si="3"/>
        <v>293.80734720457377</v>
      </c>
      <c r="E38" s="43"/>
      <c r="F38" s="43"/>
    </row>
    <row r="39" spans="1:18" x14ac:dyDescent="0.35">
      <c r="A39">
        <v>23</v>
      </c>
      <c r="B39" s="43">
        <f t="shared" si="5"/>
        <v>1122.8564841373195</v>
      </c>
      <c r="C39" s="42">
        <f t="shared" si="2"/>
        <v>1123</v>
      </c>
      <c r="D39" s="42">
        <f t="shared" si="3"/>
        <v>248.47342820872947</v>
      </c>
      <c r="E39" s="43"/>
      <c r="F39" s="43"/>
    </row>
    <row r="40" spans="1:18" x14ac:dyDescent="0.35">
      <c r="A40">
        <v>24</v>
      </c>
      <c r="B40" s="43">
        <f t="shared" si="4"/>
        <v>1327.7213876515837</v>
      </c>
      <c r="C40" s="42">
        <f t="shared" si="2"/>
        <v>1328</v>
      </c>
      <c r="D40" s="42">
        <f t="shared" si="3"/>
        <v>210.13444732820327</v>
      </c>
    </row>
    <row r="41" spans="1:18" x14ac:dyDescent="0.35">
      <c r="A41">
        <v>25</v>
      </c>
      <c r="B41" s="43">
        <f t="shared" si="4"/>
        <v>1569.9638450071595</v>
      </c>
      <c r="C41" s="42">
        <f t="shared" si="2"/>
        <v>1570</v>
      </c>
      <c r="D41" s="42">
        <f t="shared" si="3"/>
        <v>177.7110988175198</v>
      </c>
    </row>
    <row r="42" spans="1:18" x14ac:dyDescent="0.35">
      <c r="A42">
        <v>26</v>
      </c>
      <c r="B42" s="43">
        <f t="shared" si="4"/>
        <v>1856.403382180408</v>
      </c>
      <c r="C42" s="42">
        <f t="shared" si="2"/>
        <v>1856</v>
      </c>
      <c r="D42" s="42">
        <f t="shared" si="3"/>
        <v>150.29061177011314</v>
      </c>
    </row>
    <row r="43" spans="1:18" x14ac:dyDescent="0.35">
      <c r="A43">
        <v>27</v>
      </c>
      <c r="B43" s="43">
        <f t="shared" si="4"/>
        <v>2195.1037460707521</v>
      </c>
      <c r="C43" s="42">
        <f t="shared" si="2"/>
        <v>2195</v>
      </c>
      <c r="D43" s="42">
        <f t="shared" si="3"/>
        <v>127.10105410708364</v>
      </c>
    </row>
    <row r="44" spans="1:18" x14ac:dyDescent="0.35">
      <c r="A44">
        <v>28</v>
      </c>
      <c r="B44" s="43">
        <f t="shared" si="4"/>
        <v>2595.5999123177544</v>
      </c>
      <c r="C44" s="42">
        <f t="shared" si="2"/>
        <v>2596</v>
      </c>
      <c r="D44" s="42">
        <f t="shared" si="3"/>
        <v>107.48960141197809</v>
      </c>
    </row>
    <row r="45" spans="1:18" x14ac:dyDescent="0.35">
      <c r="A45">
        <v>29</v>
      </c>
      <c r="B45" s="43">
        <f t="shared" si="4"/>
        <v>3069.1665106414443</v>
      </c>
      <c r="C45" s="42">
        <f t="shared" si="2"/>
        <v>3069</v>
      </c>
      <c r="D45" s="42">
        <f t="shared" si="3"/>
        <v>90.904158843337143</v>
      </c>
    </row>
    <row r="46" spans="1:18" x14ac:dyDescent="0.35">
      <c r="A46">
        <v>30</v>
      </c>
      <c r="B46" s="43">
        <f t="shared" si="4"/>
        <v>3629.1352243233573</v>
      </c>
      <c r="C46" s="42">
        <f t="shared" si="2"/>
        <v>3629</v>
      </c>
      <c r="D46" s="42">
        <f t="shared" si="3"/>
        <v>76.877818751440842</v>
      </c>
    </row>
    <row r="47" spans="1:18" x14ac:dyDescent="0.35">
      <c r="A47">
        <v>38</v>
      </c>
      <c r="B47" s="43">
        <f t="shared" si="4"/>
        <v>4291.2700991488182</v>
      </c>
      <c r="C47" s="42">
        <f t="shared" si="2"/>
        <v>4291</v>
      </c>
      <c r="D47" s="42">
        <f t="shared" si="3"/>
        <v>65.01571645544773</v>
      </c>
    </row>
    <row r="48" spans="1:18" x14ac:dyDescent="0.35">
      <c r="A48">
        <v>50</v>
      </c>
      <c r="B48" s="43">
        <f t="shared" si="4"/>
        <v>5074.2113273781742</v>
      </c>
      <c r="C48" s="42">
        <f t="shared" si="2"/>
        <v>5074</v>
      </c>
      <c r="D48" s="42">
        <f t="shared" si="3"/>
        <v>54.983914149306607</v>
      </c>
    </row>
    <row r="49" spans="1:31" x14ac:dyDescent="0.35">
      <c r="A49">
        <v>70</v>
      </c>
      <c r="B49" s="43">
        <f t="shared" si="4"/>
        <v>6000.0000000000146</v>
      </c>
      <c r="C49" s="42">
        <f t="shared" si="2"/>
        <v>6000</v>
      </c>
      <c r="D49" s="42">
        <f>$B$13*1.5</f>
        <v>46.5</v>
      </c>
      <c r="E49" s="68" t="s">
        <v>125</v>
      </c>
    </row>
    <row r="50" spans="1:31" x14ac:dyDescent="0.35">
      <c r="C50" s="68"/>
      <c r="E50" s="43"/>
      <c r="F50" s="42"/>
      <c r="G50" s="42"/>
    </row>
    <row r="51" spans="1:31" ht="13.15" x14ac:dyDescent="0.4">
      <c r="B51" s="65" t="s">
        <v>375</v>
      </c>
      <c r="E51" s="42"/>
    </row>
    <row r="52" spans="1:31" x14ac:dyDescent="0.35">
      <c r="A52" s="68" t="s">
        <v>202</v>
      </c>
      <c r="B52" s="42">
        <v>4</v>
      </c>
      <c r="C52" s="42">
        <v>5</v>
      </c>
      <c r="D52" s="42">
        <v>6</v>
      </c>
      <c r="E52" s="42">
        <v>7</v>
      </c>
      <c r="F52" s="42">
        <v>8</v>
      </c>
      <c r="G52" s="42">
        <v>9</v>
      </c>
      <c r="H52" s="42">
        <v>10</v>
      </c>
      <c r="I52" s="42">
        <v>11</v>
      </c>
      <c r="J52" s="42">
        <v>12</v>
      </c>
      <c r="K52" s="42">
        <v>13</v>
      </c>
      <c r="L52" s="42">
        <v>14</v>
      </c>
      <c r="M52" s="42">
        <v>15</v>
      </c>
      <c r="N52" s="42">
        <v>16</v>
      </c>
      <c r="O52" s="42">
        <v>17</v>
      </c>
      <c r="P52" s="42">
        <v>18</v>
      </c>
      <c r="Q52" s="42">
        <v>19</v>
      </c>
      <c r="R52" s="42">
        <v>20</v>
      </c>
      <c r="S52" s="42">
        <v>21</v>
      </c>
      <c r="T52" s="42">
        <v>22</v>
      </c>
      <c r="U52" s="42">
        <v>23</v>
      </c>
      <c r="V52" s="42">
        <v>24</v>
      </c>
      <c r="W52" s="42">
        <v>25</v>
      </c>
      <c r="X52" s="42">
        <v>26</v>
      </c>
      <c r="Y52" s="42">
        <v>27</v>
      </c>
      <c r="Z52" s="42">
        <v>28</v>
      </c>
      <c r="AA52" s="42">
        <v>29</v>
      </c>
      <c r="AB52" s="42">
        <v>30</v>
      </c>
      <c r="AC52" s="42">
        <v>38</v>
      </c>
      <c r="AD52" s="42">
        <v>50</v>
      </c>
      <c r="AE52" s="42">
        <v>70</v>
      </c>
    </row>
    <row r="53" spans="1:31" x14ac:dyDescent="0.35">
      <c r="A53" s="68" t="s">
        <v>324</v>
      </c>
      <c r="B53" s="42">
        <f>INT($B20+0.5)</f>
        <v>47</v>
      </c>
      <c r="C53" s="42">
        <f>INT($B21+0.5)</f>
        <v>55</v>
      </c>
      <c r="D53" s="42">
        <f>INT($B22+0.5)</f>
        <v>65</v>
      </c>
      <c r="E53" s="42">
        <f>INT($B23+0.5)</f>
        <v>77</v>
      </c>
      <c r="F53" s="42">
        <f>INT($B24+0.5)</f>
        <v>91</v>
      </c>
      <c r="G53" s="42">
        <f>INT($B25+0.5)</f>
        <v>107</v>
      </c>
      <c r="H53" s="42">
        <f>INT($B26+0.5)</f>
        <v>127</v>
      </c>
      <c r="I53" s="42">
        <f>INT($B27+0.5)</f>
        <v>150</v>
      </c>
      <c r="J53" s="42">
        <f>INT($B28+0.5)</f>
        <v>178</v>
      </c>
      <c r="K53" s="42">
        <f>INT($B29+0.5)</f>
        <v>210</v>
      </c>
      <c r="L53" s="42">
        <f>INT($B30+0.5)</f>
        <v>248</v>
      </c>
      <c r="M53" s="42">
        <f>INT($B31+0.5)</f>
        <v>294</v>
      </c>
      <c r="N53" s="42">
        <f>INT($B32+0.5)</f>
        <v>347</v>
      </c>
      <c r="O53" s="42">
        <f>INT($B33+0.5)</f>
        <v>411</v>
      </c>
      <c r="P53" s="42">
        <f>INT($B34+0.5)</f>
        <v>486</v>
      </c>
      <c r="Q53" s="42">
        <f>INT($B35+0.5)</f>
        <v>574</v>
      </c>
      <c r="R53" s="42">
        <f>INT($B36+0.5)</f>
        <v>679</v>
      </c>
      <c r="S53" s="42">
        <f>INT($B37+0.5)</f>
        <v>803</v>
      </c>
      <c r="T53" s="42">
        <f>INT($B38+0.5)</f>
        <v>950</v>
      </c>
      <c r="U53" s="42">
        <f>INT($B39+0.5)</f>
        <v>1123</v>
      </c>
      <c r="V53" s="42">
        <f>INT($B40+0.5)</f>
        <v>1328</v>
      </c>
      <c r="W53" s="42">
        <f>INT($B41+0.5)</f>
        <v>1570</v>
      </c>
      <c r="X53" s="42">
        <f>INT($B42+0.5)</f>
        <v>1856</v>
      </c>
      <c r="Y53" s="42">
        <f>INT($B43+0.5)</f>
        <v>2195</v>
      </c>
      <c r="Z53" s="42">
        <f>INT($B44+0.5)</f>
        <v>2596</v>
      </c>
      <c r="AA53" s="42">
        <f>INT($B45+0.5)</f>
        <v>3069</v>
      </c>
      <c r="AB53" s="42">
        <f>INT($B46+0.5)</f>
        <v>3629</v>
      </c>
      <c r="AC53" s="42">
        <f>INT($B47+0.5)</f>
        <v>4291</v>
      </c>
      <c r="AD53" s="42">
        <f>INT($B48+0.5)</f>
        <v>5074</v>
      </c>
      <c r="AE53" s="42">
        <f>INT($B49+0.5)</f>
        <v>6000</v>
      </c>
    </row>
    <row r="55" spans="1:31" ht="36.4" x14ac:dyDescent="0.35">
      <c r="A55" s="130" t="s">
        <v>410</v>
      </c>
    </row>
    <row r="115" spans="1:32" x14ac:dyDescent="0.35">
      <c r="A115">
        <v>1</v>
      </c>
      <c r="B115">
        <v>8.3108219999999999</v>
      </c>
      <c r="C115">
        <v>37791</v>
      </c>
      <c r="D115">
        <v>33118</v>
      </c>
      <c r="E115">
        <v>28973</v>
      </c>
      <c r="F115">
        <v>25265</v>
      </c>
      <c r="G115">
        <v>21894</v>
      </c>
      <c r="H115">
        <v>18858</v>
      </c>
      <c r="I115">
        <v>16165</v>
      </c>
      <c r="J115">
        <v>13721</v>
      </c>
      <c r="K115">
        <v>11466</v>
      </c>
      <c r="L115">
        <v>9440</v>
      </c>
      <c r="M115">
        <v>7658</v>
      </c>
      <c r="N115">
        <v>6186</v>
      </c>
      <c r="O115">
        <v>4911</v>
      </c>
      <c r="P115">
        <v>3839</v>
      </c>
      <c r="Q115">
        <v>3015</v>
      </c>
      <c r="R115">
        <v>2366</v>
      </c>
      <c r="S115">
        <v>1880</v>
      </c>
      <c r="T115">
        <v>1468</v>
      </c>
      <c r="U115">
        <v>1143</v>
      </c>
      <c r="V115">
        <v>885</v>
      </c>
      <c r="W115">
        <v>688</v>
      </c>
      <c r="X115">
        <v>524</v>
      </c>
      <c r="Y115">
        <v>419</v>
      </c>
      <c r="Z115">
        <v>313</v>
      </c>
      <c r="AA115">
        <v>227</v>
      </c>
      <c r="AB115">
        <v>173</v>
      </c>
      <c r="AC115">
        <v>128</v>
      </c>
      <c r="AD115">
        <v>88</v>
      </c>
      <c r="AE115">
        <v>67</v>
      </c>
      <c r="AF115">
        <v>39</v>
      </c>
    </row>
    <row r="116" spans="1:32" x14ac:dyDescent="0.35">
      <c r="A116">
        <v>2</v>
      </c>
      <c r="B116">
        <v>8.7017830000000007</v>
      </c>
      <c r="C116">
        <v>38763</v>
      </c>
      <c r="D116">
        <v>34044</v>
      </c>
      <c r="E116">
        <v>29855</v>
      </c>
      <c r="F116">
        <v>26059</v>
      </c>
      <c r="G116">
        <v>22802</v>
      </c>
      <c r="H116">
        <v>19548</v>
      </c>
      <c r="I116">
        <v>16737</v>
      </c>
      <c r="J116">
        <v>14195</v>
      </c>
      <c r="K116">
        <v>11889</v>
      </c>
      <c r="L116">
        <v>9778</v>
      </c>
      <c r="M116">
        <v>7980</v>
      </c>
      <c r="N116">
        <v>6417</v>
      </c>
      <c r="O116">
        <v>5096</v>
      </c>
      <c r="P116">
        <v>4000</v>
      </c>
      <c r="Q116">
        <v>3164</v>
      </c>
      <c r="R116">
        <v>2467</v>
      </c>
      <c r="S116">
        <v>1917</v>
      </c>
      <c r="T116">
        <v>1500</v>
      </c>
      <c r="U116">
        <v>1185</v>
      </c>
      <c r="V116">
        <v>930</v>
      </c>
      <c r="W116">
        <v>740</v>
      </c>
      <c r="X116">
        <v>546</v>
      </c>
      <c r="Y116">
        <v>402</v>
      </c>
      <c r="Z116">
        <v>307</v>
      </c>
      <c r="AA116">
        <v>222</v>
      </c>
      <c r="AB116">
        <v>167</v>
      </c>
      <c r="AC116">
        <v>116</v>
      </c>
      <c r="AD116">
        <v>76</v>
      </c>
      <c r="AE116">
        <v>52</v>
      </c>
      <c r="AF116">
        <v>39</v>
      </c>
    </row>
    <row r="117" spans="1:32" x14ac:dyDescent="0.35">
      <c r="A117">
        <v>3</v>
      </c>
      <c r="B117">
        <v>8.6421869999999998</v>
      </c>
      <c r="C117">
        <v>38258</v>
      </c>
      <c r="D117">
        <v>33531</v>
      </c>
      <c r="E117">
        <v>29252</v>
      </c>
      <c r="F117">
        <v>25540</v>
      </c>
      <c r="G117">
        <v>22192</v>
      </c>
      <c r="H117">
        <v>19117</v>
      </c>
      <c r="I117">
        <v>16341</v>
      </c>
      <c r="J117">
        <v>13826</v>
      </c>
      <c r="K117">
        <v>11548</v>
      </c>
      <c r="L117">
        <v>9533</v>
      </c>
      <c r="M117">
        <v>7770</v>
      </c>
      <c r="N117">
        <v>6176</v>
      </c>
      <c r="O117">
        <v>4867</v>
      </c>
      <c r="P117">
        <v>3825</v>
      </c>
      <c r="Q117">
        <v>3006</v>
      </c>
      <c r="R117">
        <v>2345</v>
      </c>
      <c r="S117">
        <v>1857</v>
      </c>
      <c r="T117">
        <v>1476</v>
      </c>
      <c r="U117">
        <v>1141</v>
      </c>
      <c r="V117">
        <v>876</v>
      </c>
      <c r="W117">
        <v>698</v>
      </c>
      <c r="X117">
        <v>529</v>
      </c>
      <c r="Y117">
        <v>390</v>
      </c>
      <c r="Z117">
        <v>291</v>
      </c>
      <c r="AA117">
        <v>203</v>
      </c>
      <c r="AB117">
        <v>154</v>
      </c>
      <c r="AC117">
        <v>107</v>
      </c>
      <c r="AD117">
        <v>81</v>
      </c>
      <c r="AE117">
        <v>59</v>
      </c>
      <c r="AF117">
        <v>49</v>
      </c>
    </row>
    <row r="118" spans="1:32" x14ac:dyDescent="0.35">
      <c r="A118">
        <v>4</v>
      </c>
      <c r="B118">
        <v>8.702553</v>
      </c>
      <c r="C118">
        <v>38686</v>
      </c>
      <c r="D118">
        <v>33954</v>
      </c>
      <c r="E118">
        <v>29625</v>
      </c>
      <c r="F118">
        <v>25742</v>
      </c>
      <c r="G118">
        <v>22323</v>
      </c>
      <c r="H118">
        <v>19289</v>
      </c>
      <c r="I118">
        <v>16521</v>
      </c>
      <c r="J118">
        <v>14091</v>
      </c>
      <c r="K118">
        <v>11761</v>
      </c>
      <c r="L118">
        <v>9677</v>
      </c>
      <c r="M118">
        <v>7854</v>
      </c>
      <c r="N118">
        <v>6299</v>
      </c>
      <c r="O118">
        <v>5008</v>
      </c>
      <c r="P118">
        <v>3944</v>
      </c>
      <c r="Q118">
        <v>3081</v>
      </c>
      <c r="R118">
        <v>2364</v>
      </c>
      <c r="S118">
        <v>1837</v>
      </c>
      <c r="T118">
        <v>1429</v>
      </c>
      <c r="U118">
        <v>1109</v>
      </c>
      <c r="V118">
        <v>870</v>
      </c>
      <c r="W118">
        <v>685</v>
      </c>
      <c r="X118">
        <v>512</v>
      </c>
      <c r="Y118">
        <v>393</v>
      </c>
      <c r="Z118">
        <v>276</v>
      </c>
      <c r="AA118">
        <v>199</v>
      </c>
      <c r="AB118">
        <v>148</v>
      </c>
      <c r="AC118">
        <v>93</v>
      </c>
      <c r="AD118">
        <v>66</v>
      </c>
      <c r="AE118">
        <v>45</v>
      </c>
      <c r="AF118">
        <v>28</v>
      </c>
    </row>
    <row r="119" spans="1:32" x14ac:dyDescent="0.35">
      <c r="A119">
        <v>5</v>
      </c>
      <c r="B119">
        <v>8.7037089999999999</v>
      </c>
      <c r="C119">
        <v>38724</v>
      </c>
      <c r="D119">
        <v>33856</v>
      </c>
      <c r="E119">
        <v>29545</v>
      </c>
      <c r="F119">
        <v>25720</v>
      </c>
      <c r="G119">
        <v>22284</v>
      </c>
      <c r="H119">
        <v>19237</v>
      </c>
      <c r="I119">
        <v>16544</v>
      </c>
      <c r="J119">
        <v>14086</v>
      </c>
      <c r="K119">
        <v>11866</v>
      </c>
      <c r="L119">
        <v>9783</v>
      </c>
      <c r="M119">
        <v>7950</v>
      </c>
      <c r="N119">
        <v>6369</v>
      </c>
      <c r="O119">
        <v>5075</v>
      </c>
      <c r="P119">
        <v>4010</v>
      </c>
      <c r="Q119">
        <v>3164</v>
      </c>
      <c r="R119">
        <v>2470</v>
      </c>
      <c r="S119">
        <v>1898</v>
      </c>
      <c r="T119">
        <v>1483</v>
      </c>
      <c r="U119">
        <v>1130</v>
      </c>
      <c r="V119">
        <v>878</v>
      </c>
      <c r="W119">
        <v>666</v>
      </c>
      <c r="X119">
        <v>510</v>
      </c>
      <c r="Y119">
        <v>378</v>
      </c>
      <c r="Z119">
        <v>276</v>
      </c>
      <c r="AA119">
        <v>207</v>
      </c>
      <c r="AB119">
        <v>152</v>
      </c>
      <c r="AC119">
        <v>108</v>
      </c>
      <c r="AD119">
        <v>70</v>
      </c>
      <c r="AE119">
        <v>46</v>
      </c>
      <c r="AF119">
        <v>33</v>
      </c>
    </row>
    <row r="120" spans="1:32" x14ac:dyDescent="0.35">
      <c r="A120">
        <v>1</v>
      </c>
      <c r="B120">
        <v>8.2913929999999993</v>
      </c>
      <c r="C120">
        <v>40656</v>
      </c>
      <c r="D120">
        <v>35387</v>
      </c>
      <c r="E120">
        <v>30744</v>
      </c>
      <c r="F120">
        <v>26608</v>
      </c>
      <c r="G120">
        <v>23018</v>
      </c>
      <c r="H120">
        <v>19687</v>
      </c>
      <c r="I120">
        <v>16773</v>
      </c>
      <c r="J120">
        <v>14091</v>
      </c>
      <c r="K120">
        <v>11757</v>
      </c>
      <c r="L120">
        <v>9609</v>
      </c>
      <c r="M120">
        <v>7740</v>
      </c>
      <c r="N120">
        <v>6118</v>
      </c>
      <c r="O120">
        <v>4729</v>
      </c>
      <c r="P120">
        <v>3634</v>
      </c>
      <c r="Q120">
        <v>2786</v>
      </c>
      <c r="R120">
        <v>2161</v>
      </c>
      <c r="S120">
        <v>1688</v>
      </c>
      <c r="T120">
        <v>1286</v>
      </c>
      <c r="U120">
        <v>1030</v>
      </c>
      <c r="V120">
        <v>803</v>
      </c>
      <c r="W120">
        <v>597</v>
      </c>
      <c r="X120">
        <v>461</v>
      </c>
      <c r="Y120">
        <v>358</v>
      </c>
      <c r="Z120">
        <v>268</v>
      </c>
      <c r="AA120">
        <v>209</v>
      </c>
      <c r="AB120">
        <v>153</v>
      </c>
      <c r="AC120">
        <v>99</v>
      </c>
      <c r="AD120">
        <v>73</v>
      </c>
      <c r="AE120">
        <v>53</v>
      </c>
      <c r="AF120">
        <v>36</v>
      </c>
    </row>
    <row r="121" spans="1:32" x14ac:dyDescent="0.35">
      <c r="A121">
        <v>2</v>
      </c>
      <c r="B121">
        <v>8.6831899999999997</v>
      </c>
      <c r="C121">
        <v>41394</v>
      </c>
      <c r="D121">
        <v>35966</v>
      </c>
      <c r="E121">
        <v>31215</v>
      </c>
      <c r="F121">
        <v>27155</v>
      </c>
      <c r="G121">
        <v>23517</v>
      </c>
      <c r="H121">
        <v>20199</v>
      </c>
      <c r="I121">
        <v>17259</v>
      </c>
      <c r="J121">
        <v>14601</v>
      </c>
      <c r="K121">
        <v>12117</v>
      </c>
      <c r="L121">
        <v>9948</v>
      </c>
      <c r="M121">
        <v>7975</v>
      </c>
      <c r="N121">
        <v>6363</v>
      </c>
      <c r="O121">
        <v>4943</v>
      </c>
      <c r="P121">
        <v>3877</v>
      </c>
      <c r="Q121">
        <v>3028</v>
      </c>
      <c r="R121">
        <v>2336</v>
      </c>
      <c r="S121">
        <v>1766</v>
      </c>
      <c r="T121">
        <v>1401</v>
      </c>
      <c r="U121">
        <v>1115</v>
      </c>
      <c r="V121">
        <v>872</v>
      </c>
      <c r="W121">
        <v>658</v>
      </c>
      <c r="X121">
        <v>498</v>
      </c>
      <c r="Y121">
        <v>392</v>
      </c>
      <c r="Z121">
        <v>288</v>
      </c>
      <c r="AA121">
        <v>225</v>
      </c>
      <c r="AB121">
        <v>177</v>
      </c>
      <c r="AC121">
        <v>126</v>
      </c>
      <c r="AD121">
        <v>84</v>
      </c>
      <c r="AE121">
        <v>64</v>
      </c>
      <c r="AF121">
        <v>51</v>
      </c>
    </row>
    <row r="122" spans="1:32" x14ac:dyDescent="0.35">
      <c r="A122">
        <v>3</v>
      </c>
      <c r="B122">
        <v>8.6780039999999996</v>
      </c>
      <c r="C122">
        <v>41924</v>
      </c>
      <c r="D122">
        <v>36607</v>
      </c>
      <c r="E122">
        <v>31884</v>
      </c>
      <c r="F122">
        <v>27690</v>
      </c>
      <c r="G122">
        <v>24020</v>
      </c>
      <c r="H122">
        <v>20560</v>
      </c>
      <c r="I122">
        <v>17541</v>
      </c>
      <c r="J122">
        <v>14818</v>
      </c>
      <c r="K122">
        <v>12334</v>
      </c>
      <c r="L122">
        <v>10105</v>
      </c>
      <c r="M122">
        <v>8062</v>
      </c>
      <c r="N122">
        <v>6403</v>
      </c>
      <c r="O122">
        <v>5027</v>
      </c>
      <c r="P122">
        <v>3878</v>
      </c>
      <c r="Q122">
        <v>2958</v>
      </c>
      <c r="R122">
        <v>2280</v>
      </c>
      <c r="S122">
        <v>1777</v>
      </c>
      <c r="T122">
        <v>1422</v>
      </c>
      <c r="U122">
        <v>1111</v>
      </c>
      <c r="V122">
        <v>839</v>
      </c>
      <c r="W122">
        <v>647</v>
      </c>
      <c r="X122">
        <v>491</v>
      </c>
      <c r="Y122">
        <v>368</v>
      </c>
      <c r="Z122">
        <v>290</v>
      </c>
      <c r="AA122">
        <v>217</v>
      </c>
      <c r="AB122">
        <v>153</v>
      </c>
      <c r="AC122">
        <v>108</v>
      </c>
      <c r="AD122">
        <v>71</v>
      </c>
      <c r="AE122">
        <v>46</v>
      </c>
      <c r="AF122">
        <v>29</v>
      </c>
    </row>
    <row r="123" spans="1:32" x14ac:dyDescent="0.35">
      <c r="A123">
        <v>4</v>
      </c>
      <c r="B123">
        <v>8.6292050000000007</v>
      </c>
      <c r="C123">
        <v>41300</v>
      </c>
      <c r="D123">
        <v>35962</v>
      </c>
      <c r="E123">
        <v>31074</v>
      </c>
      <c r="F123">
        <v>26934</v>
      </c>
      <c r="G123">
        <v>23276</v>
      </c>
      <c r="H123">
        <v>19911</v>
      </c>
      <c r="I123">
        <v>16847</v>
      </c>
      <c r="J123">
        <v>14119</v>
      </c>
      <c r="K123">
        <v>11698</v>
      </c>
      <c r="L123">
        <v>9534</v>
      </c>
      <c r="M123">
        <v>7689</v>
      </c>
      <c r="N123">
        <v>6142</v>
      </c>
      <c r="O123">
        <v>4692</v>
      </c>
      <c r="P123">
        <v>3623</v>
      </c>
      <c r="Q123">
        <v>2783</v>
      </c>
      <c r="R123">
        <v>2144</v>
      </c>
      <c r="S123">
        <v>1652</v>
      </c>
      <c r="T123">
        <v>1283</v>
      </c>
      <c r="U123">
        <v>1017</v>
      </c>
      <c r="V123">
        <v>798</v>
      </c>
      <c r="W123">
        <v>624</v>
      </c>
      <c r="X123">
        <v>460</v>
      </c>
      <c r="Y123">
        <v>334</v>
      </c>
      <c r="Z123">
        <v>245</v>
      </c>
      <c r="AA123">
        <v>179</v>
      </c>
      <c r="AB123">
        <v>130</v>
      </c>
      <c r="AC123">
        <v>105</v>
      </c>
      <c r="AD123">
        <v>79</v>
      </c>
      <c r="AE123">
        <v>52</v>
      </c>
      <c r="AF123">
        <v>36</v>
      </c>
    </row>
    <row r="124" spans="1:32" x14ac:dyDescent="0.35">
      <c r="A124">
        <v>5</v>
      </c>
      <c r="B124">
        <v>8.680911</v>
      </c>
      <c r="C124">
        <v>42116</v>
      </c>
      <c r="D124">
        <v>36815</v>
      </c>
      <c r="E124">
        <v>32097</v>
      </c>
      <c r="F124">
        <v>27837</v>
      </c>
      <c r="G124">
        <v>24035</v>
      </c>
      <c r="H124">
        <v>20600</v>
      </c>
      <c r="I124">
        <v>17503</v>
      </c>
      <c r="J124">
        <v>14804</v>
      </c>
      <c r="K124">
        <v>12201</v>
      </c>
      <c r="L124">
        <v>9913</v>
      </c>
      <c r="M124">
        <v>7942</v>
      </c>
      <c r="N124">
        <v>6295</v>
      </c>
      <c r="O124">
        <v>4949</v>
      </c>
      <c r="P124">
        <v>3809</v>
      </c>
      <c r="Q124">
        <v>2945</v>
      </c>
      <c r="R124">
        <v>2224</v>
      </c>
      <c r="S124">
        <v>1723</v>
      </c>
      <c r="T124">
        <v>1348</v>
      </c>
      <c r="U124">
        <v>1024</v>
      </c>
      <c r="V124">
        <v>814</v>
      </c>
      <c r="W124">
        <v>622</v>
      </c>
      <c r="X124">
        <v>468</v>
      </c>
      <c r="Y124">
        <v>352</v>
      </c>
      <c r="Z124">
        <v>272</v>
      </c>
      <c r="AA124">
        <v>207</v>
      </c>
      <c r="AB124">
        <v>159</v>
      </c>
      <c r="AC124">
        <v>109</v>
      </c>
      <c r="AD124">
        <v>79</v>
      </c>
      <c r="AE124">
        <v>54</v>
      </c>
      <c r="AF124">
        <v>32</v>
      </c>
    </row>
    <row r="125" spans="1:32" x14ac:dyDescent="0.35">
      <c r="A125">
        <v>1</v>
      </c>
      <c r="B125">
        <v>8.2857730000000007</v>
      </c>
      <c r="C125">
        <v>40465</v>
      </c>
      <c r="D125">
        <v>35389</v>
      </c>
      <c r="E125">
        <v>30798</v>
      </c>
      <c r="F125">
        <v>26814</v>
      </c>
      <c r="G125">
        <v>23218</v>
      </c>
      <c r="H125">
        <v>19960</v>
      </c>
      <c r="I125">
        <v>16979</v>
      </c>
      <c r="J125">
        <v>14347</v>
      </c>
      <c r="K125">
        <v>11955</v>
      </c>
      <c r="L125">
        <v>9837</v>
      </c>
      <c r="M125">
        <v>8007</v>
      </c>
      <c r="N125">
        <v>6427</v>
      </c>
      <c r="O125">
        <v>5056</v>
      </c>
      <c r="P125">
        <v>3923</v>
      </c>
      <c r="Q125">
        <v>3031</v>
      </c>
      <c r="R125">
        <v>2353</v>
      </c>
      <c r="S125">
        <v>1852</v>
      </c>
      <c r="T125">
        <v>1446</v>
      </c>
      <c r="U125">
        <v>1143</v>
      </c>
      <c r="V125">
        <v>889</v>
      </c>
      <c r="W125">
        <v>687</v>
      </c>
      <c r="X125">
        <v>543</v>
      </c>
      <c r="Y125">
        <v>417</v>
      </c>
      <c r="Z125">
        <v>326</v>
      </c>
      <c r="AA125">
        <v>238</v>
      </c>
      <c r="AB125">
        <v>182</v>
      </c>
      <c r="AC125">
        <v>118</v>
      </c>
      <c r="AD125">
        <v>81</v>
      </c>
      <c r="AE125">
        <v>62</v>
      </c>
      <c r="AF125">
        <v>42</v>
      </c>
    </row>
    <row r="126" spans="1:32" x14ac:dyDescent="0.35">
      <c r="A126">
        <v>2</v>
      </c>
      <c r="B126">
        <v>8.6803840000000001</v>
      </c>
      <c r="C126">
        <v>41004</v>
      </c>
      <c r="D126">
        <v>35820</v>
      </c>
      <c r="E126">
        <v>31278</v>
      </c>
      <c r="F126">
        <v>27279</v>
      </c>
      <c r="G126">
        <v>23654</v>
      </c>
      <c r="H126">
        <v>20386</v>
      </c>
      <c r="I126">
        <v>17414</v>
      </c>
      <c r="J126">
        <v>14817</v>
      </c>
      <c r="K126">
        <v>12312</v>
      </c>
      <c r="L126">
        <v>10119</v>
      </c>
      <c r="M126">
        <v>8211</v>
      </c>
      <c r="N126">
        <v>6547</v>
      </c>
      <c r="O126">
        <v>5104</v>
      </c>
      <c r="P126">
        <v>4004</v>
      </c>
      <c r="Q126">
        <v>3134</v>
      </c>
      <c r="R126">
        <v>2446</v>
      </c>
      <c r="S126">
        <v>1918</v>
      </c>
      <c r="T126">
        <v>1487</v>
      </c>
      <c r="U126">
        <v>1160</v>
      </c>
      <c r="V126">
        <v>908</v>
      </c>
      <c r="W126">
        <v>707</v>
      </c>
      <c r="X126">
        <v>540</v>
      </c>
      <c r="Y126">
        <v>395</v>
      </c>
      <c r="Z126">
        <v>303</v>
      </c>
      <c r="AA126">
        <v>223</v>
      </c>
      <c r="AB126">
        <v>174</v>
      </c>
      <c r="AC126">
        <v>125</v>
      </c>
      <c r="AD126">
        <v>96</v>
      </c>
      <c r="AE126">
        <v>65</v>
      </c>
      <c r="AF126">
        <v>47</v>
      </c>
    </row>
    <row r="127" spans="1:32" x14ac:dyDescent="0.35">
      <c r="A127">
        <v>3</v>
      </c>
      <c r="B127">
        <v>8.6232430000000004</v>
      </c>
      <c r="C127">
        <v>40640</v>
      </c>
      <c r="D127">
        <v>35495</v>
      </c>
      <c r="E127">
        <v>30899</v>
      </c>
      <c r="F127">
        <v>26901</v>
      </c>
      <c r="G127">
        <v>23380</v>
      </c>
      <c r="H127">
        <v>20036</v>
      </c>
      <c r="I127">
        <v>17054</v>
      </c>
      <c r="J127">
        <v>14445</v>
      </c>
      <c r="K127">
        <v>12026</v>
      </c>
      <c r="L127">
        <v>9821</v>
      </c>
      <c r="M127">
        <v>8000</v>
      </c>
      <c r="N127">
        <v>6357</v>
      </c>
      <c r="O127">
        <v>5075</v>
      </c>
      <c r="P127">
        <v>3933</v>
      </c>
      <c r="Q127">
        <v>3051</v>
      </c>
      <c r="R127">
        <v>2385</v>
      </c>
      <c r="S127">
        <v>1884</v>
      </c>
      <c r="T127">
        <v>1443</v>
      </c>
      <c r="U127">
        <v>1144</v>
      </c>
      <c r="V127">
        <v>881</v>
      </c>
      <c r="W127">
        <v>688</v>
      </c>
      <c r="X127">
        <v>535</v>
      </c>
      <c r="Y127">
        <v>416</v>
      </c>
      <c r="Z127">
        <v>318</v>
      </c>
      <c r="AA127">
        <v>241</v>
      </c>
      <c r="AB127">
        <v>184</v>
      </c>
      <c r="AC127">
        <v>129</v>
      </c>
      <c r="AD127">
        <v>100</v>
      </c>
      <c r="AE127">
        <v>74</v>
      </c>
      <c r="AF127">
        <v>55</v>
      </c>
    </row>
    <row r="128" spans="1:32" x14ac:dyDescent="0.35">
      <c r="A128">
        <v>4</v>
      </c>
      <c r="B128">
        <v>8.682366</v>
      </c>
      <c r="C128">
        <v>41419</v>
      </c>
      <c r="D128">
        <v>36219</v>
      </c>
      <c r="E128">
        <v>31609</v>
      </c>
      <c r="F128">
        <v>27487</v>
      </c>
      <c r="G128">
        <v>23730</v>
      </c>
      <c r="H128">
        <v>20330</v>
      </c>
      <c r="I128">
        <v>17291</v>
      </c>
      <c r="J128">
        <v>14587</v>
      </c>
      <c r="K128">
        <v>12219</v>
      </c>
      <c r="L128">
        <v>10051</v>
      </c>
      <c r="M128">
        <v>8220</v>
      </c>
      <c r="N128">
        <v>6531</v>
      </c>
      <c r="O128">
        <v>5130</v>
      </c>
      <c r="P128">
        <v>3996</v>
      </c>
      <c r="Q128">
        <v>3133</v>
      </c>
      <c r="R128">
        <v>2448</v>
      </c>
      <c r="S128">
        <v>1898</v>
      </c>
      <c r="T128">
        <v>1484</v>
      </c>
      <c r="U128">
        <v>1128</v>
      </c>
      <c r="V128">
        <v>875</v>
      </c>
      <c r="W128">
        <v>681</v>
      </c>
      <c r="X128">
        <v>491</v>
      </c>
      <c r="Y128">
        <v>386</v>
      </c>
      <c r="Z128">
        <v>278</v>
      </c>
      <c r="AA128">
        <v>204</v>
      </c>
      <c r="AB128">
        <v>147</v>
      </c>
      <c r="AC128">
        <v>111</v>
      </c>
      <c r="AD128">
        <v>86</v>
      </c>
      <c r="AE128">
        <v>54</v>
      </c>
      <c r="AF128">
        <v>38</v>
      </c>
    </row>
    <row r="129" spans="1:32" x14ac:dyDescent="0.35">
      <c r="A129">
        <v>5</v>
      </c>
      <c r="B129">
        <v>8.6785650000000008</v>
      </c>
      <c r="C129">
        <v>42303</v>
      </c>
      <c r="D129">
        <v>36885</v>
      </c>
      <c r="E129">
        <v>32062</v>
      </c>
      <c r="F129">
        <v>27854</v>
      </c>
      <c r="G129">
        <v>24227</v>
      </c>
      <c r="H129">
        <v>20796</v>
      </c>
      <c r="I129">
        <v>17725</v>
      </c>
      <c r="J129">
        <v>14946</v>
      </c>
      <c r="K129">
        <v>12464</v>
      </c>
      <c r="L129">
        <v>10136</v>
      </c>
      <c r="M129">
        <v>8254</v>
      </c>
      <c r="N129">
        <v>6566</v>
      </c>
      <c r="O129">
        <v>5187</v>
      </c>
      <c r="P129">
        <v>4010</v>
      </c>
      <c r="Q129">
        <v>3100</v>
      </c>
      <c r="R129">
        <v>2398</v>
      </c>
      <c r="S129">
        <v>1866</v>
      </c>
      <c r="T129">
        <v>1461</v>
      </c>
      <c r="U129">
        <v>1145</v>
      </c>
      <c r="V129">
        <v>887</v>
      </c>
      <c r="W129">
        <v>694</v>
      </c>
      <c r="X129">
        <v>529</v>
      </c>
      <c r="Y129">
        <v>393</v>
      </c>
      <c r="Z129">
        <v>295</v>
      </c>
      <c r="AA129">
        <v>215</v>
      </c>
      <c r="AB129">
        <v>155</v>
      </c>
      <c r="AC129">
        <v>119</v>
      </c>
      <c r="AD129">
        <v>83</v>
      </c>
      <c r="AE129">
        <v>54</v>
      </c>
      <c r="AF129">
        <v>31</v>
      </c>
    </row>
  </sheetData>
  <sheetProtection sheet="1" objects="1" scenarios="1"/>
  <conditionalFormatting sqref="Q6:Q35">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zoomScale="55" zoomScaleNormal="55" workbookViewId="0">
      <selection activeCell="H36" sqref="H36"/>
    </sheetView>
  </sheetViews>
  <sheetFormatPr defaultColWidth="11.53125" defaultRowHeight="12.75" x14ac:dyDescent="0.35"/>
  <cols>
    <col min="12" max="12" width="12.3984375" customWidth="1"/>
  </cols>
  <sheetData>
    <row r="1" spans="1:49" x14ac:dyDescent="0.35">
      <c r="A1" t="s">
        <v>126</v>
      </c>
    </row>
    <row r="2" spans="1:49" ht="40.15" x14ac:dyDescent="0.4">
      <c r="A2" s="260" t="s">
        <v>266</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v>46009</v>
      </c>
      <c r="O4" s="75"/>
    </row>
    <row r="5" spans="1:49" ht="13.15" x14ac:dyDescent="0.4">
      <c r="A5" s="8" t="s">
        <v>115</v>
      </c>
      <c r="B5" s="76" t="s">
        <v>408</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377</v>
      </c>
      <c r="M7" s="65" t="s">
        <v>137</v>
      </c>
      <c r="O7" s="65" t="s">
        <v>39</v>
      </c>
      <c r="P7" s="65" t="s">
        <v>40</v>
      </c>
      <c r="Q7" s="65" t="s">
        <v>42</v>
      </c>
      <c r="R7" s="65" t="s">
        <v>43</v>
      </c>
      <c r="S7" s="65" t="s">
        <v>45</v>
      </c>
    </row>
    <row r="8" spans="1:49" ht="13.15" x14ac:dyDescent="0.4">
      <c r="A8" s="68" t="s">
        <v>138</v>
      </c>
      <c r="B8" s="46">
        <f>B52</f>
        <v>5.0462610000000003</v>
      </c>
      <c r="C8" s="46">
        <f>C52</f>
        <v>5.6930870000000002</v>
      </c>
      <c r="D8" s="46">
        <f>D52</f>
        <v>5.6217810000000004</v>
      </c>
      <c r="E8" s="46">
        <f>E52</f>
        <v>5.6694240000000002</v>
      </c>
      <c r="F8" s="46">
        <f>F52</f>
        <v>5.6696869999999997</v>
      </c>
      <c r="G8" s="78">
        <f>AVERAGE(B$8:F$8)*5</f>
        <v>27.700239999999997</v>
      </c>
      <c r="I8" s="79"/>
      <c r="K8" s="79"/>
    </row>
    <row r="9" spans="1:49" ht="13.15" x14ac:dyDescent="0.4">
      <c r="A9" s="68" t="s">
        <v>139</v>
      </c>
      <c r="B9" s="42">
        <f>B53</f>
        <v>12580.402344</v>
      </c>
      <c r="C9" s="42">
        <f t="shared" ref="C9:F9" si="0">C53</f>
        <v>11835.758789</v>
      </c>
      <c r="D9" s="42">
        <f t="shared" si="0"/>
        <v>12467.934569999999</v>
      </c>
      <c r="E9" s="42">
        <f t="shared" si="0"/>
        <v>12081.651367</v>
      </c>
      <c r="F9" s="42">
        <f t="shared" si="0"/>
        <v>12443.544921999999</v>
      </c>
      <c r="G9" s="80">
        <f t="shared" ref="G9:G38" si="1">AVERAGE(B9:F9)</f>
        <v>12281.8583984</v>
      </c>
      <c r="H9" s="81">
        <f t="shared" ref="H9:H38" si="2">G9*G$8</f>
        <v>340210.42528169556</v>
      </c>
      <c r="I9" s="79">
        <f t="shared" ref="I9:I38" si="3">STDEVP(B9:F9)/AVERAGE(B9:F9)</f>
        <v>2.2709954605529319E-2</v>
      </c>
      <c r="J9" s="79">
        <f t="shared" ref="J9:J38" si="4">IF(H9&gt;$A$43, $C$43, IF(H9&gt;$A$44, $C$44, IF(H9&gt;$A$45,$C$45,IF(H9&gt;$A$46,$C$46, IF(H9&gt;$A$47,$C$47,IF(H9&gt;$A$48,$C$48,$C$49))))))/100</f>
        <v>0.11</v>
      </c>
      <c r="K9" s="79">
        <f t="shared" ref="K9:K38" si="5">(MAX(B9:F9)-MIN(B9:F9))/G9</f>
        <v>6.0629550581450108E-2</v>
      </c>
      <c r="L9" s="42">
        <f>G9/'Clause 6'!$G$12</f>
        <v>12281.8583984</v>
      </c>
      <c r="M9">
        <f t="shared" ref="M9:M38" si="6">COUNTA(B9:F9)</f>
        <v>5</v>
      </c>
      <c r="O9" s="254">
        <f>IF(ISNUMBER(B9), (B9/$G9-1), 0)</f>
        <v>2.430771760394923E-2</v>
      </c>
      <c r="P9" s="254">
        <f t="shared" ref="P9:P38" si="7">IF(ISNUMBER(C9), (C9/$G9-1), 0)</f>
        <v>-3.6321832977500801E-2</v>
      </c>
      <c r="Q9" s="254">
        <f t="shared" ref="Q9:Q38" si="8">IF(ISNUMBER(D9), (D9/$G9-1), 0)</f>
        <v>1.5150489898519082E-2</v>
      </c>
      <c r="R9" s="254">
        <f t="shared" ref="R9:R38" si="9">IF(ISNUMBER(E9), (E9/$G9-1), 0)</f>
        <v>-1.6301037262087426E-2</v>
      </c>
      <c r="S9" s="254">
        <f t="shared" ref="S9:S38" si="10">IF(ISNUMBER(F9), (F9/$G9-1), 0)</f>
        <v>1.3164662737119803E-2</v>
      </c>
    </row>
    <row r="10" spans="1:49" ht="13.15" x14ac:dyDescent="0.4">
      <c r="A10" s="68" t="s">
        <v>140</v>
      </c>
      <c r="B10" s="42">
        <f t="shared" ref="B10:F10" si="11">B54</f>
        <v>11118.528319999999</v>
      </c>
      <c r="C10" s="42">
        <f t="shared" si="11"/>
        <v>10489.564453000001</v>
      </c>
      <c r="D10" s="42">
        <f t="shared" si="11"/>
        <v>11059.662109000001</v>
      </c>
      <c r="E10" s="42">
        <f t="shared" si="11"/>
        <v>10677.628906</v>
      </c>
      <c r="F10" s="42">
        <f t="shared" si="11"/>
        <v>10988.084961</v>
      </c>
      <c r="G10" s="80">
        <f t="shared" si="1"/>
        <v>10866.693749800001</v>
      </c>
      <c r="H10" s="81">
        <f t="shared" si="2"/>
        <v>301010.02487595996</v>
      </c>
      <c r="I10" s="79">
        <f t="shared" si="3"/>
        <v>2.22906088696995E-2</v>
      </c>
      <c r="J10" s="79">
        <f t="shared" si="4"/>
        <v>0.11</v>
      </c>
      <c r="K10" s="79">
        <f t="shared" si="5"/>
        <v>5.78799662051371E-2</v>
      </c>
      <c r="L10" s="42">
        <f>G10/'Clause 6'!$G$12</f>
        <v>10866.693749800001</v>
      </c>
      <c r="M10">
        <f t="shared" si="6"/>
        <v>5</v>
      </c>
      <c r="O10" s="254">
        <f t="shared" ref="O10:O38" si="12">IF(ISNUMBER(B10), (B10/$G10-1), 0)</f>
        <v>2.3174902688744003E-2</v>
      </c>
      <c r="P10" s="254">
        <f t="shared" si="7"/>
        <v>-3.470506351639302E-2</v>
      </c>
      <c r="Q10" s="254">
        <f t="shared" si="8"/>
        <v>1.7757780208313312E-2</v>
      </c>
      <c r="R10" s="254">
        <f t="shared" si="9"/>
        <v>-1.7398561895008768E-2</v>
      </c>
      <c r="S10" s="254">
        <f t="shared" si="10"/>
        <v>1.1170942514344251E-2</v>
      </c>
    </row>
    <row r="11" spans="1:49" ht="13.15" x14ac:dyDescent="0.4">
      <c r="A11" s="68" t="s">
        <v>141</v>
      </c>
      <c r="B11" s="42">
        <f t="shared" ref="B11:F11" si="13">B55</f>
        <v>9738.8935550000006</v>
      </c>
      <c r="C11" s="42">
        <f t="shared" si="13"/>
        <v>9220.8330079999996</v>
      </c>
      <c r="D11" s="42">
        <f t="shared" si="13"/>
        <v>9703.6855469999991</v>
      </c>
      <c r="E11" s="42">
        <f t="shared" si="13"/>
        <v>9350.8623050000006</v>
      </c>
      <c r="F11" s="42">
        <f t="shared" si="13"/>
        <v>9615.1699219999991</v>
      </c>
      <c r="G11" s="80">
        <f t="shared" si="1"/>
        <v>9525.8888674000009</v>
      </c>
      <c r="H11" s="81">
        <f t="shared" si="2"/>
        <v>263869.40784030815</v>
      </c>
      <c r="I11" s="79">
        <f t="shared" si="3"/>
        <v>2.1444489055703828E-2</v>
      </c>
      <c r="J11" s="79">
        <f t="shared" si="4"/>
        <v>0.11</v>
      </c>
      <c r="K11" s="79">
        <f t="shared" si="5"/>
        <v>5.4384483612120969E-2</v>
      </c>
      <c r="L11" s="42">
        <f>G11/'Clause 6'!$G$12</f>
        <v>9525.8888674000009</v>
      </c>
      <c r="M11">
        <f t="shared" si="6"/>
        <v>5</v>
      </c>
      <c r="O11" s="254">
        <f t="shared" si="12"/>
        <v>2.2360610181896501E-2</v>
      </c>
      <c r="P11" s="254">
        <f t="shared" si="7"/>
        <v>-3.2023873430224392E-2</v>
      </c>
      <c r="Q11" s="254">
        <f t="shared" si="8"/>
        <v>1.8664576300954305E-2</v>
      </c>
      <c r="R11" s="254">
        <f t="shared" si="9"/>
        <v>-1.8373777485373055E-2</v>
      </c>
      <c r="S11" s="254">
        <f t="shared" si="10"/>
        <v>9.372464432745975E-3</v>
      </c>
    </row>
    <row r="12" spans="1:49" ht="13.15" x14ac:dyDescent="0.4">
      <c r="A12" s="68" t="s">
        <v>142</v>
      </c>
      <c r="B12" s="42">
        <f t="shared" ref="B12:F12" si="14">B56</f>
        <v>8515.4130860000005</v>
      </c>
      <c r="C12" s="42">
        <f t="shared" si="14"/>
        <v>8065.3964839999999</v>
      </c>
      <c r="D12" s="42">
        <f t="shared" si="14"/>
        <v>8484.8554690000001</v>
      </c>
      <c r="E12" s="42">
        <f t="shared" si="14"/>
        <v>8144.5668949999999</v>
      </c>
      <c r="F12" s="42">
        <f t="shared" si="14"/>
        <v>8390.7636719999991</v>
      </c>
      <c r="G12" s="80">
        <f t="shared" si="1"/>
        <v>8320.1991211999994</v>
      </c>
      <c r="H12" s="81">
        <f t="shared" si="2"/>
        <v>230471.51250502904</v>
      </c>
      <c r="I12" s="79">
        <f t="shared" si="3"/>
        <v>2.1897618770674147E-2</v>
      </c>
      <c r="J12" s="79">
        <f t="shared" si="4"/>
        <v>0.11</v>
      </c>
      <c r="K12" s="79">
        <f t="shared" si="5"/>
        <v>5.4087239433170675E-2</v>
      </c>
      <c r="L12" s="42">
        <f>G12/'Clause 6'!$G$12</f>
        <v>8320.1991211999994</v>
      </c>
      <c r="M12">
        <f t="shared" si="6"/>
        <v>5</v>
      </c>
      <c r="O12" s="254">
        <f t="shared" si="12"/>
        <v>2.3462655395180665E-2</v>
      </c>
      <c r="P12" s="254">
        <f t="shared" si="7"/>
        <v>-3.0624584037989955E-2</v>
      </c>
      <c r="Q12" s="254">
        <f t="shared" si="8"/>
        <v>1.9789952788564102E-2</v>
      </c>
      <c r="R12" s="254">
        <f t="shared" si="9"/>
        <v>-2.1109137370581177E-2</v>
      </c>
      <c r="S12" s="254">
        <f t="shared" si="10"/>
        <v>8.4811132248265864E-3</v>
      </c>
    </row>
    <row r="13" spans="1:49" ht="13.15" x14ac:dyDescent="0.4">
      <c r="A13" s="68" t="s">
        <v>143</v>
      </c>
      <c r="B13" s="42">
        <f t="shared" ref="B13:F13" si="15">B57</f>
        <v>7446.701172</v>
      </c>
      <c r="C13" s="42">
        <f t="shared" si="15"/>
        <v>7023.7822269999997</v>
      </c>
      <c r="D13" s="42">
        <f t="shared" si="15"/>
        <v>7390.1840819999998</v>
      </c>
      <c r="E13" s="42">
        <f t="shared" si="15"/>
        <v>7073.2060549999997</v>
      </c>
      <c r="F13" s="42">
        <f t="shared" si="15"/>
        <v>7291.9370120000003</v>
      </c>
      <c r="G13" s="80">
        <f t="shared" si="1"/>
        <v>7245.1621095999999</v>
      </c>
      <c r="H13" s="81">
        <f t="shared" si="2"/>
        <v>200692.72927482627</v>
      </c>
      <c r="I13" s="79">
        <f t="shared" si="3"/>
        <v>2.3294052756207273E-2</v>
      </c>
      <c r="J13" s="79">
        <f t="shared" si="4"/>
        <v>0.11</v>
      </c>
      <c r="K13" s="79">
        <f t="shared" si="5"/>
        <v>5.8372599343170448E-2</v>
      </c>
      <c r="L13" s="42">
        <f>G13/'Clause 6'!$G$12</f>
        <v>7245.1621095999999</v>
      </c>
      <c r="M13">
        <f t="shared" si="6"/>
        <v>5</v>
      </c>
      <c r="O13" s="254">
        <f t="shared" si="12"/>
        <v>2.7817053552598336E-2</v>
      </c>
      <c r="P13" s="254">
        <f t="shared" si="7"/>
        <v>-3.055554579057207E-2</v>
      </c>
      <c r="Q13" s="254">
        <f t="shared" si="8"/>
        <v>2.0016387515724876E-2</v>
      </c>
      <c r="R13" s="254">
        <f t="shared" si="9"/>
        <v>-2.3733914024111957E-2</v>
      </c>
      <c r="S13" s="254">
        <f t="shared" si="10"/>
        <v>6.4560187463607033E-3</v>
      </c>
    </row>
    <row r="14" spans="1:49" ht="13.15" x14ac:dyDescent="0.4">
      <c r="A14" s="68" t="s">
        <v>144</v>
      </c>
      <c r="B14" s="42">
        <f t="shared" ref="B14:F14" si="16">B58</f>
        <v>6502.4375</v>
      </c>
      <c r="C14" s="42">
        <f t="shared" si="16"/>
        <v>6107.4077150000003</v>
      </c>
      <c r="D14" s="42">
        <f t="shared" si="16"/>
        <v>6408.111328</v>
      </c>
      <c r="E14" s="42">
        <f t="shared" si="16"/>
        <v>6140.8359380000002</v>
      </c>
      <c r="F14" s="42">
        <f t="shared" si="16"/>
        <v>6310.2250979999999</v>
      </c>
      <c r="G14" s="80">
        <f t="shared" si="1"/>
        <v>6293.8035158000002</v>
      </c>
      <c r="H14" s="81">
        <f t="shared" si="2"/>
        <v>174339.86790050377</v>
      </c>
      <c r="I14" s="79">
        <f t="shared" si="3"/>
        <v>2.4097007906467457E-2</v>
      </c>
      <c r="J14" s="79">
        <f t="shared" si="4"/>
        <v>0.11</v>
      </c>
      <c r="K14" s="79">
        <f t="shared" si="5"/>
        <v>6.2764874055619105E-2</v>
      </c>
      <c r="L14" s="42">
        <f>G14/'Clause 6'!$G$12</f>
        <v>6293.8035158000002</v>
      </c>
      <c r="M14">
        <f t="shared" si="6"/>
        <v>5</v>
      </c>
      <c r="O14" s="254">
        <f t="shared" si="12"/>
        <v>3.3149109862779191E-2</v>
      </c>
      <c r="P14" s="254">
        <f t="shared" si="7"/>
        <v>-2.9615764192839955E-2</v>
      </c>
      <c r="Q14" s="254">
        <f t="shared" si="8"/>
        <v>1.8161960714699887E-2</v>
      </c>
      <c r="R14" s="254">
        <f t="shared" si="9"/>
        <v>-2.4304473029065687E-2</v>
      </c>
      <c r="S14" s="254">
        <f t="shared" si="10"/>
        <v>2.6091666444265638E-3</v>
      </c>
    </row>
    <row r="15" spans="1:49" ht="13.15" x14ac:dyDescent="0.4">
      <c r="A15" s="68" t="s">
        <v>145</v>
      </c>
      <c r="B15" s="42">
        <f t="shared" ref="B15:F15" si="17">B59</f>
        <v>5575.216797</v>
      </c>
      <c r="C15" s="42">
        <f t="shared" si="17"/>
        <v>5233.8920900000003</v>
      </c>
      <c r="D15" s="42">
        <f t="shared" si="17"/>
        <v>5489.185547</v>
      </c>
      <c r="E15" s="42">
        <f t="shared" si="17"/>
        <v>5234.0419920000004</v>
      </c>
      <c r="F15" s="42">
        <f t="shared" si="17"/>
        <v>5412.4682620000003</v>
      </c>
      <c r="G15" s="80">
        <f t="shared" si="1"/>
        <v>5388.9609376000008</v>
      </c>
      <c r="H15" s="81">
        <f t="shared" si="2"/>
        <v>149275.51132214503</v>
      </c>
      <c r="I15" s="79">
        <f t="shared" si="3"/>
        <v>2.5353172940718191E-2</v>
      </c>
      <c r="J15" s="79">
        <f t="shared" si="4"/>
        <v>0.11</v>
      </c>
      <c r="K15" s="79">
        <f t="shared" si="5"/>
        <v>6.3337758605466962E-2</v>
      </c>
      <c r="L15" s="42">
        <f>G15/'Clause 6'!$G$12</f>
        <v>5388.9609376000008</v>
      </c>
      <c r="M15">
        <f t="shared" si="6"/>
        <v>5</v>
      </c>
      <c r="O15" s="254">
        <f t="shared" si="12"/>
        <v>3.4562480885776958E-2</v>
      </c>
      <c r="P15" s="254">
        <f t="shared" si="7"/>
        <v>-2.8775277719689907E-2</v>
      </c>
      <c r="Q15" s="254">
        <f t="shared" si="8"/>
        <v>1.8598132471272733E-2</v>
      </c>
      <c r="R15" s="254">
        <f t="shared" si="9"/>
        <v>-2.8747461225613224E-2</v>
      </c>
      <c r="S15" s="254">
        <f t="shared" si="10"/>
        <v>4.3621255882526633E-3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ref="B16:F16" si="18">B60</f>
        <v>4739.9448240000002</v>
      </c>
      <c r="C16" s="42">
        <f t="shared" si="18"/>
        <v>4463.6596680000002</v>
      </c>
      <c r="D16" s="42">
        <f t="shared" si="18"/>
        <v>4684.2802730000003</v>
      </c>
      <c r="E16" s="42">
        <f t="shared" si="18"/>
        <v>4449.6586909999996</v>
      </c>
      <c r="F16" s="42">
        <f t="shared" si="18"/>
        <v>4614.1879879999997</v>
      </c>
      <c r="G16" s="80">
        <f t="shared" si="1"/>
        <v>4590.3462887999995</v>
      </c>
      <c r="H16" s="81">
        <f t="shared" si="2"/>
        <v>127153.69388286928</v>
      </c>
      <c r="I16" s="79">
        <f t="shared" si="3"/>
        <v>2.5333117633181832E-2</v>
      </c>
      <c r="J16" s="79">
        <f t="shared" si="4"/>
        <v>0.11</v>
      </c>
      <c r="K16" s="79">
        <f t="shared" si="5"/>
        <v>6.3238395261871763E-2</v>
      </c>
      <c r="L16" s="42">
        <f>G16/'Clause 6'!$G$12</f>
        <v>4590.3462887999995</v>
      </c>
      <c r="M16">
        <f t="shared" si="6"/>
        <v>5</v>
      </c>
      <c r="O16" s="254">
        <f t="shared" si="12"/>
        <v>3.2589814752104207E-2</v>
      </c>
      <c r="P16" s="254">
        <f t="shared" si="7"/>
        <v>-2.7598488834949642E-2</v>
      </c>
      <c r="Q16" s="254">
        <f t="shared" si="8"/>
        <v>2.0463376462292349E-2</v>
      </c>
      <c r="R16" s="254">
        <f t="shared" si="9"/>
        <v>-3.0648580509767598E-2</v>
      </c>
      <c r="S16" s="254">
        <f t="shared" si="10"/>
        <v>5.1938781303213499E-3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ref="B17:F17" si="19">B61</f>
        <v>3969.0771479999999</v>
      </c>
      <c r="C17" s="42">
        <f t="shared" si="19"/>
        <v>3752.7973630000001</v>
      </c>
      <c r="D17" s="42">
        <f t="shared" si="19"/>
        <v>3914.2397460000002</v>
      </c>
      <c r="E17" s="42">
        <f t="shared" si="19"/>
        <v>3732.6545409999999</v>
      </c>
      <c r="F17" s="42">
        <f t="shared" si="19"/>
        <v>3840.9528810000002</v>
      </c>
      <c r="G17" s="80">
        <f t="shared" si="1"/>
        <v>3841.9443358000003</v>
      </c>
      <c r="H17" s="81">
        <f t="shared" si="2"/>
        <v>106422.7801683006</v>
      </c>
      <c r="I17" s="79">
        <f t="shared" si="3"/>
        <v>2.3650659711663434E-2</v>
      </c>
      <c r="J17" s="79">
        <f t="shared" si="4"/>
        <v>0.11</v>
      </c>
      <c r="K17" s="79">
        <f t="shared" si="5"/>
        <v>6.1537228636283761E-2</v>
      </c>
      <c r="L17" s="42">
        <f>G17/'Clause 6'!$G$12</f>
        <v>3841.9443358000003</v>
      </c>
      <c r="M17">
        <f t="shared" si="6"/>
        <v>5</v>
      </c>
      <c r="O17" s="254">
        <f t="shared" si="12"/>
        <v>3.3090748092144517E-2</v>
      </c>
      <c r="P17" s="254">
        <f t="shared" si="7"/>
        <v>-2.3203608644016827E-2</v>
      </c>
      <c r="Q17" s="254">
        <f t="shared" si="8"/>
        <v>1.88174017843874E-2</v>
      </c>
      <c r="R17" s="254">
        <f t="shared" si="9"/>
        <v>-2.844648054413923E-2</v>
      </c>
      <c r="S17" s="254">
        <f t="shared" si="10"/>
        <v>-2.580606883763048E-4</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ref="B18:F18" si="20">B62</f>
        <v>3282.6281739999999</v>
      </c>
      <c r="C18" s="42">
        <f t="shared" si="20"/>
        <v>3104.2915039999998</v>
      </c>
      <c r="D18" s="42">
        <f t="shared" si="20"/>
        <v>3240.076172</v>
      </c>
      <c r="E18" s="42">
        <f t="shared" si="20"/>
        <v>3093.7890619999998</v>
      </c>
      <c r="F18" s="42">
        <f t="shared" si="20"/>
        <v>3177.9533689999998</v>
      </c>
      <c r="G18" s="80">
        <f t="shared" si="1"/>
        <v>3179.7476561999997</v>
      </c>
      <c r="H18" s="81">
        <f t="shared" si="2"/>
        <v>88079.773216177477</v>
      </c>
      <c r="I18" s="79">
        <f t="shared" si="3"/>
        <v>2.3242374625052666E-2</v>
      </c>
      <c r="J18" s="79">
        <f t="shared" si="4"/>
        <v>0.11</v>
      </c>
      <c r="K18" s="79">
        <f t="shared" si="5"/>
        <v>5.9388081199397702E-2</v>
      </c>
      <c r="L18" s="42">
        <f>G18/'Clause 6'!$G$12</f>
        <v>3179.7476561999997</v>
      </c>
      <c r="M18">
        <f t="shared" si="6"/>
        <v>5</v>
      </c>
      <c r="O18" s="254">
        <f t="shared" si="12"/>
        <v>3.2354931561754396E-2</v>
      </c>
      <c r="P18" s="254">
        <f t="shared" si="7"/>
        <v>-2.3730232822995356E-2</v>
      </c>
      <c r="Q18" s="254">
        <f t="shared" si="8"/>
        <v>1.8972736934759427E-2</v>
      </c>
      <c r="R18" s="254">
        <f t="shared" si="9"/>
        <v>-2.703314963764325E-2</v>
      </c>
      <c r="S18" s="254">
        <f t="shared" si="10"/>
        <v>-5.642860358749946E-4</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ref="B19:F19" si="21">B63</f>
        <v>2692.4882809999999</v>
      </c>
      <c r="C19" s="42">
        <f t="shared" si="21"/>
        <v>2537.1123050000001</v>
      </c>
      <c r="D19" s="42">
        <f t="shared" si="21"/>
        <v>2656.6313479999999</v>
      </c>
      <c r="E19" s="42">
        <f t="shared" si="21"/>
        <v>2519.6564939999998</v>
      </c>
      <c r="F19" s="42">
        <f t="shared" si="21"/>
        <v>2582.858643</v>
      </c>
      <c r="G19" s="80">
        <f t="shared" si="1"/>
        <v>2597.7494142</v>
      </c>
      <c r="H19" s="81">
        <f t="shared" si="2"/>
        <v>71958.282233199396</v>
      </c>
      <c r="I19" s="79">
        <f t="shared" si="3"/>
        <v>2.5788472559218348E-2</v>
      </c>
      <c r="J19" s="79">
        <f t="shared" si="4"/>
        <v>0.11</v>
      </c>
      <c r="K19" s="79">
        <f t="shared" si="5"/>
        <v>6.6531354431360795E-2</v>
      </c>
      <c r="L19" s="42">
        <f>G19/'Clause 6'!$G$12</f>
        <v>2597.7494142</v>
      </c>
      <c r="M19">
        <f t="shared" si="6"/>
        <v>5</v>
      </c>
      <c r="O19" s="254">
        <f t="shared" si="12"/>
        <v>3.6469594134881378E-2</v>
      </c>
      <c r="P19" s="254">
        <f t="shared" si="7"/>
        <v>-2.3342170291153264E-2</v>
      </c>
      <c r="Q19" s="254">
        <f t="shared" si="8"/>
        <v>2.266651797826813E-2</v>
      </c>
      <c r="R19" s="254">
        <f t="shared" si="9"/>
        <v>-3.0061760296479445E-2</v>
      </c>
      <c r="S19" s="254">
        <f t="shared" si="10"/>
        <v>-5.7321815255170216E-3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ref="B20:E20" si="22">B64</f>
        <v>2141.3872070000002</v>
      </c>
      <c r="C20" s="42">
        <f t="shared" si="22"/>
        <v>2029.830322</v>
      </c>
      <c r="D20" s="42">
        <f t="shared" si="22"/>
        <v>2116.766846</v>
      </c>
      <c r="E20" s="42">
        <f t="shared" si="22"/>
        <v>1997.5576169999999</v>
      </c>
      <c r="F20" s="42">
        <f t="shared" ref="F20" si="23">F64</f>
        <v>2056.7272950000001</v>
      </c>
      <c r="G20" s="80">
        <f t="shared" si="1"/>
        <v>2068.4538574000003</v>
      </c>
      <c r="H20" s="81">
        <f t="shared" si="2"/>
        <v>57296.668278905781</v>
      </c>
      <c r="I20" s="79">
        <f t="shared" si="3"/>
        <v>2.586268289658725E-2</v>
      </c>
      <c r="J20" s="79">
        <f t="shared" si="4"/>
        <v>0.11</v>
      </c>
      <c r="K20" s="79">
        <f t="shared" si="5"/>
        <v>6.9534831287361099E-2</v>
      </c>
      <c r="L20" s="42">
        <f>G20/'Clause 6'!$G$12</f>
        <v>2068.4538574000003</v>
      </c>
      <c r="M20">
        <f t="shared" si="6"/>
        <v>5</v>
      </c>
      <c r="O20" s="254">
        <f t="shared" si="12"/>
        <v>3.5259838811041E-2</v>
      </c>
      <c r="P20" s="254">
        <f t="shared" si="7"/>
        <v>-1.8672659900931587E-2</v>
      </c>
      <c r="Q20" s="254">
        <f t="shared" si="8"/>
        <v>2.3357054075515249E-2</v>
      </c>
      <c r="R20" s="254">
        <f t="shared" si="9"/>
        <v>-3.4274992476320154E-2</v>
      </c>
      <c r="S20" s="254">
        <f t="shared" si="10"/>
        <v>-5.6692405093049514E-3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ref="B21:E21" si="24">B65</f>
        <v>1696.305298</v>
      </c>
      <c r="C21" s="42">
        <f t="shared" si="24"/>
        <v>1596.848999</v>
      </c>
      <c r="D21" s="42">
        <f t="shared" si="24"/>
        <v>1668.510254</v>
      </c>
      <c r="E21" s="42">
        <f t="shared" si="24"/>
        <v>1559.946899</v>
      </c>
      <c r="F21" s="42">
        <f t="shared" ref="F21" si="25">F65</f>
        <v>1621.7827150000001</v>
      </c>
      <c r="G21" s="80">
        <f t="shared" si="1"/>
        <v>1628.6788330000002</v>
      </c>
      <c r="H21" s="81">
        <f t="shared" si="2"/>
        <v>45114.794557019923</v>
      </c>
      <c r="I21" s="79">
        <f t="shared" si="3"/>
        <v>3.0010023804328288E-2</v>
      </c>
      <c r="J21" s="79">
        <f t="shared" si="4"/>
        <v>0.11</v>
      </c>
      <c r="K21" s="79">
        <f t="shared" si="5"/>
        <v>8.3723319930934445E-2</v>
      </c>
      <c r="L21" s="42">
        <f>G21/'Clause 6'!$G$12</f>
        <v>1628.6788330000002</v>
      </c>
      <c r="M21">
        <f t="shared" si="6"/>
        <v>5</v>
      </c>
      <c r="O21" s="254">
        <f t="shared" si="12"/>
        <v>4.1522283970150786E-2</v>
      </c>
      <c r="P21" s="254">
        <f t="shared" si="7"/>
        <v>-1.9543346026896002E-2</v>
      </c>
      <c r="Q21" s="254">
        <f t="shared" si="8"/>
        <v>2.4456277194093046E-2</v>
      </c>
      <c r="R21" s="254">
        <f t="shared" si="9"/>
        <v>-4.2201035960783617E-2</v>
      </c>
      <c r="S21" s="254">
        <f t="shared" si="10"/>
        <v>-4.2341791765645453E-3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ref="B22:E22" si="26">B66</f>
        <v>1323.355957</v>
      </c>
      <c r="C22" s="42">
        <f t="shared" si="26"/>
        <v>1243.6136469999999</v>
      </c>
      <c r="D22" s="42">
        <f t="shared" si="26"/>
        <v>1293.718018</v>
      </c>
      <c r="E22" s="42">
        <f t="shared" si="26"/>
        <v>1199.063721</v>
      </c>
      <c r="F22" s="42">
        <f t="shared" ref="F22" si="27">F66</f>
        <v>1251.744629</v>
      </c>
      <c r="G22" s="80">
        <f t="shared" si="1"/>
        <v>1262.2991944</v>
      </c>
      <c r="H22" s="81">
        <f t="shared" si="2"/>
        <v>34965.990636686656</v>
      </c>
      <c r="I22" s="79">
        <f t="shared" si="3"/>
        <v>3.3934402876886989E-2</v>
      </c>
      <c r="J22" s="79">
        <f t="shared" si="4"/>
        <v>0.11</v>
      </c>
      <c r="K22" s="79">
        <f t="shared" si="5"/>
        <v>9.8464957081018323E-2</v>
      </c>
      <c r="L22" s="42">
        <f>G22/'Clause 6'!$G$12</f>
        <v>1262.2991944</v>
      </c>
      <c r="M22">
        <f t="shared" si="6"/>
        <v>5</v>
      </c>
      <c r="O22" s="254">
        <f t="shared" si="12"/>
        <v>4.8369485515691535E-2</v>
      </c>
      <c r="P22" s="254">
        <f t="shared" si="7"/>
        <v>-1.4802788025925828E-2</v>
      </c>
      <c r="Q22" s="254">
        <f t="shared" si="8"/>
        <v>2.4890155788251267E-2</v>
      </c>
      <c r="R22" s="254">
        <f t="shared" si="9"/>
        <v>-5.0095471565326788E-2</v>
      </c>
      <c r="S22" s="254">
        <f t="shared" si="10"/>
        <v>-8.3613817126904078E-3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ref="B23:E23" si="28">B67</f>
        <v>1015.603394</v>
      </c>
      <c r="C23" s="42">
        <f t="shared" si="28"/>
        <v>958.70666500000004</v>
      </c>
      <c r="D23" s="42">
        <f t="shared" si="28"/>
        <v>1002.884949</v>
      </c>
      <c r="E23" s="42">
        <f t="shared" si="28"/>
        <v>915.08422900000005</v>
      </c>
      <c r="F23" s="42">
        <f t="shared" ref="F23" si="29">F67</f>
        <v>961.25238000000002</v>
      </c>
      <c r="G23" s="80">
        <f t="shared" si="1"/>
        <v>970.70632339999997</v>
      </c>
      <c r="H23" s="81">
        <f t="shared" si="2"/>
        <v>26888.798127697613</v>
      </c>
      <c r="I23" s="79">
        <f t="shared" si="3"/>
        <v>3.6794500945343263E-2</v>
      </c>
      <c r="J23" s="79">
        <f t="shared" si="4"/>
        <v>0.11</v>
      </c>
      <c r="K23" s="79">
        <f t="shared" si="5"/>
        <v>0.10355260141699818</v>
      </c>
      <c r="L23" s="42">
        <f>G23/'Clause 6'!$G$12</f>
        <v>970.70632339999997</v>
      </c>
      <c r="M23">
        <f t="shared" si="6"/>
        <v>5</v>
      </c>
      <c r="O23" s="254">
        <f t="shared" si="12"/>
        <v>4.6251960575206086E-2</v>
      </c>
      <c r="P23" s="254">
        <f t="shared" si="7"/>
        <v>-1.2361780397154409E-2</v>
      </c>
      <c r="Q23" s="254">
        <f t="shared" si="8"/>
        <v>3.3149702257311953E-2</v>
      </c>
      <c r="R23" s="254">
        <f t="shared" si="9"/>
        <v>-5.7300640841792094E-2</v>
      </c>
      <c r="S23" s="254">
        <f t="shared" si="10"/>
        <v>-9.7392415935713128E-3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24" si="30">B68</f>
        <v>773.44390899999996</v>
      </c>
      <c r="C24" s="42">
        <f t="shared" si="30"/>
        <v>735.10211200000003</v>
      </c>
      <c r="D24" s="42">
        <f t="shared" si="30"/>
        <v>771.28576699999996</v>
      </c>
      <c r="E24" s="42">
        <f t="shared" si="30"/>
        <v>696.54345699999999</v>
      </c>
      <c r="F24" s="42">
        <f t="shared" si="30"/>
        <v>739.37066700000003</v>
      </c>
      <c r="G24" s="80">
        <f t="shared" si="1"/>
        <v>743.14918240000009</v>
      </c>
      <c r="H24" s="81">
        <f t="shared" si="2"/>
        <v>20585.410708283776</v>
      </c>
      <c r="I24" s="79">
        <f t="shared" si="3"/>
        <v>3.7871936467932354E-2</v>
      </c>
      <c r="J24" s="79">
        <f t="shared" si="4"/>
        <v>0.11</v>
      </c>
      <c r="K24" s="79">
        <f t="shared" si="5"/>
        <v>0.10347915845328658</v>
      </c>
      <c r="L24" s="42">
        <f>G24/'Clause 6'!$G$12</f>
        <v>743.14918240000009</v>
      </c>
      <c r="M24">
        <f t="shared" si="6"/>
        <v>5</v>
      </c>
      <c r="O24" s="254">
        <f t="shared" si="12"/>
        <v>4.0765336647701211E-2</v>
      </c>
      <c r="P24" s="254">
        <f t="shared" si="7"/>
        <v>-1.0828337823116541E-2</v>
      </c>
      <c r="Q24" s="254">
        <f t="shared" si="8"/>
        <v>3.7861287163275525E-2</v>
      </c>
      <c r="R24" s="254">
        <f t="shared" si="9"/>
        <v>-6.2713821805585379E-2</v>
      </c>
      <c r="S24" s="254">
        <f t="shared" si="10"/>
        <v>-5.0844641822753722E-3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ref="B25:F25" si="31">B69</f>
        <v>592.31970200000001</v>
      </c>
      <c r="C25" s="42">
        <f t="shared" si="31"/>
        <v>562.26092500000004</v>
      </c>
      <c r="D25" s="42">
        <f t="shared" si="31"/>
        <v>587.00256300000001</v>
      </c>
      <c r="E25" s="42"/>
      <c r="F25" s="42">
        <f t="shared" si="31"/>
        <v>560.17205799999999</v>
      </c>
      <c r="G25" s="80">
        <f t="shared" si="1"/>
        <v>575.43881199999998</v>
      </c>
      <c r="H25" s="81">
        <f t="shared" si="2"/>
        <v>15939.793197714878</v>
      </c>
      <c r="I25" s="79">
        <f t="shared" si="3"/>
        <v>2.4963593530488434E-2</v>
      </c>
      <c r="J25" s="79">
        <f t="shared" si="4"/>
        <v>0.11</v>
      </c>
      <c r="K25" s="79">
        <f t="shared" si="5"/>
        <v>5.586631163836063E-2</v>
      </c>
      <c r="L25" s="42">
        <f>G25/'Clause 6'!$G$12</f>
        <v>575.43881199999998</v>
      </c>
      <c r="M25">
        <f t="shared" si="6"/>
        <v>4</v>
      </c>
      <c r="O25" s="254">
        <f t="shared" si="12"/>
        <v>2.9335682001234265E-2</v>
      </c>
      <c r="P25" s="254">
        <f t="shared" si="7"/>
        <v>-2.2900587734426159E-2</v>
      </c>
      <c r="Q25" s="254">
        <f t="shared" si="8"/>
        <v>2.0095535370318496E-2</v>
      </c>
      <c r="R25" s="254">
        <f t="shared" si="9"/>
        <v>0</v>
      </c>
      <c r="S25" s="254">
        <f t="shared" si="10"/>
        <v>-2.6530629637126379E-2</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ref="B26:F26" si="32">B70</f>
        <v>454.59396400000003</v>
      </c>
      <c r="C26" s="42">
        <f t="shared" si="32"/>
        <v>431.224762</v>
      </c>
      <c r="D26" s="42">
        <f t="shared" si="32"/>
        <v>443.45373499999999</v>
      </c>
      <c r="E26" s="42"/>
      <c r="F26" s="42">
        <f t="shared" si="32"/>
        <v>425.59670999999997</v>
      </c>
      <c r="G26" s="80">
        <f t="shared" si="1"/>
        <v>438.71729275000001</v>
      </c>
      <c r="H26" s="81">
        <f t="shared" si="2"/>
        <v>12152.57430132526</v>
      </c>
      <c r="I26" s="79">
        <f t="shared" si="3"/>
        <v>2.5555165007087779E-2</v>
      </c>
      <c r="J26" s="79">
        <f t="shared" si="4"/>
        <v>0.11</v>
      </c>
      <c r="K26" s="79">
        <f t="shared" si="5"/>
        <v>6.6095534594128563E-2</v>
      </c>
      <c r="L26" s="42">
        <f>G26/'Clause 6'!$G$12</f>
        <v>438.71729275000001</v>
      </c>
      <c r="M26">
        <f t="shared" si="6"/>
        <v>4</v>
      </c>
      <c r="O26" s="254">
        <f t="shared" si="12"/>
        <v>3.6188843048516883E-2</v>
      </c>
      <c r="P26" s="254">
        <f t="shared" si="7"/>
        <v>-1.7078266286324806E-2</v>
      </c>
      <c r="Q26" s="254">
        <f t="shared" si="8"/>
        <v>1.0796114783419242E-2</v>
      </c>
      <c r="R26" s="254">
        <f t="shared" si="9"/>
        <v>0</v>
      </c>
      <c r="S26" s="254">
        <f t="shared" si="10"/>
        <v>-2.9906691545611652E-2</v>
      </c>
    </row>
    <row r="27" spans="1:49" ht="13.15" x14ac:dyDescent="0.4">
      <c r="A27" s="68" t="s">
        <v>157</v>
      </c>
      <c r="B27" s="42">
        <f t="shared" ref="B27:F27" si="33">B71</f>
        <v>342.03539999999998</v>
      </c>
      <c r="C27" s="42">
        <f t="shared" si="33"/>
        <v>333.03552200000001</v>
      </c>
      <c r="D27" s="42">
        <f t="shared" si="33"/>
        <v>342.062408</v>
      </c>
      <c r="E27" s="42">
        <f t="shared" si="33"/>
        <v>307.79144300000002</v>
      </c>
      <c r="F27" s="42">
        <f t="shared" si="33"/>
        <v>323.47467</v>
      </c>
      <c r="G27" s="80">
        <f t="shared" si="1"/>
        <v>329.67988860000003</v>
      </c>
      <c r="H27" s="81">
        <f t="shared" si="2"/>
        <v>9132.212037393263</v>
      </c>
      <c r="I27" s="79">
        <f t="shared" si="3"/>
        <v>3.9194753964369104E-2</v>
      </c>
      <c r="J27" s="79">
        <f t="shared" si="4"/>
        <v>0.113</v>
      </c>
      <c r="K27" s="79">
        <f t="shared" si="5"/>
        <v>0.10395224636095678</v>
      </c>
      <c r="L27" s="42">
        <f>G27/'Clause 6'!$G$12</f>
        <v>329.67988860000003</v>
      </c>
      <c r="M27">
        <f t="shared" si="6"/>
        <v>5</v>
      </c>
      <c r="O27" s="254">
        <f t="shared" si="12"/>
        <v>3.7477297910006424E-2</v>
      </c>
      <c r="P27" s="254">
        <f t="shared" si="7"/>
        <v>1.0178459517957927E-2</v>
      </c>
      <c r="Q27" s="254">
        <f t="shared" si="8"/>
        <v>3.7559219801313493E-2</v>
      </c>
      <c r="R27" s="254">
        <f t="shared" si="9"/>
        <v>-6.6393026559643187E-2</v>
      </c>
      <c r="S27" s="254">
        <f t="shared" si="10"/>
        <v>-1.8821950669635212E-2</v>
      </c>
    </row>
    <row r="28" spans="1:49" ht="13.15" x14ac:dyDescent="0.4">
      <c r="A28" s="68" t="s">
        <v>158</v>
      </c>
      <c r="B28" s="42">
        <f t="shared" ref="B28:F28" si="34">B72</f>
        <v>264.35412600000001</v>
      </c>
      <c r="C28" s="42">
        <f t="shared" si="34"/>
        <v>262.24789399999997</v>
      </c>
      <c r="D28" s="42">
        <f t="shared" si="34"/>
        <v>264.15115400000002</v>
      </c>
      <c r="E28" s="42"/>
      <c r="F28" s="42">
        <f t="shared" si="34"/>
        <v>247.10359199999999</v>
      </c>
      <c r="G28" s="80">
        <f t="shared" si="1"/>
        <v>259.46419150000003</v>
      </c>
      <c r="H28" s="81">
        <f t="shared" si="2"/>
        <v>7187.2203759559598</v>
      </c>
      <c r="I28" s="79">
        <f t="shared" si="3"/>
        <v>2.7686022532297412E-2</v>
      </c>
      <c r="J28" s="79">
        <f t="shared" si="4"/>
        <v>0.113</v>
      </c>
      <c r="K28" s="79">
        <f t="shared" si="5"/>
        <v>6.6485220562699551E-2</v>
      </c>
      <c r="L28" s="42">
        <f>G28/'Clause 6'!$G$12</f>
        <v>259.46419150000003</v>
      </c>
      <c r="M28">
        <f t="shared" si="6"/>
        <v>4</v>
      </c>
      <c r="O28" s="254">
        <f t="shared" si="12"/>
        <v>1.8846278832275631E-2</v>
      </c>
      <c r="P28" s="254">
        <f t="shared" si="7"/>
        <v>1.0728657715374679E-2</v>
      </c>
      <c r="Q28" s="254">
        <f t="shared" si="8"/>
        <v>1.8064005182772958E-2</v>
      </c>
      <c r="R28" s="254">
        <f t="shared" si="9"/>
        <v>0</v>
      </c>
      <c r="S28" s="254">
        <f t="shared" si="10"/>
        <v>-4.7638941730423823E-2</v>
      </c>
    </row>
    <row r="29" spans="1:49" ht="13.15" x14ac:dyDescent="0.4">
      <c r="A29" s="68" t="s">
        <v>159</v>
      </c>
      <c r="B29" s="42">
        <f t="shared" ref="B29:F29" si="35">B73</f>
        <v>205.30050700000001</v>
      </c>
      <c r="C29" s="42">
        <f t="shared" si="35"/>
        <v>205.51242099999999</v>
      </c>
      <c r="D29" s="42">
        <f t="shared" si="35"/>
        <v>204.20573400000001</v>
      </c>
      <c r="E29" s="42"/>
      <c r="F29" s="42">
        <f t="shared" si="35"/>
        <v>192.250473</v>
      </c>
      <c r="G29" s="80">
        <f t="shared" si="1"/>
        <v>201.81728375</v>
      </c>
      <c r="H29" s="81">
        <f t="shared" si="2"/>
        <v>5590.3871960230999</v>
      </c>
      <c r="I29" s="79">
        <f t="shared" si="3"/>
        <v>2.7478401847489391E-2</v>
      </c>
      <c r="J29" s="79">
        <f t="shared" si="4"/>
        <v>0.113</v>
      </c>
      <c r="K29" s="79">
        <f t="shared" si="5"/>
        <v>6.5712647368835628E-2</v>
      </c>
      <c r="L29" s="42">
        <f>G29/'Clause 6'!$G$12</f>
        <v>201.81728375</v>
      </c>
      <c r="M29">
        <f t="shared" si="6"/>
        <v>4</v>
      </c>
      <c r="O29" s="254">
        <f t="shared" si="12"/>
        <v>1.7259291103703722E-2</v>
      </c>
      <c r="P29" s="254">
        <f t="shared" si="7"/>
        <v>1.8309320100538651E-2</v>
      </c>
      <c r="Q29" s="254">
        <f t="shared" si="8"/>
        <v>1.1834716064054618E-2</v>
      </c>
      <c r="R29" s="254">
        <f t="shared" si="9"/>
        <v>0</v>
      </c>
      <c r="S29" s="254">
        <f t="shared" si="10"/>
        <v>-4.7403327268296991E-2</v>
      </c>
    </row>
    <row r="30" spans="1:49" ht="13.15" x14ac:dyDescent="0.4">
      <c r="A30" s="68" t="s">
        <v>160</v>
      </c>
      <c r="B30" s="42">
        <f t="shared" ref="B30:F30" si="36">B74</f>
        <v>155.16438299999999</v>
      </c>
      <c r="C30" s="42">
        <f t="shared" si="36"/>
        <v>159.84298699999999</v>
      </c>
      <c r="D30" s="42">
        <f t="shared" si="36"/>
        <v>155.644623</v>
      </c>
      <c r="E30" s="42"/>
      <c r="F30" s="42">
        <f t="shared" si="36"/>
        <v>146.392563</v>
      </c>
      <c r="G30" s="80">
        <f t="shared" si="1"/>
        <v>154.26113899999999</v>
      </c>
      <c r="H30" s="81">
        <f t="shared" si="2"/>
        <v>4273.070572973359</v>
      </c>
      <c r="I30" s="79">
        <f t="shared" si="3"/>
        <v>3.1724835786530729E-2</v>
      </c>
      <c r="J30" s="79">
        <f t="shared" si="4"/>
        <v>0.11900000000000001</v>
      </c>
      <c r="K30" s="79">
        <f t="shared" si="5"/>
        <v>8.71925624768011E-2</v>
      </c>
      <c r="L30" s="42">
        <f>G30/'Clause 6'!$G$12</f>
        <v>154.26113899999999</v>
      </c>
      <c r="M30">
        <f t="shared" si="6"/>
        <v>4</v>
      </c>
      <c r="O30" s="254">
        <f t="shared" si="12"/>
        <v>5.8552919150947069E-3</v>
      </c>
      <c r="P30" s="254">
        <f t="shared" si="7"/>
        <v>3.6184408051077588E-2</v>
      </c>
      <c r="Q30" s="254">
        <f t="shared" si="8"/>
        <v>8.9684544595511895E-3</v>
      </c>
      <c r="R30" s="254">
        <f t="shared" si="9"/>
        <v>0</v>
      </c>
      <c r="S30" s="254">
        <f t="shared" si="10"/>
        <v>-5.1008154425723484E-2</v>
      </c>
    </row>
    <row r="31" spans="1:49" ht="13.15" x14ac:dyDescent="0.4">
      <c r="A31" s="68" t="s">
        <v>161</v>
      </c>
      <c r="B31" s="42">
        <f t="shared" ref="B31:F31" si="37">B75</f>
        <v>114.342079</v>
      </c>
      <c r="C31" s="42">
        <f t="shared" si="37"/>
        <v>122.604843</v>
      </c>
      <c r="D31" s="42">
        <f t="shared" si="37"/>
        <v>117.934151</v>
      </c>
      <c r="E31" s="42"/>
      <c r="F31" s="42">
        <f t="shared" si="37"/>
        <v>110.235367</v>
      </c>
      <c r="G31" s="80">
        <f t="shared" si="1"/>
        <v>116.27911</v>
      </c>
      <c r="H31" s="81">
        <f t="shared" si="2"/>
        <v>3220.9592539863997</v>
      </c>
      <c r="I31" s="79">
        <f t="shared" si="3"/>
        <v>3.9182632464245637E-2</v>
      </c>
      <c r="J31" s="79">
        <f t="shared" si="4"/>
        <v>0.11900000000000001</v>
      </c>
      <c r="K31" s="79">
        <f t="shared" si="5"/>
        <v>0.10637745679339999</v>
      </c>
      <c r="L31" s="42">
        <f>G31/'Clause 6'!$G$12</f>
        <v>116.27911</v>
      </c>
      <c r="M31">
        <f t="shared" si="6"/>
        <v>4</v>
      </c>
      <c r="O31" s="254">
        <f t="shared" si="12"/>
        <v>-1.6658460836172617E-2</v>
      </c>
      <c r="P31" s="254">
        <f t="shared" si="7"/>
        <v>5.4401284977155351E-2</v>
      </c>
      <c r="Q31" s="254">
        <f t="shared" si="8"/>
        <v>1.4233347675261632E-2</v>
      </c>
      <c r="R31" s="254">
        <f t="shared" si="9"/>
        <v>0</v>
      </c>
      <c r="S31" s="254">
        <f t="shared" si="10"/>
        <v>-5.1976171816244587E-2</v>
      </c>
    </row>
    <row r="32" spans="1:49" ht="13.15" x14ac:dyDescent="0.4">
      <c r="A32" s="68" t="s">
        <v>162</v>
      </c>
      <c r="B32" s="42">
        <f t="shared" ref="B32:F32" si="38">B76</f>
        <v>82.833602999999997</v>
      </c>
      <c r="C32" s="42">
        <f t="shared" si="38"/>
        <v>92.744063999999995</v>
      </c>
      <c r="D32" s="42">
        <f t="shared" si="38"/>
        <v>90.896454000000006</v>
      </c>
      <c r="E32" s="42"/>
      <c r="F32" s="42">
        <f t="shared" si="38"/>
        <v>82.544242999999994</v>
      </c>
      <c r="G32" s="80">
        <f t="shared" si="1"/>
        <v>87.254590999999991</v>
      </c>
      <c r="H32" s="81">
        <f t="shared" si="2"/>
        <v>2416.9731118018394</v>
      </c>
      <c r="I32" s="79">
        <f t="shared" si="3"/>
        <v>5.287166855176504E-2</v>
      </c>
      <c r="J32" s="79">
        <f t="shared" si="4"/>
        <v>0.11900000000000001</v>
      </c>
      <c r="K32" s="79">
        <f t="shared" si="5"/>
        <v>0.11689724154457387</v>
      </c>
      <c r="L32" s="42">
        <f>G32/'Clause 6'!$G$12</f>
        <v>87.254590999999991</v>
      </c>
      <c r="M32">
        <f t="shared" si="6"/>
        <v>4</v>
      </c>
      <c r="O32" s="254">
        <f t="shared" si="12"/>
        <v>-5.0667683491863458E-2</v>
      </c>
      <c r="P32" s="254">
        <f t="shared" si="7"/>
        <v>6.2913285559954124E-2</v>
      </c>
      <c r="Q32" s="254">
        <f t="shared" si="8"/>
        <v>4.1738353916529247E-2</v>
      </c>
      <c r="R32" s="254">
        <f t="shared" si="9"/>
        <v>0</v>
      </c>
      <c r="S32" s="254">
        <f t="shared" si="10"/>
        <v>-5.3983955984619691E-2</v>
      </c>
    </row>
    <row r="33" spans="1:19" ht="13.15" x14ac:dyDescent="0.4">
      <c r="A33" s="68" t="s">
        <v>163</v>
      </c>
      <c r="B33" s="42">
        <f t="shared" ref="B33:F33" si="39">B77</f>
        <v>58.062786000000003</v>
      </c>
      <c r="C33" s="42">
        <f t="shared" si="39"/>
        <v>70.085007000000004</v>
      </c>
      <c r="D33" s="42">
        <f t="shared" si="39"/>
        <v>70.262428</v>
      </c>
      <c r="E33" s="42"/>
      <c r="F33" s="42">
        <f t="shared" si="39"/>
        <v>60.497169</v>
      </c>
      <c r="G33" s="80">
        <f t="shared" si="1"/>
        <v>64.726847500000005</v>
      </c>
      <c r="H33" s="81">
        <f t="shared" si="2"/>
        <v>1792.9492101933999</v>
      </c>
      <c r="I33" s="79">
        <f t="shared" si="3"/>
        <v>8.5201242141581354E-2</v>
      </c>
      <c r="J33" s="79">
        <f t="shared" si="4"/>
        <v>0.13400000000000001</v>
      </c>
      <c r="K33" s="79">
        <f t="shared" si="5"/>
        <v>0.18847885338460205</v>
      </c>
      <c r="L33" s="42">
        <f>G33/'Clause 6'!$G$12</f>
        <v>64.726847500000005</v>
      </c>
      <c r="M33">
        <f t="shared" si="6"/>
        <v>4</v>
      </c>
      <c r="O33" s="254">
        <f t="shared" si="12"/>
        <v>-0.10295668269646541</v>
      </c>
      <c r="P33" s="254">
        <f t="shared" si="7"/>
        <v>8.2781097905316736E-2</v>
      </c>
      <c r="Q33" s="254">
        <f t="shared" si="8"/>
        <v>8.5522170688136612E-2</v>
      </c>
      <c r="R33" s="254">
        <f t="shared" si="9"/>
        <v>0</v>
      </c>
      <c r="S33" s="254">
        <f t="shared" si="10"/>
        <v>-6.5346585896988163E-2</v>
      </c>
    </row>
    <row r="34" spans="1:19" ht="13.15" x14ac:dyDescent="0.4">
      <c r="A34" s="68" t="s">
        <v>164</v>
      </c>
      <c r="B34" s="42">
        <f t="shared" ref="B34:F34" si="40">B78</f>
        <v>40.624133999999998</v>
      </c>
      <c r="C34" s="42">
        <f t="shared" si="40"/>
        <v>51.114628000000003</v>
      </c>
      <c r="D34" s="42">
        <f t="shared" si="40"/>
        <v>52.474471999999999</v>
      </c>
      <c r="E34" s="42">
        <f t="shared" si="40"/>
        <v>39.862960999999999</v>
      </c>
      <c r="F34" s="42">
        <f t="shared" si="40"/>
        <v>45.857914000000001</v>
      </c>
      <c r="G34" s="80">
        <f t="shared" si="1"/>
        <v>45.986821799999994</v>
      </c>
      <c r="H34" s="81">
        <f t="shared" si="2"/>
        <v>1273.8460006972316</v>
      </c>
      <c r="I34" s="79">
        <f t="shared" si="3"/>
        <v>0.11285012702453728</v>
      </c>
      <c r="J34" s="79">
        <f t="shared" si="4"/>
        <v>0.13400000000000001</v>
      </c>
      <c r="K34" s="79">
        <f t="shared" si="5"/>
        <v>0.27424184812876112</v>
      </c>
      <c r="L34" s="42">
        <f>G34/'Clause 6'!$G$12</f>
        <v>45.986821799999994</v>
      </c>
      <c r="M34">
        <f t="shared" si="6"/>
        <v>5</v>
      </c>
      <c r="O34" s="254">
        <f t="shared" si="12"/>
        <v>-0.11661357732705935</v>
      </c>
      <c r="P34" s="254">
        <f t="shared" si="7"/>
        <v>0.11150599235366188</v>
      </c>
      <c r="Q34" s="254">
        <f t="shared" si="8"/>
        <v>0.14107628981657538</v>
      </c>
      <c r="R34" s="254">
        <f t="shared" si="9"/>
        <v>-0.13316555831218579</v>
      </c>
      <c r="S34" s="254">
        <f t="shared" si="10"/>
        <v>-2.8031465309914516E-3</v>
      </c>
    </row>
    <row r="35" spans="1:19" ht="13.15" x14ac:dyDescent="0.4">
      <c r="A35" s="68" t="s">
        <v>165</v>
      </c>
      <c r="B35" s="42">
        <f t="shared" ref="B35:F35" si="41">B79</f>
        <v>29.328644000000001</v>
      </c>
      <c r="C35" s="42">
        <f t="shared" si="41"/>
        <v>36.886845000000001</v>
      </c>
      <c r="D35" s="42">
        <f t="shared" si="41"/>
        <v>37.888348000000001</v>
      </c>
      <c r="E35" s="42">
        <f t="shared" si="41"/>
        <v>26.98687</v>
      </c>
      <c r="F35" s="42">
        <f t="shared" si="41"/>
        <v>31.747786000000001</v>
      </c>
      <c r="G35" s="80">
        <f t="shared" si="1"/>
        <v>32.5676986</v>
      </c>
      <c r="H35" s="81">
        <f t="shared" si="2"/>
        <v>902.13306746766386</v>
      </c>
      <c r="I35" s="79">
        <f t="shared" si="3"/>
        <v>0.129744731387606</v>
      </c>
      <c r="J35" s="79">
        <f t="shared" si="4"/>
        <v>0.156</v>
      </c>
      <c r="K35" s="79">
        <f t="shared" si="5"/>
        <v>0.33473283248820046</v>
      </c>
      <c r="L35" s="42">
        <f>G35/'Clause 6'!$G$12</f>
        <v>32.5676986</v>
      </c>
      <c r="M35">
        <f t="shared" si="6"/>
        <v>5</v>
      </c>
      <c r="O35" s="254">
        <f t="shared" si="12"/>
        <v>-9.9456048147043452E-2</v>
      </c>
      <c r="P35" s="254">
        <f t="shared" si="7"/>
        <v>0.13262055919419491</v>
      </c>
      <c r="Q35" s="254">
        <f t="shared" si="8"/>
        <v>0.16337197986719265</v>
      </c>
      <c r="R35" s="254">
        <f t="shared" si="9"/>
        <v>-0.17136085262100775</v>
      </c>
      <c r="S35" s="254">
        <f t="shared" si="10"/>
        <v>-2.5175638293336355E-2</v>
      </c>
    </row>
    <row r="36" spans="1:19" ht="13.15" x14ac:dyDescent="0.4">
      <c r="A36" s="68" t="s">
        <v>166</v>
      </c>
      <c r="B36" s="42">
        <f t="shared" ref="B36:F36" si="42">B80</f>
        <v>21.203817000000001</v>
      </c>
      <c r="C36" s="42">
        <f t="shared" si="42"/>
        <v>24.415579000000001</v>
      </c>
      <c r="D36" s="42">
        <f t="shared" si="42"/>
        <v>28.638608999999999</v>
      </c>
      <c r="E36" s="42">
        <f t="shared" si="42"/>
        <v>19.402325000000001</v>
      </c>
      <c r="F36" s="42">
        <f t="shared" si="42"/>
        <v>23.28171</v>
      </c>
      <c r="G36" s="80">
        <f t="shared" si="1"/>
        <v>23.388408000000002</v>
      </c>
      <c r="H36" s="81">
        <f t="shared" si="2"/>
        <v>647.86451481791994</v>
      </c>
      <c r="I36" s="79">
        <f t="shared" si="3"/>
        <v>0.13424687651178019</v>
      </c>
      <c r="J36" s="79">
        <f t="shared" si="4"/>
        <v>0.156</v>
      </c>
      <c r="K36" s="79">
        <f t="shared" si="5"/>
        <v>0.39490862310936242</v>
      </c>
      <c r="L36" s="42">
        <f>G36/'Clause 6'!$G$12</f>
        <v>23.388408000000002</v>
      </c>
      <c r="M36">
        <f t="shared" si="6"/>
        <v>5</v>
      </c>
      <c r="O36" s="254">
        <f t="shared" si="12"/>
        <v>-9.3404861074768308E-2</v>
      </c>
      <c r="P36" s="254">
        <f t="shared" si="7"/>
        <v>4.391795285938227E-2</v>
      </c>
      <c r="Q36" s="254">
        <f t="shared" si="8"/>
        <v>0.22447876743042938</v>
      </c>
      <c r="R36" s="254">
        <f t="shared" si="9"/>
        <v>-0.17042985567893298</v>
      </c>
      <c r="S36" s="254">
        <f t="shared" si="10"/>
        <v>-4.5620035361108036E-3</v>
      </c>
    </row>
    <row r="37" spans="1:19" ht="13.15" x14ac:dyDescent="0.4">
      <c r="A37" s="68" t="s">
        <v>167</v>
      </c>
      <c r="B37" s="42">
        <f t="shared" ref="B37:F37" si="43">B81</f>
        <v>16.249655000000001</v>
      </c>
      <c r="C37" s="42">
        <f t="shared" si="43"/>
        <v>18.092119</v>
      </c>
      <c r="D37" s="42">
        <f t="shared" si="43"/>
        <v>21.345547</v>
      </c>
      <c r="E37" s="42">
        <f t="shared" si="43"/>
        <v>11.641396</v>
      </c>
      <c r="F37" s="42">
        <f t="shared" si="43"/>
        <v>15.344763</v>
      </c>
      <c r="G37" s="80">
        <f t="shared" si="1"/>
        <v>16.534696</v>
      </c>
      <c r="H37" s="81">
        <f t="shared" si="2"/>
        <v>458.01504752703994</v>
      </c>
      <c r="I37" s="79">
        <f t="shared" si="3"/>
        <v>0.19317571215119292</v>
      </c>
      <c r="J37" s="79">
        <f t="shared" si="4"/>
        <v>0.193</v>
      </c>
      <c r="K37" s="79">
        <f t="shared" si="5"/>
        <v>0.58689624532558682</v>
      </c>
      <c r="L37" s="42">
        <f>G37/'Clause 6'!$G$12</f>
        <v>16.534696</v>
      </c>
      <c r="M37">
        <f t="shared" si="6"/>
        <v>5</v>
      </c>
      <c r="O37" s="254">
        <f t="shared" si="12"/>
        <v>-1.7238962240370137E-2</v>
      </c>
      <c r="P37" s="254">
        <f t="shared" si="7"/>
        <v>9.4191208595549636E-2</v>
      </c>
      <c r="Q37" s="254">
        <f t="shared" si="8"/>
        <v>0.29095491081299585</v>
      </c>
      <c r="R37" s="254">
        <f t="shared" si="9"/>
        <v>-0.29594133451259097</v>
      </c>
      <c r="S37" s="254">
        <f t="shared" si="10"/>
        <v>-7.1965822655584377E-2</v>
      </c>
    </row>
    <row r="38" spans="1:19" ht="13.15" x14ac:dyDescent="0.4">
      <c r="A38" s="68" t="s">
        <v>168</v>
      </c>
      <c r="B38" s="42">
        <f t="shared" ref="B38:F38" si="44">B82</f>
        <v>11.691824</v>
      </c>
      <c r="C38" s="42">
        <f t="shared" si="44"/>
        <v>13.876479</v>
      </c>
      <c r="D38" s="42">
        <f t="shared" si="44"/>
        <v>16.009160999999999</v>
      </c>
      <c r="E38" s="42">
        <f t="shared" si="44"/>
        <v>9.1720089999999992</v>
      </c>
      <c r="F38" s="42">
        <f t="shared" si="44"/>
        <v>10.053466</v>
      </c>
      <c r="G38" s="80">
        <f t="shared" si="1"/>
        <v>12.160587799999998</v>
      </c>
      <c r="H38" s="81">
        <f t="shared" si="2"/>
        <v>336.85120060107192</v>
      </c>
      <c r="I38" s="79">
        <f t="shared" si="3"/>
        <v>0.20590132327181465</v>
      </c>
      <c r="J38" s="79">
        <f t="shared" si="4"/>
        <v>0.193</v>
      </c>
      <c r="K38" s="79">
        <f t="shared" si="5"/>
        <v>0.56223861152501198</v>
      </c>
      <c r="L38" s="42">
        <f>G38/'Clause 6'!$G$12</f>
        <v>12.160587799999998</v>
      </c>
      <c r="M38">
        <f t="shared" si="6"/>
        <v>5</v>
      </c>
      <c r="O38" s="254">
        <f t="shared" si="12"/>
        <v>-3.8547791250682639E-2</v>
      </c>
      <c r="P38" s="254">
        <f t="shared" si="7"/>
        <v>0.14110265294906243</v>
      </c>
      <c r="Q38" s="254">
        <f t="shared" si="8"/>
        <v>0.31647920834879395</v>
      </c>
      <c r="R38" s="254">
        <f t="shared" si="9"/>
        <v>-0.24575940317621814</v>
      </c>
      <c r="S38" s="254">
        <f t="shared" si="10"/>
        <v>-0.17327466687095494</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row>
    <row r="52" spans="1:16" ht="13.15" x14ac:dyDescent="0.4">
      <c r="A52" s="65" t="s">
        <v>180</v>
      </c>
      <c r="B52">
        <v>5.0462610000000003</v>
      </c>
      <c r="C52">
        <v>5.6930870000000002</v>
      </c>
      <c r="D52">
        <v>5.6217810000000004</v>
      </c>
      <c r="E52">
        <v>5.6694240000000002</v>
      </c>
      <c r="F52">
        <v>5.6696869999999997</v>
      </c>
      <c r="G52">
        <v>5.0233230000000004</v>
      </c>
      <c r="H52">
        <v>5.6628939999999997</v>
      </c>
      <c r="I52">
        <v>5.630509</v>
      </c>
      <c r="J52">
        <v>5.7065010000000003</v>
      </c>
      <c r="K52">
        <v>5.684609</v>
      </c>
      <c r="L52">
        <v>5.0705140000000002</v>
      </c>
      <c r="M52">
        <v>5.6845629999999998</v>
      </c>
      <c r="N52">
        <v>5.6810910000000003</v>
      </c>
      <c r="O52">
        <v>5.6736360000000001</v>
      </c>
      <c r="P52">
        <v>5.6893779999999996</v>
      </c>
    </row>
    <row r="53" spans="1:16" ht="13.15" x14ac:dyDescent="0.4">
      <c r="A53" s="8">
        <v>4</v>
      </c>
      <c r="B53">
        <v>12580.402344</v>
      </c>
      <c r="C53">
        <v>11835.758789</v>
      </c>
      <c r="D53">
        <v>12467.934569999999</v>
      </c>
      <c r="E53">
        <v>12081.651367</v>
      </c>
      <c r="F53">
        <v>12443.544921999999</v>
      </c>
      <c r="G53">
        <v>12360.742188</v>
      </c>
      <c r="H53">
        <v>12372.648438</v>
      </c>
      <c r="I53">
        <v>12222.518555000001</v>
      </c>
      <c r="J53">
        <v>11912.204102</v>
      </c>
      <c r="K53">
        <v>11836.522461</v>
      </c>
      <c r="L53">
        <v>12126.1875</v>
      </c>
      <c r="M53">
        <v>11685.859375</v>
      </c>
      <c r="N53">
        <v>11615.375</v>
      </c>
      <c r="O53">
        <v>11984.553711</v>
      </c>
      <c r="P53">
        <v>11872.299805000001</v>
      </c>
    </row>
    <row r="54" spans="1:16" ht="13.15" x14ac:dyDescent="0.4">
      <c r="A54" s="8">
        <v>5</v>
      </c>
      <c r="B54">
        <v>11118.528319999999</v>
      </c>
      <c r="C54">
        <v>10489.564453000001</v>
      </c>
      <c r="D54">
        <v>11059.662109000001</v>
      </c>
      <c r="E54">
        <v>10677.628906</v>
      </c>
      <c r="F54">
        <v>10988.084961</v>
      </c>
      <c r="G54">
        <v>10908.714844</v>
      </c>
      <c r="H54">
        <v>10908.026367</v>
      </c>
      <c r="I54">
        <v>10773.803711</v>
      </c>
      <c r="J54">
        <v>10552.702148</v>
      </c>
      <c r="K54">
        <v>10491.487305000001</v>
      </c>
      <c r="L54">
        <v>10708.776367</v>
      </c>
      <c r="M54">
        <v>10304.046875</v>
      </c>
      <c r="N54">
        <v>10269.154296999999</v>
      </c>
      <c r="O54">
        <v>10570.292969</v>
      </c>
      <c r="P54">
        <v>10495.875</v>
      </c>
    </row>
    <row r="55" spans="1:16" ht="13.15" x14ac:dyDescent="0.4">
      <c r="A55" s="8">
        <v>6</v>
      </c>
      <c r="B55">
        <v>9738.8935550000006</v>
      </c>
      <c r="C55">
        <v>9220.8330079999996</v>
      </c>
      <c r="D55">
        <v>9703.6855469999991</v>
      </c>
      <c r="E55">
        <v>9350.8623050000006</v>
      </c>
      <c r="F55">
        <v>9615.1699219999991</v>
      </c>
      <c r="G55">
        <v>9542.0898440000001</v>
      </c>
      <c r="H55">
        <v>9550.0634769999997</v>
      </c>
      <c r="I55">
        <v>9413.5361329999996</v>
      </c>
      <c r="J55">
        <v>9244.7197269999997</v>
      </c>
      <c r="K55">
        <v>9214.8818360000005</v>
      </c>
      <c r="L55">
        <v>9376.7617190000001</v>
      </c>
      <c r="M55">
        <v>8972.3701170000004</v>
      </c>
      <c r="N55">
        <v>8970.6367190000001</v>
      </c>
      <c r="O55">
        <v>9225.3007809999999</v>
      </c>
      <c r="P55">
        <v>9170.4228519999997</v>
      </c>
    </row>
    <row r="56" spans="1:16" ht="13.15" x14ac:dyDescent="0.4">
      <c r="A56" s="8">
        <v>7</v>
      </c>
      <c r="B56">
        <v>8515.4130860000005</v>
      </c>
      <c r="C56">
        <v>8065.3964839999999</v>
      </c>
      <c r="D56">
        <v>8484.8554690000001</v>
      </c>
      <c r="E56">
        <v>8144.5668949999999</v>
      </c>
      <c r="F56">
        <v>8390.7636719999991</v>
      </c>
      <c r="G56">
        <v>8313.2216800000006</v>
      </c>
      <c r="H56">
        <v>8351.5595699999994</v>
      </c>
      <c r="I56">
        <v>8224.1230469999991</v>
      </c>
      <c r="J56">
        <v>8068.1669920000004</v>
      </c>
      <c r="K56">
        <v>8064.0551759999998</v>
      </c>
      <c r="L56">
        <v>8122.2539059999999</v>
      </c>
      <c r="M56">
        <v>7780.7216799999997</v>
      </c>
      <c r="N56">
        <v>7822.2651370000003</v>
      </c>
      <c r="O56">
        <v>7992.0522460000002</v>
      </c>
      <c r="P56">
        <v>7966.2490230000003</v>
      </c>
    </row>
    <row r="57" spans="1:16" ht="13.15" x14ac:dyDescent="0.4">
      <c r="A57" s="8">
        <v>8</v>
      </c>
      <c r="B57">
        <v>7446.701172</v>
      </c>
      <c r="C57">
        <v>7023.7822269999997</v>
      </c>
      <c r="D57">
        <v>7390.1840819999998</v>
      </c>
      <c r="E57">
        <v>7073.2060549999997</v>
      </c>
      <c r="F57">
        <v>7291.9370120000003</v>
      </c>
      <c r="G57">
        <v>7216.9360349999997</v>
      </c>
      <c r="H57">
        <v>7269.7807620000003</v>
      </c>
      <c r="I57">
        <v>7165.4267579999996</v>
      </c>
      <c r="J57">
        <v>7037.9384769999997</v>
      </c>
      <c r="K57">
        <v>7035.4882809999999</v>
      </c>
      <c r="L57">
        <v>7014.8710940000001</v>
      </c>
      <c r="M57">
        <v>6735.0825199999999</v>
      </c>
      <c r="N57">
        <v>6775.8115230000003</v>
      </c>
      <c r="O57">
        <v>6907.5629879999997</v>
      </c>
      <c r="P57">
        <v>6905.5004879999997</v>
      </c>
    </row>
    <row r="58" spans="1:16" ht="13.15" x14ac:dyDescent="0.4">
      <c r="A58" s="8">
        <v>9</v>
      </c>
      <c r="B58">
        <v>6502.4375</v>
      </c>
      <c r="C58">
        <v>6107.4077150000003</v>
      </c>
      <c r="D58">
        <v>6408.111328</v>
      </c>
      <c r="E58">
        <v>6140.8359380000002</v>
      </c>
      <c r="F58">
        <v>6310.2250979999999</v>
      </c>
      <c r="G58">
        <v>6247.8559569999998</v>
      </c>
      <c r="H58">
        <v>6300.841797</v>
      </c>
      <c r="I58">
        <v>6231.408203</v>
      </c>
      <c r="J58">
        <v>6124.5942379999997</v>
      </c>
      <c r="K58">
        <v>6122.4965819999998</v>
      </c>
      <c r="L58">
        <v>6049.8798829999996</v>
      </c>
      <c r="M58">
        <v>5806.2514650000003</v>
      </c>
      <c r="N58">
        <v>5860.8461909999996</v>
      </c>
      <c r="O58">
        <v>5963.5473629999997</v>
      </c>
      <c r="P58">
        <v>5980.6186520000001</v>
      </c>
    </row>
    <row r="59" spans="1:16" ht="13.15" x14ac:dyDescent="0.4">
      <c r="A59" s="8">
        <v>10</v>
      </c>
      <c r="B59">
        <v>5575.216797</v>
      </c>
      <c r="C59">
        <v>5233.8920900000003</v>
      </c>
      <c r="D59">
        <v>5489.185547</v>
      </c>
      <c r="E59">
        <v>5234.0419920000004</v>
      </c>
      <c r="F59">
        <v>5412.4682620000003</v>
      </c>
      <c r="G59">
        <v>5331.3315430000002</v>
      </c>
      <c r="H59">
        <v>5390.1767579999996</v>
      </c>
      <c r="I59">
        <v>5314.2622069999998</v>
      </c>
      <c r="J59">
        <v>5252.0805659999996</v>
      </c>
      <c r="K59">
        <v>5259.4648440000001</v>
      </c>
      <c r="L59">
        <v>5144.4492190000001</v>
      </c>
      <c r="M59">
        <v>4946.7304690000001</v>
      </c>
      <c r="N59">
        <v>4975.8051759999998</v>
      </c>
      <c r="O59">
        <v>5068.7070309999999</v>
      </c>
      <c r="P59">
        <v>5086.4965819999998</v>
      </c>
    </row>
    <row r="60" spans="1:16" ht="13.15" x14ac:dyDescent="0.4">
      <c r="A60" s="8">
        <v>11</v>
      </c>
      <c r="B60">
        <v>4739.9448240000002</v>
      </c>
      <c r="C60">
        <v>4463.6596680000002</v>
      </c>
      <c r="D60">
        <v>4684.2802730000003</v>
      </c>
      <c r="E60">
        <v>4449.6586909999996</v>
      </c>
      <c r="F60">
        <v>4614.1879879999997</v>
      </c>
      <c r="G60">
        <v>4531.064453</v>
      </c>
      <c r="H60">
        <v>4589.1728519999997</v>
      </c>
      <c r="I60">
        <v>4515.7553710000002</v>
      </c>
      <c r="J60">
        <v>4483.6586909999996</v>
      </c>
      <c r="K60">
        <v>4483.8618159999996</v>
      </c>
      <c r="L60">
        <v>4355.1801759999998</v>
      </c>
      <c r="M60">
        <v>4179.3891599999997</v>
      </c>
      <c r="N60">
        <v>4207.642578</v>
      </c>
      <c r="O60">
        <v>4279.794922</v>
      </c>
      <c r="P60">
        <v>4307.1494140000004</v>
      </c>
    </row>
    <row r="61" spans="1:16" ht="13.15" x14ac:dyDescent="0.4">
      <c r="A61" s="8">
        <v>12</v>
      </c>
      <c r="B61">
        <v>3969.0771479999999</v>
      </c>
      <c r="C61">
        <v>3752.7973630000001</v>
      </c>
      <c r="D61">
        <v>3914.2397460000002</v>
      </c>
      <c r="E61">
        <v>3732.6545409999999</v>
      </c>
      <c r="F61">
        <v>3840.9528810000002</v>
      </c>
      <c r="G61">
        <v>3783.9494629999999</v>
      </c>
      <c r="H61">
        <v>3840.4389649999998</v>
      </c>
      <c r="I61">
        <v>3779.2321780000002</v>
      </c>
      <c r="J61">
        <v>3745.9035640000002</v>
      </c>
      <c r="K61">
        <v>3755.0515140000002</v>
      </c>
      <c r="L61">
        <v>3611.0739749999998</v>
      </c>
      <c r="M61">
        <v>3469.5720209999999</v>
      </c>
      <c r="N61">
        <v>3498.095703</v>
      </c>
      <c r="O61">
        <v>3561.0317380000001</v>
      </c>
      <c r="P61">
        <v>3576.4895019999999</v>
      </c>
    </row>
    <row r="62" spans="1:16" ht="13.15" x14ac:dyDescent="0.4">
      <c r="A62" s="8">
        <v>13</v>
      </c>
      <c r="B62">
        <v>3282.6281739999999</v>
      </c>
      <c r="C62">
        <v>3104.2915039999998</v>
      </c>
      <c r="D62">
        <v>3240.076172</v>
      </c>
      <c r="E62">
        <v>3093.7890619999998</v>
      </c>
      <c r="F62">
        <v>3177.9533689999998</v>
      </c>
      <c r="G62">
        <v>3139.5551759999998</v>
      </c>
      <c r="H62">
        <v>3176.8208009999998</v>
      </c>
      <c r="I62">
        <v>3128.1364749999998</v>
      </c>
      <c r="J62">
        <v>3119.0744629999999</v>
      </c>
      <c r="K62">
        <v>3110.8559570000002</v>
      </c>
      <c r="L62">
        <v>2962.2246089999999</v>
      </c>
      <c r="M62">
        <v>2858.2673340000001</v>
      </c>
      <c r="N62">
        <v>2864.9428710000002</v>
      </c>
      <c r="O62">
        <v>2915.4140619999998</v>
      </c>
      <c r="P62">
        <v>2928.4396969999998</v>
      </c>
    </row>
    <row r="63" spans="1:16" ht="13.15" x14ac:dyDescent="0.4">
      <c r="A63" s="8">
        <v>14</v>
      </c>
      <c r="B63">
        <v>2692.4882809999999</v>
      </c>
      <c r="C63">
        <v>2537.1123050000001</v>
      </c>
      <c r="D63">
        <v>2656.6313479999999</v>
      </c>
      <c r="E63">
        <v>2519.6564939999998</v>
      </c>
      <c r="F63">
        <v>2582.858643</v>
      </c>
      <c r="G63">
        <v>2550.1047359999998</v>
      </c>
      <c r="H63">
        <v>2588.2524410000001</v>
      </c>
      <c r="I63">
        <v>2553.4104000000002</v>
      </c>
      <c r="J63">
        <v>2542.1884770000001</v>
      </c>
      <c r="K63">
        <v>2546.1733399999998</v>
      </c>
      <c r="L63">
        <v>2376.0905760000001</v>
      </c>
      <c r="M63">
        <v>2303.783203</v>
      </c>
      <c r="N63">
        <v>2299.9104000000002</v>
      </c>
      <c r="O63">
        <v>2351.7543949999999</v>
      </c>
      <c r="P63">
        <v>2348.938721</v>
      </c>
    </row>
    <row r="64" spans="1:16" ht="13.15" x14ac:dyDescent="0.4">
      <c r="A64" s="8">
        <v>15</v>
      </c>
      <c r="B64">
        <v>2141.3872070000002</v>
      </c>
      <c r="C64">
        <v>2029.830322</v>
      </c>
      <c r="D64">
        <v>2116.766846</v>
      </c>
      <c r="E64">
        <v>1997.5576169999999</v>
      </c>
      <c r="F64">
        <v>2056.7272950000001</v>
      </c>
      <c r="G64">
        <v>2011.4174800000001</v>
      </c>
      <c r="H64">
        <v>2066.9643550000001</v>
      </c>
      <c r="I64">
        <v>2033.20874</v>
      </c>
      <c r="J64">
        <v>2026.6361079999999</v>
      </c>
      <c r="K64">
        <v>2025.1173100000001</v>
      </c>
      <c r="L64">
        <v>1882.255005</v>
      </c>
      <c r="M64">
        <v>1814.915283</v>
      </c>
      <c r="N64">
        <v>1786.9807129999999</v>
      </c>
      <c r="O64">
        <v>1845.5535890000001</v>
      </c>
      <c r="P64">
        <v>1846.9506839999999</v>
      </c>
    </row>
    <row r="65" spans="1:16" ht="13.15" x14ac:dyDescent="0.4">
      <c r="A65" s="8">
        <v>16</v>
      </c>
      <c r="B65">
        <v>1696.305298</v>
      </c>
      <c r="C65">
        <v>1596.848999</v>
      </c>
      <c r="D65">
        <v>1668.510254</v>
      </c>
      <c r="E65">
        <v>1559.946899</v>
      </c>
      <c r="F65">
        <v>1621.7827150000001</v>
      </c>
      <c r="G65">
        <v>1580.626953</v>
      </c>
      <c r="H65">
        <v>1629.7320560000001</v>
      </c>
      <c r="I65">
        <v>1597.3688959999999</v>
      </c>
      <c r="J65">
        <v>1599.0535890000001</v>
      </c>
      <c r="K65">
        <v>1595.5363769999999</v>
      </c>
      <c r="L65">
        <v>1459.615356</v>
      </c>
      <c r="M65">
        <v>1405.0333250000001</v>
      </c>
      <c r="N65">
        <v>1391.2821039999999</v>
      </c>
      <c r="O65">
        <v>1425.3645019999999</v>
      </c>
      <c r="P65">
        <v>1431.0878909999999</v>
      </c>
    </row>
    <row r="66" spans="1:16" ht="13.15" x14ac:dyDescent="0.4">
      <c r="A66" s="8">
        <v>17</v>
      </c>
      <c r="B66">
        <v>1323.355957</v>
      </c>
      <c r="C66">
        <v>1243.6136469999999</v>
      </c>
      <c r="D66">
        <v>1293.718018</v>
      </c>
      <c r="E66">
        <v>1199.063721</v>
      </c>
      <c r="F66">
        <v>1251.744629</v>
      </c>
      <c r="G66">
        <v>1218.1179199999999</v>
      </c>
      <c r="H66">
        <v>1255.5417480000001</v>
      </c>
      <c r="I66">
        <v>1248.022217</v>
      </c>
      <c r="J66">
        <v>1233.6807859999999</v>
      </c>
      <c r="K66">
        <v>1238.2558590000001</v>
      </c>
      <c r="L66">
        <v>1091.9997559999999</v>
      </c>
      <c r="M66">
        <v>1072.378052</v>
      </c>
      <c r="N66">
        <v>1049.0942379999999</v>
      </c>
      <c r="O66">
        <v>1073.209351</v>
      </c>
      <c r="P66">
        <v>1069.1854249999999</v>
      </c>
    </row>
    <row r="67" spans="1:16" ht="13.15" x14ac:dyDescent="0.4">
      <c r="A67" s="8">
        <v>18</v>
      </c>
      <c r="B67">
        <v>1015.603394</v>
      </c>
      <c r="C67">
        <v>958.70666500000004</v>
      </c>
      <c r="D67">
        <v>1002.884949</v>
      </c>
      <c r="E67">
        <v>915.08422900000005</v>
      </c>
      <c r="F67">
        <v>961.25238000000002</v>
      </c>
      <c r="G67">
        <v>938.02447500000005</v>
      </c>
      <c r="H67">
        <v>959.93316700000003</v>
      </c>
      <c r="I67">
        <v>966.520081</v>
      </c>
      <c r="J67">
        <v>948.74255400000004</v>
      </c>
      <c r="K67">
        <v>959.08093299999996</v>
      </c>
      <c r="L67">
        <v>813.724243</v>
      </c>
      <c r="M67">
        <v>803.228027</v>
      </c>
      <c r="N67">
        <v>783.47631799999999</v>
      </c>
      <c r="O67">
        <v>798.07720900000004</v>
      </c>
      <c r="P67">
        <v>794.46295199999997</v>
      </c>
    </row>
    <row r="68" spans="1:16" ht="13.15" x14ac:dyDescent="0.4">
      <c r="A68" s="8">
        <v>19</v>
      </c>
      <c r="B68">
        <v>773.44390899999996</v>
      </c>
      <c r="C68">
        <v>735.10211200000003</v>
      </c>
      <c r="D68">
        <v>771.28576699999996</v>
      </c>
      <c r="E68">
        <v>696.54345699999999</v>
      </c>
      <c r="F68">
        <v>739.37066700000003</v>
      </c>
      <c r="G68">
        <v>718.64776600000005</v>
      </c>
      <c r="H68">
        <v>729.30902100000003</v>
      </c>
      <c r="I68">
        <v>738.83196999999996</v>
      </c>
      <c r="J68">
        <v>736.35320999999999</v>
      </c>
      <c r="K68">
        <v>732.32830799999999</v>
      </c>
      <c r="L68">
        <v>593.82543899999996</v>
      </c>
      <c r="M68">
        <v>601.62939500000005</v>
      </c>
      <c r="N68">
        <v>590.20355199999995</v>
      </c>
      <c r="O68">
        <v>591.50775099999998</v>
      </c>
      <c r="P68">
        <v>593.73803699999996</v>
      </c>
    </row>
    <row r="69" spans="1:16" ht="13.15" x14ac:dyDescent="0.4">
      <c r="A69" s="8">
        <v>20</v>
      </c>
      <c r="B69">
        <v>592.31970200000001</v>
      </c>
      <c r="C69">
        <v>562.26092500000004</v>
      </c>
      <c r="D69">
        <v>587.00256300000001</v>
      </c>
      <c r="E69">
        <v>526.50854500000003</v>
      </c>
      <c r="F69">
        <v>560.17205799999999</v>
      </c>
      <c r="G69">
        <v>554.81201199999998</v>
      </c>
      <c r="H69">
        <v>556.95898399999999</v>
      </c>
      <c r="I69">
        <v>554.30157499999996</v>
      </c>
      <c r="J69">
        <v>565.32019000000003</v>
      </c>
      <c r="K69">
        <v>562.21984899999995</v>
      </c>
      <c r="L69">
        <v>438.41711400000003</v>
      </c>
      <c r="M69">
        <v>443.12994400000002</v>
      </c>
      <c r="N69">
        <v>440.93643200000002</v>
      </c>
      <c r="O69">
        <v>438.16696200000001</v>
      </c>
      <c r="P69">
        <v>443.633759</v>
      </c>
    </row>
    <row r="70" spans="1:16" ht="13.15" x14ac:dyDescent="0.4">
      <c r="A70" s="8">
        <v>21</v>
      </c>
      <c r="B70">
        <v>454.59396400000003</v>
      </c>
      <c r="C70">
        <v>431.224762</v>
      </c>
      <c r="D70">
        <v>443.45373499999999</v>
      </c>
      <c r="E70">
        <v>400.21704099999999</v>
      </c>
      <c r="F70">
        <v>425.59670999999997</v>
      </c>
      <c r="G70">
        <v>428.40167200000002</v>
      </c>
      <c r="H70">
        <v>430.52191199999999</v>
      </c>
      <c r="I70">
        <v>416.303406</v>
      </c>
      <c r="J70">
        <v>437.39590500000003</v>
      </c>
      <c r="K70">
        <v>429.75692700000002</v>
      </c>
      <c r="L70">
        <v>329.15795900000001</v>
      </c>
      <c r="M70">
        <v>328.43335000000002</v>
      </c>
      <c r="N70">
        <v>319.65692100000001</v>
      </c>
      <c r="O70">
        <v>325.364532</v>
      </c>
      <c r="P70">
        <v>325.51889</v>
      </c>
    </row>
    <row r="71" spans="1:16" ht="13.15" x14ac:dyDescent="0.4">
      <c r="A71" s="8">
        <v>22</v>
      </c>
      <c r="B71">
        <v>342.03539999999998</v>
      </c>
      <c r="C71">
        <v>333.03552200000001</v>
      </c>
      <c r="D71">
        <v>342.062408</v>
      </c>
      <c r="E71">
        <v>307.79144300000002</v>
      </c>
      <c r="F71">
        <v>323.47467</v>
      </c>
      <c r="G71">
        <v>325.28268400000002</v>
      </c>
      <c r="H71">
        <v>341.698059</v>
      </c>
      <c r="I71">
        <v>314.35879499999999</v>
      </c>
      <c r="J71">
        <v>340.31366000000003</v>
      </c>
      <c r="K71">
        <v>328.43069500000001</v>
      </c>
      <c r="L71">
        <v>245.34002699999999</v>
      </c>
      <c r="M71">
        <v>246.80877699999999</v>
      </c>
      <c r="N71">
        <v>240.27075199999999</v>
      </c>
      <c r="O71">
        <v>245.6978</v>
      </c>
      <c r="P71">
        <v>243.43611100000001</v>
      </c>
    </row>
    <row r="72" spans="1:16" ht="13.15" x14ac:dyDescent="0.4">
      <c r="A72" s="8">
        <v>23</v>
      </c>
      <c r="B72">
        <v>264.35412600000001</v>
      </c>
      <c r="C72">
        <v>262.24789399999997</v>
      </c>
      <c r="D72">
        <v>264.15115400000002</v>
      </c>
      <c r="E72">
        <v>230.358521</v>
      </c>
      <c r="F72">
        <v>247.10359199999999</v>
      </c>
      <c r="G72">
        <v>250.829971</v>
      </c>
      <c r="H72">
        <v>259.05480999999997</v>
      </c>
      <c r="I72">
        <v>241.896423</v>
      </c>
      <c r="J72">
        <v>262.68289199999998</v>
      </c>
      <c r="K72">
        <v>254.546967</v>
      </c>
      <c r="L72">
        <v>183.41336100000001</v>
      </c>
      <c r="M72">
        <v>181.72022999999999</v>
      </c>
      <c r="N72">
        <v>179.01492300000001</v>
      </c>
      <c r="O72">
        <v>182.598938</v>
      </c>
      <c r="P72">
        <v>179.808762</v>
      </c>
    </row>
    <row r="73" spans="1:16" ht="13.15" x14ac:dyDescent="0.4">
      <c r="A73" s="8">
        <v>24</v>
      </c>
      <c r="B73">
        <v>205.30050700000001</v>
      </c>
      <c r="C73">
        <v>205.51242099999999</v>
      </c>
      <c r="D73">
        <v>204.20573400000001</v>
      </c>
      <c r="E73">
        <v>173.73899800000001</v>
      </c>
      <c r="F73">
        <v>192.250473</v>
      </c>
      <c r="G73">
        <v>191.506699</v>
      </c>
      <c r="H73">
        <v>200.07437100000001</v>
      </c>
      <c r="I73">
        <v>187.72726399999999</v>
      </c>
      <c r="J73">
        <v>201.87503100000001</v>
      </c>
      <c r="K73">
        <v>193.50495900000001</v>
      </c>
      <c r="L73">
        <v>139.63082900000001</v>
      </c>
      <c r="M73">
        <v>137.21371500000001</v>
      </c>
      <c r="N73">
        <v>127.79235799999999</v>
      </c>
      <c r="O73">
        <v>131.83784499999999</v>
      </c>
      <c r="P73">
        <v>132.879211</v>
      </c>
    </row>
    <row r="74" spans="1:16" ht="13.15" x14ac:dyDescent="0.4">
      <c r="A74" s="8">
        <v>25</v>
      </c>
      <c r="B74">
        <v>155.16438299999999</v>
      </c>
      <c r="C74">
        <v>159.84298699999999</v>
      </c>
      <c r="D74">
        <v>155.644623</v>
      </c>
      <c r="E74">
        <v>133.69966099999999</v>
      </c>
      <c r="F74">
        <v>146.392563</v>
      </c>
      <c r="G74">
        <v>146.11840799999999</v>
      </c>
      <c r="H74">
        <v>155.39756800000001</v>
      </c>
      <c r="I74">
        <v>143.148697</v>
      </c>
      <c r="J74">
        <v>157.01391599999999</v>
      </c>
      <c r="K74">
        <v>151.81343100000001</v>
      </c>
      <c r="L74">
        <v>103.934242</v>
      </c>
      <c r="M74">
        <v>103.965782</v>
      </c>
      <c r="N74">
        <v>93.467963999999995</v>
      </c>
      <c r="O74">
        <v>97.644608000000005</v>
      </c>
      <c r="P74">
        <v>95.265251000000006</v>
      </c>
    </row>
    <row r="75" spans="1:16" ht="13.15" x14ac:dyDescent="0.4">
      <c r="A75" s="8">
        <v>26</v>
      </c>
      <c r="B75">
        <v>114.342079</v>
      </c>
      <c r="C75">
        <v>122.604843</v>
      </c>
      <c r="D75">
        <v>117.934151</v>
      </c>
      <c r="E75">
        <v>101.42124200000001</v>
      </c>
      <c r="F75">
        <v>110.235367</v>
      </c>
      <c r="G75">
        <v>107.498558</v>
      </c>
      <c r="H75">
        <v>114.782295</v>
      </c>
      <c r="I75">
        <v>107.62793000000001</v>
      </c>
      <c r="J75">
        <v>118.636635</v>
      </c>
      <c r="K75">
        <v>115.223404</v>
      </c>
      <c r="L75">
        <v>79.676345999999995</v>
      </c>
      <c r="M75">
        <v>77.050781000000001</v>
      </c>
      <c r="N75">
        <v>66.184471000000002</v>
      </c>
      <c r="O75">
        <v>72.792823999999996</v>
      </c>
      <c r="P75">
        <v>70.833754999999996</v>
      </c>
    </row>
    <row r="76" spans="1:16" ht="13.15" x14ac:dyDescent="0.4">
      <c r="A76" s="8">
        <v>27</v>
      </c>
      <c r="B76">
        <v>82.833602999999997</v>
      </c>
      <c r="C76">
        <v>92.744063999999995</v>
      </c>
      <c r="D76">
        <v>90.896454000000006</v>
      </c>
      <c r="E76">
        <v>74.434371999999996</v>
      </c>
      <c r="F76">
        <v>82.544242999999994</v>
      </c>
      <c r="G76">
        <v>84.207206999999997</v>
      </c>
      <c r="H76">
        <v>84.762314000000003</v>
      </c>
      <c r="I76">
        <v>77.435271999999998</v>
      </c>
      <c r="J76">
        <v>87.268897999999993</v>
      </c>
      <c r="K76">
        <v>83.207130000000006</v>
      </c>
      <c r="L76">
        <v>55.812885000000001</v>
      </c>
      <c r="M76">
        <v>59.811107999999997</v>
      </c>
      <c r="N76">
        <v>46.117905</v>
      </c>
      <c r="O76">
        <v>52.699885999999999</v>
      </c>
      <c r="P76">
        <v>54.311737000000001</v>
      </c>
    </row>
    <row r="77" spans="1:16" ht="13.15" x14ac:dyDescent="0.4">
      <c r="A77" s="8">
        <v>28</v>
      </c>
      <c r="B77">
        <v>58.062786000000003</v>
      </c>
      <c r="C77">
        <v>70.085007000000004</v>
      </c>
      <c r="D77">
        <v>70.262428</v>
      </c>
      <c r="E77">
        <v>55.032051000000003</v>
      </c>
      <c r="F77">
        <v>60.497169</v>
      </c>
      <c r="G77">
        <v>64.100989999999996</v>
      </c>
      <c r="H77">
        <v>63.924908000000002</v>
      </c>
      <c r="I77">
        <v>59.319682999999998</v>
      </c>
      <c r="J77">
        <v>62.384995000000004</v>
      </c>
      <c r="K77">
        <v>63.680720999999998</v>
      </c>
      <c r="L77">
        <v>41.41592</v>
      </c>
      <c r="M77">
        <v>46.265652000000003</v>
      </c>
      <c r="N77">
        <v>33.620303999999997</v>
      </c>
      <c r="O77">
        <v>37.542060999999997</v>
      </c>
      <c r="P77">
        <v>37.789721999999998</v>
      </c>
    </row>
    <row r="78" spans="1:16" ht="13.15" x14ac:dyDescent="0.4">
      <c r="A78" s="8">
        <v>29</v>
      </c>
      <c r="B78">
        <v>40.624133999999998</v>
      </c>
      <c r="C78">
        <v>51.114628000000003</v>
      </c>
      <c r="D78">
        <v>52.474471999999999</v>
      </c>
      <c r="E78">
        <v>39.862960999999999</v>
      </c>
      <c r="F78">
        <v>45.857914000000001</v>
      </c>
      <c r="G78">
        <v>45.189208999999998</v>
      </c>
      <c r="H78">
        <v>49.091503000000003</v>
      </c>
      <c r="I78">
        <v>42.269714</v>
      </c>
      <c r="J78">
        <v>45.386837</v>
      </c>
      <c r="K78">
        <v>46.265273999999998</v>
      </c>
      <c r="L78">
        <v>30.174458000000001</v>
      </c>
      <c r="M78">
        <v>32.192450999999998</v>
      </c>
      <c r="N78">
        <v>23.410996999999998</v>
      </c>
      <c r="O78">
        <v>28.729369999999999</v>
      </c>
      <c r="P78">
        <v>27.946816999999999</v>
      </c>
    </row>
    <row r="79" spans="1:16" ht="13.15" x14ac:dyDescent="0.4">
      <c r="A79" s="8">
        <v>30</v>
      </c>
      <c r="B79">
        <v>29.328644000000001</v>
      </c>
      <c r="C79">
        <v>36.886845000000001</v>
      </c>
      <c r="D79">
        <v>37.888348000000001</v>
      </c>
      <c r="E79">
        <v>26.98687</v>
      </c>
      <c r="F79">
        <v>31.747786000000001</v>
      </c>
      <c r="G79">
        <v>33.244926</v>
      </c>
      <c r="H79">
        <v>34.258099000000001</v>
      </c>
      <c r="I79">
        <v>30.192654000000001</v>
      </c>
      <c r="J79">
        <v>33.821078999999997</v>
      </c>
      <c r="K79">
        <v>31.312619999999999</v>
      </c>
      <c r="L79">
        <v>21.496835999999998</v>
      </c>
      <c r="M79">
        <v>24.276274000000001</v>
      </c>
      <c r="N79">
        <v>17.074186000000001</v>
      </c>
      <c r="O79">
        <v>20.092934</v>
      </c>
      <c r="P79">
        <v>17.752379999999999</v>
      </c>
    </row>
    <row r="80" spans="1:16" ht="13.15" x14ac:dyDescent="0.4">
      <c r="A80" s="8">
        <v>38</v>
      </c>
      <c r="B80">
        <v>21.203817000000001</v>
      </c>
      <c r="C80">
        <v>24.415579000000001</v>
      </c>
      <c r="D80">
        <v>28.638608999999999</v>
      </c>
      <c r="E80">
        <v>19.402325000000001</v>
      </c>
      <c r="F80">
        <v>23.28171</v>
      </c>
      <c r="G80">
        <v>24.684854999999999</v>
      </c>
      <c r="H80">
        <v>24.015986999999999</v>
      </c>
      <c r="I80">
        <v>23.621310999999999</v>
      </c>
      <c r="J80">
        <v>24.533424</v>
      </c>
      <c r="K80">
        <v>22.341025999999999</v>
      </c>
      <c r="L80">
        <v>14.396963</v>
      </c>
      <c r="M80">
        <v>17.591502999999999</v>
      </c>
      <c r="N80">
        <v>11.969531999999999</v>
      </c>
      <c r="O80">
        <v>13.924049999999999</v>
      </c>
      <c r="P80">
        <v>11.600566000000001</v>
      </c>
    </row>
    <row r="81" spans="1:32" ht="13.15" x14ac:dyDescent="0.4">
      <c r="A81" s="8">
        <v>50</v>
      </c>
      <c r="B81">
        <v>16.249655000000001</v>
      </c>
      <c r="C81">
        <v>18.092119</v>
      </c>
      <c r="D81">
        <v>21.345547</v>
      </c>
      <c r="E81">
        <v>11.641396</v>
      </c>
      <c r="F81">
        <v>15.344763</v>
      </c>
      <c r="G81">
        <v>17.916428</v>
      </c>
      <c r="H81">
        <v>16.069521000000002</v>
      </c>
      <c r="I81">
        <v>15.806742</v>
      </c>
      <c r="J81">
        <v>18.049590999999999</v>
      </c>
      <c r="K81">
        <v>14.776742</v>
      </c>
      <c r="L81">
        <v>9.6637149999999998</v>
      </c>
      <c r="M81">
        <v>11.082646</v>
      </c>
      <c r="N81">
        <v>9.505217</v>
      </c>
      <c r="O81">
        <v>9.6939589999999995</v>
      </c>
      <c r="P81">
        <v>7.7337100000000003</v>
      </c>
    </row>
    <row r="82" spans="1:32" ht="13.15" x14ac:dyDescent="0.4">
      <c r="A82" s="8">
        <v>70</v>
      </c>
      <c r="B82">
        <v>11.691824</v>
      </c>
      <c r="C82">
        <v>13.876479</v>
      </c>
      <c r="D82">
        <v>16.009160999999999</v>
      </c>
      <c r="E82">
        <v>9.1720089999999992</v>
      </c>
      <c r="F82">
        <v>10.053466</v>
      </c>
      <c r="G82">
        <v>12.143356000000001</v>
      </c>
      <c r="H82">
        <v>11.654818000000001</v>
      </c>
      <c r="I82">
        <v>12.254664999999999</v>
      </c>
      <c r="J82">
        <v>12.266712</v>
      </c>
      <c r="K82">
        <v>8.7956800000000008</v>
      </c>
      <c r="L82">
        <v>6.9026540000000001</v>
      </c>
      <c r="M82">
        <v>7.5643459999999996</v>
      </c>
      <c r="N82">
        <v>7.2169239999999997</v>
      </c>
      <c r="O82">
        <v>6.3451370000000002</v>
      </c>
      <c r="P82">
        <v>4.7456860000000001</v>
      </c>
    </row>
    <row r="85" spans="1:32" ht="13.15" x14ac:dyDescent="0.4">
      <c r="B85" s="8" t="s">
        <v>409</v>
      </c>
    </row>
    <row r="86" spans="1:32" ht="13.5" x14ac:dyDescent="0.35">
      <c r="A86">
        <v>1</v>
      </c>
      <c r="B86" s="258">
        <v>5.0462610000000003</v>
      </c>
      <c r="C86" s="258">
        <v>12580.402344</v>
      </c>
      <c r="D86" s="258">
        <v>11118.528319999999</v>
      </c>
      <c r="E86" s="258">
        <v>9738.8935550000006</v>
      </c>
      <c r="F86" s="258">
        <v>8515.4130860000005</v>
      </c>
      <c r="G86" s="258">
        <v>7446.701172</v>
      </c>
      <c r="H86" s="258">
        <v>6502.4375</v>
      </c>
      <c r="I86" s="258">
        <v>5575.216797</v>
      </c>
      <c r="J86" s="258">
        <v>4739.9448240000002</v>
      </c>
      <c r="K86" s="258">
        <v>3969.0771479999999</v>
      </c>
      <c r="L86" s="258">
        <v>3282.6281739999999</v>
      </c>
      <c r="M86" s="258">
        <v>2692.4882809999999</v>
      </c>
      <c r="N86" s="258">
        <v>2141.3872070000002</v>
      </c>
      <c r="O86" s="258">
        <v>1696.305298</v>
      </c>
      <c r="P86" s="258">
        <v>1323.355957</v>
      </c>
      <c r="Q86" s="258">
        <v>1015.603394</v>
      </c>
      <c r="R86" s="258">
        <v>773.44390899999996</v>
      </c>
      <c r="S86" s="258">
        <v>592.31970200000001</v>
      </c>
      <c r="T86" s="258">
        <v>454.59396400000003</v>
      </c>
      <c r="U86" s="258">
        <v>342.03539999999998</v>
      </c>
      <c r="V86" s="258">
        <v>264.35412600000001</v>
      </c>
      <c r="W86" s="258">
        <v>205.30050700000001</v>
      </c>
      <c r="X86" s="258">
        <v>155.16438299999999</v>
      </c>
      <c r="Y86" s="258">
        <v>114.342079</v>
      </c>
      <c r="Z86" s="258">
        <v>82.833602999999997</v>
      </c>
      <c r="AA86" s="258">
        <v>58.062786000000003</v>
      </c>
      <c r="AB86" s="258">
        <v>40.624133999999998</v>
      </c>
      <c r="AC86" s="258">
        <v>29.328644000000001</v>
      </c>
      <c r="AD86" s="258">
        <v>21.203817000000001</v>
      </c>
      <c r="AE86" s="258">
        <v>16.249655000000001</v>
      </c>
      <c r="AF86" s="258">
        <v>11.691824</v>
      </c>
    </row>
    <row r="87" spans="1:32" ht="13.5" x14ac:dyDescent="0.35">
      <c r="A87">
        <v>2</v>
      </c>
      <c r="B87" s="258">
        <v>5.6930870000000002</v>
      </c>
      <c r="C87" s="258">
        <v>11835.758789</v>
      </c>
      <c r="D87" s="258">
        <v>10489.564453000001</v>
      </c>
      <c r="E87" s="258">
        <v>9220.8330079999996</v>
      </c>
      <c r="F87" s="258">
        <v>8065.3964839999999</v>
      </c>
      <c r="G87" s="258">
        <v>7023.7822269999997</v>
      </c>
      <c r="H87" s="258">
        <v>6107.4077150000003</v>
      </c>
      <c r="I87" s="258">
        <v>5233.8920900000003</v>
      </c>
      <c r="J87" s="258">
        <v>4463.6596680000002</v>
      </c>
      <c r="K87" s="258">
        <v>3752.7973630000001</v>
      </c>
      <c r="L87" s="258">
        <v>3104.2915039999998</v>
      </c>
      <c r="M87" s="258">
        <v>2537.1123050000001</v>
      </c>
      <c r="N87" s="258">
        <v>2029.830322</v>
      </c>
      <c r="O87" s="258">
        <v>1596.848999</v>
      </c>
      <c r="P87" s="258">
        <v>1243.6136469999999</v>
      </c>
      <c r="Q87" s="258">
        <v>958.70666500000004</v>
      </c>
      <c r="R87" s="258">
        <v>735.10211200000003</v>
      </c>
      <c r="S87" s="258">
        <v>562.26092500000004</v>
      </c>
      <c r="T87" s="258">
        <v>431.224762</v>
      </c>
      <c r="U87" s="258">
        <v>333.03552200000001</v>
      </c>
      <c r="V87" s="258">
        <v>262.24789399999997</v>
      </c>
      <c r="W87" s="258">
        <v>205.51242099999999</v>
      </c>
      <c r="X87" s="258">
        <v>159.84298699999999</v>
      </c>
      <c r="Y87" s="258">
        <v>122.604843</v>
      </c>
      <c r="Z87" s="258">
        <v>92.744063999999995</v>
      </c>
      <c r="AA87" s="258">
        <v>70.085007000000004</v>
      </c>
      <c r="AB87" s="258">
        <v>51.114628000000003</v>
      </c>
      <c r="AC87" s="258">
        <v>36.886845000000001</v>
      </c>
      <c r="AD87" s="258">
        <v>24.415579000000001</v>
      </c>
      <c r="AE87" s="258">
        <v>18.092119</v>
      </c>
      <c r="AF87" s="258">
        <v>13.876479</v>
      </c>
    </row>
    <row r="88" spans="1:32" ht="13.5" x14ac:dyDescent="0.35">
      <c r="A88">
        <v>3</v>
      </c>
      <c r="B88" s="258">
        <v>5.6217810000000004</v>
      </c>
      <c r="C88" s="258">
        <v>12467.934569999999</v>
      </c>
      <c r="D88" s="258">
        <v>11059.662109000001</v>
      </c>
      <c r="E88" s="258">
        <v>9703.6855469999991</v>
      </c>
      <c r="F88" s="258">
        <v>8484.8554690000001</v>
      </c>
      <c r="G88" s="258">
        <v>7390.1840819999998</v>
      </c>
      <c r="H88" s="258">
        <v>6408.111328</v>
      </c>
      <c r="I88" s="258">
        <v>5489.185547</v>
      </c>
      <c r="J88" s="258">
        <v>4684.2802730000003</v>
      </c>
      <c r="K88" s="258">
        <v>3914.2397460000002</v>
      </c>
      <c r="L88" s="258">
        <v>3240.076172</v>
      </c>
      <c r="M88" s="258">
        <v>2656.6313479999999</v>
      </c>
      <c r="N88" s="258">
        <v>2116.766846</v>
      </c>
      <c r="O88" s="258">
        <v>1668.510254</v>
      </c>
      <c r="P88" s="258">
        <v>1293.718018</v>
      </c>
      <c r="Q88" s="258">
        <v>1002.884949</v>
      </c>
      <c r="R88" s="258">
        <v>771.28576699999996</v>
      </c>
      <c r="S88" s="258">
        <v>587.00256300000001</v>
      </c>
      <c r="T88" s="258">
        <v>443.45373499999999</v>
      </c>
      <c r="U88" s="258">
        <v>342.062408</v>
      </c>
      <c r="V88" s="258">
        <v>264.15115400000002</v>
      </c>
      <c r="W88" s="258">
        <v>204.20573400000001</v>
      </c>
      <c r="X88" s="258">
        <v>155.644623</v>
      </c>
      <c r="Y88" s="258">
        <v>117.934151</v>
      </c>
      <c r="Z88" s="258">
        <v>90.896454000000006</v>
      </c>
      <c r="AA88" s="258">
        <v>70.262428</v>
      </c>
      <c r="AB88" s="258">
        <v>52.474471999999999</v>
      </c>
      <c r="AC88" s="258">
        <v>37.888348000000001</v>
      </c>
      <c r="AD88" s="258">
        <v>28.638608999999999</v>
      </c>
      <c r="AE88" s="258">
        <v>21.345547</v>
      </c>
      <c r="AF88" s="258">
        <v>16.009160999999999</v>
      </c>
    </row>
    <row r="89" spans="1:32" ht="13.5" x14ac:dyDescent="0.35">
      <c r="A89">
        <v>4</v>
      </c>
      <c r="B89" s="258">
        <v>5.6694240000000002</v>
      </c>
      <c r="C89" s="258">
        <v>12081.651367</v>
      </c>
      <c r="D89" s="258">
        <v>10677.628906</v>
      </c>
      <c r="E89" s="258">
        <v>9350.8623050000006</v>
      </c>
      <c r="F89" s="258">
        <v>8144.5668949999999</v>
      </c>
      <c r="G89" s="258">
        <v>7073.2060549999997</v>
      </c>
      <c r="H89" s="258">
        <v>6140.8359380000002</v>
      </c>
      <c r="I89" s="258">
        <v>5234.0419920000004</v>
      </c>
      <c r="J89" s="258">
        <v>4449.6586909999996</v>
      </c>
      <c r="K89" s="258">
        <v>3732.6545409999999</v>
      </c>
      <c r="L89" s="258">
        <v>3093.7890619999998</v>
      </c>
      <c r="M89" s="258">
        <v>2519.6564939999998</v>
      </c>
      <c r="N89" s="258">
        <v>1997.5576169999999</v>
      </c>
      <c r="O89" s="258">
        <v>1559.946899</v>
      </c>
      <c r="P89" s="258">
        <v>1199.063721</v>
      </c>
      <c r="Q89" s="258">
        <v>915.08422900000005</v>
      </c>
      <c r="R89" s="258">
        <v>696.54345699999999</v>
      </c>
      <c r="S89" s="258">
        <v>526.50854500000003</v>
      </c>
      <c r="T89" s="258">
        <v>400.21704099999999</v>
      </c>
      <c r="U89" s="258">
        <v>307.79144300000002</v>
      </c>
      <c r="V89" s="258">
        <v>230.358521</v>
      </c>
      <c r="W89" s="258">
        <v>173.73899800000001</v>
      </c>
      <c r="X89" s="258">
        <v>133.69966099999999</v>
      </c>
      <c r="Y89" s="258">
        <v>101.42124200000001</v>
      </c>
      <c r="Z89" s="258">
        <v>74.434371999999996</v>
      </c>
      <c r="AA89" s="258">
        <v>55.032051000000003</v>
      </c>
      <c r="AB89" s="258">
        <v>39.862960999999999</v>
      </c>
      <c r="AC89" s="258">
        <v>26.98687</v>
      </c>
      <c r="AD89" s="258">
        <v>19.402325000000001</v>
      </c>
      <c r="AE89" s="258">
        <v>11.641396</v>
      </c>
      <c r="AF89" s="258">
        <v>9.1720089999999992</v>
      </c>
    </row>
    <row r="90" spans="1:32" ht="13.5" x14ac:dyDescent="0.35">
      <c r="A90">
        <v>5</v>
      </c>
      <c r="B90" s="258">
        <v>5.6696869999999997</v>
      </c>
      <c r="C90" s="258">
        <v>12443.544921999999</v>
      </c>
      <c r="D90" s="258">
        <v>10988.084961</v>
      </c>
      <c r="E90" s="258">
        <v>9615.1699219999991</v>
      </c>
      <c r="F90" s="258">
        <v>8390.7636719999991</v>
      </c>
      <c r="G90" s="258">
        <v>7291.9370120000003</v>
      </c>
      <c r="H90" s="258">
        <v>6310.2250979999999</v>
      </c>
      <c r="I90" s="258">
        <v>5412.4682620000003</v>
      </c>
      <c r="J90" s="258">
        <v>4614.1879879999997</v>
      </c>
      <c r="K90" s="258">
        <v>3840.9528810000002</v>
      </c>
      <c r="L90" s="258">
        <v>3177.9533689999998</v>
      </c>
      <c r="M90" s="258">
        <v>2582.858643</v>
      </c>
      <c r="N90" s="258">
        <v>2056.7272950000001</v>
      </c>
      <c r="O90" s="258">
        <v>1621.7827150000001</v>
      </c>
      <c r="P90" s="258">
        <v>1251.744629</v>
      </c>
      <c r="Q90" s="258">
        <v>961.25238000000002</v>
      </c>
      <c r="R90" s="258">
        <v>739.37066700000003</v>
      </c>
      <c r="S90" s="258">
        <v>560.17205799999999</v>
      </c>
      <c r="T90" s="258">
        <v>425.59670999999997</v>
      </c>
      <c r="U90" s="258">
        <v>323.47467</v>
      </c>
      <c r="V90" s="258">
        <v>247.10359199999999</v>
      </c>
      <c r="W90" s="258">
        <v>192.250473</v>
      </c>
      <c r="X90" s="258">
        <v>146.392563</v>
      </c>
      <c r="Y90" s="258">
        <v>110.235367</v>
      </c>
      <c r="Z90" s="258">
        <v>82.544242999999994</v>
      </c>
      <c r="AA90" s="258">
        <v>60.497169</v>
      </c>
      <c r="AB90" s="258">
        <v>45.857914000000001</v>
      </c>
      <c r="AC90" s="258">
        <v>31.747786000000001</v>
      </c>
      <c r="AD90" s="258">
        <v>23.28171</v>
      </c>
      <c r="AE90" s="258">
        <v>15.344763</v>
      </c>
      <c r="AF90" s="258">
        <v>10.053466</v>
      </c>
    </row>
    <row r="91" spans="1:32" ht="13.5" x14ac:dyDescent="0.35">
      <c r="A91">
        <v>1</v>
      </c>
      <c r="B91" s="258">
        <v>5.0233230000000004</v>
      </c>
      <c r="C91" s="258">
        <v>12360.742188</v>
      </c>
      <c r="D91" s="258">
        <v>10908.714844</v>
      </c>
      <c r="E91" s="258">
        <v>9542.0898440000001</v>
      </c>
      <c r="F91" s="258">
        <v>8313.2216800000006</v>
      </c>
      <c r="G91" s="258">
        <v>7216.9360349999997</v>
      </c>
      <c r="H91" s="258">
        <v>6247.8559569999998</v>
      </c>
      <c r="I91" s="258">
        <v>5331.3315430000002</v>
      </c>
      <c r="J91" s="258">
        <v>4531.064453</v>
      </c>
      <c r="K91" s="258">
        <v>3783.9494629999999</v>
      </c>
      <c r="L91" s="258">
        <v>3139.5551759999998</v>
      </c>
      <c r="M91" s="258">
        <v>2550.1047359999998</v>
      </c>
      <c r="N91" s="258">
        <v>2011.4174800000001</v>
      </c>
      <c r="O91" s="258">
        <v>1580.626953</v>
      </c>
      <c r="P91" s="258">
        <v>1218.1179199999999</v>
      </c>
      <c r="Q91" s="258">
        <v>938.02447500000005</v>
      </c>
      <c r="R91" s="258">
        <v>718.64776600000005</v>
      </c>
      <c r="S91" s="258">
        <v>554.81201199999998</v>
      </c>
      <c r="T91" s="258">
        <v>428.40167200000002</v>
      </c>
      <c r="U91" s="258">
        <v>325.28268400000002</v>
      </c>
      <c r="V91" s="258">
        <v>250.829971</v>
      </c>
      <c r="W91" s="258">
        <v>191.506699</v>
      </c>
      <c r="X91" s="258">
        <v>146.11840799999999</v>
      </c>
      <c r="Y91" s="258">
        <v>107.498558</v>
      </c>
      <c r="Z91" s="258">
        <v>84.207206999999997</v>
      </c>
      <c r="AA91" s="258">
        <v>64.100989999999996</v>
      </c>
      <c r="AB91" s="258">
        <v>45.189208999999998</v>
      </c>
      <c r="AC91" s="258">
        <v>33.244926</v>
      </c>
      <c r="AD91" s="258">
        <v>24.684854999999999</v>
      </c>
      <c r="AE91" s="258">
        <v>17.916428</v>
      </c>
      <c r="AF91" s="258">
        <v>12.143356000000001</v>
      </c>
    </row>
    <row r="92" spans="1:32" ht="13.5" x14ac:dyDescent="0.35">
      <c r="A92">
        <v>2</v>
      </c>
      <c r="B92" s="258">
        <v>5.6628939999999997</v>
      </c>
      <c r="C92" s="258">
        <v>12372.648438</v>
      </c>
      <c r="D92" s="258">
        <v>10908.026367</v>
      </c>
      <c r="E92" s="258">
        <v>9550.0634769999997</v>
      </c>
      <c r="F92" s="258">
        <v>8351.5595699999994</v>
      </c>
      <c r="G92" s="258">
        <v>7269.7807620000003</v>
      </c>
      <c r="H92" s="258">
        <v>6300.841797</v>
      </c>
      <c r="I92" s="258">
        <v>5390.1767579999996</v>
      </c>
      <c r="J92" s="258">
        <v>4589.1728519999997</v>
      </c>
      <c r="K92" s="258">
        <v>3840.4389649999998</v>
      </c>
      <c r="L92" s="258">
        <v>3176.8208009999998</v>
      </c>
      <c r="M92" s="258">
        <v>2588.2524410000001</v>
      </c>
      <c r="N92" s="258">
        <v>2066.9643550000001</v>
      </c>
      <c r="O92" s="258">
        <v>1629.7320560000001</v>
      </c>
      <c r="P92" s="258">
        <v>1255.5417480000001</v>
      </c>
      <c r="Q92" s="258">
        <v>959.93316700000003</v>
      </c>
      <c r="R92" s="258">
        <v>729.30902100000003</v>
      </c>
      <c r="S92" s="258">
        <v>556.95898399999999</v>
      </c>
      <c r="T92" s="258">
        <v>430.52191199999999</v>
      </c>
      <c r="U92" s="258">
        <v>341.698059</v>
      </c>
      <c r="V92" s="258">
        <v>259.05480999999997</v>
      </c>
      <c r="W92" s="258">
        <v>200.07437100000001</v>
      </c>
      <c r="X92" s="258">
        <v>155.39756800000001</v>
      </c>
      <c r="Y92" s="258">
        <v>114.782295</v>
      </c>
      <c r="Z92" s="258">
        <v>84.762314000000003</v>
      </c>
      <c r="AA92" s="258">
        <v>63.924908000000002</v>
      </c>
      <c r="AB92" s="258">
        <v>49.091503000000003</v>
      </c>
      <c r="AC92" s="258">
        <v>34.258099000000001</v>
      </c>
      <c r="AD92" s="258">
        <v>24.015986999999999</v>
      </c>
      <c r="AE92" s="258">
        <v>16.069521000000002</v>
      </c>
      <c r="AF92" s="258">
        <v>11.654818000000001</v>
      </c>
    </row>
    <row r="93" spans="1:32" ht="13.5" x14ac:dyDescent="0.35">
      <c r="A93">
        <v>3</v>
      </c>
      <c r="B93" s="258">
        <v>5.630509</v>
      </c>
      <c r="C93" s="258">
        <v>12222.518555000001</v>
      </c>
      <c r="D93" s="258">
        <v>10773.803711</v>
      </c>
      <c r="E93" s="258">
        <v>9413.5361329999996</v>
      </c>
      <c r="F93" s="258">
        <v>8224.1230469999991</v>
      </c>
      <c r="G93" s="258">
        <v>7165.4267579999996</v>
      </c>
      <c r="H93" s="258">
        <v>6231.408203</v>
      </c>
      <c r="I93" s="258">
        <v>5314.2622069999998</v>
      </c>
      <c r="J93" s="258">
        <v>4515.7553710000002</v>
      </c>
      <c r="K93" s="258">
        <v>3779.2321780000002</v>
      </c>
      <c r="L93" s="258">
        <v>3128.1364749999998</v>
      </c>
      <c r="M93" s="258">
        <v>2553.4104000000002</v>
      </c>
      <c r="N93" s="258">
        <v>2033.20874</v>
      </c>
      <c r="O93" s="258">
        <v>1597.3688959999999</v>
      </c>
      <c r="P93" s="258">
        <v>1248.022217</v>
      </c>
      <c r="Q93" s="258">
        <v>966.520081</v>
      </c>
      <c r="R93" s="258">
        <v>738.83196999999996</v>
      </c>
      <c r="S93" s="258">
        <v>554.30157499999996</v>
      </c>
      <c r="T93" s="258">
        <v>416.303406</v>
      </c>
      <c r="U93" s="258">
        <v>314.35879499999999</v>
      </c>
      <c r="V93" s="258">
        <v>241.896423</v>
      </c>
      <c r="W93" s="258">
        <v>187.72726399999999</v>
      </c>
      <c r="X93" s="258">
        <v>143.148697</v>
      </c>
      <c r="Y93" s="258">
        <v>107.62793000000001</v>
      </c>
      <c r="Z93" s="258">
        <v>77.435271999999998</v>
      </c>
      <c r="AA93" s="258">
        <v>59.319682999999998</v>
      </c>
      <c r="AB93" s="258">
        <v>42.269714</v>
      </c>
      <c r="AC93" s="258">
        <v>30.192654000000001</v>
      </c>
      <c r="AD93" s="258">
        <v>23.621310999999999</v>
      </c>
      <c r="AE93" s="258">
        <v>15.806742</v>
      </c>
      <c r="AF93" s="258">
        <v>12.254664999999999</v>
      </c>
    </row>
    <row r="94" spans="1:32" ht="13.5" x14ac:dyDescent="0.35">
      <c r="A94">
        <v>4</v>
      </c>
      <c r="B94" s="258">
        <v>5.7065010000000003</v>
      </c>
      <c r="C94" s="258">
        <v>11912.204102</v>
      </c>
      <c r="D94" s="258">
        <v>10552.702148</v>
      </c>
      <c r="E94" s="258">
        <v>9244.7197269999997</v>
      </c>
      <c r="F94" s="258">
        <v>8068.1669920000004</v>
      </c>
      <c r="G94" s="258">
        <v>7037.9384769999997</v>
      </c>
      <c r="H94" s="258">
        <v>6124.5942379999997</v>
      </c>
      <c r="I94" s="258">
        <v>5252.0805659999996</v>
      </c>
      <c r="J94" s="258">
        <v>4483.6586909999996</v>
      </c>
      <c r="K94" s="258">
        <v>3745.9035640000002</v>
      </c>
      <c r="L94" s="258">
        <v>3119.0744629999999</v>
      </c>
      <c r="M94" s="258">
        <v>2542.1884770000001</v>
      </c>
      <c r="N94" s="258">
        <v>2026.6361079999999</v>
      </c>
      <c r="O94" s="258">
        <v>1599.0535890000001</v>
      </c>
      <c r="P94" s="258">
        <v>1233.6807859999999</v>
      </c>
      <c r="Q94" s="258">
        <v>948.74255400000004</v>
      </c>
      <c r="R94" s="258">
        <v>736.35320999999999</v>
      </c>
      <c r="S94" s="258">
        <v>565.32019000000003</v>
      </c>
      <c r="T94" s="258">
        <v>437.39590500000003</v>
      </c>
      <c r="U94" s="258">
        <v>340.31366000000003</v>
      </c>
      <c r="V94" s="258">
        <v>262.68289199999998</v>
      </c>
      <c r="W94" s="258">
        <v>201.87503100000001</v>
      </c>
      <c r="X94" s="258">
        <v>157.01391599999999</v>
      </c>
      <c r="Y94" s="258">
        <v>118.636635</v>
      </c>
      <c r="Z94" s="258">
        <v>87.268897999999993</v>
      </c>
      <c r="AA94" s="258">
        <v>62.384995000000004</v>
      </c>
      <c r="AB94" s="258">
        <v>45.386837</v>
      </c>
      <c r="AC94" s="258">
        <v>33.821078999999997</v>
      </c>
      <c r="AD94" s="258">
        <v>24.533424</v>
      </c>
      <c r="AE94" s="258">
        <v>18.049590999999999</v>
      </c>
      <c r="AF94" s="258">
        <v>12.266712</v>
      </c>
    </row>
    <row r="95" spans="1:32" ht="13.5" x14ac:dyDescent="0.35">
      <c r="A95">
        <v>5</v>
      </c>
      <c r="B95" s="258">
        <v>5.684609</v>
      </c>
      <c r="C95" s="258">
        <v>11836.522461</v>
      </c>
      <c r="D95" s="258">
        <v>10491.487305000001</v>
      </c>
      <c r="E95" s="258">
        <v>9214.8818360000005</v>
      </c>
      <c r="F95" s="258">
        <v>8064.0551759999998</v>
      </c>
      <c r="G95" s="258">
        <v>7035.4882809999999</v>
      </c>
      <c r="H95" s="258">
        <v>6122.4965819999998</v>
      </c>
      <c r="I95" s="258">
        <v>5259.4648440000001</v>
      </c>
      <c r="J95" s="258">
        <v>4483.8618159999996</v>
      </c>
      <c r="K95" s="258">
        <v>3755.0515140000002</v>
      </c>
      <c r="L95" s="258">
        <v>3110.8559570000002</v>
      </c>
      <c r="M95" s="258">
        <v>2546.1733399999998</v>
      </c>
      <c r="N95" s="258">
        <v>2025.1173100000001</v>
      </c>
      <c r="O95" s="258">
        <v>1595.5363769999999</v>
      </c>
      <c r="P95" s="258">
        <v>1238.2558590000001</v>
      </c>
      <c r="Q95" s="258">
        <v>959.08093299999996</v>
      </c>
      <c r="R95" s="258">
        <v>732.32830799999999</v>
      </c>
      <c r="S95" s="258">
        <v>562.21984899999995</v>
      </c>
      <c r="T95" s="258">
        <v>429.75692700000002</v>
      </c>
      <c r="U95" s="258">
        <v>328.43069500000001</v>
      </c>
      <c r="V95" s="258">
        <v>254.546967</v>
      </c>
      <c r="W95" s="258">
        <v>193.50495900000001</v>
      </c>
      <c r="X95" s="258">
        <v>151.81343100000001</v>
      </c>
      <c r="Y95" s="258">
        <v>115.223404</v>
      </c>
      <c r="Z95" s="258">
        <v>83.207130000000006</v>
      </c>
      <c r="AA95" s="258">
        <v>63.680720999999998</v>
      </c>
      <c r="AB95" s="258">
        <v>46.265273999999998</v>
      </c>
      <c r="AC95" s="258">
        <v>31.312619999999999</v>
      </c>
      <c r="AD95" s="258">
        <v>22.341025999999999</v>
      </c>
      <c r="AE95" s="258">
        <v>14.776742</v>
      </c>
      <c r="AF95" s="258">
        <v>8.7956800000000008</v>
      </c>
    </row>
    <row r="96" spans="1:32" ht="13.5" x14ac:dyDescent="0.35">
      <c r="A96">
        <v>1</v>
      </c>
      <c r="B96" s="258">
        <v>5.0705140000000002</v>
      </c>
      <c r="C96" s="258">
        <v>12126.1875</v>
      </c>
      <c r="D96" s="258">
        <v>10708.776367</v>
      </c>
      <c r="E96" s="258">
        <v>9376.7617190000001</v>
      </c>
      <c r="F96" s="258">
        <v>8122.2539059999999</v>
      </c>
      <c r="G96" s="258">
        <v>7014.8710940000001</v>
      </c>
      <c r="H96" s="258">
        <v>6049.8798829999996</v>
      </c>
      <c r="I96" s="258">
        <v>5144.4492190000001</v>
      </c>
      <c r="J96" s="258">
        <v>4355.1801759999998</v>
      </c>
      <c r="K96" s="258">
        <v>3611.0739749999998</v>
      </c>
      <c r="L96" s="258">
        <v>2962.2246089999999</v>
      </c>
      <c r="M96" s="258">
        <v>2376.0905760000001</v>
      </c>
      <c r="N96" s="258">
        <v>1882.255005</v>
      </c>
      <c r="O96" s="258">
        <v>1459.615356</v>
      </c>
      <c r="P96" s="258">
        <v>1091.9997559999999</v>
      </c>
      <c r="Q96" s="258">
        <v>813.724243</v>
      </c>
      <c r="R96" s="258">
        <v>593.82543899999996</v>
      </c>
      <c r="S96" s="258">
        <v>438.41711400000003</v>
      </c>
      <c r="T96" s="258">
        <v>329.15795900000001</v>
      </c>
      <c r="U96" s="258">
        <v>245.34002699999999</v>
      </c>
      <c r="V96" s="258">
        <v>183.41336100000001</v>
      </c>
      <c r="W96" s="258">
        <v>139.63082900000001</v>
      </c>
      <c r="X96" s="258">
        <v>103.934242</v>
      </c>
      <c r="Y96" s="258">
        <v>79.676345999999995</v>
      </c>
      <c r="Z96" s="258">
        <v>55.812885000000001</v>
      </c>
      <c r="AA96" s="258">
        <v>41.41592</v>
      </c>
      <c r="AB96" s="258">
        <v>30.174458000000001</v>
      </c>
      <c r="AC96" s="258">
        <v>21.496835999999998</v>
      </c>
      <c r="AD96" s="258">
        <v>14.396963</v>
      </c>
      <c r="AE96" s="258">
        <v>9.6637149999999998</v>
      </c>
      <c r="AF96" s="258">
        <v>6.9026540000000001</v>
      </c>
    </row>
    <row r="97" spans="1:32" ht="13.5" x14ac:dyDescent="0.35">
      <c r="A97">
        <v>2</v>
      </c>
      <c r="B97" s="258">
        <v>5.6845629999999998</v>
      </c>
      <c r="C97" s="258">
        <v>11685.859375</v>
      </c>
      <c r="D97" s="258">
        <v>10304.046875</v>
      </c>
      <c r="E97" s="258">
        <v>8972.3701170000004</v>
      </c>
      <c r="F97" s="258">
        <v>7780.7216799999997</v>
      </c>
      <c r="G97" s="258">
        <v>6735.0825199999999</v>
      </c>
      <c r="H97" s="258">
        <v>5806.2514650000003</v>
      </c>
      <c r="I97" s="258">
        <v>4946.7304690000001</v>
      </c>
      <c r="J97" s="258">
        <v>4179.3891599999997</v>
      </c>
      <c r="K97" s="258">
        <v>3469.5720209999999</v>
      </c>
      <c r="L97" s="258">
        <v>2858.2673340000001</v>
      </c>
      <c r="M97" s="258">
        <v>2303.783203</v>
      </c>
      <c r="N97" s="258">
        <v>1814.915283</v>
      </c>
      <c r="O97" s="258">
        <v>1405.0333250000001</v>
      </c>
      <c r="P97" s="258">
        <v>1072.378052</v>
      </c>
      <c r="Q97" s="258">
        <v>803.228027</v>
      </c>
      <c r="R97" s="258">
        <v>601.62939500000005</v>
      </c>
      <c r="S97" s="258">
        <v>443.12994400000002</v>
      </c>
      <c r="T97" s="258">
        <v>328.43335000000002</v>
      </c>
      <c r="U97" s="258">
        <v>246.80877699999999</v>
      </c>
      <c r="V97" s="258">
        <v>181.72022999999999</v>
      </c>
      <c r="W97" s="258">
        <v>137.21371500000001</v>
      </c>
      <c r="X97" s="258">
        <v>103.965782</v>
      </c>
      <c r="Y97" s="258">
        <v>77.050781000000001</v>
      </c>
      <c r="Z97" s="258">
        <v>59.811107999999997</v>
      </c>
      <c r="AA97" s="258">
        <v>46.265652000000003</v>
      </c>
      <c r="AB97" s="258">
        <v>32.192450999999998</v>
      </c>
      <c r="AC97" s="258">
        <v>24.276274000000001</v>
      </c>
      <c r="AD97" s="258">
        <v>17.591502999999999</v>
      </c>
      <c r="AE97" s="258">
        <v>11.082646</v>
      </c>
      <c r="AF97" s="258">
        <v>7.5643459999999996</v>
      </c>
    </row>
    <row r="98" spans="1:32" ht="13.5" x14ac:dyDescent="0.35">
      <c r="A98">
        <v>3</v>
      </c>
      <c r="B98" s="258">
        <v>5.6810910000000003</v>
      </c>
      <c r="C98" s="258">
        <v>11615.375</v>
      </c>
      <c r="D98" s="258">
        <v>10269.154296999999</v>
      </c>
      <c r="E98" s="258">
        <v>8970.6367190000001</v>
      </c>
      <c r="F98" s="258">
        <v>7822.2651370000003</v>
      </c>
      <c r="G98" s="258">
        <v>6775.8115230000003</v>
      </c>
      <c r="H98" s="258">
        <v>5860.8461909999996</v>
      </c>
      <c r="I98" s="258">
        <v>4975.8051759999998</v>
      </c>
      <c r="J98" s="258">
        <v>4207.642578</v>
      </c>
      <c r="K98" s="258">
        <v>3498.095703</v>
      </c>
      <c r="L98" s="258">
        <v>2864.9428710000002</v>
      </c>
      <c r="M98" s="258">
        <v>2299.9104000000002</v>
      </c>
      <c r="N98" s="258">
        <v>1786.9807129999999</v>
      </c>
      <c r="O98" s="258">
        <v>1391.2821039999999</v>
      </c>
      <c r="P98" s="258">
        <v>1049.0942379999999</v>
      </c>
      <c r="Q98" s="258">
        <v>783.47631799999999</v>
      </c>
      <c r="R98" s="258">
        <v>590.20355199999995</v>
      </c>
      <c r="S98" s="258">
        <v>440.93643200000002</v>
      </c>
      <c r="T98" s="258">
        <v>319.65692100000001</v>
      </c>
      <c r="U98" s="258">
        <v>240.27075199999999</v>
      </c>
      <c r="V98" s="258">
        <v>179.01492300000001</v>
      </c>
      <c r="W98" s="258">
        <v>127.79235799999999</v>
      </c>
      <c r="X98" s="258">
        <v>93.467963999999995</v>
      </c>
      <c r="Y98" s="258">
        <v>66.184471000000002</v>
      </c>
      <c r="Z98" s="258">
        <v>46.117905</v>
      </c>
      <c r="AA98" s="258">
        <v>33.620303999999997</v>
      </c>
      <c r="AB98" s="258">
        <v>23.410996999999998</v>
      </c>
      <c r="AC98" s="258">
        <v>17.074186000000001</v>
      </c>
      <c r="AD98" s="258">
        <v>11.969531999999999</v>
      </c>
      <c r="AE98" s="258">
        <v>9.505217</v>
      </c>
      <c r="AF98" s="258">
        <v>7.2169239999999997</v>
      </c>
    </row>
    <row r="99" spans="1:32" ht="13.5" x14ac:dyDescent="0.35">
      <c r="A99">
        <v>4</v>
      </c>
      <c r="B99" s="258">
        <v>5.6736360000000001</v>
      </c>
      <c r="C99" s="258">
        <v>11984.553711</v>
      </c>
      <c r="D99" s="258">
        <v>10570.292969</v>
      </c>
      <c r="E99" s="258">
        <v>9225.3007809999999</v>
      </c>
      <c r="F99" s="258">
        <v>7992.0522460000002</v>
      </c>
      <c r="G99" s="258">
        <v>6907.5629879999997</v>
      </c>
      <c r="H99" s="258">
        <v>5963.5473629999997</v>
      </c>
      <c r="I99" s="258">
        <v>5068.7070309999999</v>
      </c>
      <c r="J99" s="258">
        <v>4279.794922</v>
      </c>
      <c r="K99" s="258">
        <v>3561.0317380000001</v>
      </c>
      <c r="L99" s="258">
        <v>2915.4140619999998</v>
      </c>
      <c r="M99" s="258">
        <v>2351.7543949999999</v>
      </c>
      <c r="N99" s="258">
        <v>1845.5535890000001</v>
      </c>
      <c r="O99" s="258">
        <v>1425.3645019999999</v>
      </c>
      <c r="P99" s="258">
        <v>1073.209351</v>
      </c>
      <c r="Q99" s="258">
        <v>798.07720900000004</v>
      </c>
      <c r="R99" s="258">
        <v>591.50775099999998</v>
      </c>
      <c r="S99" s="258">
        <v>438.16696200000001</v>
      </c>
      <c r="T99" s="258">
        <v>325.364532</v>
      </c>
      <c r="U99" s="258">
        <v>245.6978</v>
      </c>
      <c r="V99" s="258">
        <v>182.598938</v>
      </c>
      <c r="W99" s="258">
        <v>131.83784499999999</v>
      </c>
      <c r="X99" s="258">
        <v>97.644608000000005</v>
      </c>
      <c r="Y99" s="258">
        <v>72.792823999999996</v>
      </c>
      <c r="Z99" s="258">
        <v>52.699885999999999</v>
      </c>
      <c r="AA99" s="258">
        <v>37.542060999999997</v>
      </c>
      <c r="AB99" s="258">
        <v>28.729369999999999</v>
      </c>
      <c r="AC99" s="258">
        <v>20.092934</v>
      </c>
      <c r="AD99" s="258">
        <v>13.924049999999999</v>
      </c>
      <c r="AE99" s="258">
        <v>9.6939589999999995</v>
      </c>
      <c r="AF99" s="258">
        <v>6.3451370000000002</v>
      </c>
    </row>
    <row r="100" spans="1:32" ht="13.5" x14ac:dyDescent="0.35">
      <c r="A100">
        <v>5</v>
      </c>
      <c r="B100" s="258">
        <v>5.6893779999999996</v>
      </c>
      <c r="C100" s="258">
        <v>11872.299805000001</v>
      </c>
      <c r="D100" s="258">
        <v>10495.875</v>
      </c>
      <c r="E100" s="258">
        <v>9170.4228519999997</v>
      </c>
      <c r="F100" s="258">
        <v>7966.2490230000003</v>
      </c>
      <c r="G100" s="258">
        <v>6905.5004879999997</v>
      </c>
      <c r="H100" s="258">
        <v>5980.6186520000001</v>
      </c>
      <c r="I100" s="258">
        <v>5086.4965819999998</v>
      </c>
      <c r="J100" s="258">
        <v>4307.1494140000004</v>
      </c>
      <c r="K100" s="258">
        <v>3576.4895019999999</v>
      </c>
      <c r="L100" s="258">
        <v>2928.4396969999998</v>
      </c>
      <c r="M100" s="258">
        <v>2348.938721</v>
      </c>
      <c r="N100" s="258">
        <v>1846.9506839999999</v>
      </c>
      <c r="O100" s="258">
        <v>1431.0878909999999</v>
      </c>
      <c r="P100" s="258">
        <v>1069.1854249999999</v>
      </c>
      <c r="Q100" s="258">
        <v>794.46295199999997</v>
      </c>
      <c r="R100" s="258">
        <v>593.73803699999996</v>
      </c>
      <c r="S100" s="258">
        <v>443.633759</v>
      </c>
      <c r="T100" s="258">
        <v>325.51889</v>
      </c>
      <c r="U100" s="258">
        <v>243.43611100000001</v>
      </c>
      <c r="V100" s="258">
        <v>179.808762</v>
      </c>
      <c r="W100" s="258">
        <v>132.879211</v>
      </c>
      <c r="X100" s="258">
        <v>95.265251000000006</v>
      </c>
      <c r="Y100" s="258">
        <v>70.833754999999996</v>
      </c>
      <c r="Z100" s="258">
        <v>54.311737000000001</v>
      </c>
      <c r="AA100" s="258">
        <v>37.789721999999998</v>
      </c>
      <c r="AB100" s="258">
        <v>27.946816999999999</v>
      </c>
      <c r="AC100" s="258">
        <v>17.752379999999999</v>
      </c>
      <c r="AD100" s="258">
        <v>11.600566000000001</v>
      </c>
      <c r="AE100" s="258">
        <v>7.7337100000000003</v>
      </c>
      <c r="AF100" s="258">
        <v>4.7456860000000001</v>
      </c>
    </row>
  </sheetData>
  <mergeCells count="1">
    <mergeCell ref="A2:E2"/>
  </mergeCells>
  <phoneticPr fontId="40" type="noConversion"/>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25"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181</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377</v>
      </c>
      <c r="M7" s="65" t="s">
        <v>137</v>
      </c>
      <c r="O7" s="65" t="s">
        <v>39</v>
      </c>
      <c r="P7" s="65" t="s">
        <v>40</v>
      </c>
      <c r="Q7" s="65" t="s">
        <v>42</v>
      </c>
      <c r="R7" s="65" t="s">
        <v>43</v>
      </c>
      <c r="S7" s="65" t="s">
        <v>45</v>
      </c>
    </row>
    <row r="8" spans="1:49" ht="13.15" x14ac:dyDescent="0.4">
      <c r="A8" s="68" t="s">
        <v>138</v>
      </c>
      <c r="B8" s="46">
        <f>G52</f>
        <v>5.0233230000000004</v>
      </c>
      <c r="C8" s="46">
        <f>H52</f>
        <v>5.6628939999999997</v>
      </c>
      <c r="D8" s="46">
        <f>I52</f>
        <v>5.630509</v>
      </c>
      <c r="E8" s="46">
        <f>J52</f>
        <v>5.7065010000000003</v>
      </c>
      <c r="F8" s="46">
        <f>K52</f>
        <v>5.684609</v>
      </c>
      <c r="G8" s="78">
        <f>AVERAGE(B$8:F$8)*5</f>
        <v>27.707836</v>
      </c>
      <c r="I8" s="79"/>
      <c r="K8" s="79"/>
    </row>
    <row r="9" spans="1:49" ht="13.15" x14ac:dyDescent="0.4">
      <c r="A9" s="68" t="s">
        <v>139</v>
      </c>
      <c r="B9" s="42">
        <f>G53</f>
        <v>12360.742188</v>
      </c>
      <c r="C9" s="42">
        <f t="shared" ref="C9:F9" si="0">H53</f>
        <v>12372.648438</v>
      </c>
      <c r="D9" s="42">
        <f t="shared" si="0"/>
        <v>12222.518555000001</v>
      </c>
      <c r="E9" s="42">
        <f t="shared" si="0"/>
        <v>11912.204102</v>
      </c>
      <c r="F9" s="42">
        <f t="shared" si="0"/>
        <v>11836.522461</v>
      </c>
      <c r="G9" s="80">
        <f t="shared" ref="G9:G38" si="1">AVERAGE(B9:F9)</f>
        <v>12140.927148799999</v>
      </c>
      <c r="H9" s="81">
        <f t="shared" ref="H9:H38" si="2">G9*G$8</f>
        <v>336398.81832689798</v>
      </c>
      <c r="I9" s="79">
        <f t="shared" ref="I9:I38" si="3">STDEVP(B9:F9)/AVERAGE(B9:F9)</f>
        <v>1.8551456789990494E-2</v>
      </c>
      <c r="J9" s="79">
        <f t="shared" ref="J9:J38" si="4">IF(H9&gt;$A$43, $C$43, IF(H9&gt;$A$44, $C$44, IF(H9&gt;$A$45,$C$45,IF(H9&gt;$A$46,$C$46, IF(H9&gt;$A$47,$C$47,IF(H9&gt;$A$48,$C$48,$C$49))))))/100</f>
        <v>0.11</v>
      </c>
      <c r="K9" s="79">
        <f t="shared" ref="K9:K38" si="5">(MAX(B9:F9)-MIN(B9:F9))/G9</f>
        <v>4.4158569640456988E-2</v>
      </c>
      <c r="L9" s="42">
        <f>G9/'Clause 6'!$H$12</f>
        <v>12140.927148799999</v>
      </c>
      <c r="M9">
        <f t="shared" ref="M9:M38" si="6">COUNTA(B9:F9)</f>
        <v>5</v>
      </c>
      <c r="O9" s="254">
        <f>IF(ISNUMBER(B9), (B9/$G9-1), 0)</f>
        <v>1.8105292660596017E-2</v>
      </c>
      <c r="P9" s="254">
        <f t="shared" ref="P9:S38" si="7">IF(ISNUMBER(C9), (C9/$G9-1), 0)</f>
        <v>1.908596323493339E-2</v>
      </c>
      <c r="Q9" s="254">
        <f t="shared" si="7"/>
        <v>6.7203604139955964E-3</v>
      </c>
      <c r="R9" s="254">
        <f t="shared" si="7"/>
        <v>-1.8839009904001114E-2</v>
      </c>
      <c r="S9" s="254">
        <f t="shared" si="7"/>
        <v>-2.5072606405523667E-2</v>
      </c>
    </row>
    <row r="10" spans="1:49" ht="13.15" x14ac:dyDescent="0.4">
      <c r="A10" s="68" t="s">
        <v>140</v>
      </c>
      <c r="B10" s="42">
        <f t="shared" ref="B10:F10" si="8">G54</f>
        <v>10908.714844</v>
      </c>
      <c r="C10" s="42">
        <f t="shared" si="8"/>
        <v>10908.026367</v>
      </c>
      <c r="D10" s="42">
        <f t="shared" si="8"/>
        <v>10773.803711</v>
      </c>
      <c r="E10" s="42">
        <f t="shared" si="8"/>
        <v>10552.702148</v>
      </c>
      <c r="F10" s="42">
        <f t="shared" si="8"/>
        <v>10491.487305000001</v>
      </c>
      <c r="G10" s="80">
        <f t="shared" si="1"/>
        <v>10726.946875</v>
      </c>
      <c r="H10" s="81">
        <f t="shared" si="2"/>
        <v>297220.4847932125</v>
      </c>
      <c r="I10" s="79">
        <f t="shared" si="3"/>
        <v>1.6351427805795665E-2</v>
      </c>
      <c r="J10" s="79">
        <f t="shared" si="4"/>
        <v>0.11</v>
      </c>
      <c r="K10" s="79">
        <f t="shared" si="5"/>
        <v>3.8895274103797547E-2</v>
      </c>
      <c r="L10" s="42">
        <f>G10/'Clause 6'!$H$12</f>
        <v>10726.946875</v>
      </c>
      <c r="M10">
        <f t="shared" si="6"/>
        <v>5</v>
      </c>
      <c r="O10" s="254">
        <f t="shared" ref="O10:O38" si="9">IF(ISNUMBER(B10), (B10/$G10-1), 0)</f>
        <v>1.6944986408353069E-2</v>
      </c>
      <c r="P10" s="254">
        <f t="shared" si="7"/>
        <v>1.6880804399434624E-2</v>
      </c>
      <c r="Q10" s="254">
        <f t="shared" si="7"/>
        <v>4.3681428225588181E-3</v>
      </c>
      <c r="R10" s="254">
        <f t="shared" si="7"/>
        <v>-1.6243645934901574E-2</v>
      </c>
      <c r="S10" s="254">
        <f t="shared" si="7"/>
        <v>-2.1950287695444493E-2</v>
      </c>
    </row>
    <row r="11" spans="1:49" ht="13.15" x14ac:dyDescent="0.4">
      <c r="A11" s="68" t="s">
        <v>141</v>
      </c>
      <c r="B11" s="42">
        <f t="shared" ref="B11:F11" si="10">G55</f>
        <v>9542.0898440000001</v>
      </c>
      <c r="C11" s="42">
        <f t="shared" si="10"/>
        <v>9550.0634769999997</v>
      </c>
      <c r="D11" s="42">
        <f t="shared" si="10"/>
        <v>9413.5361329999996</v>
      </c>
      <c r="E11" s="42">
        <f t="shared" si="10"/>
        <v>9244.7197269999997</v>
      </c>
      <c r="F11" s="42">
        <f t="shared" si="10"/>
        <v>9214.8818360000005</v>
      </c>
      <c r="G11" s="80">
        <f t="shared" si="1"/>
        <v>9393.0582033999999</v>
      </c>
      <c r="H11" s="81">
        <f t="shared" si="2"/>
        <v>260261.31623826185</v>
      </c>
      <c r="I11" s="79">
        <f t="shared" si="3"/>
        <v>1.5133399557456673E-2</v>
      </c>
      <c r="J11" s="79">
        <f t="shared" si="4"/>
        <v>0.11</v>
      </c>
      <c r="K11" s="79">
        <f t="shared" si="5"/>
        <v>3.5683973604962192E-2</v>
      </c>
      <c r="L11" s="42">
        <f>G11/'Clause 6'!$H$12</f>
        <v>9393.0582033999999</v>
      </c>
      <c r="M11">
        <f t="shared" si="6"/>
        <v>5</v>
      </c>
      <c r="O11" s="254">
        <f t="shared" si="9"/>
        <v>1.586614682596732E-2</v>
      </c>
      <c r="P11" s="254">
        <f t="shared" si="7"/>
        <v>1.6715032548522801E-2</v>
      </c>
      <c r="Q11" s="254">
        <f t="shared" si="7"/>
        <v>2.1801131385077444E-3</v>
      </c>
      <c r="R11" s="254">
        <f t="shared" si="7"/>
        <v>-1.5792351456558218E-2</v>
      </c>
      <c r="S11" s="254">
        <f t="shared" si="7"/>
        <v>-1.8968941056439426E-2</v>
      </c>
    </row>
    <row r="12" spans="1:49" ht="13.15" x14ac:dyDescent="0.4">
      <c r="A12" s="68" t="s">
        <v>142</v>
      </c>
      <c r="B12" s="42">
        <f t="shared" ref="B12:F12" si="11">G56</f>
        <v>8313.2216800000006</v>
      </c>
      <c r="C12" s="42">
        <f t="shared" si="11"/>
        <v>8351.5595699999994</v>
      </c>
      <c r="D12" s="42">
        <f t="shared" si="11"/>
        <v>8224.1230469999991</v>
      </c>
      <c r="E12" s="42">
        <f t="shared" si="11"/>
        <v>8068.1669920000004</v>
      </c>
      <c r="F12" s="42">
        <f t="shared" si="11"/>
        <v>8064.0551759999998</v>
      </c>
      <c r="G12" s="80">
        <f t="shared" si="1"/>
        <v>8204.2252929999995</v>
      </c>
      <c r="H12" s="81">
        <f t="shared" si="2"/>
        <v>227321.32892549594</v>
      </c>
      <c r="I12" s="79">
        <f t="shared" si="3"/>
        <v>1.4641131959200885E-2</v>
      </c>
      <c r="J12" s="79">
        <f t="shared" si="4"/>
        <v>0.11</v>
      </c>
      <c r="K12" s="79">
        <f t="shared" si="5"/>
        <v>3.5043454285111332E-2</v>
      </c>
      <c r="L12" s="42">
        <f>G12/'Clause 6'!$H$12</f>
        <v>8204.2252929999995</v>
      </c>
      <c r="M12">
        <f t="shared" si="6"/>
        <v>5</v>
      </c>
      <c r="O12" s="254">
        <f t="shared" si="9"/>
        <v>1.3285396622761958E-2</v>
      </c>
      <c r="P12" s="254">
        <f t="shared" si="7"/>
        <v>1.7958341188619942E-2</v>
      </c>
      <c r="Q12" s="254">
        <f t="shared" si="7"/>
        <v>2.4253056552427932E-3</v>
      </c>
      <c r="R12" s="254">
        <f t="shared" si="7"/>
        <v>-1.6583930370133393E-2</v>
      </c>
      <c r="S12" s="254">
        <f t="shared" si="7"/>
        <v>-1.70851130964913E-2</v>
      </c>
    </row>
    <row r="13" spans="1:49" ht="13.15" x14ac:dyDescent="0.4">
      <c r="A13" s="68" t="s">
        <v>143</v>
      </c>
      <c r="B13" s="42">
        <f t="shared" ref="B13:F13" si="12">G57</f>
        <v>7216.9360349999997</v>
      </c>
      <c r="C13" s="42">
        <f t="shared" si="12"/>
        <v>7269.7807620000003</v>
      </c>
      <c r="D13" s="42">
        <f t="shared" si="12"/>
        <v>7165.4267579999996</v>
      </c>
      <c r="E13" s="42">
        <f t="shared" si="12"/>
        <v>7037.9384769999997</v>
      </c>
      <c r="F13" s="42">
        <f t="shared" si="12"/>
        <v>7035.4882809999999</v>
      </c>
      <c r="G13" s="80">
        <f t="shared" si="1"/>
        <v>7145.1140626000006</v>
      </c>
      <c r="H13" s="81">
        <f t="shared" si="2"/>
        <v>197975.64864781455</v>
      </c>
      <c r="I13" s="79">
        <f t="shared" si="3"/>
        <v>1.322077803990227E-2</v>
      </c>
      <c r="J13" s="79">
        <f t="shared" si="4"/>
        <v>0.11</v>
      </c>
      <c r="K13" s="79">
        <f t="shared" si="5"/>
        <v>3.2790586538900525E-2</v>
      </c>
      <c r="L13" s="42">
        <f>G13/'Clause 6'!$H$12</f>
        <v>7145.1140626000006</v>
      </c>
      <c r="M13">
        <f t="shared" si="6"/>
        <v>5</v>
      </c>
      <c r="O13" s="254">
        <f t="shared" si="9"/>
        <v>1.0051900049565354E-2</v>
      </c>
      <c r="P13" s="254">
        <f t="shared" si="7"/>
        <v>1.7447824948316537E-2</v>
      </c>
      <c r="Q13" s="254">
        <f t="shared" si="7"/>
        <v>2.8428790950059124E-3</v>
      </c>
      <c r="R13" s="254">
        <f t="shared" si="7"/>
        <v>-1.4999842502304461E-2</v>
      </c>
      <c r="S13" s="254">
        <f t="shared" si="7"/>
        <v>-1.5342761590584009E-2</v>
      </c>
    </row>
    <row r="14" spans="1:49" ht="13.15" x14ac:dyDescent="0.4">
      <c r="A14" s="68" t="s">
        <v>144</v>
      </c>
      <c r="B14" s="42">
        <f t="shared" ref="B14:F14" si="13">G58</f>
        <v>6247.8559569999998</v>
      </c>
      <c r="C14" s="42">
        <f t="shared" si="13"/>
        <v>6300.841797</v>
      </c>
      <c r="D14" s="42">
        <f t="shared" si="13"/>
        <v>6231.408203</v>
      </c>
      <c r="E14" s="42">
        <f t="shared" si="13"/>
        <v>6124.5942379999997</v>
      </c>
      <c r="F14" s="42">
        <f t="shared" si="13"/>
        <v>6122.4965819999998</v>
      </c>
      <c r="G14" s="80">
        <f t="shared" si="1"/>
        <v>6205.4393553999998</v>
      </c>
      <c r="H14" s="81">
        <f t="shared" si="2"/>
        <v>171939.2959673689</v>
      </c>
      <c r="I14" s="79">
        <f t="shared" si="3"/>
        <v>1.1392811324860764E-2</v>
      </c>
      <c r="J14" s="79">
        <f t="shared" si="4"/>
        <v>0.11</v>
      </c>
      <c r="K14" s="79">
        <f t="shared" si="5"/>
        <v>2.8740143088305827E-2</v>
      </c>
      <c r="L14" s="42">
        <f>G14/'Clause 6'!$H$12</f>
        <v>6205.4393553999998</v>
      </c>
      <c r="M14">
        <f t="shared" si="6"/>
        <v>5</v>
      </c>
      <c r="O14" s="254">
        <f t="shared" si="9"/>
        <v>6.8353905615221588E-3</v>
      </c>
      <c r="P14" s="254">
        <f t="shared" si="7"/>
        <v>1.5374002731487701E-2</v>
      </c>
      <c r="Q14" s="254">
        <f t="shared" si="7"/>
        <v>4.1848523710736885E-3</v>
      </c>
      <c r="R14" s="254">
        <f t="shared" si="7"/>
        <v>-1.3028105307265392E-2</v>
      </c>
      <c r="S14" s="254">
        <f t="shared" si="7"/>
        <v>-1.3366140356818268E-2</v>
      </c>
    </row>
    <row r="15" spans="1:49" ht="13.15" x14ac:dyDescent="0.4">
      <c r="A15" s="68" t="s">
        <v>145</v>
      </c>
      <c r="B15" s="42">
        <f t="shared" ref="B15:F15" si="14">G59</f>
        <v>5331.3315430000002</v>
      </c>
      <c r="C15" s="42">
        <f t="shared" si="14"/>
        <v>5390.1767579999996</v>
      </c>
      <c r="D15" s="42">
        <f t="shared" si="14"/>
        <v>5314.2622069999998</v>
      </c>
      <c r="E15" s="42">
        <f t="shared" si="14"/>
        <v>5252.0805659999996</v>
      </c>
      <c r="F15" s="42">
        <f t="shared" si="14"/>
        <v>5259.4648440000001</v>
      </c>
      <c r="G15" s="80">
        <f t="shared" si="1"/>
        <v>5309.4631835999999</v>
      </c>
      <c r="H15" s="81">
        <f t="shared" si="2"/>
        <v>147113.73513922669</v>
      </c>
      <c r="I15" s="79">
        <f t="shared" si="3"/>
        <v>9.5326604618282754E-3</v>
      </c>
      <c r="J15" s="79">
        <f t="shared" si="4"/>
        <v>0.11</v>
      </c>
      <c r="K15" s="79">
        <f t="shared" si="5"/>
        <v>2.6009445253628444E-2</v>
      </c>
      <c r="L15" s="42">
        <f>G15/'Clause 6'!$H$12</f>
        <v>5309.4631835999999</v>
      </c>
      <c r="M15">
        <f t="shared" si="6"/>
        <v>5</v>
      </c>
      <c r="O15" s="254">
        <f t="shared" si="9"/>
        <v>4.1187514902727429E-3</v>
      </c>
      <c r="P15" s="254">
        <f t="shared" si="7"/>
        <v>1.5201833332098458E-2</v>
      </c>
      <c r="Q15" s="254">
        <f t="shared" si="7"/>
        <v>9.0386226140970471E-4</v>
      </c>
      <c r="R15" s="254">
        <f t="shared" si="7"/>
        <v>-1.0807611921530014E-2</v>
      </c>
      <c r="S15" s="254">
        <f t="shared" si="7"/>
        <v>-9.4168351622506696E-3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ref="B16:F16" si="15">G60</f>
        <v>4531.064453</v>
      </c>
      <c r="C16" s="42">
        <f t="shared" si="15"/>
        <v>4589.1728519999997</v>
      </c>
      <c r="D16" s="42">
        <f t="shared" si="15"/>
        <v>4515.7553710000002</v>
      </c>
      <c r="E16" s="42">
        <f t="shared" si="15"/>
        <v>4483.6586909999996</v>
      </c>
      <c r="F16" s="42">
        <f t="shared" si="15"/>
        <v>4483.8618159999996</v>
      </c>
      <c r="G16" s="80">
        <f t="shared" si="1"/>
        <v>4520.7026366</v>
      </c>
      <c r="H16" s="81">
        <f t="shared" si="2"/>
        <v>125258.8872596804</v>
      </c>
      <c r="I16" s="79">
        <f t="shared" si="3"/>
        <v>8.5954481872503076E-3</v>
      </c>
      <c r="J16" s="79">
        <f t="shared" si="4"/>
        <v>0.11</v>
      </c>
      <c r="K16" s="79">
        <f t="shared" si="5"/>
        <v>2.3340212679716706E-2</v>
      </c>
      <c r="L16" s="42">
        <f>G16/'Clause 6'!$H$12</f>
        <v>4520.7026366</v>
      </c>
      <c r="M16">
        <f t="shared" si="6"/>
        <v>5</v>
      </c>
      <c r="O16" s="254">
        <f t="shared" si="9"/>
        <v>2.2920809513349294E-3</v>
      </c>
      <c r="P16" s="254">
        <f t="shared" si="7"/>
        <v>1.5145923300873276E-2</v>
      </c>
      <c r="Q16" s="254">
        <f t="shared" si="7"/>
        <v>-1.0943576690813916E-3</v>
      </c>
      <c r="R16" s="254">
        <f t="shared" si="7"/>
        <v>-8.1942893788433668E-3</v>
      </c>
      <c r="S16" s="254">
        <f t="shared" si="7"/>
        <v>-8.1493572042836693E-3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ref="B17:F17" si="16">G61</f>
        <v>3783.9494629999999</v>
      </c>
      <c r="C17" s="42">
        <f t="shared" si="16"/>
        <v>3840.4389649999998</v>
      </c>
      <c r="D17" s="42">
        <f t="shared" si="16"/>
        <v>3779.2321780000002</v>
      </c>
      <c r="E17" s="42">
        <f t="shared" si="16"/>
        <v>3745.9035640000002</v>
      </c>
      <c r="F17" s="42">
        <f t="shared" si="16"/>
        <v>3755.0515140000002</v>
      </c>
      <c r="G17" s="80">
        <f t="shared" si="1"/>
        <v>3780.9151367999998</v>
      </c>
      <c r="H17" s="81">
        <f t="shared" si="2"/>
        <v>104760.97654037196</v>
      </c>
      <c r="I17" s="79">
        <f t="shared" si="3"/>
        <v>8.7319422272525739E-3</v>
      </c>
      <c r="J17" s="79">
        <f t="shared" si="4"/>
        <v>0.11</v>
      </c>
      <c r="K17" s="79">
        <f t="shared" si="5"/>
        <v>2.5003312050005503E-2</v>
      </c>
      <c r="L17" s="42">
        <f>G17/'Clause 6'!$H$12</f>
        <v>3780.9151367999998</v>
      </c>
      <c r="M17">
        <f t="shared" si="6"/>
        <v>5</v>
      </c>
      <c r="O17" s="254">
        <f t="shared" si="9"/>
        <v>8.0253750486658504E-4</v>
      </c>
      <c r="P17" s="254">
        <f t="shared" si="7"/>
        <v>1.5743233065627082E-2</v>
      </c>
      <c r="Q17" s="254">
        <f t="shared" si="7"/>
        <v>-4.4511943249381236E-4</v>
      </c>
      <c r="R17" s="254">
        <f t="shared" si="7"/>
        <v>-9.260078984378306E-3</v>
      </c>
      <c r="S17" s="254">
        <f t="shared" si="7"/>
        <v>-6.8405721536213271E-3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ref="B18:F18" si="17">G62</f>
        <v>3139.5551759999998</v>
      </c>
      <c r="C18" s="42">
        <f t="shared" si="17"/>
        <v>3176.8208009999998</v>
      </c>
      <c r="D18" s="42">
        <f t="shared" si="17"/>
        <v>3128.1364749999998</v>
      </c>
      <c r="E18" s="42">
        <f t="shared" si="17"/>
        <v>3119.0744629999999</v>
      </c>
      <c r="F18" s="42">
        <f t="shared" si="17"/>
        <v>3110.8559570000002</v>
      </c>
      <c r="G18" s="80">
        <f t="shared" si="1"/>
        <v>3134.8885743999999</v>
      </c>
      <c r="H18" s="81">
        <f t="shared" si="2"/>
        <v>86860.978497748991</v>
      </c>
      <c r="I18" s="79">
        <f t="shared" si="3"/>
        <v>7.3483312295274791E-3</v>
      </c>
      <c r="J18" s="79">
        <f t="shared" si="4"/>
        <v>0.11</v>
      </c>
      <c r="K18" s="79">
        <f t="shared" si="5"/>
        <v>2.1042165434101572E-2</v>
      </c>
      <c r="L18" s="42">
        <f>G18/'Clause 6'!$H$12</f>
        <v>3134.8885743999999</v>
      </c>
      <c r="M18">
        <f t="shared" si="6"/>
        <v>5</v>
      </c>
      <c r="O18" s="254">
        <f t="shared" si="9"/>
        <v>1.4886020632784991E-3</v>
      </c>
      <c r="P18" s="254">
        <f t="shared" si="7"/>
        <v>1.3375986292599062E-2</v>
      </c>
      <c r="Q18" s="254">
        <f t="shared" si="7"/>
        <v>-2.1538562662606342E-3</v>
      </c>
      <c r="R18" s="254">
        <f t="shared" si="7"/>
        <v>-5.0445529481144558E-3</v>
      </c>
      <c r="S18" s="254">
        <f t="shared" si="7"/>
        <v>-7.6661791415024716E-3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ref="B19:F19" si="18">G63</f>
        <v>2550.1047359999998</v>
      </c>
      <c r="C19" s="42">
        <f t="shared" si="18"/>
        <v>2588.2524410000001</v>
      </c>
      <c r="D19" s="42">
        <f t="shared" si="18"/>
        <v>2553.4104000000002</v>
      </c>
      <c r="E19" s="42">
        <f t="shared" si="18"/>
        <v>2542.1884770000001</v>
      </c>
      <c r="F19" s="42">
        <f t="shared" si="18"/>
        <v>2546.1733399999998</v>
      </c>
      <c r="G19" s="80">
        <f t="shared" si="1"/>
        <v>2556.0258788000001</v>
      </c>
      <c r="H19" s="81">
        <f t="shared" si="2"/>
        <v>70821.945861546279</v>
      </c>
      <c r="I19" s="79">
        <f t="shared" si="3"/>
        <v>6.4736793879587515E-3</v>
      </c>
      <c r="J19" s="79">
        <f t="shared" si="4"/>
        <v>0.11</v>
      </c>
      <c r="K19" s="79">
        <f t="shared" si="5"/>
        <v>1.8021712683764374E-2</v>
      </c>
      <c r="L19" s="42">
        <f>G19/'Clause 6'!$H$12</f>
        <v>2556.0258788000001</v>
      </c>
      <c r="M19">
        <f t="shared" si="6"/>
        <v>5</v>
      </c>
      <c r="O19" s="254">
        <f t="shared" si="9"/>
        <v>-2.3165425863294065E-3</v>
      </c>
      <c r="P19" s="254">
        <f t="shared" si="7"/>
        <v>1.2608073520417484E-2</v>
      </c>
      <c r="Q19" s="254">
        <f t="shared" si="7"/>
        <v>-1.023259905814311E-3</v>
      </c>
      <c r="R19" s="254">
        <f t="shared" si="7"/>
        <v>-5.4136391633469172E-3</v>
      </c>
      <c r="S19" s="254">
        <f t="shared" si="7"/>
        <v>-3.8546318649268496E-3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ref="B20:F20" si="19">G64</f>
        <v>2011.4174800000001</v>
      </c>
      <c r="C20" s="42">
        <f t="shared" si="19"/>
        <v>2066.9643550000001</v>
      </c>
      <c r="D20" s="42">
        <f t="shared" si="19"/>
        <v>2033.20874</v>
      </c>
      <c r="E20" s="42">
        <f t="shared" si="19"/>
        <v>2026.6361079999999</v>
      </c>
      <c r="F20" s="42">
        <f t="shared" si="19"/>
        <v>2025.1173100000001</v>
      </c>
      <c r="G20" s="80">
        <f t="shared" si="1"/>
        <v>2032.6687986000002</v>
      </c>
      <c r="H20" s="81">
        <f t="shared" si="2"/>
        <v>56320.853713925833</v>
      </c>
      <c r="I20" s="79">
        <f t="shared" si="3"/>
        <v>9.1285879988693367E-3</v>
      </c>
      <c r="J20" s="79">
        <f t="shared" si="4"/>
        <v>0.11</v>
      </c>
      <c r="K20" s="79">
        <f t="shared" si="5"/>
        <v>2.7327066287561402E-2</v>
      </c>
      <c r="L20" s="42">
        <f>G20/'Clause 6'!$H$12</f>
        <v>2032.6687986000002</v>
      </c>
      <c r="M20">
        <f t="shared" si="6"/>
        <v>5</v>
      </c>
      <c r="O20" s="254">
        <f t="shared" si="9"/>
        <v>-1.0454885033231665E-2</v>
      </c>
      <c r="P20" s="254">
        <f t="shared" si="7"/>
        <v>1.6872181254329766E-2</v>
      </c>
      <c r="Q20" s="254">
        <f t="shared" si="7"/>
        <v>2.6563176468874516E-4</v>
      </c>
      <c r="R20" s="254">
        <f t="shared" si="7"/>
        <v>-2.9678669757489118E-3</v>
      </c>
      <c r="S20" s="254">
        <f t="shared" si="7"/>
        <v>-3.7150610100382675E-3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ref="B21:F21" si="20">G65</f>
        <v>1580.626953</v>
      </c>
      <c r="C21" s="42">
        <f t="shared" si="20"/>
        <v>1629.7320560000001</v>
      </c>
      <c r="D21" s="42">
        <f t="shared" si="20"/>
        <v>1597.3688959999999</v>
      </c>
      <c r="E21" s="42">
        <f t="shared" si="20"/>
        <v>1599.0535890000001</v>
      </c>
      <c r="F21" s="42">
        <f t="shared" si="20"/>
        <v>1595.5363769999999</v>
      </c>
      <c r="G21" s="80">
        <f t="shared" si="1"/>
        <v>1600.4635741999998</v>
      </c>
      <c r="H21" s="81">
        <f t="shared" si="2"/>
        <v>44345.382237907426</v>
      </c>
      <c r="I21" s="79">
        <f t="shared" si="3"/>
        <v>1.0020420837658202E-2</v>
      </c>
      <c r="J21" s="79">
        <f t="shared" si="4"/>
        <v>0.11</v>
      </c>
      <c r="K21" s="79">
        <f t="shared" si="5"/>
        <v>3.0681799818246751E-2</v>
      </c>
      <c r="L21" s="42">
        <f>G21/'Clause 6'!$H$12</f>
        <v>1600.4635741999998</v>
      </c>
      <c r="M21">
        <f t="shared" si="6"/>
        <v>5</v>
      </c>
      <c r="O21" s="254">
        <f t="shared" si="9"/>
        <v>-1.2394297202243609E-2</v>
      </c>
      <c r="P21" s="254">
        <f t="shared" si="7"/>
        <v>1.8287502616003204E-2</v>
      </c>
      <c r="Q21" s="254">
        <f t="shared" si="7"/>
        <v>-1.9336136416268079E-3</v>
      </c>
      <c r="R21" s="254">
        <f t="shared" si="7"/>
        <v>-8.8098549865744946E-4</v>
      </c>
      <c r="S21" s="254">
        <f t="shared" si="7"/>
        <v>-3.0786062734747821E-3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ref="B22:F22" si="21">G66</f>
        <v>1218.1179199999999</v>
      </c>
      <c r="C22" s="42">
        <f t="shared" si="21"/>
        <v>1255.5417480000001</v>
      </c>
      <c r="D22" s="42">
        <f t="shared" si="21"/>
        <v>1248.022217</v>
      </c>
      <c r="E22" s="42">
        <f t="shared" si="21"/>
        <v>1233.6807859999999</v>
      </c>
      <c r="F22" s="42">
        <f t="shared" si="21"/>
        <v>1238.2558590000001</v>
      </c>
      <c r="G22" s="80">
        <f t="shared" si="1"/>
        <v>1238.723706</v>
      </c>
      <c r="H22" s="81">
        <f t="shared" si="2"/>
        <v>34322.353295160217</v>
      </c>
      <c r="I22" s="79">
        <f t="shared" si="3"/>
        <v>1.0335468779068961E-2</v>
      </c>
      <c r="J22" s="79">
        <f t="shared" si="4"/>
        <v>0.11</v>
      </c>
      <c r="K22" s="79">
        <f t="shared" si="5"/>
        <v>3.021160232804989E-2</v>
      </c>
      <c r="L22" s="42">
        <f>G22/'Clause 6'!$H$12</f>
        <v>1238.723706</v>
      </c>
      <c r="M22">
        <f t="shared" si="6"/>
        <v>5</v>
      </c>
      <c r="O22" s="254">
        <f t="shared" si="9"/>
        <v>-1.6634690932442742E-2</v>
      </c>
      <c r="P22" s="254">
        <f t="shared" si="7"/>
        <v>1.3576911395607238E-2</v>
      </c>
      <c r="Q22" s="254">
        <f t="shared" si="7"/>
        <v>7.5065254301349693E-3</v>
      </c>
      <c r="R22" s="254">
        <f t="shared" si="7"/>
        <v>-4.0710611862626589E-3</v>
      </c>
      <c r="S22" s="254">
        <f t="shared" si="7"/>
        <v>-3.7768470703658519E-4</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ref="B23:F23" si="22">G67</f>
        <v>938.02447500000005</v>
      </c>
      <c r="C23" s="42">
        <f t="shared" si="22"/>
        <v>959.93316700000003</v>
      </c>
      <c r="D23" s="42">
        <f t="shared" si="22"/>
        <v>966.520081</v>
      </c>
      <c r="E23" s="42">
        <f t="shared" si="22"/>
        <v>948.74255400000004</v>
      </c>
      <c r="F23" s="42">
        <f t="shared" si="22"/>
        <v>959.08093299999996</v>
      </c>
      <c r="G23" s="80">
        <f t="shared" si="1"/>
        <v>954.46024199999988</v>
      </c>
      <c r="H23" s="81">
        <f t="shared" si="2"/>
        <v>26446.027853856311</v>
      </c>
      <c r="I23" s="79">
        <f t="shared" si="3"/>
        <v>1.0472617574447996E-2</v>
      </c>
      <c r="J23" s="79">
        <f t="shared" si="4"/>
        <v>0.11</v>
      </c>
      <c r="K23" s="79">
        <f t="shared" si="5"/>
        <v>2.9855204801710281E-2</v>
      </c>
      <c r="L23" s="42">
        <f>G23/'Clause 6'!$H$12</f>
        <v>954.46024199999988</v>
      </c>
      <c r="M23">
        <f t="shared" si="6"/>
        <v>5</v>
      </c>
      <c r="O23" s="254">
        <f t="shared" si="9"/>
        <v>-1.7219959802159956E-2</v>
      </c>
      <c r="P23" s="254">
        <f t="shared" si="7"/>
        <v>5.7340523566828949E-3</v>
      </c>
      <c r="Q23" s="254">
        <f t="shared" si="7"/>
        <v>1.2635244999550377E-2</v>
      </c>
      <c r="R23" s="254">
        <f t="shared" si="7"/>
        <v>-5.9904936302206391E-3</v>
      </c>
      <c r="S23" s="254">
        <f t="shared" si="7"/>
        <v>4.841156076148101E-3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24" si="23">G68</f>
        <v>718.64776600000005</v>
      </c>
      <c r="C24" s="42">
        <f t="shared" si="23"/>
        <v>729.30902100000003</v>
      </c>
      <c r="D24" s="42">
        <f t="shared" si="23"/>
        <v>738.83196999999996</v>
      </c>
      <c r="E24" s="42">
        <f t="shared" si="23"/>
        <v>736.35320999999999</v>
      </c>
      <c r="F24" s="42">
        <f t="shared" si="23"/>
        <v>732.32830799999999</v>
      </c>
      <c r="G24" s="80">
        <f t="shared" si="1"/>
        <v>731.09405500000014</v>
      </c>
      <c r="H24" s="81">
        <f t="shared" si="2"/>
        <v>20257.034176514982</v>
      </c>
      <c r="I24" s="79">
        <f t="shared" si="3"/>
        <v>9.6166865075972465E-3</v>
      </c>
      <c r="J24" s="79">
        <f t="shared" si="4"/>
        <v>0.11</v>
      </c>
      <c r="K24" s="79">
        <f t="shared" si="5"/>
        <v>2.7608217933053642E-2</v>
      </c>
      <c r="L24" s="42">
        <f>G24/'Clause 6'!$H$12</f>
        <v>731.09405500000014</v>
      </c>
      <c r="M24">
        <f t="shared" si="6"/>
        <v>5</v>
      </c>
      <c r="O24" s="254">
        <f t="shared" si="9"/>
        <v>-1.7024196702023597E-2</v>
      </c>
      <c r="P24" s="254">
        <f t="shared" si="7"/>
        <v>-2.4415928262473408E-3</v>
      </c>
      <c r="Q24" s="254">
        <f t="shared" si="7"/>
        <v>1.0584021231029972E-2</v>
      </c>
      <c r="R24" s="254">
        <f t="shared" si="7"/>
        <v>7.19354091861657E-3</v>
      </c>
      <c r="S24" s="254">
        <f t="shared" si="7"/>
        <v>1.688227378623397E-3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ref="B25:F25" si="24">G69</f>
        <v>554.81201199999998</v>
      </c>
      <c r="C25" s="42">
        <f t="shared" si="24"/>
        <v>556.95898399999999</v>
      </c>
      <c r="D25" s="42">
        <f t="shared" si="24"/>
        <v>554.30157499999996</v>
      </c>
      <c r="E25" s="42">
        <f t="shared" si="24"/>
        <v>565.32019000000003</v>
      </c>
      <c r="F25" s="42">
        <f t="shared" si="24"/>
        <v>562.21984899999995</v>
      </c>
      <c r="G25" s="80">
        <f t="shared" si="1"/>
        <v>558.72252200000003</v>
      </c>
      <c r="H25" s="81">
        <f t="shared" si="2"/>
        <v>15480.992009082393</v>
      </c>
      <c r="I25" s="79">
        <f t="shared" si="3"/>
        <v>7.7482900746854979E-3</v>
      </c>
      <c r="J25" s="79">
        <f t="shared" si="4"/>
        <v>0.11</v>
      </c>
      <c r="K25" s="79">
        <f t="shared" si="5"/>
        <v>1.9721086167348141E-2</v>
      </c>
      <c r="L25" s="42">
        <f>G25/'Clause 6'!$H$12</f>
        <v>558.72252200000003</v>
      </c>
      <c r="M25">
        <f t="shared" si="6"/>
        <v>5</v>
      </c>
      <c r="O25" s="254">
        <f t="shared" si="9"/>
        <v>-6.9990198104096235E-3</v>
      </c>
      <c r="P25" s="254">
        <f t="shared" si="7"/>
        <v>-3.1563753572834141E-3</v>
      </c>
      <c r="Q25" s="254">
        <f t="shared" si="7"/>
        <v>-7.9125985188047698E-3</v>
      </c>
      <c r="R25" s="254">
        <f t="shared" si="7"/>
        <v>1.1808487648543364E-2</v>
      </c>
      <c r="S25" s="254">
        <f t="shared" si="7"/>
        <v>6.2595060379539991E-3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ref="B26:F26" si="25">G70</f>
        <v>428.40167200000002</v>
      </c>
      <c r="C26" s="42">
        <f t="shared" si="25"/>
        <v>430.52191199999999</v>
      </c>
      <c r="D26" s="42">
        <f t="shared" si="25"/>
        <v>416.303406</v>
      </c>
      <c r="E26" s="42">
        <f t="shared" si="25"/>
        <v>437.39590500000003</v>
      </c>
      <c r="F26" s="42">
        <f t="shared" si="25"/>
        <v>429.75692700000002</v>
      </c>
      <c r="G26" s="80">
        <f t="shared" si="1"/>
        <v>428.47596440000007</v>
      </c>
      <c r="H26" s="81">
        <f t="shared" si="2"/>
        <v>11872.141751537041</v>
      </c>
      <c r="I26" s="79">
        <f t="shared" si="3"/>
        <v>1.5951295179381562E-2</v>
      </c>
      <c r="J26" s="79">
        <f t="shared" si="4"/>
        <v>0.11</v>
      </c>
      <c r="K26" s="79">
        <f t="shared" si="5"/>
        <v>4.9226796255738885E-2</v>
      </c>
      <c r="L26" s="42">
        <f>G26/'Clause 6'!$H$12</f>
        <v>428.47596440000007</v>
      </c>
      <c r="M26">
        <f t="shared" si="6"/>
        <v>5</v>
      </c>
      <c r="O26" s="254">
        <f t="shared" si="9"/>
        <v>-1.7338755536511208E-4</v>
      </c>
      <c r="P26" s="254">
        <f t="shared" si="7"/>
        <v>4.7749413502455873E-3</v>
      </c>
      <c r="Q26" s="254">
        <f t="shared" si="7"/>
        <v>-2.8408964355901345E-2</v>
      </c>
      <c r="R26" s="254">
        <f t="shared" si="7"/>
        <v>2.0817831899837547E-2</v>
      </c>
      <c r="S26" s="254">
        <f t="shared" si="7"/>
        <v>2.989578661182879E-3</v>
      </c>
    </row>
    <row r="27" spans="1:49" ht="13.15" x14ac:dyDescent="0.4">
      <c r="A27" s="68" t="s">
        <v>157</v>
      </c>
      <c r="B27" s="42">
        <f t="shared" ref="B27:F27" si="26">G71</f>
        <v>325.28268400000002</v>
      </c>
      <c r="C27" s="42">
        <f t="shared" si="26"/>
        <v>341.698059</v>
      </c>
      <c r="D27" s="42">
        <f t="shared" si="26"/>
        <v>314.35879499999999</v>
      </c>
      <c r="E27" s="42">
        <f t="shared" si="26"/>
        <v>340.31366000000003</v>
      </c>
      <c r="F27" s="42">
        <f t="shared" si="26"/>
        <v>328.43069500000001</v>
      </c>
      <c r="G27" s="80">
        <f t="shared" si="1"/>
        <v>330.01677860000001</v>
      </c>
      <c r="H27" s="81">
        <f t="shared" si="2"/>
        <v>9144.0507786971102</v>
      </c>
      <c r="I27" s="79">
        <f t="shared" si="3"/>
        <v>3.0680249786948076E-2</v>
      </c>
      <c r="J27" s="79">
        <f t="shared" si="4"/>
        <v>0.113</v>
      </c>
      <c r="K27" s="79">
        <f t="shared" si="5"/>
        <v>8.2842042504562563E-2</v>
      </c>
      <c r="L27" s="42">
        <f>G27/'Clause 6'!$H$12</f>
        <v>330.01677860000001</v>
      </c>
      <c r="M27">
        <f t="shared" si="6"/>
        <v>5</v>
      </c>
      <c r="O27" s="254">
        <f t="shared" si="9"/>
        <v>-1.4345011850861011E-2</v>
      </c>
      <c r="P27" s="254">
        <f t="shared" si="7"/>
        <v>3.5396019710132398E-2</v>
      </c>
      <c r="Q27" s="254">
        <f t="shared" si="7"/>
        <v>-4.744602279443022E-2</v>
      </c>
      <c r="R27" s="254">
        <f t="shared" si="7"/>
        <v>3.1201084513586164E-2</v>
      </c>
      <c r="S27" s="254">
        <f t="shared" si="7"/>
        <v>-4.8060695784272189E-3</v>
      </c>
    </row>
    <row r="28" spans="1:49" ht="13.15" x14ac:dyDescent="0.4">
      <c r="A28" s="68" t="s">
        <v>158</v>
      </c>
      <c r="B28" s="42">
        <f t="shared" ref="B28:F28" si="27">G72</f>
        <v>250.829971</v>
      </c>
      <c r="C28" s="42">
        <f t="shared" si="27"/>
        <v>259.05480999999997</v>
      </c>
      <c r="D28" s="42">
        <f t="shared" si="27"/>
        <v>241.896423</v>
      </c>
      <c r="E28" s="42">
        <f t="shared" si="27"/>
        <v>262.68289199999998</v>
      </c>
      <c r="F28" s="42">
        <f t="shared" si="27"/>
        <v>254.546967</v>
      </c>
      <c r="G28" s="80">
        <f t="shared" si="1"/>
        <v>253.80221259999999</v>
      </c>
      <c r="H28" s="81">
        <f t="shared" si="2"/>
        <v>7032.3100831579331</v>
      </c>
      <c r="I28" s="79">
        <f t="shared" si="3"/>
        <v>2.8280467303847159E-2</v>
      </c>
      <c r="J28" s="79">
        <f t="shared" si="4"/>
        <v>0.113</v>
      </c>
      <c r="K28" s="79">
        <f t="shared" si="5"/>
        <v>8.1900267090106463E-2</v>
      </c>
      <c r="L28" s="42">
        <f>G28/'Clause 6'!$H$12</f>
        <v>253.80221259999999</v>
      </c>
      <c r="M28">
        <f t="shared" si="6"/>
        <v>5</v>
      </c>
      <c r="O28" s="254">
        <f t="shared" si="9"/>
        <v>-1.1710857716927481E-2</v>
      </c>
      <c r="P28" s="254">
        <f t="shared" si="7"/>
        <v>2.0695632816559506E-2</v>
      </c>
      <c r="Q28" s="254">
        <f t="shared" si="7"/>
        <v>-4.6909715553835163E-2</v>
      </c>
      <c r="R28" s="254">
        <f t="shared" si="7"/>
        <v>3.4990551536271397E-2</v>
      </c>
      <c r="S28" s="254">
        <f t="shared" si="7"/>
        <v>2.9343889179318516E-3</v>
      </c>
    </row>
    <row r="29" spans="1:49" ht="13.15" x14ac:dyDescent="0.4">
      <c r="A29" s="68" t="s">
        <v>159</v>
      </c>
      <c r="B29" s="42">
        <f t="shared" ref="B29:F29" si="28">G73</f>
        <v>191.506699</v>
      </c>
      <c r="C29" s="42">
        <f t="shared" si="28"/>
        <v>200.07437100000001</v>
      </c>
      <c r="D29" s="42">
        <f t="shared" si="28"/>
        <v>187.72726399999999</v>
      </c>
      <c r="E29" s="42">
        <f t="shared" si="28"/>
        <v>201.87503100000001</v>
      </c>
      <c r="F29" s="42">
        <f t="shared" si="28"/>
        <v>193.50495900000001</v>
      </c>
      <c r="G29" s="80">
        <f t="shared" si="1"/>
        <v>194.93766480000002</v>
      </c>
      <c r="H29" s="81">
        <f t="shared" si="2"/>
        <v>5401.3008465013736</v>
      </c>
      <c r="I29" s="79">
        <f t="shared" si="3"/>
        <v>2.7176256340547194E-2</v>
      </c>
      <c r="J29" s="79">
        <f t="shared" si="4"/>
        <v>0.113</v>
      </c>
      <c r="K29" s="79">
        <f t="shared" si="5"/>
        <v>7.2575851436997491E-2</v>
      </c>
      <c r="L29" s="42">
        <f>G29/'Clause 6'!$H$12</f>
        <v>194.93766480000002</v>
      </c>
      <c r="M29">
        <f t="shared" si="6"/>
        <v>5</v>
      </c>
      <c r="O29" s="254">
        <f t="shared" si="9"/>
        <v>-1.7600322664786616E-2</v>
      </c>
      <c r="P29" s="254">
        <f t="shared" si="7"/>
        <v>2.6350506482521352E-2</v>
      </c>
      <c r="Q29" s="254">
        <f t="shared" si="7"/>
        <v>-3.6988238303755638E-2</v>
      </c>
      <c r="R29" s="254">
        <f t="shared" si="7"/>
        <v>3.5587613133241991E-2</v>
      </c>
      <c r="S29" s="254">
        <f t="shared" si="7"/>
        <v>-7.3495586472215324E-3</v>
      </c>
    </row>
    <row r="30" spans="1:49" ht="13.15" x14ac:dyDescent="0.4">
      <c r="A30" s="68" t="s">
        <v>160</v>
      </c>
      <c r="B30" s="42">
        <f t="shared" ref="B30:F30" si="29">G74</f>
        <v>146.11840799999999</v>
      </c>
      <c r="C30" s="42">
        <f t="shared" si="29"/>
        <v>155.39756800000001</v>
      </c>
      <c r="D30" s="42">
        <f t="shared" si="29"/>
        <v>143.148697</v>
      </c>
      <c r="E30" s="42">
        <f t="shared" si="29"/>
        <v>157.01391599999999</v>
      </c>
      <c r="F30" s="42">
        <f t="shared" si="29"/>
        <v>151.81343100000001</v>
      </c>
      <c r="G30" s="80">
        <f t="shared" si="1"/>
        <v>150.69840400000001</v>
      </c>
      <c r="H30" s="81">
        <f t="shared" si="2"/>
        <v>4175.5266634937443</v>
      </c>
      <c r="I30" s="79">
        <f t="shared" si="3"/>
        <v>3.5261556840068077E-2</v>
      </c>
      <c r="J30" s="79">
        <f t="shared" si="4"/>
        <v>0.11900000000000001</v>
      </c>
      <c r="K30" s="79">
        <f t="shared" si="5"/>
        <v>9.2006409039341888E-2</v>
      </c>
      <c r="L30" s="42">
        <f>G30/'Clause 6'!$H$12</f>
        <v>150.69840400000001</v>
      </c>
      <c r="M30">
        <f t="shared" si="6"/>
        <v>5</v>
      </c>
      <c r="O30" s="254">
        <f t="shared" si="9"/>
        <v>-3.0391801627839499E-2</v>
      </c>
      <c r="P30" s="254">
        <f t="shared" si="7"/>
        <v>3.1182573108073486E-2</v>
      </c>
      <c r="Q30" s="254">
        <f t="shared" si="7"/>
        <v>-5.0098121808907936E-2</v>
      </c>
      <c r="R30" s="254">
        <f t="shared" si="7"/>
        <v>4.1908287230433938E-2</v>
      </c>
      <c r="S30" s="254">
        <f t="shared" si="7"/>
        <v>7.3990630982394556E-3</v>
      </c>
    </row>
    <row r="31" spans="1:49" ht="13.15" x14ac:dyDescent="0.4">
      <c r="A31" s="68" t="s">
        <v>161</v>
      </c>
      <c r="B31" s="42">
        <f t="shared" ref="B31:F31" si="30">G75</f>
        <v>107.498558</v>
      </c>
      <c r="C31" s="42">
        <f t="shared" si="30"/>
        <v>114.782295</v>
      </c>
      <c r="D31" s="42">
        <f t="shared" si="30"/>
        <v>107.62793000000001</v>
      </c>
      <c r="E31" s="42">
        <f t="shared" si="30"/>
        <v>118.636635</v>
      </c>
      <c r="F31" s="42">
        <f t="shared" si="30"/>
        <v>115.223404</v>
      </c>
      <c r="G31" s="80">
        <f t="shared" si="1"/>
        <v>112.75376439999999</v>
      </c>
      <c r="H31" s="81">
        <f t="shared" si="2"/>
        <v>3124.1628123778382</v>
      </c>
      <c r="I31" s="79">
        <f t="shared" si="3"/>
        <v>3.9406914579518761E-2</v>
      </c>
      <c r="J31" s="79">
        <f t="shared" si="4"/>
        <v>0.11900000000000001</v>
      </c>
      <c r="K31" s="79">
        <f t="shared" si="5"/>
        <v>9.8782307262816282E-2</v>
      </c>
      <c r="L31" s="42">
        <f>G31/'Clause 6'!$H$12</f>
        <v>112.75376439999999</v>
      </c>
      <c r="M31">
        <f t="shared" si="6"/>
        <v>5</v>
      </c>
      <c r="O31" s="254">
        <f t="shared" si="9"/>
        <v>-4.660781329975705E-2</v>
      </c>
      <c r="P31" s="254">
        <f t="shared" si="7"/>
        <v>1.7990801555890279E-2</v>
      </c>
      <c r="Q31" s="254">
        <f t="shared" si="7"/>
        <v>-4.5460428104340811E-2</v>
      </c>
      <c r="R31" s="254">
        <f t="shared" si="7"/>
        <v>5.2174493963059287E-2</v>
      </c>
      <c r="S31" s="254">
        <f t="shared" si="7"/>
        <v>2.1902945885148739E-2</v>
      </c>
    </row>
    <row r="32" spans="1:49" ht="13.15" x14ac:dyDescent="0.4">
      <c r="A32" s="68" t="s">
        <v>162</v>
      </c>
      <c r="B32" s="42">
        <f t="shared" ref="B32:F32" si="31">G76</f>
        <v>84.207206999999997</v>
      </c>
      <c r="C32" s="42">
        <f t="shared" si="31"/>
        <v>84.762314000000003</v>
      </c>
      <c r="D32" s="42"/>
      <c r="E32" s="42">
        <f t="shared" si="31"/>
        <v>87.268897999999993</v>
      </c>
      <c r="F32" s="42">
        <f t="shared" si="31"/>
        <v>83.207130000000006</v>
      </c>
      <c r="G32" s="80">
        <f t="shared" si="1"/>
        <v>84.861387249999993</v>
      </c>
      <c r="H32" s="81">
        <f t="shared" si="2"/>
        <v>2351.3254006554907</v>
      </c>
      <c r="I32" s="79">
        <f t="shared" si="3"/>
        <v>1.7646834289772803E-2</v>
      </c>
      <c r="J32" s="79">
        <f t="shared" si="4"/>
        <v>0.11900000000000001</v>
      </c>
      <c r="K32" s="79">
        <f t="shared" si="5"/>
        <v>4.7863558817794215E-2</v>
      </c>
      <c r="L32" s="42">
        <f>G32/'Clause 6'!$H$12</f>
        <v>84.861387249999993</v>
      </c>
      <c r="M32">
        <f t="shared" si="6"/>
        <v>4</v>
      </c>
      <c r="O32" s="254">
        <f t="shared" si="9"/>
        <v>-7.7088092853442314E-3</v>
      </c>
      <c r="P32" s="254">
        <f t="shared" si="7"/>
        <v>-1.1674714874518877E-3</v>
      </c>
      <c r="Q32" s="254">
        <f t="shared" si="7"/>
        <v>0</v>
      </c>
      <c r="R32" s="254">
        <f t="shared" si="7"/>
        <v>2.8369919795295351E-2</v>
      </c>
      <c r="S32" s="254">
        <f t="shared" si="7"/>
        <v>-1.9493639022498899E-2</v>
      </c>
    </row>
    <row r="33" spans="1:19" ht="13.15" x14ac:dyDescent="0.4">
      <c r="A33" s="68" t="s">
        <v>163</v>
      </c>
      <c r="B33" s="42">
        <f t="shared" ref="B33:F33" si="32">G77</f>
        <v>64.100989999999996</v>
      </c>
      <c r="C33" s="42">
        <f t="shared" si="32"/>
        <v>63.924908000000002</v>
      </c>
      <c r="D33" s="42"/>
      <c r="E33" s="42">
        <f t="shared" si="32"/>
        <v>62.384995000000004</v>
      </c>
      <c r="F33" s="42">
        <f t="shared" si="32"/>
        <v>63.680720999999998</v>
      </c>
      <c r="G33" s="80">
        <f t="shared" si="1"/>
        <v>63.522903499999998</v>
      </c>
      <c r="H33" s="81">
        <f t="shared" si="2"/>
        <v>1760.082192421826</v>
      </c>
      <c r="I33" s="79">
        <f t="shared" si="3"/>
        <v>1.0605760742791879E-2</v>
      </c>
      <c r="J33" s="79">
        <f t="shared" si="4"/>
        <v>0.13400000000000001</v>
      </c>
      <c r="K33" s="79">
        <f t="shared" si="5"/>
        <v>2.7013799833629965E-2</v>
      </c>
      <c r="L33" s="42">
        <f>G33/'Clause 6'!$H$12</f>
        <v>63.522903499999998</v>
      </c>
      <c r="M33">
        <f t="shared" si="6"/>
        <v>4</v>
      </c>
      <c r="O33" s="254">
        <f t="shared" si="9"/>
        <v>9.1004420161620025E-3</v>
      </c>
      <c r="P33" s="254">
        <f t="shared" si="7"/>
        <v>6.3284969333934349E-3</v>
      </c>
      <c r="Q33" s="254">
        <f t="shared" si="7"/>
        <v>0</v>
      </c>
      <c r="R33" s="254">
        <f t="shared" si="7"/>
        <v>-1.7913357817468056E-2</v>
      </c>
      <c r="S33" s="254">
        <f t="shared" si="7"/>
        <v>2.4844188679127299E-3</v>
      </c>
    </row>
    <row r="34" spans="1:19" ht="13.15" x14ac:dyDescent="0.4">
      <c r="A34" s="68" t="s">
        <v>164</v>
      </c>
      <c r="B34" s="42">
        <f t="shared" ref="B34:F34" si="33">G78</f>
        <v>45.189208999999998</v>
      </c>
      <c r="C34" s="42">
        <f t="shared" si="33"/>
        <v>49.091503000000003</v>
      </c>
      <c r="D34" s="42"/>
      <c r="E34" s="42">
        <f t="shared" si="33"/>
        <v>45.386837</v>
      </c>
      <c r="F34" s="42">
        <f t="shared" si="33"/>
        <v>46.265273999999998</v>
      </c>
      <c r="G34" s="80">
        <f t="shared" si="1"/>
        <v>46.483205750000003</v>
      </c>
      <c r="H34" s="81">
        <f t="shared" si="2"/>
        <v>1287.9490416752571</v>
      </c>
      <c r="I34" s="79">
        <f t="shared" si="3"/>
        <v>3.3548026738148926E-2</v>
      </c>
      <c r="J34" s="79">
        <f t="shared" si="4"/>
        <v>0.13400000000000001</v>
      </c>
      <c r="K34" s="79">
        <f t="shared" si="5"/>
        <v>8.3950621241307227E-2</v>
      </c>
      <c r="L34" s="42">
        <f>G34/'Clause 6'!$H$12</f>
        <v>46.483205750000003</v>
      </c>
      <c r="M34">
        <f t="shared" si="6"/>
        <v>4</v>
      </c>
      <c r="O34" s="254">
        <f t="shared" si="9"/>
        <v>-2.7837941233216368E-2</v>
      </c>
      <c r="P34" s="254">
        <f t="shared" si="7"/>
        <v>5.6112680008090887E-2</v>
      </c>
      <c r="Q34" s="254">
        <f t="shared" si="7"/>
        <v>0</v>
      </c>
      <c r="R34" s="254">
        <f t="shared" si="7"/>
        <v>-2.3586341180868442E-2</v>
      </c>
      <c r="S34" s="254">
        <f t="shared" si="7"/>
        <v>-4.6883975940064104E-3</v>
      </c>
    </row>
    <row r="35" spans="1:19" ht="13.15" x14ac:dyDescent="0.4">
      <c r="A35" s="68" t="s">
        <v>165</v>
      </c>
      <c r="B35" s="42">
        <f t="shared" ref="B35:F35" si="34">G79</f>
        <v>33.244926</v>
      </c>
      <c r="C35" s="42">
        <f t="shared" si="34"/>
        <v>34.258099000000001</v>
      </c>
      <c r="D35" s="42"/>
      <c r="E35" s="42">
        <f t="shared" si="34"/>
        <v>33.821078999999997</v>
      </c>
      <c r="F35" s="42">
        <f t="shared" si="34"/>
        <v>31.312619999999999</v>
      </c>
      <c r="G35" s="80">
        <f t="shared" si="1"/>
        <v>33.159181000000004</v>
      </c>
      <c r="H35" s="81">
        <f t="shared" si="2"/>
        <v>918.76914904231614</v>
      </c>
      <c r="I35" s="79">
        <f t="shared" si="3"/>
        <v>3.392849331543199E-2</v>
      </c>
      <c r="J35" s="79">
        <f t="shared" si="4"/>
        <v>0.156</v>
      </c>
      <c r="K35" s="79">
        <f t="shared" si="5"/>
        <v>8.8828460509926405E-2</v>
      </c>
      <c r="L35" s="42">
        <f>G35/'Clause 6'!$H$12</f>
        <v>33.159181000000004</v>
      </c>
      <c r="M35">
        <f t="shared" si="6"/>
        <v>4</v>
      </c>
      <c r="O35" s="254">
        <f t="shared" si="9"/>
        <v>2.5858600066146487E-3</v>
      </c>
      <c r="P35" s="254">
        <f t="shared" si="7"/>
        <v>3.3140685832982353E-2</v>
      </c>
      <c r="Q35" s="254">
        <f t="shared" si="7"/>
        <v>0</v>
      </c>
      <c r="R35" s="254">
        <f t="shared" si="7"/>
        <v>1.9961228837346523E-2</v>
      </c>
      <c r="S35" s="254">
        <f t="shared" si="7"/>
        <v>-5.568777467694408E-2</v>
      </c>
    </row>
    <row r="36" spans="1:19" ht="13.15" x14ac:dyDescent="0.4">
      <c r="A36" s="68" t="s">
        <v>166</v>
      </c>
      <c r="B36" s="42">
        <f t="shared" ref="B36:E36" si="35">G80</f>
        <v>24.684854999999999</v>
      </c>
      <c r="C36" s="42">
        <f t="shared" si="35"/>
        <v>24.015986999999999</v>
      </c>
      <c r="D36" s="42">
        <f t="shared" si="35"/>
        <v>23.621310999999999</v>
      </c>
      <c r="E36" s="42">
        <f t="shared" si="35"/>
        <v>24.533424</v>
      </c>
      <c r="F36" s="42"/>
      <c r="G36" s="80">
        <f t="shared" si="1"/>
        <v>24.213894249999996</v>
      </c>
      <c r="H36" s="81">
        <f t="shared" si="2"/>
        <v>670.91461080034287</v>
      </c>
      <c r="I36" s="79">
        <f t="shared" si="3"/>
        <v>1.7451109027907124E-2</v>
      </c>
      <c r="J36" s="79">
        <f t="shared" si="4"/>
        <v>0.156</v>
      </c>
      <c r="K36" s="79">
        <f t="shared" si="5"/>
        <v>4.3922881178024495E-2</v>
      </c>
      <c r="L36" s="42">
        <f>G36/'Clause 6'!$H$12</f>
        <v>24.213894249999996</v>
      </c>
      <c r="M36">
        <f t="shared" si="6"/>
        <v>4</v>
      </c>
      <c r="O36" s="254">
        <f t="shared" si="9"/>
        <v>1.94500209316808E-2</v>
      </c>
      <c r="P36" s="254">
        <f t="shared" si="7"/>
        <v>-8.1732929018634159E-3</v>
      </c>
      <c r="Q36" s="254">
        <f t="shared" si="7"/>
        <v>-2.4472860246343764E-2</v>
      </c>
      <c r="R36" s="254">
        <f t="shared" si="7"/>
        <v>1.3196132216527046E-2</v>
      </c>
      <c r="S36" s="254">
        <f t="shared" si="7"/>
        <v>0</v>
      </c>
    </row>
    <row r="37" spans="1:19" ht="13.15" x14ac:dyDescent="0.4">
      <c r="A37" s="68" t="s">
        <v>167</v>
      </c>
      <c r="B37" s="42">
        <f t="shared" ref="B37:E37" si="36">G81</f>
        <v>17.916428</v>
      </c>
      <c r="C37" s="42">
        <f t="shared" si="36"/>
        <v>16.069521000000002</v>
      </c>
      <c r="D37" s="42">
        <f t="shared" si="36"/>
        <v>15.806742</v>
      </c>
      <c r="E37" s="42">
        <f t="shared" si="36"/>
        <v>18.049590999999999</v>
      </c>
      <c r="F37" s="42"/>
      <c r="G37" s="80">
        <f t="shared" si="1"/>
        <v>16.960570500000003</v>
      </c>
      <c r="H37" s="81">
        <f t="shared" si="2"/>
        <v>469.94070588043809</v>
      </c>
      <c r="I37" s="79">
        <f t="shared" si="3"/>
        <v>6.0595269635690611E-2</v>
      </c>
      <c r="J37" s="79">
        <f t="shared" si="4"/>
        <v>0.193</v>
      </c>
      <c r="K37" s="79">
        <f t="shared" si="5"/>
        <v>0.13223900693670648</v>
      </c>
      <c r="L37" s="42">
        <f>G37/'Clause 6'!$H$12</f>
        <v>16.960570500000003</v>
      </c>
      <c r="M37">
        <f t="shared" si="6"/>
        <v>4</v>
      </c>
      <c r="O37" s="254">
        <f t="shared" si="9"/>
        <v>5.6357626649409909E-2</v>
      </c>
      <c r="P37" s="254">
        <f t="shared" si="7"/>
        <v>-5.2536528768298285E-2</v>
      </c>
      <c r="Q37" s="254">
        <f t="shared" si="7"/>
        <v>-6.8030052408909358E-2</v>
      </c>
      <c r="R37" s="254">
        <f t="shared" si="7"/>
        <v>6.4208954527797069E-2</v>
      </c>
      <c r="S37" s="254">
        <f t="shared" si="7"/>
        <v>0</v>
      </c>
    </row>
    <row r="38" spans="1:19" ht="13.15" x14ac:dyDescent="0.4">
      <c r="A38" s="68" t="s">
        <v>168</v>
      </c>
      <c r="B38" s="42">
        <f t="shared" ref="B38:E38" si="37">G82</f>
        <v>12.143356000000001</v>
      </c>
      <c r="C38" s="42">
        <f t="shared" si="37"/>
        <v>11.654818000000001</v>
      </c>
      <c r="D38" s="42">
        <f t="shared" si="37"/>
        <v>12.254664999999999</v>
      </c>
      <c r="E38" s="42">
        <f t="shared" si="37"/>
        <v>12.266712</v>
      </c>
      <c r="F38" s="42"/>
      <c r="G38" s="80">
        <f t="shared" si="1"/>
        <v>12.079887750000001</v>
      </c>
      <c r="H38" s="81">
        <f t="shared" si="2"/>
        <v>334.70754867540904</v>
      </c>
      <c r="I38" s="79">
        <f t="shared" si="3"/>
        <v>2.0702298003614641E-2</v>
      </c>
      <c r="J38" s="79">
        <f t="shared" si="4"/>
        <v>0.193</v>
      </c>
      <c r="K38" s="79">
        <f t="shared" si="5"/>
        <v>5.0653947508742324E-2</v>
      </c>
      <c r="L38" s="42">
        <f>G38/'Clause 6'!$H$12</f>
        <v>12.079887750000001</v>
      </c>
      <c r="M38">
        <f t="shared" si="6"/>
        <v>4</v>
      </c>
      <c r="O38" s="254">
        <f t="shared" si="9"/>
        <v>5.2540430270140437E-3</v>
      </c>
      <c r="P38" s="254">
        <f t="shared" si="7"/>
        <v>-3.5188220188552721E-2</v>
      </c>
      <c r="Q38" s="254">
        <f t="shared" si="7"/>
        <v>1.4468449841348763E-2</v>
      </c>
      <c r="R38" s="254">
        <f t="shared" si="7"/>
        <v>1.5465727320189693E-2</v>
      </c>
      <c r="S38" s="254">
        <f t="shared" si="7"/>
        <v>0</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5">
        <f>'6 - B1'!A51</f>
        <v>0</v>
      </c>
      <c r="B51" s="256" t="str">
        <f>'6 - B1'!B51</f>
        <v>Portion 1</v>
      </c>
      <c r="C51" s="256" t="str">
        <f>'6 - B1'!C51</f>
        <v>Portion 2</v>
      </c>
      <c r="D51" s="256" t="str">
        <f>'6 - B1'!D51</f>
        <v>Portion 3</v>
      </c>
      <c r="E51" s="256" t="str">
        <f>'6 - B1'!E51</f>
        <v>Portion 4</v>
      </c>
      <c r="F51" s="256" t="str">
        <f>'6 - B1'!F51</f>
        <v>Portion 5</v>
      </c>
      <c r="G51" s="256" t="str">
        <f>'6 - B1'!G51</f>
        <v>Portion 1</v>
      </c>
      <c r="H51" s="256" t="str">
        <f>'6 - B1'!H51</f>
        <v>Portion 2</v>
      </c>
      <c r="I51" s="256" t="str">
        <f>'6 - B1'!I51</f>
        <v>Portion 3</v>
      </c>
      <c r="J51" s="256" t="str">
        <f>'6 - B1'!J51</f>
        <v>Portion 4</v>
      </c>
      <c r="K51" s="256" t="str">
        <f>'6 - B1'!K51</f>
        <v>Portion 5</v>
      </c>
      <c r="L51" s="256" t="str">
        <f>'6 - B1'!L51</f>
        <v>Portion 1</v>
      </c>
      <c r="M51" s="256" t="str">
        <f>'6 - B1'!M51</f>
        <v>Portion 2</v>
      </c>
      <c r="N51" s="256" t="str">
        <f>'6 - B1'!N51</f>
        <v>Portion 3</v>
      </c>
      <c r="O51" s="256" t="str">
        <f>'6 - B1'!O51</f>
        <v>Portion 4</v>
      </c>
      <c r="P51" s="256" t="str">
        <f>'6 - B1'!P51</f>
        <v>Portion 5</v>
      </c>
    </row>
    <row r="52" spans="1:16" x14ac:dyDescent="0.35">
      <c r="A52" s="257" t="str">
        <f>'6 - B1'!A52</f>
        <v>NAME\mL</v>
      </c>
      <c r="B52" s="255">
        <f>'6 - B1'!B52</f>
        <v>5.0462610000000003</v>
      </c>
      <c r="C52" s="255">
        <f>'6 - B1'!C52</f>
        <v>5.6930870000000002</v>
      </c>
      <c r="D52" s="255">
        <f>'6 - B1'!D52</f>
        <v>5.6217810000000004</v>
      </c>
      <c r="E52" s="255">
        <f>'6 - B1'!E52</f>
        <v>5.6694240000000002</v>
      </c>
      <c r="F52" s="255">
        <f>'6 - B1'!F52</f>
        <v>5.6696869999999997</v>
      </c>
      <c r="G52" s="255">
        <f>'6 - B1'!G52</f>
        <v>5.0233230000000004</v>
      </c>
      <c r="H52" s="255">
        <f>'6 - B1'!H52</f>
        <v>5.6628939999999997</v>
      </c>
      <c r="I52" s="255">
        <f>'6 - B1'!I52</f>
        <v>5.630509</v>
      </c>
      <c r="J52" s="255">
        <f>'6 - B1'!J52</f>
        <v>5.7065010000000003</v>
      </c>
      <c r="K52" s="255">
        <f>'6 - B1'!K52</f>
        <v>5.684609</v>
      </c>
      <c r="L52" s="255">
        <f>'6 - B1'!L52</f>
        <v>5.0705140000000002</v>
      </c>
      <c r="M52" s="255">
        <f>'6 - B1'!M52</f>
        <v>5.6845629999999998</v>
      </c>
      <c r="N52" s="255">
        <f>'6 - B1'!N52</f>
        <v>5.6810910000000003</v>
      </c>
      <c r="O52" s="255">
        <f>'6 - B1'!O52</f>
        <v>5.6736360000000001</v>
      </c>
      <c r="P52" s="255">
        <f>'6 - B1'!P52</f>
        <v>5.6893779999999996</v>
      </c>
    </row>
    <row r="53" spans="1:16" x14ac:dyDescent="0.35">
      <c r="A53" s="257">
        <f>'6 - B1'!A53</f>
        <v>4</v>
      </c>
      <c r="B53" s="255">
        <f>'6 - B1'!B53</f>
        <v>12580.402344</v>
      </c>
      <c r="C53" s="255">
        <f>'6 - B1'!C53</f>
        <v>11835.758789</v>
      </c>
      <c r="D53" s="255">
        <f>'6 - B1'!D53</f>
        <v>12467.934569999999</v>
      </c>
      <c r="E53" s="255">
        <f>'6 - B1'!E53</f>
        <v>12081.651367</v>
      </c>
      <c r="F53" s="255">
        <f>'6 - B1'!F53</f>
        <v>12443.544921999999</v>
      </c>
      <c r="G53" s="255">
        <f>'6 - B1'!G53</f>
        <v>12360.742188</v>
      </c>
      <c r="H53" s="255">
        <f>'6 - B1'!H53</f>
        <v>12372.648438</v>
      </c>
      <c r="I53" s="255">
        <f>'6 - B1'!I53</f>
        <v>12222.518555000001</v>
      </c>
      <c r="J53" s="255">
        <f>'6 - B1'!J53</f>
        <v>11912.204102</v>
      </c>
      <c r="K53" s="255">
        <f>'6 - B1'!K53</f>
        <v>11836.522461</v>
      </c>
      <c r="L53" s="255">
        <f>'6 - B1'!L53</f>
        <v>12126.1875</v>
      </c>
      <c r="M53" s="255">
        <f>'6 - B1'!M53</f>
        <v>11685.859375</v>
      </c>
      <c r="N53" s="255">
        <f>'6 - B1'!N53</f>
        <v>11615.375</v>
      </c>
      <c r="O53" s="255">
        <f>'6 - B1'!O53</f>
        <v>11984.553711</v>
      </c>
      <c r="P53" s="255">
        <f>'6 - B1'!P53</f>
        <v>11872.299805000001</v>
      </c>
    </row>
    <row r="54" spans="1:16" x14ac:dyDescent="0.35">
      <c r="A54" s="257">
        <f>'6 - B1'!A54</f>
        <v>5</v>
      </c>
      <c r="B54" s="255">
        <f>'6 - B1'!B54</f>
        <v>11118.528319999999</v>
      </c>
      <c r="C54" s="255">
        <f>'6 - B1'!C54</f>
        <v>10489.564453000001</v>
      </c>
      <c r="D54" s="255">
        <f>'6 - B1'!D54</f>
        <v>11059.662109000001</v>
      </c>
      <c r="E54" s="255">
        <f>'6 - B1'!E54</f>
        <v>10677.628906</v>
      </c>
      <c r="F54" s="255">
        <f>'6 - B1'!F54</f>
        <v>10988.084961</v>
      </c>
      <c r="G54" s="255">
        <f>'6 - B1'!G54</f>
        <v>10908.714844</v>
      </c>
      <c r="H54" s="255">
        <f>'6 - B1'!H54</f>
        <v>10908.026367</v>
      </c>
      <c r="I54" s="255">
        <f>'6 - B1'!I54</f>
        <v>10773.803711</v>
      </c>
      <c r="J54" s="255">
        <f>'6 - B1'!J54</f>
        <v>10552.702148</v>
      </c>
      <c r="K54" s="255">
        <f>'6 - B1'!K54</f>
        <v>10491.487305000001</v>
      </c>
      <c r="L54" s="255">
        <f>'6 - B1'!L54</f>
        <v>10708.776367</v>
      </c>
      <c r="M54" s="255">
        <f>'6 - B1'!M54</f>
        <v>10304.046875</v>
      </c>
      <c r="N54" s="255">
        <f>'6 - B1'!N54</f>
        <v>10269.154296999999</v>
      </c>
      <c r="O54" s="255">
        <f>'6 - B1'!O54</f>
        <v>10570.292969</v>
      </c>
      <c r="P54" s="255">
        <f>'6 - B1'!P54</f>
        <v>10495.875</v>
      </c>
    </row>
    <row r="55" spans="1:16" x14ac:dyDescent="0.35">
      <c r="A55" s="257">
        <f>'6 - B1'!A55</f>
        <v>6</v>
      </c>
      <c r="B55" s="255">
        <f>'6 - B1'!B55</f>
        <v>9738.8935550000006</v>
      </c>
      <c r="C55" s="255">
        <f>'6 - B1'!C55</f>
        <v>9220.8330079999996</v>
      </c>
      <c r="D55" s="255">
        <f>'6 - B1'!D55</f>
        <v>9703.6855469999991</v>
      </c>
      <c r="E55" s="255">
        <f>'6 - B1'!E55</f>
        <v>9350.8623050000006</v>
      </c>
      <c r="F55" s="255">
        <f>'6 - B1'!F55</f>
        <v>9615.1699219999991</v>
      </c>
      <c r="G55" s="255">
        <f>'6 - B1'!G55</f>
        <v>9542.0898440000001</v>
      </c>
      <c r="H55" s="255">
        <f>'6 - B1'!H55</f>
        <v>9550.0634769999997</v>
      </c>
      <c r="I55" s="255">
        <f>'6 - B1'!I55</f>
        <v>9413.5361329999996</v>
      </c>
      <c r="J55" s="255">
        <f>'6 - B1'!J55</f>
        <v>9244.7197269999997</v>
      </c>
      <c r="K55" s="255">
        <f>'6 - B1'!K55</f>
        <v>9214.8818360000005</v>
      </c>
      <c r="L55" s="255">
        <f>'6 - B1'!L55</f>
        <v>9376.7617190000001</v>
      </c>
      <c r="M55" s="255">
        <f>'6 - B1'!M55</f>
        <v>8972.3701170000004</v>
      </c>
      <c r="N55" s="255">
        <f>'6 - B1'!N55</f>
        <v>8970.6367190000001</v>
      </c>
      <c r="O55" s="255">
        <f>'6 - B1'!O55</f>
        <v>9225.3007809999999</v>
      </c>
      <c r="P55" s="255">
        <f>'6 - B1'!P55</f>
        <v>9170.4228519999997</v>
      </c>
    </row>
    <row r="56" spans="1:16" x14ac:dyDescent="0.35">
      <c r="A56" s="257">
        <f>'6 - B1'!A56</f>
        <v>7</v>
      </c>
      <c r="B56" s="255">
        <f>'6 - B1'!B56</f>
        <v>8515.4130860000005</v>
      </c>
      <c r="C56" s="255">
        <f>'6 - B1'!C56</f>
        <v>8065.3964839999999</v>
      </c>
      <c r="D56" s="255">
        <f>'6 - B1'!D56</f>
        <v>8484.8554690000001</v>
      </c>
      <c r="E56" s="255">
        <f>'6 - B1'!E56</f>
        <v>8144.5668949999999</v>
      </c>
      <c r="F56" s="255">
        <f>'6 - B1'!F56</f>
        <v>8390.7636719999991</v>
      </c>
      <c r="G56" s="255">
        <f>'6 - B1'!G56</f>
        <v>8313.2216800000006</v>
      </c>
      <c r="H56" s="255">
        <f>'6 - B1'!H56</f>
        <v>8351.5595699999994</v>
      </c>
      <c r="I56" s="255">
        <f>'6 - B1'!I56</f>
        <v>8224.1230469999991</v>
      </c>
      <c r="J56" s="255">
        <f>'6 - B1'!J56</f>
        <v>8068.1669920000004</v>
      </c>
      <c r="K56" s="255">
        <f>'6 - B1'!K56</f>
        <v>8064.0551759999998</v>
      </c>
      <c r="L56" s="255">
        <f>'6 - B1'!L56</f>
        <v>8122.2539059999999</v>
      </c>
      <c r="M56" s="255">
        <f>'6 - B1'!M56</f>
        <v>7780.7216799999997</v>
      </c>
      <c r="N56" s="255">
        <f>'6 - B1'!N56</f>
        <v>7822.2651370000003</v>
      </c>
      <c r="O56" s="255">
        <f>'6 - B1'!O56</f>
        <v>7992.0522460000002</v>
      </c>
      <c r="P56" s="255">
        <f>'6 - B1'!P56</f>
        <v>7966.2490230000003</v>
      </c>
    </row>
    <row r="57" spans="1:16" x14ac:dyDescent="0.35">
      <c r="A57" s="257">
        <f>'6 - B1'!A57</f>
        <v>8</v>
      </c>
      <c r="B57" s="255">
        <f>'6 - B1'!B57</f>
        <v>7446.701172</v>
      </c>
      <c r="C57" s="255">
        <f>'6 - B1'!C57</f>
        <v>7023.7822269999997</v>
      </c>
      <c r="D57" s="255">
        <f>'6 - B1'!D57</f>
        <v>7390.1840819999998</v>
      </c>
      <c r="E57" s="255">
        <f>'6 - B1'!E57</f>
        <v>7073.2060549999997</v>
      </c>
      <c r="F57" s="255">
        <f>'6 - B1'!F57</f>
        <v>7291.9370120000003</v>
      </c>
      <c r="G57" s="255">
        <f>'6 - B1'!G57</f>
        <v>7216.9360349999997</v>
      </c>
      <c r="H57" s="255">
        <f>'6 - B1'!H57</f>
        <v>7269.7807620000003</v>
      </c>
      <c r="I57" s="255">
        <f>'6 - B1'!I57</f>
        <v>7165.4267579999996</v>
      </c>
      <c r="J57" s="255">
        <f>'6 - B1'!J57</f>
        <v>7037.9384769999997</v>
      </c>
      <c r="K57" s="255">
        <f>'6 - B1'!K57</f>
        <v>7035.4882809999999</v>
      </c>
      <c r="L57" s="255">
        <f>'6 - B1'!L57</f>
        <v>7014.8710940000001</v>
      </c>
      <c r="M57" s="255">
        <f>'6 - B1'!M57</f>
        <v>6735.0825199999999</v>
      </c>
      <c r="N57" s="255">
        <f>'6 - B1'!N57</f>
        <v>6775.8115230000003</v>
      </c>
      <c r="O57" s="255">
        <f>'6 - B1'!O57</f>
        <v>6907.5629879999997</v>
      </c>
      <c r="P57" s="255">
        <f>'6 - B1'!P57</f>
        <v>6905.5004879999997</v>
      </c>
    </row>
    <row r="58" spans="1:16" x14ac:dyDescent="0.35">
      <c r="A58" s="257">
        <f>'6 - B1'!A58</f>
        <v>9</v>
      </c>
      <c r="B58" s="255">
        <f>'6 - B1'!B58</f>
        <v>6502.4375</v>
      </c>
      <c r="C58" s="255">
        <f>'6 - B1'!C58</f>
        <v>6107.4077150000003</v>
      </c>
      <c r="D58" s="255">
        <f>'6 - B1'!D58</f>
        <v>6408.111328</v>
      </c>
      <c r="E58" s="255">
        <f>'6 - B1'!E58</f>
        <v>6140.8359380000002</v>
      </c>
      <c r="F58" s="255">
        <f>'6 - B1'!F58</f>
        <v>6310.2250979999999</v>
      </c>
      <c r="G58" s="255">
        <f>'6 - B1'!G58</f>
        <v>6247.8559569999998</v>
      </c>
      <c r="H58" s="255">
        <f>'6 - B1'!H58</f>
        <v>6300.841797</v>
      </c>
      <c r="I58" s="255">
        <f>'6 - B1'!I58</f>
        <v>6231.408203</v>
      </c>
      <c r="J58" s="255">
        <f>'6 - B1'!J58</f>
        <v>6124.5942379999997</v>
      </c>
      <c r="K58" s="255">
        <f>'6 - B1'!K58</f>
        <v>6122.4965819999998</v>
      </c>
      <c r="L58" s="255">
        <f>'6 - B1'!L58</f>
        <v>6049.8798829999996</v>
      </c>
      <c r="M58" s="255">
        <f>'6 - B1'!M58</f>
        <v>5806.2514650000003</v>
      </c>
      <c r="N58" s="255">
        <f>'6 - B1'!N58</f>
        <v>5860.8461909999996</v>
      </c>
      <c r="O58" s="255">
        <f>'6 - B1'!O58</f>
        <v>5963.5473629999997</v>
      </c>
      <c r="P58" s="255">
        <f>'6 - B1'!P58</f>
        <v>5980.6186520000001</v>
      </c>
    </row>
    <row r="59" spans="1:16" x14ac:dyDescent="0.35">
      <c r="A59" s="257">
        <f>'6 - B1'!A59</f>
        <v>10</v>
      </c>
      <c r="B59" s="255">
        <f>'6 - B1'!B59</f>
        <v>5575.216797</v>
      </c>
      <c r="C59" s="255">
        <f>'6 - B1'!C59</f>
        <v>5233.8920900000003</v>
      </c>
      <c r="D59" s="255">
        <f>'6 - B1'!D59</f>
        <v>5489.185547</v>
      </c>
      <c r="E59" s="255">
        <f>'6 - B1'!E59</f>
        <v>5234.0419920000004</v>
      </c>
      <c r="F59" s="255">
        <f>'6 - B1'!F59</f>
        <v>5412.4682620000003</v>
      </c>
      <c r="G59" s="255">
        <f>'6 - B1'!G59</f>
        <v>5331.3315430000002</v>
      </c>
      <c r="H59" s="255">
        <f>'6 - B1'!H59</f>
        <v>5390.1767579999996</v>
      </c>
      <c r="I59" s="255">
        <f>'6 - B1'!I59</f>
        <v>5314.2622069999998</v>
      </c>
      <c r="J59" s="255">
        <f>'6 - B1'!J59</f>
        <v>5252.0805659999996</v>
      </c>
      <c r="K59" s="255">
        <f>'6 - B1'!K59</f>
        <v>5259.4648440000001</v>
      </c>
      <c r="L59" s="255">
        <f>'6 - B1'!L59</f>
        <v>5144.4492190000001</v>
      </c>
      <c r="M59" s="255">
        <f>'6 - B1'!M59</f>
        <v>4946.7304690000001</v>
      </c>
      <c r="N59" s="255">
        <f>'6 - B1'!N59</f>
        <v>4975.8051759999998</v>
      </c>
      <c r="O59" s="255">
        <f>'6 - B1'!O59</f>
        <v>5068.7070309999999</v>
      </c>
      <c r="P59" s="255">
        <f>'6 - B1'!P59</f>
        <v>5086.4965819999998</v>
      </c>
    </row>
    <row r="60" spans="1:16" x14ac:dyDescent="0.35">
      <c r="A60" s="257">
        <f>'6 - B1'!A60</f>
        <v>11</v>
      </c>
      <c r="B60" s="255">
        <f>'6 - B1'!B60</f>
        <v>4739.9448240000002</v>
      </c>
      <c r="C60" s="255">
        <f>'6 - B1'!C60</f>
        <v>4463.6596680000002</v>
      </c>
      <c r="D60" s="255">
        <f>'6 - B1'!D60</f>
        <v>4684.2802730000003</v>
      </c>
      <c r="E60" s="255">
        <f>'6 - B1'!E60</f>
        <v>4449.6586909999996</v>
      </c>
      <c r="F60" s="255">
        <f>'6 - B1'!F60</f>
        <v>4614.1879879999997</v>
      </c>
      <c r="G60" s="255">
        <f>'6 - B1'!G60</f>
        <v>4531.064453</v>
      </c>
      <c r="H60" s="255">
        <f>'6 - B1'!H60</f>
        <v>4589.1728519999997</v>
      </c>
      <c r="I60" s="255">
        <f>'6 - B1'!I60</f>
        <v>4515.7553710000002</v>
      </c>
      <c r="J60" s="255">
        <f>'6 - B1'!J60</f>
        <v>4483.6586909999996</v>
      </c>
      <c r="K60" s="255">
        <f>'6 - B1'!K60</f>
        <v>4483.8618159999996</v>
      </c>
      <c r="L60" s="255">
        <f>'6 - B1'!L60</f>
        <v>4355.1801759999998</v>
      </c>
      <c r="M60" s="255">
        <f>'6 - B1'!M60</f>
        <v>4179.3891599999997</v>
      </c>
      <c r="N60" s="255">
        <f>'6 - B1'!N60</f>
        <v>4207.642578</v>
      </c>
      <c r="O60" s="255">
        <f>'6 - B1'!O60</f>
        <v>4279.794922</v>
      </c>
      <c r="P60" s="255">
        <f>'6 - B1'!P60</f>
        <v>4307.1494140000004</v>
      </c>
    </row>
    <row r="61" spans="1:16" x14ac:dyDescent="0.35">
      <c r="A61" s="257">
        <f>'6 - B1'!A61</f>
        <v>12</v>
      </c>
      <c r="B61" s="255">
        <f>'6 - B1'!B61</f>
        <v>3969.0771479999999</v>
      </c>
      <c r="C61" s="255">
        <f>'6 - B1'!C61</f>
        <v>3752.7973630000001</v>
      </c>
      <c r="D61" s="255">
        <f>'6 - B1'!D61</f>
        <v>3914.2397460000002</v>
      </c>
      <c r="E61" s="255">
        <f>'6 - B1'!E61</f>
        <v>3732.6545409999999</v>
      </c>
      <c r="F61" s="255">
        <f>'6 - B1'!F61</f>
        <v>3840.9528810000002</v>
      </c>
      <c r="G61" s="255">
        <f>'6 - B1'!G61</f>
        <v>3783.9494629999999</v>
      </c>
      <c r="H61" s="255">
        <f>'6 - B1'!H61</f>
        <v>3840.4389649999998</v>
      </c>
      <c r="I61" s="255">
        <f>'6 - B1'!I61</f>
        <v>3779.2321780000002</v>
      </c>
      <c r="J61" s="255">
        <f>'6 - B1'!J61</f>
        <v>3745.9035640000002</v>
      </c>
      <c r="K61" s="255">
        <f>'6 - B1'!K61</f>
        <v>3755.0515140000002</v>
      </c>
      <c r="L61" s="255">
        <f>'6 - B1'!L61</f>
        <v>3611.0739749999998</v>
      </c>
      <c r="M61" s="255">
        <f>'6 - B1'!M61</f>
        <v>3469.5720209999999</v>
      </c>
      <c r="N61" s="255">
        <f>'6 - B1'!N61</f>
        <v>3498.095703</v>
      </c>
      <c r="O61" s="255">
        <f>'6 - B1'!O61</f>
        <v>3561.0317380000001</v>
      </c>
      <c r="P61" s="255">
        <f>'6 - B1'!P61</f>
        <v>3576.4895019999999</v>
      </c>
    </row>
    <row r="62" spans="1:16" x14ac:dyDescent="0.35">
      <c r="A62" s="257">
        <f>'6 - B1'!A62</f>
        <v>13</v>
      </c>
      <c r="B62" s="255">
        <f>'6 - B1'!B62</f>
        <v>3282.6281739999999</v>
      </c>
      <c r="C62" s="255">
        <f>'6 - B1'!C62</f>
        <v>3104.2915039999998</v>
      </c>
      <c r="D62" s="255">
        <f>'6 - B1'!D62</f>
        <v>3240.076172</v>
      </c>
      <c r="E62" s="255">
        <f>'6 - B1'!E62</f>
        <v>3093.7890619999998</v>
      </c>
      <c r="F62" s="255">
        <f>'6 - B1'!F62</f>
        <v>3177.9533689999998</v>
      </c>
      <c r="G62" s="255">
        <f>'6 - B1'!G62</f>
        <v>3139.5551759999998</v>
      </c>
      <c r="H62" s="255">
        <f>'6 - B1'!H62</f>
        <v>3176.8208009999998</v>
      </c>
      <c r="I62" s="255">
        <f>'6 - B1'!I62</f>
        <v>3128.1364749999998</v>
      </c>
      <c r="J62" s="255">
        <f>'6 - B1'!J62</f>
        <v>3119.0744629999999</v>
      </c>
      <c r="K62" s="255">
        <f>'6 - B1'!K62</f>
        <v>3110.8559570000002</v>
      </c>
      <c r="L62" s="255">
        <f>'6 - B1'!L62</f>
        <v>2962.2246089999999</v>
      </c>
      <c r="M62" s="255">
        <f>'6 - B1'!M62</f>
        <v>2858.2673340000001</v>
      </c>
      <c r="N62" s="255">
        <f>'6 - B1'!N62</f>
        <v>2864.9428710000002</v>
      </c>
      <c r="O62" s="255">
        <f>'6 - B1'!O62</f>
        <v>2915.4140619999998</v>
      </c>
      <c r="P62" s="255">
        <f>'6 - B1'!P62</f>
        <v>2928.4396969999998</v>
      </c>
    </row>
    <row r="63" spans="1:16" x14ac:dyDescent="0.35">
      <c r="A63" s="257">
        <f>'6 - B1'!A63</f>
        <v>14</v>
      </c>
      <c r="B63" s="255">
        <f>'6 - B1'!B63</f>
        <v>2692.4882809999999</v>
      </c>
      <c r="C63" s="255">
        <f>'6 - B1'!C63</f>
        <v>2537.1123050000001</v>
      </c>
      <c r="D63" s="255">
        <f>'6 - B1'!D63</f>
        <v>2656.6313479999999</v>
      </c>
      <c r="E63" s="255">
        <f>'6 - B1'!E63</f>
        <v>2519.6564939999998</v>
      </c>
      <c r="F63" s="255">
        <f>'6 - B1'!F63</f>
        <v>2582.858643</v>
      </c>
      <c r="G63" s="255">
        <f>'6 - B1'!G63</f>
        <v>2550.1047359999998</v>
      </c>
      <c r="H63" s="255">
        <f>'6 - B1'!H63</f>
        <v>2588.2524410000001</v>
      </c>
      <c r="I63" s="255">
        <f>'6 - B1'!I63</f>
        <v>2553.4104000000002</v>
      </c>
      <c r="J63" s="255">
        <f>'6 - B1'!J63</f>
        <v>2542.1884770000001</v>
      </c>
      <c r="K63" s="255">
        <f>'6 - B1'!K63</f>
        <v>2546.1733399999998</v>
      </c>
      <c r="L63" s="255">
        <f>'6 - B1'!L63</f>
        <v>2376.0905760000001</v>
      </c>
      <c r="M63" s="255">
        <f>'6 - B1'!M63</f>
        <v>2303.783203</v>
      </c>
      <c r="N63" s="255">
        <f>'6 - B1'!N63</f>
        <v>2299.9104000000002</v>
      </c>
      <c r="O63" s="255">
        <f>'6 - B1'!O63</f>
        <v>2351.7543949999999</v>
      </c>
      <c r="P63" s="255">
        <f>'6 - B1'!P63</f>
        <v>2348.938721</v>
      </c>
    </row>
    <row r="64" spans="1:16" x14ac:dyDescent="0.35">
      <c r="A64" s="257">
        <f>'6 - B1'!A64</f>
        <v>15</v>
      </c>
      <c r="B64" s="255">
        <f>'6 - B1'!B64</f>
        <v>2141.3872070000002</v>
      </c>
      <c r="C64" s="255">
        <f>'6 - B1'!C64</f>
        <v>2029.830322</v>
      </c>
      <c r="D64" s="255">
        <f>'6 - B1'!D64</f>
        <v>2116.766846</v>
      </c>
      <c r="E64" s="255">
        <f>'6 - B1'!E64</f>
        <v>1997.5576169999999</v>
      </c>
      <c r="F64" s="255">
        <f>'6 - B1'!F64</f>
        <v>2056.7272950000001</v>
      </c>
      <c r="G64" s="255">
        <f>'6 - B1'!G64</f>
        <v>2011.4174800000001</v>
      </c>
      <c r="H64" s="255">
        <f>'6 - B1'!H64</f>
        <v>2066.9643550000001</v>
      </c>
      <c r="I64" s="255">
        <f>'6 - B1'!I64</f>
        <v>2033.20874</v>
      </c>
      <c r="J64" s="255">
        <f>'6 - B1'!J64</f>
        <v>2026.6361079999999</v>
      </c>
      <c r="K64" s="255">
        <f>'6 - B1'!K64</f>
        <v>2025.1173100000001</v>
      </c>
      <c r="L64" s="255">
        <f>'6 - B1'!L64</f>
        <v>1882.255005</v>
      </c>
      <c r="M64" s="255">
        <f>'6 - B1'!M64</f>
        <v>1814.915283</v>
      </c>
      <c r="N64" s="255">
        <f>'6 - B1'!N64</f>
        <v>1786.9807129999999</v>
      </c>
      <c r="O64" s="255">
        <f>'6 - B1'!O64</f>
        <v>1845.5535890000001</v>
      </c>
      <c r="P64" s="255">
        <f>'6 - B1'!P64</f>
        <v>1846.9506839999999</v>
      </c>
    </row>
    <row r="65" spans="1:16" x14ac:dyDescent="0.35">
      <c r="A65" s="257">
        <f>'6 - B1'!A65</f>
        <v>16</v>
      </c>
      <c r="B65" s="255">
        <f>'6 - B1'!B65</f>
        <v>1696.305298</v>
      </c>
      <c r="C65" s="255">
        <f>'6 - B1'!C65</f>
        <v>1596.848999</v>
      </c>
      <c r="D65" s="255">
        <f>'6 - B1'!D65</f>
        <v>1668.510254</v>
      </c>
      <c r="E65" s="255">
        <f>'6 - B1'!E65</f>
        <v>1559.946899</v>
      </c>
      <c r="F65" s="255">
        <f>'6 - B1'!F65</f>
        <v>1621.7827150000001</v>
      </c>
      <c r="G65" s="255">
        <f>'6 - B1'!G65</f>
        <v>1580.626953</v>
      </c>
      <c r="H65" s="255">
        <f>'6 - B1'!H65</f>
        <v>1629.7320560000001</v>
      </c>
      <c r="I65" s="255">
        <f>'6 - B1'!I65</f>
        <v>1597.3688959999999</v>
      </c>
      <c r="J65" s="255">
        <f>'6 - B1'!J65</f>
        <v>1599.0535890000001</v>
      </c>
      <c r="K65" s="255">
        <f>'6 - B1'!K65</f>
        <v>1595.5363769999999</v>
      </c>
      <c r="L65" s="255">
        <f>'6 - B1'!L65</f>
        <v>1459.615356</v>
      </c>
      <c r="M65" s="255">
        <f>'6 - B1'!M65</f>
        <v>1405.0333250000001</v>
      </c>
      <c r="N65" s="255">
        <f>'6 - B1'!N65</f>
        <v>1391.2821039999999</v>
      </c>
      <c r="O65" s="255">
        <f>'6 - B1'!O65</f>
        <v>1425.3645019999999</v>
      </c>
      <c r="P65" s="255">
        <f>'6 - B1'!P65</f>
        <v>1431.0878909999999</v>
      </c>
    </row>
    <row r="66" spans="1:16" x14ac:dyDescent="0.35">
      <c r="A66" s="257">
        <f>'6 - B1'!A66</f>
        <v>17</v>
      </c>
      <c r="B66" s="255">
        <f>'6 - B1'!B66</f>
        <v>1323.355957</v>
      </c>
      <c r="C66" s="255">
        <f>'6 - B1'!C66</f>
        <v>1243.6136469999999</v>
      </c>
      <c r="D66" s="255">
        <f>'6 - B1'!D66</f>
        <v>1293.718018</v>
      </c>
      <c r="E66" s="255">
        <f>'6 - B1'!E66</f>
        <v>1199.063721</v>
      </c>
      <c r="F66" s="255">
        <f>'6 - B1'!F66</f>
        <v>1251.744629</v>
      </c>
      <c r="G66" s="255">
        <f>'6 - B1'!G66</f>
        <v>1218.1179199999999</v>
      </c>
      <c r="H66" s="255">
        <f>'6 - B1'!H66</f>
        <v>1255.5417480000001</v>
      </c>
      <c r="I66" s="255">
        <f>'6 - B1'!I66</f>
        <v>1248.022217</v>
      </c>
      <c r="J66" s="255">
        <f>'6 - B1'!J66</f>
        <v>1233.6807859999999</v>
      </c>
      <c r="K66" s="255">
        <f>'6 - B1'!K66</f>
        <v>1238.2558590000001</v>
      </c>
      <c r="L66" s="255">
        <f>'6 - B1'!L66</f>
        <v>1091.9997559999999</v>
      </c>
      <c r="M66" s="255">
        <f>'6 - B1'!M66</f>
        <v>1072.378052</v>
      </c>
      <c r="N66" s="255">
        <f>'6 - B1'!N66</f>
        <v>1049.0942379999999</v>
      </c>
      <c r="O66" s="255">
        <f>'6 - B1'!O66</f>
        <v>1073.209351</v>
      </c>
      <c r="P66" s="255">
        <f>'6 - B1'!P66</f>
        <v>1069.1854249999999</v>
      </c>
    </row>
    <row r="67" spans="1:16" x14ac:dyDescent="0.35">
      <c r="A67" s="257">
        <f>'6 - B1'!A67</f>
        <v>18</v>
      </c>
      <c r="B67" s="255">
        <f>'6 - B1'!B67</f>
        <v>1015.603394</v>
      </c>
      <c r="C67" s="255">
        <f>'6 - B1'!C67</f>
        <v>958.70666500000004</v>
      </c>
      <c r="D67" s="255">
        <f>'6 - B1'!D67</f>
        <v>1002.884949</v>
      </c>
      <c r="E67" s="255">
        <f>'6 - B1'!E67</f>
        <v>915.08422900000005</v>
      </c>
      <c r="F67" s="255">
        <f>'6 - B1'!F67</f>
        <v>961.25238000000002</v>
      </c>
      <c r="G67" s="255">
        <f>'6 - B1'!G67</f>
        <v>938.02447500000005</v>
      </c>
      <c r="H67" s="255">
        <f>'6 - B1'!H67</f>
        <v>959.93316700000003</v>
      </c>
      <c r="I67" s="255">
        <f>'6 - B1'!I67</f>
        <v>966.520081</v>
      </c>
      <c r="J67" s="255">
        <f>'6 - B1'!J67</f>
        <v>948.74255400000004</v>
      </c>
      <c r="K67" s="255">
        <f>'6 - B1'!K67</f>
        <v>959.08093299999996</v>
      </c>
      <c r="L67" s="255">
        <f>'6 - B1'!L67</f>
        <v>813.724243</v>
      </c>
      <c r="M67" s="255">
        <f>'6 - B1'!M67</f>
        <v>803.228027</v>
      </c>
      <c r="N67" s="255">
        <f>'6 - B1'!N67</f>
        <v>783.47631799999999</v>
      </c>
      <c r="O67" s="255">
        <f>'6 - B1'!O67</f>
        <v>798.07720900000004</v>
      </c>
      <c r="P67" s="255">
        <f>'6 - B1'!P67</f>
        <v>794.46295199999997</v>
      </c>
    </row>
    <row r="68" spans="1:16" x14ac:dyDescent="0.35">
      <c r="A68" s="257">
        <f>'6 - B1'!A68</f>
        <v>19</v>
      </c>
      <c r="B68" s="255">
        <f>'6 - B1'!B68</f>
        <v>773.44390899999996</v>
      </c>
      <c r="C68" s="255">
        <f>'6 - B1'!C68</f>
        <v>735.10211200000003</v>
      </c>
      <c r="D68" s="255">
        <f>'6 - B1'!D68</f>
        <v>771.28576699999996</v>
      </c>
      <c r="E68" s="255">
        <f>'6 - B1'!E68</f>
        <v>696.54345699999999</v>
      </c>
      <c r="F68" s="255">
        <f>'6 - B1'!F68</f>
        <v>739.37066700000003</v>
      </c>
      <c r="G68" s="255">
        <f>'6 - B1'!G68</f>
        <v>718.64776600000005</v>
      </c>
      <c r="H68" s="255">
        <f>'6 - B1'!H68</f>
        <v>729.30902100000003</v>
      </c>
      <c r="I68" s="255">
        <f>'6 - B1'!I68</f>
        <v>738.83196999999996</v>
      </c>
      <c r="J68" s="255">
        <f>'6 - B1'!J68</f>
        <v>736.35320999999999</v>
      </c>
      <c r="K68" s="255">
        <f>'6 - B1'!K68</f>
        <v>732.32830799999999</v>
      </c>
      <c r="L68" s="255">
        <f>'6 - B1'!L68</f>
        <v>593.82543899999996</v>
      </c>
      <c r="M68" s="255">
        <f>'6 - B1'!M68</f>
        <v>601.62939500000005</v>
      </c>
      <c r="N68" s="255">
        <f>'6 - B1'!N68</f>
        <v>590.20355199999995</v>
      </c>
      <c r="O68" s="255">
        <f>'6 - B1'!O68</f>
        <v>591.50775099999998</v>
      </c>
      <c r="P68" s="255">
        <f>'6 - B1'!P68</f>
        <v>593.73803699999996</v>
      </c>
    </row>
    <row r="69" spans="1:16" x14ac:dyDescent="0.35">
      <c r="A69" s="257">
        <f>'6 - B1'!A69</f>
        <v>20</v>
      </c>
      <c r="B69" s="255">
        <f>'6 - B1'!B69</f>
        <v>592.31970200000001</v>
      </c>
      <c r="C69" s="255">
        <f>'6 - B1'!C69</f>
        <v>562.26092500000004</v>
      </c>
      <c r="D69" s="255">
        <f>'6 - B1'!D69</f>
        <v>587.00256300000001</v>
      </c>
      <c r="E69" s="255">
        <f>'6 - B1'!E69</f>
        <v>526.50854500000003</v>
      </c>
      <c r="F69" s="255">
        <f>'6 - B1'!F69</f>
        <v>560.17205799999999</v>
      </c>
      <c r="G69" s="255">
        <f>'6 - B1'!G69</f>
        <v>554.81201199999998</v>
      </c>
      <c r="H69" s="255">
        <f>'6 - B1'!H69</f>
        <v>556.95898399999999</v>
      </c>
      <c r="I69" s="255">
        <f>'6 - B1'!I69</f>
        <v>554.30157499999996</v>
      </c>
      <c r="J69" s="255">
        <f>'6 - B1'!J69</f>
        <v>565.32019000000003</v>
      </c>
      <c r="K69" s="255">
        <f>'6 - B1'!K69</f>
        <v>562.21984899999995</v>
      </c>
      <c r="L69" s="255">
        <f>'6 - B1'!L69</f>
        <v>438.41711400000003</v>
      </c>
      <c r="M69" s="255">
        <f>'6 - B1'!M69</f>
        <v>443.12994400000002</v>
      </c>
      <c r="N69" s="255">
        <f>'6 - B1'!N69</f>
        <v>440.93643200000002</v>
      </c>
      <c r="O69" s="255">
        <f>'6 - B1'!O69</f>
        <v>438.16696200000001</v>
      </c>
      <c r="P69" s="255">
        <f>'6 - B1'!P69</f>
        <v>443.633759</v>
      </c>
    </row>
    <row r="70" spans="1:16" x14ac:dyDescent="0.35">
      <c r="A70" s="257">
        <f>'6 - B1'!A70</f>
        <v>21</v>
      </c>
      <c r="B70" s="255">
        <f>'6 - B1'!B70</f>
        <v>454.59396400000003</v>
      </c>
      <c r="C70" s="255">
        <f>'6 - B1'!C70</f>
        <v>431.224762</v>
      </c>
      <c r="D70" s="255">
        <f>'6 - B1'!D70</f>
        <v>443.45373499999999</v>
      </c>
      <c r="E70" s="255">
        <f>'6 - B1'!E70</f>
        <v>400.21704099999999</v>
      </c>
      <c r="F70" s="255">
        <f>'6 - B1'!F70</f>
        <v>425.59670999999997</v>
      </c>
      <c r="G70" s="255">
        <f>'6 - B1'!G70</f>
        <v>428.40167200000002</v>
      </c>
      <c r="H70" s="255">
        <f>'6 - B1'!H70</f>
        <v>430.52191199999999</v>
      </c>
      <c r="I70" s="255">
        <f>'6 - B1'!I70</f>
        <v>416.303406</v>
      </c>
      <c r="J70" s="255">
        <f>'6 - B1'!J70</f>
        <v>437.39590500000003</v>
      </c>
      <c r="K70" s="255">
        <f>'6 - B1'!K70</f>
        <v>429.75692700000002</v>
      </c>
      <c r="L70" s="255">
        <f>'6 - B1'!L70</f>
        <v>329.15795900000001</v>
      </c>
      <c r="M70" s="255">
        <f>'6 - B1'!M70</f>
        <v>328.43335000000002</v>
      </c>
      <c r="N70" s="255">
        <f>'6 - B1'!N70</f>
        <v>319.65692100000001</v>
      </c>
      <c r="O70" s="255">
        <f>'6 - B1'!O70</f>
        <v>325.364532</v>
      </c>
      <c r="P70" s="255">
        <f>'6 - B1'!P70</f>
        <v>325.51889</v>
      </c>
    </row>
    <row r="71" spans="1:16" x14ac:dyDescent="0.35">
      <c r="A71" s="257">
        <f>'6 - B1'!A71</f>
        <v>22</v>
      </c>
      <c r="B71" s="255">
        <f>'6 - B1'!B71</f>
        <v>342.03539999999998</v>
      </c>
      <c r="C71" s="255">
        <f>'6 - B1'!C71</f>
        <v>333.03552200000001</v>
      </c>
      <c r="D71" s="255">
        <f>'6 - B1'!D71</f>
        <v>342.062408</v>
      </c>
      <c r="E71" s="255">
        <f>'6 - B1'!E71</f>
        <v>307.79144300000002</v>
      </c>
      <c r="F71" s="255">
        <f>'6 - B1'!F71</f>
        <v>323.47467</v>
      </c>
      <c r="G71" s="255">
        <f>'6 - B1'!G71</f>
        <v>325.28268400000002</v>
      </c>
      <c r="H71" s="255">
        <f>'6 - B1'!H71</f>
        <v>341.698059</v>
      </c>
      <c r="I71" s="255">
        <f>'6 - B1'!I71</f>
        <v>314.35879499999999</v>
      </c>
      <c r="J71" s="255">
        <f>'6 - B1'!J71</f>
        <v>340.31366000000003</v>
      </c>
      <c r="K71" s="255">
        <f>'6 - B1'!K71</f>
        <v>328.43069500000001</v>
      </c>
      <c r="L71" s="255">
        <f>'6 - B1'!L71</f>
        <v>245.34002699999999</v>
      </c>
      <c r="M71" s="255">
        <f>'6 - B1'!M71</f>
        <v>246.80877699999999</v>
      </c>
      <c r="N71" s="255">
        <f>'6 - B1'!N71</f>
        <v>240.27075199999999</v>
      </c>
      <c r="O71" s="255">
        <f>'6 - B1'!O71</f>
        <v>245.6978</v>
      </c>
      <c r="P71" s="255">
        <f>'6 - B1'!P71</f>
        <v>243.43611100000001</v>
      </c>
    </row>
    <row r="72" spans="1:16" x14ac:dyDescent="0.35">
      <c r="A72" s="257">
        <f>'6 - B1'!A72</f>
        <v>23</v>
      </c>
      <c r="B72" s="255">
        <f>'6 - B1'!B72</f>
        <v>264.35412600000001</v>
      </c>
      <c r="C72" s="255">
        <f>'6 - B1'!C72</f>
        <v>262.24789399999997</v>
      </c>
      <c r="D72" s="255">
        <f>'6 - B1'!D72</f>
        <v>264.15115400000002</v>
      </c>
      <c r="E72" s="255">
        <f>'6 - B1'!E72</f>
        <v>230.358521</v>
      </c>
      <c r="F72" s="255">
        <f>'6 - B1'!F72</f>
        <v>247.10359199999999</v>
      </c>
      <c r="G72" s="255">
        <f>'6 - B1'!G72</f>
        <v>250.829971</v>
      </c>
      <c r="H72" s="255">
        <f>'6 - B1'!H72</f>
        <v>259.05480999999997</v>
      </c>
      <c r="I72" s="255">
        <f>'6 - B1'!I72</f>
        <v>241.896423</v>
      </c>
      <c r="J72" s="255">
        <f>'6 - B1'!J72</f>
        <v>262.68289199999998</v>
      </c>
      <c r="K72" s="255">
        <f>'6 - B1'!K72</f>
        <v>254.546967</v>
      </c>
      <c r="L72" s="255">
        <f>'6 - B1'!L72</f>
        <v>183.41336100000001</v>
      </c>
      <c r="M72" s="255">
        <f>'6 - B1'!M72</f>
        <v>181.72022999999999</v>
      </c>
      <c r="N72" s="255">
        <f>'6 - B1'!N72</f>
        <v>179.01492300000001</v>
      </c>
      <c r="O72" s="255">
        <f>'6 - B1'!O72</f>
        <v>182.598938</v>
      </c>
      <c r="P72" s="255">
        <f>'6 - B1'!P72</f>
        <v>179.808762</v>
      </c>
    </row>
    <row r="73" spans="1:16" x14ac:dyDescent="0.35">
      <c r="A73" s="257">
        <f>'6 - B1'!A73</f>
        <v>24</v>
      </c>
      <c r="B73" s="255">
        <f>'6 - B1'!B73</f>
        <v>205.30050700000001</v>
      </c>
      <c r="C73" s="255">
        <f>'6 - B1'!C73</f>
        <v>205.51242099999999</v>
      </c>
      <c r="D73" s="255">
        <f>'6 - B1'!D73</f>
        <v>204.20573400000001</v>
      </c>
      <c r="E73" s="255">
        <f>'6 - B1'!E73</f>
        <v>173.73899800000001</v>
      </c>
      <c r="F73" s="255">
        <f>'6 - B1'!F73</f>
        <v>192.250473</v>
      </c>
      <c r="G73" s="255">
        <f>'6 - B1'!G73</f>
        <v>191.506699</v>
      </c>
      <c r="H73" s="255">
        <f>'6 - B1'!H73</f>
        <v>200.07437100000001</v>
      </c>
      <c r="I73" s="255">
        <f>'6 - B1'!I73</f>
        <v>187.72726399999999</v>
      </c>
      <c r="J73" s="255">
        <f>'6 - B1'!J73</f>
        <v>201.87503100000001</v>
      </c>
      <c r="K73" s="255">
        <f>'6 - B1'!K73</f>
        <v>193.50495900000001</v>
      </c>
      <c r="L73" s="255">
        <f>'6 - B1'!L73</f>
        <v>139.63082900000001</v>
      </c>
      <c r="M73" s="255">
        <f>'6 - B1'!M73</f>
        <v>137.21371500000001</v>
      </c>
      <c r="N73" s="255">
        <f>'6 - B1'!N73</f>
        <v>127.79235799999999</v>
      </c>
      <c r="O73" s="255">
        <f>'6 - B1'!O73</f>
        <v>131.83784499999999</v>
      </c>
      <c r="P73" s="255">
        <f>'6 - B1'!P73</f>
        <v>132.879211</v>
      </c>
    </row>
    <row r="74" spans="1:16" x14ac:dyDescent="0.35">
      <c r="A74" s="257">
        <f>'6 - B1'!A74</f>
        <v>25</v>
      </c>
      <c r="B74" s="255">
        <f>'6 - B1'!B74</f>
        <v>155.16438299999999</v>
      </c>
      <c r="C74" s="255">
        <f>'6 - B1'!C74</f>
        <v>159.84298699999999</v>
      </c>
      <c r="D74" s="255">
        <f>'6 - B1'!D74</f>
        <v>155.644623</v>
      </c>
      <c r="E74" s="255">
        <f>'6 - B1'!E74</f>
        <v>133.69966099999999</v>
      </c>
      <c r="F74" s="255">
        <f>'6 - B1'!F74</f>
        <v>146.392563</v>
      </c>
      <c r="G74" s="255">
        <f>'6 - B1'!G74</f>
        <v>146.11840799999999</v>
      </c>
      <c r="H74" s="255">
        <f>'6 - B1'!H74</f>
        <v>155.39756800000001</v>
      </c>
      <c r="I74" s="255">
        <f>'6 - B1'!I74</f>
        <v>143.148697</v>
      </c>
      <c r="J74" s="255">
        <f>'6 - B1'!J74</f>
        <v>157.01391599999999</v>
      </c>
      <c r="K74" s="255">
        <f>'6 - B1'!K74</f>
        <v>151.81343100000001</v>
      </c>
      <c r="L74" s="255">
        <f>'6 - B1'!L74</f>
        <v>103.934242</v>
      </c>
      <c r="M74" s="255">
        <f>'6 - B1'!M74</f>
        <v>103.965782</v>
      </c>
      <c r="N74" s="255">
        <f>'6 - B1'!N74</f>
        <v>93.467963999999995</v>
      </c>
      <c r="O74" s="255">
        <f>'6 - B1'!O74</f>
        <v>97.644608000000005</v>
      </c>
      <c r="P74" s="255">
        <f>'6 - B1'!P74</f>
        <v>95.265251000000006</v>
      </c>
    </row>
    <row r="75" spans="1:16" x14ac:dyDescent="0.35">
      <c r="A75" s="257">
        <f>'6 - B1'!A75</f>
        <v>26</v>
      </c>
      <c r="B75" s="255">
        <f>'6 - B1'!B75</f>
        <v>114.342079</v>
      </c>
      <c r="C75" s="255">
        <f>'6 - B1'!C75</f>
        <v>122.604843</v>
      </c>
      <c r="D75" s="255">
        <f>'6 - B1'!D75</f>
        <v>117.934151</v>
      </c>
      <c r="E75" s="255">
        <f>'6 - B1'!E75</f>
        <v>101.42124200000001</v>
      </c>
      <c r="F75" s="255">
        <f>'6 - B1'!F75</f>
        <v>110.235367</v>
      </c>
      <c r="G75" s="255">
        <f>'6 - B1'!G75</f>
        <v>107.498558</v>
      </c>
      <c r="H75" s="255">
        <f>'6 - B1'!H75</f>
        <v>114.782295</v>
      </c>
      <c r="I75" s="255">
        <f>'6 - B1'!I75</f>
        <v>107.62793000000001</v>
      </c>
      <c r="J75" s="255">
        <f>'6 - B1'!J75</f>
        <v>118.636635</v>
      </c>
      <c r="K75" s="255">
        <f>'6 - B1'!K75</f>
        <v>115.223404</v>
      </c>
      <c r="L75" s="255">
        <f>'6 - B1'!L75</f>
        <v>79.676345999999995</v>
      </c>
      <c r="M75" s="255">
        <f>'6 - B1'!M75</f>
        <v>77.050781000000001</v>
      </c>
      <c r="N75" s="255">
        <f>'6 - B1'!N75</f>
        <v>66.184471000000002</v>
      </c>
      <c r="O75" s="255">
        <f>'6 - B1'!O75</f>
        <v>72.792823999999996</v>
      </c>
      <c r="P75" s="255">
        <f>'6 - B1'!P75</f>
        <v>70.833754999999996</v>
      </c>
    </row>
    <row r="76" spans="1:16" x14ac:dyDescent="0.35">
      <c r="A76" s="257">
        <f>'6 - B1'!A76</f>
        <v>27</v>
      </c>
      <c r="B76" s="255">
        <f>'6 - B1'!B76</f>
        <v>82.833602999999997</v>
      </c>
      <c r="C76" s="255">
        <f>'6 - B1'!C76</f>
        <v>92.744063999999995</v>
      </c>
      <c r="D76" s="255">
        <f>'6 - B1'!D76</f>
        <v>90.896454000000006</v>
      </c>
      <c r="E76" s="255">
        <f>'6 - B1'!E76</f>
        <v>74.434371999999996</v>
      </c>
      <c r="F76" s="255">
        <f>'6 - B1'!F76</f>
        <v>82.544242999999994</v>
      </c>
      <c r="G76" s="255">
        <f>'6 - B1'!G76</f>
        <v>84.207206999999997</v>
      </c>
      <c r="H76" s="255">
        <f>'6 - B1'!H76</f>
        <v>84.762314000000003</v>
      </c>
      <c r="I76" s="255">
        <f>'6 - B1'!I76</f>
        <v>77.435271999999998</v>
      </c>
      <c r="J76" s="255">
        <f>'6 - B1'!J76</f>
        <v>87.268897999999993</v>
      </c>
      <c r="K76" s="255">
        <f>'6 - B1'!K76</f>
        <v>83.207130000000006</v>
      </c>
      <c r="L76" s="255">
        <f>'6 - B1'!L76</f>
        <v>55.812885000000001</v>
      </c>
      <c r="M76" s="255">
        <f>'6 - B1'!M76</f>
        <v>59.811107999999997</v>
      </c>
      <c r="N76" s="255">
        <f>'6 - B1'!N76</f>
        <v>46.117905</v>
      </c>
      <c r="O76" s="255">
        <f>'6 - B1'!O76</f>
        <v>52.699885999999999</v>
      </c>
      <c r="P76" s="255">
        <f>'6 - B1'!P76</f>
        <v>54.311737000000001</v>
      </c>
    </row>
    <row r="77" spans="1:16" x14ac:dyDescent="0.35">
      <c r="A77" s="257">
        <f>'6 - B1'!A77</f>
        <v>28</v>
      </c>
      <c r="B77" s="255">
        <f>'6 - B1'!B77</f>
        <v>58.062786000000003</v>
      </c>
      <c r="C77" s="255">
        <f>'6 - B1'!C77</f>
        <v>70.085007000000004</v>
      </c>
      <c r="D77" s="255">
        <f>'6 - B1'!D77</f>
        <v>70.262428</v>
      </c>
      <c r="E77" s="255">
        <f>'6 - B1'!E77</f>
        <v>55.032051000000003</v>
      </c>
      <c r="F77" s="255">
        <f>'6 - B1'!F77</f>
        <v>60.497169</v>
      </c>
      <c r="G77" s="255">
        <f>'6 - B1'!G77</f>
        <v>64.100989999999996</v>
      </c>
      <c r="H77" s="255">
        <f>'6 - B1'!H77</f>
        <v>63.924908000000002</v>
      </c>
      <c r="I77" s="255">
        <f>'6 - B1'!I77</f>
        <v>59.319682999999998</v>
      </c>
      <c r="J77" s="255">
        <f>'6 - B1'!J77</f>
        <v>62.384995000000004</v>
      </c>
      <c r="K77" s="255">
        <f>'6 - B1'!K77</f>
        <v>63.680720999999998</v>
      </c>
      <c r="L77" s="255">
        <f>'6 - B1'!L77</f>
        <v>41.41592</v>
      </c>
      <c r="M77" s="255">
        <f>'6 - B1'!M77</f>
        <v>46.265652000000003</v>
      </c>
      <c r="N77" s="255">
        <f>'6 - B1'!N77</f>
        <v>33.620303999999997</v>
      </c>
      <c r="O77" s="255">
        <f>'6 - B1'!O77</f>
        <v>37.542060999999997</v>
      </c>
      <c r="P77" s="255">
        <f>'6 - B1'!P77</f>
        <v>37.789721999999998</v>
      </c>
    </row>
    <row r="78" spans="1:16" x14ac:dyDescent="0.35">
      <c r="A78" s="257">
        <f>'6 - B1'!A78</f>
        <v>29</v>
      </c>
      <c r="B78" s="255">
        <f>'6 - B1'!B78</f>
        <v>40.624133999999998</v>
      </c>
      <c r="C78" s="255">
        <f>'6 - B1'!C78</f>
        <v>51.114628000000003</v>
      </c>
      <c r="D78" s="255">
        <f>'6 - B1'!D78</f>
        <v>52.474471999999999</v>
      </c>
      <c r="E78" s="255">
        <f>'6 - B1'!E78</f>
        <v>39.862960999999999</v>
      </c>
      <c r="F78" s="255">
        <f>'6 - B1'!F78</f>
        <v>45.857914000000001</v>
      </c>
      <c r="G78" s="255">
        <f>'6 - B1'!G78</f>
        <v>45.189208999999998</v>
      </c>
      <c r="H78" s="255">
        <f>'6 - B1'!H78</f>
        <v>49.091503000000003</v>
      </c>
      <c r="I78" s="255">
        <f>'6 - B1'!I78</f>
        <v>42.269714</v>
      </c>
      <c r="J78" s="255">
        <f>'6 - B1'!J78</f>
        <v>45.386837</v>
      </c>
      <c r="K78" s="255">
        <f>'6 - B1'!K78</f>
        <v>46.265273999999998</v>
      </c>
      <c r="L78" s="255">
        <f>'6 - B1'!L78</f>
        <v>30.174458000000001</v>
      </c>
      <c r="M78" s="255">
        <f>'6 - B1'!M78</f>
        <v>32.192450999999998</v>
      </c>
      <c r="N78" s="255">
        <f>'6 - B1'!N78</f>
        <v>23.410996999999998</v>
      </c>
      <c r="O78" s="255">
        <f>'6 - B1'!O78</f>
        <v>28.729369999999999</v>
      </c>
      <c r="P78" s="255">
        <f>'6 - B1'!P78</f>
        <v>27.946816999999999</v>
      </c>
    </row>
    <row r="79" spans="1:16" x14ac:dyDescent="0.35">
      <c r="A79" s="257">
        <f>'6 - B1'!A79</f>
        <v>30</v>
      </c>
      <c r="B79" s="255">
        <f>'6 - B1'!B79</f>
        <v>29.328644000000001</v>
      </c>
      <c r="C79" s="255">
        <f>'6 - B1'!C79</f>
        <v>36.886845000000001</v>
      </c>
      <c r="D79" s="255">
        <f>'6 - B1'!D79</f>
        <v>37.888348000000001</v>
      </c>
      <c r="E79" s="255">
        <f>'6 - B1'!E79</f>
        <v>26.98687</v>
      </c>
      <c r="F79" s="255">
        <f>'6 - B1'!F79</f>
        <v>31.747786000000001</v>
      </c>
      <c r="G79" s="255">
        <f>'6 - B1'!G79</f>
        <v>33.244926</v>
      </c>
      <c r="H79" s="255">
        <f>'6 - B1'!H79</f>
        <v>34.258099000000001</v>
      </c>
      <c r="I79" s="255">
        <f>'6 - B1'!I79</f>
        <v>30.192654000000001</v>
      </c>
      <c r="J79" s="255">
        <f>'6 - B1'!J79</f>
        <v>33.821078999999997</v>
      </c>
      <c r="K79" s="255">
        <f>'6 - B1'!K79</f>
        <v>31.312619999999999</v>
      </c>
      <c r="L79" s="255">
        <f>'6 - B1'!L79</f>
        <v>21.496835999999998</v>
      </c>
      <c r="M79" s="255">
        <f>'6 - B1'!M79</f>
        <v>24.276274000000001</v>
      </c>
      <c r="N79" s="255">
        <f>'6 - B1'!N79</f>
        <v>17.074186000000001</v>
      </c>
      <c r="O79" s="255">
        <f>'6 - B1'!O79</f>
        <v>20.092934</v>
      </c>
      <c r="P79" s="255">
        <f>'6 - B1'!P79</f>
        <v>17.752379999999999</v>
      </c>
    </row>
    <row r="80" spans="1:16" x14ac:dyDescent="0.35">
      <c r="A80" s="257">
        <f>'6 - B1'!A80</f>
        <v>38</v>
      </c>
      <c r="B80" s="255">
        <f>'6 - B1'!B80</f>
        <v>21.203817000000001</v>
      </c>
      <c r="C80" s="255">
        <f>'6 - B1'!C80</f>
        <v>24.415579000000001</v>
      </c>
      <c r="D80" s="255">
        <f>'6 - B1'!D80</f>
        <v>28.638608999999999</v>
      </c>
      <c r="E80" s="255">
        <f>'6 - B1'!E80</f>
        <v>19.402325000000001</v>
      </c>
      <c r="F80" s="255">
        <f>'6 - B1'!F80</f>
        <v>23.28171</v>
      </c>
      <c r="G80" s="255">
        <f>'6 - B1'!G80</f>
        <v>24.684854999999999</v>
      </c>
      <c r="H80" s="255">
        <f>'6 - B1'!H80</f>
        <v>24.015986999999999</v>
      </c>
      <c r="I80" s="255">
        <f>'6 - B1'!I80</f>
        <v>23.621310999999999</v>
      </c>
      <c r="J80" s="255">
        <f>'6 - B1'!J80</f>
        <v>24.533424</v>
      </c>
      <c r="K80" s="255">
        <f>'6 - B1'!K80</f>
        <v>22.341025999999999</v>
      </c>
      <c r="L80" s="255">
        <f>'6 - B1'!L80</f>
        <v>14.396963</v>
      </c>
      <c r="M80" s="255">
        <f>'6 - B1'!M80</f>
        <v>17.591502999999999</v>
      </c>
      <c r="N80" s="255">
        <f>'6 - B1'!N80</f>
        <v>11.969531999999999</v>
      </c>
      <c r="O80" s="255">
        <f>'6 - B1'!O80</f>
        <v>13.924049999999999</v>
      </c>
      <c r="P80" s="255">
        <f>'6 - B1'!P80</f>
        <v>11.600566000000001</v>
      </c>
    </row>
    <row r="81" spans="1:16" x14ac:dyDescent="0.35">
      <c r="A81" s="257">
        <f>'6 - B1'!A81</f>
        <v>50</v>
      </c>
      <c r="B81" s="255">
        <f>'6 - B1'!B81</f>
        <v>16.249655000000001</v>
      </c>
      <c r="C81" s="255">
        <f>'6 - B1'!C81</f>
        <v>18.092119</v>
      </c>
      <c r="D81" s="255">
        <f>'6 - B1'!D81</f>
        <v>21.345547</v>
      </c>
      <c r="E81" s="255">
        <f>'6 - B1'!E81</f>
        <v>11.641396</v>
      </c>
      <c r="F81" s="255">
        <f>'6 - B1'!F81</f>
        <v>15.344763</v>
      </c>
      <c r="G81" s="255">
        <f>'6 - B1'!G81</f>
        <v>17.916428</v>
      </c>
      <c r="H81" s="255">
        <f>'6 - B1'!H81</f>
        <v>16.069521000000002</v>
      </c>
      <c r="I81" s="255">
        <f>'6 - B1'!I81</f>
        <v>15.806742</v>
      </c>
      <c r="J81" s="255">
        <f>'6 - B1'!J81</f>
        <v>18.049590999999999</v>
      </c>
      <c r="K81" s="255">
        <f>'6 - B1'!K81</f>
        <v>14.776742</v>
      </c>
      <c r="L81" s="255">
        <f>'6 - B1'!L81</f>
        <v>9.6637149999999998</v>
      </c>
      <c r="M81" s="255">
        <f>'6 - B1'!M81</f>
        <v>11.082646</v>
      </c>
      <c r="N81" s="255">
        <f>'6 - B1'!N81</f>
        <v>9.505217</v>
      </c>
      <c r="O81" s="255">
        <f>'6 - B1'!O81</f>
        <v>9.6939589999999995</v>
      </c>
      <c r="P81" s="255">
        <f>'6 - B1'!P81</f>
        <v>7.7337100000000003</v>
      </c>
    </row>
    <row r="82" spans="1:16" x14ac:dyDescent="0.35">
      <c r="A82" s="257">
        <f>'6 - B1'!A82</f>
        <v>70</v>
      </c>
      <c r="B82" s="255">
        <f>'6 - B1'!B82</f>
        <v>11.691824</v>
      </c>
      <c r="C82" s="255">
        <f>'6 - B1'!C82</f>
        <v>13.876479</v>
      </c>
      <c r="D82" s="255">
        <f>'6 - B1'!D82</f>
        <v>16.009160999999999</v>
      </c>
      <c r="E82" s="255">
        <f>'6 - B1'!E82</f>
        <v>9.1720089999999992</v>
      </c>
      <c r="F82" s="255">
        <f>'6 - B1'!F82</f>
        <v>10.053466</v>
      </c>
      <c r="G82" s="255">
        <f>'6 - B1'!G82</f>
        <v>12.143356000000001</v>
      </c>
      <c r="H82" s="255">
        <f>'6 - B1'!H82</f>
        <v>11.654818000000001</v>
      </c>
      <c r="I82" s="255">
        <f>'6 - B1'!I82</f>
        <v>12.254664999999999</v>
      </c>
      <c r="J82" s="255">
        <f>'6 - B1'!J82</f>
        <v>12.266712</v>
      </c>
      <c r="K82" s="255">
        <f>'6 - B1'!K82</f>
        <v>8.7956800000000008</v>
      </c>
      <c r="L82" s="255">
        <f>'6 - B1'!L82</f>
        <v>6.9026540000000001</v>
      </c>
      <c r="M82" s="255">
        <f>'6 - B1'!M82</f>
        <v>7.5643459999999996</v>
      </c>
      <c r="N82" s="255">
        <f>'6 - B1'!N82</f>
        <v>7.2169239999999997</v>
      </c>
      <c r="O82" s="255">
        <f>'6 - B1'!O82</f>
        <v>6.3451370000000002</v>
      </c>
      <c r="P82" s="255">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13"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182</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377</v>
      </c>
      <c r="M7" s="65" t="s">
        <v>137</v>
      </c>
      <c r="O7" s="65" t="s">
        <v>39</v>
      </c>
      <c r="P7" s="65" t="s">
        <v>40</v>
      </c>
      <c r="Q7" s="65" t="s">
        <v>42</v>
      </c>
      <c r="R7" s="65" t="s">
        <v>43</v>
      </c>
      <c r="S7" s="65" t="s">
        <v>45</v>
      </c>
    </row>
    <row r="8" spans="1:49" ht="13.15" x14ac:dyDescent="0.4">
      <c r="A8" s="68" t="s">
        <v>138</v>
      </c>
      <c r="B8" s="46">
        <f>L52</f>
        <v>5.0705140000000002</v>
      </c>
      <c r="C8" s="46">
        <f>M52</f>
        <v>5.6845629999999998</v>
      </c>
      <c r="D8" s="46">
        <f>N52</f>
        <v>5.6810910000000003</v>
      </c>
      <c r="E8" s="46">
        <f>O52</f>
        <v>5.6736360000000001</v>
      </c>
      <c r="F8" s="46">
        <f>P52</f>
        <v>5.6893779999999996</v>
      </c>
      <c r="G8" s="78">
        <f>AVERAGE(B$8:F$8)*5</f>
        <v>27.799182000000002</v>
      </c>
      <c r="I8" s="79"/>
      <c r="K8" s="79"/>
    </row>
    <row r="9" spans="1:49" x14ac:dyDescent="0.35">
      <c r="A9" s="68" t="s">
        <v>139</v>
      </c>
      <c r="B9" s="42">
        <f>L53</f>
        <v>12126.1875</v>
      </c>
      <c r="C9" s="42">
        <f t="shared" ref="C9:F9" si="0">M53</f>
        <v>11685.859375</v>
      </c>
      <c r="D9" s="42">
        <f t="shared" si="0"/>
        <v>11615.375</v>
      </c>
      <c r="E9" s="42">
        <f t="shared" si="0"/>
        <v>11984.553711</v>
      </c>
      <c r="F9" s="42">
        <f t="shared" si="0"/>
        <v>11872.299805000001</v>
      </c>
      <c r="G9" s="43">
        <f t="shared" ref="G9:G38" si="1">AVERAGE(B9:F9)</f>
        <v>11856.8550782</v>
      </c>
      <c r="H9" s="81">
        <f t="shared" ref="H9:H38" si="2">G9*G$8</f>
        <v>329610.87226650608</v>
      </c>
      <c r="I9" s="79">
        <f t="shared" ref="I9:I38" si="3">STDEVP(B9:F9)/G9</f>
        <v>1.5852109170770821E-2</v>
      </c>
      <c r="J9" s="79">
        <f t="shared" ref="J9:J38" si="4">IF(H9&gt;$A$43, $C$43, IF(H9&gt;$A$44, $C$44, IF(H9&gt;$A$45,$C$45,IF(H9&gt;$A$46,$C$46, IF(H9&gt;$A$47,$C$47,IF(H9&gt;$A$48,$C$48,$C$49))))))/100</f>
        <v>0.11</v>
      </c>
      <c r="K9" s="79">
        <f t="shared" ref="K9:K38" si="5">(MAX(B9:F9)-MIN(B9:F9))/G9</f>
        <v>4.3081617902134883E-2</v>
      </c>
      <c r="L9" s="42">
        <f>G9/'Clause 6'!$I$12</f>
        <v>11856.8550782</v>
      </c>
      <c r="M9">
        <f t="shared" ref="M9:M38" si="6">COUNTA(B9:F9)</f>
        <v>5</v>
      </c>
      <c r="O9" s="254">
        <f>IF(ISNUMBER(B9), (B9/$G9-1), 0)</f>
        <v>2.2715333874257615E-2</v>
      </c>
      <c r="P9" s="254">
        <f t="shared" ref="P9:S38" si="7">IF(ISNUMBER(C9), (C9/$G9-1), 0)</f>
        <v>-1.4421674387704475E-2</v>
      </c>
      <c r="Q9" s="254">
        <f t="shared" si="7"/>
        <v>-2.0366284027877324E-2</v>
      </c>
      <c r="R9" s="254">
        <f t="shared" si="7"/>
        <v>1.0770025606097411E-2</v>
      </c>
      <c r="S9" s="254">
        <f t="shared" si="7"/>
        <v>1.302598935226662E-3</v>
      </c>
    </row>
    <row r="10" spans="1:49" x14ac:dyDescent="0.35">
      <c r="A10" s="68" t="s">
        <v>140</v>
      </c>
      <c r="B10" s="42">
        <f t="shared" ref="B10:F10" si="8">L54</f>
        <v>10708.776367</v>
      </c>
      <c r="C10" s="42">
        <f t="shared" si="8"/>
        <v>10304.046875</v>
      </c>
      <c r="D10" s="42">
        <f t="shared" si="8"/>
        <v>10269.154296999999</v>
      </c>
      <c r="E10" s="42">
        <f t="shared" si="8"/>
        <v>10570.292969</v>
      </c>
      <c r="F10" s="42">
        <f t="shared" si="8"/>
        <v>10495.875</v>
      </c>
      <c r="G10" s="43">
        <f t="shared" si="1"/>
        <v>10469.6291016</v>
      </c>
      <c r="H10" s="81">
        <f t="shared" si="2"/>
        <v>291047.1248678749</v>
      </c>
      <c r="I10" s="79">
        <f t="shared" si="3"/>
        <v>1.5730673883429039E-2</v>
      </c>
      <c r="J10" s="79">
        <f t="shared" si="4"/>
        <v>0.11</v>
      </c>
      <c r="K10" s="79">
        <f t="shared" si="5"/>
        <v>4.1990223887951955E-2</v>
      </c>
      <c r="L10" s="42">
        <f>G10/'Clause 6'!$I$12</f>
        <v>10469.6291016</v>
      </c>
      <c r="M10">
        <f t="shared" si="6"/>
        <v>5</v>
      </c>
      <c r="O10" s="254">
        <f t="shared" ref="O10:O38" si="9">IF(ISNUMBER(B10), (B10/$G10-1), 0)</f>
        <v>2.2841999757513332E-2</v>
      </c>
      <c r="P10" s="254">
        <f t="shared" si="7"/>
        <v>-1.5815481617653004E-2</v>
      </c>
      <c r="Q10" s="254">
        <f t="shared" si="7"/>
        <v>-1.9148224130438707E-2</v>
      </c>
      <c r="R10" s="254">
        <f t="shared" si="7"/>
        <v>9.6148456094415913E-3</v>
      </c>
      <c r="S10" s="254">
        <f t="shared" si="7"/>
        <v>2.5068603811371215E-3</v>
      </c>
    </row>
    <row r="11" spans="1:49" x14ac:dyDescent="0.35">
      <c r="A11" s="68" t="s">
        <v>141</v>
      </c>
      <c r="B11" s="42">
        <f t="shared" ref="B11:F11" si="10">L55</f>
        <v>9376.7617190000001</v>
      </c>
      <c r="C11" s="42">
        <f t="shared" si="10"/>
        <v>8972.3701170000004</v>
      </c>
      <c r="D11" s="42">
        <f t="shared" si="10"/>
        <v>8970.6367190000001</v>
      </c>
      <c r="E11" s="42">
        <f t="shared" si="10"/>
        <v>9225.3007809999999</v>
      </c>
      <c r="F11" s="42">
        <f t="shared" si="10"/>
        <v>9170.4228519999997</v>
      </c>
      <c r="G11" s="43">
        <f t="shared" si="1"/>
        <v>9143.0984376000015</v>
      </c>
      <c r="H11" s="81">
        <f t="shared" si="2"/>
        <v>254170.65751075812</v>
      </c>
      <c r="I11" s="79">
        <f t="shared" si="3"/>
        <v>1.7013856636170471E-2</v>
      </c>
      <c r="J11" s="79">
        <f t="shared" si="4"/>
        <v>0.11</v>
      </c>
      <c r="K11" s="79">
        <f t="shared" si="5"/>
        <v>4.4418749592573012E-2</v>
      </c>
      <c r="L11" s="42">
        <f>G11/'Clause 6'!$I$12</f>
        <v>9143.0984376000015</v>
      </c>
      <c r="M11">
        <f t="shared" si="6"/>
        <v>5</v>
      </c>
      <c r="O11" s="254">
        <f t="shared" si="9"/>
        <v>2.5556246932558757E-2</v>
      </c>
      <c r="P11" s="254">
        <f t="shared" si="7"/>
        <v>-1.8672917257228638E-2</v>
      </c>
      <c r="Q11" s="254">
        <f t="shared" si="7"/>
        <v>-1.8862502660014213E-2</v>
      </c>
      <c r="R11" s="254">
        <f t="shared" si="7"/>
        <v>8.9906440317815139E-3</v>
      </c>
      <c r="S11" s="254">
        <f t="shared" si="7"/>
        <v>2.9885289529016923E-3</v>
      </c>
    </row>
    <row r="12" spans="1:49" x14ac:dyDescent="0.35">
      <c r="A12" s="68" t="s">
        <v>142</v>
      </c>
      <c r="B12" s="42">
        <f t="shared" ref="B12:F12" si="11">L56</f>
        <v>8122.2539059999999</v>
      </c>
      <c r="C12" s="42">
        <f t="shared" si="11"/>
        <v>7780.7216799999997</v>
      </c>
      <c r="D12" s="42">
        <f t="shared" si="11"/>
        <v>7822.2651370000003</v>
      </c>
      <c r="E12" s="42">
        <f t="shared" si="11"/>
        <v>7992.0522460000002</v>
      </c>
      <c r="F12" s="42">
        <f t="shared" si="11"/>
        <v>7966.2490230000003</v>
      </c>
      <c r="G12" s="43">
        <f t="shared" si="1"/>
        <v>7936.7083984000001</v>
      </c>
      <c r="H12" s="81">
        <f t="shared" si="2"/>
        <v>220634.00124805013</v>
      </c>
      <c r="I12" s="79">
        <f t="shared" si="3"/>
        <v>1.5512643211911547E-2</v>
      </c>
      <c r="J12" s="79">
        <f t="shared" si="4"/>
        <v>0.11</v>
      </c>
      <c r="K12" s="79">
        <f t="shared" si="5"/>
        <v>4.3031973565874161E-2</v>
      </c>
      <c r="L12" s="42">
        <f>G12/'Clause 6'!$I$12</f>
        <v>7936.7083984000001</v>
      </c>
      <c r="M12">
        <f t="shared" si="6"/>
        <v>5</v>
      </c>
      <c r="O12" s="254">
        <f t="shared" si="9"/>
        <v>2.3378143467813972E-2</v>
      </c>
      <c r="P12" s="254">
        <f t="shared" si="7"/>
        <v>-1.9653830098060099E-2</v>
      </c>
      <c r="Q12" s="254">
        <f t="shared" si="7"/>
        <v>-1.441948672614346E-2</v>
      </c>
      <c r="R12" s="254">
        <f t="shared" si="7"/>
        <v>6.9731486684274646E-3</v>
      </c>
      <c r="S12" s="254">
        <f t="shared" si="7"/>
        <v>3.7220246879619001E-3</v>
      </c>
    </row>
    <row r="13" spans="1:49" x14ac:dyDescent="0.35">
      <c r="A13" s="68" t="s">
        <v>143</v>
      </c>
      <c r="B13" s="42">
        <f t="shared" ref="B13:F13" si="12">L57</f>
        <v>7014.8710940000001</v>
      </c>
      <c r="C13" s="42">
        <f t="shared" si="12"/>
        <v>6735.0825199999999</v>
      </c>
      <c r="D13" s="42">
        <f t="shared" si="12"/>
        <v>6775.8115230000003</v>
      </c>
      <c r="E13" s="42">
        <f t="shared" si="12"/>
        <v>6907.5629879999997</v>
      </c>
      <c r="F13" s="42">
        <f t="shared" si="12"/>
        <v>6905.5004879999997</v>
      </c>
      <c r="G13" s="43">
        <f t="shared" si="1"/>
        <v>6867.7657225999992</v>
      </c>
      <c r="H13" s="81">
        <f t="shared" si="2"/>
        <v>190918.26925591892</v>
      </c>
      <c r="I13" s="79">
        <f t="shared" si="3"/>
        <v>1.4663523281750156E-2</v>
      </c>
      <c r="J13" s="79">
        <f t="shared" si="4"/>
        <v>0.11</v>
      </c>
      <c r="K13" s="79">
        <f t="shared" si="5"/>
        <v>4.0739388223347515E-2</v>
      </c>
      <c r="L13" s="42">
        <f>G13/'Clause 6'!$I$12</f>
        <v>6867.7657225999992</v>
      </c>
      <c r="M13">
        <f t="shared" si="6"/>
        <v>5</v>
      </c>
      <c r="O13" s="254">
        <f t="shared" si="9"/>
        <v>2.1419683976102499E-2</v>
      </c>
      <c r="P13" s="254">
        <f t="shared" si="7"/>
        <v>-1.9319704247245051E-2</v>
      </c>
      <c r="Q13" s="254">
        <f t="shared" si="7"/>
        <v>-1.3389245252994231E-2</v>
      </c>
      <c r="R13" s="254">
        <f t="shared" si="7"/>
        <v>5.7947907671105359E-3</v>
      </c>
      <c r="S13" s="254">
        <f t="shared" si="7"/>
        <v>5.4944747570269126E-3</v>
      </c>
    </row>
    <row r="14" spans="1:49" x14ac:dyDescent="0.35">
      <c r="A14" s="68" t="s">
        <v>144</v>
      </c>
      <c r="B14" s="42">
        <f t="shared" ref="B14:F14" si="13">L58</f>
        <v>6049.8798829999996</v>
      </c>
      <c r="C14" s="42">
        <f t="shared" si="13"/>
        <v>5806.2514650000003</v>
      </c>
      <c r="D14" s="42">
        <f t="shared" si="13"/>
        <v>5860.8461909999996</v>
      </c>
      <c r="E14" s="42">
        <f t="shared" si="13"/>
        <v>5963.5473629999997</v>
      </c>
      <c r="F14" s="42">
        <f t="shared" si="13"/>
        <v>5980.6186520000001</v>
      </c>
      <c r="G14" s="43">
        <f t="shared" si="1"/>
        <v>5932.2287108</v>
      </c>
      <c r="H14" s="81">
        <f t="shared" si="2"/>
        <v>164911.10559715459</v>
      </c>
      <c r="I14" s="79">
        <f t="shared" si="3"/>
        <v>1.4720764396981461E-2</v>
      </c>
      <c r="J14" s="79">
        <f t="shared" si="4"/>
        <v>0.11</v>
      </c>
      <c r="K14" s="79">
        <f t="shared" si="5"/>
        <v>4.1068615165908602E-2</v>
      </c>
      <c r="L14" s="42">
        <f>G14/'Clause 6'!$I$12</f>
        <v>5932.2287108</v>
      </c>
      <c r="M14">
        <f t="shared" si="6"/>
        <v>5</v>
      </c>
      <c r="O14" s="254">
        <f t="shared" si="9"/>
        <v>1.9832541517795566E-2</v>
      </c>
      <c r="P14" s="254">
        <f t="shared" si="7"/>
        <v>-2.1236073648113085E-2</v>
      </c>
      <c r="Q14" s="254">
        <f t="shared" si="7"/>
        <v>-1.2033001976144986E-2</v>
      </c>
      <c r="R14" s="254">
        <f t="shared" si="7"/>
        <v>5.2794074077053832E-3</v>
      </c>
      <c r="S14" s="254">
        <f t="shared" si="7"/>
        <v>8.1571266987570112E-3</v>
      </c>
    </row>
    <row r="15" spans="1:49" x14ac:dyDescent="0.35">
      <c r="A15" s="68" t="s">
        <v>145</v>
      </c>
      <c r="B15" s="42">
        <f t="shared" ref="B15:F15" si="14">L59</f>
        <v>5144.4492190000001</v>
      </c>
      <c r="C15" s="42">
        <f t="shared" si="14"/>
        <v>4946.7304690000001</v>
      </c>
      <c r="D15" s="42">
        <f t="shared" si="14"/>
        <v>4975.8051759999998</v>
      </c>
      <c r="E15" s="42">
        <f t="shared" si="14"/>
        <v>5068.7070309999999</v>
      </c>
      <c r="F15" s="42">
        <f t="shared" si="14"/>
        <v>5086.4965819999998</v>
      </c>
      <c r="G15" s="43">
        <f t="shared" si="1"/>
        <v>5044.4376953999999</v>
      </c>
      <c r="H15" s="81">
        <f t="shared" si="2"/>
        <v>140231.24158208517</v>
      </c>
      <c r="I15" s="79">
        <f t="shared" si="3"/>
        <v>1.4463882662251942E-2</v>
      </c>
      <c r="J15" s="79">
        <f t="shared" si="4"/>
        <v>0.11</v>
      </c>
      <c r="K15" s="79">
        <f t="shared" si="5"/>
        <v>3.9195399356463226E-2</v>
      </c>
      <c r="L15" s="42">
        <f>G15/'Clause 6'!$I$12</f>
        <v>5044.4376953999999</v>
      </c>
      <c r="M15">
        <f t="shared" si="6"/>
        <v>5</v>
      </c>
      <c r="O15" s="254">
        <f t="shared" si="9"/>
        <v>1.9826099486014215E-2</v>
      </c>
      <c r="P15" s="254">
        <f t="shared" si="7"/>
        <v>-1.9369299870449108E-2</v>
      </c>
      <c r="Q15" s="254">
        <f t="shared" si="7"/>
        <v>-1.3605583722956061E-2</v>
      </c>
      <c r="R15" s="254">
        <f t="shared" si="7"/>
        <v>4.8111082077852974E-3</v>
      </c>
      <c r="S15" s="254">
        <f t="shared" si="7"/>
        <v>8.3376758996058786E-3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x14ac:dyDescent="0.35">
      <c r="A16" s="68" t="s">
        <v>146</v>
      </c>
      <c r="B16" s="42">
        <f t="shared" ref="B16:F16" si="15">L60</f>
        <v>4355.1801759999998</v>
      </c>
      <c r="C16" s="42">
        <f t="shared" si="15"/>
        <v>4179.3891599999997</v>
      </c>
      <c r="D16" s="42">
        <f t="shared" si="15"/>
        <v>4207.642578</v>
      </c>
      <c r="E16" s="42">
        <f t="shared" si="15"/>
        <v>4279.794922</v>
      </c>
      <c r="F16" s="42">
        <f t="shared" si="15"/>
        <v>4307.1494140000004</v>
      </c>
      <c r="G16" s="43">
        <f t="shared" si="1"/>
        <v>4265.8312500000002</v>
      </c>
      <c r="H16" s="81">
        <f t="shared" si="2"/>
        <v>118586.61930003751</v>
      </c>
      <c r="I16" s="79">
        <f t="shared" si="3"/>
        <v>1.509916711545148E-2</v>
      </c>
      <c r="J16" s="79">
        <f t="shared" si="4"/>
        <v>0.11</v>
      </c>
      <c r="K16" s="79">
        <f t="shared" si="5"/>
        <v>4.1209088146653743E-2</v>
      </c>
      <c r="L16" s="42">
        <f>G16/'Clause 6'!$I$12</f>
        <v>4265.8312500000002</v>
      </c>
      <c r="M16">
        <f t="shared" si="6"/>
        <v>5</v>
      </c>
      <c r="O16" s="254">
        <f t="shared" si="9"/>
        <v>2.094525562866556E-2</v>
      </c>
      <c r="P16" s="254">
        <f t="shared" si="7"/>
        <v>-2.0263832517988245E-2</v>
      </c>
      <c r="Q16" s="254">
        <f t="shared" si="7"/>
        <v>-1.3640640848134877E-2</v>
      </c>
      <c r="R16" s="254">
        <f t="shared" si="7"/>
        <v>3.2733765546866245E-3</v>
      </c>
      <c r="S16" s="254">
        <f t="shared" si="7"/>
        <v>9.6858411827707158E-3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x14ac:dyDescent="0.35">
      <c r="A17" s="68" t="s">
        <v>147</v>
      </c>
      <c r="B17" s="42">
        <f t="shared" ref="B17:F17" si="16">L61</f>
        <v>3611.0739749999998</v>
      </c>
      <c r="C17" s="42">
        <f t="shared" si="16"/>
        <v>3469.5720209999999</v>
      </c>
      <c r="D17" s="42">
        <f t="shared" si="16"/>
        <v>3498.095703</v>
      </c>
      <c r="E17" s="42">
        <f t="shared" si="16"/>
        <v>3561.0317380000001</v>
      </c>
      <c r="F17" s="42">
        <f t="shared" si="16"/>
        <v>3576.4895019999999</v>
      </c>
      <c r="G17" s="43">
        <f t="shared" si="1"/>
        <v>3543.2525877999992</v>
      </c>
      <c r="H17" s="81">
        <f t="shared" si="2"/>
        <v>98499.52356022317</v>
      </c>
      <c r="I17" s="79">
        <f t="shared" si="3"/>
        <v>1.4658675642616326E-2</v>
      </c>
      <c r="J17" s="79">
        <f t="shared" si="4"/>
        <v>0.11</v>
      </c>
      <c r="K17" s="79">
        <f t="shared" si="5"/>
        <v>3.9935610147358483E-2</v>
      </c>
      <c r="L17" s="42">
        <f>G17/'Clause 6'!$I$12</f>
        <v>3543.2525877999992</v>
      </c>
      <c r="M17">
        <f t="shared" si="6"/>
        <v>5</v>
      </c>
      <c r="O17" s="254">
        <f t="shared" si="9"/>
        <v>1.9140997013173955E-2</v>
      </c>
      <c r="P17" s="254">
        <f t="shared" si="7"/>
        <v>-2.0794613134184514E-2</v>
      </c>
      <c r="Q17" s="254">
        <f t="shared" si="7"/>
        <v>-1.2744472396769568E-2</v>
      </c>
      <c r="R17" s="254">
        <f t="shared" si="7"/>
        <v>5.0177484555342655E-3</v>
      </c>
      <c r="S17" s="254">
        <f t="shared" si="7"/>
        <v>9.3803400622469724E-3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x14ac:dyDescent="0.35">
      <c r="A18" s="68" t="s">
        <v>148</v>
      </c>
      <c r="B18" s="42">
        <f t="shared" ref="B18:F18" si="17">L62</f>
        <v>2962.2246089999999</v>
      </c>
      <c r="C18" s="42">
        <f t="shared" si="17"/>
        <v>2858.2673340000001</v>
      </c>
      <c r="D18" s="42">
        <f t="shared" si="17"/>
        <v>2864.9428710000002</v>
      </c>
      <c r="E18" s="42">
        <f t="shared" si="17"/>
        <v>2915.4140619999998</v>
      </c>
      <c r="F18" s="42">
        <f t="shared" si="17"/>
        <v>2928.4396969999998</v>
      </c>
      <c r="G18" s="43">
        <f t="shared" si="1"/>
        <v>2905.8577145999998</v>
      </c>
      <c r="H18" s="81">
        <f t="shared" si="2"/>
        <v>80780.467474269462</v>
      </c>
      <c r="I18" s="79">
        <f t="shared" si="3"/>
        <v>1.3519952940354159E-2</v>
      </c>
      <c r="J18" s="79">
        <f t="shared" si="4"/>
        <v>0.11</v>
      </c>
      <c r="K18" s="79">
        <f t="shared" si="5"/>
        <v>3.5775074078019609E-2</v>
      </c>
      <c r="L18" s="42">
        <f>G18/'Clause 6'!$I$12</f>
        <v>2905.8577145999998</v>
      </c>
      <c r="M18">
        <f t="shared" si="6"/>
        <v>5</v>
      </c>
      <c r="O18" s="254">
        <f t="shared" si="9"/>
        <v>1.9397678735883828E-2</v>
      </c>
      <c r="P18" s="254">
        <f t="shared" si="7"/>
        <v>-1.6377395342135892E-2</v>
      </c>
      <c r="Q18" s="254">
        <f t="shared" si="7"/>
        <v>-1.4080126289194972E-2</v>
      </c>
      <c r="R18" s="254">
        <f t="shared" si="7"/>
        <v>3.2886494586386039E-3</v>
      </c>
      <c r="S18" s="254">
        <f t="shared" si="7"/>
        <v>7.7711934368089874E-3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x14ac:dyDescent="0.35">
      <c r="A19" s="68" t="s">
        <v>149</v>
      </c>
      <c r="B19" s="42">
        <f t="shared" ref="B19:F19" si="18">L63</f>
        <v>2376.0905760000001</v>
      </c>
      <c r="C19" s="42">
        <f t="shared" si="18"/>
        <v>2303.783203</v>
      </c>
      <c r="D19" s="42">
        <f t="shared" si="18"/>
        <v>2299.9104000000002</v>
      </c>
      <c r="E19" s="42">
        <f t="shared" si="18"/>
        <v>2351.7543949999999</v>
      </c>
      <c r="F19" s="42">
        <f t="shared" si="18"/>
        <v>2348.938721</v>
      </c>
      <c r="G19" s="43">
        <f t="shared" si="1"/>
        <v>2336.0954590000001</v>
      </c>
      <c r="H19" s="81">
        <f t="shared" si="2"/>
        <v>64941.542834114545</v>
      </c>
      <c r="I19" s="79">
        <f t="shared" si="3"/>
        <v>1.2645239046178397E-2</v>
      </c>
      <c r="J19" s="79">
        <f t="shared" si="4"/>
        <v>0.11</v>
      </c>
      <c r="K19" s="79">
        <f t="shared" si="5"/>
        <v>3.2610044125769538E-2</v>
      </c>
      <c r="L19" s="42">
        <f>G19/'Clause 6'!$I$12</f>
        <v>2336.0954590000001</v>
      </c>
      <c r="M19">
        <f t="shared" si="6"/>
        <v>5</v>
      </c>
      <c r="O19" s="254">
        <f t="shared" si="9"/>
        <v>1.7120497728770223E-2</v>
      </c>
      <c r="P19" s="254">
        <f t="shared" si="7"/>
        <v>-1.3831736145676121E-2</v>
      </c>
      <c r="Q19" s="254">
        <f t="shared" si="7"/>
        <v>-1.5489546396999287E-2</v>
      </c>
      <c r="R19" s="254">
        <f t="shared" si="7"/>
        <v>6.7030377289045706E-3</v>
      </c>
      <c r="S19" s="254">
        <f t="shared" si="7"/>
        <v>5.4977470850003929E-3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x14ac:dyDescent="0.35">
      <c r="A20" s="68" t="s">
        <v>150</v>
      </c>
      <c r="B20" s="42">
        <f t="shared" ref="B20:F20" si="19">L64</f>
        <v>1882.255005</v>
      </c>
      <c r="C20" s="42">
        <f t="shared" si="19"/>
        <v>1814.915283</v>
      </c>
      <c r="D20" s="42">
        <f t="shared" si="19"/>
        <v>1786.9807129999999</v>
      </c>
      <c r="E20" s="42">
        <f t="shared" si="19"/>
        <v>1845.5535890000001</v>
      </c>
      <c r="F20" s="42">
        <f t="shared" si="19"/>
        <v>1846.9506839999999</v>
      </c>
      <c r="G20" s="43">
        <f t="shared" si="1"/>
        <v>1835.3310548000002</v>
      </c>
      <c r="H20" s="81">
        <f t="shared" si="2"/>
        <v>51020.702022637182</v>
      </c>
      <c r="I20" s="79">
        <f t="shared" si="3"/>
        <v>1.7564360004747384E-2</v>
      </c>
      <c r="J20" s="79">
        <f t="shared" si="4"/>
        <v>0.11</v>
      </c>
      <c r="K20" s="79">
        <f t="shared" si="5"/>
        <v>5.1911229721104617E-2</v>
      </c>
      <c r="L20" s="42">
        <f>G20/'Clause 6'!$I$12</f>
        <v>1835.3310548000002</v>
      </c>
      <c r="M20">
        <f t="shared" si="6"/>
        <v>5</v>
      </c>
      <c r="O20" s="254">
        <f t="shared" si="9"/>
        <v>2.5567022405727835E-2</v>
      </c>
      <c r="P20" s="254">
        <f t="shared" si="7"/>
        <v>-1.112375434753643E-2</v>
      </c>
      <c r="Q20" s="254">
        <f t="shared" si="7"/>
        <v>-2.6344207315376678E-2</v>
      </c>
      <c r="R20" s="254">
        <f t="shared" si="7"/>
        <v>5.5698584586494349E-3</v>
      </c>
      <c r="S20" s="254">
        <f t="shared" si="7"/>
        <v>6.3310807985352824E-3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x14ac:dyDescent="0.35">
      <c r="A21" s="68" t="s">
        <v>151</v>
      </c>
      <c r="B21" s="42">
        <f t="shared" ref="B21:F21" si="20">L65</f>
        <v>1459.615356</v>
      </c>
      <c r="C21" s="42">
        <f t="shared" si="20"/>
        <v>1405.0333250000001</v>
      </c>
      <c r="D21" s="42">
        <f t="shared" si="20"/>
        <v>1391.2821039999999</v>
      </c>
      <c r="E21" s="42">
        <f t="shared" si="20"/>
        <v>1425.3645019999999</v>
      </c>
      <c r="F21" s="42">
        <f t="shared" si="20"/>
        <v>1431.0878909999999</v>
      </c>
      <c r="G21" s="43">
        <f t="shared" si="1"/>
        <v>1422.4766356000002</v>
      </c>
      <c r="H21" s="81">
        <f t="shared" si="2"/>
        <v>39543.686883792092</v>
      </c>
      <c r="I21" s="79">
        <f t="shared" si="3"/>
        <v>1.6454225363427815E-2</v>
      </c>
      <c r="J21" s="79">
        <f t="shared" si="4"/>
        <v>0.11</v>
      </c>
      <c r="K21" s="79">
        <f t="shared" si="5"/>
        <v>4.8038224523228944E-2</v>
      </c>
      <c r="L21" s="42">
        <f>G21/'Clause 6'!$I$12</f>
        <v>1422.4766356000002</v>
      </c>
      <c r="M21">
        <f t="shared" si="6"/>
        <v>5</v>
      </c>
      <c r="O21" s="254">
        <f t="shared" si="9"/>
        <v>2.6108492379092629E-2</v>
      </c>
      <c r="P21" s="254">
        <f t="shared" si="7"/>
        <v>-1.2262634171592235E-2</v>
      </c>
      <c r="Q21" s="254">
        <f t="shared" si="7"/>
        <v>-2.1929732144136405E-2</v>
      </c>
      <c r="R21" s="254">
        <f t="shared" si="7"/>
        <v>2.0301678971208492E-3</v>
      </c>
      <c r="S21" s="254">
        <f t="shared" si="7"/>
        <v>6.0537060395142728E-3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152</v>
      </c>
      <c r="B22" s="42">
        <f t="shared" ref="B22:F22" si="21">L66</f>
        <v>1091.9997559999999</v>
      </c>
      <c r="C22" s="42">
        <f t="shared" si="21"/>
        <v>1072.378052</v>
      </c>
      <c r="D22" s="42">
        <f t="shared" si="21"/>
        <v>1049.0942379999999</v>
      </c>
      <c r="E22" s="42">
        <f t="shared" si="21"/>
        <v>1073.209351</v>
      </c>
      <c r="F22" s="42">
        <f t="shared" si="21"/>
        <v>1069.1854249999999</v>
      </c>
      <c r="G22" s="43">
        <f t="shared" si="1"/>
        <v>1071.1733644000001</v>
      </c>
      <c r="H22" s="81">
        <f t="shared" si="2"/>
        <v>29777.743310507925</v>
      </c>
      <c r="I22" s="79">
        <f t="shared" si="3"/>
        <v>1.2737304968722055E-2</v>
      </c>
      <c r="J22" s="79">
        <f t="shared" si="4"/>
        <v>0.11</v>
      </c>
      <c r="K22" s="79">
        <f t="shared" si="5"/>
        <v>4.005469088939944E-2</v>
      </c>
      <c r="L22" s="42">
        <f>G22/'Clause 6'!$I$12</f>
        <v>1071.1733644000001</v>
      </c>
      <c r="M22">
        <f t="shared" si="6"/>
        <v>5</v>
      </c>
      <c r="O22" s="254">
        <f t="shared" si="9"/>
        <v>1.9442596588149286E-2</v>
      </c>
      <c r="P22" s="254">
        <f t="shared" si="7"/>
        <v>1.1246429756726073E-3</v>
      </c>
      <c r="Q22" s="254">
        <f t="shared" si="7"/>
        <v>-2.0612094301250106E-2</v>
      </c>
      <c r="R22" s="254">
        <f t="shared" si="7"/>
        <v>1.9007068955083639E-3</v>
      </c>
      <c r="S22" s="254">
        <f t="shared" si="7"/>
        <v>-1.8558521580805953E-3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153</v>
      </c>
      <c r="B23" s="42">
        <f t="shared" ref="B23:F23" si="22">L67</f>
        <v>813.724243</v>
      </c>
      <c r="C23" s="42">
        <f t="shared" si="22"/>
        <v>803.228027</v>
      </c>
      <c r="D23" s="42">
        <f t="shared" si="22"/>
        <v>783.47631799999999</v>
      </c>
      <c r="E23" s="42">
        <f t="shared" si="22"/>
        <v>798.07720900000004</v>
      </c>
      <c r="F23" s="42">
        <f t="shared" si="22"/>
        <v>794.46295199999997</v>
      </c>
      <c r="G23" s="43">
        <f t="shared" si="1"/>
        <v>798.59374979999996</v>
      </c>
      <c r="H23" s="81">
        <f t="shared" si="2"/>
        <v>22200.252994752664</v>
      </c>
      <c r="I23" s="79">
        <f t="shared" si="3"/>
        <v>1.2475284670060642E-2</v>
      </c>
      <c r="J23" s="79">
        <f t="shared" si="4"/>
        <v>0.11</v>
      </c>
      <c r="K23" s="79">
        <f t="shared" si="5"/>
        <v>3.7876486020051253E-2</v>
      </c>
      <c r="L23" s="42">
        <f>G23/'Clause 6'!$I$12</f>
        <v>798.59374979999996</v>
      </c>
      <c r="M23">
        <f t="shared" si="6"/>
        <v>5</v>
      </c>
      <c r="O23" s="254">
        <f t="shared" si="9"/>
        <v>1.8946420759978766E-2</v>
      </c>
      <c r="P23" s="254">
        <f t="shared" si="7"/>
        <v>5.8030471703047759E-3</v>
      </c>
      <c r="Q23" s="254">
        <f t="shared" si="7"/>
        <v>-1.8930065260072459E-2</v>
      </c>
      <c r="R23" s="254">
        <f t="shared" si="7"/>
        <v>-6.4681297609614496E-4</v>
      </c>
      <c r="S23" s="254">
        <f t="shared" si="7"/>
        <v>-5.1725896941148264E-3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154</v>
      </c>
      <c r="B24" s="42">
        <f t="shared" ref="B24:F24" si="23">L68</f>
        <v>593.82543899999996</v>
      </c>
      <c r="C24" s="42">
        <f t="shared" si="23"/>
        <v>601.62939500000005</v>
      </c>
      <c r="D24" s="42">
        <f t="shared" si="23"/>
        <v>590.20355199999995</v>
      </c>
      <c r="E24" s="42">
        <f t="shared" si="23"/>
        <v>591.50775099999998</v>
      </c>
      <c r="F24" s="42">
        <f t="shared" si="23"/>
        <v>593.73803699999996</v>
      </c>
      <c r="G24" s="43">
        <f t="shared" si="1"/>
        <v>594.18083480000007</v>
      </c>
      <c r="H24" s="81">
        <f t="shared" si="2"/>
        <v>16517.741167517135</v>
      </c>
      <c r="I24" s="79">
        <f t="shared" si="3"/>
        <v>6.6799023103805751E-3</v>
      </c>
      <c r="J24" s="79">
        <f t="shared" si="4"/>
        <v>0.11</v>
      </c>
      <c r="K24" s="79">
        <f t="shared" si="5"/>
        <v>1.9229571757975017E-2</v>
      </c>
      <c r="L24" s="42">
        <f>G24/'Clause 6'!$I$12</f>
        <v>594.18083480000007</v>
      </c>
      <c r="M24">
        <f t="shared" si="6"/>
        <v>5</v>
      </c>
      <c r="O24" s="254">
        <f t="shared" si="9"/>
        <v>-5.9812733630115744E-4</v>
      </c>
      <c r="P24" s="254">
        <f t="shared" si="7"/>
        <v>1.2535847277045153E-2</v>
      </c>
      <c r="Q24" s="254">
        <f t="shared" si="7"/>
        <v>-6.6937244809298635E-3</v>
      </c>
      <c r="R24" s="254">
        <f t="shared" si="7"/>
        <v>-4.4987714908372167E-3</v>
      </c>
      <c r="S24" s="254">
        <f t="shared" si="7"/>
        <v>-7.4522396897769294E-4</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155</v>
      </c>
      <c r="B25" s="42">
        <f t="shared" ref="B25:F25" si="24">L69</f>
        <v>438.41711400000003</v>
      </c>
      <c r="C25" s="42">
        <f t="shared" si="24"/>
        <v>443.12994400000002</v>
      </c>
      <c r="D25" s="42">
        <f t="shared" si="24"/>
        <v>440.93643200000002</v>
      </c>
      <c r="E25" s="42">
        <f t="shared" si="24"/>
        <v>438.16696200000001</v>
      </c>
      <c r="F25" s="42">
        <f t="shared" si="24"/>
        <v>443.633759</v>
      </c>
      <c r="G25" s="43">
        <f t="shared" si="1"/>
        <v>440.85684220000002</v>
      </c>
      <c r="H25" s="81">
        <f t="shared" si="2"/>
        <v>12255.459592263082</v>
      </c>
      <c r="I25" s="79">
        <f t="shared" si="3"/>
        <v>5.1797317796698069E-3</v>
      </c>
      <c r="J25" s="79">
        <f t="shared" si="4"/>
        <v>0.11</v>
      </c>
      <c r="K25" s="79">
        <f t="shared" si="5"/>
        <v>1.2400390504815863E-2</v>
      </c>
      <c r="L25" s="42">
        <f>G25/'Clause 6'!$I$12</f>
        <v>440.85684220000002</v>
      </c>
      <c r="M25">
        <f t="shared" si="6"/>
        <v>5</v>
      </c>
      <c r="O25" s="254">
        <f t="shared" si="9"/>
        <v>-5.5340599633774135E-3</v>
      </c>
      <c r="P25" s="254">
        <f t="shared" si="7"/>
        <v>5.1560996278441351E-3</v>
      </c>
      <c r="Q25" s="254">
        <f t="shared" si="7"/>
        <v>1.8053434217524256E-4</v>
      </c>
      <c r="R25" s="254">
        <f t="shared" si="7"/>
        <v>-6.1014822557289294E-3</v>
      </c>
      <c r="S25" s="254">
        <f t="shared" si="7"/>
        <v>6.2989082490869652E-3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156</v>
      </c>
      <c r="B26" s="42">
        <f t="shared" ref="B26:F26" si="25">L70</f>
        <v>329.15795900000001</v>
      </c>
      <c r="C26" s="42">
        <f t="shared" si="25"/>
        <v>328.43335000000002</v>
      </c>
      <c r="D26" s="42">
        <f t="shared" si="25"/>
        <v>319.65692100000001</v>
      </c>
      <c r="E26" s="42">
        <f t="shared" si="25"/>
        <v>325.364532</v>
      </c>
      <c r="F26" s="42">
        <f t="shared" si="25"/>
        <v>325.51889</v>
      </c>
      <c r="G26" s="43">
        <f t="shared" si="1"/>
        <v>325.62633040000003</v>
      </c>
      <c r="H26" s="81">
        <f t="shared" si="2"/>
        <v>9052.1456227817343</v>
      </c>
      <c r="I26" s="79">
        <f t="shared" si="3"/>
        <v>1.0283573787795854E-2</v>
      </c>
      <c r="J26" s="79">
        <f t="shared" si="4"/>
        <v>0.113</v>
      </c>
      <c r="K26" s="79">
        <f t="shared" si="5"/>
        <v>2.9177732612497582E-2</v>
      </c>
      <c r="L26" s="42">
        <f>G26/'Clause 6'!$I$12</f>
        <v>325.62633040000003</v>
      </c>
      <c r="M26">
        <f t="shared" si="6"/>
        <v>5</v>
      </c>
      <c r="O26" s="254">
        <f t="shared" si="9"/>
        <v>1.0845648125757279E-2</v>
      </c>
      <c r="P26" s="254">
        <f t="shared" si="7"/>
        <v>8.620370461294824E-3</v>
      </c>
      <c r="Q26" s="254">
        <f t="shared" si="7"/>
        <v>-1.8332084486740285E-2</v>
      </c>
      <c r="R26" s="254">
        <f t="shared" si="7"/>
        <v>-8.0398412400628505E-4</v>
      </c>
      <c r="S26" s="254">
        <f t="shared" si="7"/>
        <v>-3.2994997630586553E-4</v>
      </c>
    </row>
    <row r="27" spans="1:49" x14ac:dyDescent="0.35">
      <c r="A27" s="68" t="s">
        <v>157</v>
      </c>
      <c r="B27" s="42">
        <f t="shared" ref="B27:F27" si="26">L71</f>
        <v>245.34002699999999</v>
      </c>
      <c r="C27" s="42">
        <f t="shared" si="26"/>
        <v>246.80877699999999</v>
      </c>
      <c r="D27" s="42">
        <f t="shared" si="26"/>
        <v>240.27075199999999</v>
      </c>
      <c r="E27" s="42">
        <f t="shared" si="26"/>
        <v>245.6978</v>
      </c>
      <c r="F27" s="42">
        <f t="shared" si="26"/>
        <v>243.43611100000001</v>
      </c>
      <c r="G27" s="43">
        <f t="shared" si="1"/>
        <v>244.31069339999999</v>
      </c>
      <c r="H27" s="81">
        <f t="shared" si="2"/>
        <v>6791.6374303727989</v>
      </c>
      <c r="I27" s="79">
        <f t="shared" si="3"/>
        <v>9.3893003980245505E-3</v>
      </c>
      <c r="J27" s="79">
        <f t="shared" si="4"/>
        <v>0.113</v>
      </c>
      <c r="K27" s="79">
        <f t="shared" si="5"/>
        <v>2.6761108607291133E-2</v>
      </c>
      <c r="L27" s="42">
        <f>G27/'Clause 6'!$I$12</f>
        <v>244.31069339999999</v>
      </c>
      <c r="M27">
        <f t="shared" si="6"/>
        <v>5</v>
      </c>
      <c r="O27" s="254">
        <f t="shared" si="9"/>
        <v>4.2132154989822368E-3</v>
      </c>
      <c r="P27" s="254">
        <f t="shared" si="7"/>
        <v>1.0225027669623854E-2</v>
      </c>
      <c r="Q27" s="254">
        <f t="shared" si="7"/>
        <v>-1.653608093766723E-2</v>
      </c>
      <c r="R27" s="254">
        <f t="shared" si="7"/>
        <v>5.6776335930943667E-3</v>
      </c>
      <c r="S27" s="254">
        <f t="shared" si="7"/>
        <v>-3.5797958240332273E-3</v>
      </c>
    </row>
    <row r="28" spans="1:49" x14ac:dyDescent="0.35">
      <c r="A28" s="68" t="s">
        <v>158</v>
      </c>
      <c r="B28" s="42">
        <f t="shared" ref="B28:F28" si="27">L72</f>
        <v>183.41336100000001</v>
      </c>
      <c r="C28" s="42">
        <f t="shared" si="27"/>
        <v>181.72022999999999</v>
      </c>
      <c r="D28" s="42">
        <f t="shared" si="27"/>
        <v>179.01492300000001</v>
      </c>
      <c r="E28" s="42">
        <f t="shared" si="27"/>
        <v>182.598938</v>
      </c>
      <c r="F28" s="42">
        <f t="shared" si="27"/>
        <v>179.808762</v>
      </c>
      <c r="G28" s="43">
        <f t="shared" si="1"/>
        <v>181.3112428</v>
      </c>
      <c r="H28" s="81">
        <f t="shared" si="2"/>
        <v>5040.3042372433902</v>
      </c>
      <c r="I28" s="79">
        <f t="shared" si="3"/>
        <v>9.1544849708061673E-3</v>
      </c>
      <c r="J28" s="79">
        <f t="shared" si="4"/>
        <v>0.113</v>
      </c>
      <c r="K28" s="79">
        <f t="shared" si="5"/>
        <v>2.4259047216679267E-2</v>
      </c>
      <c r="L28" s="42">
        <f>G28/'Clause 6'!$I$12</f>
        <v>181.3112428</v>
      </c>
      <c r="M28">
        <f t="shared" si="6"/>
        <v>5</v>
      </c>
      <c r="O28" s="254">
        <f t="shared" si="9"/>
        <v>1.1593976013494212E-2</v>
      </c>
      <c r="P28" s="254">
        <f t="shared" si="7"/>
        <v>2.2557189156280355E-3</v>
      </c>
      <c r="Q28" s="254">
        <f t="shared" si="7"/>
        <v>-1.2665071203185163E-2</v>
      </c>
      <c r="R28" s="254">
        <f t="shared" si="7"/>
        <v>7.1021254948895329E-3</v>
      </c>
      <c r="S28" s="254">
        <f t="shared" si="7"/>
        <v>-8.2867492208266169E-3</v>
      </c>
    </row>
    <row r="29" spans="1:49" x14ac:dyDescent="0.35">
      <c r="A29" s="68" t="s">
        <v>159</v>
      </c>
      <c r="B29" s="42">
        <f t="shared" ref="B29:F29" si="28">L73</f>
        <v>139.63082900000001</v>
      </c>
      <c r="C29" s="42">
        <f t="shared" si="28"/>
        <v>137.21371500000001</v>
      </c>
      <c r="D29" s="42">
        <f t="shared" si="28"/>
        <v>127.79235799999999</v>
      </c>
      <c r="E29" s="42">
        <f t="shared" si="28"/>
        <v>131.83784499999999</v>
      </c>
      <c r="F29" s="42">
        <f t="shared" si="28"/>
        <v>132.879211</v>
      </c>
      <c r="G29" s="43">
        <f t="shared" si="1"/>
        <v>133.87079159999999</v>
      </c>
      <c r="H29" s="81">
        <f t="shared" si="2"/>
        <v>3721.4985001724713</v>
      </c>
      <c r="I29" s="79">
        <f t="shared" si="3"/>
        <v>3.1054734535621215E-2</v>
      </c>
      <c r="J29" s="79">
        <f t="shared" si="4"/>
        <v>0.11900000000000001</v>
      </c>
      <c r="K29" s="79">
        <f t="shared" si="5"/>
        <v>8.8432068403485956E-2</v>
      </c>
      <c r="L29" s="42">
        <f>G29/'Clause 6'!$I$12</f>
        <v>133.87079159999999</v>
      </c>
      <c r="M29">
        <f t="shared" si="6"/>
        <v>5</v>
      </c>
      <c r="O29" s="254">
        <f t="shared" si="9"/>
        <v>4.3026842010546629E-2</v>
      </c>
      <c r="P29" s="254">
        <f t="shared" si="7"/>
        <v>2.4971267892316185E-2</v>
      </c>
      <c r="Q29" s="254">
        <f t="shared" si="7"/>
        <v>-4.5405226392939313E-2</v>
      </c>
      <c r="R29" s="254">
        <f t="shared" si="7"/>
        <v>-1.518588614964167E-2</v>
      </c>
      <c r="S29" s="254">
        <f t="shared" si="7"/>
        <v>-7.4069973602814976E-3</v>
      </c>
    </row>
    <row r="30" spans="1:49" x14ac:dyDescent="0.35">
      <c r="A30" s="68" t="s">
        <v>160</v>
      </c>
      <c r="B30" s="42">
        <f t="shared" ref="B30:F30" si="29">L74</f>
        <v>103.934242</v>
      </c>
      <c r="C30" s="42">
        <f t="shared" si="29"/>
        <v>103.965782</v>
      </c>
      <c r="D30" s="42">
        <f t="shared" si="29"/>
        <v>93.467963999999995</v>
      </c>
      <c r="E30" s="42">
        <f t="shared" si="29"/>
        <v>97.644608000000005</v>
      </c>
      <c r="F30" s="42">
        <f t="shared" si="29"/>
        <v>95.265251000000006</v>
      </c>
      <c r="G30" s="43">
        <f t="shared" si="1"/>
        <v>98.855569399999993</v>
      </c>
      <c r="H30" s="81">
        <f t="shared" si="2"/>
        <v>2748.1039654642309</v>
      </c>
      <c r="I30" s="79">
        <f t="shared" si="3"/>
        <v>4.4160927788092691E-2</v>
      </c>
      <c r="J30" s="79">
        <f t="shared" si="4"/>
        <v>0.11900000000000001</v>
      </c>
      <c r="K30" s="79">
        <f t="shared" si="5"/>
        <v>0.10619349080396891</v>
      </c>
      <c r="L30" s="42">
        <f>G30/'Clause 6'!$I$12</f>
        <v>98.855569399999993</v>
      </c>
      <c r="M30">
        <f t="shared" si="6"/>
        <v>5</v>
      </c>
      <c r="O30" s="254">
        <f t="shared" si="9"/>
        <v>5.1374673484001043E-2</v>
      </c>
      <c r="P30" s="254">
        <f t="shared" si="7"/>
        <v>5.1693724804947827E-2</v>
      </c>
      <c r="Q30" s="254">
        <f t="shared" si="7"/>
        <v>-5.4499765999021177E-2</v>
      </c>
      <c r="R30" s="254">
        <f t="shared" si="7"/>
        <v>-1.2249804511267004E-2</v>
      </c>
      <c r="S30" s="254">
        <f t="shared" si="7"/>
        <v>-3.6318827778660134E-2</v>
      </c>
    </row>
    <row r="31" spans="1:49" x14ac:dyDescent="0.35">
      <c r="A31" s="68" t="s">
        <v>161</v>
      </c>
      <c r="B31" s="42">
        <f t="shared" ref="B31:F31" si="30">L75</f>
        <v>79.676345999999995</v>
      </c>
      <c r="C31" s="42">
        <f t="shared" si="30"/>
        <v>77.050781000000001</v>
      </c>
      <c r="D31" s="42">
        <f t="shared" si="30"/>
        <v>66.184471000000002</v>
      </c>
      <c r="E31" s="42">
        <f t="shared" si="30"/>
        <v>72.792823999999996</v>
      </c>
      <c r="F31" s="42">
        <f t="shared" si="30"/>
        <v>70.833754999999996</v>
      </c>
      <c r="G31" s="43">
        <f t="shared" si="1"/>
        <v>73.307635400000009</v>
      </c>
      <c r="H31" s="81">
        <f t="shared" si="2"/>
        <v>2037.8922984742433</v>
      </c>
      <c r="I31" s="79">
        <f t="shared" si="3"/>
        <v>6.4474054994330968E-2</v>
      </c>
      <c r="J31" s="79">
        <f t="shared" si="4"/>
        <v>0.11900000000000001</v>
      </c>
      <c r="K31" s="79">
        <f t="shared" si="5"/>
        <v>0.18404460771899336</v>
      </c>
      <c r="L31" s="42">
        <f>G31/'Clause 6'!$I$12</f>
        <v>73.307635400000009</v>
      </c>
      <c r="M31">
        <f t="shared" si="6"/>
        <v>5</v>
      </c>
      <c r="O31" s="254">
        <f t="shared" si="9"/>
        <v>8.6876497451450874E-2</v>
      </c>
      <c r="P31" s="254">
        <f t="shared" si="7"/>
        <v>5.1060787591574508E-2</v>
      </c>
      <c r="Q31" s="254">
        <f t="shared" si="7"/>
        <v>-9.7168110267542573E-2</v>
      </c>
      <c r="R31" s="254">
        <f t="shared" si="7"/>
        <v>-7.0226163644614426E-3</v>
      </c>
      <c r="S31" s="254">
        <f t="shared" si="7"/>
        <v>-3.3746558411022143E-2</v>
      </c>
    </row>
    <row r="32" spans="1:49" x14ac:dyDescent="0.35">
      <c r="A32" s="68" t="s">
        <v>162</v>
      </c>
      <c r="B32" s="42">
        <f t="shared" ref="B32:F32" si="31">L76</f>
        <v>55.812885000000001</v>
      </c>
      <c r="C32" s="42">
        <f t="shared" si="31"/>
        <v>59.811107999999997</v>
      </c>
      <c r="D32" s="42">
        <f t="shared" si="31"/>
        <v>46.117905</v>
      </c>
      <c r="E32" s="42">
        <f t="shared" si="31"/>
        <v>52.699885999999999</v>
      </c>
      <c r="F32" s="42">
        <f t="shared" si="31"/>
        <v>54.311737000000001</v>
      </c>
      <c r="G32" s="43">
        <f t="shared" si="1"/>
        <v>53.750704199999994</v>
      </c>
      <c r="H32" s="81">
        <f t="shared" si="2"/>
        <v>1494.2256086839643</v>
      </c>
      <c r="I32" s="79">
        <f t="shared" si="3"/>
        <v>8.3475421599569805E-2</v>
      </c>
      <c r="J32" s="79">
        <f t="shared" si="4"/>
        <v>0.13400000000000001</v>
      </c>
      <c r="K32" s="79">
        <f t="shared" si="5"/>
        <v>0.25475392748435838</v>
      </c>
      <c r="L32" s="42">
        <f>G32/'Clause 6'!$I$12</f>
        <v>53.750704199999994</v>
      </c>
      <c r="M32">
        <f t="shared" si="6"/>
        <v>5</v>
      </c>
      <c r="O32" s="254">
        <f t="shared" si="9"/>
        <v>3.8365651775033038E-2</v>
      </c>
      <c r="P32" s="254">
        <f t="shared" si="7"/>
        <v>0.1127502214194247</v>
      </c>
      <c r="Q32" s="254">
        <f t="shared" si="7"/>
        <v>-0.14200370606493362</v>
      </c>
      <c r="R32" s="254">
        <f t="shared" si="7"/>
        <v>-1.9549849916198792E-2</v>
      </c>
      <c r="S32" s="254">
        <f t="shared" si="7"/>
        <v>1.0437682786675229E-2</v>
      </c>
    </row>
    <row r="33" spans="1:19" x14ac:dyDescent="0.35">
      <c r="A33" s="68" t="s">
        <v>163</v>
      </c>
      <c r="B33" s="42">
        <f t="shared" ref="B33:F33" si="32">L77</f>
        <v>41.41592</v>
      </c>
      <c r="C33" s="42">
        <f t="shared" si="32"/>
        <v>46.265652000000003</v>
      </c>
      <c r="D33" s="42">
        <f t="shared" si="32"/>
        <v>33.620303999999997</v>
      </c>
      <c r="E33" s="42">
        <f t="shared" si="32"/>
        <v>37.542060999999997</v>
      </c>
      <c r="F33" s="42">
        <f t="shared" si="32"/>
        <v>37.789721999999998</v>
      </c>
      <c r="G33" s="43">
        <f t="shared" si="1"/>
        <v>39.32673179999999</v>
      </c>
      <c r="H33" s="81">
        <f t="shared" si="2"/>
        <v>1093.2509747733875</v>
      </c>
      <c r="I33" s="79">
        <f t="shared" si="3"/>
        <v>0.10825524972964594</v>
      </c>
      <c r="J33" s="79">
        <f t="shared" si="4"/>
        <v>0.13400000000000001</v>
      </c>
      <c r="K33" s="79">
        <f t="shared" si="5"/>
        <v>0.32154586514610933</v>
      </c>
      <c r="L33" s="42">
        <f>G33/'Clause 6'!$I$12</f>
        <v>39.32673179999999</v>
      </c>
      <c r="M33">
        <f t="shared" si="6"/>
        <v>5</v>
      </c>
      <c r="O33" s="254">
        <f t="shared" si="9"/>
        <v>5.3123870313576571E-2</v>
      </c>
      <c r="P33" s="254">
        <f t="shared" si="7"/>
        <v>0.17644283881225076</v>
      </c>
      <c r="Q33" s="254">
        <f t="shared" si="7"/>
        <v>-0.14510302633385863</v>
      </c>
      <c r="R33" s="254">
        <f t="shared" si="7"/>
        <v>-4.5380602921089808E-2</v>
      </c>
      <c r="S33" s="254">
        <f t="shared" si="7"/>
        <v>-3.908307987087789E-2</v>
      </c>
    </row>
    <row r="34" spans="1:19" x14ac:dyDescent="0.35">
      <c r="A34" s="68" t="s">
        <v>164</v>
      </c>
      <c r="B34" s="42">
        <f t="shared" ref="B34:F34" si="33">L78</f>
        <v>30.174458000000001</v>
      </c>
      <c r="C34" s="42">
        <f t="shared" si="33"/>
        <v>32.192450999999998</v>
      </c>
      <c r="D34" s="42">
        <f t="shared" si="33"/>
        <v>23.410996999999998</v>
      </c>
      <c r="E34" s="42">
        <f t="shared" si="33"/>
        <v>28.729369999999999</v>
      </c>
      <c r="F34" s="42">
        <f t="shared" si="33"/>
        <v>27.946816999999999</v>
      </c>
      <c r="G34" s="43">
        <f t="shared" si="1"/>
        <v>28.490818600000001</v>
      </c>
      <c r="H34" s="81">
        <f t="shared" si="2"/>
        <v>792.02145159038525</v>
      </c>
      <c r="I34" s="79">
        <f t="shared" si="3"/>
        <v>0.10256384337968456</v>
      </c>
      <c r="J34" s="79">
        <f t="shared" si="4"/>
        <v>0.156</v>
      </c>
      <c r="K34" s="79">
        <f t="shared" si="5"/>
        <v>0.30822048756436926</v>
      </c>
      <c r="L34" s="42">
        <f>G34/'Clause 6'!$I$12</f>
        <v>28.490818600000001</v>
      </c>
      <c r="M34">
        <f t="shared" si="6"/>
        <v>5</v>
      </c>
      <c r="O34" s="254">
        <f t="shared" si="9"/>
        <v>5.9094104091484523E-2</v>
      </c>
      <c r="P34" s="254">
        <f t="shared" si="7"/>
        <v>0.12992369408438109</v>
      </c>
      <c r="Q34" s="254">
        <f t="shared" si="7"/>
        <v>-0.17829679347998806</v>
      </c>
      <c r="R34" s="254">
        <f t="shared" si="7"/>
        <v>8.3729219349282236E-3</v>
      </c>
      <c r="S34" s="254">
        <f t="shared" si="7"/>
        <v>-1.9093926630806002E-2</v>
      </c>
    </row>
    <row r="35" spans="1:19" x14ac:dyDescent="0.35">
      <c r="A35" s="68" t="s">
        <v>165</v>
      </c>
      <c r="B35" s="42">
        <f t="shared" ref="B35:F35" si="34">L79</f>
        <v>21.496835999999998</v>
      </c>
      <c r="C35" s="42"/>
      <c r="D35" s="42">
        <f t="shared" si="34"/>
        <v>17.074186000000001</v>
      </c>
      <c r="E35" s="42">
        <f t="shared" si="34"/>
        <v>20.092934</v>
      </c>
      <c r="F35" s="42">
        <f t="shared" si="34"/>
        <v>17.752379999999999</v>
      </c>
      <c r="G35" s="43">
        <f t="shared" si="1"/>
        <v>19.104084</v>
      </c>
      <c r="H35" s="81">
        <f t="shared" si="2"/>
        <v>531.07790805928801</v>
      </c>
      <c r="I35" s="79">
        <f t="shared" si="3"/>
        <v>9.3089490363985422E-2</v>
      </c>
      <c r="J35" s="79">
        <f t="shared" si="4"/>
        <v>0.156</v>
      </c>
      <c r="K35" s="79">
        <f t="shared" si="5"/>
        <v>0.23150285561977205</v>
      </c>
      <c r="L35" s="42">
        <f>G35/'Clause 6'!$I$12</f>
        <v>19.104084</v>
      </c>
      <c r="M35">
        <f t="shared" si="6"/>
        <v>4</v>
      </c>
      <c r="O35" s="254">
        <f t="shared" si="9"/>
        <v>0.12524819300417644</v>
      </c>
      <c r="P35" s="254">
        <f t="shared" si="7"/>
        <v>0</v>
      </c>
      <c r="Q35" s="254">
        <f t="shared" si="7"/>
        <v>-0.10625466261559569</v>
      </c>
      <c r="R35" s="254">
        <f t="shared" si="7"/>
        <v>5.1761183629636331E-2</v>
      </c>
      <c r="S35" s="254">
        <f t="shared" si="7"/>
        <v>-7.0754714018217313E-2</v>
      </c>
    </row>
    <row r="36" spans="1:19" x14ac:dyDescent="0.35">
      <c r="A36" s="68" t="s">
        <v>166</v>
      </c>
      <c r="B36" s="42">
        <f t="shared" ref="B36:F36" si="35">L80</f>
        <v>14.396963</v>
      </c>
      <c r="C36" s="42"/>
      <c r="D36" s="42">
        <f t="shared" si="35"/>
        <v>11.969531999999999</v>
      </c>
      <c r="E36" s="42">
        <f t="shared" si="35"/>
        <v>13.924049999999999</v>
      </c>
      <c r="F36" s="42">
        <f t="shared" si="35"/>
        <v>11.600566000000001</v>
      </c>
      <c r="G36" s="43">
        <f t="shared" si="1"/>
        <v>12.972777750000001</v>
      </c>
      <c r="H36" s="81">
        <f t="shared" si="2"/>
        <v>360.63260971780056</v>
      </c>
      <c r="I36" s="79">
        <f t="shared" si="3"/>
        <v>9.3003404692729955E-2</v>
      </c>
      <c r="J36" s="79">
        <f t="shared" si="4"/>
        <v>0.193</v>
      </c>
      <c r="K36" s="79">
        <f t="shared" si="5"/>
        <v>0.21555884590715343</v>
      </c>
      <c r="L36" s="42">
        <f>G36/'Clause 6'!$I$12</f>
        <v>12.972777750000001</v>
      </c>
      <c r="M36">
        <f t="shared" si="6"/>
        <v>4</v>
      </c>
      <c r="O36" s="254">
        <f t="shared" si="9"/>
        <v>0.10978259841073745</v>
      </c>
      <c r="P36" s="254">
        <f t="shared" si="7"/>
        <v>0</v>
      </c>
      <c r="Q36" s="254">
        <f t="shared" si="7"/>
        <v>-7.7334690328754063E-2</v>
      </c>
      <c r="R36" s="254">
        <f t="shared" si="7"/>
        <v>7.3328339414432619E-2</v>
      </c>
      <c r="S36" s="254">
        <f t="shared" si="7"/>
        <v>-0.10577624749641612</v>
      </c>
    </row>
    <row r="37" spans="1:19" x14ac:dyDescent="0.35">
      <c r="A37" s="68" t="s">
        <v>167</v>
      </c>
      <c r="B37" s="42">
        <f t="shared" ref="B37:E37" si="36">L81</f>
        <v>9.6637149999999998</v>
      </c>
      <c r="C37" s="42">
        <f t="shared" si="36"/>
        <v>11.082646</v>
      </c>
      <c r="D37" s="42">
        <f t="shared" si="36"/>
        <v>9.505217</v>
      </c>
      <c r="E37" s="42">
        <f t="shared" si="36"/>
        <v>9.6939589999999995</v>
      </c>
      <c r="F37" s="42"/>
      <c r="G37" s="43">
        <f t="shared" si="1"/>
        <v>9.9863842500000004</v>
      </c>
      <c r="H37" s="81">
        <f t="shared" si="2"/>
        <v>277.61331328768352</v>
      </c>
      <c r="I37" s="79">
        <f t="shared" si="3"/>
        <v>6.3784172599208697E-2</v>
      </c>
      <c r="J37" s="79">
        <f t="shared" si="4"/>
        <v>0.193</v>
      </c>
      <c r="K37" s="79">
        <f t="shared" si="5"/>
        <v>0.15795797162521563</v>
      </c>
      <c r="L37" s="42">
        <f>G37/'Clause 6'!$I$12</f>
        <v>9.9863842500000004</v>
      </c>
      <c r="M37">
        <f t="shared" si="6"/>
        <v>4</v>
      </c>
      <c r="O37" s="254">
        <f t="shared" si="9"/>
        <v>-3.2310918739182348E-2</v>
      </c>
      <c r="P37" s="254">
        <f t="shared" si="7"/>
        <v>0.10977564277080565</v>
      </c>
      <c r="Q37" s="254">
        <f t="shared" si="7"/>
        <v>-4.8182328854409984E-2</v>
      </c>
      <c r="R37" s="254">
        <f t="shared" si="7"/>
        <v>-2.9282395177213538E-2</v>
      </c>
      <c r="S37" s="254">
        <f t="shared" si="7"/>
        <v>0</v>
      </c>
    </row>
    <row r="38" spans="1:19" x14ac:dyDescent="0.35">
      <c r="A38" s="68" t="s">
        <v>168</v>
      </c>
      <c r="B38" s="42">
        <f t="shared" ref="B38:E38" si="37">L82</f>
        <v>6.9026540000000001</v>
      </c>
      <c r="C38" s="42">
        <f t="shared" si="37"/>
        <v>7.5643459999999996</v>
      </c>
      <c r="D38" s="42">
        <f t="shared" si="37"/>
        <v>7.2169239999999997</v>
      </c>
      <c r="E38" s="42">
        <f t="shared" si="37"/>
        <v>6.3451370000000002</v>
      </c>
      <c r="F38" s="42"/>
      <c r="G38" s="43">
        <f t="shared" si="1"/>
        <v>7.0072652499999997</v>
      </c>
      <c r="H38" s="81">
        <f t="shared" si="2"/>
        <v>194.79624200702551</v>
      </c>
      <c r="I38" s="79">
        <f t="shared" si="3"/>
        <v>6.3966966462864192E-2</v>
      </c>
      <c r="J38" s="79">
        <f t="shared" si="4"/>
        <v>0.27500000000000002</v>
      </c>
      <c r="K38" s="79">
        <f t="shared" si="5"/>
        <v>0.1739921290977246</v>
      </c>
      <c r="L38" s="42">
        <f>G38/'Clause 6'!$I$12</f>
        <v>7.0072652499999997</v>
      </c>
      <c r="M38">
        <f t="shared" si="6"/>
        <v>4</v>
      </c>
      <c r="O38" s="254">
        <f t="shared" si="9"/>
        <v>-1.4928969614786514E-2</v>
      </c>
      <c r="P38" s="254">
        <f t="shared" si="7"/>
        <v>7.9500451335133837E-2</v>
      </c>
      <c r="Q38" s="254">
        <f t="shared" si="7"/>
        <v>2.9920196042243496E-2</v>
      </c>
      <c r="R38" s="254">
        <f t="shared" si="7"/>
        <v>-9.4491677762590709E-2</v>
      </c>
      <c r="S38" s="254">
        <f t="shared" si="7"/>
        <v>0</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5">
        <f>'6 - B1'!A51</f>
        <v>0</v>
      </c>
      <c r="B51" s="256" t="str">
        <f>'6 - B1'!B51</f>
        <v>Portion 1</v>
      </c>
      <c r="C51" s="256" t="str">
        <f>'6 - B1'!C51</f>
        <v>Portion 2</v>
      </c>
      <c r="D51" s="256" t="str">
        <f>'6 - B1'!D51</f>
        <v>Portion 3</v>
      </c>
      <c r="E51" s="256" t="str">
        <f>'6 - B1'!E51</f>
        <v>Portion 4</v>
      </c>
      <c r="F51" s="256" t="str">
        <f>'6 - B1'!F51</f>
        <v>Portion 5</v>
      </c>
      <c r="G51" s="256" t="str">
        <f>'6 - B1'!G51</f>
        <v>Portion 1</v>
      </c>
      <c r="H51" s="256" t="str">
        <f>'6 - B1'!H51</f>
        <v>Portion 2</v>
      </c>
      <c r="I51" s="256" t="str">
        <f>'6 - B1'!I51</f>
        <v>Portion 3</v>
      </c>
      <c r="J51" s="256" t="str">
        <f>'6 - B1'!J51</f>
        <v>Portion 4</v>
      </c>
      <c r="K51" s="256" t="str">
        <f>'6 - B1'!K51</f>
        <v>Portion 5</v>
      </c>
      <c r="L51" s="256" t="str">
        <f>'6 - B1'!L51</f>
        <v>Portion 1</v>
      </c>
      <c r="M51" s="256" t="str">
        <f>'6 - B1'!M51</f>
        <v>Portion 2</v>
      </c>
      <c r="N51" s="256" t="str">
        <f>'6 - B1'!N51</f>
        <v>Portion 3</v>
      </c>
      <c r="O51" s="256" t="str">
        <f>'6 - B1'!O51</f>
        <v>Portion 4</v>
      </c>
      <c r="P51" s="256" t="str">
        <f>'6 - B1'!P51</f>
        <v>Portion 5</v>
      </c>
    </row>
    <row r="52" spans="1:16" x14ac:dyDescent="0.35">
      <c r="A52" s="255" t="str">
        <f>'6 - B1'!A52</f>
        <v>NAME\mL</v>
      </c>
      <c r="B52" s="255">
        <f>'6 - B1'!B52</f>
        <v>5.0462610000000003</v>
      </c>
      <c r="C52" s="255">
        <f>'6 - B1'!C52</f>
        <v>5.6930870000000002</v>
      </c>
      <c r="D52" s="255">
        <f>'6 - B1'!D52</f>
        <v>5.6217810000000004</v>
      </c>
      <c r="E52" s="255">
        <f>'6 - B1'!E52</f>
        <v>5.6694240000000002</v>
      </c>
      <c r="F52" s="255">
        <f>'6 - B1'!F52</f>
        <v>5.6696869999999997</v>
      </c>
      <c r="G52" s="255">
        <f>'6 - B1'!G52</f>
        <v>5.0233230000000004</v>
      </c>
      <c r="H52" s="255">
        <f>'6 - B1'!H52</f>
        <v>5.6628939999999997</v>
      </c>
      <c r="I52" s="255">
        <f>'6 - B1'!I52</f>
        <v>5.630509</v>
      </c>
      <c r="J52" s="255">
        <f>'6 - B1'!J52</f>
        <v>5.7065010000000003</v>
      </c>
      <c r="K52" s="255">
        <f>'6 - B1'!K52</f>
        <v>5.684609</v>
      </c>
      <c r="L52" s="255">
        <f>'6 - B1'!L52</f>
        <v>5.0705140000000002</v>
      </c>
      <c r="M52" s="255">
        <f>'6 - B1'!M52</f>
        <v>5.6845629999999998</v>
      </c>
      <c r="N52" s="255">
        <f>'6 - B1'!N52</f>
        <v>5.6810910000000003</v>
      </c>
      <c r="O52" s="255">
        <f>'6 - B1'!O52</f>
        <v>5.6736360000000001</v>
      </c>
      <c r="P52" s="255">
        <f>'6 - B1'!P52</f>
        <v>5.6893779999999996</v>
      </c>
    </row>
    <row r="53" spans="1:16" x14ac:dyDescent="0.35">
      <c r="A53" s="255">
        <f>'6 - B1'!A53</f>
        <v>4</v>
      </c>
      <c r="B53" s="255">
        <f>'6 - B1'!B53</f>
        <v>12580.402344</v>
      </c>
      <c r="C53" s="255">
        <f>'6 - B1'!C53</f>
        <v>11835.758789</v>
      </c>
      <c r="D53" s="255">
        <f>'6 - B1'!D53</f>
        <v>12467.934569999999</v>
      </c>
      <c r="E53" s="255">
        <f>'6 - B1'!E53</f>
        <v>12081.651367</v>
      </c>
      <c r="F53" s="255">
        <f>'6 - B1'!F53</f>
        <v>12443.544921999999</v>
      </c>
      <c r="G53" s="255">
        <f>'6 - B1'!G53</f>
        <v>12360.742188</v>
      </c>
      <c r="H53" s="255">
        <f>'6 - B1'!H53</f>
        <v>12372.648438</v>
      </c>
      <c r="I53" s="255">
        <f>'6 - B1'!I53</f>
        <v>12222.518555000001</v>
      </c>
      <c r="J53" s="255">
        <f>'6 - B1'!J53</f>
        <v>11912.204102</v>
      </c>
      <c r="K53" s="255">
        <f>'6 - B1'!K53</f>
        <v>11836.522461</v>
      </c>
      <c r="L53" s="255">
        <f>'6 - B1'!L53</f>
        <v>12126.1875</v>
      </c>
      <c r="M53" s="255">
        <f>'6 - B1'!M53</f>
        <v>11685.859375</v>
      </c>
      <c r="N53" s="255">
        <f>'6 - B1'!N53</f>
        <v>11615.375</v>
      </c>
      <c r="O53" s="255">
        <f>'6 - B1'!O53</f>
        <v>11984.553711</v>
      </c>
      <c r="P53" s="255">
        <f>'6 - B1'!P53</f>
        <v>11872.299805000001</v>
      </c>
    </row>
    <row r="54" spans="1:16" x14ac:dyDescent="0.35">
      <c r="A54" s="255">
        <f>'6 - B1'!A54</f>
        <v>5</v>
      </c>
      <c r="B54" s="255">
        <f>'6 - B1'!B54</f>
        <v>11118.528319999999</v>
      </c>
      <c r="C54" s="255">
        <f>'6 - B1'!C54</f>
        <v>10489.564453000001</v>
      </c>
      <c r="D54" s="255">
        <f>'6 - B1'!D54</f>
        <v>11059.662109000001</v>
      </c>
      <c r="E54" s="255">
        <f>'6 - B1'!E54</f>
        <v>10677.628906</v>
      </c>
      <c r="F54" s="255">
        <f>'6 - B1'!F54</f>
        <v>10988.084961</v>
      </c>
      <c r="G54" s="255">
        <f>'6 - B1'!G54</f>
        <v>10908.714844</v>
      </c>
      <c r="H54" s="255">
        <f>'6 - B1'!H54</f>
        <v>10908.026367</v>
      </c>
      <c r="I54" s="255">
        <f>'6 - B1'!I54</f>
        <v>10773.803711</v>
      </c>
      <c r="J54" s="255">
        <f>'6 - B1'!J54</f>
        <v>10552.702148</v>
      </c>
      <c r="K54" s="255">
        <f>'6 - B1'!K54</f>
        <v>10491.487305000001</v>
      </c>
      <c r="L54" s="255">
        <f>'6 - B1'!L54</f>
        <v>10708.776367</v>
      </c>
      <c r="M54" s="255">
        <f>'6 - B1'!M54</f>
        <v>10304.046875</v>
      </c>
      <c r="N54" s="255">
        <f>'6 - B1'!N54</f>
        <v>10269.154296999999</v>
      </c>
      <c r="O54" s="255">
        <f>'6 - B1'!O54</f>
        <v>10570.292969</v>
      </c>
      <c r="P54" s="255">
        <f>'6 - B1'!P54</f>
        <v>10495.875</v>
      </c>
    </row>
    <row r="55" spans="1:16" x14ac:dyDescent="0.35">
      <c r="A55" s="255">
        <f>'6 - B1'!A55</f>
        <v>6</v>
      </c>
      <c r="B55" s="255">
        <f>'6 - B1'!B55</f>
        <v>9738.8935550000006</v>
      </c>
      <c r="C55" s="255">
        <f>'6 - B1'!C55</f>
        <v>9220.8330079999996</v>
      </c>
      <c r="D55" s="255">
        <f>'6 - B1'!D55</f>
        <v>9703.6855469999991</v>
      </c>
      <c r="E55" s="255">
        <f>'6 - B1'!E55</f>
        <v>9350.8623050000006</v>
      </c>
      <c r="F55" s="255">
        <f>'6 - B1'!F55</f>
        <v>9615.1699219999991</v>
      </c>
      <c r="G55" s="255">
        <f>'6 - B1'!G55</f>
        <v>9542.0898440000001</v>
      </c>
      <c r="H55" s="255">
        <f>'6 - B1'!H55</f>
        <v>9550.0634769999997</v>
      </c>
      <c r="I55" s="255">
        <f>'6 - B1'!I55</f>
        <v>9413.5361329999996</v>
      </c>
      <c r="J55" s="255">
        <f>'6 - B1'!J55</f>
        <v>9244.7197269999997</v>
      </c>
      <c r="K55" s="255">
        <f>'6 - B1'!K55</f>
        <v>9214.8818360000005</v>
      </c>
      <c r="L55" s="255">
        <f>'6 - B1'!L55</f>
        <v>9376.7617190000001</v>
      </c>
      <c r="M55" s="255">
        <f>'6 - B1'!M55</f>
        <v>8972.3701170000004</v>
      </c>
      <c r="N55" s="255">
        <f>'6 - B1'!N55</f>
        <v>8970.6367190000001</v>
      </c>
      <c r="O55" s="255">
        <f>'6 - B1'!O55</f>
        <v>9225.3007809999999</v>
      </c>
      <c r="P55" s="255">
        <f>'6 - B1'!P55</f>
        <v>9170.4228519999997</v>
      </c>
    </row>
    <row r="56" spans="1:16" x14ac:dyDescent="0.35">
      <c r="A56" s="255">
        <f>'6 - B1'!A56</f>
        <v>7</v>
      </c>
      <c r="B56" s="255">
        <f>'6 - B1'!B56</f>
        <v>8515.4130860000005</v>
      </c>
      <c r="C56" s="255">
        <f>'6 - B1'!C56</f>
        <v>8065.3964839999999</v>
      </c>
      <c r="D56" s="255">
        <f>'6 - B1'!D56</f>
        <v>8484.8554690000001</v>
      </c>
      <c r="E56" s="255">
        <f>'6 - B1'!E56</f>
        <v>8144.5668949999999</v>
      </c>
      <c r="F56" s="255">
        <f>'6 - B1'!F56</f>
        <v>8390.7636719999991</v>
      </c>
      <c r="G56" s="255">
        <f>'6 - B1'!G56</f>
        <v>8313.2216800000006</v>
      </c>
      <c r="H56" s="255">
        <f>'6 - B1'!H56</f>
        <v>8351.5595699999994</v>
      </c>
      <c r="I56" s="255">
        <f>'6 - B1'!I56</f>
        <v>8224.1230469999991</v>
      </c>
      <c r="J56" s="255">
        <f>'6 - B1'!J56</f>
        <v>8068.1669920000004</v>
      </c>
      <c r="K56" s="255">
        <f>'6 - B1'!K56</f>
        <v>8064.0551759999998</v>
      </c>
      <c r="L56" s="255">
        <f>'6 - B1'!L56</f>
        <v>8122.2539059999999</v>
      </c>
      <c r="M56" s="255">
        <f>'6 - B1'!M56</f>
        <v>7780.7216799999997</v>
      </c>
      <c r="N56" s="255">
        <f>'6 - B1'!N56</f>
        <v>7822.2651370000003</v>
      </c>
      <c r="O56" s="255">
        <f>'6 - B1'!O56</f>
        <v>7992.0522460000002</v>
      </c>
      <c r="P56" s="255">
        <f>'6 - B1'!P56</f>
        <v>7966.2490230000003</v>
      </c>
    </row>
    <row r="57" spans="1:16" x14ac:dyDescent="0.35">
      <c r="A57" s="255">
        <f>'6 - B1'!A57</f>
        <v>8</v>
      </c>
      <c r="B57" s="255">
        <f>'6 - B1'!B57</f>
        <v>7446.701172</v>
      </c>
      <c r="C57" s="255">
        <f>'6 - B1'!C57</f>
        <v>7023.7822269999997</v>
      </c>
      <c r="D57" s="255">
        <f>'6 - B1'!D57</f>
        <v>7390.1840819999998</v>
      </c>
      <c r="E57" s="255">
        <f>'6 - B1'!E57</f>
        <v>7073.2060549999997</v>
      </c>
      <c r="F57" s="255">
        <f>'6 - B1'!F57</f>
        <v>7291.9370120000003</v>
      </c>
      <c r="G57" s="255">
        <f>'6 - B1'!G57</f>
        <v>7216.9360349999997</v>
      </c>
      <c r="H57" s="255">
        <f>'6 - B1'!H57</f>
        <v>7269.7807620000003</v>
      </c>
      <c r="I57" s="255">
        <f>'6 - B1'!I57</f>
        <v>7165.4267579999996</v>
      </c>
      <c r="J57" s="255">
        <f>'6 - B1'!J57</f>
        <v>7037.9384769999997</v>
      </c>
      <c r="K57" s="255">
        <f>'6 - B1'!K57</f>
        <v>7035.4882809999999</v>
      </c>
      <c r="L57" s="255">
        <f>'6 - B1'!L57</f>
        <v>7014.8710940000001</v>
      </c>
      <c r="M57" s="255">
        <f>'6 - B1'!M57</f>
        <v>6735.0825199999999</v>
      </c>
      <c r="N57" s="255">
        <f>'6 - B1'!N57</f>
        <v>6775.8115230000003</v>
      </c>
      <c r="O57" s="255">
        <f>'6 - B1'!O57</f>
        <v>6907.5629879999997</v>
      </c>
      <c r="P57" s="255">
        <f>'6 - B1'!P57</f>
        <v>6905.5004879999997</v>
      </c>
    </row>
    <row r="58" spans="1:16" x14ac:dyDescent="0.35">
      <c r="A58" s="255">
        <f>'6 - B1'!A58</f>
        <v>9</v>
      </c>
      <c r="B58" s="255">
        <f>'6 - B1'!B58</f>
        <v>6502.4375</v>
      </c>
      <c r="C58" s="255">
        <f>'6 - B1'!C58</f>
        <v>6107.4077150000003</v>
      </c>
      <c r="D58" s="255">
        <f>'6 - B1'!D58</f>
        <v>6408.111328</v>
      </c>
      <c r="E58" s="255">
        <f>'6 - B1'!E58</f>
        <v>6140.8359380000002</v>
      </c>
      <c r="F58" s="255">
        <f>'6 - B1'!F58</f>
        <v>6310.2250979999999</v>
      </c>
      <c r="G58" s="255">
        <f>'6 - B1'!G58</f>
        <v>6247.8559569999998</v>
      </c>
      <c r="H58" s="255">
        <f>'6 - B1'!H58</f>
        <v>6300.841797</v>
      </c>
      <c r="I58" s="255">
        <f>'6 - B1'!I58</f>
        <v>6231.408203</v>
      </c>
      <c r="J58" s="255">
        <f>'6 - B1'!J58</f>
        <v>6124.5942379999997</v>
      </c>
      <c r="K58" s="255">
        <f>'6 - B1'!K58</f>
        <v>6122.4965819999998</v>
      </c>
      <c r="L58" s="255">
        <f>'6 - B1'!L58</f>
        <v>6049.8798829999996</v>
      </c>
      <c r="M58" s="255">
        <f>'6 - B1'!M58</f>
        <v>5806.2514650000003</v>
      </c>
      <c r="N58" s="255">
        <f>'6 - B1'!N58</f>
        <v>5860.8461909999996</v>
      </c>
      <c r="O58" s="255">
        <f>'6 - B1'!O58</f>
        <v>5963.5473629999997</v>
      </c>
      <c r="P58" s="255">
        <f>'6 - B1'!P58</f>
        <v>5980.6186520000001</v>
      </c>
    </row>
    <row r="59" spans="1:16" x14ac:dyDescent="0.35">
      <c r="A59" s="255">
        <f>'6 - B1'!A59</f>
        <v>10</v>
      </c>
      <c r="B59" s="255">
        <f>'6 - B1'!B59</f>
        <v>5575.216797</v>
      </c>
      <c r="C59" s="255">
        <f>'6 - B1'!C59</f>
        <v>5233.8920900000003</v>
      </c>
      <c r="D59" s="255">
        <f>'6 - B1'!D59</f>
        <v>5489.185547</v>
      </c>
      <c r="E59" s="255">
        <f>'6 - B1'!E59</f>
        <v>5234.0419920000004</v>
      </c>
      <c r="F59" s="255">
        <f>'6 - B1'!F59</f>
        <v>5412.4682620000003</v>
      </c>
      <c r="G59" s="255">
        <f>'6 - B1'!G59</f>
        <v>5331.3315430000002</v>
      </c>
      <c r="H59" s="255">
        <f>'6 - B1'!H59</f>
        <v>5390.1767579999996</v>
      </c>
      <c r="I59" s="255">
        <f>'6 - B1'!I59</f>
        <v>5314.2622069999998</v>
      </c>
      <c r="J59" s="255">
        <f>'6 - B1'!J59</f>
        <v>5252.0805659999996</v>
      </c>
      <c r="K59" s="255">
        <f>'6 - B1'!K59</f>
        <v>5259.4648440000001</v>
      </c>
      <c r="L59" s="255">
        <f>'6 - B1'!L59</f>
        <v>5144.4492190000001</v>
      </c>
      <c r="M59" s="255">
        <f>'6 - B1'!M59</f>
        <v>4946.7304690000001</v>
      </c>
      <c r="N59" s="255">
        <f>'6 - B1'!N59</f>
        <v>4975.8051759999998</v>
      </c>
      <c r="O59" s="255">
        <f>'6 - B1'!O59</f>
        <v>5068.7070309999999</v>
      </c>
      <c r="P59" s="255">
        <f>'6 - B1'!P59</f>
        <v>5086.4965819999998</v>
      </c>
    </row>
    <row r="60" spans="1:16" x14ac:dyDescent="0.35">
      <c r="A60" s="255">
        <f>'6 - B1'!A60</f>
        <v>11</v>
      </c>
      <c r="B60" s="255">
        <f>'6 - B1'!B60</f>
        <v>4739.9448240000002</v>
      </c>
      <c r="C60" s="255">
        <f>'6 - B1'!C60</f>
        <v>4463.6596680000002</v>
      </c>
      <c r="D60" s="255">
        <f>'6 - B1'!D60</f>
        <v>4684.2802730000003</v>
      </c>
      <c r="E60" s="255">
        <f>'6 - B1'!E60</f>
        <v>4449.6586909999996</v>
      </c>
      <c r="F60" s="255">
        <f>'6 - B1'!F60</f>
        <v>4614.1879879999997</v>
      </c>
      <c r="G60" s="255">
        <f>'6 - B1'!G60</f>
        <v>4531.064453</v>
      </c>
      <c r="H60" s="255">
        <f>'6 - B1'!H60</f>
        <v>4589.1728519999997</v>
      </c>
      <c r="I60" s="255">
        <f>'6 - B1'!I60</f>
        <v>4515.7553710000002</v>
      </c>
      <c r="J60" s="255">
        <f>'6 - B1'!J60</f>
        <v>4483.6586909999996</v>
      </c>
      <c r="K60" s="255">
        <f>'6 - B1'!K60</f>
        <v>4483.8618159999996</v>
      </c>
      <c r="L60" s="255">
        <f>'6 - B1'!L60</f>
        <v>4355.1801759999998</v>
      </c>
      <c r="M60" s="255">
        <f>'6 - B1'!M60</f>
        <v>4179.3891599999997</v>
      </c>
      <c r="N60" s="255">
        <f>'6 - B1'!N60</f>
        <v>4207.642578</v>
      </c>
      <c r="O60" s="255">
        <f>'6 - B1'!O60</f>
        <v>4279.794922</v>
      </c>
      <c r="P60" s="255">
        <f>'6 - B1'!P60</f>
        <v>4307.1494140000004</v>
      </c>
    </row>
    <row r="61" spans="1:16" x14ac:dyDescent="0.35">
      <c r="A61" s="255">
        <f>'6 - B1'!A61</f>
        <v>12</v>
      </c>
      <c r="B61" s="255">
        <f>'6 - B1'!B61</f>
        <v>3969.0771479999999</v>
      </c>
      <c r="C61" s="255">
        <f>'6 - B1'!C61</f>
        <v>3752.7973630000001</v>
      </c>
      <c r="D61" s="255">
        <f>'6 - B1'!D61</f>
        <v>3914.2397460000002</v>
      </c>
      <c r="E61" s="255">
        <f>'6 - B1'!E61</f>
        <v>3732.6545409999999</v>
      </c>
      <c r="F61" s="255">
        <f>'6 - B1'!F61</f>
        <v>3840.9528810000002</v>
      </c>
      <c r="G61" s="255">
        <f>'6 - B1'!G61</f>
        <v>3783.9494629999999</v>
      </c>
      <c r="H61" s="255">
        <f>'6 - B1'!H61</f>
        <v>3840.4389649999998</v>
      </c>
      <c r="I61" s="255">
        <f>'6 - B1'!I61</f>
        <v>3779.2321780000002</v>
      </c>
      <c r="J61" s="255">
        <f>'6 - B1'!J61</f>
        <v>3745.9035640000002</v>
      </c>
      <c r="K61" s="255">
        <f>'6 - B1'!K61</f>
        <v>3755.0515140000002</v>
      </c>
      <c r="L61" s="255">
        <f>'6 - B1'!L61</f>
        <v>3611.0739749999998</v>
      </c>
      <c r="M61" s="255">
        <f>'6 - B1'!M61</f>
        <v>3469.5720209999999</v>
      </c>
      <c r="N61" s="255">
        <f>'6 - B1'!N61</f>
        <v>3498.095703</v>
      </c>
      <c r="O61" s="255">
        <f>'6 - B1'!O61</f>
        <v>3561.0317380000001</v>
      </c>
      <c r="P61" s="255">
        <f>'6 - B1'!P61</f>
        <v>3576.4895019999999</v>
      </c>
    </row>
    <row r="62" spans="1:16" x14ac:dyDescent="0.35">
      <c r="A62" s="255">
        <f>'6 - B1'!A62</f>
        <v>13</v>
      </c>
      <c r="B62" s="255">
        <f>'6 - B1'!B62</f>
        <v>3282.6281739999999</v>
      </c>
      <c r="C62" s="255">
        <f>'6 - B1'!C62</f>
        <v>3104.2915039999998</v>
      </c>
      <c r="D62" s="255">
        <f>'6 - B1'!D62</f>
        <v>3240.076172</v>
      </c>
      <c r="E62" s="255">
        <f>'6 - B1'!E62</f>
        <v>3093.7890619999998</v>
      </c>
      <c r="F62" s="255">
        <f>'6 - B1'!F62</f>
        <v>3177.9533689999998</v>
      </c>
      <c r="G62" s="255">
        <f>'6 - B1'!G62</f>
        <v>3139.5551759999998</v>
      </c>
      <c r="H62" s="255">
        <f>'6 - B1'!H62</f>
        <v>3176.8208009999998</v>
      </c>
      <c r="I62" s="255">
        <f>'6 - B1'!I62</f>
        <v>3128.1364749999998</v>
      </c>
      <c r="J62" s="255">
        <f>'6 - B1'!J62</f>
        <v>3119.0744629999999</v>
      </c>
      <c r="K62" s="255">
        <f>'6 - B1'!K62</f>
        <v>3110.8559570000002</v>
      </c>
      <c r="L62" s="255">
        <f>'6 - B1'!L62</f>
        <v>2962.2246089999999</v>
      </c>
      <c r="M62" s="255">
        <f>'6 - B1'!M62</f>
        <v>2858.2673340000001</v>
      </c>
      <c r="N62" s="255">
        <f>'6 - B1'!N62</f>
        <v>2864.9428710000002</v>
      </c>
      <c r="O62" s="255">
        <f>'6 - B1'!O62</f>
        <v>2915.4140619999998</v>
      </c>
      <c r="P62" s="255">
        <f>'6 - B1'!P62</f>
        <v>2928.4396969999998</v>
      </c>
    </row>
    <row r="63" spans="1:16" x14ac:dyDescent="0.35">
      <c r="A63" s="255">
        <f>'6 - B1'!A63</f>
        <v>14</v>
      </c>
      <c r="B63" s="255">
        <f>'6 - B1'!B63</f>
        <v>2692.4882809999999</v>
      </c>
      <c r="C63" s="255">
        <f>'6 - B1'!C63</f>
        <v>2537.1123050000001</v>
      </c>
      <c r="D63" s="255">
        <f>'6 - B1'!D63</f>
        <v>2656.6313479999999</v>
      </c>
      <c r="E63" s="255">
        <f>'6 - B1'!E63</f>
        <v>2519.6564939999998</v>
      </c>
      <c r="F63" s="255">
        <f>'6 - B1'!F63</f>
        <v>2582.858643</v>
      </c>
      <c r="G63" s="255">
        <f>'6 - B1'!G63</f>
        <v>2550.1047359999998</v>
      </c>
      <c r="H63" s="255">
        <f>'6 - B1'!H63</f>
        <v>2588.2524410000001</v>
      </c>
      <c r="I63" s="255">
        <f>'6 - B1'!I63</f>
        <v>2553.4104000000002</v>
      </c>
      <c r="J63" s="255">
        <f>'6 - B1'!J63</f>
        <v>2542.1884770000001</v>
      </c>
      <c r="K63" s="255">
        <f>'6 - B1'!K63</f>
        <v>2546.1733399999998</v>
      </c>
      <c r="L63" s="255">
        <f>'6 - B1'!L63</f>
        <v>2376.0905760000001</v>
      </c>
      <c r="M63" s="255">
        <f>'6 - B1'!M63</f>
        <v>2303.783203</v>
      </c>
      <c r="N63" s="255">
        <f>'6 - B1'!N63</f>
        <v>2299.9104000000002</v>
      </c>
      <c r="O63" s="255">
        <f>'6 - B1'!O63</f>
        <v>2351.7543949999999</v>
      </c>
      <c r="P63" s="255">
        <f>'6 - B1'!P63</f>
        <v>2348.938721</v>
      </c>
    </row>
    <row r="64" spans="1:16" x14ac:dyDescent="0.35">
      <c r="A64" s="255">
        <f>'6 - B1'!A64</f>
        <v>15</v>
      </c>
      <c r="B64" s="255">
        <f>'6 - B1'!B64</f>
        <v>2141.3872070000002</v>
      </c>
      <c r="C64" s="255">
        <f>'6 - B1'!C64</f>
        <v>2029.830322</v>
      </c>
      <c r="D64" s="255">
        <f>'6 - B1'!D64</f>
        <v>2116.766846</v>
      </c>
      <c r="E64" s="255">
        <f>'6 - B1'!E64</f>
        <v>1997.5576169999999</v>
      </c>
      <c r="F64" s="255">
        <f>'6 - B1'!F64</f>
        <v>2056.7272950000001</v>
      </c>
      <c r="G64" s="255">
        <f>'6 - B1'!G64</f>
        <v>2011.4174800000001</v>
      </c>
      <c r="H64" s="255">
        <f>'6 - B1'!H64</f>
        <v>2066.9643550000001</v>
      </c>
      <c r="I64" s="255">
        <f>'6 - B1'!I64</f>
        <v>2033.20874</v>
      </c>
      <c r="J64" s="255">
        <f>'6 - B1'!J64</f>
        <v>2026.6361079999999</v>
      </c>
      <c r="K64" s="255">
        <f>'6 - B1'!K64</f>
        <v>2025.1173100000001</v>
      </c>
      <c r="L64" s="255">
        <f>'6 - B1'!L64</f>
        <v>1882.255005</v>
      </c>
      <c r="M64" s="255">
        <f>'6 - B1'!M64</f>
        <v>1814.915283</v>
      </c>
      <c r="N64" s="255">
        <f>'6 - B1'!N64</f>
        <v>1786.9807129999999</v>
      </c>
      <c r="O64" s="255">
        <f>'6 - B1'!O64</f>
        <v>1845.5535890000001</v>
      </c>
      <c r="P64" s="255">
        <f>'6 - B1'!P64</f>
        <v>1846.9506839999999</v>
      </c>
    </row>
    <row r="65" spans="1:16" x14ac:dyDescent="0.35">
      <c r="A65" s="255">
        <f>'6 - B1'!A65</f>
        <v>16</v>
      </c>
      <c r="B65" s="255">
        <f>'6 - B1'!B65</f>
        <v>1696.305298</v>
      </c>
      <c r="C65" s="255">
        <f>'6 - B1'!C65</f>
        <v>1596.848999</v>
      </c>
      <c r="D65" s="255">
        <f>'6 - B1'!D65</f>
        <v>1668.510254</v>
      </c>
      <c r="E65" s="255">
        <f>'6 - B1'!E65</f>
        <v>1559.946899</v>
      </c>
      <c r="F65" s="255">
        <f>'6 - B1'!F65</f>
        <v>1621.7827150000001</v>
      </c>
      <c r="G65" s="255">
        <f>'6 - B1'!G65</f>
        <v>1580.626953</v>
      </c>
      <c r="H65" s="255">
        <f>'6 - B1'!H65</f>
        <v>1629.7320560000001</v>
      </c>
      <c r="I65" s="255">
        <f>'6 - B1'!I65</f>
        <v>1597.3688959999999</v>
      </c>
      <c r="J65" s="255">
        <f>'6 - B1'!J65</f>
        <v>1599.0535890000001</v>
      </c>
      <c r="K65" s="255">
        <f>'6 - B1'!K65</f>
        <v>1595.5363769999999</v>
      </c>
      <c r="L65" s="255">
        <f>'6 - B1'!L65</f>
        <v>1459.615356</v>
      </c>
      <c r="M65" s="255">
        <f>'6 - B1'!M65</f>
        <v>1405.0333250000001</v>
      </c>
      <c r="N65" s="255">
        <f>'6 - B1'!N65</f>
        <v>1391.2821039999999</v>
      </c>
      <c r="O65" s="255">
        <f>'6 - B1'!O65</f>
        <v>1425.3645019999999</v>
      </c>
      <c r="P65" s="255">
        <f>'6 - B1'!P65</f>
        <v>1431.0878909999999</v>
      </c>
    </row>
    <row r="66" spans="1:16" x14ac:dyDescent="0.35">
      <c r="A66" s="255">
        <f>'6 - B1'!A66</f>
        <v>17</v>
      </c>
      <c r="B66" s="255">
        <f>'6 - B1'!B66</f>
        <v>1323.355957</v>
      </c>
      <c r="C66" s="255">
        <f>'6 - B1'!C66</f>
        <v>1243.6136469999999</v>
      </c>
      <c r="D66" s="255">
        <f>'6 - B1'!D66</f>
        <v>1293.718018</v>
      </c>
      <c r="E66" s="255">
        <f>'6 - B1'!E66</f>
        <v>1199.063721</v>
      </c>
      <c r="F66" s="255">
        <f>'6 - B1'!F66</f>
        <v>1251.744629</v>
      </c>
      <c r="G66" s="255">
        <f>'6 - B1'!G66</f>
        <v>1218.1179199999999</v>
      </c>
      <c r="H66" s="255">
        <f>'6 - B1'!H66</f>
        <v>1255.5417480000001</v>
      </c>
      <c r="I66" s="255">
        <f>'6 - B1'!I66</f>
        <v>1248.022217</v>
      </c>
      <c r="J66" s="255">
        <f>'6 - B1'!J66</f>
        <v>1233.6807859999999</v>
      </c>
      <c r="K66" s="255">
        <f>'6 - B1'!K66</f>
        <v>1238.2558590000001</v>
      </c>
      <c r="L66" s="255">
        <f>'6 - B1'!L66</f>
        <v>1091.9997559999999</v>
      </c>
      <c r="M66" s="255">
        <f>'6 - B1'!M66</f>
        <v>1072.378052</v>
      </c>
      <c r="N66" s="255">
        <f>'6 - B1'!N66</f>
        <v>1049.0942379999999</v>
      </c>
      <c r="O66" s="255">
        <f>'6 - B1'!O66</f>
        <v>1073.209351</v>
      </c>
      <c r="P66" s="255">
        <f>'6 - B1'!P66</f>
        <v>1069.1854249999999</v>
      </c>
    </row>
    <row r="67" spans="1:16" x14ac:dyDescent="0.35">
      <c r="A67" s="255">
        <f>'6 - B1'!A67</f>
        <v>18</v>
      </c>
      <c r="B67" s="255">
        <f>'6 - B1'!B67</f>
        <v>1015.603394</v>
      </c>
      <c r="C67" s="255">
        <f>'6 - B1'!C67</f>
        <v>958.70666500000004</v>
      </c>
      <c r="D67" s="255">
        <f>'6 - B1'!D67</f>
        <v>1002.884949</v>
      </c>
      <c r="E67" s="255">
        <f>'6 - B1'!E67</f>
        <v>915.08422900000005</v>
      </c>
      <c r="F67" s="255">
        <f>'6 - B1'!F67</f>
        <v>961.25238000000002</v>
      </c>
      <c r="G67" s="255">
        <f>'6 - B1'!G67</f>
        <v>938.02447500000005</v>
      </c>
      <c r="H67" s="255">
        <f>'6 - B1'!H67</f>
        <v>959.93316700000003</v>
      </c>
      <c r="I67" s="255">
        <f>'6 - B1'!I67</f>
        <v>966.520081</v>
      </c>
      <c r="J67" s="255">
        <f>'6 - B1'!J67</f>
        <v>948.74255400000004</v>
      </c>
      <c r="K67" s="255">
        <f>'6 - B1'!K67</f>
        <v>959.08093299999996</v>
      </c>
      <c r="L67" s="255">
        <f>'6 - B1'!L67</f>
        <v>813.724243</v>
      </c>
      <c r="M67" s="255">
        <f>'6 - B1'!M67</f>
        <v>803.228027</v>
      </c>
      <c r="N67" s="255">
        <f>'6 - B1'!N67</f>
        <v>783.47631799999999</v>
      </c>
      <c r="O67" s="255">
        <f>'6 - B1'!O67</f>
        <v>798.07720900000004</v>
      </c>
      <c r="P67" s="255">
        <f>'6 - B1'!P67</f>
        <v>794.46295199999997</v>
      </c>
    </row>
    <row r="68" spans="1:16" x14ac:dyDescent="0.35">
      <c r="A68" s="255">
        <f>'6 - B1'!A68</f>
        <v>19</v>
      </c>
      <c r="B68" s="255">
        <f>'6 - B1'!B68</f>
        <v>773.44390899999996</v>
      </c>
      <c r="C68" s="255">
        <f>'6 - B1'!C68</f>
        <v>735.10211200000003</v>
      </c>
      <c r="D68" s="255">
        <f>'6 - B1'!D68</f>
        <v>771.28576699999996</v>
      </c>
      <c r="E68" s="255">
        <f>'6 - B1'!E68</f>
        <v>696.54345699999999</v>
      </c>
      <c r="F68" s="255">
        <f>'6 - B1'!F68</f>
        <v>739.37066700000003</v>
      </c>
      <c r="G68" s="255">
        <f>'6 - B1'!G68</f>
        <v>718.64776600000005</v>
      </c>
      <c r="H68" s="255">
        <f>'6 - B1'!H68</f>
        <v>729.30902100000003</v>
      </c>
      <c r="I68" s="255">
        <f>'6 - B1'!I68</f>
        <v>738.83196999999996</v>
      </c>
      <c r="J68" s="255">
        <f>'6 - B1'!J68</f>
        <v>736.35320999999999</v>
      </c>
      <c r="K68" s="255">
        <f>'6 - B1'!K68</f>
        <v>732.32830799999999</v>
      </c>
      <c r="L68" s="255">
        <f>'6 - B1'!L68</f>
        <v>593.82543899999996</v>
      </c>
      <c r="M68" s="255">
        <f>'6 - B1'!M68</f>
        <v>601.62939500000005</v>
      </c>
      <c r="N68" s="255">
        <f>'6 - B1'!N68</f>
        <v>590.20355199999995</v>
      </c>
      <c r="O68" s="255">
        <f>'6 - B1'!O68</f>
        <v>591.50775099999998</v>
      </c>
      <c r="P68" s="255">
        <f>'6 - B1'!P68</f>
        <v>593.73803699999996</v>
      </c>
    </row>
    <row r="69" spans="1:16" x14ac:dyDescent="0.35">
      <c r="A69" s="255">
        <f>'6 - B1'!A69</f>
        <v>20</v>
      </c>
      <c r="B69" s="255">
        <f>'6 - B1'!B69</f>
        <v>592.31970200000001</v>
      </c>
      <c r="C69" s="255">
        <f>'6 - B1'!C69</f>
        <v>562.26092500000004</v>
      </c>
      <c r="D69" s="255">
        <f>'6 - B1'!D69</f>
        <v>587.00256300000001</v>
      </c>
      <c r="E69" s="255">
        <f>'6 - B1'!E69</f>
        <v>526.50854500000003</v>
      </c>
      <c r="F69" s="255">
        <f>'6 - B1'!F69</f>
        <v>560.17205799999999</v>
      </c>
      <c r="G69" s="255">
        <f>'6 - B1'!G69</f>
        <v>554.81201199999998</v>
      </c>
      <c r="H69" s="255">
        <f>'6 - B1'!H69</f>
        <v>556.95898399999999</v>
      </c>
      <c r="I69" s="255">
        <f>'6 - B1'!I69</f>
        <v>554.30157499999996</v>
      </c>
      <c r="J69" s="255">
        <f>'6 - B1'!J69</f>
        <v>565.32019000000003</v>
      </c>
      <c r="K69" s="255">
        <f>'6 - B1'!K69</f>
        <v>562.21984899999995</v>
      </c>
      <c r="L69" s="255">
        <f>'6 - B1'!L69</f>
        <v>438.41711400000003</v>
      </c>
      <c r="M69" s="255">
        <f>'6 - B1'!M69</f>
        <v>443.12994400000002</v>
      </c>
      <c r="N69" s="255">
        <f>'6 - B1'!N69</f>
        <v>440.93643200000002</v>
      </c>
      <c r="O69" s="255">
        <f>'6 - B1'!O69</f>
        <v>438.16696200000001</v>
      </c>
      <c r="P69" s="255">
        <f>'6 - B1'!P69</f>
        <v>443.633759</v>
      </c>
    </row>
    <row r="70" spans="1:16" x14ac:dyDescent="0.35">
      <c r="A70" s="255">
        <f>'6 - B1'!A70</f>
        <v>21</v>
      </c>
      <c r="B70" s="255">
        <f>'6 - B1'!B70</f>
        <v>454.59396400000003</v>
      </c>
      <c r="C70" s="255">
        <f>'6 - B1'!C70</f>
        <v>431.224762</v>
      </c>
      <c r="D70" s="255">
        <f>'6 - B1'!D70</f>
        <v>443.45373499999999</v>
      </c>
      <c r="E70" s="255">
        <f>'6 - B1'!E70</f>
        <v>400.21704099999999</v>
      </c>
      <c r="F70" s="255">
        <f>'6 - B1'!F70</f>
        <v>425.59670999999997</v>
      </c>
      <c r="G70" s="255">
        <f>'6 - B1'!G70</f>
        <v>428.40167200000002</v>
      </c>
      <c r="H70" s="255">
        <f>'6 - B1'!H70</f>
        <v>430.52191199999999</v>
      </c>
      <c r="I70" s="255">
        <f>'6 - B1'!I70</f>
        <v>416.303406</v>
      </c>
      <c r="J70" s="255">
        <f>'6 - B1'!J70</f>
        <v>437.39590500000003</v>
      </c>
      <c r="K70" s="255">
        <f>'6 - B1'!K70</f>
        <v>429.75692700000002</v>
      </c>
      <c r="L70" s="255">
        <f>'6 - B1'!L70</f>
        <v>329.15795900000001</v>
      </c>
      <c r="M70" s="255">
        <f>'6 - B1'!M70</f>
        <v>328.43335000000002</v>
      </c>
      <c r="N70" s="255">
        <f>'6 - B1'!N70</f>
        <v>319.65692100000001</v>
      </c>
      <c r="O70" s="255">
        <f>'6 - B1'!O70</f>
        <v>325.364532</v>
      </c>
      <c r="P70" s="255">
        <f>'6 - B1'!P70</f>
        <v>325.51889</v>
      </c>
    </row>
    <row r="71" spans="1:16" x14ac:dyDescent="0.35">
      <c r="A71" s="255">
        <f>'6 - B1'!A71</f>
        <v>22</v>
      </c>
      <c r="B71" s="255">
        <f>'6 - B1'!B71</f>
        <v>342.03539999999998</v>
      </c>
      <c r="C71" s="255">
        <f>'6 - B1'!C71</f>
        <v>333.03552200000001</v>
      </c>
      <c r="D71" s="255">
        <f>'6 - B1'!D71</f>
        <v>342.062408</v>
      </c>
      <c r="E71" s="255">
        <f>'6 - B1'!E71</f>
        <v>307.79144300000002</v>
      </c>
      <c r="F71" s="255">
        <f>'6 - B1'!F71</f>
        <v>323.47467</v>
      </c>
      <c r="G71" s="255">
        <f>'6 - B1'!G71</f>
        <v>325.28268400000002</v>
      </c>
      <c r="H71" s="255">
        <f>'6 - B1'!H71</f>
        <v>341.698059</v>
      </c>
      <c r="I71" s="255">
        <f>'6 - B1'!I71</f>
        <v>314.35879499999999</v>
      </c>
      <c r="J71" s="255">
        <f>'6 - B1'!J71</f>
        <v>340.31366000000003</v>
      </c>
      <c r="K71" s="255">
        <f>'6 - B1'!K71</f>
        <v>328.43069500000001</v>
      </c>
      <c r="L71" s="255">
        <f>'6 - B1'!L71</f>
        <v>245.34002699999999</v>
      </c>
      <c r="M71" s="255">
        <f>'6 - B1'!M71</f>
        <v>246.80877699999999</v>
      </c>
      <c r="N71" s="255">
        <f>'6 - B1'!N71</f>
        <v>240.27075199999999</v>
      </c>
      <c r="O71" s="255">
        <f>'6 - B1'!O71</f>
        <v>245.6978</v>
      </c>
      <c r="P71" s="255">
        <f>'6 - B1'!P71</f>
        <v>243.43611100000001</v>
      </c>
    </row>
    <row r="72" spans="1:16" x14ac:dyDescent="0.35">
      <c r="A72" s="255">
        <f>'6 - B1'!A72</f>
        <v>23</v>
      </c>
      <c r="B72" s="255">
        <f>'6 - B1'!B72</f>
        <v>264.35412600000001</v>
      </c>
      <c r="C72" s="255">
        <f>'6 - B1'!C72</f>
        <v>262.24789399999997</v>
      </c>
      <c r="D72" s="255">
        <f>'6 - B1'!D72</f>
        <v>264.15115400000002</v>
      </c>
      <c r="E72" s="255">
        <f>'6 - B1'!E72</f>
        <v>230.358521</v>
      </c>
      <c r="F72" s="255">
        <f>'6 - B1'!F72</f>
        <v>247.10359199999999</v>
      </c>
      <c r="G72" s="255">
        <f>'6 - B1'!G72</f>
        <v>250.829971</v>
      </c>
      <c r="H72" s="255">
        <f>'6 - B1'!H72</f>
        <v>259.05480999999997</v>
      </c>
      <c r="I72" s="255">
        <f>'6 - B1'!I72</f>
        <v>241.896423</v>
      </c>
      <c r="J72" s="255">
        <f>'6 - B1'!J72</f>
        <v>262.68289199999998</v>
      </c>
      <c r="K72" s="255">
        <f>'6 - B1'!K72</f>
        <v>254.546967</v>
      </c>
      <c r="L72" s="255">
        <f>'6 - B1'!L72</f>
        <v>183.41336100000001</v>
      </c>
      <c r="M72" s="255">
        <f>'6 - B1'!M72</f>
        <v>181.72022999999999</v>
      </c>
      <c r="N72" s="255">
        <f>'6 - B1'!N72</f>
        <v>179.01492300000001</v>
      </c>
      <c r="O72" s="255">
        <f>'6 - B1'!O72</f>
        <v>182.598938</v>
      </c>
      <c r="P72" s="255">
        <f>'6 - B1'!P72</f>
        <v>179.808762</v>
      </c>
    </row>
    <row r="73" spans="1:16" x14ac:dyDescent="0.35">
      <c r="A73" s="255">
        <f>'6 - B1'!A73</f>
        <v>24</v>
      </c>
      <c r="B73" s="255">
        <f>'6 - B1'!B73</f>
        <v>205.30050700000001</v>
      </c>
      <c r="C73" s="255">
        <f>'6 - B1'!C73</f>
        <v>205.51242099999999</v>
      </c>
      <c r="D73" s="255">
        <f>'6 - B1'!D73</f>
        <v>204.20573400000001</v>
      </c>
      <c r="E73" s="255">
        <f>'6 - B1'!E73</f>
        <v>173.73899800000001</v>
      </c>
      <c r="F73" s="255">
        <f>'6 - B1'!F73</f>
        <v>192.250473</v>
      </c>
      <c r="G73" s="255">
        <f>'6 - B1'!G73</f>
        <v>191.506699</v>
      </c>
      <c r="H73" s="255">
        <f>'6 - B1'!H73</f>
        <v>200.07437100000001</v>
      </c>
      <c r="I73" s="255">
        <f>'6 - B1'!I73</f>
        <v>187.72726399999999</v>
      </c>
      <c r="J73" s="255">
        <f>'6 - B1'!J73</f>
        <v>201.87503100000001</v>
      </c>
      <c r="K73" s="255">
        <f>'6 - B1'!K73</f>
        <v>193.50495900000001</v>
      </c>
      <c r="L73" s="255">
        <f>'6 - B1'!L73</f>
        <v>139.63082900000001</v>
      </c>
      <c r="M73" s="255">
        <f>'6 - B1'!M73</f>
        <v>137.21371500000001</v>
      </c>
      <c r="N73" s="255">
        <f>'6 - B1'!N73</f>
        <v>127.79235799999999</v>
      </c>
      <c r="O73" s="255">
        <f>'6 - B1'!O73</f>
        <v>131.83784499999999</v>
      </c>
      <c r="P73" s="255">
        <f>'6 - B1'!P73</f>
        <v>132.879211</v>
      </c>
    </row>
    <row r="74" spans="1:16" x14ac:dyDescent="0.35">
      <c r="A74" s="255">
        <f>'6 - B1'!A74</f>
        <v>25</v>
      </c>
      <c r="B74" s="255">
        <f>'6 - B1'!B74</f>
        <v>155.16438299999999</v>
      </c>
      <c r="C74" s="255">
        <f>'6 - B1'!C74</f>
        <v>159.84298699999999</v>
      </c>
      <c r="D74" s="255">
        <f>'6 - B1'!D74</f>
        <v>155.644623</v>
      </c>
      <c r="E74" s="255">
        <f>'6 - B1'!E74</f>
        <v>133.69966099999999</v>
      </c>
      <c r="F74" s="255">
        <f>'6 - B1'!F74</f>
        <v>146.392563</v>
      </c>
      <c r="G74" s="255">
        <f>'6 - B1'!G74</f>
        <v>146.11840799999999</v>
      </c>
      <c r="H74" s="255">
        <f>'6 - B1'!H74</f>
        <v>155.39756800000001</v>
      </c>
      <c r="I74" s="255">
        <f>'6 - B1'!I74</f>
        <v>143.148697</v>
      </c>
      <c r="J74" s="255">
        <f>'6 - B1'!J74</f>
        <v>157.01391599999999</v>
      </c>
      <c r="K74" s="255">
        <f>'6 - B1'!K74</f>
        <v>151.81343100000001</v>
      </c>
      <c r="L74" s="255">
        <f>'6 - B1'!L74</f>
        <v>103.934242</v>
      </c>
      <c r="M74" s="255">
        <f>'6 - B1'!M74</f>
        <v>103.965782</v>
      </c>
      <c r="N74" s="255">
        <f>'6 - B1'!N74</f>
        <v>93.467963999999995</v>
      </c>
      <c r="O74" s="255">
        <f>'6 - B1'!O74</f>
        <v>97.644608000000005</v>
      </c>
      <c r="P74" s="255">
        <f>'6 - B1'!P74</f>
        <v>95.265251000000006</v>
      </c>
    </row>
    <row r="75" spans="1:16" x14ac:dyDescent="0.35">
      <c r="A75" s="255">
        <f>'6 - B1'!A75</f>
        <v>26</v>
      </c>
      <c r="B75" s="255">
        <f>'6 - B1'!B75</f>
        <v>114.342079</v>
      </c>
      <c r="C75" s="255">
        <f>'6 - B1'!C75</f>
        <v>122.604843</v>
      </c>
      <c r="D75" s="255">
        <f>'6 - B1'!D75</f>
        <v>117.934151</v>
      </c>
      <c r="E75" s="255">
        <f>'6 - B1'!E75</f>
        <v>101.42124200000001</v>
      </c>
      <c r="F75" s="255">
        <f>'6 - B1'!F75</f>
        <v>110.235367</v>
      </c>
      <c r="G75" s="255">
        <f>'6 - B1'!G75</f>
        <v>107.498558</v>
      </c>
      <c r="H75" s="255">
        <f>'6 - B1'!H75</f>
        <v>114.782295</v>
      </c>
      <c r="I75" s="255">
        <f>'6 - B1'!I75</f>
        <v>107.62793000000001</v>
      </c>
      <c r="J75" s="255">
        <f>'6 - B1'!J75</f>
        <v>118.636635</v>
      </c>
      <c r="K75" s="255">
        <f>'6 - B1'!K75</f>
        <v>115.223404</v>
      </c>
      <c r="L75" s="255">
        <f>'6 - B1'!L75</f>
        <v>79.676345999999995</v>
      </c>
      <c r="M75" s="255">
        <f>'6 - B1'!M75</f>
        <v>77.050781000000001</v>
      </c>
      <c r="N75" s="255">
        <f>'6 - B1'!N75</f>
        <v>66.184471000000002</v>
      </c>
      <c r="O75" s="255">
        <f>'6 - B1'!O75</f>
        <v>72.792823999999996</v>
      </c>
      <c r="P75" s="255">
        <f>'6 - B1'!P75</f>
        <v>70.833754999999996</v>
      </c>
    </row>
    <row r="76" spans="1:16" x14ac:dyDescent="0.35">
      <c r="A76" s="255">
        <f>'6 - B1'!A76</f>
        <v>27</v>
      </c>
      <c r="B76" s="255">
        <f>'6 - B1'!B76</f>
        <v>82.833602999999997</v>
      </c>
      <c r="C76" s="255">
        <f>'6 - B1'!C76</f>
        <v>92.744063999999995</v>
      </c>
      <c r="D76" s="255">
        <f>'6 - B1'!D76</f>
        <v>90.896454000000006</v>
      </c>
      <c r="E76" s="255">
        <f>'6 - B1'!E76</f>
        <v>74.434371999999996</v>
      </c>
      <c r="F76" s="255">
        <f>'6 - B1'!F76</f>
        <v>82.544242999999994</v>
      </c>
      <c r="G76" s="255">
        <f>'6 - B1'!G76</f>
        <v>84.207206999999997</v>
      </c>
      <c r="H76" s="255">
        <f>'6 - B1'!H76</f>
        <v>84.762314000000003</v>
      </c>
      <c r="I76" s="255">
        <f>'6 - B1'!I76</f>
        <v>77.435271999999998</v>
      </c>
      <c r="J76" s="255">
        <f>'6 - B1'!J76</f>
        <v>87.268897999999993</v>
      </c>
      <c r="K76" s="255">
        <f>'6 - B1'!K76</f>
        <v>83.207130000000006</v>
      </c>
      <c r="L76" s="255">
        <f>'6 - B1'!L76</f>
        <v>55.812885000000001</v>
      </c>
      <c r="M76" s="255">
        <f>'6 - B1'!M76</f>
        <v>59.811107999999997</v>
      </c>
      <c r="N76" s="255">
        <f>'6 - B1'!N76</f>
        <v>46.117905</v>
      </c>
      <c r="O76" s="255">
        <f>'6 - B1'!O76</f>
        <v>52.699885999999999</v>
      </c>
      <c r="P76" s="255">
        <f>'6 - B1'!P76</f>
        <v>54.311737000000001</v>
      </c>
    </row>
    <row r="77" spans="1:16" x14ac:dyDescent="0.35">
      <c r="A77" s="255">
        <f>'6 - B1'!A77</f>
        <v>28</v>
      </c>
      <c r="B77" s="255">
        <f>'6 - B1'!B77</f>
        <v>58.062786000000003</v>
      </c>
      <c r="C77" s="255">
        <f>'6 - B1'!C77</f>
        <v>70.085007000000004</v>
      </c>
      <c r="D77" s="255">
        <f>'6 - B1'!D77</f>
        <v>70.262428</v>
      </c>
      <c r="E77" s="255">
        <f>'6 - B1'!E77</f>
        <v>55.032051000000003</v>
      </c>
      <c r="F77" s="255">
        <f>'6 - B1'!F77</f>
        <v>60.497169</v>
      </c>
      <c r="G77" s="255">
        <f>'6 - B1'!G77</f>
        <v>64.100989999999996</v>
      </c>
      <c r="H77" s="255">
        <f>'6 - B1'!H77</f>
        <v>63.924908000000002</v>
      </c>
      <c r="I77" s="255">
        <f>'6 - B1'!I77</f>
        <v>59.319682999999998</v>
      </c>
      <c r="J77" s="255">
        <f>'6 - B1'!J77</f>
        <v>62.384995000000004</v>
      </c>
      <c r="K77" s="255">
        <f>'6 - B1'!K77</f>
        <v>63.680720999999998</v>
      </c>
      <c r="L77" s="255">
        <f>'6 - B1'!L77</f>
        <v>41.41592</v>
      </c>
      <c r="M77" s="255">
        <f>'6 - B1'!M77</f>
        <v>46.265652000000003</v>
      </c>
      <c r="N77" s="255">
        <f>'6 - B1'!N77</f>
        <v>33.620303999999997</v>
      </c>
      <c r="O77" s="255">
        <f>'6 - B1'!O77</f>
        <v>37.542060999999997</v>
      </c>
      <c r="P77" s="255">
        <f>'6 - B1'!P77</f>
        <v>37.789721999999998</v>
      </c>
    </row>
    <row r="78" spans="1:16" x14ac:dyDescent="0.35">
      <c r="A78" s="255">
        <f>'6 - B1'!A78</f>
        <v>29</v>
      </c>
      <c r="B78" s="255">
        <f>'6 - B1'!B78</f>
        <v>40.624133999999998</v>
      </c>
      <c r="C78" s="255">
        <f>'6 - B1'!C78</f>
        <v>51.114628000000003</v>
      </c>
      <c r="D78" s="255">
        <f>'6 - B1'!D78</f>
        <v>52.474471999999999</v>
      </c>
      <c r="E78" s="255">
        <f>'6 - B1'!E78</f>
        <v>39.862960999999999</v>
      </c>
      <c r="F78" s="255">
        <f>'6 - B1'!F78</f>
        <v>45.857914000000001</v>
      </c>
      <c r="G78" s="255">
        <f>'6 - B1'!G78</f>
        <v>45.189208999999998</v>
      </c>
      <c r="H78" s="255">
        <f>'6 - B1'!H78</f>
        <v>49.091503000000003</v>
      </c>
      <c r="I78" s="255">
        <f>'6 - B1'!I78</f>
        <v>42.269714</v>
      </c>
      <c r="J78" s="255">
        <f>'6 - B1'!J78</f>
        <v>45.386837</v>
      </c>
      <c r="K78" s="255">
        <f>'6 - B1'!K78</f>
        <v>46.265273999999998</v>
      </c>
      <c r="L78" s="255">
        <f>'6 - B1'!L78</f>
        <v>30.174458000000001</v>
      </c>
      <c r="M78" s="255">
        <f>'6 - B1'!M78</f>
        <v>32.192450999999998</v>
      </c>
      <c r="N78" s="255">
        <f>'6 - B1'!N78</f>
        <v>23.410996999999998</v>
      </c>
      <c r="O78" s="255">
        <f>'6 - B1'!O78</f>
        <v>28.729369999999999</v>
      </c>
      <c r="P78" s="255">
        <f>'6 - B1'!P78</f>
        <v>27.946816999999999</v>
      </c>
    </row>
    <row r="79" spans="1:16" x14ac:dyDescent="0.35">
      <c r="A79" s="255">
        <f>'6 - B1'!A79</f>
        <v>30</v>
      </c>
      <c r="B79" s="255">
        <f>'6 - B1'!B79</f>
        <v>29.328644000000001</v>
      </c>
      <c r="C79" s="255">
        <f>'6 - B1'!C79</f>
        <v>36.886845000000001</v>
      </c>
      <c r="D79" s="255">
        <f>'6 - B1'!D79</f>
        <v>37.888348000000001</v>
      </c>
      <c r="E79" s="255">
        <f>'6 - B1'!E79</f>
        <v>26.98687</v>
      </c>
      <c r="F79" s="255">
        <f>'6 - B1'!F79</f>
        <v>31.747786000000001</v>
      </c>
      <c r="G79" s="255">
        <f>'6 - B1'!G79</f>
        <v>33.244926</v>
      </c>
      <c r="H79" s="255">
        <f>'6 - B1'!H79</f>
        <v>34.258099000000001</v>
      </c>
      <c r="I79" s="255">
        <f>'6 - B1'!I79</f>
        <v>30.192654000000001</v>
      </c>
      <c r="J79" s="255">
        <f>'6 - B1'!J79</f>
        <v>33.821078999999997</v>
      </c>
      <c r="K79" s="255">
        <f>'6 - B1'!K79</f>
        <v>31.312619999999999</v>
      </c>
      <c r="L79" s="255">
        <f>'6 - B1'!L79</f>
        <v>21.496835999999998</v>
      </c>
      <c r="M79" s="255">
        <f>'6 - B1'!M79</f>
        <v>24.276274000000001</v>
      </c>
      <c r="N79" s="255">
        <f>'6 - B1'!N79</f>
        <v>17.074186000000001</v>
      </c>
      <c r="O79" s="255">
        <f>'6 - B1'!O79</f>
        <v>20.092934</v>
      </c>
      <c r="P79" s="255">
        <f>'6 - B1'!P79</f>
        <v>17.752379999999999</v>
      </c>
    </row>
    <row r="80" spans="1:16" x14ac:dyDescent="0.35">
      <c r="A80" s="255">
        <f>'6 - B1'!A80</f>
        <v>38</v>
      </c>
      <c r="B80" s="255">
        <f>'6 - B1'!B80</f>
        <v>21.203817000000001</v>
      </c>
      <c r="C80" s="255">
        <f>'6 - B1'!C80</f>
        <v>24.415579000000001</v>
      </c>
      <c r="D80" s="255">
        <f>'6 - B1'!D80</f>
        <v>28.638608999999999</v>
      </c>
      <c r="E80" s="255">
        <f>'6 - B1'!E80</f>
        <v>19.402325000000001</v>
      </c>
      <c r="F80" s="255">
        <f>'6 - B1'!F80</f>
        <v>23.28171</v>
      </c>
      <c r="G80" s="255">
        <f>'6 - B1'!G80</f>
        <v>24.684854999999999</v>
      </c>
      <c r="H80" s="255">
        <f>'6 - B1'!H80</f>
        <v>24.015986999999999</v>
      </c>
      <c r="I80" s="255">
        <f>'6 - B1'!I80</f>
        <v>23.621310999999999</v>
      </c>
      <c r="J80" s="255">
        <f>'6 - B1'!J80</f>
        <v>24.533424</v>
      </c>
      <c r="K80" s="255">
        <f>'6 - B1'!K80</f>
        <v>22.341025999999999</v>
      </c>
      <c r="L80" s="255">
        <f>'6 - B1'!L80</f>
        <v>14.396963</v>
      </c>
      <c r="M80" s="255">
        <f>'6 - B1'!M80</f>
        <v>17.591502999999999</v>
      </c>
      <c r="N80" s="255">
        <f>'6 - B1'!N80</f>
        <v>11.969531999999999</v>
      </c>
      <c r="O80" s="255">
        <f>'6 - B1'!O80</f>
        <v>13.924049999999999</v>
      </c>
      <c r="P80" s="255">
        <f>'6 - B1'!P80</f>
        <v>11.600566000000001</v>
      </c>
    </row>
    <row r="81" spans="1:16" x14ac:dyDescent="0.35">
      <c r="A81" s="255">
        <f>'6 - B1'!A81</f>
        <v>50</v>
      </c>
      <c r="B81" s="255">
        <f>'6 - B1'!B81</f>
        <v>16.249655000000001</v>
      </c>
      <c r="C81" s="255">
        <f>'6 - B1'!C81</f>
        <v>18.092119</v>
      </c>
      <c r="D81" s="255">
        <f>'6 - B1'!D81</f>
        <v>21.345547</v>
      </c>
      <c r="E81" s="255">
        <f>'6 - B1'!E81</f>
        <v>11.641396</v>
      </c>
      <c r="F81" s="255">
        <f>'6 - B1'!F81</f>
        <v>15.344763</v>
      </c>
      <c r="G81" s="255">
        <f>'6 - B1'!G81</f>
        <v>17.916428</v>
      </c>
      <c r="H81" s="255">
        <f>'6 - B1'!H81</f>
        <v>16.069521000000002</v>
      </c>
      <c r="I81" s="255">
        <f>'6 - B1'!I81</f>
        <v>15.806742</v>
      </c>
      <c r="J81" s="255">
        <f>'6 - B1'!J81</f>
        <v>18.049590999999999</v>
      </c>
      <c r="K81" s="255">
        <f>'6 - B1'!K81</f>
        <v>14.776742</v>
      </c>
      <c r="L81" s="255">
        <f>'6 - B1'!L81</f>
        <v>9.6637149999999998</v>
      </c>
      <c r="M81" s="255">
        <f>'6 - B1'!M81</f>
        <v>11.082646</v>
      </c>
      <c r="N81" s="255">
        <f>'6 - B1'!N81</f>
        <v>9.505217</v>
      </c>
      <c r="O81" s="255">
        <f>'6 - B1'!O81</f>
        <v>9.6939589999999995</v>
      </c>
      <c r="P81" s="255">
        <f>'6 - B1'!P81</f>
        <v>7.7337100000000003</v>
      </c>
    </row>
    <row r="82" spans="1:16" x14ac:dyDescent="0.35">
      <c r="A82" s="255">
        <f>'6 - B1'!A82</f>
        <v>70</v>
      </c>
      <c r="B82" s="255">
        <f>'6 - B1'!B82</f>
        <v>11.691824</v>
      </c>
      <c r="C82" s="255">
        <f>'6 - B1'!C82</f>
        <v>13.876479</v>
      </c>
      <c r="D82" s="255">
        <f>'6 - B1'!D82</f>
        <v>16.009160999999999</v>
      </c>
      <c r="E82" s="255">
        <f>'6 - B1'!E82</f>
        <v>9.1720089999999992</v>
      </c>
      <c r="F82" s="255">
        <f>'6 - B1'!F82</f>
        <v>10.053466</v>
      </c>
      <c r="G82" s="255">
        <f>'6 - B1'!G82</f>
        <v>12.143356000000001</v>
      </c>
      <c r="H82" s="255">
        <f>'6 - B1'!H82</f>
        <v>11.654818000000001</v>
      </c>
      <c r="I82" s="255">
        <f>'6 - B1'!I82</f>
        <v>12.254664999999999</v>
      </c>
      <c r="J82" s="255">
        <f>'6 - B1'!J82</f>
        <v>12.266712</v>
      </c>
      <c r="K82" s="255">
        <f>'6 - B1'!K82</f>
        <v>8.7956800000000008</v>
      </c>
      <c r="L82" s="255">
        <f>'6 - B1'!L82</f>
        <v>6.9026540000000001</v>
      </c>
      <c r="M82" s="255">
        <f>'6 - B1'!M82</f>
        <v>7.5643459999999996</v>
      </c>
      <c r="N82" s="255">
        <f>'6 - B1'!N82</f>
        <v>7.2169239999999997</v>
      </c>
      <c r="O82" s="255">
        <f>'6 - B1'!O82</f>
        <v>6.3451370000000002</v>
      </c>
      <c r="P82" s="255">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H36" sqref="H36"/>
    </sheetView>
  </sheetViews>
  <sheetFormatPr defaultColWidth="11.53125" defaultRowHeight="12.75" x14ac:dyDescent="0.35"/>
  <cols>
    <col min="11" max="11" width="27.6640625" customWidth="1"/>
    <col min="12" max="12" width="15.3984375" customWidth="1"/>
  </cols>
  <sheetData>
    <row r="1" spans="1:16" ht="37.25" customHeight="1" x14ac:dyDescent="0.7">
      <c r="B1" s="213"/>
      <c r="K1" s="262"/>
      <c r="L1" s="262"/>
      <c r="M1" s="262"/>
      <c r="N1" s="262"/>
      <c r="O1" s="262"/>
    </row>
    <row r="2" spans="1:16" ht="52.15" x14ac:dyDescent="0.5">
      <c r="B2" s="214" t="s">
        <v>183</v>
      </c>
      <c r="C2" s="214" t="s">
        <v>184</v>
      </c>
      <c r="D2" s="214" t="s">
        <v>185</v>
      </c>
      <c r="E2" s="214" t="s">
        <v>376</v>
      </c>
      <c r="F2" s="215" t="s">
        <v>186</v>
      </c>
      <c r="G2" s="224" t="s">
        <v>137</v>
      </c>
      <c r="H2" s="225" t="s">
        <v>187</v>
      </c>
      <c r="K2" s="216" t="s">
        <v>188</v>
      </c>
      <c r="L2" s="217" t="s">
        <v>378</v>
      </c>
      <c r="M2" s="217" t="s">
        <v>189</v>
      </c>
      <c r="O2" s="68"/>
      <c r="P2" s="68"/>
    </row>
    <row r="3" spans="1:16" ht="26.25" x14ac:dyDescent="0.45">
      <c r="B3" s="215" t="s">
        <v>191</v>
      </c>
      <c r="C3" s="215" t="s">
        <v>191</v>
      </c>
      <c r="D3" s="215" t="s">
        <v>191</v>
      </c>
      <c r="E3" s="215" t="s">
        <v>191</v>
      </c>
      <c r="F3" s="215"/>
      <c r="G3" s="226" t="s">
        <v>193</v>
      </c>
      <c r="H3" s="226" t="s">
        <v>37</v>
      </c>
      <c r="K3" s="218" t="s">
        <v>194</v>
      </c>
      <c r="L3" s="217" t="str">
        <f>"/ml"</f>
        <v>/ml</v>
      </c>
      <c r="M3" s="217"/>
      <c r="O3" s="91"/>
      <c r="P3" s="212"/>
    </row>
    <row r="4" spans="1:16" ht="13.15" x14ac:dyDescent="0.4">
      <c r="A4">
        <v>30</v>
      </c>
      <c r="B4" s="43">
        <f>'6 - B1'!$L38</f>
        <v>12.160587799999998</v>
      </c>
      <c r="C4" s="43">
        <f>'6 - B2'!$L38</f>
        <v>12.079887750000001</v>
      </c>
      <c r="D4" s="43">
        <f>'6 - B3'!$L38</f>
        <v>7.0072652499999997</v>
      </c>
      <c r="E4" s="223">
        <f t="shared" ref="E4:E33" si="0">AVERAGE(B4:D4)</f>
        <v>10.4159136</v>
      </c>
      <c r="F4" s="42">
        <f>'Clause 6'!D20</f>
        <v>6000.0000000000146</v>
      </c>
      <c r="G4">
        <f>'6 - B1'!$M38+'6 - B2'!$M38+'6 - B3'!$M38</f>
        <v>13</v>
      </c>
      <c r="H4" s="43">
        <f>STDEVP('6 - B1'!$B38:F38,'6 - B2'!B38:F38,'6 - B3'!B38:F38)/SQRT(G4)</f>
        <v>0.78799043548221381</v>
      </c>
      <c r="K4" s="221">
        <v>4</v>
      </c>
      <c r="L4" s="219">
        <v>10563.4</v>
      </c>
      <c r="M4" s="220">
        <f t="shared" ref="M4:M9" si="1">CubicSpline(L4,$E$4:$E$33,$F$4:$F$33)</f>
        <v>55.824297191719566</v>
      </c>
    </row>
    <row r="5" spans="1:16" ht="13.15" x14ac:dyDescent="0.4">
      <c r="A5">
        <v>29</v>
      </c>
      <c r="B5" s="43">
        <f>'6 - B1'!$L37</f>
        <v>16.534696</v>
      </c>
      <c r="C5" s="43">
        <f>'6 - B2'!$L37</f>
        <v>16.960570500000003</v>
      </c>
      <c r="D5" s="43">
        <f>'6 - B3'!$L37</f>
        <v>9.9863842500000004</v>
      </c>
      <c r="E5" s="222">
        <f t="shared" si="0"/>
        <v>14.493883583333334</v>
      </c>
      <c r="F5" s="42">
        <f>'Clause 6'!D21</f>
        <v>5074.2113273781742</v>
      </c>
      <c r="G5">
        <f>'6 - B1'!$M37+'6 - B2'!$M37+'6 - B3'!$M37</f>
        <v>13</v>
      </c>
      <c r="H5" s="43">
        <f>STDEVP('6 - B1'!$B37:F37,'6 - B2'!B37:F37,'6 - B3'!B37:F37)/SQRT(G5)</f>
        <v>1.0405160950237637</v>
      </c>
      <c r="K5" s="221">
        <v>5</v>
      </c>
      <c r="L5" s="219">
        <v>6899.8</v>
      </c>
      <c r="M5" s="220">
        <f t="shared" si="1"/>
        <v>93.819165044772802</v>
      </c>
    </row>
    <row r="6" spans="1:16" ht="13.15" x14ac:dyDescent="0.4">
      <c r="A6">
        <v>28</v>
      </c>
      <c r="B6" s="43">
        <f>'6 - B1'!$L36</f>
        <v>23.388408000000002</v>
      </c>
      <c r="C6" s="43">
        <f>'6 - B2'!$L36</f>
        <v>24.213894249999996</v>
      </c>
      <c r="D6" s="43">
        <f>'6 - B3'!$L36</f>
        <v>12.972777750000001</v>
      </c>
      <c r="E6" s="222">
        <f t="shared" si="0"/>
        <v>20.19169333333333</v>
      </c>
      <c r="F6" s="42">
        <f>'Clause 6'!D22</f>
        <v>4291.2700991488182</v>
      </c>
      <c r="G6">
        <f>'6 - B1'!$M36+'6 - B2'!$M36+'6 - B3'!$M36</f>
        <v>13</v>
      </c>
      <c r="H6" s="43">
        <f>STDEVP('6 - B1'!$B36:F36,'6 - B2'!B36:F36,'6 - B3'!B36:F36)/SQRT(G6)</f>
        <v>1.4981280293766643</v>
      </c>
      <c r="K6" s="221">
        <v>6</v>
      </c>
      <c r="L6" s="219">
        <v>4593.5</v>
      </c>
      <c r="M6" s="220">
        <f t="shared" si="1"/>
        <v>145.93366328224388</v>
      </c>
    </row>
    <row r="7" spans="1:16" ht="13.15" x14ac:dyDescent="0.4">
      <c r="A7">
        <v>27</v>
      </c>
      <c r="B7" s="43">
        <f>'6 - B1'!$L35</f>
        <v>32.5676986</v>
      </c>
      <c r="C7" s="43">
        <f>'6 - B2'!$L35</f>
        <v>33.159181000000004</v>
      </c>
      <c r="D7" s="43">
        <f>'6 - B3'!$L35</f>
        <v>19.104084</v>
      </c>
      <c r="E7" s="222">
        <f t="shared" si="0"/>
        <v>28.276987866666669</v>
      </c>
      <c r="F7" s="42">
        <f>'Clause 6'!D23</f>
        <v>3629.1352243233573</v>
      </c>
      <c r="G7">
        <f>'6 - B1'!$M35+'6 - B2'!$M35+'6 - B3'!$M35</f>
        <v>13</v>
      </c>
      <c r="H7" s="43">
        <f>STDEVP('6 - B1'!$B35:F35,'6 - B2'!B35:F35,'6 - B3'!B35:F35)/SQRT(G7)</f>
        <v>1.9300396795583845</v>
      </c>
      <c r="K7" s="221">
        <v>7</v>
      </c>
      <c r="L7" s="219">
        <v>3202.3</v>
      </c>
      <c r="M7" s="220">
        <f t="shared" si="1"/>
        <v>202.96007381382276</v>
      </c>
    </row>
    <row r="8" spans="1:16" ht="13.15" x14ac:dyDescent="0.4">
      <c r="A8">
        <v>26</v>
      </c>
      <c r="B8" s="43">
        <f>'6 - B1'!$L34</f>
        <v>45.986821799999994</v>
      </c>
      <c r="C8" s="43">
        <f>'6 - B2'!$L34</f>
        <v>46.483205750000003</v>
      </c>
      <c r="D8" s="43">
        <f>'6 - B3'!$L34</f>
        <v>28.490818600000001</v>
      </c>
      <c r="E8" s="222">
        <f t="shared" si="0"/>
        <v>40.320282049999996</v>
      </c>
      <c r="F8" s="42">
        <f>'Clause 6'!D24</f>
        <v>3069.1665106414443</v>
      </c>
      <c r="G8">
        <f>'6 - B1'!$M34+'6 - B2'!$M34+'6 - B3'!$M34</f>
        <v>14</v>
      </c>
      <c r="H8" s="43">
        <f>STDEVP('6 - B1'!$B34:F34,'6 - B2'!B34:F34,'6 - B3'!B34:F34)/SQRT(G8)</f>
        <v>2.4707729922184285</v>
      </c>
      <c r="K8" s="221">
        <v>8</v>
      </c>
      <c r="L8" s="219">
        <v>2184.8000000000002</v>
      </c>
      <c r="M8" s="220">
        <f t="shared" si="1"/>
        <v>274.02556560248922</v>
      </c>
    </row>
    <row r="9" spans="1:16" ht="13.15" x14ac:dyDescent="0.4">
      <c r="A9">
        <v>25</v>
      </c>
      <c r="B9" s="43">
        <f>'6 - B1'!$L33</f>
        <v>64.726847500000005</v>
      </c>
      <c r="C9" s="43">
        <f>'6 - B2'!$L33</f>
        <v>63.522903499999998</v>
      </c>
      <c r="D9" s="43">
        <f>'6 - B3'!$L33</f>
        <v>39.32673179999999</v>
      </c>
      <c r="E9" s="222">
        <f t="shared" si="0"/>
        <v>55.858827600000005</v>
      </c>
      <c r="F9" s="42">
        <f>'Clause 6'!D25</f>
        <v>2595.5999123177544</v>
      </c>
      <c r="G9">
        <f>'6 - B1'!$M33+'6 - B2'!$M33+'6 - B3'!$M33</f>
        <v>13</v>
      </c>
      <c r="H9" s="43">
        <f>STDEVP('6 - B1'!$B33:F33,'6 - B2'!B33:F33,'6 - B3'!B33:F33)/SQRT(G9)</f>
        <v>3.5327198270643754</v>
      </c>
      <c r="K9" s="221">
        <v>9</v>
      </c>
      <c r="L9" s="219">
        <v>1501.7</v>
      </c>
      <c r="M9" s="220">
        <f t="shared" si="1"/>
        <v>354.72525507709463</v>
      </c>
    </row>
    <row r="10" spans="1:16" ht="13.15" x14ac:dyDescent="0.4">
      <c r="A10">
        <v>24</v>
      </c>
      <c r="B10" s="43">
        <f>'6 - B1'!$L32</f>
        <v>87.254590999999991</v>
      </c>
      <c r="C10" s="43">
        <f>'6 - B2'!$L32</f>
        <v>84.861387249999993</v>
      </c>
      <c r="D10" s="43">
        <f>'6 - B3'!$L32</f>
        <v>53.750704199999994</v>
      </c>
      <c r="E10" s="222">
        <f t="shared" si="0"/>
        <v>75.28889414999999</v>
      </c>
      <c r="F10" s="42">
        <f>'Clause 6'!D26</f>
        <v>2195.1037460707521</v>
      </c>
      <c r="G10">
        <f>'6 - B1'!$M32+'6 - B2'!$M32+'6 - B3'!$M32</f>
        <v>13</v>
      </c>
      <c r="H10" s="43">
        <f>STDEVP('6 - B1'!$B32:F32,'6 - B2'!B32:F32,'6 - B3'!B32:F32)/SQRT(G10)</f>
        <v>4.4970642805257519</v>
      </c>
      <c r="K10" s="221">
        <v>10</v>
      </c>
      <c r="L10" s="219">
        <v>1069.5</v>
      </c>
      <c r="M10" s="220">
        <f t="shared" ref="M10:M30" si="2">CubicSpline(L10,$E$4:$E$33,$F$4:$F$33)</f>
        <v>439.16365330378318</v>
      </c>
    </row>
    <row r="11" spans="1:16" ht="13.15" x14ac:dyDescent="0.4">
      <c r="A11">
        <v>23</v>
      </c>
      <c r="B11" s="43">
        <f>'6 - B1'!$L31</f>
        <v>116.27911</v>
      </c>
      <c r="C11" s="43">
        <f>'6 - B2'!$L31</f>
        <v>112.75376439999999</v>
      </c>
      <c r="D11" s="43">
        <f>'6 - B3'!$L31</f>
        <v>73.307635400000009</v>
      </c>
      <c r="E11" s="222">
        <f t="shared" si="0"/>
        <v>100.78016993333334</v>
      </c>
      <c r="F11" s="42">
        <f>'Clause 6'!D27</f>
        <v>1856.403382180408</v>
      </c>
      <c r="G11">
        <f>'6 - B1'!$M31+'6 - B2'!$M31+'6 - B3'!$M31</f>
        <v>14</v>
      </c>
      <c r="H11" s="43">
        <f>STDEVP('6 - B1'!$B31:F31,'6 - B2'!B31:F31,'6 - B3'!B31:F31)/SQRT(G11)</f>
        <v>5.4058210161705329</v>
      </c>
      <c r="K11" s="221">
        <v>11</v>
      </c>
      <c r="L11" s="219">
        <v>779</v>
      </c>
      <c r="M11" s="220">
        <f t="shared" si="2"/>
        <v>533.40086228697442</v>
      </c>
    </row>
    <row r="12" spans="1:16" ht="13.15" x14ac:dyDescent="0.4">
      <c r="A12">
        <v>22</v>
      </c>
      <c r="B12" s="43">
        <f>'6 - B1'!$L30</f>
        <v>154.26113899999999</v>
      </c>
      <c r="C12" s="43">
        <f>'6 - B2'!$L30</f>
        <v>150.69840400000001</v>
      </c>
      <c r="D12" s="43">
        <f>'6 - B3'!$L30</f>
        <v>98.855569399999993</v>
      </c>
      <c r="E12" s="222">
        <f t="shared" si="0"/>
        <v>134.60503746666666</v>
      </c>
      <c r="F12" s="42">
        <f>'Clause 6'!D28</f>
        <v>1569.9638450071595</v>
      </c>
      <c r="G12">
        <f>'6 - B1'!$M30+'6 - B2'!$M30+'6 - B3'!$M30</f>
        <v>14</v>
      </c>
      <c r="H12" s="43">
        <f>STDEVP('6 - B1'!$B30:F30,'6 - B2'!B30:F30,'6 - B3'!B30:F30)/SQRT(G12)</f>
        <v>6.9748944156250055</v>
      </c>
      <c r="K12" s="221">
        <v>12</v>
      </c>
      <c r="L12" s="219">
        <v>583.4</v>
      </c>
      <c r="M12" s="220">
        <f t="shared" si="2"/>
        <v>636.84341796362764</v>
      </c>
    </row>
    <row r="13" spans="1:16" ht="13.15" x14ac:dyDescent="0.4">
      <c r="A13">
        <v>21</v>
      </c>
      <c r="B13" s="43">
        <f>'6 - B1'!$L29</f>
        <v>201.81728375</v>
      </c>
      <c r="C13" s="43">
        <f>'6 - B2'!$L29</f>
        <v>194.93766480000002</v>
      </c>
      <c r="D13" s="43">
        <f>'6 - B3'!$L29</f>
        <v>133.87079159999999</v>
      </c>
      <c r="E13" s="222">
        <f t="shared" si="0"/>
        <v>176.87524671666665</v>
      </c>
      <c r="F13" s="42">
        <f>'Clause 6'!D29</f>
        <v>1327.7213876515837</v>
      </c>
      <c r="G13">
        <f>'6 - B1'!$M29+'6 - B2'!$M29+'6 - B3'!$M29</f>
        <v>14</v>
      </c>
      <c r="H13" s="43">
        <f>STDEVP('6 - B1'!$B29:F29,'6 - B2'!B29:F29,'6 - B3'!B29:F29)/SQRT(G13)</f>
        <v>8.3519257887060263</v>
      </c>
      <c r="K13" s="221">
        <v>13</v>
      </c>
      <c r="L13" s="219">
        <v>453.2</v>
      </c>
      <c r="M13" s="220">
        <f t="shared" si="2"/>
        <v>742.45359622218973</v>
      </c>
    </row>
    <row r="14" spans="1:16" ht="13.15" x14ac:dyDescent="0.4">
      <c r="A14">
        <v>20</v>
      </c>
      <c r="B14" s="43">
        <f>'6 - B1'!$L28</f>
        <v>259.46419150000003</v>
      </c>
      <c r="C14" s="43">
        <f>'6 - B2'!$L28</f>
        <v>253.80221259999999</v>
      </c>
      <c r="D14" s="43">
        <f>'6 - B3'!$L28</f>
        <v>181.3112428</v>
      </c>
      <c r="E14" s="222">
        <f t="shared" si="0"/>
        <v>231.52588230000001</v>
      </c>
      <c r="F14" s="42">
        <f>'Clause 6'!D30</f>
        <v>1122.8564841373195</v>
      </c>
      <c r="G14">
        <f>'6 - B1'!$M28+'6 - B2'!$M28+'6 - B3'!$M28</f>
        <v>14</v>
      </c>
      <c r="H14" s="43">
        <f>STDEVP('6 - B1'!$B28:F28,'6 - B2'!B28:F28,'6 - B3'!B28:F28)/SQRT(G14)</f>
        <v>9.750182584707467</v>
      </c>
      <c r="K14" s="221">
        <v>14</v>
      </c>
      <c r="L14" s="219">
        <v>364.1</v>
      </c>
      <c r="M14" s="220">
        <f t="shared" si="2"/>
        <v>846.52898028792629</v>
      </c>
    </row>
    <row r="15" spans="1:16" ht="13.15" x14ac:dyDescent="0.4">
      <c r="A15">
        <v>19</v>
      </c>
      <c r="B15" s="43">
        <f>'6 - B1'!$L27</f>
        <v>329.67988860000003</v>
      </c>
      <c r="C15" s="43">
        <f>'6 - B2'!$L27</f>
        <v>330.01677860000001</v>
      </c>
      <c r="D15" s="43">
        <f>'6 - B3'!$L27</f>
        <v>244.31069339999999</v>
      </c>
      <c r="E15" s="222">
        <f t="shared" si="0"/>
        <v>301.33578686666669</v>
      </c>
      <c r="F15" s="42">
        <f>'Clause 6'!D31</f>
        <v>949.60184847160065</v>
      </c>
      <c r="G15">
        <f>'6 - B1'!$M27+'6 - B2'!$M27+'6 - B3'!$M27</f>
        <v>15</v>
      </c>
      <c r="H15" s="43">
        <f>STDEVP('6 - B1'!$B27:F27,'6 - B2'!B27:F27,'6 - B3'!B27:F27)/SQRT(G15)</f>
        <v>10.700568160033512</v>
      </c>
      <c r="K15" s="221">
        <v>15</v>
      </c>
      <c r="L15" s="219">
        <v>296.89999999999998</v>
      </c>
      <c r="M15" s="220">
        <f t="shared" si="2"/>
        <v>958.16301083952044</v>
      </c>
    </row>
    <row r="16" spans="1:16" ht="13.15" x14ac:dyDescent="0.4">
      <c r="A16">
        <v>18</v>
      </c>
      <c r="B16" s="43">
        <f>'6 - B1'!$L26</f>
        <v>438.71729275000001</v>
      </c>
      <c r="C16" s="43">
        <f>'6 - B2'!$L26</f>
        <v>428.47596440000007</v>
      </c>
      <c r="D16" s="43">
        <f>'6 - B3'!$L26</f>
        <v>325.62633040000003</v>
      </c>
      <c r="E16" s="222">
        <f t="shared" si="0"/>
        <v>397.60652918333335</v>
      </c>
      <c r="F16" s="42">
        <f>'Clause 6'!D32</f>
        <v>803.08007600230621</v>
      </c>
      <c r="G16">
        <f>'6 - B1'!$M26+'6 - B2'!$M26+'6 - B3'!$M26</f>
        <v>14</v>
      </c>
      <c r="H16" s="43">
        <f>STDEVP('6 - B1'!$B26:F26,'6 - B2'!B26:F26,'6 - B3'!B26:F26)/SQRT(G16)</f>
        <v>13.942747086253034</v>
      </c>
      <c r="K16" s="221">
        <v>16</v>
      </c>
      <c r="L16" s="219">
        <v>246.4</v>
      </c>
      <c r="M16" s="220">
        <f t="shared" si="2"/>
        <v>1079.8099373992954</v>
      </c>
    </row>
    <row r="17" spans="1:13" ht="13.15" x14ac:dyDescent="0.4">
      <c r="A17">
        <v>17</v>
      </c>
      <c r="B17" s="43">
        <f>'6 - B1'!$L25</f>
        <v>575.43881199999998</v>
      </c>
      <c r="C17" s="43">
        <f>'6 - B2'!$L25</f>
        <v>558.72252200000003</v>
      </c>
      <c r="D17" s="43">
        <f>'6 - B3'!$L25</f>
        <v>440.85684220000002</v>
      </c>
      <c r="E17" s="222">
        <f t="shared" si="0"/>
        <v>525.00605873333336</v>
      </c>
      <c r="F17" s="42">
        <f>'Clause 6'!D33</f>
        <v>679.1663364071029</v>
      </c>
      <c r="G17">
        <f>'6 - B1'!$M25+'6 - B2'!$M25+'6 - B3'!$M25</f>
        <v>14</v>
      </c>
      <c r="H17" s="43">
        <f>STDEVP('6 - B1'!$B25:F25,'6 - B2'!B25:F25,'6 - B3'!B25:F25)/SQRT(G17)</f>
        <v>16.292420648720878</v>
      </c>
      <c r="K17" s="221">
        <v>17</v>
      </c>
      <c r="L17" s="219">
        <v>208.5</v>
      </c>
      <c r="M17" s="220">
        <f t="shared" si="2"/>
        <v>1198.8945291294419</v>
      </c>
    </row>
    <row r="18" spans="1:13" ht="13.15" x14ac:dyDescent="0.4">
      <c r="A18">
        <v>16</v>
      </c>
      <c r="B18" s="43">
        <f>'6 - B1'!$L24</f>
        <v>743.14918240000009</v>
      </c>
      <c r="C18" s="43">
        <f>'6 - B2'!$L24</f>
        <v>731.09405500000014</v>
      </c>
      <c r="D18" s="43">
        <f>'6 - B3'!$L24</f>
        <v>594.18083480000007</v>
      </c>
      <c r="E18" s="222">
        <f t="shared" si="0"/>
        <v>689.47469073333343</v>
      </c>
      <c r="F18" s="42">
        <f>'Clause 6'!D34</f>
        <v>574.37225289514151</v>
      </c>
      <c r="G18">
        <f>'6 - B1'!$M24+'6 - B2'!$M24+'6 - B3'!$M24</f>
        <v>15</v>
      </c>
      <c r="H18" s="43">
        <f>STDEVP('6 - B1'!$B24:F24,'6 - B2'!B24:F24,'6 - B3'!B24:F24)/SQRT(G18)</f>
        <v>17.982299080794331</v>
      </c>
      <c r="K18" s="221">
        <v>18</v>
      </c>
      <c r="L18" s="219">
        <v>178.7</v>
      </c>
      <c r="M18" s="220">
        <f t="shared" si="2"/>
        <v>1319.4997665049991</v>
      </c>
    </row>
    <row r="19" spans="1:13" ht="13.15" x14ac:dyDescent="0.4">
      <c r="A19">
        <v>15</v>
      </c>
      <c r="B19" s="43">
        <f>'6 - B1'!$L23</f>
        <v>970.70632339999997</v>
      </c>
      <c r="C19" s="43">
        <f>'6 - B2'!$L23</f>
        <v>954.46024199999988</v>
      </c>
      <c r="D19" s="43">
        <f>'6 - B3'!$L23</f>
        <v>798.59374979999996</v>
      </c>
      <c r="E19" s="222">
        <f t="shared" si="0"/>
        <v>907.92010506666657</v>
      </c>
      <c r="F19" s="42">
        <f>'Clause 6'!D35</f>
        <v>485.74769862870693</v>
      </c>
      <c r="G19">
        <f>'6 - B1'!$M23+'6 - B2'!$M23+'6 - B3'!$M23</f>
        <v>15</v>
      </c>
      <c r="H19" s="43">
        <f>STDEVP('6 - B1'!$B23:F23,'6 - B2'!B23:F23,'6 - B3'!B23:F23)/SQRT(G19)</f>
        <v>20.835436683158566</v>
      </c>
      <c r="K19" s="221">
        <v>19</v>
      </c>
      <c r="L19" s="219">
        <v>153.30000000000001</v>
      </c>
      <c r="M19" s="220">
        <f t="shared" si="2"/>
        <v>1450.8755093121933</v>
      </c>
    </row>
    <row r="20" spans="1:13" ht="13.15" x14ac:dyDescent="0.4">
      <c r="A20">
        <v>14</v>
      </c>
      <c r="B20" s="43">
        <f>'6 - B1'!$L22</f>
        <v>1262.2991944</v>
      </c>
      <c r="C20" s="43">
        <f>'6 - B2'!$L22</f>
        <v>1238.723706</v>
      </c>
      <c r="D20" s="43">
        <f>'6 - B3'!$L22</f>
        <v>1071.1733644000001</v>
      </c>
      <c r="E20" s="222">
        <f t="shared" si="0"/>
        <v>1190.7320882666668</v>
      </c>
      <c r="F20" s="42">
        <f>'Clause 6'!D36</f>
        <v>410.79774577160975</v>
      </c>
      <c r="G20">
        <f>'6 - B1'!$M22+'6 - B2'!$M22+'6 - B3'!$M22</f>
        <v>15</v>
      </c>
      <c r="H20" s="43">
        <f>STDEVP('6 - B1'!$B22:F22,'6 - B2'!B22:F22,'6 - B3'!B22:F22)/SQRT(G20)</f>
        <v>23.047906523548807</v>
      </c>
      <c r="K20" s="221">
        <v>20</v>
      </c>
      <c r="L20" s="219">
        <v>130.4</v>
      </c>
      <c r="M20" s="220">
        <f t="shared" si="2"/>
        <v>1599.4503386671133</v>
      </c>
    </row>
    <row r="21" spans="1:13" ht="13.15" x14ac:dyDescent="0.4">
      <c r="A21">
        <v>13</v>
      </c>
      <c r="B21" s="43">
        <f>'6 - B1'!$L21</f>
        <v>1628.6788330000002</v>
      </c>
      <c r="C21" s="43">
        <f>'6 - B2'!$L21</f>
        <v>1600.4635741999998</v>
      </c>
      <c r="D21" s="43">
        <f>'6 - B3'!$L21</f>
        <v>1422.4766356000002</v>
      </c>
      <c r="E21" s="222">
        <f t="shared" si="0"/>
        <v>1550.5396809333333</v>
      </c>
      <c r="F21" s="42">
        <f>'Clause 6'!D37</f>
        <v>347.41242914261943</v>
      </c>
      <c r="G21">
        <f>'6 - B1'!$M21+'6 - B2'!$M21+'6 - B3'!$M21</f>
        <v>15</v>
      </c>
      <c r="H21" s="43">
        <f>STDEVP('6 - B1'!$B21:F21,'6 - B2'!B21:F21,'6 - B3'!B21:F21)/SQRT(G21)</f>
        <v>25.029858363367012</v>
      </c>
      <c r="K21" s="221">
        <v>21</v>
      </c>
      <c r="L21" s="219">
        <v>109.4</v>
      </c>
      <c r="M21" s="220">
        <f t="shared" si="2"/>
        <v>1771.7580624098953</v>
      </c>
    </row>
    <row r="22" spans="1:13" ht="13.15" x14ac:dyDescent="0.4">
      <c r="A22">
        <v>12</v>
      </c>
      <c r="B22" s="43">
        <f>'6 - B1'!$L20</f>
        <v>2068.4538574000003</v>
      </c>
      <c r="C22" s="43">
        <f>'6 - B2'!$L20</f>
        <v>2032.6687986000002</v>
      </c>
      <c r="D22" s="43">
        <f>'6 - B3'!$L20</f>
        <v>1835.3310548000002</v>
      </c>
      <c r="E22" s="222">
        <f t="shared" si="0"/>
        <v>1978.8179036000001</v>
      </c>
      <c r="F22" s="42">
        <f>'Clause 6'!D38</f>
        <v>293.80734720457377</v>
      </c>
      <c r="G22">
        <f>'6 - B1'!$M20+'6 - B2'!$M20+'6 - B3'!$M20</f>
        <v>15</v>
      </c>
      <c r="H22" s="43">
        <f>STDEVP('6 - B1'!$B20:F20,'6 - B2'!B20:F20,'6 - B3'!B20:F20)/SQRT(G22)</f>
        <v>28.193098084760607</v>
      </c>
      <c r="K22" s="221">
        <v>22</v>
      </c>
      <c r="L22" s="219">
        <v>91.3</v>
      </c>
      <c r="M22" s="220">
        <f t="shared" si="2"/>
        <v>1965.000734120249</v>
      </c>
    </row>
    <row r="23" spans="1:13" ht="13.15" x14ac:dyDescent="0.4">
      <c r="A23">
        <v>11</v>
      </c>
      <c r="B23" s="43">
        <f>'6 - B1'!$L19</f>
        <v>2597.7494142</v>
      </c>
      <c r="C23" s="43">
        <f>'6 - B2'!$L19</f>
        <v>2556.0258788000001</v>
      </c>
      <c r="D23" s="43">
        <f>'6 - B3'!$L19</f>
        <v>2336.0954590000001</v>
      </c>
      <c r="E23" s="222">
        <f t="shared" si="0"/>
        <v>2496.6235840000004</v>
      </c>
      <c r="F23" s="42">
        <f>'Clause 6'!D39</f>
        <v>248.47342820872947</v>
      </c>
      <c r="G23">
        <f>'6 - B1'!$M19+'6 - B2'!$M19+'6 - B3'!$M19</f>
        <v>15</v>
      </c>
      <c r="H23" s="43">
        <f>STDEVP('6 - B1'!$B19:F19,'6 - B2'!B19:F19,'6 - B3'!B19:F19)/SQRT(G23)</f>
        <v>31.678493108435486</v>
      </c>
      <c r="K23" s="221">
        <v>23</v>
      </c>
      <c r="L23" s="219">
        <v>76.099999999999994</v>
      </c>
      <c r="M23" s="220">
        <f t="shared" si="2"/>
        <v>2182.0701332973917</v>
      </c>
    </row>
    <row r="24" spans="1:13" ht="13.15" x14ac:dyDescent="0.4">
      <c r="A24">
        <v>10</v>
      </c>
      <c r="B24" s="43">
        <f>'6 - B1'!$L18</f>
        <v>3179.7476561999997</v>
      </c>
      <c r="C24" s="43">
        <f>'6 - B2'!$L18</f>
        <v>3134.8885743999999</v>
      </c>
      <c r="D24" s="43">
        <f>'6 - B3'!$L18</f>
        <v>2905.8577145999998</v>
      </c>
      <c r="E24" s="222">
        <f t="shared" si="0"/>
        <v>3073.4979817333333</v>
      </c>
      <c r="F24" s="42">
        <f>'Clause 6'!D40</f>
        <v>210.13444732820327</v>
      </c>
      <c r="G24">
        <f>'6 - B1'!$M18+'6 - B2'!$M18+'6 - B3'!$M18</f>
        <v>15</v>
      </c>
      <c r="H24" s="43">
        <f>STDEVP('6 - B1'!$B18:F18,'6 - B2'!B18:F18,'6 - B3'!B18:F18)/SQRT(G24)</f>
        <v>33.564905318761866</v>
      </c>
      <c r="K24" s="221">
        <v>24</v>
      </c>
      <c r="L24" s="219">
        <v>63.1</v>
      </c>
      <c r="M24" s="220">
        <f t="shared" si="2"/>
        <v>2427.4616684326702</v>
      </c>
    </row>
    <row r="25" spans="1:13" ht="13.15" x14ac:dyDescent="0.4">
      <c r="A25">
        <v>9</v>
      </c>
      <c r="B25" s="43">
        <f>'6 - B1'!$L17</f>
        <v>3841.9443358000003</v>
      </c>
      <c r="C25" s="43">
        <f>'6 - B2'!$L17</f>
        <v>3780.9151367999998</v>
      </c>
      <c r="D25" s="43">
        <f>'6 - B3'!$L17</f>
        <v>3543.2525877999992</v>
      </c>
      <c r="E25" s="222">
        <f t="shared" si="0"/>
        <v>3722.0373534666664</v>
      </c>
      <c r="F25" s="42">
        <f>'Clause 6'!D41</f>
        <v>177.7110988175198</v>
      </c>
      <c r="G25">
        <f>'6 - B1'!$M17+'6 - B2'!$M17+'6 - B3'!$M17</f>
        <v>15</v>
      </c>
      <c r="H25" s="43">
        <f>STDEVP('6 - B1'!$B17:F17,'6 - B2'!B17:F17,'6 - B3'!B17:F17)/SQRT(G25)</f>
        <v>37.07419099589282</v>
      </c>
      <c r="K25" s="221">
        <v>25</v>
      </c>
      <c r="L25" s="219">
        <v>52.1</v>
      </c>
      <c r="M25" s="220">
        <f t="shared" si="2"/>
        <v>2693.0727135542784</v>
      </c>
    </row>
    <row r="26" spans="1:13" ht="13.15" x14ac:dyDescent="0.4">
      <c r="A26">
        <v>8</v>
      </c>
      <c r="B26" s="43">
        <f>'6 - B1'!$L16</f>
        <v>4590.3462887999995</v>
      </c>
      <c r="C26" s="43">
        <f>'6 - B2'!$L16</f>
        <v>4520.7026366</v>
      </c>
      <c r="D26" s="43">
        <f>'6 - B3'!$L16</f>
        <v>4265.8312500000002</v>
      </c>
      <c r="E26" s="222">
        <f t="shared" si="0"/>
        <v>4458.9600584666659</v>
      </c>
      <c r="F26" s="42">
        <f>'Clause 6'!D42</f>
        <v>150.29061177011314</v>
      </c>
      <c r="G26">
        <f>'6 - B1'!$M16+'6 - B2'!$M16+'6 - B3'!$M16</f>
        <v>15</v>
      </c>
      <c r="H26" s="43">
        <f>STDEVP('6 - B1'!$B16:F16,'6 - B2'!B16:F16,'6 - B3'!B16:F16)/SQRT(G26)</f>
        <v>41.51430475752025</v>
      </c>
      <c r="K26" s="221">
        <v>26</v>
      </c>
      <c r="L26" s="219">
        <v>43</v>
      </c>
      <c r="M26" s="220">
        <f t="shared" si="2"/>
        <v>2973.6066077044229</v>
      </c>
    </row>
    <row r="27" spans="1:13" ht="13.15" x14ac:dyDescent="0.4">
      <c r="A27">
        <v>7</v>
      </c>
      <c r="B27" s="43">
        <f>'6 - B1'!$L15</f>
        <v>5388.9609376000008</v>
      </c>
      <c r="C27" s="43">
        <f>'6 - B2'!$L15</f>
        <v>5309.4631835999999</v>
      </c>
      <c r="D27" s="43">
        <f>'6 - B3'!$L15</f>
        <v>5044.4376953999999</v>
      </c>
      <c r="E27" s="222">
        <f t="shared" si="0"/>
        <v>5247.6206055333341</v>
      </c>
      <c r="F27" s="42">
        <f>'Clause 6'!D43</f>
        <v>127.10105410708364</v>
      </c>
      <c r="G27">
        <f>'6 - B1'!$M15+'6 - B2'!$M15+'6 - B3'!$M15</f>
        <v>15</v>
      </c>
      <c r="H27" s="43">
        <f>STDEVP('6 - B1'!$B15:F15,'6 - B2'!B15:F15,'6 - B3'!B15:F15)/SQRT(G27)</f>
        <v>45.126262340162896</v>
      </c>
      <c r="K27" s="221">
        <v>27</v>
      </c>
      <c r="L27" s="219">
        <v>35.700000000000003</v>
      </c>
      <c r="M27" s="220">
        <f t="shared" si="2"/>
        <v>3253.002566220649</v>
      </c>
    </row>
    <row r="28" spans="1:13" ht="13.15" x14ac:dyDescent="0.4">
      <c r="A28">
        <v>6</v>
      </c>
      <c r="B28" s="43">
        <f>'6 - B1'!$L14</f>
        <v>6293.8035158000002</v>
      </c>
      <c r="C28" s="43">
        <f>'6 - B2'!$L14</f>
        <v>6205.4393553999998</v>
      </c>
      <c r="D28" s="43">
        <f>'6 - B3'!$L14</f>
        <v>5932.2287108</v>
      </c>
      <c r="E28" s="222">
        <f t="shared" si="0"/>
        <v>6143.8238606666664</v>
      </c>
      <c r="F28" s="42">
        <f>'Clause 6'!D44</f>
        <v>107.48960141197809</v>
      </c>
      <c r="G28">
        <f>'6 - B1'!$M14+'6 - B2'!$M14+'6 - B3'!$M14</f>
        <v>15</v>
      </c>
      <c r="H28" s="43">
        <f>STDEVP('6 - B1'!$B14:F14,'6 - B2'!B14:F14,'6 - B3'!B14:F14)/SQRT(G28)</f>
        <v>48.691386917761953</v>
      </c>
      <c r="K28" s="221">
        <v>28</v>
      </c>
      <c r="L28" s="219">
        <v>29.8</v>
      </c>
      <c r="M28" s="220">
        <f t="shared" si="2"/>
        <v>3541.7947870409785</v>
      </c>
    </row>
    <row r="29" spans="1:13" ht="13.15" x14ac:dyDescent="0.4">
      <c r="A29">
        <v>5</v>
      </c>
      <c r="B29" s="43">
        <f>'6 - B1'!$L13</f>
        <v>7245.1621095999999</v>
      </c>
      <c r="C29" s="43">
        <f>'6 - B2'!$L13</f>
        <v>7145.1140626000006</v>
      </c>
      <c r="D29" s="43">
        <f>'6 - B3'!$L13</f>
        <v>6867.7657225999992</v>
      </c>
      <c r="E29" s="222">
        <f t="shared" si="0"/>
        <v>7086.0139649333332</v>
      </c>
      <c r="F29" s="42">
        <f>'Clause 6'!D45</f>
        <v>90.904158843337143</v>
      </c>
      <c r="G29">
        <f>'6 - B1'!$M13+'6 - B2'!$M13+'6 - B3'!$M13</f>
        <v>15</v>
      </c>
      <c r="H29" s="43">
        <f>STDEVP('6 - B1'!$B13:F13,'6 - B2'!B13:F13,'6 - B3'!B13:F13)/SQRT(G29)</f>
        <v>52.493672688791179</v>
      </c>
      <c r="K29" s="221">
        <v>29</v>
      </c>
      <c r="L29" s="219">
        <v>25.2</v>
      </c>
      <c r="M29" s="220">
        <f t="shared" si="2"/>
        <v>3839.4268055058837</v>
      </c>
    </row>
    <row r="30" spans="1:13" ht="13.15" x14ac:dyDescent="0.4">
      <c r="A30">
        <v>4</v>
      </c>
      <c r="B30" s="43">
        <f>'6 - B1'!$L12</f>
        <v>8320.1991211999994</v>
      </c>
      <c r="C30" s="43">
        <f>'6 - B2'!$L12</f>
        <v>8204.2252929999995</v>
      </c>
      <c r="D30" s="43">
        <f>'6 - B3'!$L12</f>
        <v>7936.7083984000001</v>
      </c>
      <c r="E30" s="222">
        <f t="shared" si="0"/>
        <v>8153.7109375333339</v>
      </c>
      <c r="F30" s="42">
        <f>'Clause 6'!D46</f>
        <v>76.877818751440842</v>
      </c>
      <c r="G30">
        <f>'6 - B1'!$M12+'6 - B2'!$M12+'6 - B3'!$M12</f>
        <v>15</v>
      </c>
      <c r="H30" s="43">
        <f>STDEVP('6 - B1'!$B12:F12,'6 - B2'!B12:F12,'6 - B3'!B12:F12)/SQRT(G30)</f>
        <v>55.805459607578143</v>
      </c>
      <c r="K30" s="221">
        <v>30</v>
      </c>
      <c r="L30" s="219">
        <v>21.1</v>
      </c>
      <c r="M30" s="220">
        <f t="shared" si="2"/>
        <v>4200.0031012857071</v>
      </c>
    </row>
    <row r="31" spans="1:13" x14ac:dyDescent="0.35">
      <c r="A31">
        <v>3</v>
      </c>
      <c r="B31" s="43">
        <f>'6 - B1'!$L11</f>
        <v>9525.8888674000009</v>
      </c>
      <c r="C31" s="43">
        <f>'6 - B2'!$L11</f>
        <v>9393.0582033999999</v>
      </c>
      <c r="D31" s="43">
        <f>'6 - B3'!$L11</f>
        <v>9143.0984376000015</v>
      </c>
      <c r="E31" s="222">
        <f t="shared" si="0"/>
        <v>9354.0151694666674</v>
      </c>
      <c r="F31" s="42">
        <f>'Clause 6'!D47</f>
        <v>65.01571645544773</v>
      </c>
      <c r="G31">
        <f>'6 - B1'!$M11+'6 - B2'!$M11+'6 - B3'!$M11</f>
        <v>15</v>
      </c>
      <c r="H31" s="43">
        <f>STDEVP('6 - B1'!$B11:F11,'6 - B2'!B11:F11,'6 - B3'!B11:F11)/SQRT(G31)</f>
        <v>59.941684406961663</v>
      </c>
    </row>
    <row r="32" spans="1:13" x14ac:dyDescent="0.35">
      <c r="A32">
        <v>2</v>
      </c>
      <c r="B32" s="43">
        <f>'6 - B1'!$L10</f>
        <v>10866.693749800001</v>
      </c>
      <c r="C32" s="43">
        <f>'6 - B2'!$L10</f>
        <v>10726.946875</v>
      </c>
      <c r="D32" s="43">
        <f>'6 - B3'!$L10</f>
        <v>10469.6291016</v>
      </c>
      <c r="E32" s="222">
        <f t="shared" si="0"/>
        <v>10687.756575466667</v>
      </c>
      <c r="F32" s="42">
        <f>'Clause 6'!D48</f>
        <v>54.983914149306607</v>
      </c>
      <c r="G32">
        <f>'6 - B1'!$M10+'6 - B2'!$M10+'6 - B3'!$M10</f>
        <v>15</v>
      </c>
      <c r="H32" s="43">
        <f>STDEVP('6 - B1'!$B10:F10,'6 - B2'!B10:F10,'6 - B3'!B10:F10)/SQRT(G32)</f>
        <v>66.281678085275217</v>
      </c>
      <c r="K32" t="s">
        <v>413</v>
      </c>
    </row>
    <row r="33" spans="1:40" x14ac:dyDescent="0.35">
      <c r="A33">
        <v>1</v>
      </c>
      <c r="B33" s="43">
        <f>'6 - B1'!$L9</f>
        <v>12281.8583984</v>
      </c>
      <c r="C33" s="43">
        <f>'6 - B2'!$L9</f>
        <v>12140.927148799999</v>
      </c>
      <c r="D33" s="43">
        <f>'6 - B3'!$L9</f>
        <v>11856.8550782</v>
      </c>
      <c r="E33" s="222">
        <f t="shared" si="0"/>
        <v>12093.213541800002</v>
      </c>
      <c r="F33" s="42">
        <f>'Clause 6'!D49</f>
        <v>46.5</v>
      </c>
      <c r="G33">
        <f>'6 - B1'!$M9+'6 - B2'!$M9+'6 - B3'!$M9</f>
        <v>15</v>
      </c>
      <c r="H33" s="43">
        <f>STDEVP('6 - B1'!$B9:F9,'6 - B2'!B9:F9,'6 - B3'!B9:F9)/SQRT(G33)</f>
        <v>75.657463436987641</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2"/>
      <c r="AM42" s="92"/>
      <c r="AN42" s="92"/>
    </row>
    <row r="45" spans="1:40" x14ac:dyDescent="0.35">
      <c r="M45" s="92"/>
    </row>
    <row r="46" spans="1:40" x14ac:dyDescent="0.35">
      <c r="M46" s="92"/>
    </row>
    <row r="47" spans="1:40" x14ac:dyDescent="0.35">
      <c r="M47" s="92"/>
    </row>
    <row r="48" spans="1:40" x14ac:dyDescent="0.35">
      <c r="M48" s="92"/>
    </row>
    <row r="49" spans="13:13" x14ac:dyDescent="0.35">
      <c r="M49" s="92"/>
    </row>
    <row r="50" spans="13:13" x14ac:dyDescent="0.35">
      <c r="M50" s="92"/>
    </row>
    <row r="51" spans="13:13" x14ac:dyDescent="0.35">
      <c r="M51" s="9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B15" sqref="B1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21</v>
      </c>
      <c r="B1" s="10"/>
      <c r="C1" s="67"/>
      <c r="D1" s="14" t="s">
        <v>361</v>
      </c>
    </row>
    <row r="2" spans="1:17" ht="13.15" x14ac:dyDescent="0.4">
      <c r="A2" s="10" t="s">
        <v>23</v>
      </c>
      <c r="B2" s="10"/>
      <c r="C2" s="10"/>
      <c r="D2" s="10" t="s">
        <v>346</v>
      </c>
    </row>
    <row r="3" spans="1:17" ht="13.15" x14ac:dyDescent="0.4">
      <c r="A3" s="10" t="s">
        <v>27</v>
      </c>
      <c r="B3" s="10"/>
      <c r="C3" s="10"/>
      <c r="D3" s="93"/>
    </row>
    <row r="4" spans="1:17" ht="13.15" x14ac:dyDescent="0.4">
      <c r="A4" s="10" t="s">
        <v>26</v>
      </c>
      <c r="B4" s="10"/>
      <c r="C4" s="10"/>
      <c r="D4" s="10" t="s">
        <v>346</v>
      </c>
    </row>
    <row r="5" spans="1:17" ht="13.15" x14ac:dyDescent="0.4">
      <c r="A5" s="10" t="s">
        <v>25</v>
      </c>
      <c r="B5" s="10"/>
      <c r="C5" s="10"/>
      <c r="D5" s="14" t="s">
        <v>361</v>
      </c>
    </row>
    <row r="6" spans="1:17" ht="13.15" x14ac:dyDescent="0.4">
      <c r="A6" s="67" t="s">
        <v>116</v>
      </c>
      <c r="B6" s="10"/>
      <c r="C6" s="10"/>
      <c r="D6" s="12" t="s">
        <v>388</v>
      </c>
    </row>
    <row r="7" spans="1:17" ht="13.15" x14ac:dyDescent="0.4">
      <c r="A7" s="10" t="s">
        <v>28</v>
      </c>
      <c r="B7" s="10"/>
      <c r="C7" s="10"/>
      <c r="D7" s="13" t="s">
        <v>29</v>
      </c>
    </row>
    <row r="10" spans="1:17" x14ac:dyDescent="0.35">
      <c r="A10" s="26" t="s">
        <v>195</v>
      </c>
      <c r="B10" s="26"/>
      <c r="C10" s="26"/>
      <c r="D10" s="26"/>
    </row>
    <row r="11" spans="1:17" ht="13.15" x14ac:dyDescent="0.4">
      <c r="A11" s="26"/>
      <c r="B11" s="26"/>
      <c r="C11" s="26"/>
      <c r="D11" s="26"/>
      <c r="H11" s="8"/>
    </row>
    <row r="12" spans="1:17" ht="13.15" x14ac:dyDescent="0.4">
      <c r="A12" s="94">
        <v>49.4</v>
      </c>
      <c r="B12" s="95" t="s">
        <v>196</v>
      </c>
      <c r="C12" s="95" t="s">
        <v>197</v>
      </c>
      <c r="D12" s="96"/>
      <c r="F12" s="97">
        <v>39</v>
      </c>
      <c r="G12" s="95" t="s">
        <v>196</v>
      </c>
      <c r="H12" s="95" t="s">
        <v>197</v>
      </c>
      <c r="I12" s="36"/>
      <c r="J12" s="85"/>
      <c r="M12" s="94">
        <v>69.7</v>
      </c>
      <c r="N12" s="95" t="s">
        <v>196</v>
      </c>
      <c r="O12" s="95" t="s">
        <v>197</v>
      </c>
      <c r="P12" s="36"/>
      <c r="Q12" s="85"/>
    </row>
    <row r="13" spans="1:17" x14ac:dyDescent="0.35">
      <c r="A13" s="98">
        <f>(4/3)*(3.1415936)*((A12*0.000001/2)^3)</f>
        <v>6.3121832711697054E-14</v>
      </c>
      <c r="B13" s="26" t="s">
        <v>198</v>
      </c>
      <c r="C13" s="26" t="s">
        <v>199</v>
      </c>
      <c r="D13" s="99"/>
      <c r="F13" s="98">
        <f>(4/3)*(3.1415936)*((F12*0.000001/2)^3)</f>
        <v>3.1059365126399994E-14</v>
      </c>
      <c r="G13" s="26" t="s">
        <v>198</v>
      </c>
      <c r="H13" s="26" t="s">
        <v>199</v>
      </c>
      <c r="J13" s="45"/>
      <c r="M13" s="98">
        <f>(4/3)*(3.1415936)*((M12*0.000001/2)^3)</f>
        <v>1.7729524472000214E-13</v>
      </c>
      <c r="N13" s="26" t="s">
        <v>198</v>
      </c>
      <c r="O13" s="26" t="s">
        <v>199</v>
      </c>
      <c r="Q13" s="45"/>
    </row>
    <row r="14" spans="1:17" x14ac:dyDescent="0.35">
      <c r="A14" s="98">
        <f>A13*1.05*1000</f>
        <v>6.6277924347281912E-11</v>
      </c>
      <c r="B14" s="26" t="s">
        <v>200</v>
      </c>
      <c r="C14" s="26" t="s">
        <v>201</v>
      </c>
      <c r="D14" s="99"/>
      <c r="F14" s="98">
        <f>F13*1.05*1000</f>
        <v>3.2612333382719997E-11</v>
      </c>
      <c r="G14" s="26" t="s">
        <v>200</v>
      </c>
      <c r="H14" s="26" t="s">
        <v>201</v>
      </c>
      <c r="J14" s="45"/>
      <c r="M14" s="98">
        <f>M13*1.05*1000</f>
        <v>1.8616000695600225E-10</v>
      </c>
      <c r="N14" s="26" t="s">
        <v>200</v>
      </c>
      <c r="O14" s="26" t="s">
        <v>201</v>
      </c>
      <c r="Q14" s="45"/>
    </row>
    <row r="15" spans="1:17" x14ac:dyDescent="0.35">
      <c r="A15" s="98">
        <f>0.000001/A14</f>
        <v>15087.980045364991</v>
      </c>
      <c r="B15" s="26" t="s">
        <v>202</v>
      </c>
      <c r="C15" s="26" t="s">
        <v>203</v>
      </c>
      <c r="D15" s="99"/>
      <c r="F15" s="98">
        <f>0.000001/F14</f>
        <v>30663.245964787693</v>
      </c>
      <c r="G15" s="26" t="s">
        <v>202</v>
      </c>
      <c r="H15" s="26" t="s">
        <v>203</v>
      </c>
      <c r="J15" s="45"/>
      <c r="M15" s="98">
        <f>0.000001/M14</f>
        <v>5371.7230480999269</v>
      </c>
      <c r="N15" s="26" t="s">
        <v>202</v>
      </c>
      <c r="O15" s="26" t="s">
        <v>203</v>
      </c>
      <c r="Q15" s="45"/>
    </row>
    <row r="16" spans="1:17" ht="13.15" x14ac:dyDescent="0.4">
      <c r="A16" s="100">
        <v>5000</v>
      </c>
      <c r="B16" s="26"/>
      <c r="C16" s="26" t="s">
        <v>204</v>
      </c>
      <c r="D16" s="99"/>
      <c r="F16" s="100">
        <v>3000</v>
      </c>
      <c r="G16" s="26"/>
      <c r="H16" s="26" t="s">
        <v>204</v>
      </c>
      <c r="J16" s="45"/>
      <c r="M16" s="100">
        <v>2000</v>
      </c>
      <c r="N16" s="26"/>
      <c r="O16" s="26" t="s">
        <v>204</v>
      </c>
      <c r="Q16" s="45"/>
    </row>
    <row r="17" spans="1:17" x14ac:dyDescent="0.35">
      <c r="A17" s="101">
        <f>A16/A15*1000</f>
        <v>331.38962173640959</v>
      </c>
      <c r="B17" s="26" t="s">
        <v>70</v>
      </c>
      <c r="C17" s="26" t="s">
        <v>205</v>
      </c>
      <c r="D17" s="99"/>
      <c r="F17" s="101">
        <f>F16/F15*1000</f>
        <v>97.837000148159987</v>
      </c>
      <c r="G17" s="26" t="s">
        <v>70</v>
      </c>
      <c r="H17" s="26" t="s">
        <v>205</v>
      </c>
      <c r="J17" s="45"/>
      <c r="M17" s="101">
        <f>M16/M15*1000</f>
        <v>372.32001391200447</v>
      </c>
      <c r="N17" s="26" t="s">
        <v>70</v>
      </c>
      <c r="O17" s="26" t="s">
        <v>205</v>
      </c>
      <c r="Q17" s="45"/>
    </row>
    <row r="18" spans="1:17" ht="13.15" x14ac:dyDescent="0.4">
      <c r="A18" s="100">
        <v>0.20280000000000001</v>
      </c>
      <c r="B18" s="26" t="s">
        <v>206</v>
      </c>
      <c r="C18" s="26" t="s">
        <v>207</v>
      </c>
      <c r="D18" s="99"/>
      <c r="F18" s="100">
        <v>0.2</v>
      </c>
      <c r="G18" s="26" t="s">
        <v>206</v>
      </c>
      <c r="H18" s="26" t="s">
        <v>207</v>
      </c>
      <c r="J18" s="45"/>
      <c r="M18" s="100">
        <v>0.2</v>
      </c>
      <c r="N18" s="26" t="s">
        <v>206</v>
      </c>
      <c r="O18" s="26" t="s">
        <v>207</v>
      </c>
      <c r="Q18" s="45"/>
    </row>
    <row r="19" spans="1:17" x14ac:dyDescent="0.35">
      <c r="A19" s="101">
        <f>A18*A17</f>
        <v>67.205815288143867</v>
      </c>
      <c r="B19" s="26" t="s">
        <v>67</v>
      </c>
      <c r="C19" s="26" t="s">
        <v>208</v>
      </c>
      <c r="D19" s="99"/>
      <c r="F19" s="101">
        <f>F18*F17</f>
        <v>19.567400029631997</v>
      </c>
      <c r="G19" s="26" t="s">
        <v>67</v>
      </c>
      <c r="H19" s="26" t="s">
        <v>208</v>
      </c>
      <c r="J19" s="45"/>
      <c r="M19" s="101">
        <f>M18*M17</f>
        <v>74.464002782400897</v>
      </c>
      <c r="N19" s="26" t="s">
        <v>67</v>
      </c>
      <c r="O19" s="26" t="s">
        <v>208</v>
      </c>
      <c r="Q19" s="45"/>
    </row>
    <row r="20" spans="1:17" ht="13.15" x14ac:dyDescent="0.4">
      <c r="A20" s="100">
        <v>67.2</v>
      </c>
      <c r="B20" s="26" t="s">
        <v>67</v>
      </c>
      <c r="C20" s="26" t="s">
        <v>209</v>
      </c>
      <c r="D20" s="99"/>
      <c r="F20" s="100">
        <v>20.8</v>
      </c>
      <c r="G20" s="26" t="s">
        <v>67</v>
      </c>
      <c r="H20" s="26" t="s">
        <v>209</v>
      </c>
      <c r="J20" s="45"/>
      <c r="M20" s="100">
        <v>77.569999999999993</v>
      </c>
      <c r="N20" s="26" t="s">
        <v>67</v>
      </c>
      <c r="O20" s="26" t="s">
        <v>209</v>
      </c>
      <c r="Q20" s="45"/>
    </row>
    <row r="21" spans="1:17" ht="13.15" x14ac:dyDescent="0.4">
      <c r="A21" s="102">
        <f>A20/A19*A16</f>
        <v>4999.5673523102923</v>
      </c>
      <c r="B21" s="26" t="s">
        <v>210</v>
      </c>
      <c r="C21" s="26" t="s">
        <v>211</v>
      </c>
      <c r="D21" s="99"/>
      <c r="F21" s="238">
        <f>F20/F19*F16</f>
        <v>3188.9775803379202</v>
      </c>
      <c r="G21" s="26" t="s">
        <v>210</v>
      </c>
      <c r="H21" s="26" t="s">
        <v>211</v>
      </c>
      <c r="J21" s="45"/>
      <c r="M21" s="102">
        <f>M20/M19*M16</f>
        <v>2083.4227842055566</v>
      </c>
      <c r="N21" s="26" t="s">
        <v>210</v>
      </c>
      <c r="O21" s="26" t="s">
        <v>211</v>
      </c>
      <c r="Q21" s="45"/>
    </row>
    <row r="22" spans="1:17" x14ac:dyDescent="0.35">
      <c r="A22" s="38"/>
      <c r="D22" s="45"/>
      <c r="F22" s="103">
        <f>F20*F15</f>
        <v>637795.51606758405</v>
      </c>
      <c r="H22" t="s">
        <v>212</v>
      </c>
      <c r="J22" s="45"/>
      <c r="M22" s="103">
        <f>M20*M15</f>
        <v>416684.55684111128</v>
      </c>
      <c r="O22" t="s">
        <v>212</v>
      </c>
      <c r="Q22" s="45"/>
    </row>
    <row r="23" spans="1:17" x14ac:dyDescent="0.35">
      <c r="A23" s="38"/>
      <c r="D23" s="45"/>
      <c r="F23" s="103">
        <f>F21/F16*F18*1000</f>
        <v>212.59850535586136</v>
      </c>
      <c r="G23" t="s">
        <v>52</v>
      </c>
      <c r="H23" t="s">
        <v>213</v>
      </c>
      <c r="J23" s="45"/>
      <c r="M23" s="103">
        <f>M21/M16*M18*1000</f>
        <v>208.34227842055566</v>
      </c>
      <c r="N23" t="s">
        <v>52</v>
      </c>
      <c r="O23" t="s">
        <v>213</v>
      </c>
      <c r="Q23" s="45"/>
    </row>
    <row r="24" spans="1:17" x14ac:dyDescent="0.35">
      <c r="A24" s="38"/>
      <c r="D24" s="45"/>
      <c r="F24" s="103">
        <f>F23-F18*1000</f>
        <v>12.598505355861363</v>
      </c>
      <c r="G24" t="s">
        <v>52</v>
      </c>
      <c r="H24" t="s">
        <v>214</v>
      </c>
      <c r="J24" s="45"/>
      <c r="M24" s="103">
        <f>M23-M18*1000</f>
        <v>8.3422784205556582</v>
      </c>
      <c r="N24" t="s">
        <v>52</v>
      </c>
      <c r="O24" t="s">
        <v>214</v>
      </c>
      <c r="Q24" s="45"/>
    </row>
    <row r="25" spans="1:17" ht="13.15" x14ac:dyDescent="0.4">
      <c r="A25" s="38"/>
      <c r="D25" s="45"/>
      <c r="F25" s="239">
        <f>F22/(F23)</f>
        <v>3000</v>
      </c>
      <c r="H25" t="s">
        <v>312</v>
      </c>
      <c r="J25" s="45"/>
      <c r="M25" s="38">
        <f>M22/(M23)</f>
        <v>1999.9999999999998</v>
      </c>
      <c r="O25" t="s">
        <v>312</v>
      </c>
      <c r="Q25" s="45"/>
    </row>
    <row r="26" spans="1:17" x14ac:dyDescent="0.35">
      <c r="A26" s="38"/>
      <c r="D26" s="45"/>
      <c r="F26" s="38"/>
      <c r="J26" s="45"/>
      <c r="M26" s="38"/>
      <c r="Q26" s="45"/>
    </row>
    <row r="27" spans="1:17" x14ac:dyDescent="0.35">
      <c r="A27" s="38" t="s">
        <v>190</v>
      </c>
      <c r="D27" s="45"/>
      <c r="F27" s="38" t="s">
        <v>190</v>
      </c>
      <c r="J27" s="45"/>
      <c r="M27" s="38" t="s">
        <v>190</v>
      </c>
      <c r="Q27" s="45"/>
    </row>
    <row r="28" spans="1:17" x14ac:dyDescent="0.35">
      <c r="A28" s="38">
        <v>100</v>
      </c>
      <c r="B28" t="s">
        <v>52</v>
      </c>
      <c r="C28" t="s">
        <v>215</v>
      </c>
      <c r="D28" s="45"/>
      <c r="F28" s="38">
        <v>100</v>
      </c>
      <c r="G28" t="s">
        <v>52</v>
      </c>
      <c r="H28" t="s">
        <v>215</v>
      </c>
      <c r="J28" s="45"/>
      <c r="M28" s="38">
        <v>100</v>
      </c>
      <c r="N28" t="s">
        <v>52</v>
      </c>
      <c r="O28" t="s">
        <v>215</v>
      </c>
      <c r="Q28" s="45"/>
    </row>
    <row r="29" spans="1:17" x14ac:dyDescent="0.35">
      <c r="A29" s="38">
        <v>300</v>
      </c>
      <c r="B29" t="s">
        <v>37</v>
      </c>
      <c r="C29" t="s">
        <v>216</v>
      </c>
      <c r="D29" s="45"/>
      <c r="F29" s="38">
        <v>300</v>
      </c>
      <c r="G29" t="s">
        <v>37</v>
      </c>
      <c r="H29" t="s">
        <v>217</v>
      </c>
      <c r="J29" s="45"/>
      <c r="M29" s="38">
        <v>300</v>
      </c>
      <c r="N29" t="s">
        <v>37</v>
      </c>
      <c r="O29" t="s">
        <v>217</v>
      </c>
      <c r="Q29" s="45"/>
    </row>
    <row r="30" spans="1:17" x14ac:dyDescent="0.35">
      <c r="A30" s="38">
        <f>A28*A29</f>
        <v>30000</v>
      </c>
      <c r="B30" t="s">
        <v>218</v>
      </c>
      <c r="C30" t="s">
        <v>219</v>
      </c>
      <c r="D30" s="45"/>
      <c r="F30" s="38">
        <f>F28*F29</f>
        <v>30000</v>
      </c>
      <c r="G30" t="s">
        <v>218</v>
      </c>
      <c r="H30" t="s">
        <v>219</v>
      </c>
      <c r="J30" s="45"/>
      <c r="M30" s="38">
        <f>M28*M29</f>
        <v>30000</v>
      </c>
      <c r="N30" t="s">
        <v>218</v>
      </c>
      <c r="O30" t="s">
        <v>219</v>
      </c>
      <c r="Q30" s="45"/>
    </row>
    <row r="31" spans="1:17" x14ac:dyDescent="0.35">
      <c r="A31" s="103">
        <f>A30/A21</f>
        <v>6.0005192221557024</v>
      </c>
      <c r="B31" t="s">
        <v>52</v>
      </c>
      <c r="C31" t="s">
        <v>220</v>
      </c>
      <c r="D31" s="45"/>
      <c r="F31" s="103">
        <f>F30/F25</f>
        <v>10</v>
      </c>
      <c r="G31" t="s">
        <v>52</v>
      </c>
      <c r="H31" t="s">
        <v>220</v>
      </c>
      <c r="J31" s="45"/>
      <c r="M31" s="103">
        <f>M30/M25</f>
        <v>15.000000000000002</v>
      </c>
      <c r="N31" t="s">
        <v>52</v>
      </c>
      <c r="O31" t="s">
        <v>220</v>
      </c>
      <c r="Q31" s="45"/>
    </row>
    <row r="32" spans="1:17" x14ac:dyDescent="0.35">
      <c r="A32" s="103">
        <f>A28-A31</f>
        <v>93.999480777844298</v>
      </c>
      <c r="B32" t="s">
        <v>52</v>
      </c>
      <c r="C32" t="s">
        <v>221</v>
      </c>
      <c r="D32" s="45"/>
      <c r="F32" s="103">
        <f>F28-F31</f>
        <v>90</v>
      </c>
      <c r="G32" t="s">
        <v>52</v>
      </c>
      <c r="H32" t="s">
        <v>221</v>
      </c>
      <c r="J32" s="45"/>
      <c r="M32" s="103">
        <f>M28-M31</f>
        <v>85</v>
      </c>
      <c r="N32" t="s">
        <v>52</v>
      </c>
      <c r="O32" t="s">
        <v>221</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222</v>
      </c>
    </row>
    <row r="39" spans="1:17" x14ac:dyDescent="0.35">
      <c r="F39" s="29"/>
    </row>
    <row r="40" spans="1:17" ht="13.15" x14ac:dyDescent="0.4">
      <c r="A40" t="s">
        <v>223</v>
      </c>
      <c r="C40" s="8">
        <f>A12</f>
        <v>49.4</v>
      </c>
      <c r="D40" t="s">
        <v>224</v>
      </c>
      <c r="G40" s="8">
        <f>F12</f>
        <v>39</v>
      </c>
      <c r="H40" t="s">
        <v>224</v>
      </c>
      <c r="N40" s="8">
        <v>70</v>
      </c>
    </row>
    <row r="42" spans="1:17" ht="13.15" x14ac:dyDescent="0.4">
      <c r="A42" t="s">
        <v>225</v>
      </c>
      <c r="B42" s="104">
        <f>0.56*C42</f>
        <v>8736</v>
      </c>
      <c r="C42" s="105">
        <v>15600</v>
      </c>
      <c r="D42" s="106">
        <f>1.56*C42</f>
        <v>24336</v>
      </c>
      <c r="F42" s="104">
        <f>0.56*G42</f>
        <v>5600.0000000000009</v>
      </c>
      <c r="G42" s="105">
        <v>10000</v>
      </c>
      <c r="H42" s="106">
        <f>1.56*G42</f>
        <v>15600</v>
      </c>
      <c r="M42" s="104">
        <f>0.56*N42</f>
        <v>14000.000000000002</v>
      </c>
      <c r="N42" s="105">
        <v>25000</v>
      </c>
      <c r="O42" s="106">
        <f>1.56*N42</f>
        <v>39000</v>
      </c>
    </row>
    <row r="43" spans="1:17" x14ac:dyDescent="0.35">
      <c r="A43" t="s">
        <v>226</v>
      </c>
      <c r="B43" s="47">
        <v>41252</v>
      </c>
      <c r="C43" s="48">
        <v>20600</v>
      </c>
      <c r="D43" s="89">
        <v>92</v>
      </c>
      <c r="F43" s="47">
        <v>43502</v>
      </c>
      <c r="G43" s="48"/>
      <c r="H43" s="89">
        <v>134</v>
      </c>
      <c r="M43" s="47">
        <v>20135</v>
      </c>
      <c r="N43" s="48">
        <v>10070</v>
      </c>
      <c r="O43" s="89">
        <v>0</v>
      </c>
    </row>
    <row r="44" spans="1:17" x14ac:dyDescent="0.35">
      <c r="A44" t="s">
        <v>227</v>
      </c>
      <c r="B44" s="107">
        <v>13047</v>
      </c>
      <c r="C44" s="107">
        <v>13354</v>
      </c>
      <c r="D44" s="107">
        <f>D43-L43</f>
        <v>92</v>
      </c>
      <c r="F44" s="107">
        <f>F43-G43</f>
        <v>43502</v>
      </c>
      <c r="G44" s="107">
        <f>G43-H43</f>
        <v>-134</v>
      </c>
      <c r="H44" s="107">
        <f>H43-P43</f>
        <v>134</v>
      </c>
      <c r="M44" s="107">
        <f>M43-N43</f>
        <v>10065</v>
      </c>
      <c r="N44" s="107">
        <f>N43-O43</f>
        <v>10070</v>
      </c>
      <c r="O44" s="107">
        <f>O43-B43</f>
        <v>-41252</v>
      </c>
    </row>
    <row r="46" spans="1:17" ht="13.15" x14ac:dyDescent="0.4">
      <c r="A46" t="s">
        <v>228</v>
      </c>
      <c r="B46" s="108">
        <f>(1-B44/C44)</f>
        <v>2.2989366481952933E-2</v>
      </c>
      <c r="F46" s="108">
        <f>(1-F44/G44)</f>
        <v>325.64179104477614</v>
      </c>
      <c r="M46" s="108">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55" zoomScaleNormal="55" workbookViewId="0">
      <selection activeCell="H36" sqref="H36"/>
    </sheetView>
  </sheetViews>
  <sheetFormatPr defaultColWidth="11.53125" defaultRowHeight="12.75" x14ac:dyDescent="0.35"/>
  <sheetData>
    <row r="1" spans="1:4" ht="14.25" x14ac:dyDescent="0.45">
      <c r="A1" s="263" t="s">
        <v>229</v>
      </c>
      <c r="B1" s="263"/>
      <c r="C1" s="263" t="s">
        <v>230</v>
      </c>
      <c r="D1" s="263"/>
    </row>
    <row r="2" spans="1:4" ht="92.85" customHeight="1" x14ac:dyDescent="0.45">
      <c r="A2" s="264" t="s">
        <v>231</v>
      </c>
      <c r="B2" s="264"/>
      <c r="C2" s="264" t="s">
        <v>232</v>
      </c>
      <c r="D2" s="264"/>
    </row>
    <row r="3" spans="1:4" ht="57" x14ac:dyDescent="0.45">
      <c r="A3" s="109" t="s">
        <v>233</v>
      </c>
      <c r="B3" s="110" t="s">
        <v>234</v>
      </c>
      <c r="C3" s="109" t="s">
        <v>188</v>
      </c>
      <c r="D3" s="111" t="s">
        <v>189</v>
      </c>
    </row>
    <row r="4" spans="1:4" ht="14.25" x14ac:dyDescent="0.45">
      <c r="A4" s="1" t="s">
        <v>194</v>
      </c>
      <c r="B4" s="111" t="s">
        <v>192</v>
      </c>
      <c r="C4" s="1" t="s">
        <v>194</v>
      </c>
      <c r="D4" s="111" t="s">
        <v>192</v>
      </c>
    </row>
    <row r="5" spans="1:4" ht="13.15" x14ac:dyDescent="0.4">
      <c r="A5">
        <v>4</v>
      </c>
      <c r="B5" s="42">
        <f>'6 - Thresholds'!$M4</f>
        <v>55.824297191719566</v>
      </c>
      <c r="C5" s="8">
        <v>4</v>
      </c>
      <c r="D5" s="58">
        <f t="shared" ref="D5:D30" si="0">CubicSpline(C5,$A$5:$A$34,$B$5:$B$34)</f>
        <v>55.824297191719552</v>
      </c>
    </row>
    <row r="6" spans="1:4" ht="13.15" x14ac:dyDescent="0.4">
      <c r="A6">
        <v>5</v>
      </c>
      <c r="B6" s="42">
        <f>'6 - Thresholds'!$M5</f>
        <v>93.819165044772802</v>
      </c>
      <c r="C6">
        <v>5</v>
      </c>
      <c r="D6" s="58">
        <f t="shared" si="0"/>
        <v>93.819165044772774</v>
      </c>
    </row>
    <row r="7" spans="1:4" ht="13.15" x14ac:dyDescent="0.4">
      <c r="A7">
        <v>6</v>
      </c>
      <c r="B7" s="42">
        <f>'6 - Thresholds'!$M6</f>
        <v>145.93366328224388</v>
      </c>
      <c r="C7" s="8">
        <v>6</v>
      </c>
      <c r="D7" s="58">
        <f t="shared" si="0"/>
        <v>145.93366328224386</v>
      </c>
    </row>
    <row r="8" spans="1:4" ht="13.15" x14ac:dyDescent="0.4">
      <c r="A8">
        <v>7</v>
      </c>
      <c r="B8" s="42">
        <f>'6 - Thresholds'!$M7</f>
        <v>202.96007381382276</v>
      </c>
      <c r="C8">
        <v>7</v>
      </c>
      <c r="D8" s="58">
        <f t="shared" si="0"/>
        <v>202.96007381382276</v>
      </c>
    </row>
    <row r="9" spans="1:4" ht="13.15" x14ac:dyDescent="0.4">
      <c r="A9">
        <v>8</v>
      </c>
      <c r="B9" s="42">
        <f>'6 - Thresholds'!$M8</f>
        <v>274.02556560248922</v>
      </c>
      <c r="C9">
        <v>8</v>
      </c>
      <c r="D9" s="58">
        <f t="shared" si="0"/>
        <v>274.02556560248922</v>
      </c>
    </row>
    <row r="10" spans="1:4" ht="13.15" x14ac:dyDescent="0.4">
      <c r="A10">
        <v>9</v>
      </c>
      <c r="B10" s="42">
        <f>'6 - Thresholds'!$M9</f>
        <v>354.72525507709463</v>
      </c>
      <c r="C10">
        <v>9</v>
      </c>
      <c r="D10" s="58">
        <f t="shared" si="0"/>
        <v>354.72525507709457</v>
      </c>
    </row>
    <row r="11" spans="1:4" ht="13.15" x14ac:dyDescent="0.4">
      <c r="A11">
        <v>10</v>
      </c>
      <c r="B11" s="42">
        <f>'6 - Thresholds'!$M10</f>
        <v>439.16365330378318</v>
      </c>
      <c r="C11">
        <v>10</v>
      </c>
      <c r="D11" s="58">
        <f t="shared" si="0"/>
        <v>439.16365330378312</v>
      </c>
    </row>
    <row r="12" spans="1:4" ht="13.15" x14ac:dyDescent="0.4">
      <c r="A12">
        <v>11</v>
      </c>
      <c r="B12" s="42">
        <f>'6 - Thresholds'!$M11</f>
        <v>533.40086228697442</v>
      </c>
      <c r="C12">
        <v>11</v>
      </c>
      <c r="D12" s="58">
        <f t="shared" si="0"/>
        <v>533.40086228697442</v>
      </c>
    </row>
    <row r="13" spans="1:4" ht="13.15" x14ac:dyDescent="0.4">
      <c r="A13">
        <v>12</v>
      </c>
      <c r="B13" s="42">
        <f>'6 - Thresholds'!$M12</f>
        <v>636.84341796362764</v>
      </c>
      <c r="C13">
        <v>12</v>
      </c>
      <c r="D13" s="58">
        <f t="shared" si="0"/>
        <v>636.84341796362787</v>
      </c>
    </row>
    <row r="14" spans="1:4" ht="13.15" x14ac:dyDescent="0.4">
      <c r="A14">
        <v>13</v>
      </c>
      <c r="B14" s="42">
        <f>'6 - Thresholds'!$M13</f>
        <v>742.45359622218973</v>
      </c>
      <c r="C14">
        <v>13</v>
      </c>
      <c r="D14" s="58">
        <f t="shared" si="0"/>
        <v>742.4535962221895</v>
      </c>
    </row>
    <row r="15" spans="1:4" ht="13.15" x14ac:dyDescent="0.4">
      <c r="A15">
        <v>14</v>
      </c>
      <c r="B15" s="42">
        <f>'6 - Thresholds'!$M14</f>
        <v>846.52898028792629</v>
      </c>
      <c r="C15" s="8">
        <v>14</v>
      </c>
      <c r="D15" s="58">
        <f t="shared" si="0"/>
        <v>846.52898028792617</v>
      </c>
    </row>
    <row r="16" spans="1:4" ht="13.15" x14ac:dyDescent="0.4">
      <c r="A16">
        <v>15</v>
      </c>
      <c r="B16" s="42">
        <f>'6 - Thresholds'!$M15</f>
        <v>958.16301083952044</v>
      </c>
      <c r="C16">
        <v>15</v>
      </c>
      <c r="D16" s="58">
        <f t="shared" si="0"/>
        <v>958.16301083952055</v>
      </c>
    </row>
    <row r="17" spans="1:36" ht="13.15" x14ac:dyDescent="0.4">
      <c r="A17">
        <v>16</v>
      </c>
      <c r="B17" s="42">
        <f>'6 - Thresholds'!$M16</f>
        <v>1079.8099373992954</v>
      </c>
      <c r="C17">
        <v>16</v>
      </c>
      <c r="D17" s="58">
        <f t="shared" si="0"/>
        <v>1079.8099373992954</v>
      </c>
    </row>
    <row r="18" spans="1:36" ht="13.15" x14ac:dyDescent="0.4">
      <c r="A18">
        <v>17</v>
      </c>
      <c r="B18" s="42">
        <f>'6 - Thresholds'!$M17</f>
        <v>1198.8945291294419</v>
      </c>
      <c r="C18">
        <v>17</v>
      </c>
      <c r="D18" s="58">
        <f t="shared" si="0"/>
        <v>1198.8945291294419</v>
      </c>
    </row>
    <row r="19" spans="1:36" ht="13.15" x14ac:dyDescent="0.4">
      <c r="A19">
        <v>18</v>
      </c>
      <c r="B19" s="42">
        <f>'6 - Thresholds'!$M18</f>
        <v>1319.4997665049991</v>
      </c>
      <c r="C19">
        <v>18</v>
      </c>
      <c r="D19" s="58">
        <f t="shared" si="0"/>
        <v>1319.4997665049989</v>
      </c>
    </row>
    <row r="20" spans="1:36" ht="13.15" x14ac:dyDescent="0.4">
      <c r="A20">
        <v>19</v>
      </c>
      <c r="B20" s="42">
        <f>'6 - Thresholds'!$M19</f>
        <v>1450.8755093121933</v>
      </c>
      <c r="C20">
        <v>19</v>
      </c>
      <c r="D20" s="58">
        <f t="shared" si="0"/>
        <v>1450.8755093121931</v>
      </c>
    </row>
    <row r="21" spans="1:36" ht="13.15" x14ac:dyDescent="0.4">
      <c r="A21">
        <v>20</v>
      </c>
      <c r="B21" s="42">
        <f>'6 - Thresholds'!$M20</f>
        <v>1599.4503386671133</v>
      </c>
      <c r="C21">
        <v>20</v>
      </c>
      <c r="D21" s="58">
        <f t="shared" si="0"/>
        <v>1599.4503386671131</v>
      </c>
      <c r="F21" t="s">
        <v>289</v>
      </c>
    </row>
    <row r="22" spans="1:36" ht="13.15" x14ac:dyDescent="0.4">
      <c r="A22">
        <v>21</v>
      </c>
      <c r="B22" s="42">
        <f>'6 - Thresholds'!$M21</f>
        <v>1771.7580624098953</v>
      </c>
      <c r="C22" s="8">
        <v>21</v>
      </c>
      <c r="D22" s="58">
        <f t="shared" si="0"/>
        <v>1771.7580624098962</v>
      </c>
      <c r="G22" s="42">
        <f>'6 - Curve'!$D$5</f>
        <v>55.824297191719552</v>
      </c>
      <c r="H22" s="42">
        <f>'6 - Curve'!$D$6</f>
        <v>93.819165044772774</v>
      </c>
      <c r="I22" s="42">
        <f>'6 - Curve'!$D$7</f>
        <v>145.93366328224386</v>
      </c>
      <c r="J22" s="42">
        <f>'6 - Curve'!$D$8</f>
        <v>202.96007381382276</v>
      </c>
      <c r="K22" s="42">
        <f>'6 - Curve'!$D$9</f>
        <v>274.02556560248922</v>
      </c>
      <c r="L22" s="42">
        <f>'6 - Curve'!$D$10</f>
        <v>354.72525507709457</v>
      </c>
      <c r="M22" s="42">
        <f>'6 - Curve'!$D$11</f>
        <v>439.16365330378312</v>
      </c>
      <c r="N22" s="42">
        <f>'6 - Curve'!$D$12</f>
        <v>533.40086228697442</v>
      </c>
      <c r="O22" s="42">
        <f>'6 - Curve'!$D$13</f>
        <v>636.84341796362787</v>
      </c>
      <c r="P22" s="42">
        <f>'6 - Curve'!$D$14</f>
        <v>742.4535962221895</v>
      </c>
      <c r="Q22" s="42">
        <f>'6 - Curve'!$D$15</f>
        <v>846.52898028792617</v>
      </c>
      <c r="R22" s="42">
        <f>'6 - Curve'!$D$16</f>
        <v>958.16301083952055</v>
      </c>
      <c r="S22" s="42">
        <f>'6 - Curve'!$D$17</f>
        <v>1079.8099373992954</v>
      </c>
      <c r="T22" s="42">
        <f>'6 - Curve'!$D$18</f>
        <v>1198.8945291294419</v>
      </c>
      <c r="U22" s="42">
        <f>'6 - Curve'!$D$19</f>
        <v>1319.4997665049989</v>
      </c>
      <c r="V22" s="42">
        <f>'6 - Curve'!$D$20</f>
        <v>1450.8755093121931</v>
      </c>
      <c r="W22" s="42">
        <f>'6 - Curve'!$D$21</f>
        <v>1599.4503386671131</v>
      </c>
      <c r="X22" s="42">
        <f>'6 - Curve'!$D$22</f>
        <v>1771.7580624098962</v>
      </c>
      <c r="Y22" s="42">
        <f>'6 - Curve'!$D$23</f>
        <v>1965.000734120249</v>
      </c>
      <c r="Z22" s="42">
        <f>'6 - Curve'!$D$24</f>
        <v>2182.0701332973917</v>
      </c>
      <c r="AA22" s="42">
        <f>'6 - Curve'!$D$25</f>
        <v>2427.4616684326684</v>
      </c>
      <c r="AB22" s="42">
        <f>'6 - Curve'!$D$26</f>
        <v>2693.0727135542766</v>
      </c>
      <c r="AC22" s="42">
        <f>'6 - Curve'!$D$27</f>
        <v>2973.606607704412</v>
      </c>
      <c r="AD22" s="42">
        <f>'6 - Curve'!$D$28</f>
        <v>3253.0025662206435</v>
      </c>
      <c r="AE22" s="42">
        <f>'6 - Curve'!$D$29</f>
        <v>3541.794787040978</v>
      </c>
      <c r="AF22" s="42">
        <f>'6 - Curve'!$D$30</f>
        <v>3839.4268055058355</v>
      </c>
      <c r="AG22" s="42">
        <f>'6 - Curve'!$D$31</f>
        <v>4200.0031012857889</v>
      </c>
      <c r="AH22" s="58">
        <f>'6 - Curve'!$D$32</f>
        <v>9383.1992798272131</v>
      </c>
      <c r="AI22" s="58">
        <f>'6 - Curve'!$D$33</f>
        <v>15895.418171796442</v>
      </c>
      <c r="AJ22" s="58">
        <f>'6 - Curve'!$D$34</f>
        <v>24999.999999999996</v>
      </c>
    </row>
    <row r="23" spans="1:36" ht="13.15" x14ac:dyDescent="0.4">
      <c r="A23">
        <v>22</v>
      </c>
      <c r="B23" s="42">
        <f>'6 - Thresholds'!$M22</f>
        <v>1965.000734120249</v>
      </c>
      <c r="C23">
        <v>22</v>
      </c>
      <c r="D23" s="58">
        <f t="shared" si="0"/>
        <v>1965.000734120249</v>
      </c>
      <c r="F23" s="131" t="s">
        <v>235</v>
      </c>
      <c r="G23" s="131">
        <f t="shared" ref="G23:AJ23" si="1">INT(G22+0.5)</f>
        <v>56</v>
      </c>
      <c r="H23" s="131">
        <f t="shared" si="1"/>
        <v>94</v>
      </c>
      <c r="I23" s="131">
        <f t="shared" si="1"/>
        <v>146</v>
      </c>
      <c r="J23" s="131">
        <f t="shared" si="1"/>
        <v>203</v>
      </c>
      <c r="K23" s="131">
        <f t="shared" si="1"/>
        <v>274</v>
      </c>
      <c r="L23" s="131">
        <f t="shared" si="1"/>
        <v>355</v>
      </c>
      <c r="M23" s="131">
        <f t="shared" si="1"/>
        <v>439</v>
      </c>
      <c r="N23" s="131">
        <f t="shared" si="1"/>
        <v>533</v>
      </c>
      <c r="O23" s="131">
        <f t="shared" si="1"/>
        <v>637</v>
      </c>
      <c r="P23" s="131">
        <f t="shared" si="1"/>
        <v>742</v>
      </c>
      <c r="Q23" s="131">
        <f t="shared" si="1"/>
        <v>847</v>
      </c>
      <c r="R23" s="131">
        <f t="shared" si="1"/>
        <v>958</v>
      </c>
      <c r="S23" s="131">
        <f t="shared" si="1"/>
        <v>1080</v>
      </c>
      <c r="T23" s="131">
        <f t="shared" si="1"/>
        <v>1199</v>
      </c>
      <c r="U23" s="131">
        <f t="shared" si="1"/>
        <v>1319</v>
      </c>
      <c r="V23" s="131">
        <f t="shared" si="1"/>
        <v>1451</v>
      </c>
      <c r="W23" s="131">
        <f t="shared" si="1"/>
        <v>1599</v>
      </c>
      <c r="X23" s="131">
        <f t="shared" si="1"/>
        <v>1772</v>
      </c>
      <c r="Y23" s="131">
        <f t="shared" si="1"/>
        <v>1965</v>
      </c>
      <c r="Z23" s="131">
        <f t="shared" si="1"/>
        <v>2182</v>
      </c>
      <c r="AA23" s="131">
        <f t="shared" si="1"/>
        <v>2427</v>
      </c>
      <c r="AB23" s="131">
        <f t="shared" si="1"/>
        <v>2693</v>
      </c>
      <c r="AC23" s="131">
        <f t="shared" si="1"/>
        <v>2974</v>
      </c>
      <c r="AD23" s="131">
        <f t="shared" si="1"/>
        <v>3253</v>
      </c>
      <c r="AE23" s="131">
        <f t="shared" si="1"/>
        <v>3542</v>
      </c>
      <c r="AF23" s="131">
        <f t="shared" si="1"/>
        <v>3839</v>
      </c>
      <c r="AG23" s="131">
        <f t="shared" si="1"/>
        <v>4200</v>
      </c>
      <c r="AH23" s="237">
        <f t="shared" si="1"/>
        <v>9383</v>
      </c>
      <c r="AI23" s="237">
        <f t="shared" si="1"/>
        <v>15895</v>
      </c>
      <c r="AJ23" s="237">
        <f t="shared" si="1"/>
        <v>25000</v>
      </c>
    </row>
    <row r="24" spans="1:36" ht="13.15" x14ac:dyDescent="0.4">
      <c r="A24">
        <v>23</v>
      </c>
      <c r="B24" s="42">
        <f>'6 - Thresholds'!$M23</f>
        <v>2182.0701332973917</v>
      </c>
      <c r="C24">
        <v>23</v>
      </c>
      <c r="D24" s="58">
        <f t="shared" si="0"/>
        <v>2182.0701332973917</v>
      </c>
    </row>
    <row r="25" spans="1:36" ht="13.15" x14ac:dyDescent="0.4">
      <c r="A25">
        <v>24</v>
      </c>
      <c r="B25" s="42">
        <f>'6 - Thresholds'!$M24</f>
        <v>2427.4616684326702</v>
      </c>
      <c r="C25">
        <v>24</v>
      </c>
      <c r="D25" s="58">
        <f t="shared" si="0"/>
        <v>2427.4616684326684</v>
      </c>
    </row>
    <row r="26" spans="1:36" ht="13.15" x14ac:dyDescent="0.4">
      <c r="A26">
        <v>25</v>
      </c>
      <c r="B26" s="42">
        <f>'6 - Thresholds'!$M25</f>
        <v>2693.0727135542784</v>
      </c>
      <c r="C26" s="8">
        <v>25</v>
      </c>
      <c r="D26" s="58">
        <f t="shared" si="0"/>
        <v>2693.0727135542766</v>
      </c>
    </row>
    <row r="27" spans="1:36" ht="13.15" x14ac:dyDescent="0.4">
      <c r="A27">
        <v>26</v>
      </c>
      <c r="B27" s="42">
        <f>'6 - Thresholds'!$M26</f>
        <v>2973.6066077044229</v>
      </c>
      <c r="C27">
        <v>26</v>
      </c>
      <c r="D27" s="58">
        <f t="shared" si="0"/>
        <v>2973.606607704412</v>
      </c>
      <c r="F27" s="50">
        <v>10</v>
      </c>
      <c r="G27">
        <f>CubicSpline(F27, $A$5:$A$107, $B$5:$B$107)</f>
        <v>439.16365330378312</v>
      </c>
    </row>
    <row r="28" spans="1:36" ht="13.15" x14ac:dyDescent="0.4">
      <c r="A28">
        <v>27</v>
      </c>
      <c r="B28" s="42">
        <f>'6 - Thresholds'!$M27</f>
        <v>3253.002566220649</v>
      </c>
      <c r="C28">
        <v>27</v>
      </c>
      <c r="D28" s="58">
        <f t="shared" si="0"/>
        <v>3253.0025662206435</v>
      </c>
      <c r="F28" s="50">
        <v>11</v>
      </c>
      <c r="G28">
        <f>CubicSpline(F28, $A$5:$A$107, $B$5:$B$107)</f>
        <v>533.40086228697442</v>
      </c>
    </row>
    <row r="29" spans="1:36" ht="13.15" x14ac:dyDescent="0.4">
      <c r="A29">
        <v>28</v>
      </c>
      <c r="B29" s="42">
        <f>'6 - Thresholds'!$M28</f>
        <v>3541.7947870409785</v>
      </c>
      <c r="C29">
        <v>28</v>
      </c>
      <c r="D29" s="58">
        <f t="shared" si="0"/>
        <v>3541.794787040978</v>
      </c>
      <c r="F29">
        <v>9</v>
      </c>
      <c r="G29">
        <f>CubicSpline(F29, $A$5:$A$107, $B$5:$B$107)</f>
        <v>354.72525507709457</v>
      </c>
    </row>
    <row r="30" spans="1:36" ht="13.15" x14ac:dyDescent="0.4">
      <c r="A30">
        <v>29</v>
      </c>
      <c r="B30" s="42">
        <f>'6 - Thresholds'!$M29</f>
        <v>3839.4268055058837</v>
      </c>
      <c r="C30">
        <v>29</v>
      </c>
      <c r="D30" s="58">
        <f t="shared" si="0"/>
        <v>3839.4268055058355</v>
      </c>
    </row>
    <row r="31" spans="1:36" ht="13.15" x14ac:dyDescent="0.4">
      <c r="A31">
        <v>30</v>
      </c>
      <c r="B31" s="42">
        <f>'6 - Thresholds'!$M30</f>
        <v>4200.0031012857071</v>
      </c>
      <c r="C31">
        <v>30</v>
      </c>
      <c r="D31" s="58">
        <f>CubicSpline(C31,$A$5:$A$34,$B$5:$B$34)</f>
        <v>4200.0031012857889</v>
      </c>
    </row>
    <row r="32" spans="1:36" ht="13.15" x14ac:dyDescent="0.4">
      <c r="A32">
        <f>'6 - Spheres'!$G$40</f>
        <v>39</v>
      </c>
      <c r="B32">
        <f>'6 - Spheres'!$G$42</f>
        <v>10000</v>
      </c>
      <c r="C32" s="8">
        <v>38</v>
      </c>
      <c r="D32" s="58">
        <f t="shared" ref="D32:D34" si="2">CubicSpline(C32,$A$5:$A$34,$B$5:$B$34)</f>
        <v>9383.1992798272131</v>
      </c>
    </row>
    <row r="33" spans="1:4" ht="13.15" x14ac:dyDescent="0.4">
      <c r="A33">
        <f>'6 - Spheres'!$C$40</f>
        <v>49.4</v>
      </c>
      <c r="B33">
        <f>'6 - Spheres'!$C$42</f>
        <v>15600</v>
      </c>
      <c r="C33" s="8">
        <v>50</v>
      </c>
      <c r="D33" s="58">
        <f t="shared" si="2"/>
        <v>15895.418171796442</v>
      </c>
    </row>
    <row r="34" spans="1:4" ht="13.15" x14ac:dyDescent="0.4">
      <c r="A34">
        <f>'6 - Spheres'!$N$40</f>
        <v>70</v>
      </c>
      <c r="B34">
        <f>'6 - Spheres'!$N$42</f>
        <v>25000</v>
      </c>
      <c r="C34" s="8">
        <v>70</v>
      </c>
      <c r="D34" s="58">
        <f t="shared" si="2"/>
        <v>24999.999999999996</v>
      </c>
    </row>
    <row r="36" spans="1:4" ht="40.15" x14ac:dyDescent="0.35">
      <c r="A36" s="112" t="s">
        <v>236</v>
      </c>
    </row>
    <row r="39" spans="1:4" ht="13.15" x14ac:dyDescent="0.4">
      <c r="A39" t="s">
        <v>237</v>
      </c>
    </row>
    <row r="40" spans="1:4" ht="13.15" x14ac:dyDescent="0.4">
      <c r="A40" t="s">
        <v>238</v>
      </c>
    </row>
    <row r="41" spans="1:4" x14ac:dyDescent="0.35">
      <c r="A41" t="s">
        <v>239</v>
      </c>
    </row>
    <row r="42" spans="1:4" x14ac:dyDescent="0.35">
      <c r="A42" t="s">
        <v>240</v>
      </c>
    </row>
    <row r="44" spans="1:4" x14ac:dyDescent="0.35">
      <c r="A44" t="s">
        <v>241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65" t="s">
        <v>290</v>
      </c>
      <c r="B1" s="265"/>
      <c r="C1" s="265"/>
      <c r="D1" s="265"/>
      <c r="E1" s="265"/>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242</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116</v>
      </c>
      <c r="B5" s="10"/>
      <c r="C5" s="12" t="s">
        <v>243</v>
      </c>
      <c r="E5" s="10"/>
      <c r="K5" s="10"/>
      <c r="L5" s="10"/>
      <c r="M5" s="10"/>
      <c r="N5" s="10"/>
      <c r="O5" s="10"/>
    </row>
    <row r="6" spans="1:15" ht="13.15" x14ac:dyDescent="0.4">
      <c r="A6" s="10" t="s">
        <v>21</v>
      </c>
      <c r="B6" s="10"/>
      <c r="C6" s="12" t="s">
        <v>22</v>
      </c>
      <c r="E6" s="10"/>
      <c r="K6" s="10"/>
      <c r="L6" s="10"/>
      <c r="M6" s="10"/>
      <c r="N6" s="10"/>
      <c r="O6" s="10"/>
    </row>
    <row r="7" spans="1:15" ht="13.15" x14ac:dyDescent="0.4">
      <c r="A7" s="10" t="s">
        <v>23</v>
      </c>
      <c r="B7" s="10"/>
      <c r="C7" s="12" t="s">
        <v>24</v>
      </c>
      <c r="E7" s="10"/>
      <c r="K7" s="10"/>
      <c r="L7" s="10"/>
      <c r="M7" s="10"/>
      <c r="N7" s="10"/>
      <c r="O7" s="10"/>
    </row>
    <row r="8" spans="1:15" ht="13.15" x14ac:dyDescent="0.4">
      <c r="A8" s="10" t="s">
        <v>25</v>
      </c>
      <c r="B8" s="10"/>
      <c r="C8" s="12" t="s">
        <v>22</v>
      </c>
      <c r="E8" s="10"/>
      <c r="K8" s="10"/>
      <c r="L8" s="10"/>
      <c r="M8" s="10"/>
      <c r="N8" s="10"/>
      <c r="O8" s="10"/>
    </row>
    <row r="9" spans="1:15" ht="13.15" x14ac:dyDescent="0.4">
      <c r="A9" s="10" t="s">
        <v>26</v>
      </c>
      <c r="B9" s="10"/>
      <c r="C9" s="12" t="s">
        <v>24</v>
      </c>
      <c r="E9" s="10"/>
      <c r="K9" s="10"/>
      <c r="L9" s="10"/>
      <c r="M9" s="10"/>
      <c r="N9" s="10"/>
      <c r="O9" s="10"/>
    </row>
    <row r="10" spans="1:15" ht="13.15" x14ac:dyDescent="0.4">
      <c r="A10" s="10" t="s">
        <v>27</v>
      </c>
      <c r="B10" s="10"/>
      <c r="C10" s="93">
        <v>45820</v>
      </c>
      <c r="E10" s="10"/>
      <c r="K10" s="10"/>
      <c r="L10" s="10"/>
      <c r="M10" s="10"/>
      <c r="N10" s="10"/>
      <c r="O10" s="10"/>
    </row>
    <row r="11" spans="1:15" ht="13.15" x14ac:dyDescent="0.4">
      <c r="A11" s="10" t="s">
        <v>28</v>
      </c>
      <c r="B11" s="10"/>
      <c r="C11" s="13" t="s">
        <v>29</v>
      </c>
      <c r="E11" s="10"/>
      <c r="K11" s="10"/>
      <c r="L11" s="10"/>
      <c r="M11" s="10"/>
      <c r="N11" s="10"/>
      <c r="O11" s="10"/>
    </row>
    <row r="12" spans="1:15" ht="13.15" x14ac:dyDescent="0.4">
      <c r="A12" s="10" t="s">
        <v>30</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244</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245</v>
      </c>
      <c r="C18" s="12" t="s">
        <v>38</v>
      </c>
      <c r="E18" s="10"/>
      <c r="I18" s="10"/>
      <c r="M18" s="10"/>
      <c r="N18" s="16"/>
      <c r="O18" s="10"/>
    </row>
    <row r="19" spans="1:15" ht="13.15" x14ac:dyDescent="0.4">
      <c r="A19" s="10"/>
      <c r="B19" s="10"/>
      <c r="C19" s="10"/>
      <c r="F19" s="10"/>
      <c r="G19" s="10"/>
      <c r="H19" s="27"/>
      <c r="I19" s="26"/>
      <c r="J19" s="26"/>
    </row>
    <row r="20" spans="1:15" ht="13.15" x14ac:dyDescent="0.4">
      <c r="A20" s="10" t="s">
        <v>246</v>
      </c>
      <c r="B20" s="17">
        <v>9105</v>
      </c>
      <c r="C20" s="18">
        <f>(B20-$B$26)/$B$26</f>
        <v>-2.9347992728705483E-3</v>
      </c>
      <c r="F20" s="10"/>
      <c r="G20" s="10"/>
      <c r="H20" s="28"/>
      <c r="I20" s="26"/>
      <c r="J20" s="26"/>
    </row>
    <row r="21" spans="1:15" ht="13.15" x14ac:dyDescent="0.4">
      <c r="A21" s="10" t="s">
        <v>247</v>
      </c>
      <c r="B21" s="19">
        <v>9129</v>
      </c>
      <c r="C21" s="18">
        <f>(B21-$B$26)/$B$26</f>
        <v>-3.0662081955356804E-4</v>
      </c>
      <c r="E21" s="10"/>
      <c r="F21" s="10"/>
      <c r="G21" s="10"/>
      <c r="H21" s="27"/>
      <c r="I21" s="26"/>
      <c r="J21" s="26"/>
    </row>
    <row r="22" spans="1:15" ht="13.15" x14ac:dyDescent="0.4">
      <c r="A22" s="10" t="s">
        <v>248</v>
      </c>
      <c r="B22" s="19">
        <v>9164</v>
      </c>
      <c r="C22" s="18">
        <f>(B22-$B$26)/$B$26</f>
        <v>3.5261394248670285E-3</v>
      </c>
      <c r="E22" s="10"/>
      <c r="F22" s="10"/>
      <c r="G22" s="10"/>
      <c r="H22" s="28"/>
      <c r="I22" s="26"/>
      <c r="J22" s="26"/>
    </row>
    <row r="23" spans="1:15" ht="13.15" x14ac:dyDescent="0.4">
      <c r="A23" s="10" t="s">
        <v>249</v>
      </c>
      <c r="B23" s="19">
        <v>9170</v>
      </c>
      <c r="C23" s="18">
        <f>(B23-$B$26)/$B$26</f>
        <v>4.1831840381962738E-3</v>
      </c>
      <c r="E23" s="10"/>
      <c r="F23" s="10"/>
      <c r="G23" s="10"/>
      <c r="H23" s="27"/>
      <c r="I23" s="26"/>
      <c r="J23" s="26"/>
    </row>
    <row r="24" spans="1:15" ht="13.15" x14ac:dyDescent="0.4">
      <c r="A24" s="10" t="s">
        <v>250</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49</v>
      </c>
      <c r="B26" s="21">
        <f>AVERAGE(B20:B24)</f>
        <v>9131.7999999999993</v>
      </c>
      <c r="C26" s="10"/>
      <c r="E26" s="10"/>
      <c r="F26" s="10"/>
      <c r="G26" s="10"/>
      <c r="H26" s="10"/>
      <c r="I26" s="18"/>
    </row>
    <row r="27" spans="1:15" ht="13.15" x14ac:dyDescent="0.4">
      <c r="A27" s="10" t="s">
        <v>50</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57</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266</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139</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140</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141</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142</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143</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144</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145</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157</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158</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159</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160</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161</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162</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163</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164</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165</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166</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167</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168</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c r="Q51" s="65" t="s">
        <v>39</v>
      </c>
      <c r="R51" s="65" t="s">
        <v>40</v>
      </c>
      <c r="S51" s="65" t="s">
        <v>42</v>
      </c>
      <c r="T51" s="65" t="s">
        <v>43</v>
      </c>
      <c r="U51" s="65" t="s">
        <v>45</v>
      </c>
      <c r="V51" s="65" t="s">
        <v>39</v>
      </c>
      <c r="W51" s="65" t="s">
        <v>40</v>
      </c>
      <c r="X51" s="65" t="s">
        <v>42</v>
      </c>
      <c r="Y51" s="65" t="s">
        <v>43</v>
      </c>
      <c r="Z51" s="65" t="s">
        <v>45</v>
      </c>
      <c r="AA51" s="65"/>
      <c r="AB51" s="65"/>
      <c r="AC51" s="65"/>
      <c r="AD51" s="65"/>
      <c r="AE51" s="65"/>
    </row>
    <row r="52" spans="1:31" ht="13.15" x14ac:dyDescent="0.4">
      <c r="A52" s="65" t="s">
        <v>180</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92" spans="1:32" x14ac:dyDescent="0.35">
      <c r="A92" t="s">
        <v>348</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181</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139</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140</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141</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142</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143</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144</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145</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157</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158</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159</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160</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161</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162</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163</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164</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165</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166</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167</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168</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182</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139</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140</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141</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142</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143</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144</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145</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157</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158</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159</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160</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161</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162</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163</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164</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165</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166</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167</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168</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126</v>
      </c>
    </row>
    <row r="2" spans="1:49" ht="40.15" x14ac:dyDescent="0.4">
      <c r="A2" s="260" t="s">
        <v>349</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139</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140</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141</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142</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143</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144</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145</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157</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158</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159</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160</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161</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162</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163</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164</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165</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166</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167</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168</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126</v>
      </c>
    </row>
    <row r="2" spans="1:49" ht="40.15" x14ac:dyDescent="0.4">
      <c r="A2" s="260" t="s">
        <v>350</v>
      </c>
      <c r="B2" s="260"/>
      <c r="C2" s="260"/>
      <c r="D2" s="260"/>
      <c r="E2" s="260"/>
      <c r="H2" s="72" t="s">
        <v>127</v>
      </c>
    </row>
    <row r="3" spans="1:49" ht="13.15" x14ac:dyDescent="0.4">
      <c r="A3" t="s">
        <v>128</v>
      </c>
      <c r="B3" s="73" t="s">
        <v>24</v>
      </c>
      <c r="D3" t="s">
        <v>129</v>
      </c>
      <c r="E3" s="8">
        <f>'Clause 6'!$G$12</f>
        <v>1</v>
      </c>
    </row>
    <row r="4" spans="1:49" ht="18.100000000000001" customHeight="1" x14ac:dyDescent="1.05">
      <c r="A4" s="8" t="s">
        <v>27</v>
      </c>
      <c r="B4" s="74">
        <f>'Annex A'!$M$23</f>
        <v>45987</v>
      </c>
      <c r="O4" s="75"/>
    </row>
    <row r="5" spans="1:49" ht="13.15" x14ac:dyDescent="0.4">
      <c r="A5" s="8" t="s">
        <v>115</v>
      </c>
      <c r="B5" s="181" t="s">
        <v>347</v>
      </c>
      <c r="O5" s="29"/>
    </row>
    <row r="6" spans="1:49" ht="13.15" x14ac:dyDescent="0.4">
      <c r="A6" t="s">
        <v>131</v>
      </c>
      <c r="B6" s="77" t="str">
        <f ca="1">RIGHT(CELL("filename"),1)</f>
        <v>D</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139</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140</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141</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142</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143</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144</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145</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157</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158</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159</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160</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161</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162</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163</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164</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165</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166</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167</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168</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sheetPr codeName="Sheet12"/>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126</v>
      </c>
    </row>
    <row r="2" spans="1:16" ht="40.15" x14ac:dyDescent="0.4">
      <c r="A2" s="260" t="s">
        <v>266</v>
      </c>
      <c r="B2" s="260"/>
      <c r="C2" s="260"/>
      <c r="D2" s="260"/>
      <c r="E2" s="260"/>
      <c r="H2" s="72" t="s">
        <v>127</v>
      </c>
    </row>
    <row r="3" spans="1:16" ht="13.15" x14ac:dyDescent="0.4">
      <c r="A3" t="s">
        <v>128</v>
      </c>
      <c r="B3" s="73" t="s">
        <v>24</v>
      </c>
      <c r="D3" t="s">
        <v>129</v>
      </c>
      <c r="E3" s="8">
        <v>1</v>
      </c>
    </row>
    <row r="4" spans="1:16" ht="40.15" x14ac:dyDescent="1.05">
      <c r="A4" s="8" t="s">
        <v>27</v>
      </c>
      <c r="B4" s="74">
        <v>45832</v>
      </c>
      <c r="O4" s="75"/>
    </row>
    <row r="5" spans="1:16" ht="13.15" x14ac:dyDescent="0.4">
      <c r="A5" s="8" t="s">
        <v>115</v>
      </c>
      <c r="B5" s="76" t="s">
        <v>130</v>
      </c>
      <c r="O5" s="29"/>
    </row>
    <row r="6" spans="1:16" ht="13.15" x14ac:dyDescent="0.4">
      <c r="A6" t="s">
        <v>131</v>
      </c>
      <c r="B6" s="77" t="str">
        <f ca="1">RIGHT(CELL("filename"),1)</f>
        <v>D</v>
      </c>
      <c r="C6" s="8"/>
      <c r="D6" s="8"/>
      <c r="E6" s="8"/>
      <c r="F6" s="8"/>
    </row>
    <row r="7" spans="1:16" ht="14.65" x14ac:dyDescent="0.5">
      <c r="B7" s="65" t="s">
        <v>39</v>
      </c>
      <c r="C7" s="65" t="s">
        <v>40</v>
      </c>
      <c r="D7" s="65" t="s">
        <v>42</v>
      </c>
      <c r="E7" s="65" t="s">
        <v>43</v>
      </c>
      <c r="F7" s="65" t="s">
        <v>45</v>
      </c>
      <c r="G7" s="65" t="s">
        <v>132</v>
      </c>
      <c r="H7" s="65" t="s">
        <v>133</v>
      </c>
      <c r="I7" s="65" t="s">
        <v>134</v>
      </c>
      <c r="J7" s="65" t="s">
        <v>135</v>
      </c>
      <c r="K7" s="65" t="s">
        <v>136</v>
      </c>
      <c r="L7" s="65" t="s">
        <v>137</v>
      </c>
      <c r="P7" s="65"/>
    </row>
    <row r="8" spans="1:16" ht="13.15" x14ac:dyDescent="0.4">
      <c r="A8" s="68" t="s">
        <v>138</v>
      </c>
      <c r="B8" s="46">
        <v>1</v>
      </c>
      <c r="C8" s="46">
        <v>1</v>
      </c>
      <c r="D8" s="46">
        <v>1</v>
      </c>
      <c r="E8" s="46">
        <v>1</v>
      </c>
      <c r="F8" s="46">
        <v>1</v>
      </c>
      <c r="G8" s="78">
        <f>AVERAGE(B$8:F$8)*5</f>
        <v>5</v>
      </c>
      <c r="I8" s="79"/>
      <c r="K8" s="79"/>
    </row>
    <row r="9" spans="1:16" ht="13.15" x14ac:dyDescent="0.4">
      <c r="A9" s="68" t="s">
        <v>139</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140</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141</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142</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143</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144</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145</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146</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147</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148</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149</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150</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151</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152</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153</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154</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155</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156</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157</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158</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159</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160</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161</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162</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163</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164</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165</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166</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167</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168</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45</v>
      </c>
      <c r="G51" s="65"/>
      <c r="H51" s="65"/>
      <c r="I51" s="65"/>
      <c r="J51" s="65"/>
      <c r="K51" s="65"/>
      <c r="L51" s="65"/>
      <c r="M51" s="65"/>
      <c r="N51" s="65"/>
      <c r="O51" s="65"/>
      <c r="P51" s="65"/>
    </row>
    <row r="52" spans="1:16" ht="13.15" x14ac:dyDescent="0.4">
      <c r="A52" s="65" t="s">
        <v>180</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sheetPr codeName="Sheet27"/>
  <dimension ref="A1:AMJ1101"/>
  <sheetViews>
    <sheetView tabSelected="1" zoomScale="70" zoomScaleNormal="70" workbookViewId="0"/>
  </sheetViews>
  <sheetFormatPr defaultColWidth="11.19921875" defaultRowHeight="13.5" x14ac:dyDescent="0.35"/>
  <cols>
    <col min="1" max="1" width="22.3984375" style="136" customWidth="1"/>
    <col min="2" max="2" width="15.265625" style="136" customWidth="1"/>
    <col min="3" max="11" width="11.19921875" style="136"/>
    <col min="12" max="12" width="5.265625" style="136" customWidth="1"/>
    <col min="13" max="13" width="9.53125" style="136" customWidth="1"/>
    <col min="14" max="16384" width="11.19921875" style="136"/>
  </cols>
  <sheetData>
    <row r="1" spans="1:1024" ht="101.25" customHeight="1" x14ac:dyDescent="0.35">
      <c r="A1" s="134" t="s">
        <v>307</v>
      </c>
      <c r="B1" s="135" t="s">
        <v>15</v>
      </c>
      <c r="C1" s="267" t="s">
        <v>291</v>
      </c>
      <c r="D1" s="267"/>
      <c r="E1" s="267"/>
      <c r="F1" s="267"/>
      <c r="G1" s="267"/>
      <c r="H1" s="267"/>
      <c r="I1" s="135"/>
      <c r="J1" s="135"/>
      <c r="K1" s="135"/>
      <c r="L1" s="136" t="s">
        <v>251</v>
      </c>
      <c r="M1" s="138" t="s">
        <v>339</v>
      </c>
      <c r="N1" s="135" t="s">
        <v>252</v>
      </c>
      <c r="O1" s="135" t="s">
        <v>297</v>
      </c>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135"/>
      <c r="DZ1" s="135"/>
      <c r="EA1" s="135"/>
      <c r="EB1" s="135"/>
      <c r="EC1" s="135"/>
      <c r="ED1" s="135"/>
      <c r="EE1" s="135"/>
      <c r="EF1" s="135"/>
      <c r="EG1" s="135"/>
      <c r="EH1" s="135"/>
      <c r="EI1" s="135"/>
      <c r="EJ1" s="135"/>
      <c r="EK1" s="135"/>
      <c r="EL1" s="135"/>
      <c r="EM1" s="135"/>
      <c r="EN1" s="135"/>
      <c r="EO1" s="135"/>
      <c r="EP1" s="135"/>
      <c r="EQ1" s="135"/>
      <c r="ER1" s="135"/>
      <c r="ES1" s="135"/>
      <c r="ET1" s="135"/>
      <c r="EU1" s="135"/>
      <c r="EV1" s="135"/>
      <c r="EW1" s="135"/>
      <c r="EX1" s="135"/>
      <c r="EY1" s="135"/>
      <c r="EZ1" s="135"/>
      <c r="FA1" s="135"/>
      <c r="FB1" s="135"/>
      <c r="FC1" s="135"/>
      <c r="FD1" s="135"/>
      <c r="FE1" s="135"/>
      <c r="FF1" s="135"/>
      <c r="FG1" s="135"/>
      <c r="FH1" s="135"/>
      <c r="FI1" s="135"/>
      <c r="FJ1" s="135"/>
      <c r="FK1" s="135"/>
      <c r="FL1" s="135"/>
      <c r="FM1" s="135"/>
      <c r="FN1" s="135"/>
      <c r="FO1" s="135"/>
      <c r="FP1" s="135"/>
      <c r="FQ1" s="135"/>
      <c r="FR1" s="135"/>
      <c r="FS1" s="135"/>
      <c r="FT1" s="135"/>
      <c r="FU1" s="135"/>
      <c r="FV1" s="135"/>
      <c r="FW1" s="135"/>
      <c r="FX1" s="135"/>
      <c r="FY1" s="135"/>
      <c r="FZ1" s="135"/>
      <c r="GA1" s="135"/>
      <c r="GB1" s="135"/>
      <c r="GC1" s="135"/>
      <c r="GD1" s="135"/>
      <c r="GE1" s="135"/>
      <c r="GF1" s="135"/>
      <c r="GG1" s="135"/>
      <c r="GH1" s="135"/>
      <c r="GI1" s="135"/>
      <c r="GJ1" s="135"/>
      <c r="GK1" s="135"/>
      <c r="GL1" s="135"/>
      <c r="GM1" s="135"/>
      <c r="GN1" s="135"/>
      <c r="GO1" s="135"/>
      <c r="GP1" s="135"/>
      <c r="GQ1" s="135"/>
      <c r="GR1" s="135"/>
      <c r="GS1" s="135"/>
      <c r="GT1" s="135"/>
      <c r="GU1" s="135"/>
      <c r="GV1" s="135"/>
      <c r="GW1" s="135"/>
      <c r="GX1" s="135"/>
      <c r="GY1" s="135"/>
      <c r="GZ1" s="135"/>
      <c r="HA1" s="135"/>
      <c r="HB1" s="135"/>
      <c r="HC1" s="135"/>
      <c r="HD1" s="135"/>
      <c r="HE1" s="135"/>
      <c r="HF1" s="135"/>
      <c r="HG1" s="135"/>
      <c r="HH1" s="135"/>
      <c r="HI1" s="135"/>
      <c r="HJ1" s="135"/>
      <c r="HK1" s="135"/>
      <c r="HL1" s="135"/>
      <c r="HM1" s="135"/>
      <c r="HN1" s="135"/>
      <c r="HO1" s="135"/>
      <c r="HP1" s="135"/>
      <c r="HQ1" s="135"/>
      <c r="HR1" s="135"/>
      <c r="HS1" s="135"/>
      <c r="HT1" s="135"/>
      <c r="HU1" s="135"/>
      <c r="HV1" s="135"/>
      <c r="HW1" s="135"/>
      <c r="HX1" s="135"/>
      <c r="HY1" s="135"/>
      <c r="HZ1" s="135"/>
      <c r="IA1" s="135"/>
      <c r="IB1" s="135"/>
      <c r="IC1" s="135"/>
      <c r="ID1" s="135"/>
      <c r="IE1" s="135"/>
      <c r="IF1" s="135"/>
      <c r="IG1" s="135"/>
      <c r="IH1" s="135"/>
      <c r="II1" s="135"/>
      <c r="IJ1" s="135"/>
      <c r="IK1" s="135"/>
      <c r="IL1" s="135"/>
      <c r="IM1" s="135"/>
      <c r="IN1" s="135"/>
      <c r="IO1" s="135"/>
      <c r="IP1" s="135"/>
      <c r="IQ1" s="135"/>
      <c r="IR1" s="135"/>
      <c r="IS1" s="135"/>
      <c r="IT1" s="135"/>
      <c r="IU1" s="135"/>
      <c r="IV1" s="135"/>
      <c r="IW1" s="135"/>
      <c r="IX1" s="135"/>
      <c r="IY1" s="135"/>
      <c r="IZ1" s="135"/>
      <c r="JA1" s="135"/>
      <c r="JB1" s="135"/>
      <c r="JC1" s="135"/>
      <c r="JD1" s="135"/>
      <c r="JE1" s="135"/>
      <c r="JF1" s="135"/>
      <c r="JG1" s="135"/>
      <c r="JH1" s="135"/>
      <c r="JI1" s="135"/>
      <c r="JJ1" s="135"/>
      <c r="JK1" s="135"/>
      <c r="JL1" s="135"/>
      <c r="JM1" s="135"/>
      <c r="JN1" s="135"/>
      <c r="JO1" s="135"/>
      <c r="JP1" s="135"/>
      <c r="JQ1" s="135"/>
      <c r="JR1" s="135"/>
      <c r="JS1" s="135"/>
      <c r="JT1" s="135"/>
      <c r="JU1" s="135"/>
      <c r="JV1" s="135"/>
      <c r="JW1" s="135"/>
      <c r="JX1" s="135"/>
      <c r="JY1" s="135"/>
      <c r="JZ1" s="135"/>
      <c r="KA1" s="135"/>
      <c r="KB1" s="135"/>
      <c r="KC1" s="135"/>
      <c r="KD1" s="135"/>
      <c r="KE1" s="135"/>
      <c r="KF1" s="135"/>
      <c r="KG1" s="135"/>
      <c r="KH1" s="135"/>
      <c r="KI1" s="135"/>
      <c r="KJ1" s="135"/>
      <c r="KK1" s="135"/>
      <c r="KL1" s="135"/>
      <c r="KM1" s="135"/>
      <c r="KN1" s="135"/>
      <c r="KO1" s="135"/>
      <c r="KP1" s="135"/>
      <c r="KQ1" s="135"/>
      <c r="KR1" s="135"/>
      <c r="KS1" s="135"/>
      <c r="KT1" s="135"/>
      <c r="KU1" s="135"/>
      <c r="KV1" s="135"/>
      <c r="KW1" s="135"/>
      <c r="KX1" s="135"/>
      <c r="KY1" s="135"/>
      <c r="KZ1" s="135"/>
      <c r="LA1" s="135"/>
      <c r="LB1" s="135"/>
      <c r="LC1" s="135"/>
      <c r="LD1" s="135"/>
      <c r="LE1" s="135"/>
      <c r="LF1" s="135"/>
      <c r="LG1" s="135"/>
      <c r="LH1" s="135"/>
      <c r="LI1" s="135"/>
      <c r="LJ1" s="135"/>
      <c r="LK1" s="135"/>
      <c r="LL1" s="135"/>
      <c r="LM1" s="135"/>
      <c r="LN1" s="135"/>
      <c r="LO1" s="135"/>
      <c r="LP1" s="135"/>
      <c r="LQ1" s="135"/>
      <c r="LR1" s="135"/>
      <c r="LS1" s="135"/>
      <c r="LT1" s="135"/>
      <c r="LU1" s="135"/>
      <c r="LV1" s="135"/>
      <c r="LW1" s="135"/>
      <c r="LX1" s="135"/>
      <c r="LY1" s="135"/>
      <c r="LZ1" s="135"/>
      <c r="MA1" s="135"/>
      <c r="MB1" s="135"/>
      <c r="MC1" s="135"/>
      <c r="MD1" s="135"/>
      <c r="ME1" s="135"/>
      <c r="MF1" s="135"/>
      <c r="MG1" s="135"/>
      <c r="MH1" s="135"/>
      <c r="MI1" s="135"/>
      <c r="MJ1" s="135"/>
      <c r="MK1" s="135"/>
      <c r="ML1" s="135"/>
      <c r="MM1" s="135"/>
      <c r="MN1" s="135"/>
      <c r="MO1" s="135"/>
      <c r="MP1" s="135"/>
      <c r="MQ1" s="135"/>
      <c r="MR1" s="135"/>
      <c r="MS1" s="135"/>
      <c r="MT1" s="135"/>
      <c r="MU1" s="135"/>
      <c r="MV1" s="135"/>
      <c r="MW1" s="135"/>
      <c r="MX1" s="135"/>
      <c r="MY1" s="135"/>
      <c r="MZ1" s="135"/>
      <c r="NA1" s="135"/>
      <c r="NB1" s="135"/>
      <c r="NC1" s="135"/>
      <c r="ND1" s="135"/>
      <c r="NE1" s="135"/>
      <c r="NF1" s="135"/>
      <c r="NG1" s="135"/>
      <c r="NH1" s="135"/>
      <c r="NI1" s="135"/>
      <c r="NJ1" s="135"/>
      <c r="NK1" s="135"/>
      <c r="NL1" s="135"/>
      <c r="NM1" s="135"/>
      <c r="NN1" s="135"/>
      <c r="NO1" s="135"/>
      <c r="NP1" s="135"/>
      <c r="NQ1" s="135"/>
      <c r="NR1" s="135"/>
      <c r="NS1" s="135"/>
      <c r="NT1" s="135"/>
      <c r="NU1" s="135"/>
      <c r="NV1" s="135"/>
      <c r="NW1" s="135"/>
      <c r="NX1" s="135"/>
      <c r="NY1" s="135"/>
      <c r="NZ1" s="135"/>
      <c r="OA1" s="135"/>
      <c r="OB1" s="135"/>
      <c r="OC1" s="135"/>
      <c r="OD1" s="135"/>
      <c r="OE1" s="135"/>
      <c r="OF1" s="135"/>
      <c r="OG1" s="135"/>
      <c r="OH1" s="135"/>
      <c r="OI1" s="135"/>
      <c r="OJ1" s="135"/>
      <c r="OK1" s="135"/>
      <c r="OL1" s="135"/>
      <c r="OM1" s="135"/>
      <c r="ON1" s="135"/>
      <c r="OO1" s="135"/>
      <c r="OP1" s="135"/>
      <c r="OQ1" s="135"/>
      <c r="OR1" s="135"/>
      <c r="OS1" s="135"/>
      <c r="OT1" s="135"/>
      <c r="OU1" s="135"/>
      <c r="OV1" s="135"/>
      <c r="OW1" s="135"/>
      <c r="OX1" s="135"/>
      <c r="OY1" s="135"/>
      <c r="OZ1" s="135"/>
      <c r="PA1" s="135"/>
      <c r="PB1" s="135"/>
      <c r="PC1" s="135"/>
      <c r="PD1" s="135"/>
      <c r="PE1" s="135"/>
      <c r="PF1" s="135"/>
      <c r="PG1" s="135"/>
      <c r="PH1" s="135"/>
      <c r="PI1" s="135"/>
      <c r="PJ1" s="135"/>
      <c r="PK1" s="135"/>
      <c r="PL1" s="135"/>
      <c r="PM1" s="135"/>
      <c r="PN1" s="135"/>
      <c r="PO1" s="135"/>
      <c r="PP1" s="135"/>
      <c r="PQ1" s="135"/>
      <c r="PR1" s="135"/>
      <c r="PS1" s="135"/>
      <c r="PT1" s="135"/>
      <c r="PU1" s="135"/>
      <c r="PV1" s="135"/>
      <c r="PW1" s="135"/>
      <c r="PX1" s="135"/>
      <c r="PY1" s="135"/>
      <c r="PZ1" s="135"/>
      <c r="QA1" s="135"/>
      <c r="QB1" s="135"/>
      <c r="QC1" s="135"/>
      <c r="QD1" s="135"/>
      <c r="QE1" s="135"/>
      <c r="QF1" s="135"/>
      <c r="QG1" s="135"/>
      <c r="QH1" s="135"/>
      <c r="QI1" s="135"/>
      <c r="QJ1" s="135"/>
      <c r="QK1" s="135"/>
      <c r="QL1" s="135"/>
      <c r="QM1" s="135"/>
      <c r="QN1" s="135"/>
      <c r="QO1" s="135"/>
      <c r="QP1" s="135"/>
      <c r="QQ1" s="135"/>
      <c r="QR1" s="135"/>
      <c r="QS1" s="135"/>
      <c r="QT1" s="135"/>
      <c r="QU1" s="135"/>
      <c r="QV1" s="135"/>
      <c r="QW1" s="135"/>
      <c r="QX1" s="135"/>
      <c r="QY1" s="135"/>
      <c r="QZ1" s="135"/>
      <c r="RA1" s="135"/>
      <c r="RB1" s="135"/>
      <c r="RC1" s="135"/>
      <c r="RD1" s="135"/>
      <c r="RE1" s="135"/>
      <c r="RF1" s="135"/>
      <c r="RG1" s="135"/>
      <c r="RH1" s="135"/>
      <c r="RI1" s="135"/>
      <c r="RJ1" s="135"/>
      <c r="RK1" s="135"/>
      <c r="RL1" s="135"/>
      <c r="RM1" s="135"/>
      <c r="RN1" s="135"/>
      <c r="RO1" s="135"/>
      <c r="RP1" s="135"/>
      <c r="RQ1" s="135"/>
      <c r="RR1" s="135"/>
      <c r="RS1" s="135"/>
      <c r="RT1" s="135"/>
      <c r="RU1" s="135"/>
      <c r="RV1" s="135"/>
      <c r="RW1" s="135"/>
      <c r="RX1" s="135"/>
      <c r="RY1" s="135"/>
      <c r="RZ1" s="135"/>
      <c r="SA1" s="135"/>
      <c r="SB1" s="135"/>
      <c r="SC1" s="135"/>
      <c r="SD1" s="135"/>
      <c r="SE1" s="135"/>
      <c r="SF1" s="135"/>
      <c r="SG1" s="135"/>
      <c r="SH1" s="135"/>
      <c r="SI1" s="135"/>
      <c r="SJ1" s="135"/>
      <c r="SK1" s="135"/>
      <c r="SL1" s="135"/>
      <c r="SM1" s="135"/>
      <c r="SN1" s="135"/>
      <c r="SO1" s="135"/>
      <c r="SP1" s="135"/>
      <c r="SQ1" s="135"/>
      <c r="SR1" s="135"/>
      <c r="SS1" s="135"/>
      <c r="ST1" s="135"/>
      <c r="SU1" s="135"/>
      <c r="SV1" s="135"/>
      <c r="SW1" s="135"/>
      <c r="SX1" s="135"/>
      <c r="SY1" s="135"/>
      <c r="SZ1" s="135"/>
      <c r="TA1" s="135"/>
      <c r="TB1" s="135"/>
      <c r="TC1" s="135"/>
      <c r="TD1" s="135"/>
      <c r="TE1" s="135"/>
      <c r="TF1" s="135"/>
      <c r="TG1" s="135"/>
      <c r="TH1" s="135"/>
      <c r="TI1" s="135"/>
      <c r="TJ1" s="135"/>
      <c r="TK1" s="135"/>
      <c r="TL1" s="135"/>
      <c r="TM1" s="135"/>
      <c r="TN1" s="135"/>
      <c r="TO1" s="135"/>
      <c r="TP1" s="135"/>
      <c r="TQ1" s="135"/>
      <c r="TR1" s="135"/>
      <c r="TS1" s="135"/>
      <c r="TT1" s="135"/>
      <c r="TU1" s="135"/>
      <c r="TV1" s="135"/>
      <c r="TW1" s="135"/>
      <c r="TX1" s="135"/>
      <c r="TY1" s="135"/>
      <c r="TZ1" s="135"/>
      <c r="UA1" s="135"/>
      <c r="UB1" s="135"/>
      <c r="UC1" s="135"/>
      <c r="UD1" s="135"/>
      <c r="UE1" s="135"/>
      <c r="UF1" s="135"/>
      <c r="UG1" s="135"/>
      <c r="UH1" s="135"/>
      <c r="UI1" s="135"/>
      <c r="UJ1" s="135"/>
      <c r="UK1" s="135"/>
      <c r="UL1" s="135"/>
      <c r="UM1" s="135"/>
      <c r="UN1" s="135"/>
      <c r="UO1" s="135"/>
      <c r="UP1" s="135"/>
      <c r="UQ1" s="135"/>
      <c r="UR1" s="135"/>
      <c r="US1" s="135"/>
      <c r="UT1" s="135"/>
      <c r="UU1" s="135"/>
      <c r="UV1" s="135"/>
      <c r="UW1" s="135"/>
      <c r="UX1" s="135"/>
      <c r="UY1" s="135"/>
      <c r="UZ1" s="135"/>
      <c r="VA1" s="135"/>
      <c r="VB1" s="135"/>
      <c r="VC1" s="135"/>
      <c r="VD1" s="135"/>
      <c r="VE1" s="135"/>
      <c r="VF1" s="135"/>
      <c r="VG1" s="135"/>
      <c r="VH1" s="135"/>
      <c r="VI1" s="135"/>
      <c r="VJ1" s="135"/>
      <c r="VK1" s="135"/>
      <c r="VL1" s="135"/>
      <c r="VM1" s="135"/>
      <c r="VN1" s="135"/>
      <c r="VO1" s="135"/>
      <c r="VP1" s="135"/>
      <c r="VQ1" s="135"/>
      <c r="VR1" s="135"/>
      <c r="VS1" s="135"/>
      <c r="VT1" s="135"/>
      <c r="VU1" s="135"/>
      <c r="VV1" s="135"/>
      <c r="VW1" s="135"/>
      <c r="VX1" s="135"/>
      <c r="VY1" s="135"/>
      <c r="VZ1" s="135"/>
      <c r="WA1" s="135"/>
      <c r="WB1" s="135"/>
      <c r="WC1" s="135"/>
      <c r="WD1" s="135"/>
      <c r="WE1" s="135"/>
      <c r="WF1" s="135"/>
      <c r="WG1" s="135"/>
      <c r="WH1" s="135"/>
      <c r="WI1" s="135"/>
      <c r="WJ1" s="135"/>
      <c r="WK1" s="135"/>
      <c r="WL1" s="135"/>
      <c r="WM1" s="135"/>
      <c r="WN1" s="135"/>
      <c r="WO1" s="135"/>
      <c r="WP1" s="135"/>
      <c r="WQ1" s="135"/>
      <c r="WR1" s="135"/>
      <c r="WS1" s="135"/>
      <c r="WT1" s="135"/>
      <c r="WU1" s="135"/>
      <c r="WV1" s="135"/>
      <c r="WW1" s="135"/>
      <c r="WX1" s="135"/>
      <c r="WY1" s="135"/>
      <c r="WZ1" s="135"/>
      <c r="XA1" s="135"/>
      <c r="XB1" s="135"/>
      <c r="XC1" s="135"/>
      <c r="XD1" s="135"/>
      <c r="XE1" s="135"/>
      <c r="XF1" s="135"/>
      <c r="XG1" s="135"/>
      <c r="XH1" s="135"/>
      <c r="XI1" s="135"/>
      <c r="XJ1" s="135"/>
      <c r="XK1" s="135"/>
      <c r="XL1" s="135"/>
      <c r="XM1" s="135"/>
      <c r="XN1" s="135"/>
      <c r="XO1" s="135"/>
      <c r="XP1" s="135"/>
      <c r="XQ1" s="135"/>
      <c r="XR1" s="135"/>
      <c r="XS1" s="135"/>
      <c r="XT1" s="135"/>
      <c r="XU1" s="135"/>
      <c r="XV1" s="135"/>
      <c r="XW1" s="135"/>
      <c r="XX1" s="135"/>
      <c r="XY1" s="135"/>
      <c r="XZ1" s="135"/>
      <c r="YA1" s="135"/>
      <c r="YB1" s="135"/>
      <c r="YC1" s="135"/>
      <c r="YD1" s="135"/>
      <c r="YE1" s="135"/>
      <c r="YF1" s="135"/>
      <c r="YG1" s="135"/>
      <c r="YH1" s="135"/>
      <c r="YI1" s="135"/>
      <c r="YJ1" s="135"/>
      <c r="YK1" s="135"/>
      <c r="YL1" s="135"/>
      <c r="YM1" s="135"/>
      <c r="YN1" s="135"/>
      <c r="YO1" s="135"/>
      <c r="YP1" s="135"/>
      <c r="YQ1" s="135"/>
      <c r="YR1" s="135"/>
      <c r="YS1" s="135"/>
      <c r="YT1" s="135"/>
      <c r="YU1" s="135"/>
      <c r="YV1" s="135"/>
      <c r="YW1" s="135"/>
      <c r="YX1" s="135"/>
      <c r="YY1" s="135"/>
      <c r="YZ1" s="135"/>
      <c r="ZA1" s="135"/>
      <c r="ZB1" s="135"/>
      <c r="ZC1" s="135"/>
      <c r="ZD1" s="135"/>
      <c r="ZE1" s="135"/>
      <c r="ZF1" s="135"/>
      <c r="ZG1" s="135"/>
      <c r="ZH1" s="135"/>
      <c r="ZI1" s="135"/>
      <c r="ZJ1" s="135"/>
      <c r="ZK1" s="135"/>
      <c r="ZL1" s="135"/>
      <c r="ZM1" s="135"/>
      <c r="ZN1" s="135"/>
      <c r="ZO1" s="135"/>
      <c r="ZP1" s="135"/>
      <c r="ZQ1" s="135"/>
      <c r="ZR1" s="135"/>
      <c r="ZS1" s="135"/>
      <c r="ZT1" s="135"/>
      <c r="ZU1" s="135"/>
      <c r="ZV1" s="135"/>
      <c r="ZW1" s="135"/>
      <c r="ZX1" s="135"/>
      <c r="ZY1" s="135"/>
      <c r="ZZ1" s="135"/>
      <c r="AAA1" s="135"/>
      <c r="AAB1" s="135"/>
      <c r="AAC1" s="135"/>
      <c r="AAD1" s="135"/>
      <c r="AAE1" s="135"/>
      <c r="AAF1" s="135"/>
      <c r="AAG1" s="135"/>
      <c r="AAH1" s="135"/>
      <c r="AAI1" s="135"/>
      <c r="AAJ1" s="135"/>
      <c r="AAK1" s="135"/>
      <c r="AAL1" s="135"/>
      <c r="AAM1" s="135"/>
      <c r="AAN1" s="135"/>
      <c r="AAO1" s="135"/>
      <c r="AAP1" s="135"/>
      <c r="AAQ1" s="135"/>
      <c r="AAR1" s="135"/>
      <c r="AAS1" s="135"/>
      <c r="AAT1" s="135"/>
      <c r="AAU1" s="135"/>
      <c r="AAV1" s="135"/>
      <c r="AAW1" s="135"/>
      <c r="AAX1" s="135"/>
      <c r="AAY1" s="135"/>
      <c r="AAZ1" s="135"/>
      <c r="ABA1" s="135"/>
      <c r="ABB1" s="135"/>
      <c r="ABC1" s="135"/>
      <c r="ABD1" s="135"/>
      <c r="ABE1" s="135"/>
      <c r="ABF1" s="135"/>
      <c r="ABG1" s="135"/>
      <c r="ABH1" s="135"/>
      <c r="ABI1" s="135"/>
      <c r="ABJ1" s="135"/>
      <c r="ABK1" s="135"/>
      <c r="ABL1" s="135"/>
      <c r="ABM1" s="135"/>
      <c r="ABN1" s="135"/>
      <c r="ABO1" s="135"/>
      <c r="ABP1" s="135"/>
      <c r="ABQ1" s="135"/>
      <c r="ABR1" s="135"/>
      <c r="ABS1" s="135"/>
      <c r="ABT1" s="135"/>
      <c r="ABU1" s="135"/>
      <c r="ABV1" s="135"/>
      <c r="ABW1" s="135"/>
      <c r="ABX1" s="135"/>
      <c r="ABY1" s="135"/>
      <c r="ABZ1" s="135"/>
      <c r="ACA1" s="135"/>
      <c r="ACB1" s="135"/>
      <c r="ACC1" s="135"/>
      <c r="ACD1" s="135"/>
      <c r="ACE1" s="135"/>
      <c r="ACF1" s="135"/>
      <c r="ACG1" s="135"/>
      <c r="ACH1" s="135"/>
      <c r="ACI1" s="135"/>
      <c r="ACJ1" s="135"/>
      <c r="ACK1" s="135"/>
      <c r="ACL1" s="135"/>
      <c r="ACM1" s="135"/>
      <c r="ACN1" s="135"/>
      <c r="ACO1" s="135"/>
      <c r="ACP1" s="135"/>
      <c r="ACQ1" s="135"/>
      <c r="ACR1" s="135"/>
      <c r="ACS1" s="135"/>
      <c r="ACT1" s="135"/>
      <c r="ACU1" s="135"/>
      <c r="ACV1" s="135"/>
      <c r="ACW1" s="135"/>
      <c r="ACX1" s="135"/>
      <c r="ACY1" s="135"/>
      <c r="ACZ1" s="135"/>
      <c r="ADA1" s="135"/>
      <c r="ADB1" s="135"/>
      <c r="ADC1" s="135"/>
      <c r="ADD1" s="135"/>
      <c r="ADE1" s="135"/>
      <c r="ADF1" s="135"/>
      <c r="ADG1" s="135"/>
      <c r="ADH1" s="135"/>
      <c r="ADI1" s="135"/>
      <c r="ADJ1" s="135"/>
      <c r="ADK1" s="135"/>
      <c r="ADL1" s="135"/>
      <c r="ADM1" s="135"/>
      <c r="ADN1" s="135"/>
      <c r="ADO1" s="135"/>
      <c r="ADP1" s="135"/>
      <c r="ADQ1" s="135"/>
      <c r="ADR1" s="135"/>
      <c r="ADS1" s="135"/>
      <c r="ADT1" s="135"/>
      <c r="ADU1" s="135"/>
      <c r="ADV1" s="135"/>
      <c r="ADW1" s="135"/>
      <c r="ADX1" s="135"/>
      <c r="ADY1" s="135"/>
      <c r="ADZ1" s="135"/>
      <c r="AEA1" s="135"/>
      <c r="AEB1" s="135"/>
      <c r="AEC1" s="135"/>
      <c r="AED1" s="135"/>
      <c r="AEE1" s="135"/>
      <c r="AEF1" s="135"/>
      <c r="AEG1" s="135"/>
      <c r="AEH1" s="135"/>
      <c r="AEI1" s="135"/>
      <c r="AEJ1" s="135"/>
      <c r="AEK1" s="135"/>
      <c r="AEL1" s="135"/>
      <c r="AEM1" s="135"/>
      <c r="AEN1" s="135"/>
      <c r="AEO1" s="135"/>
      <c r="AEP1" s="135"/>
      <c r="AEQ1" s="135"/>
      <c r="AER1" s="135"/>
      <c r="AES1" s="135"/>
      <c r="AET1" s="135"/>
      <c r="AEU1" s="135"/>
      <c r="AEV1" s="135"/>
      <c r="AEW1" s="135"/>
      <c r="AEX1" s="135"/>
      <c r="AEY1" s="135"/>
      <c r="AEZ1" s="135"/>
      <c r="AFA1" s="135"/>
      <c r="AFB1" s="135"/>
      <c r="AFC1" s="135"/>
      <c r="AFD1" s="135"/>
      <c r="AFE1" s="135"/>
      <c r="AFF1" s="135"/>
      <c r="AFG1" s="135"/>
      <c r="AFH1" s="135"/>
      <c r="AFI1" s="135"/>
      <c r="AFJ1" s="135"/>
      <c r="AFK1" s="135"/>
      <c r="AFL1" s="135"/>
      <c r="AFM1" s="135"/>
      <c r="AFN1" s="135"/>
      <c r="AFO1" s="135"/>
      <c r="AFP1" s="135"/>
      <c r="AFQ1" s="135"/>
      <c r="AFR1" s="135"/>
      <c r="AFS1" s="135"/>
      <c r="AFT1" s="135"/>
      <c r="AFU1" s="135"/>
      <c r="AFV1" s="135"/>
      <c r="AFW1" s="135"/>
      <c r="AFX1" s="135"/>
      <c r="AFY1" s="135"/>
      <c r="AFZ1" s="135"/>
      <c r="AGA1" s="135"/>
      <c r="AGB1" s="135"/>
      <c r="AGC1" s="135"/>
      <c r="AGD1" s="135"/>
      <c r="AGE1" s="135"/>
      <c r="AGF1" s="135"/>
      <c r="AGG1" s="135"/>
      <c r="AGH1" s="135"/>
      <c r="AGI1" s="135"/>
      <c r="AGJ1" s="135"/>
      <c r="AGK1" s="135"/>
      <c r="AGL1" s="135"/>
      <c r="AGM1" s="135"/>
      <c r="AGN1" s="135"/>
      <c r="AGO1" s="135"/>
      <c r="AGP1" s="135"/>
      <c r="AGQ1" s="135"/>
      <c r="AGR1" s="135"/>
      <c r="AGS1" s="135"/>
      <c r="AGT1" s="135"/>
      <c r="AGU1" s="135"/>
      <c r="AGV1" s="135"/>
      <c r="AGW1" s="135"/>
      <c r="AGX1" s="135"/>
      <c r="AGY1" s="135"/>
      <c r="AGZ1" s="135"/>
      <c r="AHA1" s="135"/>
      <c r="AHB1" s="135"/>
      <c r="AHC1" s="135"/>
      <c r="AHD1" s="135"/>
      <c r="AHE1" s="135"/>
      <c r="AHF1" s="135"/>
      <c r="AHG1" s="135"/>
      <c r="AHH1" s="135"/>
      <c r="AHI1" s="135"/>
      <c r="AHJ1" s="135"/>
      <c r="AHK1" s="135"/>
      <c r="AHL1" s="135"/>
      <c r="AHM1" s="135"/>
      <c r="AHN1" s="135"/>
      <c r="AHO1" s="135"/>
      <c r="AHP1" s="135"/>
      <c r="AHQ1" s="135"/>
      <c r="AHR1" s="135"/>
      <c r="AHS1" s="135"/>
      <c r="AHT1" s="135"/>
      <c r="AHU1" s="135"/>
      <c r="AHV1" s="135"/>
      <c r="AHW1" s="135"/>
      <c r="AHX1" s="135"/>
      <c r="AHY1" s="135"/>
      <c r="AHZ1" s="135"/>
      <c r="AIA1" s="135"/>
      <c r="AIB1" s="135"/>
      <c r="AIC1" s="135"/>
      <c r="AID1" s="135"/>
      <c r="AIE1" s="135"/>
      <c r="AIF1" s="135"/>
      <c r="AIG1" s="135"/>
      <c r="AIH1" s="135"/>
      <c r="AII1" s="135"/>
      <c r="AIJ1" s="135"/>
      <c r="AIK1" s="135"/>
      <c r="AIL1" s="135"/>
      <c r="AIM1" s="135"/>
      <c r="AIN1" s="135"/>
      <c r="AIO1" s="135"/>
      <c r="AIP1" s="135"/>
      <c r="AIQ1" s="135"/>
      <c r="AIR1" s="135"/>
      <c r="AIS1" s="135"/>
      <c r="AIT1" s="135"/>
      <c r="AIU1" s="135"/>
      <c r="AIV1" s="135"/>
      <c r="AIW1" s="135"/>
      <c r="AIX1" s="135"/>
      <c r="AIY1" s="135"/>
      <c r="AIZ1" s="135"/>
      <c r="AJA1" s="135"/>
      <c r="AJB1" s="135"/>
      <c r="AJC1" s="135"/>
      <c r="AJD1" s="135"/>
      <c r="AJE1" s="135"/>
      <c r="AJF1" s="135"/>
      <c r="AJG1" s="135"/>
      <c r="AJH1" s="135"/>
      <c r="AJI1" s="135"/>
      <c r="AJJ1" s="135"/>
      <c r="AJK1" s="135"/>
      <c r="AJL1" s="135"/>
      <c r="AJM1" s="135"/>
      <c r="AJN1" s="135"/>
      <c r="AJO1" s="135"/>
      <c r="AJP1" s="135"/>
      <c r="AJQ1" s="135"/>
      <c r="AJR1" s="135"/>
      <c r="AJS1" s="135"/>
      <c r="AJT1" s="135"/>
      <c r="AJU1" s="135"/>
      <c r="AJV1" s="135"/>
      <c r="AJW1" s="135"/>
      <c r="AJX1" s="135"/>
      <c r="AJY1" s="135"/>
      <c r="AJZ1" s="135"/>
      <c r="AKA1" s="135"/>
      <c r="AKB1" s="135"/>
      <c r="AKC1" s="135"/>
      <c r="AKD1" s="135"/>
      <c r="AKE1" s="135"/>
      <c r="AKF1" s="135"/>
      <c r="AKG1" s="135"/>
      <c r="AKH1" s="135"/>
      <c r="AKI1" s="135"/>
      <c r="AKJ1" s="135"/>
      <c r="AKK1" s="135"/>
      <c r="AKL1" s="135"/>
      <c r="AKM1" s="135"/>
      <c r="AKN1" s="135"/>
      <c r="AKO1" s="135"/>
      <c r="AKP1" s="135"/>
      <c r="AKQ1" s="135"/>
      <c r="AKR1" s="135"/>
      <c r="AKS1" s="135"/>
      <c r="AKT1" s="135"/>
      <c r="AKU1" s="135"/>
      <c r="AKV1" s="135"/>
      <c r="AKW1" s="135"/>
      <c r="AKX1" s="135"/>
      <c r="AKY1" s="135"/>
      <c r="AKZ1" s="135"/>
      <c r="ALA1" s="135"/>
      <c r="ALB1" s="135"/>
      <c r="ALC1" s="135"/>
      <c r="ALD1" s="135"/>
      <c r="ALE1" s="135"/>
      <c r="ALF1" s="135"/>
      <c r="ALG1" s="135"/>
      <c r="ALH1" s="135"/>
      <c r="ALI1" s="135"/>
      <c r="ALJ1" s="135"/>
      <c r="ALK1" s="135"/>
      <c r="ALL1" s="135"/>
      <c r="ALM1" s="135"/>
      <c r="ALN1" s="135"/>
      <c r="ALO1" s="135"/>
      <c r="ALP1" s="135"/>
      <c r="ALQ1" s="135"/>
      <c r="ALR1" s="135"/>
      <c r="ALS1" s="135"/>
      <c r="ALT1" s="135"/>
      <c r="ALU1" s="135"/>
      <c r="ALV1" s="135"/>
      <c r="ALW1" s="135"/>
      <c r="ALX1" s="135"/>
      <c r="ALY1" s="135"/>
      <c r="ALZ1" s="135"/>
      <c r="AMA1" s="135"/>
      <c r="AMB1" s="135"/>
      <c r="AMC1" s="135"/>
      <c r="AMD1" s="135"/>
      <c r="AME1" s="135"/>
      <c r="AMF1" s="135"/>
      <c r="AMG1" s="135"/>
      <c r="AMH1" s="135"/>
      <c r="AMI1" s="135"/>
      <c r="AMJ1" s="135"/>
    </row>
    <row r="2" spans="1:1024" ht="13.5" customHeight="1" x14ac:dyDescent="0.35">
      <c r="A2" s="136" t="s">
        <v>27</v>
      </c>
      <c r="B2" s="137">
        <v>46097</v>
      </c>
      <c r="C2" s="136">
        <v>1</v>
      </c>
      <c r="L2" s="136">
        <v>0</v>
      </c>
      <c r="M2" s="136">
        <v>0</v>
      </c>
      <c r="N2" s="136">
        <v>0</v>
      </c>
      <c r="O2" s="136">
        <f t="shared" ref="O2:O65" si="0">MAX($A$35)/2</f>
        <v>429.875</v>
      </c>
    </row>
    <row r="3" spans="1:1024" x14ac:dyDescent="0.35">
      <c r="A3" s="136" t="s">
        <v>28</v>
      </c>
      <c r="B3" s="138" t="s">
        <v>29</v>
      </c>
      <c r="H3" s="136" t="s">
        <v>253</v>
      </c>
      <c r="L3" s="136">
        <v>1</v>
      </c>
      <c r="M3" s="136">
        <v>0</v>
      </c>
      <c r="N3" s="136">
        <v>0</v>
      </c>
      <c r="O3" s="136">
        <f t="shared" si="0"/>
        <v>429.875</v>
      </c>
    </row>
    <row r="4" spans="1:1024" x14ac:dyDescent="0.35">
      <c r="A4" s="136" t="s">
        <v>41</v>
      </c>
      <c r="B4" s="138" t="s">
        <v>24</v>
      </c>
      <c r="H4" s="138" t="s">
        <v>254</v>
      </c>
      <c r="I4" s="136" t="s">
        <v>308</v>
      </c>
      <c r="L4" s="136">
        <v>2</v>
      </c>
      <c r="M4" s="136">
        <v>0</v>
      </c>
      <c r="N4" s="136">
        <v>0</v>
      </c>
      <c r="O4" s="136">
        <f t="shared" si="0"/>
        <v>429.875</v>
      </c>
    </row>
    <row r="5" spans="1:1024" x14ac:dyDescent="0.35">
      <c r="A5" s="136" t="s">
        <v>298</v>
      </c>
      <c r="B5" s="136">
        <v>5.12</v>
      </c>
      <c r="H5" s="141">
        <v>6.9000000000000006E-2</v>
      </c>
      <c r="I5" s="136" t="s">
        <v>134</v>
      </c>
      <c r="L5" s="136">
        <v>3</v>
      </c>
      <c r="M5" s="136">
        <v>0</v>
      </c>
      <c r="N5" s="136">
        <f t="shared" ref="N5:N68" si="1">AVERAGE(M2:M9)</f>
        <v>0</v>
      </c>
      <c r="O5" s="136">
        <f t="shared" si="0"/>
        <v>429.875</v>
      </c>
    </row>
    <row r="6" spans="1:1024" x14ac:dyDescent="0.35">
      <c r="A6" s="139" t="s">
        <v>299</v>
      </c>
      <c r="B6" s="140">
        <v>2000</v>
      </c>
      <c r="C6" s="139"/>
      <c r="H6" s="136" t="s">
        <v>255</v>
      </c>
      <c r="L6" s="136">
        <v>4</v>
      </c>
      <c r="M6" s="136">
        <v>0</v>
      </c>
      <c r="N6" s="136">
        <f t="shared" si="1"/>
        <v>0</v>
      </c>
      <c r="O6" s="136">
        <f t="shared" si="0"/>
        <v>429.875</v>
      </c>
    </row>
    <row r="7" spans="1:1024" x14ac:dyDescent="0.35">
      <c r="A7" s="139"/>
      <c r="B7" s="139"/>
      <c r="C7" s="139"/>
      <c r="L7" s="136">
        <v>5</v>
      </c>
      <c r="M7" s="136">
        <v>0</v>
      </c>
      <c r="N7" s="136">
        <f t="shared" si="1"/>
        <v>0</v>
      </c>
      <c r="O7" s="136">
        <f t="shared" si="0"/>
        <v>429.875</v>
      </c>
      <c r="Q7" s="136" t="s">
        <v>344</v>
      </c>
    </row>
    <row r="8" spans="1:1024" ht="13.9" x14ac:dyDescent="0.4">
      <c r="A8" s="97">
        <v>10.199999999999999</v>
      </c>
      <c r="B8" s="95" t="s">
        <v>196</v>
      </c>
      <c r="C8" s="95" t="s">
        <v>197</v>
      </c>
      <c r="D8" s="36"/>
      <c r="E8" s="85"/>
      <c r="G8" s="154"/>
      <c r="H8" s="155"/>
      <c r="I8" s="156" t="s">
        <v>333</v>
      </c>
      <c r="L8" s="136">
        <v>6</v>
      </c>
      <c r="M8" s="136">
        <v>0</v>
      </c>
      <c r="N8" s="136">
        <f t="shared" si="1"/>
        <v>0</v>
      </c>
      <c r="O8" s="136">
        <f t="shared" si="0"/>
        <v>429.875</v>
      </c>
    </row>
    <row r="9" spans="1:1024" x14ac:dyDescent="0.35">
      <c r="A9" s="98">
        <f>(4/3)*(3.1415936)*((A8*0.000001/2)^3)</f>
        <v>5.5564737684479979E-16</v>
      </c>
      <c r="B9" s="26" t="s">
        <v>198</v>
      </c>
      <c r="C9" s="26" t="s">
        <v>199</v>
      </c>
      <c r="D9"/>
      <c r="E9" s="45"/>
      <c r="G9" s="159"/>
      <c r="H9" s="160" t="s">
        <v>328</v>
      </c>
      <c r="I9" s="157">
        <v>2000</v>
      </c>
      <c r="L9" s="136">
        <v>7</v>
      </c>
      <c r="M9" s="136">
        <v>0</v>
      </c>
      <c r="N9" s="136">
        <f t="shared" si="1"/>
        <v>0</v>
      </c>
      <c r="O9" s="136">
        <f t="shared" si="0"/>
        <v>429.875</v>
      </c>
      <c r="Q9" s="136" t="s">
        <v>341</v>
      </c>
      <c r="R9" s="136">
        <v>10</v>
      </c>
      <c r="S9" s="136">
        <v>20</v>
      </c>
      <c r="T9" s="136">
        <v>30</v>
      </c>
      <c r="U9" s="136">
        <v>40</v>
      </c>
    </row>
    <row r="10" spans="1:1024" x14ac:dyDescent="0.35">
      <c r="A10" s="98">
        <f>A9*1.05*1000</f>
        <v>5.8342974568703982E-13</v>
      </c>
      <c r="B10" s="26" t="s">
        <v>200</v>
      </c>
      <c r="C10" s="26" t="s">
        <v>201</v>
      </c>
      <c r="D10"/>
      <c r="E10" s="45"/>
      <c r="G10" s="159"/>
      <c r="H10" s="170" t="s">
        <v>323</v>
      </c>
      <c r="I10" s="171">
        <v>0.86799999999999999</v>
      </c>
      <c r="L10" s="136">
        <v>8</v>
      </c>
      <c r="M10" s="136">
        <v>0</v>
      </c>
      <c r="N10" s="136">
        <f t="shared" si="1"/>
        <v>0</v>
      </c>
      <c r="O10" s="136">
        <f t="shared" si="0"/>
        <v>429.875</v>
      </c>
      <c r="Q10" s="136" t="s">
        <v>343</v>
      </c>
    </row>
    <row r="11" spans="1:1024" x14ac:dyDescent="0.35">
      <c r="A11" s="98">
        <f>0.000001/A10</f>
        <v>1714002.4268430332</v>
      </c>
      <c r="B11" s="26" t="s">
        <v>202</v>
      </c>
      <c r="C11" s="26" t="s">
        <v>203</v>
      </c>
      <c r="D11"/>
      <c r="E11" s="45"/>
      <c r="G11" s="159"/>
      <c r="H11" s="161" t="s">
        <v>326</v>
      </c>
      <c r="I11" s="158">
        <v>20000</v>
      </c>
      <c r="L11" s="136">
        <v>9</v>
      </c>
      <c r="M11" s="136">
        <v>0</v>
      </c>
      <c r="N11" s="136">
        <f t="shared" si="1"/>
        <v>0</v>
      </c>
      <c r="O11" s="136">
        <f t="shared" si="0"/>
        <v>429.875</v>
      </c>
      <c r="Q11" s="136" t="s">
        <v>342</v>
      </c>
      <c r="R11" s="178"/>
      <c r="S11" s="178"/>
      <c r="T11" s="178"/>
      <c r="U11" s="178"/>
    </row>
    <row r="12" spans="1:1024" ht="13.9" x14ac:dyDescent="0.4">
      <c r="A12" s="100">
        <v>2000</v>
      </c>
      <c r="B12" s="26"/>
      <c r="C12" s="26" t="s">
        <v>204</v>
      </c>
      <c r="D12"/>
      <c r="E12" s="45"/>
      <c r="G12" s="159"/>
      <c r="H12" s="172" t="s">
        <v>190</v>
      </c>
      <c r="I12" s="173">
        <f>I9/I11</f>
        <v>0.1</v>
      </c>
      <c r="L12" s="136">
        <v>10</v>
      </c>
      <c r="M12" s="136">
        <v>0</v>
      </c>
      <c r="N12" s="136">
        <f t="shared" si="1"/>
        <v>0</v>
      </c>
      <c r="O12" s="136">
        <f t="shared" si="0"/>
        <v>429.875</v>
      </c>
      <c r="R12" s="266"/>
      <c r="S12" s="266"/>
      <c r="T12" s="266"/>
      <c r="U12" s="266"/>
      <c r="V12" s="266"/>
      <c r="W12" s="266"/>
    </row>
    <row r="13" spans="1:1024" ht="13.5" customHeight="1" x14ac:dyDescent="0.35">
      <c r="A13" s="101">
        <f>A12/A11*1000</f>
        <v>1.1668594913740797</v>
      </c>
      <c r="B13" s="26" t="s">
        <v>70</v>
      </c>
      <c r="C13" s="26" t="s">
        <v>205</v>
      </c>
      <c r="D13"/>
      <c r="E13" s="45"/>
      <c r="G13" s="159"/>
      <c r="H13" s="172" t="s">
        <v>335</v>
      </c>
      <c r="I13" s="173">
        <f>(1-I12)/I12</f>
        <v>9</v>
      </c>
      <c r="L13" s="136">
        <v>11</v>
      </c>
      <c r="M13" s="136">
        <v>0</v>
      </c>
      <c r="N13" s="136">
        <f t="shared" si="1"/>
        <v>0</v>
      </c>
      <c r="O13" s="136">
        <f t="shared" si="0"/>
        <v>429.875</v>
      </c>
    </row>
    <row r="14" spans="1:1024" ht="13.9" customHeight="1" x14ac:dyDescent="0.4">
      <c r="A14" s="100">
        <v>0.5</v>
      </c>
      <c r="B14" s="26" t="s">
        <v>206</v>
      </c>
      <c r="C14" s="26" t="s">
        <v>207</v>
      </c>
      <c r="D14"/>
      <c r="E14" s="45"/>
      <c r="G14" s="159"/>
      <c r="H14" s="161" t="s">
        <v>322</v>
      </c>
      <c r="I14" s="44" t="s">
        <v>325</v>
      </c>
      <c r="L14" s="136">
        <v>12</v>
      </c>
      <c r="M14" s="136">
        <v>0</v>
      </c>
      <c r="N14" s="136">
        <f t="shared" si="1"/>
        <v>0</v>
      </c>
      <c r="O14" s="136">
        <f t="shared" si="0"/>
        <v>429.875</v>
      </c>
    </row>
    <row r="15" spans="1:1024" ht="13.5" customHeight="1" x14ac:dyDescent="0.35">
      <c r="A15" s="179">
        <f>A14*A13</f>
        <v>0.58342974568703987</v>
      </c>
      <c r="B15" s="26" t="s">
        <v>67</v>
      </c>
      <c r="C15" s="26" t="s">
        <v>208</v>
      </c>
      <c r="D15"/>
      <c r="E15" s="45"/>
      <c r="G15" s="159"/>
      <c r="H15" s="172" t="s">
        <v>327</v>
      </c>
      <c r="I15" s="174">
        <v>100</v>
      </c>
      <c r="L15" s="136">
        <v>13</v>
      </c>
      <c r="M15" s="136">
        <v>0</v>
      </c>
      <c r="N15" s="136">
        <f t="shared" si="1"/>
        <v>0</v>
      </c>
      <c r="O15" s="136">
        <f t="shared" si="0"/>
        <v>429.875</v>
      </c>
    </row>
    <row r="16" spans="1:1024" ht="13.9" customHeight="1" x14ac:dyDescent="0.4">
      <c r="A16" s="180">
        <v>0.58340000000000003</v>
      </c>
      <c r="B16" s="26" t="s">
        <v>67</v>
      </c>
      <c r="C16" s="26" t="s">
        <v>209</v>
      </c>
      <c r="D16"/>
      <c r="E16" s="45"/>
      <c r="G16" s="159"/>
      <c r="H16" s="172" t="s">
        <v>336</v>
      </c>
      <c r="I16" s="175">
        <f>I15*I10</f>
        <v>86.8</v>
      </c>
      <c r="L16" s="136">
        <v>14</v>
      </c>
      <c r="M16" s="136">
        <v>0</v>
      </c>
      <c r="N16" s="136">
        <f t="shared" si="1"/>
        <v>0</v>
      </c>
      <c r="O16" s="136">
        <f t="shared" si="0"/>
        <v>429.875</v>
      </c>
    </row>
    <row r="17" spans="1:15" ht="13.9" customHeight="1" x14ac:dyDescent="0.4">
      <c r="A17" s="102">
        <f>A16/A15*A12</f>
        <v>1999.8980316404511</v>
      </c>
      <c r="B17" s="26" t="s">
        <v>210</v>
      </c>
      <c r="C17" s="26" t="s">
        <v>311</v>
      </c>
      <c r="D17"/>
      <c r="E17" s="45"/>
      <c r="G17" s="159"/>
      <c r="H17" s="160" t="s">
        <v>329</v>
      </c>
      <c r="I17" s="168">
        <f>I9/I11*I16</f>
        <v>8.68</v>
      </c>
      <c r="L17" s="136">
        <v>15</v>
      </c>
      <c r="M17" s="136">
        <v>0</v>
      </c>
      <c r="N17" s="136">
        <f t="shared" si="1"/>
        <v>0</v>
      </c>
      <c r="O17" s="136">
        <f t="shared" si="0"/>
        <v>429.875</v>
      </c>
    </row>
    <row r="18" spans="1:15" ht="13.5" customHeight="1" x14ac:dyDescent="0.35">
      <c r="A18" s="103">
        <f>A16*A11</f>
        <v>999949.01582022558</v>
      </c>
      <c r="B18"/>
      <c r="C18" t="s">
        <v>212</v>
      </c>
      <c r="D18"/>
      <c r="E18" s="45"/>
      <c r="G18" s="163"/>
      <c r="H18" s="160" t="s">
        <v>334</v>
      </c>
      <c r="I18" s="169">
        <v>8.76</v>
      </c>
      <c r="L18" s="136">
        <v>16</v>
      </c>
      <c r="M18" s="136">
        <v>0</v>
      </c>
      <c r="N18" s="136">
        <f t="shared" si="1"/>
        <v>0</v>
      </c>
      <c r="O18" s="136">
        <f t="shared" si="0"/>
        <v>429.875</v>
      </c>
    </row>
    <row r="19" spans="1:15" ht="13.9" customHeight="1" x14ac:dyDescent="0.4">
      <c r="A19" s="103">
        <f>A17/A12*A14*1000</f>
        <v>499.97450791011278</v>
      </c>
      <c r="B19" t="s">
        <v>52</v>
      </c>
      <c r="C19" t="s">
        <v>213</v>
      </c>
      <c r="D19"/>
      <c r="E19" s="45"/>
      <c r="G19" s="164"/>
      <c r="H19" s="162" t="s">
        <v>330</v>
      </c>
      <c r="I19" s="167">
        <f>I18*I13</f>
        <v>78.84</v>
      </c>
      <c r="L19" s="136">
        <v>17</v>
      </c>
      <c r="M19" s="136">
        <v>0</v>
      </c>
      <c r="N19" s="136">
        <f t="shared" si="1"/>
        <v>0</v>
      </c>
      <c r="O19" s="136">
        <f t="shared" si="0"/>
        <v>429.875</v>
      </c>
    </row>
    <row r="20" spans="1:15" ht="13.5" customHeight="1" x14ac:dyDescent="0.35">
      <c r="A20" s="103">
        <f>A19-A14*1000</f>
        <v>-2.5492089887222846E-2</v>
      </c>
      <c r="B20" t="s">
        <v>52</v>
      </c>
      <c r="C20" t="s">
        <v>214</v>
      </c>
      <c r="D20"/>
      <c r="E20" s="45"/>
      <c r="G20" s="163"/>
      <c r="L20" s="136">
        <v>18</v>
      </c>
      <c r="M20" s="136">
        <v>0</v>
      </c>
      <c r="N20" s="136">
        <f t="shared" si="1"/>
        <v>0</v>
      </c>
      <c r="O20" s="136">
        <f t="shared" si="0"/>
        <v>429.875</v>
      </c>
    </row>
    <row r="21" spans="1:15" ht="13.9" customHeight="1" x14ac:dyDescent="0.4">
      <c r="A21" s="177">
        <f>A17</f>
        <v>1999.8980316404511</v>
      </c>
      <c r="B21" t="s">
        <v>37</v>
      </c>
      <c r="C21" t="s">
        <v>312</v>
      </c>
      <c r="D21"/>
      <c r="E21" s="45"/>
      <c r="G21" s="163"/>
      <c r="H21" s="172" t="s">
        <v>337</v>
      </c>
      <c r="I21" s="176">
        <f>(I18+I19)/I10</f>
        <v>100.92165898617513</v>
      </c>
      <c r="L21" s="136">
        <v>19</v>
      </c>
      <c r="M21" s="136">
        <v>0</v>
      </c>
      <c r="N21" s="136">
        <f t="shared" si="1"/>
        <v>0</v>
      </c>
      <c r="O21" s="136">
        <f t="shared" si="0"/>
        <v>429.875</v>
      </c>
    </row>
    <row r="22" spans="1:15" ht="13.5" customHeight="1" x14ac:dyDescent="0.35">
      <c r="A22" s="38"/>
      <c r="B22"/>
      <c r="C22"/>
      <c r="D22"/>
      <c r="E22" s="45"/>
      <c r="G22" s="163"/>
      <c r="H22" s="160" t="s">
        <v>331</v>
      </c>
      <c r="I22" s="157">
        <v>78.84</v>
      </c>
      <c r="L22" s="136">
        <v>20</v>
      </c>
      <c r="M22" s="136">
        <v>0</v>
      </c>
      <c r="N22" s="136">
        <f t="shared" si="1"/>
        <v>0</v>
      </c>
      <c r="O22" s="136">
        <f t="shared" si="0"/>
        <v>429.875</v>
      </c>
    </row>
    <row r="23" spans="1:15" ht="13.5" customHeight="1" x14ac:dyDescent="0.35">
      <c r="A23" s="38" t="s">
        <v>190</v>
      </c>
      <c r="B23"/>
      <c r="C23"/>
      <c r="D23"/>
      <c r="E23" s="45"/>
      <c r="H23" s="165" t="s">
        <v>332</v>
      </c>
      <c r="I23" s="166">
        <f>I11*I18/(I18+I22)</f>
        <v>1999.9999999999998</v>
      </c>
      <c r="L23" s="136">
        <v>21</v>
      </c>
      <c r="M23" s="136">
        <v>0</v>
      </c>
      <c r="N23" s="136">
        <f t="shared" si="1"/>
        <v>0</v>
      </c>
      <c r="O23" s="136">
        <f t="shared" si="0"/>
        <v>429.875</v>
      </c>
    </row>
    <row r="24" spans="1:15" ht="13.5" customHeight="1" x14ac:dyDescent="0.35">
      <c r="A24" s="38">
        <v>100</v>
      </c>
      <c r="B24" t="s">
        <v>52</v>
      </c>
      <c r="C24" t="s">
        <v>215</v>
      </c>
      <c r="D24"/>
      <c r="E24" s="45"/>
      <c r="L24" s="136">
        <v>22</v>
      </c>
      <c r="M24" s="136">
        <v>0</v>
      </c>
      <c r="N24" s="136">
        <f t="shared" si="1"/>
        <v>0</v>
      </c>
      <c r="O24" s="136">
        <f t="shared" si="0"/>
        <v>429.875</v>
      </c>
    </row>
    <row r="25" spans="1:15" ht="13.5" customHeight="1" x14ac:dyDescent="0.35">
      <c r="A25" s="38">
        <v>2000</v>
      </c>
      <c r="B25" t="s">
        <v>37</v>
      </c>
      <c r="C25" t="s">
        <v>217</v>
      </c>
      <c r="D25"/>
      <c r="E25" s="45"/>
      <c r="L25" s="136">
        <v>23</v>
      </c>
      <c r="M25" s="136">
        <v>0</v>
      </c>
      <c r="N25" s="136">
        <f t="shared" si="1"/>
        <v>0</v>
      </c>
      <c r="O25" s="136">
        <f t="shared" si="0"/>
        <v>429.875</v>
      </c>
    </row>
    <row r="26" spans="1:15" x14ac:dyDescent="0.35">
      <c r="A26" s="38">
        <f>A24*A25</f>
        <v>200000</v>
      </c>
      <c r="B26" t="s">
        <v>218</v>
      </c>
      <c r="C26" t="s">
        <v>219</v>
      </c>
      <c r="D26"/>
      <c r="E26" s="45"/>
      <c r="L26" s="136">
        <v>24</v>
      </c>
      <c r="M26" s="136">
        <v>0</v>
      </c>
      <c r="N26" s="136">
        <f t="shared" si="1"/>
        <v>0</v>
      </c>
      <c r="O26" s="136">
        <f t="shared" si="0"/>
        <v>429.875</v>
      </c>
    </row>
    <row r="27" spans="1:15" x14ac:dyDescent="0.35">
      <c r="A27" s="103">
        <f>A26/A21</f>
        <v>100.00509867792935</v>
      </c>
      <c r="B27" t="s">
        <v>52</v>
      </c>
      <c r="C27" t="s">
        <v>220</v>
      </c>
      <c r="D27"/>
      <c r="E27" s="45"/>
      <c r="L27" s="136">
        <v>25</v>
      </c>
      <c r="M27" s="136">
        <v>0</v>
      </c>
      <c r="N27" s="136">
        <f t="shared" si="1"/>
        <v>0</v>
      </c>
      <c r="O27" s="136">
        <f t="shared" si="0"/>
        <v>429.875</v>
      </c>
    </row>
    <row r="28" spans="1:15" x14ac:dyDescent="0.35">
      <c r="A28" s="103">
        <f>A24-A27</f>
        <v>-5.098677929353812E-3</v>
      </c>
      <c r="B28" t="s">
        <v>52</v>
      </c>
      <c r="C28" t="s">
        <v>221</v>
      </c>
      <c r="D28"/>
      <c r="E28" s="45"/>
      <c r="L28" s="136">
        <v>26</v>
      </c>
      <c r="M28" s="136">
        <v>0</v>
      </c>
      <c r="N28" s="136">
        <f t="shared" si="1"/>
        <v>0</v>
      </c>
      <c r="O28" s="136">
        <f t="shared" si="0"/>
        <v>429.875</v>
      </c>
    </row>
    <row r="29" spans="1:15" x14ac:dyDescent="0.35">
      <c r="A29" s="38"/>
      <c r="B29"/>
      <c r="C29"/>
      <c r="D29"/>
      <c r="E29" s="45"/>
      <c r="L29" s="136">
        <v>27</v>
      </c>
      <c r="M29" s="136">
        <v>0</v>
      </c>
      <c r="N29" s="136">
        <f t="shared" si="1"/>
        <v>0</v>
      </c>
      <c r="O29" s="136">
        <f t="shared" si="0"/>
        <v>429.875</v>
      </c>
    </row>
    <row r="30" spans="1:15" x14ac:dyDescent="0.35">
      <c r="A30" s="47"/>
      <c r="B30" s="48"/>
      <c r="C30" s="48"/>
      <c r="D30" s="48"/>
      <c r="E30" s="89"/>
      <c r="L30" s="136">
        <v>28</v>
      </c>
      <c r="M30" s="136">
        <v>0</v>
      </c>
      <c r="N30" s="136">
        <f t="shared" si="1"/>
        <v>0</v>
      </c>
      <c r="O30" s="136">
        <f t="shared" si="0"/>
        <v>429.875</v>
      </c>
    </row>
    <row r="31" spans="1:15" x14ac:dyDescent="0.35">
      <c r="L31" s="136">
        <v>29</v>
      </c>
      <c r="M31" s="136">
        <v>0</v>
      </c>
      <c r="N31" s="136">
        <f t="shared" si="1"/>
        <v>0</v>
      </c>
      <c r="O31" s="136">
        <f t="shared" si="0"/>
        <v>429.875</v>
      </c>
    </row>
    <row r="32" spans="1:15" x14ac:dyDescent="0.35">
      <c r="L32" s="136">
        <v>30</v>
      </c>
      <c r="M32" s="136">
        <v>0</v>
      </c>
      <c r="N32" s="136">
        <f t="shared" si="1"/>
        <v>0</v>
      </c>
      <c r="O32" s="136">
        <f t="shared" si="0"/>
        <v>429.875</v>
      </c>
    </row>
    <row r="33" spans="1:15" x14ac:dyDescent="0.35">
      <c r="L33" s="136">
        <v>31</v>
      </c>
      <c r="M33" s="136">
        <v>0</v>
      </c>
      <c r="N33" s="136">
        <f t="shared" si="1"/>
        <v>0</v>
      </c>
      <c r="O33" s="136">
        <f t="shared" si="0"/>
        <v>429.875</v>
      </c>
    </row>
    <row r="34" spans="1:15" x14ac:dyDescent="0.35">
      <c r="L34" s="136">
        <v>32</v>
      </c>
      <c r="M34" s="136">
        <v>0</v>
      </c>
      <c r="N34" s="136">
        <f t="shared" si="1"/>
        <v>0</v>
      </c>
      <c r="O34" s="136">
        <f t="shared" si="0"/>
        <v>429.875</v>
      </c>
    </row>
    <row r="35" spans="1:15" x14ac:dyDescent="0.35">
      <c r="A35" s="50">
        <f>MAX($N$2:$N$1000)</f>
        <v>859.75</v>
      </c>
      <c r="B35" s="136" t="s">
        <v>256</v>
      </c>
      <c r="L35" s="136">
        <v>33</v>
      </c>
      <c r="M35" s="136">
        <v>0</v>
      </c>
      <c r="N35" s="136">
        <f t="shared" si="1"/>
        <v>0</v>
      </c>
      <c r="O35" s="136">
        <f t="shared" si="0"/>
        <v>429.875</v>
      </c>
    </row>
    <row r="36" spans="1:15" x14ac:dyDescent="0.35">
      <c r="A36" s="50">
        <f>MATCH(A35, N2:N1000, 0)</f>
        <v>217</v>
      </c>
      <c r="B36" s="136" t="s">
        <v>257</v>
      </c>
      <c r="L36" s="136">
        <v>34</v>
      </c>
      <c r="M36" s="136">
        <v>0</v>
      </c>
      <c r="N36" s="136">
        <f t="shared" si="1"/>
        <v>0</v>
      </c>
      <c r="O36" s="136">
        <f t="shared" si="0"/>
        <v>429.875</v>
      </c>
    </row>
    <row r="37" spans="1:15" x14ac:dyDescent="0.35">
      <c r="A37" s="50">
        <f>A35/2</f>
        <v>429.875</v>
      </c>
      <c r="B37" s="136" t="s">
        <v>258</v>
      </c>
      <c r="L37" s="136">
        <v>35</v>
      </c>
      <c r="M37" s="136">
        <v>0</v>
      </c>
      <c r="N37" s="136">
        <f t="shared" si="1"/>
        <v>0</v>
      </c>
      <c r="O37" s="136">
        <f t="shared" si="0"/>
        <v>429.875</v>
      </c>
    </row>
    <row r="38" spans="1:15" x14ac:dyDescent="0.35">
      <c r="A38" s="50">
        <f t="array" ref="A38">MATCH(TRUE, IF(N2:N1000 &gt; A37, TRUE), 0)</f>
        <v>196</v>
      </c>
      <c r="B38" s="136" t="s">
        <v>259</v>
      </c>
      <c r="L38" s="136">
        <v>36</v>
      </c>
      <c r="M38" s="136">
        <v>0</v>
      </c>
      <c r="N38" s="136">
        <f t="shared" si="1"/>
        <v>0</v>
      </c>
      <c r="O38" s="136">
        <f t="shared" si="0"/>
        <v>429.875</v>
      </c>
    </row>
    <row r="39" spans="1:15" x14ac:dyDescent="0.35">
      <c r="A39" s="50">
        <f>INDEX(L2:L1000,A38)</f>
        <v>195</v>
      </c>
      <c r="B39" s="136" t="s">
        <v>260</v>
      </c>
      <c r="L39" s="136">
        <v>37</v>
      </c>
      <c r="M39" s="136">
        <v>0</v>
      </c>
      <c r="N39" s="136">
        <f t="shared" si="1"/>
        <v>0</v>
      </c>
      <c r="O39" s="136">
        <f t="shared" si="0"/>
        <v>429.875</v>
      </c>
    </row>
    <row r="40" spans="1:15" x14ac:dyDescent="0.35">
      <c r="A40" s="50">
        <f>A36-A39</f>
        <v>22</v>
      </c>
      <c r="B40" s="136" t="s">
        <v>261</v>
      </c>
      <c r="L40" s="136">
        <v>38</v>
      </c>
      <c r="M40" s="136">
        <v>0</v>
      </c>
      <c r="N40" s="136">
        <f t="shared" si="1"/>
        <v>0</v>
      </c>
      <c r="O40" s="136">
        <f t="shared" si="0"/>
        <v>429.875</v>
      </c>
    </row>
    <row r="41" spans="1:15" x14ac:dyDescent="0.35">
      <c r="A41" s="50">
        <f>A40*2</f>
        <v>44</v>
      </c>
      <c r="B41" s="136" t="s">
        <v>262</v>
      </c>
      <c r="L41" s="136">
        <v>39</v>
      </c>
      <c r="M41" s="136">
        <v>0</v>
      </c>
      <c r="N41" s="136">
        <f t="shared" si="1"/>
        <v>0</v>
      </c>
      <c r="O41" s="136">
        <f t="shared" si="0"/>
        <v>429.875</v>
      </c>
    </row>
    <row r="42" spans="1:15" x14ac:dyDescent="0.35">
      <c r="A42" s="50">
        <f>A41 / (2 * SQRT(2 * LN(2)))</f>
        <v>18.685079606336419</v>
      </c>
      <c r="B42" s="136" t="s">
        <v>263</v>
      </c>
      <c r="L42" s="136">
        <v>40</v>
      </c>
      <c r="M42" s="136">
        <v>0</v>
      </c>
      <c r="N42" s="136">
        <f t="shared" si="1"/>
        <v>0</v>
      </c>
      <c r="O42" s="136">
        <f t="shared" si="0"/>
        <v>429.875</v>
      </c>
    </row>
    <row r="43" spans="1:15" ht="15" x14ac:dyDescent="0.5">
      <c r="A43" s="141">
        <f>A42/A36</f>
        <v>8.6106357632886724E-2</v>
      </c>
      <c r="B43" s="143" t="s">
        <v>309</v>
      </c>
      <c r="L43" s="136">
        <v>41</v>
      </c>
      <c r="M43" s="136">
        <v>0</v>
      </c>
      <c r="N43" s="136">
        <f t="shared" si="1"/>
        <v>0</v>
      </c>
      <c r="O43" s="136">
        <f t="shared" si="0"/>
        <v>429.875</v>
      </c>
    </row>
    <row r="44" spans="1:15" x14ac:dyDescent="0.35">
      <c r="A44" s="142"/>
      <c r="L44" s="136">
        <v>42</v>
      </c>
      <c r="M44" s="136">
        <v>0</v>
      </c>
      <c r="N44" s="136">
        <f t="shared" si="1"/>
        <v>0</v>
      </c>
      <c r="O44" s="136">
        <f t="shared" si="0"/>
        <v>429.875</v>
      </c>
    </row>
    <row r="45" spans="1:15" ht="15" x14ac:dyDescent="0.5">
      <c r="A45" s="141">
        <f>A43/2</f>
        <v>4.3053178816443362E-2</v>
      </c>
      <c r="B45" s="143" t="s">
        <v>310</v>
      </c>
      <c r="L45" s="136">
        <v>43</v>
      </c>
      <c r="M45" s="136">
        <v>0</v>
      </c>
      <c r="N45" s="136">
        <f t="shared" si="1"/>
        <v>0</v>
      </c>
      <c r="O45" s="136">
        <f t="shared" si="0"/>
        <v>429.875</v>
      </c>
    </row>
    <row r="46" spans="1:15" x14ac:dyDescent="0.35">
      <c r="L46" s="136">
        <v>44</v>
      </c>
      <c r="M46" s="136">
        <v>0</v>
      </c>
      <c r="N46" s="136">
        <f t="shared" si="1"/>
        <v>0</v>
      </c>
      <c r="O46" s="136">
        <f t="shared" si="0"/>
        <v>429.875</v>
      </c>
    </row>
    <row r="47" spans="1:15" x14ac:dyDescent="0.35">
      <c r="L47" s="136">
        <v>45</v>
      </c>
      <c r="M47" s="136">
        <v>0</v>
      </c>
      <c r="N47" s="136">
        <f t="shared" si="1"/>
        <v>0</v>
      </c>
      <c r="O47" s="136">
        <f t="shared" si="0"/>
        <v>429.875</v>
      </c>
    </row>
    <row r="48" spans="1:15" x14ac:dyDescent="0.35">
      <c r="L48" s="136">
        <v>46</v>
      </c>
      <c r="M48" s="136">
        <v>0</v>
      </c>
      <c r="N48" s="136">
        <f t="shared" si="1"/>
        <v>0</v>
      </c>
      <c r="O48" s="136">
        <f t="shared" si="0"/>
        <v>429.875</v>
      </c>
    </row>
    <row r="49" spans="1:15" x14ac:dyDescent="0.35">
      <c r="L49" s="136">
        <v>47</v>
      </c>
      <c r="M49" s="136">
        <v>0</v>
      </c>
      <c r="N49" s="136">
        <f t="shared" si="1"/>
        <v>0</v>
      </c>
      <c r="O49" s="136">
        <f t="shared" si="0"/>
        <v>429.875</v>
      </c>
    </row>
    <row r="50" spans="1:15" x14ac:dyDescent="0.35">
      <c r="L50" s="136">
        <v>48</v>
      </c>
      <c r="M50" s="136">
        <v>0</v>
      </c>
      <c r="N50" s="136">
        <f t="shared" si="1"/>
        <v>0</v>
      </c>
      <c r="O50" s="136">
        <f t="shared" si="0"/>
        <v>429.875</v>
      </c>
    </row>
    <row r="51" spans="1:15" x14ac:dyDescent="0.35">
      <c r="L51" s="136">
        <v>49</v>
      </c>
      <c r="M51" s="136">
        <v>0</v>
      </c>
      <c r="N51" s="136">
        <f t="shared" si="1"/>
        <v>0</v>
      </c>
      <c r="O51" s="136">
        <f t="shared" si="0"/>
        <v>429.875</v>
      </c>
    </row>
    <row r="52" spans="1:15" x14ac:dyDescent="0.35">
      <c r="L52" s="136">
        <v>50</v>
      </c>
      <c r="M52" s="136">
        <v>0</v>
      </c>
      <c r="N52" s="136">
        <f t="shared" si="1"/>
        <v>0</v>
      </c>
      <c r="O52" s="136">
        <f t="shared" si="0"/>
        <v>429.875</v>
      </c>
    </row>
    <row r="53" spans="1:15" x14ac:dyDescent="0.35">
      <c r="L53" s="136">
        <v>51</v>
      </c>
      <c r="M53" s="136">
        <v>0</v>
      </c>
      <c r="N53" s="136">
        <f t="shared" si="1"/>
        <v>0</v>
      </c>
      <c r="O53" s="136">
        <f t="shared" si="0"/>
        <v>429.875</v>
      </c>
    </row>
    <row r="54" spans="1:15" x14ac:dyDescent="0.35">
      <c r="L54" s="136">
        <v>52</v>
      </c>
      <c r="M54" s="136">
        <v>0</v>
      </c>
      <c r="N54" s="136">
        <f t="shared" si="1"/>
        <v>0</v>
      </c>
      <c r="O54" s="136">
        <f t="shared" si="0"/>
        <v>429.875</v>
      </c>
    </row>
    <row r="55" spans="1:15" x14ac:dyDescent="0.35">
      <c r="A55" s="136" t="s">
        <v>300</v>
      </c>
      <c r="D55" s="136">
        <v>16</v>
      </c>
      <c r="L55" s="136">
        <v>53</v>
      </c>
      <c r="M55" s="136">
        <v>0</v>
      </c>
      <c r="N55" s="136">
        <f t="shared" si="1"/>
        <v>0</v>
      </c>
      <c r="O55" s="136">
        <f t="shared" si="0"/>
        <v>429.875</v>
      </c>
    </row>
    <row r="56" spans="1:15" x14ac:dyDescent="0.35">
      <c r="A56" s="136" t="s">
        <v>301</v>
      </c>
      <c r="D56" s="136">
        <v>20</v>
      </c>
      <c r="E56" s="136" t="s">
        <v>302</v>
      </c>
      <c r="L56" s="136">
        <v>54</v>
      </c>
      <c r="M56" s="136">
        <v>0</v>
      </c>
      <c r="N56" s="136">
        <f t="shared" si="1"/>
        <v>0</v>
      </c>
      <c r="O56" s="136">
        <f t="shared" si="0"/>
        <v>429.875</v>
      </c>
    </row>
    <row r="57" spans="1:15" x14ac:dyDescent="0.35">
      <c r="A57" s="136" t="s">
        <v>303</v>
      </c>
      <c r="D57" s="136">
        <v>10</v>
      </c>
      <c r="E57" s="136" t="s">
        <v>304</v>
      </c>
      <c r="L57" s="136">
        <v>55</v>
      </c>
      <c r="M57" s="136">
        <v>0</v>
      </c>
      <c r="N57" s="136">
        <f t="shared" si="1"/>
        <v>0</v>
      </c>
      <c r="O57" s="136">
        <f t="shared" si="0"/>
        <v>429.875</v>
      </c>
    </row>
    <row r="58" spans="1:15" x14ac:dyDescent="0.35">
      <c r="L58" s="136">
        <v>56</v>
      </c>
      <c r="M58" s="136">
        <v>0</v>
      </c>
      <c r="N58" s="136">
        <f t="shared" si="1"/>
        <v>0</v>
      </c>
      <c r="O58" s="136">
        <f t="shared" si="0"/>
        <v>429.875</v>
      </c>
    </row>
    <row r="59" spans="1:15" x14ac:dyDescent="0.35">
      <c r="A59" s="136" t="s">
        <v>305</v>
      </c>
      <c r="B59" s="136">
        <v>19.224</v>
      </c>
      <c r="C59" s="136" t="s">
        <v>52</v>
      </c>
      <c r="L59" s="136">
        <v>57</v>
      </c>
      <c r="M59" s="136">
        <v>0</v>
      </c>
      <c r="N59" s="136">
        <f t="shared" si="1"/>
        <v>0</v>
      </c>
      <c r="O59" s="136">
        <f t="shared" si="0"/>
        <v>429.875</v>
      </c>
    </row>
    <row r="60" spans="1:15" x14ac:dyDescent="0.35">
      <c r="A60" s="136" t="s">
        <v>306</v>
      </c>
      <c r="B60" s="136">
        <v>50</v>
      </c>
      <c r="C60" s="136" t="s">
        <v>52</v>
      </c>
      <c r="L60" s="136">
        <v>58</v>
      </c>
      <c r="M60" s="136">
        <v>0</v>
      </c>
      <c r="N60" s="136">
        <f t="shared" si="1"/>
        <v>0</v>
      </c>
      <c r="O60" s="136">
        <f t="shared" si="0"/>
        <v>429.875</v>
      </c>
    </row>
    <row r="61" spans="1:15" x14ac:dyDescent="0.35">
      <c r="A61" s="136" t="s">
        <v>264</v>
      </c>
      <c r="B61" s="141">
        <f>B59/B60</f>
        <v>0.38447999999999999</v>
      </c>
      <c r="L61" s="136">
        <v>59</v>
      </c>
      <c r="M61" s="136">
        <v>0</v>
      </c>
      <c r="N61" s="136">
        <f t="shared" si="1"/>
        <v>0</v>
      </c>
      <c r="O61" s="136">
        <f t="shared" si="0"/>
        <v>429.875</v>
      </c>
    </row>
    <row r="62" spans="1:15" x14ac:dyDescent="0.35">
      <c r="A62" s="136" t="s">
        <v>338</v>
      </c>
      <c r="B62" s="136">
        <f>SUM(M2:M1000)</f>
        <v>47088</v>
      </c>
      <c r="L62" s="136">
        <v>60</v>
      </c>
      <c r="M62" s="136">
        <v>0</v>
      </c>
      <c r="N62" s="136">
        <f t="shared" si="1"/>
        <v>0</v>
      </c>
      <c r="O62" s="136">
        <f t="shared" si="0"/>
        <v>429.875</v>
      </c>
    </row>
    <row r="63" spans="1:15" x14ac:dyDescent="0.35">
      <c r="A63" s="136" t="s">
        <v>340</v>
      </c>
      <c r="B63" s="136">
        <f>B59*I23</f>
        <v>38447.999999999993</v>
      </c>
      <c r="L63" s="136">
        <v>61</v>
      </c>
      <c r="M63" s="136">
        <v>0</v>
      </c>
      <c r="N63" s="136">
        <f t="shared" si="1"/>
        <v>0</v>
      </c>
      <c r="O63" s="136">
        <f t="shared" si="0"/>
        <v>429.875</v>
      </c>
    </row>
    <row r="64" spans="1:15" x14ac:dyDescent="0.35">
      <c r="L64" s="136">
        <v>62</v>
      </c>
      <c r="M64" s="136">
        <v>0</v>
      </c>
      <c r="N64" s="136">
        <f t="shared" si="1"/>
        <v>0</v>
      </c>
      <c r="O64" s="136">
        <f t="shared" si="0"/>
        <v>429.875</v>
      </c>
    </row>
    <row r="65" spans="1:15" x14ac:dyDescent="0.35">
      <c r="A65" s="136" t="s">
        <v>264</v>
      </c>
      <c r="B65" s="136">
        <f>B62/B63</f>
        <v>1.2247191011235958</v>
      </c>
      <c r="L65" s="136">
        <v>63</v>
      </c>
      <c r="M65" s="136">
        <v>0</v>
      </c>
      <c r="N65" s="136">
        <f t="shared" si="1"/>
        <v>0</v>
      </c>
      <c r="O65" s="136">
        <f t="shared" si="0"/>
        <v>429.875</v>
      </c>
    </row>
    <row r="66" spans="1:15" x14ac:dyDescent="0.35">
      <c r="L66" s="136">
        <v>64</v>
      </c>
      <c r="M66" s="136">
        <v>0</v>
      </c>
      <c r="N66" s="136">
        <f t="shared" si="1"/>
        <v>0</v>
      </c>
      <c r="O66" s="136">
        <f t="shared" ref="O66:O129" si="2">MAX($A$35)/2</f>
        <v>429.875</v>
      </c>
    </row>
    <row r="67" spans="1:15" x14ac:dyDescent="0.35">
      <c r="L67" s="136">
        <v>65</v>
      </c>
      <c r="M67" s="136">
        <v>0</v>
      </c>
      <c r="N67" s="136">
        <f t="shared" si="1"/>
        <v>0</v>
      </c>
      <c r="O67" s="136">
        <f t="shared" si="2"/>
        <v>429.875</v>
      </c>
    </row>
    <row r="68" spans="1:15" x14ac:dyDescent="0.35">
      <c r="L68" s="136">
        <v>66</v>
      </c>
      <c r="M68" s="136">
        <v>0</v>
      </c>
      <c r="N68" s="136">
        <f t="shared" si="1"/>
        <v>0</v>
      </c>
      <c r="O68" s="136">
        <f t="shared" si="2"/>
        <v>429.875</v>
      </c>
    </row>
    <row r="69" spans="1:15" x14ac:dyDescent="0.35">
      <c r="L69" s="136">
        <v>67</v>
      </c>
      <c r="M69" s="136">
        <v>0</v>
      </c>
      <c r="N69" s="136">
        <f t="shared" ref="N69:N132" si="3">AVERAGE(M66:M73)</f>
        <v>0</v>
      </c>
      <c r="O69" s="136">
        <f t="shared" si="2"/>
        <v>429.875</v>
      </c>
    </row>
    <row r="70" spans="1:15" x14ac:dyDescent="0.35">
      <c r="L70" s="136">
        <v>68</v>
      </c>
      <c r="M70" s="136">
        <v>0</v>
      </c>
      <c r="N70" s="136">
        <f t="shared" si="3"/>
        <v>0</v>
      </c>
      <c r="O70" s="136">
        <f t="shared" si="2"/>
        <v>429.875</v>
      </c>
    </row>
    <row r="71" spans="1:15" x14ac:dyDescent="0.35">
      <c r="L71" s="136">
        <v>69</v>
      </c>
      <c r="M71" s="136">
        <v>0</v>
      </c>
      <c r="N71" s="136">
        <f t="shared" si="3"/>
        <v>0</v>
      </c>
      <c r="O71" s="136">
        <f t="shared" si="2"/>
        <v>429.875</v>
      </c>
    </row>
    <row r="72" spans="1:15" x14ac:dyDescent="0.35">
      <c r="L72" s="136">
        <v>70</v>
      </c>
      <c r="M72" s="136">
        <v>0</v>
      </c>
      <c r="N72" s="136">
        <f t="shared" si="3"/>
        <v>0</v>
      </c>
      <c r="O72" s="136">
        <f t="shared" si="2"/>
        <v>429.875</v>
      </c>
    </row>
    <row r="73" spans="1:15" x14ac:dyDescent="0.35">
      <c r="L73" s="136">
        <v>71</v>
      </c>
      <c r="M73" s="136">
        <v>0</v>
      </c>
      <c r="N73" s="136">
        <f t="shared" si="3"/>
        <v>0</v>
      </c>
      <c r="O73" s="136">
        <f t="shared" si="2"/>
        <v>429.875</v>
      </c>
    </row>
    <row r="74" spans="1:15" x14ac:dyDescent="0.35">
      <c r="L74" s="136">
        <v>72</v>
      </c>
      <c r="M74" s="136">
        <v>0</v>
      </c>
      <c r="N74" s="136">
        <f t="shared" si="3"/>
        <v>0</v>
      </c>
      <c r="O74" s="136">
        <f t="shared" si="2"/>
        <v>429.875</v>
      </c>
    </row>
    <row r="75" spans="1:15" x14ac:dyDescent="0.35">
      <c r="L75" s="136">
        <v>73</v>
      </c>
      <c r="M75" s="136">
        <v>0</v>
      </c>
      <c r="N75" s="136">
        <f t="shared" si="3"/>
        <v>0</v>
      </c>
      <c r="O75" s="136">
        <f t="shared" si="2"/>
        <v>429.875</v>
      </c>
    </row>
    <row r="76" spans="1:15" x14ac:dyDescent="0.35">
      <c r="L76" s="136">
        <v>74</v>
      </c>
      <c r="M76" s="136">
        <v>0</v>
      </c>
      <c r="N76" s="136">
        <f t="shared" si="3"/>
        <v>0</v>
      </c>
      <c r="O76" s="136">
        <f t="shared" si="2"/>
        <v>429.875</v>
      </c>
    </row>
    <row r="77" spans="1:15" x14ac:dyDescent="0.35">
      <c r="L77" s="136">
        <v>75</v>
      </c>
      <c r="M77" s="136">
        <v>0</v>
      </c>
      <c r="N77" s="136">
        <f t="shared" si="3"/>
        <v>0</v>
      </c>
      <c r="O77" s="136">
        <f t="shared" si="2"/>
        <v>429.875</v>
      </c>
    </row>
    <row r="78" spans="1:15" x14ac:dyDescent="0.35">
      <c r="L78" s="136">
        <v>76</v>
      </c>
      <c r="M78" s="136">
        <v>0</v>
      </c>
      <c r="N78" s="136">
        <f t="shared" si="3"/>
        <v>0</v>
      </c>
      <c r="O78" s="136">
        <f t="shared" si="2"/>
        <v>429.875</v>
      </c>
    </row>
    <row r="79" spans="1:15" x14ac:dyDescent="0.35">
      <c r="L79" s="136">
        <v>77</v>
      </c>
      <c r="M79" s="136">
        <v>0</v>
      </c>
      <c r="N79" s="136">
        <f t="shared" si="3"/>
        <v>0</v>
      </c>
      <c r="O79" s="136">
        <f t="shared" si="2"/>
        <v>429.875</v>
      </c>
    </row>
    <row r="80" spans="1:15" x14ac:dyDescent="0.35">
      <c r="L80" s="136">
        <v>78</v>
      </c>
      <c r="M80" s="136">
        <v>0</v>
      </c>
      <c r="N80" s="136">
        <f t="shared" si="3"/>
        <v>0</v>
      </c>
      <c r="O80" s="136">
        <f t="shared" si="2"/>
        <v>429.875</v>
      </c>
    </row>
    <row r="81" spans="12:15" x14ac:dyDescent="0.35">
      <c r="L81" s="136">
        <v>79</v>
      </c>
      <c r="M81" s="136">
        <v>0</v>
      </c>
      <c r="N81" s="136">
        <f t="shared" si="3"/>
        <v>0</v>
      </c>
      <c r="O81" s="136">
        <f t="shared" si="2"/>
        <v>429.875</v>
      </c>
    </row>
    <row r="82" spans="12:15" x14ac:dyDescent="0.35">
      <c r="L82" s="136">
        <v>80</v>
      </c>
      <c r="M82" s="136">
        <v>0</v>
      </c>
      <c r="N82" s="136">
        <f t="shared" si="3"/>
        <v>0</v>
      </c>
      <c r="O82" s="136">
        <f t="shared" si="2"/>
        <v>429.875</v>
      </c>
    </row>
    <row r="83" spans="12:15" x14ac:dyDescent="0.35">
      <c r="L83" s="136">
        <v>81</v>
      </c>
      <c r="M83" s="136">
        <v>0</v>
      </c>
      <c r="N83" s="136">
        <f t="shared" si="3"/>
        <v>0</v>
      </c>
      <c r="O83" s="136">
        <f t="shared" si="2"/>
        <v>429.875</v>
      </c>
    </row>
    <row r="84" spans="12:15" x14ac:dyDescent="0.35">
      <c r="L84" s="136">
        <v>82</v>
      </c>
      <c r="M84" s="136">
        <v>0</v>
      </c>
      <c r="N84" s="136">
        <f t="shared" si="3"/>
        <v>0</v>
      </c>
      <c r="O84" s="136">
        <f t="shared" si="2"/>
        <v>429.875</v>
      </c>
    </row>
    <row r="85" spans="12:15" x14ac:dyDescent="0.35">
      <c r="L85" s="136">
        <v>83</v>
      </c>
      <c r="M85" s="136">
        <v>0</v>
      </c>
      <c r="N85" s="136">
        <f t="shared" si="3"/>
        <v>0</v>
      </c>
      <c r="O85" s="136">
        <f t="shared" si="2"/>
        <v>429.875</v>
      </c>
    </row>
    <row r="86" spans="12:15" x14ac:dyDescent="0.35">
      <c r="L86" s="136">
        <v>84</v>
      </c>
      <c r="M86" s="136">
        <v>0</v>
      </c>
      <c r="N86" s="136">
        <f t="shared" si="3"/>
        <v>0</v>
      </c>
      <c r="O86" s="136">
        <f t="shared" si="2"/>
        <v>429.875</v>
      </c>
    </row>
    <row r="87" spans="12:15" x14ac:dyDescent="0.35">
      <c r="L87" s="136">
        <v>85</v>
      </c>
      <c r="M87" s="136">
        <v>0</v>
      </c>
      <c r="N87" s="136">
        <f t="shared" si="3"/>
        <v>0</v>
      </c>
      <c r="O87" s="136">
        <f t="shared" si="2"/>
        <v>429.875</v>
      </c>
    </row>
    <row r="88" spans="12:15" x14ac:dyDescent="0.35">
      <c r="L88" s="136">
        <v>86</v>
      </c>
      <c r="M88" s="136">
        <v>0</v>
      </c>
      <c r="N88" s="136">
        <f t="shared" si="3"/>
        <v>0</v>
      </c>
      <c r="O88" s="136">
        <f t="shared" si="2"/>
        <v>429.875</v>
      </c>
    </row>
    <row r="89" spans="12:15" x14ac:dyDescent="0.35">
      <c r="L89" s="136">
        <v>87</v>
      </c>
      <c r="M89" s="136">
        <v>0</v>
      </c>
      <c r="N89" s="136">
        <f t="shared" si="3"/>
        <v>0</v>
      </c>
      <c r="O89" s="136">
        <f t="shared" si="2"/>
        <v>429.875</v>
      </c>
    </row>
    <row r="90" spans="12:15" x14ac:dyDescent="0.35">
      <c r="L90" s="136">
        <v>88</v>
      </c>
      <c r="M90" s="136">
        <v>0</v>
      </c>
      <c r="N90" s="136">
        <f t="shared" si="3"/>
        <v>0</v>
      </c>
      <c r="O90" s="136">
        <f t="shared" si="2"/>
        <v>429.875</v>
      </c>
    </row>
    <row r="91" spans="12:15" x14ac:dyDescent="0.35">
      <c r="L91" s="136">
        <v>89</v>
      </c>
      <c r="M91" s="136">
        <v>0</v>
      </c>
      <c r="N91" s="136">
        <f t="shared" si="3"/>
        <v>0</v>
      </c>
      <c r="O91" s="136">
        <f t="shared" si="2"/>
        <v>429.875</v>
      </c>
    </row>
    <row r="92" spans="12:15" x14ac:dyDescent="0.35">
      <c r="L92" s="136">
        <v>90</v>
      </c>
      <c r="M92" s="136">
        <v>0</v>
      </c>
      <c r="N92" s="136">
        <f t="shared" si="3"/>
        <v>0</v>
      </c>
      <c r="O92" s="136">
        <f t="shared" si="2"/>
        <v>429.875</v>
      </c>
    </row>
    <row r="93" spans="12:15" x14ac:dyDescent="0.35">
      <c r="L93" s="136">
        <v>91</v>
      </c>
      <c r="M93" s="136">
        <v>0</v>
      </c>
      <c r="N93" s="136">
        <f t="shared" si="3"/>
        <v>0</v>
      </c>
      <c r="O93" s="136">
        <f t="shared" si="2"/>
        <v>429.875</v>
      </c>
    </row>
    <row r="94" spans="12:15" x14ac:dyDescent="0.35">
      <c r="L94" s="136">
        <v>92</v>
      </c>
      <c r="M94" s="136">
        <v>0</v>
      </c>
      <c r="N94" s="136">
        <f t="shared" si="3"/>
        <v>0</v>
      </c>
      <c r="O94" s="136">
        <f t="shared" si="2"/>
        <v>429.875</v>
      </c>
    </row>
    <row r="95" spans="12:15" x14ac:dyDescent="0.35">
      <c r="L95" s="136">
        <v>93</v>
      </c>
      <c r="M95" s="136">
        <v>0</v>
      </c>
      <c r="N95" s="136">
        <f t="shared" si="3"/>
        <v>0</v>
      </c>
      <c r="O95" s="136">
        <f t="shared" si="2"/>
        <v>429.875</v>
      </c>
    </row>
    <row r="96" spans="12:15" x14ac:dyDescent="0.35">
      <c r="L96" s="136">
        <v>94</v>
      </c>
      <c r="M96" s="136">
        <v>0</v>
      </c>
      <c r="N96" s="136">
        <f t="shared" si="3"/>
        <v>0</v>
      </c>
      <c r="O96" s="136">
        <f t="shared" si="2"/>
        <v>429.875</v>
      </c>
    </row>
    <row r="97" spans="12:15" x14ac:dyDescent="0.35">
      <c r="L97" s="136">
        <v>95</v>
      </c>
      <c r="M97" s="136">
        <v>0</v>
      </c>
      <c r="N97" s="136">
        <f t="shared" si="3"/>
        <v>0</v>
      </c>
      <c r="O97" s="136">
        <f t="shared" si="2"/>
        <v>429.875</v>
      </c>
    </row>
    <row r="98" spans="12:15" x14ac:dyDescent="0.35">
      <c r="L98" s="136">
        <v>96</v>
      </c>
      <c r="M98" s="136">
        <v>0</v>
      </c>
      <c r="N98" s="136">
        <f t="shared" si="3"/>
        <v>4</v>
      </c>
      <c r="O98" s="136">
        <f t="shared" si="2"/>
        <v>429.875</v>
      </c>
    </row>
    <row r="99" spans="12:15" x14ac:dyDescent="0.35">
      <c r="L99" s="136">
        <v>97</v>
      </c>
      <c r="M99" s="136">
        <v>0</v>
      </c>
      <c r="N99" s="136">
        <f t="shared" si="3"/>
        <v>6.625</v>
      </c>
      <c r="O99" s="136">
        <f t="shared" si="2"/>
        <v>429.875</v>
      </c>
    </row>
    <row r="100" spans="12:15" x14ac:dyDescent="0.35">
      <c r="L100" s="136">
        <v>98</v>
      </c>
      <c r="M100" s="136">
        <v>0</v>
      </c>
      <c r="N100" s="136">
        <f t="shared" si="3"/>
        <v>10.25</v>
      </c>
      <c r="O100" s="136">
        <f t="shared" si="2"/>
        <v>429.875</v>
      </c>
    </row>
    <row r="101" spans="12:15" x14ac:dyDescent="0.35">
      <c r="L101" s="136">
        <v>99</v>
      </c>
      <c r="M101" s="136">
        <v>0</v>
      </c>
      <c r="N101" s="136">
        <f t="shared" si="3"/>
        <v>14.625</v>
      </c>
      <c r="O101" s="136">
        <f t="shared" si="2"/>
        <v>429.875</v>
      </c>
    </row>
    <row r="102" spans="12:15" x14ac:dyDescent="0.35">
      <c r="L102" s="136">
        <v>100</v>
      </c>
      <c r="M102" s="136">
        <v>32</v>
      </c>
      <c r="N102" s="136">
        <f t="shared" si="3"/>
        <v>17.75</v>
      </c>
      <c r="O102" s="136">
        <f t="shared" si="2"/>
        <v>429.875</v>
      </c>
    </row>
    <row r="103" spans="12:15" x14ac:dyDescent="0.35">
      <c r="L103" s="136">
        <v>101</v>
      </c>
      <c r="M103" s="136">
        <v>21</v>
      </c>
      <c r="N103" s="136">
        <f t="shared" si="3"/>
        <v>22.25</v>
      </c>
      <c r="O103" s="136">
        <f t="shared" si="2"/>
        <v>429.875</v>
      </c>
    </row>
    <row r="104" spans="12:15" x14ac:dyDescent="0.35">
      <c r="L104" s="136">
        <v>102</v>
      </c>
      <c r="M104" s="136">
        <v>29</v>
      </c>
      <c r="N104" s="136">
        <f t="shared" si="3"/>
        <v>25.25</v>
      </c>
      <c r="O104" s="136">
        <f t="shared" si="2"/>
        <v>429.875</v>
      </c>
    </row>
    <row r="105" spans="12:15" x14ac:dyDescent="0.35">
      <c r="L105" s="136">
        <v>103</v>
      </c>
      <c r="M105" s="136">
        <v>35</v>
      </c>
      <c r="N105" s="136">
        <f t="shared" si="3"/>
        <v>28.375</v>
      </c>
      <c r="O105" s="136">
        <f t="shared" si="2"/>
        <v>429.875</v>
      </c>
    </row>
    <row r="106" spans="12:15" x14ac:dyDescent="0.35">
      <c r="L106" s="136">
        <v>104</v>
      </c>
      <c r="M106" s="136">
        <v>25</v>
      </c>
      <c r="N106" s="136">
        <f t="shared" si="3"/>
        <v>28.375</v>
      </c>
      <c r="O106" s="136">
        <f t="shared" si="2"/>
        <v>429.875</v>
      </c>
    </row>
    <row r="107" spans="12:15" x14ac:dyDescent="0.35">
      <c r="L107" s="136">
        <v>105</v>
      </c>
      <c r="M107" s="136">
        <v>36</v>
      </c>
      <c r="N107" s="136">
        <f t="shared" si="3"/>
        <v>28.25</v>
      </c>
      <c r="O107" s="136">
        <f t="shared" si="2"/>
        <v>429.875</v>
      </c>
    </row>
    <row r="108" spans="12:15" x14ac:dyDescent="0.35">
      <c r="L108" s="136">
        <v>106</v>
      </c>
      <c r="M108" s="136">
        <v>24</v>
      </c>
      <c r="N108" s="136">
        <f t="shared" si="3"/>
        <v>27.375</v>
      </c>
      <c r="O108" s="136">
        <f t="shared" si="2"/>
        <v>429.875</v>
      </c>
    </row>
    <row r="109" spans="12:15" x14ac:dyDescent="0.35">
      <c r="L109" s="136">
        <v>107</v>
      </c>
      <c r="M109" s="136">
        <v>25</v>
      </c>
      <c r="N109" s="136">
        <f t="shared" si="3"/>
        <v>25.75</v>
      </c>
      <c r="O109" s="136">
        <f t="shared" si="2"/>
        <v>429.875</v>
      </c>
    </row>
    <row r="110" spans="12:15" x14ac:dyDescent="0.35">
      <c r="L110" s="136">
        <v>108</v>
      </c>
      <c r="M110" s="136">
        <v>32</v>
      </c>
      <c r="N110" s="136">
        <f t="shared" si="3"/>
        <v>26.875</v>
      </c>
      <c r="O110" s="136">
        <f t="shared" si="2"/>
        <v>429.875</v>
      </c>
    </row>
    <row r="111" spans="12:15" x14ac:dyDescent="0.35">
      <c r="L111" s="136">
        <v>109</v>
      </c>
      <c r="M111" s="136">
        <v>20</v>
      </c>
      <c r="N111" s="136">
        <f t="shared" si="3"/>
        <v>26.25</v>
      </c>
      <c r="O111" s="136">
        <f t="shared" si="2"/>
        <v>429.875</v>
      </c>
    </row>
    <row r="112" spans="12:15" x14ac:dyDescent="0.35">
      <c r="L112" s="136">
        <v>110</v>
      </c>
      <c r="M112" s="136">
        <v>22</v>
      </c>
      <c r="N112" s="136">
        <f t="shared" si="3"/>
        <v>27.125</v>
      </c>
      <c r="O112" s="136">
        <f t="shared" si="2"/>
        <v>429.875</v>
      </c>
    </row>
    <row r="113" spans="12:15" x14ac:dyDescent="0.35">
      <c r="L113" s="136">
        <v>111</v>
      </c>
      <c r="M113" s="136">
        <v>22</v>
      </c>
      <c r="N113" s="136">
        <f t="shared" si="3"/>
        <v>27.125</v>
      </c>
      <c r="O113" s="136">
        <f t="shared" si="2"/>
        <v>429.875</v>
      </c>
    </row>
    <row r="114" spans="12:15" x14ac:dyDescent="0.35">
      <c r="L114" s="136">
        <v>112</v>
      </c>
      <c r="M114" s="136">
        <v>34</v>
      </c>
      <c r="N114" s="136">
        <f t="shared" si="3"/>
        <v>27</v>
      </c>
      <c r="O114" s="136">
        <f t="shared" si="2"/>
        <v>429.875</v>
      </c>
    </row>
    <row r="115" spans="12:15" x14ac:dyDescent="0.35">
      <c r="L115" s="136">
        <v>113</v>
      </c>
      <c r="M115" s="136">
        <v>31</v>
      </c>
      <c r="N115" s="136">
        <f t="shared" si="3"/>
        <v>26.375</v>
      </c>
      <c r="O115" s="136">
        <f t="shared" si="2"/>
        <v>429.875</v>
      </c>
    </row>
    <row r="116" spans="12:15" x14ac:dyDescent="0.35">
      <c r="L116" s="136">
        <v>114</v>
      </c>
      <c r="M116" s="136">
        <v>31</v>
      </c>
      <c r="N116" s="136">
        <f t="shared" si="3"/>
        <v>25.5</v>
      </c>
      <c r="O116" s="136">
        <f t="shared" si="2"/>
        <v>429.875</v>
      </c>
    </row>
    <row r="117" spans="12:15" x14ac:dyDescent="0.35">
      <c r="L117" s="136">
        <v>115</v>
      </c>
      <c r="M117" s="136">
        <v>25</v>
      </c>
      <c r="N117" s="136">
        <f t="shared" si="3"/>
        <v>25.375</v>
      </c>
      <c r="O117" s="136">
        <f t="shared" si="2"/>
        <v>429.875</v>
      </c>
    </row>
    <row r="118" spans="12:15" x14ac:dyDescent="0.35">
      <c r="L118" s="136">
        <v>116</v>
      </c>
      <c r="M118" s="136">
        <v>31</v>
      </c>
      <c r="N118" s="136">
        <f t="shared" si="3"/>
        <v>23.625</v>
      </c>
      <c r="O118" s="136">
        <f t="shared" si="2"/>
        <v>429.875</v>
      </c>
    </row>
    <row r="119" spans="12:15" x14ac:dyDescent="0.35">
      <c r="L119" s="136">
        <v>117</v>
      </c>
      <c r="M119" s="136">
        <v>15</v>
      </c>
      <c r="N119" s="136">
        <f t="shared" si="3"/>
        <v>22.75</v>
      </c>
      <c r="O119" s="136">
        <f t="shared" si="2"/>
        <v>429.875</v>
      </c>
    </row>
    <row r="120" spans="12:15" x14ac:dyDescent="0.35">
      <c r="L120" s="136">
        <v>118</v>
      </c>
      <c r="M120" s="136">
        <v>15</v>
      </c>
      <c r="N120" s="136">
        <f t="shared" si="3"/>
        <v>21.75</v>
      </c>
      <c r="O120" s="136">
        <f t="shared" si="2"/>
        <v>429.875</v>
      </c>
    </row>
    <row r="121" spans="12:15" x14ac:dyDescent="0.35">
      <c r="L121" s="136">
        <v>119</v>
      </c>
      <c r="M121" s="136">
        <v>21</v>
      </c>
      <c r="N121" s="136">
        <f t="shared" si="3"/>
        <v>20.875</v>
      </c>
      <c r="O121" s="136">
        <f t="shared" si="2"/>
        <v>429.875</v>
      </c>
    </row>
    <row r="122" spans="12:15" x14ac:dyDescent="0.35">
      <c r="L122" s="136">
        <v>120</v>
      </c>
      <c r="M122" s="136">
        <v>20</v>
      </c>
      <c r="N122" s="136">
        <f t="shared" si="3"/>
        <v>19.625</v>
      </c>
      <c r="O122" s="136">
        <f t="shared" si="2"/>
        <v>429.875</v>
      </c>
    </row>
    <row r="123" spans="12:15" x14ac:dyDescent="0.35">
      <c r="L123" s="136">
        <v>121</v>
      </c>
      <c r="M123" s="136">
        <v>24</v>
      </c>
      <c r="N123" s="136">
        <f t="shared" si="3"/>
        <v>20.875</v>
      </c>
      <c r="O123" s="136">
        <f t="shared" si="2"/>
        <v>429.875</v>
      </c>
    </row>
    <row r="124" spans="12:15" x14ac:dyDescent="0.35">
      <c r="L124" s="136">
        <v>122</v>
      </c>
      <c r="M124" s="136">
        <v>23</v>
      </c>
      <c r="N124" s="136">
        <f t="shared" si="3"/>
        <v>22.625</v>
      </c>
      <c r="O124" s="136">
        <f t="shared" si="2"/>
        <v>429.875</v>
      </c>
    </row>
    <row r="125" spans="12:15" x14ac:dyDescent="0.35">
      <c r="L125" s="136">
        <v>123</v>
      </c>
      <c r="M125" s="136">
        <v>18</v>
      </c>
      <c r="N125" s="136">
        <f t="shared" si="3"/>
        <v>22.875</v>
      </c>
      <c r="O125" s="136">
        <f t="shared" si="2"/>
        <v>429.875</v>
      </c>
    </row>
    <row r="126" spans="12:15" x14ac:dyDescent="0.35">
      <c r="L126" s="136">
        <v>124</v>
      </c>
      <c r="M126" s="136">
        <v>21</v>
      </c>
      <c r="N126" s="136">
        <f t="shared" si="3"/>
        <v>23.375</v>
      </c>
      <c r="O126" s="136">
        <f t="shared" si="2"/>
        <v>429.875</v>
      </c>
    </row>
    <row r="127" spans="12:15" x14ac:dyDescent="0.35">
      <c r="L127" s="136">
        <v>125</v>
      </c>
      <c r="M127" s="136">
        <v>25</v>
      </c>
      <c r="N127" s="136">
        <f t="shared" si="3"/>
        <v>23</v>
      </c>
      <c r="O127" s="136">
        <f t="shared" si="2"/>
        <v>429.875</v>
      </c>
    </row>
    <row r="128" spans="12:15" x14ac:dyDescent="0.35">
      <c r="L128" s="136">
        <v>126</v>
      </c>
      <c r="M128" s="136">
        <v>29</v>
      </c>
      <c r="N128" s="136">
        <f t="shared" si="3"/>
        <v>24</v>
      </c>
      <c r="O128" s="136">
        <f t="shared" si="2"/>
        <v>429.875</v>
      </c>
    </row>
    <row r="129" spans="12:15" x14ac:dyDescent="0.35">
      <c r="L129" s="136">
        <v>127</v>
      </c>
      <c r="M129" s="136">
        <v>23</v>
      </c>
      <c r="N129" s="136">
        <f t="shared" si="3"/>
        <v>26</v>
      </c>
      <c r="O129" s="136">
        <f t="shared" si="2"/>
        <v>429.875</v>
      </c>
    </row>
    <row r="130" spans="12:15" x14ac:dyDescent="0.35">
      <c r="L130" s="136">
        <v>128</v>
      </c>
      <c r="M130" s="136">
        <v>24</v>
      </c>
      <c r="N130" s="136">
        <f t="shared" si="3"/>
        <v>27</v>
      </c>
      <c r="O130" s="136">
        <f t="shared" ref="O130:O193" si="4">MAX($A$35)/2</f>
        <v>429.875</v>
      </c>
    </row>
    <row r="131" spans="12:15" x14ac:dyDescent="0.35">
      <c r="L131" s="136">
        <v>129</v>
      </c>
      <c r="M131" s="136">
        <v>21</v>
      </c>
      <c r="N131" s="136">
        <f t="shared" si="3"/>
        <v>27.375</v>
      </c>
      <c r="O131" s="136">
        <f t="shared" si="4"/>
        <v>429.875</v>
      </c>
    </row>
    <row r="132" spans="12:15" x14ac:dyDescent="0.35">
      <c r="L132" s="136">
        <v>130</v>
      </c>
      <c r="M132" s="136">
        <v>31</v>
      </c>
      <c r="N132" s="136">
        <f t="shared" si="3"/>
        <v>27.875</v>
      </c>
      <c r="O132" s="136">
        <f t="shared" si="4"/>
        <v>429.875</v>
      </c>
    </row>
    <row r="133" spans="12:15" x14ac:dyDescent="0.35">
      <c r="L133" s="136">
        <v>131</v>
      </c>
      <c r="M133" s="136">
        <v>34</v>
      </c>
      <c r="N133" s="136">
        <f t="shared" ref="N133:N196" si="5">AVERAGE(M130:M137)</f>
        <v>28.875</v>
      </c>
      <c r="O133" s="136">
        <f t="shared" si="4"/>
        <v>429.875</v>
      </c>
    </row>
    <row r="134" spans="12:15" x14ac:dyDescent="0.35">
      <c r="L134" s="136">
        <v>132</v>
      </c>
      <c r="M134" s="136">
        <v>29</v>
      </c>
      <c r="N134" s="136">
        <f t="shared" si="5"/>
        <v>28.5</v>
      </c>
      <c r="O134" s="136">
        <f t="shared" si="4"/>
        <v>429.875</v>
      </c>
    </row>
    <row r="135" spans="12:15" x14ac:dyDescent="0.35">
      <c r="L135" s="136">
        <v>133</v>
      </c>
      <c r="M135" s="136">
        <v>28</v>
      </c>
      <c r="N135" s="136">
        <f t="shared" si="5"/>
        <v>28.75</v>
      </c>
      <c r="O135" s="136">
        <f t="shared" si="4"/>
        <v>429.875</v>
      </c>
    </row>
    <row r="136" spans="12:15" x14ac:dyDescent="0.35">
      <c r="L136" s="136">
        <v>134</v>
      </c>
      <c r="M136" s="136">
        <v>33</v>
      </c>
      <c r="N136" s="136">
        <f t="shared" si="5"/>
        <v>29.25</v>
      </c>
      <c r="O136" s="136">
        <f t="shared" si="4"/>
        <v>429.875</v>
      </c>
    </row>
    <row r="137" spans="12:15" x14ac:dyDescent="0.35">
      <c r="L137" s="136">
        <v>135</v>
      </c>
      <c r="M137" s="136">
        <v>31</v>
      </c>
      <c r="N137" s="136">
        <f t="shared" si="5"/>
        <v>28.125</v>
      </c>
      <c r="O137" s="136">
        <f t="shared" si="4"/>
        <v>429.875</v>
      </c>
    </row>
    <row r="138" spans="12:15" x14ac:dyDescent="0.35">
      <c r="L138" s="136">
        <v>136</v>
      </c>
      <c r="M138" s="136">
        <v>21</v>
      </c>
      <c r="N138" s="136">
        <f t="shared" si="5"/>
        <v>27.5</v>
      </c>
      <c r="O138" s="136">
        <f t="shared" si="4"/>
        <v>429.875</v>
      </c>
    </row>
    <row r="139" spans="12:15" x14ac:dyDescent="0.35">
      <c r="L139" s="136">
        <v>137</v>
      </c>
      <c r="M139" s="136">
        <v>23</v>
      </c>
      <c r="N139" s="136">
        <f t="shared" si="5"/>
        <v>28.75</v>
      </c>
      <c r="O139" s="136">
        <f t="shared" si="4"/>
        <v>429.875</v>
      </c>
    </row>
    <row r="140" spans="12:15" x14ac:dyDescent="0.35">
      <c r="L140" s="136">
        <v>138</v>
      </c>
      <c r="M140" s="136">
        <v>35</v>
      </c>
      <c r="N140" s="136">
        <f t="shared" si="5"/>
        <v>28.375</v>
      </c>
      <c r="O140" s="136">
        <f t="shared" si="4"/>
        <v>429.875</v>
      </c>
    </row>
    <row r="141" spans="12:15" x14ac:dyDescent="0.35">
      <c r="L141" s="136">
        <v>139</v>
      </c>
      <c r="M141" s="136">
        <v>25</v>
      </c>
      <c r="N141" s="136">
        <f t="shared" si="5"/>
        <v>28.25</v>
      </c>
      <c r="O141" s="136">
        <f t="shared" si="4"/>
        <v>429.875</v>
      </c>
    </row>
    <row r="142" spans="12:15" x14ac:dyDescent="0.35">
      <c r="L142" s="136">
        <v>140</v>
      </c>
      <c r="M142" s="136">
        <v>24</v>
      </c>
      <c r="N142" s="136">
        <f t="shared" si="5"/>
        <v>30</v>
      </c>
      <c r="O142" s="136">
        <f t="shared" si="4"/>
        <v>429.875</v>
      </c>
    </row>
    <row r="143" spans="12:15" x14ac:dyDescent="0.35">
      <c r="L143" s="136">
        <v>141</v>
      </c>
      <c r="M143" s="136">
        <v>38</v>
      </c>
      <c r="N143" s="136">
        <f t="shared" si="5"/>
        <v>30.125</v>
      </c>
      <c r="O143" s="136">
        <f t="shared" si="4"/>
        <v>429.875</v>
      </c>
    </row>
    <row r="144" spans="12:15" x14ac:dyDescent="0.35">
      <c r="L144" s="136">
        <v>142</v>
      </c>
      <c r="M144" s="136">
        <v>30</v>
      </c>
      <c r="N144" s="136">
        <f t="shared" si="5"/>
        <v>29.375</v>
      </c>
      <c r="O144" s="136">
        <f t="shared" si="4"/>
        <v>429.875</v>
      </c>
    </row>
    <row r="145" spans="12:15" x14ac:dyDescent="0.35">
      <c r="L145" s="136">
        <v>143</v>
      </c>
      <c r="M145" s="136">
        <v>30</v>
      </c>
      <c r="N145" s="136">
        <f t="shared" si="5"/>
        <v>30.375</v>
      </c>
      <c r="O145" s="136">
        <f t="shared" si="4"/>
        <v>429.875</v>
      </c>
    </row>
    <row r="146" spans="12:15" x14ac:dyDescent="0.35">
      <c r="L146" s="136">
        <v>144</v>
      </c>
      <c r="M146" s="136">
        <v>35</v>
      </c>
      <c r="N146" s="136">
        <f t="shared" si="5"/>
        <v>31.25</v>
      </c>
      <c r="O146" s="136">
        <f t="shared" si="4"/>
        <v>429.875</v>
      </c>
    </row>
    <row r="147" spans="12:15" x14ac:dyDescent="0.35">
      <c r="L147" s="136">
        <v>145</v>
      </c>
      <c r="M147" s="136">
        <v>24</v>
      </c>
      <c r="N147" s="136">
        <f t="shared" si="5"/>
        <v>29.25</v>
      </c>
      <c r="O147" s="136">
        <f t="shared" si="4"/>
        <v>429.875</v>
      </c>
    </row>
    <row r="148" spans="12:15" x14ac:dyDescent="0.35">
      <c r="L148" s="136">
        <v>146</v>
      </c>
      <c r="M148" s="136">
        <v>29</v>
      </c>
      <c r="N148" s="136">
        <f t="shared" si="5"/>
        <v>28.875</v>
      </c>
      <c r="O148" s="136">
        <f t="shared" si="4"/>
        <v>429.875</v>
      </c>
    </row>
    <row r="149" spans="12:15" x14ac:dyDescent="0.35">
      <c r="L149" s="136">
        <v>147</v>
      </c>
      <c r="M149" s="136">
        <v>33</v>
      </c>
      <c r="N149" s="136">
        <f t="shared" si="5"/>
        <v>29.25</v>
      </c>
      <c r="O149" s="136">
        <f t="shared" si="4"/>
        <v>429.875</v>
      </c>
    </row>
    <row r="150" spans="12:15" x14ac:dyDescent="0.35">
      <c r="L150" s="136">
        <v>148</v>
      </c>
      <c r="M150" s="136">
        <v>31</v>
      </c>
      <c r="N150" s="136">
        <f t="shared" si="5"/>
        <v>28.125</v>
      </c>
      <c r="O150" s="136">
        <f t="shared" si="4"/>
        <v>429.875</v>
      </c>
    </row>
    <row r="151" spans="12:15" x14ac:dyDescent="0.35">
      <c r="L151" s="136">
        <v>149</v>
      </c>
      <c r="M151" s="136">
        <v>22</v>
      </c>
      <c r="N151" s="136">
        <f t="shared" si="5"/>
        <v>28.25</v>
      </c>
      <c r="O151" s="136">
        <f t="shared" si="4"/>
        <v>429.875</v>
      </c>
    </row>
    <row r="152" spans="12:15" x14ac:dyDescent="0.35">
      <c r="L152" s="136">
        <v>150</v>
      </c>
      <c r="M152" s="136">
        <v>27</v>
      </c>
      <c r="N152" s="136">
        <f t="shared" si="5"/>
        <v>28.5</v>
      </c>
      <c r="O152" s="136">
        <f t="shared" si="4"/>
        <v>429.875</v>
      </c>
    </row>
    <row r="153" spans="12:15" x14ac:dyDescent="0.35">
      <c r="L153" s="136">
        <v>151</v>
      </c>
      <c r="M153" s="136">
        <v>33</v>
      </c>
      <c r="N153" s="136">
        <f t="shared" si="5"/>
        <v>29.625</v>
      </c>
      <c r="O153" s="136">
        <f t="shared" si="4"/>
        <v>429.875</v>
      </c>
    </row>
    <row r="154" spans="12:15" x14ac:dyDescent="0.35">
      <c r="L154" s="136">
        <v>152</v>
      </c>
      <c r="M154" s="136">
        <v>26</v>
      </c>
      <c r="N154" s="136">
        <f t="shared" si="5"/>
        <v>29.625</v>
      </c>
      <c r="O154" s="136">
        <f t="shared" si="4"/>
        <v>429.875</v>
      </c>
    </row>
    <row r="155" spans="12:15" x14ac:dyDescent="0.35">
      <c r="L155" s="136">
        <v>153</v>
      </c>
      <c r="M155" s="136">
        <v>25</v>
      </c>
      <c r="N155" s="136">
        <f t="shared" si="5"/>
        <v>31.625</v>
      </c>
      <c r="O155" s="136">
        <f t="shared" si="4"/>
        <v>429.875</v>
      </c>
    </row>
    <row r="156" spans="12:15" x14ac:dyDescent="0.35">
      <c r="L156" s="136">
        <v>154</v>
      </c>
      <c r="M156" s="136">
        <v>31</v>
      </c>
      <c r="N156" s="136">
        <f t="shared" si="5"/>
        <v>32.75</v>
      </c>
      <c r="O156" s="136">
        <f t="shared" si="4"/>
        <v>429.875</v>
      </c>
    </row>
    <row r="157" spans="12:15" x14ac:dyDescent="0.35">
      <c r="L157" s="136">
        <v>155</v>
      </c>
      <c r="M157" s="136">
        <v>42</v>
      </c>
      <c r="N157" s="136">
        <f t="shared" si="5"/>
        <v>33.75</v>
      </c>
      <c r="O157" s="136">
        <f t="shared" si="4"/>
        <v>429.875</v>
      </c>
    </row>
    <row r="158" spans="12:15" x14ac:dyDescent="0.35">
      <c r="L158" s="136">
        <v>156</v>
      </c>
      <c r="M158" s="136">
        <v>31</v>
      </c>
      <c r="N158" s="136">
        <f t="shared" si="5"/>
        <v>36.125</v>
      </c>
      <c r="O158" s="136">
        <f t="shared" si="4"/>
        <v>429.875</v>
      </c>
    </row>
    <row r="159" spans="12:15" x14ac:dyDescent="0.35">
      <c r="L159" s="136">
        <v>157</v>
      </c>
      <c r="M159" s="136">
        <v>38</v>
      </c>
      <c r="N159" s="136">
        <f t="shared" si="5"/>
        <v>37.25</v>
      </c>
      <c r="O159" s="136">
        <f t="shared" si="4"/>
        <v>429.875</v>
      </c>
    </row>
    <row r="160" spans="12:15" x14ac:dyDescent="0.35">
      <c r="L160" s="136">
        <v>158</v>
      </c>
      <c r="M160" s="136">
        <v>36</v>
      </c>
      <c r="N160" s="136">
        <f t="shared" si="5"/>
        <v>38.5</v>
      </c>
      <c r="O160" s="136">
        <f t="shared" si="4"/>
        <v>429.875</v>
      </c>
    </row>
    <row r="161" spans="12:15" x14ac:dyDescent="0.35">
      <c r="L161" s="136">
        <v>159</v>
      </c>
      <c r="M161" s="136">
        <v>41</v>
      </c>
      <c r="N161" s="136">
        <f t="shared" si="5"/>
        <v>39</v>
      </c>
      <c r="O161" s="136">
        <f t="shared" si="4"/>
        <v>429.875</v>
      </c>
    </row>
    <row r="162" spans="12:15" x14ac:dyDescent="0.35">
      <c r="L162" s="136">
        <v>160</v>
      </c>
      <c r="M162" s="136">
        <v>45</v>
      </c>
      <c r="N162" s="136">
        <f t="shared" si="5"/>
        <v>42.125</v>
      </c>
      <c r="O162" s="136">
        <f t="shared" si="4"/>
        <v>429.875</v>
      </c>
    </row>
    <row r="163" spans="12:15" x14ac:dyDescent="0.35">
      <c r="L163" s="136">
        <v>161</v>
      </c>
      <c r="M163" s="136">
        <v>34</v>
      </c>
      <c r="N163" s="136">
        <f t="shared" si="5"/>
        <v>43.875</v>
      </c>
      <c r="O163" s="136">
        <f t="shared" si="4"/>
        <v>429.875</v>
      </c>
    </row>
    <row r="164" spans="12:15" x14ac:dyDescent="0.35">
      <c r="L164" s="136">
        <v>162</v>
      </c>
      <c r="M164" s="136">
        <v>41</v>
      </c>
      <c r="N164" s="136">
        <f t="shared" si="5"/>
        <v>46.625</v>
      </c>
      <c r="O164" s="136">
        <f t="shared" si="4"/>
        <v>429.875</v>
      </c>
    </row>
    <row r="165" spans="12:15" x14ac:dyDescent="0.35">
      <c r="L165" s="136">
        <v>163</v>
      </c>
      <c r="M165" s="136">
        <v>46</v>
      </c>
      <c r="N165" s="136">
        <f t="shared" si="5"/>
        <v>47.5</v>
      </c>
      <c r="O165" s="136">
        <f t="shared" si="4"/>
        <v>429.875</v>
      </c>
    </row>
    <row r="166" spans="12:15" x14ac:dyDescent="0.35">
      <c r="L166" s="136">
        <v>164</v>
      </c>
      <c r="M166" s="136">
        <v>56</v>
      </c>
      <c r="N166" s="136">
        <f t="shared" si="5"/>
        <v>50</v>
      </c>
      <c r="O166" s="136">
        <f t="shared" si="4"/>
        <v>429.875</v>
      </c>
    </row>
    <row r="167" spans="12:15" x14ac:dyDescent="0.35">
      <c r="L167" s="136">
        <v>165</v>
      </c>
      <c r="M167" s="136">
        <v>52</v>
      </c>
      <c r="N167" s="136">
        <f t="shared" si="5"/>
        <v>53.875</v>
      </c>
      <c r="O167" s="136">
        <f t="shared" si="4"/>
        <v>429.875</v>
      </c>
    </row>
    <row r="168" spans="12:15" x14ac:dyDescent="0.35">
      <c r="L168" s="136">
        <v>166</v>
      </c>
      <c r="M168" s="136">
        <v>58</v>
      </c>
      <c r="N168" s="136">
        <f t="shared" si="5"/>
        <v>56.875</v>
      </c>
      <c r="O168" s="136">
        <f t="shared" si="4"/>
        <v>429.875</v>
      </c>
    </row>
    <row r="169" spans="12:15" x14ac:dyDescent="0.35">
      <c r="L169" s="136">
        <v>167</v>
      </c>
      <c r="M169" s="136">
        <v>48</v>
      </c>
      <c r="N169" s="136">
        <f t="shared" si="5"/>
        <v>61.875</v>
      </c>
      <c r="O169" s="136">
        <f t="shared" si="4"/>
        <v>429.875</v>
      </c>
    </row>
    <row r="170" spans="12:15" x14ac:dyDescent="0.35">
      <c r="L170" s="136">
        <v>168</v>
      </c>
      <c r="M170" s="136">
        <v>65</v>
      </c>
      <c r="N170" s="136">
        <f t="shared" si="5"/>
        <v>66</v>
      </c>
      <c r="O170" s="136">
        <f t="shared" si="4"/>
        <v>429.875</v>
      </c>
    </row>
    <row r="171" spans="12:15" x14ac:dyDescent="0.35">
      <c r="L171" s="136">
        <v>169</v>
      </c>
      <c r="M171" s="136">
        <v>65</v>
      </c>
      <c r="N171" s="136">
        <f t="shared" si="5"/>
        <v>68.375</v>
      </c>
      <c r="O171" s="136">
        <f t="shared" si="4"/>
        <v>429.875</v>
      </c>
    </row>
    <row r="172" spans="12:15" x14ac:dyDescent="0.35">
      <c r="L172" s="136">
        <v>170</v>
      </c>
      <c r="M172" s="136">
        <v>65</v>
      </c>
      <c r="N172" s="136">
        <f t="shared" si="5"/>
        <v>70.875</v>
      </c>
      <c r="O172" s="136">
        <f t="shared" si="4"/>
        <v>429.875</v>
      </c>
    </row>
    <row r="173" spans="12:15" x14ac:dyDescent="0.35">
      <c r="L173" s="136">
        <v>171</v>
      </c>
      <c r="M173" s="136">
        <v>86</v>
      </c>
      <c r="N173" s="136">
        <f t="shared" si="5"/>
        <v>77.25</v>
      </c>
      <c r="O173" s="136">
        <f t="shared" si="4"/>
        <v>429.875</v>
      </c>
    </row>
    <row r="174" spans="12:15" x14ac:dyDescent="0.35">
      <c r="L174" s="136">
        <v>172</v>
      </c>
      <c r="M174" s="136">
        <v>89</v>
      </c>
      <c r="N174" s="136">
        <f t="shared" si="5"/>
        <v>81</v>
      </c>
      <c r="O174" s="136">
        <f t="shared" si="4"/>
        <v>429.875</v>
      </c>
    </row>
    <row r="175" spans="12:15" x14ac:dyDescent="0.35">
      <c r="L175" s="136">
        <v>173</v>
      </c>
      <c r="M175" s="136">
        <v>71</v>
      </c>
      <c r="N175" s="136">
        <f t="shared" si="5"/>
        <v>87.125</v>
      </c>
      <c r="O175" s="136">
        <f t="shared" si="4"/>
        <v>429.875</v>
      </c>
    </row>
    <row r="176" spans="12:15" x14ac:dyDescent="0.35">
      <c r="L176" s="136">
        <v>174</v>
      </c>
      <c r="M176" s="136">
        <v>78</v>
      </c>
      <c r="N176" s="136">
        <f t="shared" si="5"/>
        <v>97.5</v>
      </c>
      <c r="O176" s="136">
        <f t="shared" si="4"/>
        <v>429.875</v>
      </c>
    </row>
    <row r="177" spans="12:15" x14ac:dyDescent="0.35">
      <c r="L177" s="136">
        <v>175</v>
      </c>
      <c r="M177" s="136">
        <v>99</v>
      </c>
      <c r="N177" s="136">
        <f t="shared" si="5"/>
        <v>104.25</v>
      </c>
      <c r="O177" s="136">
        <f t="shared" si="4"/>
        <v>429.875</v>
      </c>
    </row>
    <row r="178" spans="12:15" x14ac:dyDescent="0.35">
      <c r="L178" s="136">
        <v>176</v>
      </c>
      <c r="M178" s="136">
        <v>95</v>
      </c>
      <c r="N178" s="136">
        <f t="shared" si="5"/>
        <v>108.75</v>
      </c>
      <c r="O178" s="136">
        <f t="shared" si="4"/>
        <v>429.875</v>
      </c>
    </row>
    <row r="179" spans="12:15" x14ac:dyDescent="0.35">
      <c r="L179" s="136">
        <v>177</v>
      </c>
      <c r="M179" s="136">
        <v>114</v>
      </c>
      <c r="N179" s="136">
        <f t="shared" si="5"/>
        <v>119.875</v>
      </c>
      <c r="O179" s="136">
        <f t="shared" si="4"/>
        <v>429.875</v>
      </c>
    </row>
    <row r="180" spans="12:15" x14ac:dyDescent="0.35">
      <c r="L180" s="136">
        <v>178</v>
      </c>
      <c r="M180" s="136">
        <v>148</v>
      </c>
      <c r="N180" s="136">
        <f t="shared" si="5"/>
        <v>131.875</v>
      </c>
      <c r="O180" s="136">
        <f t="shared" si="4"/>
        <v>429.875</v>
      </c>
    </row>
    <row r="181" spans="12:15" x14ac:dyDescent="0.35">
      <c r="L181" s="136">
        <v>179</v>
      </c>
      <c r="M181" s="136">
        <v>140</v>
      </c>
      <c r="N181" s="136">
        <f t="shared" si="5"/>
        <v>146.125</v>
      </c>
      <c r="O181" s="136">
        <f t="shared" si="4"/>
        <v>429.875</v>
      </c>
    </row>
    <row r="182" spans="12:15" x14ac:dyDescent="0.35">
      <c r="L182" s="136">
        <v>180</v>
      </c>
      <c r="M182" s="136">
        <v>125</v>
      </c>
      <c r="N182" s="136">
        <f t="shared" si="5"/>
        <v>157.75</v>
      </c>
      <c r="O182" s="136">
        <f t="shared" si="4"/>
        <v>429.875</v>
      </c>
    </row>
    <row r="183" spans="12:15" x14ac:dyDescent="0.35">
      <c r="L183" s="136">
        <v>181</v>
      </c>
      <c r="M183" s="136">
        <v>160</v>
      </c>
      <c r="N183" s="136">
        <f t="shared" si="5"/>
        <v>167.125</v>
      </c>
      <c r="O183" s="136">
        <f t="shared" si="4"/>
        <v>429.875</v>
      </c>
    </row>
    <row r="184" spans="12:15" x14ac:dyDescent="0.35">
      <c r="L184" s="136">
        <v>182</v>
      </c>
      <c r="M184" s="136">
        <v>174</v>
      </c>
      <c r="N184" s="136">
        <f t="shared" si="5"/>
        <v>176.5</v>
      </c>
      <c r="O184" s="136">
        <f t="shared" si="4"/>
        <v>429.875</v>
      </c>
    </row>
    <row r="185" spans="12:15" x14ac:dyDescent="0.35">
      <c r="L185" s="136">
        <v>183</v>
      </c>
      <c r="M185" s="136">
        <v>213</v>
      </c>
      <c r="N185" s="136">
        <f t="shared" si="5"/>
        <v>189.125</v>
      </c>
      <c r="O185" s="136">
        <f t="shared" si="4"/>
        <v>429.875</v>
      </c>
    </row>
    <row r="186" spans="12:15" x14ac:dyDescent="0.35">
      <c r="L186" s="136">
        <v>184</v>
      </c>
      <c r="M186" s="136">
        <v>188</v>
      </c>
      <c r="N186" s="136">
        <f t="shared" si="5"/>
        <v>202.5</v>
      </c>
      <c r="O186" s="136">
        <f t="shared" si="4"/>
        <v>429.875</v>
      </c>
    </row>
    <row r="187" spans="12:15" x14ac:dyDescent="0.35">
      <c r="L187" s="136">
        <v>185</v>
      </c>
      <c r="M187" s="136">
        <v>189</v>
      </c>
      <c r="N187" s="136">
        <f t="shared" si="5"/>
        <v>216.375</v>
      </c>
      <c r="O187" s="136">
        <f t="shared" si="4"/>
        <v>429.875</v>
      </c>
    </row>
    <row r="188" spans="12:15" x14ac:dyDescent="0.35">
      <c r="L188" s="136">
        <v>186</v>
      </c>
      <c r="M188" s="136">
        <v>223</v>
      </c>
      <c r="N188" s="136">
        <f t="shared" si="5"/>
        <v>228.875</v>
      </c>
      <c r="O188" s="136">
        <f t="shared" si="4"/>
        <v>429.875</v>
      </c>
    </row>
    <row r="189" spans="12:15" x14ac:dyDescent="0.35">
      <c r="L189" s="136">
        <v>187</v>
      </c>
      <c r="M189" s="136">
        <v>241</v>
      </c>
      <c r="N189" s="136">
        <f t="shared" si="5"/>
        <v>244.5</v>
      </c>
      <c r="O189" s="136">
        <f t="shared" si="4"/>
        <v>429.875</v>
      </c>
    </row>
    <row r="190" spans="12:15" x14ac:dyDescent="0.35">
      <c r="L190" s="136">
        <v>188</v>
      </c>
      <c r="M190" s="136">
        <v>232</v>
      </c>
      <c r="N190" s="136">
        <f t="shared" si="5"/>
        <v>261.5</v>
      </c>
      <c r="O190" s="136">
        <f t="shared" si="4"/>
        <v>429.875</v>
      </c>
    </row>
    <row r="191" spans="12:15" x14ac:dyDescent="0.35">
      <c r="L191" s="136">
        <v>189</v>
      </c>
      <c r="M191" s="136">
        <v>271</v>
      </c>
      <c r="N191" s="136">
        <f t="shared" si="5"/>
        <v>283.5</v>
      </c>
      <c r="O191" s="136">
        <f t="shared" si="4"/>
        <v>429.875</v>
      </c>
    </row>
    <row r="192" spans="12:15" x14ac:dyDescent="0.35">
      <c r="L192" s="136">
        <v>190</v>
      </c>
      <c r="M192" s="136">
        <v>274</v>
      </c>
      <c r="N192" s="136">
        <f t="shared" si="5"/>
        <v>303.75</v>
      </c>
      <c r="O192" s="136">
        <f t="shared" si="4"/>
        <v>429.875</v>
      </c>
    </row>
    <row r="193" spans="12:17" x14ac:dyDescent="0.35">
      <c r="L193" s="136">
        <v>191</v>
      </c>
      <c r="M193" s="136">
        <v>338</v>
      </c>
      <c r="N193" s="136">
        <f t="shared" si="5"/>
        <v>323</v>
      </c>
      <c r="O193" s="136">
        <f t="shared" si="4"/>
        <v>429.875</v>
      </c>
    </row>
    <row r="194" spans="12:17" x14ac:dyDescent="0.35">
      <c r="L194" s="136">
        <v>192</v>
      </c>
      <c r="M194" s="136">
        <v>324</v>
      </c>
      <c r="N194" s="136">
        <f t="shared" si="5"/>
        <v>353.75</v>
      </c>
      <c r="O194" s="136">
        <f t="shared" ref="O194:O257" si="6">MAX($A$35)/2</f>
        <v>429.875</v>
      </c>
    </row>
    <row r="195" spans="12:17" x14ac:dyDescent="0.35">
      <c r="L195" s="136">
        <v>193</v>
      </c>
      <c r="M195" s="136">
        <v>365</v>
      </c>
      <c r="N195" s="136">
        <f t="shared" si="5"/>
        <v>377.25</v>
      </c>
      <c r="O195" s="136">
        <f t="shared" si="6"/>
        <v>429.875</v>
      </c>
    </row>
    <row r="196" spans="12:17" x14ac:dyDescent="0.35">
      <c r="L196" s="136">
        <v>194</v>
      </c>
      <c r="M196" s="136">
        <v>385</v>
      </c>
      <c r="N196" s="136">
        <f t="shared" si="5"/>
        <v>407.75</v>
      </c>
      <c r="O196" s="136">
        <f t="shared" si="6"/>
        <v>429.875</v>
      </c>
    </row>
    <row r="197" spans="12:17" x14ac:dyDescent="0.35">
      <c r="L197" s="136">
        <v>195</v>
      </c>
      <c r="M197" s="136">
        <v>395</v>
      </c>
      <c r="N197" s="136">
        <f t="shared" ref="N197:N260" si="7">AVERAGE(M194:M201)</f>
        <v>433.375</v>
      </c>
      <c r="O197" s="136">
        <f t="shared" si="6"/>
        <v>429.875</v>
      </c>
    </row>
    <row r="198" spans="12:17" x14ac:dyDescent="0.35">
      <c r="L198" s="136">
        <v>196</v>
      </c>
      <c r="M198" s="136">
        <v>478</v>
      </c>
      <c r="N198" s="136">
        <f t="shared" si="7"/>
        <v>461.125</v>
      </c>
      <c r="O198" s="136">
        <f t="shared" si="6"/>
        <v>429.875</v>
      </c>
    </row>
    <row r="199" spans="12:17" x14ac:dyDescent="0.35">
      <c r="L199" s="136">
        <v>197</v>
      </c>
      <c r="M199" s="136">
        <v>459</v>
      </c>
      <c r="N199" s="136">
        <f t="shared" si="7"/>
        <v>489.25</v>
      </c>
      <c r="O199" s="136">
        <f t="shared" si="6"/>
        <v>429.875</v>
      </c>
    </row>
    <row r="200" spans="12:17" x14ac:dyDescent="0.35">
      <c r="L200" s="136">
        <v>198</v>
      </c>
      <c r="M200" s="136">
        <v>518</v>
      </c>
      <c r="N200" s="136">
        <f t="shared" si="7"/>
        <v>522</v>
      </c>
      <c r="O200" s="136">
        <f t="shared" si="6"/>
        <v>429.875</v>
      </c>
    </row>
    <row r="201" spans="12:17" x14ac:dyDescent="0.35">
      <c r="L201" s="136">
        <v>199</v>
      </c>
      <c r="M201" s="136">
        <v>543</v>
      </c>
      <c r="N201" s="136">
        <f t="shared" si="7"/>
        <v>549.875</v>
      </c>
      <c r="O201" s="136">
        <f t="shared" si="6"/>
        <v>429.875</v>
      </c>
    </row>
    <row r="202" spans="12:17" x14ac:dyDescent="0.35">
      <c r="L202" s="136">
        <v>200</v>
      </c>
      <c r="M202" s="136">
        <v>546</v>
      </c>
      <c r="N202" s="136">
        <f t="shared" si="7"/>
        <v>573.875</v>
      </c>
      <c r="O202" s="136">
        <f t="shared" si="6"/>
        <v>429.875</v>
      </c>
      <c r="Q202" s="136">
        <v>2</v>
      </c>
    </row>
    <row r="203" spans="12:17" x14ac:dyDescent="0.35">
      <c r="L203" s="136">
        <v>201</v>
      </c>
      <c r="M203" s="136">
        <v>590</v>
      </c>
      <c r="N203" s="136">
        <f t="shared" si="7"/>
        <v>603.5</v>
      </c>
      <c r="O203" s="136">
        <f t="shared" si="6"/>
        <v>429.875</v>
      </c>
      <c r="Q203" s="136">
        <v>2</v>
      </c>
    </row>
    <row r="204" spans="12:17" x14ac:dyDescent="0.35">
      <c r="L204" s="136">
        <v>202</v>
      </c>
      <c r="M204" s="136">
        <v>647</v>
      </c>
      <c r="N204" s="136">
        <f t="shared" si="7"/>
        <v>633</v>
      </c>
      <c r="O204" s="136">
        <f t="shared" si="6"/>
        <v>429.875</v>
      </c>
      <c r="Q204" s="136">
        <v>7</v>
      </c>
    </row>
    <row r="205" spans="12:17" x14ac:dyDescent="0.35">
      <c r="L205" s="136">
        <v>203</v>
      </c>
      <c r="M205" s="136">
        <v>618</v>
      </c>
      <c r="N205" s="136">
        <f t="shared" si="7"/>
        <v>659.375</v>
      </c>
      <c r="O205" s="136">
        <f t="shared" si="6"/>
        <v>429.875</v>
      </c>
      <c r="Q205" s="136">
        <v>12</v>
      </c>
    </row>
    <row r="206" spans="12:17" x14ac:dyDescent="0.35">
      <c r="L206" s="136">
        <v>204</v>
      </c>
      <c r="M206" s="136">
        <v>670</v>
      </c>
      <c r="N206" s="136">
        <f t="shared" si="7"/>
        <v>682.125</v>
      </c>
      <c r="O206" s="136">
        <f t="shared" si="6"/>
        <v>429.875</v>
      </c>
      <c r="Q206" s="136">
        <v>9</v>
      </c>
    </row>
    <row r="207" spans="12:17" x14ac:dyDescent="0.35">
      <c r="L207" s="136">
        <v>205</v>
      </c>
      <c r="M207" s="136">
        <v>696</v>
      </c>
      <c r="N207" s="136">
        <f t="shared" si="7"/>
        <v>701.125</v>
      </c>
      <c r="O207" s="136">
        <f t="shared" si="6"/>
        <v>429.875</v>
      </c>
      <c r="Q207" s="136">
        <v>2</v>
      </c>
    </row>
    <row r="208" spans="12:17" x14ac:dyDescent="0.35">
      <c r="L208" s="136">
        <v>206</v>
      </c>
      <c r="M208" s="136">
        <v>754</v>
      </c>
      <c r="N208" s="136">
        <f t="shared" si="7"/>
        <v>721.5</v>
      </c>
      <c r="O208" s="136">
        <f t="shared" si="6"/>
        <v>429.875</v>
      </c>
      <c r="Q208" s="136">
        <v>9</v>
      </c>
    </row>
    <row r="209" spans="12:17" x14ac:dyDescent="0.35">
      <c r="L209" s="136">
        <v>207</v>
      </c>
      <c r="M209" s="136">
        <v>754</v>
      </c>
      <c r="N209" s="136">
        <f t="shared" si="7"/>
        <v>748.5</v>
      </c>
      <c r="O209" s="136">
        <f t="shared" si="6"/>
        <v>429.875</v>
      </c>
      <c r="Q209" s="136">
        <v>8</v>
      </c>
    </row>
    <row r="210" spans="12:17" x14ac:dyDescent="0.35">
      <c r="L210" s="136">
        <v>208</v>
      </c>
      <c r="M210" s="136">
        <v>728</v>
      </c>
      <c r="N210" s="136">
        <f t="shared" si="7"/>
        <v>762.25</v>
      </c>
      <c r="O210" s="136">
        <f t="shared" si="6"/>
        <v>429.875</v>
      </c>
      <c r="Q210" s="136">
        <v>6</v>
      </c>
    </row>
    <row r="211" spans="12:17" x14ac:dyDescent="0.35">
      <c r="L211" s="136">
        <v>209</v>
      </c>
      <c r="M211" s="136">
        <v>742</v>
      </c>
      <c r="N211" s="136">
        <f t="shared" si="7"/>
        <v>782.625</v>
      </c>
      <c r="O211" s="136">
        <f t="shared" si="6"/>
        <v>429.875</v>
      </c>
      <c r="Q211" s="136">
        <v>7</v>
      </c>
    </row>
    <row r="212" spans="12:17" x14ac:dyDescent="0.35">
      <c r="L212" s="136">
        <v>210</v>
      </c>
      <c r="M212" s="136">
        <v>810</v>
      </c>
      <c r="N212" s="136">
        <f t="shared" si="7"/>
        <v>792.75</v>
      </c>
      <c r="O212" s="136">
        <f t="shared" si="6"/>
        <v>429.875</v>
      </c>
      <c r="Q212" s="136">
        <v>15</v>
      </c>
    </row>
    <row r="213" spans="12:17" x14ac:dyDescent="0.35">
      <c r="L213" s="136">
        <v>211</v>
      </c>
      <c r="M213" s="136">
        <v>834</v>
      </c>
      <c r="N213" s="136">
        <f t="shared" si="7"/>
        <v>806.5</v>
      </c>
      <c r="O213" s="136">
        <f t="shared" si="6"/>
        <v>429.875</v>
      </c>
      <c r="Q213" s="136">
        <v>6</v>
      </c>
    </row>
    <row r="214" spans="12:17" x14ac:dyDescent="0.35">
      <c r="L214" s="136">
        <v>212</v>
      </c>
      <c r="M214" s="136">
        <v>780</v>
      </c>
      <c r="N214" s="136">
        <f t="shared" si="7"/>
        <v>823.125</v>
      </c>
      <c r="O214" s="136">
        <f t="shared" si="6"/>
        <v>429.875</v>
      </c>
      <c r="Q214" s="136">
        <v>6</v>
      </c>
    </row>
    <row r="215" spans="12:17" x14ac:dyDescent="0.35">
      <c r="L215" s="136">
        <v>213</v>
      </c>
      <c r="M215" s="136">
        <v>859</v>
      </c>
      <c r="N215" s="136">
        <f t="shared" si="7"/>
        <v>842</v>
      </c>
      <c r="O215" s="136">
        <f t="shared" si="6"/>
        <v>429.875</v>
      </c>
      <c r="Q215" s="136">
        <v>3</v>
      </c>
    </row>
    <row r="216" spans="12:17" x14ac:dyDescent="0.35">
      <c r="L216" s="136">
        <v>214</v>
      </c>
      <c r="M216" s="136">
        <v>835</v>
      </c>
      <c r="N216" s="136">
        <f t="shared" si="7"/>
        <v>847.375</v>
      </c>
      <c r="O216" s="136">
        <f t="shared" si="6"/>
        <v>429.875</v>
      </c>
      <c r="Q216" s="136">
        <v>8</v>
      </c>
    </row>
    <row r="217" spans="12:17" x14ac:dyDescent="0.35">
      <c r="L217" s="136">
        <v>215</v>
      </c>
      <c r="M217" s="136">
        <v>864</v>
      </c>
      <c r="N217" s="136">
        <f t="shared" si="7"/>
        <v>849.375</v>
      </c>
      <c r="O217" s="136">
        <f t="shared" si="6"/>
        <v>429.875</v>
      </c>
      <c r="Q217" s="136">
        <v>9</v>
      </c>
    </row>
    <row r="218" spans="12:17" x14ac:dyDescent="0.35">
      <c r="L218" s="136">
        <v>216</v>
      </c>
      <c r="M218" s="136">
        <v>861</v>
      </c>
      <c r="N218" s="136">
        <f t="shared" si="7"/>
        <v>859.75</v>
      </c>
      <c r="O218" s="136">
        <f t="shared" si="6"/>
        <v>429.875</v>
      </c>
      <c r="Q218" s="136">
        <v>8</v>
      </c>
    </row>
    <row r="219" spans="12:17" x14ac:dyDescent="0.35">
      <c r="L219" s="136">
        <v>217</v>
      </c>
      <c r="M219" s="136">
        <v>893</v>
      </c>
      <c r="N219" s="136">
        <f t="shared" si="7"/>
        <v>852.125</v>
      </c>
      <c r="O219" s="136">
        <f t="shared" si="6"/>
        <v>429.875</v>
      </c>
      <c r="Q219" s="136">
        <v>6</v>
      </c>
    </row>
    <row r="220" spans="12:17" x14ac:dyDescent="0.35">
      <c r="L220" s="136">
        <v>218</v>
      </c>
      <c r="M220" s="136">
        <v>853</v>
      </c>
      <c r="N220" s="136">
        <f t="shared" si="7"/>
        <v>849.875</v>
      </c>
      <c r="O220" s="136">
        <f t="shared" si="6"/>
        <v>429.875</v>
      </c>
      <c r="Q220" s="136">
        <v>10</v>
      </c>
    </row>
    <row r="221" spans="12:17" x14ac:dyDescent="0.35">
      <c r="L221" s="136">
        <v>219</v>
      </c>
      <c r="M221" s="136">
        <v>850</v>
      </c>
      <c r="N221" s="136">
        <f t="shared" si="7"/>
        <v>848</v>
      </c>
      <c r="O221" s="136">
        <f t="shared" si="6"/>
        <v>429.875</v>
      </c>
      <c r="Q221" s="136">
        <v>8</v>
      </c>
    </row>
    <row r="222" spans="12:17" x14ac:dyDescent="0.35">
      <c r="L222" s="136">
        <v>220</v>
      </c>
      <c r="M222" s="136">
        <v>863</v>
      </c>
      <c r="N222" s="136">
        <f t="shared" si="7"/>
        <v>849.25</v>
      </c>
      <c r="O222" s="136">
        <f t="shared" si="6"/>
        <v>429.875</v>
      </c>
      <c r="Q222" s="136">
        <v>7</v>
      </c>
    </row>
    <row r="223" spans="12:17" x14ac:dyDescent="0.35">
      <c r="L223" s="136">
        <v>221</v>
      </c>
      <c r="M223" s="136">
        <v>798</v>
      </c>
      <c r="N223" s="136">
        <f t="shared" si="7"/>
        <v>836.75</v>
      </c>
      <c r="O223" s="136">
        <f t="shared" si="6"/>
        <v>429.875</v>
      </c>
      <c r="Q223" s="136">
        <v>9</v>
      </c>
    </row>
    <row r="224" spans="12:17" x14ac:dyDescent="0.35">
      <c r="L224" s="136">
        <v>222</v>
      </c>
      <c r="M224" s="136">
        <v>817</v>
      </c>
      <c r="N224" s="136">
        <f t="shared" si="7"/>
        <v>832.75</v>
      </c>
      <c r="O224" s="136">
        <f t="shared" si="6"/>
        <v>429.875</v>
      </c>
      <c r="Q224" s="136">
        <v>7</v>
      </c>
    </row>
    <row r="225" spans="12:17" x14ac:dyDescent="0.35">
      <c r="L225" s="136">
        <v>223</v>
      </c>
      <c r="M225" s="136">
        <v>849</v>
      </c>
      <c r="N225" s="136">
        <f t="shared" si="7"/>
        <v>825.75</v>
      </c>
      <c r="O225" s="136">
        <f t="shared" si="6"/>
        <v>429.875</v>
      </c>
      <c r="Q225" s="136">
        <v>7</v>
      </c>
    </row>
    <row r="226" spans="12:17" x14ac:dyDescent="0.35">
      <c r="L226" s="136">
        <v>224</v>
      </c>
      <c r="M226" s="136">
        <v>871</v>
      </c>
      <c r="N226" s="136">
        <f t="shared" si="7"/>
        <v>806.5</v>
      </c>
      <c r="O226" s="136">
        <f t="shared" si="6"/>
        <v>429.875</v>
      </c>
      <c r="Q226" s="136">
        <v>6</v>
      </c>
    </row>
    <row r="227" spans="12:17" x14ac:dyDescent="0.35">
      <c r="L227" s="136">
        <v>225</v>
      </c>
      <c r="M227" s="136">
        <v>793</v>
      </c>
      <c r="N227" s="136">
        <f t="shared" si="7"/>
        <v>801.375</v>
      </c>
      <c r="O227" s="136">
        <f t="shared" si="6"/>
        <v>429.875</v>
      </c>
      <c r="Q227" s="136">
        <v>5</v>
      </c>
    </row>
    <row r="228" spans="12:17" x14ac:dyDescent="0.35">
      <c r="L228" s="136">
        <v>226</v>
      </c>
      <c r="M228" s="136">
        <v>821</v>
      </c>
      <c r="N228" s="136">
        <f t="shared" si="7"/>
        <v>789.625</v>
      </c>
      <c r="O228" s="136">
        <f t="shared" si="6"/>
        <v>429.875</v>
      </c>
      <c r="Q228" s="136">
        <v>6</v>
      </c>
    </row>
    <row r="229" spans="12:17" x14ac:dyDescent="0.35">
      <c r="L229" s="136">
        <v>227</v>
      </c>
      <c r="M229" s="136">
        <v>794</v>
      </c>
      <c r="N229" s="136">
        <f t="shared" si="7"/>
        <v>764.375</v>
      </c>
      <c r="O229" s="136">
        <f t="shared" si="6"/>
        <v>429.875</v>
      </c>
      <c r="Q229" s="136">
        <v>6</v>
      </c>
    </row>
    <row r="230" spans="12:17" x14ac:dyDescent="0.35">
      <c r="L230" s="136">
        <v>228</v>
      </c>
      <c r="M230" s="136">
        <v>709</v>
      </c>
      <c r="N230" s="136">
        <f t="shared" si="7"/>
        <v>745.5</v>
      </c>
      <c r="O230" s="136">
        <f t="shared" si="6"/>
        <v>429.875</v>
      </c>
      <c r="Q230" s="136">
        <v>8</v>
      </c>
    </row>
    <row r="231" spans="12:17" x14ac:dyDescent="0.35">
      <c r="L231" s="136">
        <v>229</v>
      </c>
      <c r="M231" s="136">
        <v>757</v>
      </c>
      <c r="N231" s="136">
        <f t="shared" si="7"/>
        <v>725.25</v>
      </c>
      <c r="O231" s="136">
        <f t="shared" si="6"/>
        <v>429.875</v>
      </c>
      <c r="Q231" s="136">
        <v>8</v>
      </c>
    </row>
    <row r="232" spans="12:17" x14ac:dyDescent="0.35">
      <c r="L232" s="136">
        <v>230</v>
      </c>
      <c r="M232" s="136">
        <v>723</v>
      </c>
      <c r="N232" s="136">
        <f t="shared" si="7"/>
        <v>701</v>
      </c>
      <c r="O232" s="136">
        <f t="shared" si="6"/>
        <v>429.875</v>
      </c>
      <c r="Q232" s="136">
        <v>7</v>
      </c>
    </row>
    <row r="233" spans="12:17" x14ac:dyDescent="0.35">
      <c r="L233" s="136">
        <v>231</v>
      </c>
      <c r="M233" s="136">
        <v>647</v>
      </c>
      <c r="N233" s="136">
        <f t="shared" si="7"/>
        <v>680</v>
      </c>
      <c r="O233" s="136">
        <f t="shared" si="6"/>
        <v>429.875</v>
      </c>
      <c r="Q233" s="136">
        <v>3</v>
      </c>
    </row>
    <row r="234" spans="12:17" x14ac:dyDescent="0.35">
      <c r="L234" s="136">
        <v>232</v>
      </c>
      <c r="M234" s="136">
        <v>720</v>
      </c>
      <c r="N234" s="136">
        <f t="shared" si="7"/>
        <v>656.25</v>
      </c>
      <c r="O234" s="136">
        <f t="shared" si="6"/>
        <v>429.875</v>
      </c>
      <c r="Q234" s="136">
        <v>6</v>
      </c>
    </row>
    <row r="235" spans="12:17" x14ac:dyDescent="0.35">
      <c r="L235" s="136">
        <v>233</v>
      </c>
      <c r="M235" s="136">
        <v>631</v>
      </c>
      <c r="N235" s="136">
        <f t="shared" si="7"/>
        <v>625.875</v>
      </c>
      <c r="O235" s="136">
        <f t="shared" si="6"/>
        <v>429.875</v>
      </c>
      <c r="Q235" s="136">
        <v>2</v>
      </c>
    </row>
    <row r="236" spans="12:17" x14ac:dyDescent="0.35">
      <c r="L236" s="136">
        <v>234</v>
      </c>
      <c r="M236" s="136">
        <v>627</v>
      </c>
      <c r="N236" s="136">
        <f t="shared" si="7"/>
        <v>602.5</v>
      </c>
      <c r="O236" s="136">
        <f t="shared" si="6"/>
        <v>429.875</v>
      </c>
      <c r="Q236" s="136">
        <v>4</v>
      </c>
    </row>
    <row r="237" spans="12:17" x14ac:dyDescent="0.35">
      <c r="L237" s="136">
        <v>235</v>
      </c>
      <c r="M237" s="136">
        <v>626</v>
      </c>
      <c r="N237" s="136">
        <f t="shared" si="7"/>
        <v>584.875</v>
      </c>
      <c r="O237" s="136">
        <f t="shared" si="6"/>
        <v>429.875</v>
      </c>
      <c r="Q237" s="136">
        <v>5</v>
      </c>
    </row>
    <row r="238" spans="12:17" x14ac:dyDescent="0.35">
      <c r="L238" s="136">
        <v>236</v>
      </c>
      <c r="M238" s="136">
        <v>519</v>
      </c>
      <c r="N238" s="136">
        <f t="shared" si="7"/>
        <v>559.375</v>
      </c>
      <c r="O238" s="136">
        <f t="shared" si="6"/>
        <v>429.875</v>
      </c>
      <c r="Q238" s="136">
        <v>5</v>
      </c>
    </row>
    <row r="239" spans="12:17" x14ac:dyDescent="0.35">
      <c r="L239" s="136">
        <v>237</v>
      </c>
      <c r="M239" s="136">
        <v>514</v>
      </c>
      <c r="N239" s="136">
        <f t="shared" si="7"/>
        <v>539.875</v>
      </c>
      <c r="O239" s="136">
        <f t="shared" si="6"/>
        <v>429.875</v>
      </c>
      <c r="Q239" s="136">
        <v>3</v>
      </c>
    </row>
    <row r="240" spans="12:17" x14ac:dyDescent="0.35">
      <c r="L240" s="136">
        <v>238</v>
      </c>
      <c r="M240" s="136">
        <v>536</v>
      </c>
      <c r="N240" s="136">
        <f t="shared" si="7"/>
        <v>511.75</v>
      </c>
      <c r="O240" s="136">
        <f t="shared" si="6"/>
        <v>429.875</v>
      </c>
      <c r="Q240" s="136">
        <v>7</v>
      </c>
    </row>
    <row r="241" spans="12:17" x14ac:dyDescent="0.35">
      <c r="L241" s="136">
        <v>239</v>
      </c>
      <c r="M241" s="136">
        <v>506</v>
      </c>
      <c r="N241" s="136">
        <f t="shared" si="7"/>
        <v>485.125</v>
      </c>
      <c r="O241" s="136">
        <f t="shared" si="6"/>
        <v>429.875</v>
      </c>
      <c r="Q241" s="136">
        <v>12</v>
      </c>
    </row>
    <row r="242" spans="12:17" x14ac:dyDescent="0.35">
      <c r="L242" s="136">
        <v>240</v>
      </c>
      <c r="M242" s="136">
        <v>516</v>
      </c>
      <c r="N242" s="136">
        <f t="shared" si="7"/>
        <v>468.875</v>
      </c>
      <c r="O242" s="136">
        <f t="shared" si="6"/>
        <v>429.875</v>
      </c>
      <c r="Q242" s="136">
        <v>9</v>
      </c>
    </row>
    <row r="243" spans="12:17" x14ac:dyDescent="0.35">
      <c r="L243" s="136">
        <v>241</v>
      </c>
      <c r="M243" s="136">
        <v>475</v>
      </c>
      <c r="N243" s="136">
        <f t="shared" si="7"/>
        <v>453.75</v>
      </c>
      <c r="O243" s="136">
        <f t="shared" si="6"/>
        <v>429.875</v>
      </c>
      <c r="Q243" s="136">
        <v>6</v>
      </c>
    </row>
    <row r="244" spans="12:17" x14ac:dyDescent="0.35">
      <c r="L244" s="136">
        <v>242</v>
      </c>
      <c r="M244" s="136">
        <v>402</v>
      </c>
      <c r="N244" s="136">
        <f t="shared" si="7"/>
        <v>427.25</v>
      </c>
      <c r="O244" s="136">
        <f t="shared" si="6"/>
        <v>429.875</v>
      </c>
      <c r="Q244" s="136">
        <v>12</v>
      </c>
    </row>
    <row r="245" spans="12:17" x14ac:dyDescent="0.35">
      <c r="L245" s="136">
        <v>243</v>
      </c>
      <c r="M245" s="136">
        <v>413</v>
      </c>
      <c r="N245" s="136">
        <f t="shared" si="7"/>
        <v>408.375</v>
      </c>
      <c r="O245" s="136">
        <f t="shared" si="6"/>
        <v>429.875</v>
      </c>
      <c r="Q245" s="136">
        <v>8</v>
      </c>
    </row>
    <row r="246" spans="12:17" x14ac:dyDescent="0.35">
      <c r="L246" s="136">
        <v>244</v>
      </c>
      <c r="M246" s="136">
        <v>389</v>
      </c>
      <c r="N246" s="136">
        <f t="shared" si="7"/>
        <v>384.875</v>
      </c>
      <c r="O246" s="136">
        <f t="shared" si="6"/>
        <v>429.875</v>
      </c>
      <c r="Q246" s="136">
        <v>6</v>
      </c>
    </row>
    <row r="247" spans="12:17" x14ac:dyDescent="0.35">
      <c r="L247" s="136">
        <v>245</v>
      </c>
      <c r="M247" s="136">
        <v>393</v>
      </c>
      <c r="N247" s="136">
        <f t="shared" si="7"/>
        <v>362.5</v>
      </c>
      <c r="O247" s="136">
        <f t="shared" si="6"/>
        <v>429.875</v>
      </c>
      <c r="Q247" s="136">
        <v>8</v>
      </c>
    </row>
    <row r="248" spans="12:17" x14ac:dyDescent="0.35">
      <c r="L248" s="136">
        <v>246</v>
      </c>
      <c r="M248" s="136">
        <v>324</v>
      </c>
      <c r="N248" s="136">
        <f t="shared" si="7"/>
        <v>346</v>
      </c>
      <c r="O248" s="136">
        <f t="shared" si="6"/>
        <v>429.875</v>
      </c>
      <c r="Q248" s="136">
        <v>6</v>
      </c>
    </row>
    <row r="249" spans="12:17" x14ac:dyDescent="0.35">
      <c r="L249" s="136">
        <v>247</v>
      </c>
      <c r="M249" s="136">
        <v>355</v>
      </c>
      <c r="N249" s="136">
        <f t="shared" si="7"/>
        <v>321.25</v>
      </c>
      <c r="O249" s="136">
        <f t="shared" si="6"/>
        <v>429.875</v>
      </c>
      <c r="Q249" s="136">
        <v>9</v>
      </c>
    </row>
    <row r="250" spans="12:17" x14ac:dyDescent="0.35">
      <c r="L250" s="136">
        <v>248</v>
      </c>
      <c r="M250" s="136">
        <v>328</v>
      </c>
      <c r="N250" s="136">
        <f t="shared" si="7"/>
        <v>302.125</v>
      </c>
      <c r="O250" s="136">
        <f t="shared" si="6"/>
        <v>429.875</v>
      </c>
      <c r="Q250" s="136">
        <v>6</v>
      </c>
    </row>
    <row r="251" spans="12:17" x14ac:dyDescent="0.35">
      <c r="L251" s="136">
        <v>249</v>
      </c>
      <c r="M251" s="136">
        <v>296</v>
      </c>
      <c r="N251" s="136">
        <f t="shared" si="7"/>
        <v>280.25</v>
      </c>
      <c r="O251" s="136">
        <f t="shared" si="6"/>
        <v>429.875</v>
      </c>
      <c r="Q251" s="136">
        <v>9</v>
      </c>
    </row>
    <row r="252" spans="12:17" x14ac:dyDescent="0.35">
      <c r="L252" s="136">
        <v>250</v>
      </c>
      <c r="M252" s="136">
        <v>270</v>
      </c>
      <c r="N252" s="136">
        <f t="shared" si="7"/>
        <v>269.75</v>
      </c>
      <c r="O252" s="136">
        <f t="shared" si="6"/>
        <v>429.875</v>
      </c>
      <c r="Q252" s="136">
        <v>5</v>
      </c>
    </row>
    <row r="253" spans="12:17" x14ac:dyDescent="0.35">
      <c r="L253" s="136">
        <v>251</v>
      </c>
      <c r="M253" s="136">
        <v>215</v>
      </c>
      <c r="N253" s="136">
        <f t="shared" si="7"/>
        <v>247.75</v>
      </c>
      <c r="O253" s="136">
        <f t="shared" si="6"/>
        <v>429.875</v>
      </c>
      <c r="Q253" s="136">
        <v>8</v>
      </c>
    </row>
    <row r="254" spans="12:17" x14ac:dyDescent="0.35">
      <c r="L254" s="136">
        <v>252</v>
      </c>
      <c r="M254" s="136">
        <v>236</v>
      </c>
      <c r="N254" s="136">
        <f t="shared" si="7"/>
        <v>232.125</v>
      </c>
      <c r="O254" s="136">
        <f t="shared" si="6"/>
        <v>429.875</v>
      </c>
      <c r="Q254" s="136">
        <v>3</v>
      </c>
    </row>
    <row r="255" spans="12:17" x14ac:dyDescent="0.35">
      <c r="L255" s="136">
        <v>253</v>
      </c>
      <c r="M255" s="136">
        <v>218</v>
      </c>
      <c r="N255" s="136">
        <f t="shared" si="7"/>
        <v>214.75</v>
      </c>
      <c r="O255" s="136">
        <f t="shared" si="6"/>
        <v>429.875</v>
      </c>
      <c r="Q255" s="136">
        <v>4</v>
      </c>
    </row>
    <row r="256" spans="12:17" x14ac:dyDescent="0.35">
      <c r="L256" s="136">
        <v>254</v>
      </c>
      <c r="M256" s="136">
        <v>240</v>
      </c>
      <c r="N256" s="136">
        <f t="shared" si="7"/>
        <v>201.25</v>
      </c>
      <c r="O256" s="136">
        <f t="shared" si="6"/>
        <v>429.875</v>
      </c>
      <c r="Q256" s="136">
        <v>8</v>
      </c>
    </row>
    <row r="257" spans="12:17" x14ac:dyDescent="0.35">
      <c r="L257" s="136">
        <v>255</v>
      </c>
      <c r="M257" s="136">
        <v>179</v>
      </c>
      <c r="N257" s="136">
        <f t="shared" si="7"/>
        <v>193.875</v>
      </c>
      <c r="O257" s="136">
        <f t="shared" si="6"/>
        <v>429.875</v>
      </c>
      <c r="Q257" s="136">
        <v>4</v>
      </c>
    </row>
    <row r="258" spans="12:17" x14ac:dyDescent="0.35">
      <c r="L258" s="136">
        <v>256</v>
      </c>
      <c r="M258" s="136">
        <v>203</v>
      </c>
      <c r="N258" s="136">
        <f t="shared" si="7"/>
        <v>182.625</v>
      </c>
      <c r="O258" s="136">
        <f t="shared" ref="O258:O321" si="8">MAX($A$35)/2</f>
        <v>429.875</v>
      </c>
      <c r="Q258" s="136">
        <v>5</v>
      </c>
    </row>
    <row r="259" spans="12:17" x14ac:dyDescent="0.35">
      <c r="L259" s="136">
        <v>257</v>
      </c>
      <c r="M259" s="136">
        <v>157</v>
      </c>
      <c r="N259" s="136">
        <f t="shared" si="7"/>
        <v>172.125</v>
      </c>
      <c r="O259" s="136">
        <f t="shared" si="8"/>
        <v>429.875</v>
      </c>
      <c r="Q259" s="136">
        <v>4</v>
      </c>
    </row>
    <row r="260" spans="12:17" x14ac:dyDescent="0.35">
      <c r="L260" s="136">
        <v>258</v>
      </c>
      <c r="M260" s="136">
        <v>162</v>
      </c>
      <c r="N260" s="136">
        <f t="shared" si="7"/>
        <v>157.625</v>
      </c>
      <c r="O260" s="136">
        <f t="shared" si="8"/>
        <v>429.875</v>
      </c>
      <c r="Q260" s="136">
        <v>6</v>
      </c>
    </row>
    <row r="261" spans="12:17" x14ac:dyDescent="0.35">
      <c r="L261" s="136">
        <v>259</v>
      </c>
      <c r="M261" s="136">
        <v>156</v>
      </c>
      <c r="N261" s="136">
        <f t="shared" ref="N261:N324" si="9">AVERAGE(M258:M265)</f>
        <v>149.25</v>
      </c>
      <c r="O261" s="136">
        <f t="shared" si="8"/>
        <v>429.875</v>
      </c>
      <c r="Q261" s="136">
        <v>5</v>
      </c>
    </row>
    <row r="262" spans="12:17" x14ac:dyDescent="0.35">
      <c r="L262" s="136">
        <v>260</v>
      </c>
      <c r="M262" s="136">
        <v>146</v>
      </c>
      <c r="N262" s="136">
        <f t="shared" si="9"/>
        <v>137</v>
      </c>
      <c r="O262" s="136">
        <f t="shared" si="8"/>
        <v>429.875</v>
      </c>
      <c r="Q262" s="136">
        <v>10</v>
      </c>
    </row>
    <row r="263" spans="12:17" x14ac:dyDescent="0.35">
      <c r="L263" s="136">
        <v>261</v>
      </c>
      <c r="M263" s="136">
        <v>134</v>
      </c>
      <c r="N263" s="136">
        <f t="shared" si="9"/>
        <v>130.375</v>
      </c>
      <c r="O263" s="136">
        <f t="shared" si="8"/>
        <v>429.875</v>
      </c>
      <c r="Q263" s="136">
        <v>15</v>
      </c>
    </row>
    <row r="264" spans="12:17" x14ac:dyDescent="0.35">
      <c r="L264" s="136">
        <v>262</v>
      </c>
      <c r="M264" s="136">
        <v>124</v>
      </c>
      <c r="N264" s="136">
        <f t="shared" si="9"/>
        <v>121.25</v>
      </c>
      <c r="O264" s="136">
        <f t="shared" si="8"/>
        <v>429.875</v>
      </c>
      <c r="Q264" s="136">
        <v>6</v>
      </c>
    </row>
    <row r="265" spans="12:17" x14ac:dyDescent="0.35">
      <c r="L265" s="136">
        <v>263</v>
      </c>
      <c r="M265" s="136">
        <v>112</v>
      </c>
      <c r="N265" s="136">
        <f t="shared" si="9"/>
        <v>112.25</v>
      </c>
      <c r="O265" s="136">
        <f t="shared" si="8"/>
        <v>429.875</v>
      </c>
      <c r="Q265" s="136">
        <v>4</v>
      </c>
    </row>
    <row r="266" spans="12:17" x14ac:dyDescent="0.35">
      <c r="L266" s="136">
        <v>264</v>
      </c>
      <c r="M266" s="136">
        <v>105</v>
      </c>
      <c r="N266" s="136">
        <f t="shared" si="9"/>
        <v>102.625</v>
      </c>
      <c r="O266" s="136">
        <f t="shared" si="8"/>
        <v>429.875</v>
      </c>
      <c r="Q266" s="136">
        <v>5</v>
      </c>
    </row>
    <row r="267" spans="12:17" x14ac:dyDescent="0.35">
      <c r="L267" s="136">
        <v>265</v>
      </c>
      <c r="M267" s="136">
        <v>104</v>
      </c>
      <c r="N267" s="136">
        <f t="shared" si="9"/>
        <v>95</v>
      </c>
      <c r="O267" s="136">
        <f t="shared" si="8"/>
        <v>429.875</v>
      </c>
      <c r="Q267" s="136">
        <v>6</v>
      </c>
    </row>
    <row r="268" spans="12:17" x14ac:dyDescent="0.35">
      <c r="L268" s="136">
        <v>266</v>
      </c>
      <c r="M268" s="136">
        <v>89</v>
      </c>
      <c r="N268" s="136">
        <f t="shared" si="9"/>
        <v>88.125</v>
      </c>
      <c r="O268" s="136">
        <f t="shared" si="8"/>
        <v>429.875</v>
      </c>
      <c r="Q268" s="136">
        <v>8</v>
      </c>
    </row>
    <row r="269" spans="12:17" x14ac:dyDescent="0.35">
      <c r="L269" s="136">
        <v>267</v>
      </c>
      <c r="M269" s="136">
        <v>84</v>
      </c>
      <c r="N269" s="136">
        <f t="shared" si="9"/>
        <v>81.5</v>
      </c>
      <c r="O269" s="136">
        <f t="shared" si="8"/>
        <v>429.875</v>
      </c>
      <c r="Q269" s="136">
        <v>9</v>
      </c>
    </row>
    <row r="270" spans="12:17" x14ac:dyDescent="0.35">
      <c r="L270" s="136">
        <v>268</v>
      </c>
      <c r="M270" s="136">
        <v>69</v>
      </c>
      <c r="N270" s="136">
        <f t="shared" si="9"/>
        <v>75.625</v>
      </c>
      <c r="O270" s="136">
        <f t="shared" si="8"/>
        <v>429.875</v>
      </c>
      <c r="Q270" s="136">
        <v>8</v>
      </c>
    </row>
    <row r="271" spans="12:17" x14ac:dyDescent="0.35">
      <c r="L271" s="136">
        <v>269</v>
      </c>
      <c r="M271" s="136">
        <v>73</v>
      </c>
      <c r="N271" s="136">
        <f t="shared" si="9"/>
        <v>70.625</v>
      </c>
      <c r="O271" s="136">
        <f t="shared" si="8"/>
        <v>429.875</v>
      </c>
      <c r="Q271" s="136">
        <v>4</v>
      </c>
    </row>
    <row r="272" spans="12:17" x14ac:dyDescent="0.35">
      <c r="L272" s="136">
        <v>270</v>
      </c>
      <c r="M272" s="136">
        <v>69</v>
      </c>
      <c r="N272" s="136">
        <f t="shared" si="9"/>
        <v>65.5</v>
      </c>
      <c r="O272" s="136">
        <f t="shared" si="8"/>
        <v>429.875</v>
      </c>
      <c r="Q272" s="136">
        <v>9</v>
      </c>
    </row>
    <row r="273" spans="12:17" x14ac:dyDescent="0.35">
      <c r="L273" s="136">
        <v>271</v>
      </c>
      <c r="M273" s="136">
        <v>59</v>
      </c>
      <c r="N273" s="136">
        <f t="shared" si="9"/>
        <v>59.625</v>
      </c>
      <c r="O273" s="136">
        <f t="shared" si="8"/>
        <v>429.875</v>
      </c>
      <c r="Q273" s="136">
        <v>5</v>
      </c>
    </row>
    <row r="274" spans="12:17" x14ac:dyDescent="0.35">
      <c r="L274" s="136">
        <v>272</v>
      </c>
      <c r="M274" s="136">
        <v>58</v>
      </c>
      <c r="N274" s="136">
        <f t="shared" si="9"/>
        <v>57.125</v>
      </c>
      <c r="O274" s="136">
        <f t="shared" si="8"/>
        <v>429.875</v>
      </c>
      <c r="Q274" s="136">
        <v>10</v>
      </c>
    </row>
    <row r="275" spans="12:17" x14ac:dyDescent="0.35">
      <c r="L275" s="136">
        <v>273</v>
      </c>
      <c r="M275" s="136">
        <v>64</v>
      </c>
      <c r="N275" s="136">
        <f t="shared" si="9"/>
        <v>51.625</v>
      </c>
      <c r="O275" s="136">
        <f t="shared" si="8"/>
        <v>429.875</v>
      </c>
      <c r="Q275" s="136">
        <v>10</v>
      </c>
    </row>
    <row r="276" spans="12:17" x14ac:dyDescent="0.35">
      <c r="L276" s="136">
        <v>274</v>
      </c>
      <c r="M276" s="136">
        <v>48</v>
      </c>
      <c r="N276" s="136">
        <f t="shared" si="9"/>
        <v>47.25</v>
      </c>
      <c r="O276" s="136">
        <f t="shared" si="8"/>
        <v>429.875</v>
      </c>
      <c r="Q276" s="136">
        <v>5</v>
      </c>
    </row>
    <row r="277" spans="12:17" x14ac:dyDescent="0.35">
      <c r="L277" s="136">
        <v>275</v>
      </c>
      <c r="M277" s="136">
        <v>37</v>
      </c>
      <c r="N277" s="136">
        <f t="shared" si="9"/>
        <v>43</v>
      </c>
      <c r="O277" s="136">
        <f t="shared" si="8"/>
        <v>429.875</v>
      </c>
      <c r="Q277" s="136">
        <v>8</v>
      </c>
    </row>
    <row r="278" spans="12:17" x14ac:dyDescent="0.35">
      <c r="L278" s="136">
        <v>276</v>
      </c>
      <c r="M278" s="136">
        <v>49</v>
      </c>
      <c r="N278" s="136">
        <f t="shared" si="9"/>
        <v>38.5</v>
      </c>
      <c r="O278" s="136">
        <f t="shared" si="8"/>
        <v>429.875</v>
      </c>
      <c r="Q278" s="136">
        <v>3</v>
      </c>
    </row>
    <row r="279" spans="12:17" x14ac:dyDescent="0.35">
      <c r="L279" s="136">
        <v>277</v>
      </c>
      <c r="M279" s="136">
        <v>29</v>
      </c>
      <c r="N279" s="136">
        <f t="shared" si="9"/>
        <v>34</v>
      </c>
      <c r="O279" s="136">
        <f t="shared" si="8"/>
        <v>429.875</v>
      </c>
      <c r="Q279" s="136">
        <v>9</v>
      </c>
    </row>
    <row r="280" spans="12:17" x14ac:dyDescent="0.35">
      <c r="L280" s="136">
        <v>278</v>
      </c>
      <c r="M280" s="136">
        <v>34</v>
      </c>
      <c r="N280" s="136">
        <f t="shared" si="9"/>
        <v>30.5</v>
      </c>
      <c r="O280" s="136">
        <f t="shared" si="8"/>
        <v>429.875</v>
      </c>
      <c r="Q280" s="136">
        <v>5</v>
      </c>
    </row>
    <row r="281" spans="12:17" x14ac:dyDescent="0.35">
      <c r="L281" s="136">
        <v>279</v>
      </c>
      <c r="M281" s="136">
        <v>25</v>
      </c>
      <c r="N281" s="136">
        <f t="shared" si="9"/>
        <v>29.25</v>
      </c>
      <c r="O281" s="136">
        <f t="shared" si="8"/>
        <v>429.875</v>
      </c>
      <c r="Q281" s="136">
        <v>9</v>
      </c>
    </row>
    <row r="282" spans="12:17" x14ac:dyDescent="0.35">
      <c r="L282" s="136">
        <v>280</v>
      </c>
      <c r="M282" s="136">
        <v>22</v>
      </c>
      <c r="N282" s="136">
        <f t="shared" si="9"/>
        <v>26.125</v>
      </c>
      <c r="O282" s="136">
        <f t="shared" si="8"/>
        <v>429.875</v>
      </c>
      <c r="Q282" s="136">
        <v>3</v>
      </c>
    </row>
    <row r="283" spans="12:17" x14ac:dyDescent="0.35">
      <c r="L283" s="136">
        <v>281</v>
      </c>
      <c r="M283" s="136">
        <v>28</v>
      </c>
      <c r="N283" s="136">
        <f t="shared" si="9"/>
        <v>25.25</v>
      </c>
      <c r="O283" s="136">
        <f t="shared" si="8"/>
        <v>429.875</v>
      </c>
      <c r="Q283" s="136">
        <v>7</v>
      </c>
    </row>
    <row r="284" spans="12:17" x14ac:dyDescent="0.35">
      <c r="L284" s="136">
        <v>282</v>
      </c>
      <c r="M284" s="136">
        <v>20</v>
      </c>
      <c r="N284" s="136">
        <f t="shared" si="9"/>
        <v>22.5</v>
      </c>
      <c r="O284" s="136">
        <f t="shared" si="8"/>
        <v>429.875</v>
      </c>
      <c r="Q284" s="136">
        <v>5</v>
      </c>
    </row>
    <row r="285" spans="12:17" x14ac:dyDescent="0.35">
      <c r="L285" s="136">
        <v>283</v>
      </c>
      <c r="M285" s="136">
        <v>27</v>
      </c>
      <c r="N285" s="136">
        <f t="shared" si="9"/>
        <v>20.875</v>
      </c>
      <c r="O285" s="136">
        <f t="shared" si="8"/>
        <v>429.875</v>
      </c>
      <c r="Q285" s="136">
        <v>5</v>
      </c>
    </row>
    <row r="286" spans="12:17" x14ac:dyDescent="0.35">
      <c r="L286" s="136">
        <v>284</v>
      </c>
      <c r="M286" s="136">
        <v>24</v>
      </c>
      <c r="N286" s="136">
        <f t="shared" si="9"/>
        <v>19.875</v>
      </c>
      <c r="O286" s="136">
        <f t="shared" si="8"/>
        <v>429.875</v>
      </c>
      <c r="Q286" s="136">
        <v>10</v>
      </c>
    </row>
    <row r="287" spans="12:17" x14ac:dyDescent="0.35">
      <c r="L287" s="136">
        <v>285</v>
      </c>
      <c r="M287" s="136">
        <v>22</v>
      </c>
      <c r="N287" s="136">
        <f t="shared" si="9"/>
        <v>18.125</v>
      </c>
      <c r="O287" s="136">
        <f t="shared" si="8"/>
        <v>429.875</v>
      </c>
      <c r="Q287" s="136">
        <v>6</v>
      </c>
    </row>
    <row r="288" spans="12:17" x14ac:dyDescent="0.35">
      <c r="L288" s="136">
        <v>286</v>
      </c>
      <c r="M288" s="136">
        <v>12</v>
      </c>
      <c r="N288" s="136">
        <f t="shared" si="9"/>
        <v>17.5</v>
      </c>
      <c r="O288" s="136">
        <f t="shared" si="8"/>
        <v>429.875</v>
      </c>
      <c r="Q288" s="136">
        <v>7</v>
      </c>
    </row>
    <row r="289" spans="12:17" x14ac:dyDescent="0.35">
      <c r="L289" s="136">
        <v>287</v>
      </c>
      <c r="M289" s="136">
        <v>12</v>
      </c>
      <c r="N289" s="136">
        <f t="shared" si="9"/>
        <v>15</v>
      </c>
      <c r="O289" s="136">
        <f t="shared" si="8"/>
        <v>429.875</v>
      </c>
      <c r="Q289" s="136">
        <v>10</v>
      </c>
    </row>
    <row r="290" spans="12:17" x14ac:dyDescent="0.35">
      <c r="L290" s="136">
        <v>288</v>
      </c>
      <c r="M290" s="136">
        <v>14</v>
      </c>
      <c r="N290" s="136">
        <f t="shared" si="9"/>
        <v>13.375</v>
      </c>
      <c r="O290" s="136">
        <f t="shared" si="8"/>
        <v>429.875</v>
      </c>
      <c r="Q290" s="136">
        <v>5</v>
      </c>
    </row>
    <row r="291" spans="12:17" x14ac:dyDescent="0.35">
      <c r="L291" s="136">
        <v>289</v>
      </c>
      <c r="M291" s="136">
        <v>14</v>
      </c>
      <c r="N291" s="136">
        <f t="shared" si="9"/>
        <v>11.5</v>
      </c>
      <c r="O291" s="136">
        <f t="shared" si="8"/>
        <v>429.875</v>
      </c>
      <c r="Q291" s="136">
        <v>6</v>
      </c>
    </row>
    <row r="292" spans="12:17" x14ac:dyDescent="0.35">
      <c r="L292" s="136">
        <v>290</v>
      </c>
      <c r="M292" s="136">
        <v>15</v>
      </c>
      <c r="N292" s="136">
        <f t="shared" si="9"/>
        <v>11.375</v>
      </c>
      <c r="O292" s="136">
        <f t="shared" si="8"/>
        <v>429.875</v>
      </c>
      <c r="Q292" s="136">
        <v>6</v>
      </c>
    </row>
    <row r="293" spans="12:17" x14ac:dyDescent="0.35">
      <c r="L293" s="136">
        <v>291</v>
      </c>
      <c r="M293" s="136">
        <v>7</v>
      </c>
      <c r="N293" s="136">
        <f t="shared" si="9"/>
        <v>10.5</v>
      </c>
      <c r="O293" s="136">
        <f t="shared" si="8"/>
        <v>429.875</v>
      </c>
      <c r="Q293" s="136">
        <v>6</v>
      </c>
    </row>
    <row r="294" spans="12:17" x14ac:dyDescent="0.35">
      <c r="L294" s="136">
        <v>292</v>
      </c>
      <c r="M294" s="136">
        <v>11</v>
      </c>
      <c r="N294" s="136">
        <f t="shared" si="9"/>
        <v>10.125</v>
      </c>
      <c r="O294" s="136">
        <f t="shared" si="8"/>
        <v>429.875</v>
      </c>
      <c r="Q294" s="136">
        <v>7</v>
      </c>
    </row>
    <row r="295" spans="12:17" x14ac:dyDescent="0.35">
      <c r="L295" s="136">
        <v>293</v>
      </c>
      <c r="M295" s="136">
        <v>7</v>
      </c>
      <c r="N295" s="136">
        <f t="shared" si="9"/>
        <v>10</v>
      </c>
      <c r="O295" s="136">
        <f t="shared" si="8"/>
        <v>429.875</v>
      </c>
      <c r="Q295" s="136">
        <v>6</v>
      </c>
    </row>
    <row r="296" spans="12:17" x14ac:dyDescent="0.35">
      <c r="L296" s="136">
        <v>294</v>
      </c>
      <c r="M296" s="136">
        <v>11</v>
      </c>
      <c r="N296" s="136">
        <f t="shared" si="9"/>
        <v>8.875</v>
      </c>
      <c r="O296" s="136">
        <f t="shared" si="8"/>
        <v>429.875</v>
      </c>
      <c r="Q296" s="136">
        <v>9</v>
      </c>
    </row>
    <row r="297" spans="12:17" x14ac:dyDescent="0.35">
      <c r="L297" s="136">
        <v>295</v>
      </c>
      <c r="M297" s="136">
        <v>5</v>
      </c>
      <c r="N297" s="136">
        <f t="shared" si="9"/>
        <v>9.375</v>
      </c>
      <c r="O297" s="136">
        <f t="shared" si="8"/>
        <v>429.875</v>
      </c>
      <c r="Q297" s="136">
        <v>8</v>
      </c>
    </row>
    <row r="298" spans="12:17" x14ac:dyDescent="0.35">
      <c r="L298" s="136">
        <v>296</v>
      </c>
      <c r="M298" s="136">
        <v>11</v>
      </c>
      <c r="N298" s="136">
        <f t="shared" si="9"/>
        <v>9.125</v>
      </c>
      <c r="O298" s="136">
        <f t="shared" si="8"/>
        <v>429.875</v>
      </c>
      <c r="Q298" s="136">
        <v>10</v>
      </c>
    </row>
    <row r="299" spans="12:17" x14ac:dyDescent="0.35">
      <c r="L299" s="136">
        <v>297</v>
      </c>
      <c r="M299" s="136">
        <v>13</v>
      </c>
      <c r="N299" s="136">
        <f t="shared" si="9"/>
        <v>9</v>
      </c>
      <c r="O299" s="136">
        <f t="shared" si="8"/>
        <v>429.875</v>
      </c>
      <c r="Q299" s="136">
        <v>8</v>
      </c>
    </row>
    <row r="300" spans="12:17" x14ac:dyDescent="0.35">
      <c r="L300" s="136">
        <v>298</v>
      </c>
      <c r="M300" s="136">
        <v>6</v>
      </c>
      <c r="N300" s="136">
        <f t="shared" si="9"/>
        <v>8.5</v>
      </c>
      <c r="O300" s="136">
        <f t="shared" si="8"/>
        <v>429.875</v>
      </c>
      <c r="Q300" s="136">
        <v>8</v>
      </c>
    </row>
    <row r="301" spans="12:17" x14ac:dyDescent="0.35">
      <c r="L301" s="136">
        <v>299</v>
      </c>
      <c r="M301" s="136">
        <v>11</v>
      </c>
      <c r="N301" s="136">
        <f t="shared" si="9"/>
        <v>8.75</v>
      </c>
      <c r="O301" s="136">
        <f t="shared" si="8"/>
        <v>429.875</v>
      </c>
      <c r="Q301" s="136">
        <v>8</v>
      </c>
    </row>
    <row r="302" spans="12:17" x14ac:dyDescent="0.35">
      <c r="L302" s="136">
        <v>300</v>
      </c>
      <c r="M302" s="136">
        <v>9</v>
      </c>
      <c r="N302" s="136">
        <f t="shared" si="9"/>
        <v>8.125</v>
      </c>
      <c r="O302" s="136">
        <f t="shared" si="8"/>
        <v>429.875</v>
      </c>
      <c r="Q302" s="136">
        <v>12</v>
      </c>
    </row>
    <row r="303" spans="12:17" x14ac:dyDescent="0.35">
      <c r="L303" s="136">
        <v>301</v>
      </c>
      <c r="M303" s="136">
        <v>6</v>
      </c>
      <c r="N303" s="136">
        <f t="shared" si="9"/>
        <v>6.75</v>
      </c>
      <c r="O303" s="136">
        <f t="shared" si="8"/>
        <v>429.875</v>
      </c>
      <c r="Q303" s="136">
        <v>8</v>
      </c>
    </row>
    <row r="304" spans="12:17" x14ac:dyDescent="0.35">
      <c r="L304" s="136">
        <v>302</v>
      </c>
      <c r="M304" s="136">
        <v>7</v>
      </c>
      <c r="N304" s="136">
        <f t="shared" si="9"/>
        <v>6.75</v>
      </c>
      <c r="O304" s="136">
        <f t="shared" si="8"/>
        <v>429.875</v>
      </c>
      <c r="Q304" s="136">
        <v>11</v>
      </c>
    </row>
    <row r="305" spans="12:17" x14ac:dyDescent="0.35">
      <c r="L305" s="136">
        <v>303</v>
      </c>
      <c r="M305" s="136">
        <v>7</v>
      </c>
      <c r="N305" s="136">
        <f t="shared" si="9"/>
        <v>5.375</v>
      </c>
      <c r="O305" s="136">
        <f t="shared" si="8"/>
        <v>429.875</v>
      </c>
      <c r="Q305" s="136">
        <v>10</v>
      </c>
    </row>
    <row r="306" spans="12:17" x14ac:dyDescent="0.35">
      <c r="L306" s="136">
        <v>304</v>
      </c>
      <c r="M306" s="136">
        <v>6</v>
      </c>
      <c r="N306" s="136">
        <f t="shared" si="9"/>
        <v>4.625</v>
      </c>
      <c r="O306" s="136">
        <f t="shared" si="8"/>
        <v>429.875</v>
      </c>
      <c r="Q306" s="136">
        <v>15</v>
      </c>
    </row>
    <row r="307" spans="12:17" x14ac:dyDescent="0.35">
      <c r="L307" s="136">
        <v>305</v>
      </c>
      <c r="M307" s="136">
        <v>2</v>
      </c>
      <c r="N307" s="136">
        <f t="shared" si="9"/>
        <v>4.625</v>
      </c>
      <c r="O307" s="136">
        <f t="shared" si="8"/>
        <v>429.875</v>
      </c>
      <c r="Q307" s="136">
        <v>10</v>
      </c>
    </row>
    <row r="308" spans="12:17" x14ac:dyDescent="0.35">
      <c r="L308" s="136">
        <v>306</v>
      </c>
      <c r="M308" s="136">
        <v>6</v>
      </c>
      <c r="N308" s="136">
        <f t="shared" si="9"/>
        <v>4.25</v>
      </c>
      <c r="O308" s="136">
        <f t="shared" si="8"/>
        <v>429.875</v>
      </c>
      <c r="Q308" s="136">
        <v>16</v>
      </c>
    </row>
    <row r="309" spans="12:17" x14ac:dyDescent="0.35">
      <c r="L309" s="136">
        <v>307</v>
      </c>
      <c r="M309" s="136">
        <v>0</v>
      </c>
      <c r="N309" s="136">
        <f t="shared" si="9"/>
        <v>3.625</v>
      </c>
      <c r="O309" s="136">
        <f t="shared" si="8"/>
        <v>429.875</v>
      </c>
      <c r="Q309" s="136">
        <v>11</v>
      </c>
    </row>
    <row r="310" spans="12:17" x14ac:dyDescent="0.35">
      <c r="L310" s="136">
        <v>308</v>
      </c>
      <c r="M310" s="136">
        <v>3</v>
      </c>
      <c r="N310" s="136">
        <f t="shared" si="9"/>
        <v>3.25</v>
      </c>
      <c r="O310" s="136">
        <f t="shared" si="8"/>
        <v>429.875</v>
      </c>
      <c r="Q310" s="136">
        <v>12</v>
      </c>
    </row>
    <row r="311" spans="12:17" x14ac:dyDescent="0.35">
      <c r="L311" s="136">
        <v>309</v>
      </c>
      <c r="M311" s="136">
        <v>6</v>
      </c>
      <c r="N311" s="136">
        <f t="shared" si="9"/>
        <v>3.25</v>
      </c>
      <c r="O311" s="136">
        <f t="shared" si="8"/>
        <v>429.875</v>
      </c>
      <c r="Q311" s="136">
        <v>13</v>
      </c>
    </row>
    <row r="312" spans="12:17" x14ac:dyDescent="0.35">
      <c r="L312" s="136">
        <v>310</v>
      </c>
      <c r="M312" s="136">
        <v>4</v>
      </c>
      <c r="N312" s="136">
        <f t="shared" si="9"/>
        <v>3</v>
      </c>
      <c r="O312" s="136">
        <f t="shared" si="8"/>
        <v>429.875</v>
      </c>
      <c r="Q312" s="136">
        <v>16</v>
      </c>
    </row>
    <row r="313" spans="12:17" x14ac:dyDescent="0.35">
      <c r="L313" s="136">
        <v>311</v>
      </c>
      <c r="M313" s="136">
        <v>2</v>
      </c>
      <c r="N313" s="136">
        <f t="shared" si="9"/>
        <v>3.625</v>
      </c>
      <c r="O313" s="136">
        <f t="shared" si="8"/>
        <v>429.875</v>
      </c>
      <c r="Q313" s="136">
        <v>11</v>
      </c>
    </row>
    <row r="314" spans="12:17" x14ac:dyDescent="0.35">
      <c r="L314" s="136">
        <v>312</v>
      </c>
      <c r="M314" s="136">
        <v>3</v>
      </c>
      <c r="N314" s="136">
        <f t="shared" si="9"/>
        <v>3.875</v>
      </c>
      <c r="O314" s="136">
        <f t="shared" si="8"/>
        <v>429.875</v>
      </c>
      <c r="Q314" s="136">
        <v>18</v>
      </c>
    </row>
    <row r="315" spans="12:17" x14ac:dyDescent="0.35">
      <c r="L315" s="136">
        <v>313</v>
      </c>
      <c r="M315" s="136">
        <v>2</v>
      </c>
      <c r="N315" s="136">
        <f t="shared" si="9"/>
        <v>3.375</v>
      </c>
      <c r="O315" s="136">
        <f t="shared" si="8"/>
        <v>429.875</v>
      </c>
      <c r="Q315" s="136">
        <v>11</v>
      </c>
    </row>
    <row r="316" spans="12:17" x14ac:dyDescent="0.35">
      <c r="L316" s="136">
        <v>314</v>
      </c>
      <c r="M316" s="136">
        <v>4</v>
      </c>
      <c r="N316" s="136">
        <f t="shared" si="9"/>
        <v>3.625</v>
      </c>
      <c r="O316" s="136">
        <f t="shared" si="8"/>
        <v>429.875</v>
      </c>
      <c r="Q316" s="136">
        <v>10</v>
      </c>
    </row>
    <row r="317" spans="12:17" x14ac:dyDescent="0.35">
      <c r="L317" s="136">
        <v>315</v>
      </c>
      <c r="M317" s="136">
        <v>5</v>
      </c>
      <c r="N317" s="136">
        <f t="shared" si="9"/>
        <v>3.5</v>
      </c>
      <c r="O317" s="136">
        <f t="shared" si="8"/>
        <v>429.875</v>
      </c>
      <c r="Q317" s="136">
        <v>16</v>
      </c>
    </row>
    <row r="318" spans="12:17" x14ac:dyDescent="0.35">
      <c r="L318" s="136">
        <v>316</v>
      </c>
      <c r="M318" s="136">
        <v>5</v>
      </c>
      <c r="N318" s="136">
        <f t="shared" si="9"/>
        <v>3.25</v>
      </c>
      <c r="O318" s="136">
        <f t="shared" si="8"/>
        <v>429.875</v>
      </c>
      <c r="Q318" s="136">
        <v>13</v>
      </c>
    </row>
    <row r="319" spans="12:17" x14ac:dyDescent="0.35">
      <c r="L319" s="136">
        <v>317</v>
      </c>
      <c r="M319" s="136">
        <v>2</v>
      </c>
      <c r="N319" s="136">
        <f t="shared" si="9"/>
        <v>3.5</v>
      </c>
      <c r="O319" s="136">
        <f t="shared" si="8"/>
        <v>429.875</v>
      </c>
      <c r="Q319" s="136">
        <v>11</v>
      </c>
    </row>
    <row r="320" spans="12:17" x14ac:dyDescent="0.35">
      <c r="L320" s="136">
        <v>318</v>
      </c>
      <c r="M320" s="136">
        <v>6</v>
      </c>
      <c r="N320" s="136">
        <f t="shared" si="9"/>
        <v>3.75</v>
      </c>
      <c r="O320" s="136">
        <f t="shared" si="8"/>
        <v>429.875</v>
      </c>
      <c r="Q320" s="136">
        <v>16</v>
      </c>
    </row>
    <row r="321" spans="12:17" x14ac:dyDescent="0.35">
      <c r="L321" s="136">
        <v>319</v>
      </c>
      <c r="M321" s="136">
        <v>1</v>
      </c>
      <c r="N321" s="136">
        <f t="shared" si="9"/>
        <v>3.625</v>
      </c>
      <c r="O321" s="136">
        <f t="shared" si="8"/>
        <v>429.875</v>
      </c>
      <c r="Q321" s="136">
        <v>15</v>
      </c>
    </row>
    <row r="322" spans="12:17" x14ac:dyDescent="0.35">
      <c r="L322" s="136">
        <v>320</v>
      </c>
      <c r="M322" s="136">
        <v>1</v>
      </c>
      <c r="N322" s="136">
        <f t="shared" si="9"/>
        <v>3.5</v>
      </c>
      <c r="O322" s="136">
        <f t="shared" ref="O322:O385" si="10">MAX($A$35)/2</f>
        <v>429.875</v>
      </c>
      <c r="Q322" s="136">
        <v>17</v>
      </c>
    </row>
    <row r="323" spans="12:17" x14ac:dyDescent="0.35">
      <c r="L323" s="136">
        <v>321</v>
      </c>
      <c r="M323" s="136">
        <v>4</v>
      </c>
      <c r="N323" s="136">
        <f t="shared" si="9"/>
        <v>3.75</v>
      </c>
      <c r="O323" s="136">
        <f t="shared" si="10"/>
        <v>429.875</v>
      </c>
      <c r="Q323" s="136">
        <v>17</v>
      </c>
    </row>
    <row r="324" spans="12:17" x14ac:dyDescent="0.35">
      <c r="L324" s="136">
        <v>322</v>
      </c>
      <c r="M324" s="136">
        <v>6</v>
      </c>
      <c r="N324" s="136">
        <f t="shared" si="9"/>
        <v>3.375</v>
      </c>
      <c r="O324" s="136">
        <f t="shared" si="10"/>
        <v>429.875</v>
      </c>
      <c r="Q324" s="136">
        <v>16</v>
      </c>
    </row>
    <row r="325" spans="12:17" x14ac:dyDescent="0.35">
      <c r="L325" s="136">
        <v>323</v>
      </c>
      <c r="M325" s="136">
        <v>4</v>
      </c>
      <c r="N325" s="136">
        <f t="shared" ref="N325:N388" si="11">AVERAGE(M322:M329)</f>
        <v>3.375</v>
      </c>
      <c r="O325" s="136">
        <f t="shared" si="10"/>
        <v>429.875</v>
      </c>
      <c r="Q325" s="136">
        <v>22</v>
      </c>
    </row>
    <row r="326" spans="12:17" x14ac:dyDescent="0.35">
      <c r="L326" s="136">
        <v>324</v>
      </c>
      <c r="M326" s="136">
        <v>4</v>
      </c>
      <c r="N326" s="136">
        <f t="shared" si="11"/>
        <v>3.75</v>
      </c>
      <c r="O326" s="136">
        <f t="shared" si="10"/>
        <v>429.875</v>
      </c>
      <c r="Q326" s="136">
        <v>17</v>
      </c>
    </row>
    <row r="327" spans="12:17" x14ac:dyDescent="0.35">
      <c r="L327" s="136">
        <v>325</v>
      </c>
      <c r="M327" s="136">
        <v>4</v>
      </c>
      <c r="N327" s="136">
        <f t="shared" si="11"/>
        <v>3.625</v>
      </c>
      <c r="O327" s="136">
        <f t="shared" si="10"/>
        <v>429.875</v>
      </c>
      <c r="Q327" s="136">
        <v>25</v>
      </c>
    </row>
    <row r="328" spans="12:17" x14ac:dyDescent="0.35">
      <c r="L328" s="136">
        <v>326</v>
      </c>
      <c r="M328" s="136">
        <v>3</v>
      </c>
      <c r="N328" s="136">
        <f t="shared" si="11"/>
        <v>3.125</v>
      </c>
      <c r="O328" s="136">
        <f t="shared" si="10"/>
        <v>429.875</v>
      </c>
      <c r="Q328" s="136">
        <v>16</v>
      </c>
    </row>
    <row r="329" spans="12:17" x14ac:dyDescent="0.35">
      <c r="L329" s="136">
        <v>327</v>
      </c>
      <c r="M329" s="136">
        <v>1</v>
      </c>
      <c r="N329" s="136">
        <f t="shared" si="11"/>
        <v>3</v>
      </c>
      <c r="O329" s="136">
        <f t="shared" si="10"/>
        <v>429.875</v>
      </c>
      <c r="Q329" s="136">
        <v>20</v>
      </c>
    </row>
    <row r="330" spans="12:17" x14ac:dyDescent="0.35">
      <c r="L330" s="136">
        <v>328</v>
      </c>
      <c r="M330" s="136">
        <v>4</v>
      </c>
      <c r="N330" s="136">
        <f t="shared" si="11"/>
        <v>3.125</v>
      </c>
      <c r="O330" s="136">
        <f t="shared" si="10"/>
        <v>429.875</v>
      </c>
      <c r="Q330" s="136">
        <v>20</v>
      </c>
    </row>
    <row r="331" spans="12:17" x14ac:dyDescent="0.35">
      <c r="L331" s="136">
        <v>329</v>
      </c>
      <c r="M331" s="136">
        <v>3</v>
      </c>
      <c r="N331" s="136">
        <f t="shared" si="11"/>
        <v>3.25</v>
      </c>
      <c r="O331" s="136">
        <f t="shared" si="10"/>
        <v>429.875</v>
      </c>
      <c r="Q331" s="136">
        <v>31</v>
      </c>
    </row>
    <row r="332" spans="12:17" x14ac:dyDescent="0.35">
      <c r="L332" s="136">
        <v>330</v>
      </c>
      <c r="M332" s="136">
        <v>2</v>
      </c>
      <c r="N332" s="136">
        <f t="shared" si="11"/>
        <v>3.125</v>
      </c>
      <c r="O332" s="136">
        <f t="shared" si="10"/>
        <v>429.875</v>
      </c>
      <c r="Q332" s="136">
        <v>27</v>
      </c>
    </row>
    <row r="333" spans="12:17" x14ac:dyDescent="0.35">
      <c r="L333" s="136">
        <v>331</v>
      </c>
      <c r="M333" s="136">
        <v>3</v>
      </c>
      <c r="N333" s="136">
        <f t="shared" si="11"/>
        <v>3.25</v>
      </c>
      <c r="O333" s="136">
        <f t="shared" si="10"/>
        <v>429.875</v>
      </c>
      <c r="Q333" s="136">
        <v>21</v>
      </c>
    </row>
    <row r="334" spans="12:17" x14ac:dyDescent="0.35">
      <c r="L334" s="136">
        <v>332</v>
      </c>
      <c r="M334" s="136">
        <v>5</v>
      </c>
      <c r="N334" s="136">
        <f t="shared" si="11"/>
        <v>3</v>
      </c>
      <c r="O334" s="136">
        <f t="shared" si="10"/>
        <v>429.875</v>
      </c>
      <c r="Q334" s="136">
        <v>19</v>
      </c>
    </row>
    <row r="335" spans="12:17" x14ac:dyDescent="0.35">
      <c r="L335" s="136">
        <v>333</v>
      </c>
      <c r="M335" s="136">
        <v>5</v>
      </c>
      <c r="N335" s="136">
        <f t="shared" si="11"/>
        <v>3</v>
      </c>
      <c r="O335" s="136">
        <f t="shared" si="10"/>
        <v>429.875</v>
      </c>
      <c r="Q335" s="136">
        <v>27</v>
      </c>
    </row>
    <row r="336" spans="12:17" x14ac:dyDescent="0.35">
      <c r="L336" s="136">
        <v>334</v>
      </c>
      <c r="M336" s="136">
        <v>2</v>
      </c>
      <c r="N336" s="136">
        <f t="shared" si="11"/>
        <v>3.25</v>
      </c>
      <c r="O336" s="136">
        <f t="shared" si="10"/>
        <v>429.875</v>
      </c>
      <c r="Q336" s="136">
        <v>33</v>
      </c>
    </row>
    <row r="337" spans="12:17" x14ac:dyDescent="0.35">
      <c r="L337" s="136">
        <v>335</v>
      </c>
      <c r="M337" s="136">
        <v>2</v>
      </c>
      <c r="N337" s="136">
        <f t="shared" si="11"/>
        <v>3.375</v>
      </c>
      <c r="O337" s="136">
        <f t="shared" si="10"/>
        <v>429.875</v>
      </c>
      <c r="Q337" s="136">
        <v>32</v>
      </c>
    </row>
    <row r="338" spans="12:17" x14ac:dyDescent="0.35">
      <c r="L338" s="136">
        <v>336</v>
      </c>
      <c r="M338" s="136">
        <v>2</v>
      </c>
      <c r="N338" s="136">
        <f t="shared" si="11"/>
        <v>3.375</v>
      </c>
      <c r="O338" s="136">
        <f t="shared" si="10"/>
        <v>429.875</v>
      </c>
      <c r="Q338" s="136">
        <v>26</v>
      </c>
    </row>
    <row r="339" spans="12:17" x14ac:dyDescent="0.35">
      <c r="L339" s="136">
        <v>337</v>
      </c>
      <c r="M339" s="136">
        <v>3</v>
      </c>
      <c r="N339" s="136">
        <f t="shared" si="11"/>
        <v>3.125</v>
      </c>
      <c r="O339" s="136">
        <f t="shared" si="10"/>
        <v>429.875</v>
      </c>
      <c r="Q339" s="136">
        <v>29</v>
      </c>
    </row>
    <row r="340" spans="12:17" x14ac:dyDescent="0.35">
      <c r="L340" s="136">
        <v>338</v>
      </c>
      <c r="M340" s="136">
        <v>4</v>
      </c>
      <c r="N340" s="136">
        <f t="shared" si="11"/>
        <v>3.25</v>
      </c>
      <c r="O340" s="136">
        <f t="shared" si="10"/>
        <v>429.875</v>
      </c>
      <c r="Q340" s="136">
        <v>30</v>
      </c>
    </row>
    <row r="341" spans="12:17" x14ac:dyDescent="0.35">
      <c r="L341" s="136">
        <v>339</v>
      </c>
      <c r="M341" s="136">
        <v>4</v>
      </c>
      <c r="N341" s="136">
        <f t="shared" si="11"/>
        <v>3.75</v>
      </c>
      <c r="O341" s="136">
        <f t="shared" si="10"/>
        <v>429.875</v>
      </c>
      <c r="Q341" s="136">
        <v>38</v>
      </c>
    </row>
    <row r="342" spans="12:17" x14ac:dyDescent="0.35">
      <c r="L342" s="136">
        <v>340</v>
      </c>
      <c r="M342" s="136">
        <v>5</v>
      </c>
      <c r="N342" s="136">
        <f t="shared" si="11"/>
        <v>3.75</v>
      </c>
      <c r="O342" s="136">
        <f t="shared" si="10"/>
        <v>429.875</v>
      </c>
      <c r="Q342" s="136">
        <v>35</v>
      </c>
    </row>
    <row r="343" spans="12:17" x14ac:dyDescent="0.35">
      <c r="L343" s="136">
        <v>341</v>
      </c>
      <c r="M343" s="136">
        <v>3</v>
      </c>
      <c r="N343" s="136">
        <f t="shared" si="11"/>
        <v>4.125</v>
      </c>
      <c r="O343" s="136">
        <f t="shared" si="10"/>
        <v>429.875</v>
      </c>
      <c r="Q343" s="136">
        <v>45</v>
      </c>
    </row>
    <row r="344" spans="12:17" x14ac:dyDescent="0.35">
      <c r="L344" s="136">
        <v>342</v>
      </c>
      <c r="M344" s="136">
        <v>3</v>
      </c>
      <c r="N344" s="136">
        <f t="shared" si="11"/>
        <v>4</v>
      </c>
      <c r="O344" s="136">
        <f t="shared" si="10"/>
        <v>429.875</v>
      </c>
      <c r="Q344" s="136">
        <v>46</v>
      </c>
    </row>
    <row r="345" spans="12:17" x14ac:dyDescent="0.35">
      <c r="L345" s="136">
        <v>343</v>
      </c>
      <c r="M345" s="136">
        <v>6</v>
      </c>
      <c r="N345" s="136">
        <f t="shared" si="11"/>
        <v>4.375</v>
      </c>
      <c r="O345" s="136">
        <f t="shared" si="10"/>
        <v>429.875</v>
      </c>
      <c r="Q345" s="136">
        <v>28</v>
      </c>
    </row>
    <row r="346" spans="12:17" x14ac:dyDescent="0.35">
      <c r="L346" s="136">
        <v>344</v>
      </c>
      <c r="M346" s="136">
        <v>2</v>
      </c>
      <c r="N346" s="136">
        <f t="shared" si="11"/>
        <v>4.25</v>
      </c>
      <c r="O346" s="136">
        <f t="shared" si="10"/>
        <v>429.875</v>
      </c>
      <c r="Q346" s="136">
        <v>52</v>
      </c>
    </row>
    <row r="347" spans="12:17" x14ac:dyDescent="0.35">
      <c r="L347" s="136">
        <v>345</v>
      </c>
      <c r="M347" s="136">
        <v>6</v>
      </c>
      <c r="N347" s="136">
        <f t="shared" si="11"/>
        <v>4.125</v>
      </c>
      <c r="O347" s="136">
        <f t="shared" si="10"/>
        <v>429.875</v>
      </c>
      <c r="Q347" s="136">
        <v>39</v>
      </c>
    </row>
    <row r="348" spans="12:17" x14ac:dyDescent="0.35">
      <c r="L348" s="136">
        <v>346</v>
      </c>
      <c r="M348" s="136">
        <v>3</v>
      </c>
      <c r="N348" s="136">
        <f t="shared" si="11"/>
        <v>4.25</v>
      </c>
      <c r="O348" s="136">
        <f t="shared" si="10"/>
        <v>429.875</v>
      </c>
      <c r="Q348" s="136">
        <v>47</v>
      </c>
    </row>
    <row r="349" spans="12:17" x14ac:dyDescent="0.35">
      <c r="L349" s="136">
        <v>347</v>
      </c>
      <c r="M349" s="136">
        <v>7</v>
      </c>
      <c r="N349" s="136">
        <f t="shared" si="11"/>
        <v>4</v>
      </c>
      <c r="O349" s="136">
        <f t="shared" si="10"/>
        <v>429.875</v>
      </c>
      <c r="Q349" s="136">
        <v>62</v>
      </c>
    </row>
    <row r="350" spans="12:17" x14ac:dyDescent="0.35">
      <c r="L350" s="136">
        <v>348</v>
      </c>
      <c r="M350" s="136">
        <v>4</v>
      </c>
      <c r="N350" s="136">
        <f t="shared" si="11"/>
        <v>4.375</v>
      </c>
      <c r="O350" s="136">
        <f t="shared" si="10"/>
        <v>429.875</v>
      </c>
      <c r="Q350" s="136">
        <v>59</v>
      </c>
    </row>
    <row r="351" spans="12:17" x14ac:dyDescent="0.35">
      <c r="L351" s="136">
        <v>349</v>
      </c>
      <c r="M351" s="136">
        <v>2</v>
      </c>
      <c r="N351" s="136">
        <f t="shared" si="11"/>
        <v>4.625</v>
      </c>
      <c r="O351" s="136">
        <f t="shared" si="10"/>
        <v>429.875</v>
      </c>
      <c r="Q351" s="136">
        <v>51</v>
      </c>
    </row>
    <row r="352" spans="12:17" x14ac:dyDescent="0.35">
      <c r="L352" s="136">
        <v>350</v>
      </c>
      <c r="M352" s="136">
        <v>4</v>
      </c>
      <c r="N352" s="136">
        <f t="shared" si="11"/>
        <v>4.875</v>
      </c>
      <c r="O352" s="136">
        <f t="shared" si="10"/>
        <v>429.875</v>
      </c>
      <c r="Q352" s="136">
        <v>48</v>
      </c>
    </row>
    <row r="353" spans="12:17" x14ac:dyDescent="0.35">
      <c r="L353" s="136">
        <v>351</v>
      </c>
      <c r="M353" s="136">
        <v>4</v>
      </c>
      <c r="N353" s="136">
        <f t="shared" si="11"/>
        <v>4.125</v>
      </c>
      <c r="O353" s="136">
        <f t="shared" si="10"/>
        <v>429.875</v>
      </c>
      <c r="Q353" s="136">
        <v>62</v>
      </c>
    </row>
    <row r="354" spans="12:17" x14ac:dyDescent="0.35">
      <c r="L354" s="136">
        <v>352</v>
      </c>
      <c r="M354" s="136">
        <v>5</v>
      </c>
      <c r="N354" s="136">
        <f t="shared" si="11"/>
        <v>3.75</v>
      </c>
      <c r="O354" s="136">
        <f t="shared" si="10"/>
        <v>429.875</v>
      </c>
      <c r="Q354" s="136">
        <v>58</v>
      </c>
    </row>
    <row r="355" spans="12:17" x14ac:dyDescent="0.35">
      <c r="L355" s="136">
        <v>353</v>
      </c>
      <c r="M355" s="136">
        <v>8</v>
      </c>
      <c r="N355" s="136">
        <f t="shared" si="11"/>
        <v>4.125</v>
      </c>
      <c r="O355" s="136">
        <f t="shared" si="10"/>
        <v>429.875</v>
      </c>
      <c r="Q355" s="136">
        <v>57</v>
      </c>
    </row>
    <row r="356" spans="12:17" x14ac:dyDescent="0.35">
      <c r="L356" s="136">
        <v>354</v>
      </c>
      <c r="M356" s="136">
        <v>5</v>
      </c>
      <c r="N356" s="136">
        <f t="shared" si="11"/>
        <v>4</v>
      </c>
      <c r="O356" s="136">
        <f t="shared" si="10"/>
        <v>429.875</v>
      </c>
      <c r="Q356" s="136">
        <v>77</v>
      </c>
    </row>
    <row r="357" spans="12:17" x14ac:dyDescent="0.35">
      <c r="L357" s="136">
        <v>355</v>
      </c>
      <c r="M357" s="136">
        <v>1</v>
      </c>
      <c r="N357" s="136">
        <f t="shared" si="11"/>
        <v>4.125</v>
      </c>
      <c r="O357" s="136">
        <f t="shared" si="10"/>
        <v>429.875</v>
      </c>
      <c r="Q357" s="136">
        <v>65</v>
      </c>
    </row>
    <row r="358" spans="12:17" x14ac:dyDescent="0.35">
      <c r="L358" s="136">
        <v>356</v>
      </c>
      <c r="M358" s="136">
        <v>1</v>
      </c>
      <c r="N358" s="136">
        <f t="shared" si="11"/>
        <v>4.125</v>
      </c>
      <c r="O358" s="136">
        <f t="shared" si="10"/>
        <v>429.875</v>
      </c>
      <c r="Q358" s="136">
        <v>77</v>
      </c>
    </row>
    <row r="359" spans="12:17" x14ac:dyDescent="0.35">
      <c r="L359" s="136">
        <v>357</v>
      </c>
      <c r="M359" s="136">
        <v>5</v>
      </c>
      <c r="N359" s="136">
        <f t="shared" si="11"/>
        <v>3.25</v>
      </c>
      <c r="O359" s="136">
        <f t="shared" si="10"/>
        <v>429.875</v>
      </c>
      <c r="Q359" s="136">
        <v>67</v>
      </c>
    </row>
    <row r="360" spans="12:17" x14ac:dyDescent="0.35">
      <c r="L360" s="136">
        <v>358</v>
      </c>
      <c r="M360" s="136">
        <v>3</v>
      </c>
      <c r="N360" s="136">
        <f t="shared" si="11"/>
        <v>3</v>
      </c>
      <c r="O360" s="136">
        <f t="shared" si="10"/>
        <v>429.875</v>
      </c>
      <c r="Q360" s="136">
        <v>81</v>
      </c>
    </row>
    <row r="361" spans="12:17" x14ac:dyDescent="0.35">
      <c r="L361" s="136">
        <v>359</v>
      </c>
      <c r="M361" s="136">
        <v>5</v>
      </c>
      <c r="N361" s="136">
        <f t="shared" si="11"/>
        <v>3.25</v>
      </c>
      <c r="O361" s="136">
        <f t="shared" si="10"/>
        <v>429.875</v>
      </c>
      <c r="Q361" s="136">
        <v>80</v>
      </c>
    </row>
    <row r="362" spans="12:17" x14ac:dyDescent="0.35">
      <c r="L362" s="136">
        <v>360</v>
      </c>
      <c r="M362" s="136">
        <v>5</v>
      </c>
      <c r="N362" s="136">
        <f t="shared" si="11"/>
        <v>3.25</v>
      </c>
      <c r="O362" s="136">
        <f t="shared" si="10"/>
        <v>429.875</v>
      </c>
      <c r="Q362" s="136">
        <v>62</v>
      </c>
    </row>
    <row r="363" spans="12:17" x14ac:dyDescent="0.35">
      <c r="L363" s="136">
        <v>361</v>
      </c>
      <c r="M363" s="136">
        <v>1</v>
      </c>
      <c r="N363" s="136">
        <f t="shared" si="11"/>
        <v>3.5</v>
      </c>
      <c r="O363" s="136">
        <f t="shared" si="10"/>
        <v>429.875</v>
      </c>
      <c r="Q363" s="136">
        <v>86</v>
      </c>
    </row>
    <row r="364" spans="12:17" x14ac:dyDescent="0.35">
      <c r="L364" s="136">
        <v>362</v>
      </c>
      <c r="M364" s="136">
        <v>3</v>
      </c>
      <c r="N364" s="136">
        <f t="shared" si="11"/>
        <v>3.375</v>
      </c>
      <c r="O364" s="136">
        <f t="shared" si="10"/>
        <v>429.875</v>
      </c>
      <c r="Q364" s="136">
        <v>100</v>
      </c>
    </row>
    <row r="365" spans="12:17" x14ac:dyDescent="0.35">
      <c r="L365" s="136">
        <v>363</v>
      </c>
      <c r="M365" s="136">
        <v>3</v>
      </c>
      <c r="N365" s="136">
        <f t="shared" si="11"/>
        <v>3</v>
      </c>
      <c r="O365" s="136">
        <f t="shared" si="10"/>
        <v>429.875</v>
      </c>
      <c r="Q365" s="136">
        <v>77</v>
      </c>
    </row>
    <row r="366" spans="12:17" x14ac:dyDescent="0.35">
      <c r="L366" s="136">
        <v>364</v>
      </c>
      <c r="M366" s="136">
        <v>1</v>
      </c>
      <c r="N366" s="136">
        <f t="shared" si="11"/>
        <v>3.25</v>
      </c>
      <c r="O366" s="136">
        <f t="shared" si="10"/>
        <v>429.875</v>
      </c>
      <c r="Q366" s="136">
        <v>91</v>
      </c>
    </row>
    <row r="367" spans="12:17" x14ac:dyDescent="0.35">
      <c r="L367" s="136">
        <v>365</v>
      </c>
      <c r="M367" s="136">
        <v>7</v>
      </c>
      <c r="N367" s="136">
        <f t="shared" si="11"/>
        <v>3.625</v>
      </c>
      <c r="O367" s="136">
        <f t="shared" si="10"/>
        <v>429.875</v>
      </c>
      <c r="Q367" s="136">
        <v>96</v>
      </c>
    </row>
    <row r="368" spans="12:17" x14ac:dyDescent="0.35">
      <c r="L368" s="136">
        <v>366</v>
      </c>
      <c r="M368" s="136">
        <v>2</v>
      </c>
      <c r="N368" s="136">
        <f t="shared" si="11"/>
        <v>3.875</v>
      </c>
      <c r="O368" s="136">
        <f t="shared" si="10"/>
        <v>429.875</v>
      </c>
      <c r="Q368" s="136">
        <v>98</v>
      </c>
    </row>
    <row r="369" spans="12:17" x14ac:dyDescent="0.35">
      <c r="L369" s="136">
        <v>367</v>
      </c>
      <c r="M369" s="136">
        <v>2</v>
      </c>
      <c r="N369" s="136">
        <f t="shared" si="11"/>
        <v>4</v>
      </c>
      <c r="O369" s="136">
        <f t="shared" si="10"/>
        <v>429.875</v>
      </c>
      <c r="Q369" s="136">
        <v>97</v>
      </c>
    </row>
    <row r="370" spans="12:17" x14ac:dyDescent="0.35">
      <c r="L370" s="136">
        <v>368</v>
      </c>
      <c r="M370" s="136">
        <v>7</v>
      </c>
      <c r="N370" s="136">
        <f t="shared" si="11"/>
        <v>4.25</v>
      </c>
      <c r="O370" s="136">
        <f t="shared" si="10"/>
        <v>429.875</v>
      </c>
      <c r="Q370" s="136">
        <v>115</v>
      </c>
    </row>
    <row r="371" spans="12:17" x14ac:dyDescent="0.35">
      <c r="L371" s="136">
        <v>369</v>
      </c>
      <c r="M371" s="136">
        <v>4</v>
      </c>
      <c r="N371" s="136">
        <f t="shared" si="11"/>
        <v>4</v>
      </c>
      <c r="O371" s="136">
        <f t="shared" si="10"/>
        <v>429.875</v>
      </c>
      <c r="Q371" s="136">
        <v>106</v>
      </c>
    </row>
    <row r="372" spans="12:17" x14ac:dyDescent="0.35">
      <c r="L372" s="136">
        <v>370</v>
      </c>
      <c r="M372" s="136">
        <v>5</v>
      </c>
      <c r="N372" s="136">
        <f t="shared" si="11"/>
        <v>4.125</v>
      </c>
      <c r="O372" s="136">
        <f t="shared" si="10"/>
        <v>429.875</v>
      </c>
      <c r="Q372" s="136">
        <v>118</v>
      </c>
    </row>
    <row r="373" spans="12:17" x14ac:dyDescent="0.35">
      <c r="L373" s="136">
        <v>371</v>
      </c>
      <c r="M373" s="136">
        <v>4</v>
      </c>
      <c r="N373" s="136">
        <f t="shared" si="11"/>
        <v>3.875</v>
      </c>
      <c r="O373" s="136">
        <f t="shared" si="10"/>
        <v>429.875</v>
      </c>
      <c r="Q373" s="136">
        <v>114</v>
      </c>
    </row>
    <row r="374" spans="12:17" x14ac:dyDescent="0.35">
      <c r="L374" s="136">
        <v>372</v>
      </c>
      <c r="M374" s="136">
        <v>3</v>
      </c>
      <c r="N374" s="136">
        <f t="shared" si="11"/>
        <v>3.625</v>
      </c>
      <c r="O374" s="136">
        <f t="shared" si="10"/>
        <v>429.875</v>
      </c>
      <c r="Q374" s="136">
        <v>127</v>
      </c>
    </row>
    <row r="375" spans="12:17" x14ac:dyDescent="0.35">
      <c r="L375" s="136">
        <v>373</v>
      </c>
      <c r="M375" s="136">
        <v>5</v>
      </c>
      <c r="N375" s="136">
        <f t="shared" si="11"/>
        <v>3.875</v>
      </c>
      <c r="O375" s="136">
        <f t="shared" si="10"/>
        <v>429.875</v>
      </c>
      <c r="Q375" s="136">
        <v>142</v>
      </c>
    </row>
    <row r="376" spans="12:17" x14ac:dyDescent="0.35">
      <c r="L376" s="136">
        <v>374</v>
      </c>
      <c r="M376" s="136">
        <v>3</v>
      </c>
      <c r="N376" s="136">
        <f t="shared" si="11"/>
        <v>3.875</v>
      </c>
      <c r="O376" s="136">
        <f t="shared" si="10"/>
        <v>429.875</v>
      </c>
      <c r="Q376" s="136">
        <v>117</v>
      </c>
    </row>
    <row r="377" spans="12:17" x14ac:dyDescent="0.35">
      <c r="L377" s="136">
        <v>375</v>
      </c>
      <c r="M377" s="136">
        <v>0</v>
      </c>
      <c r="N377" s="136">
        <f t="shared" si="11"/>
        <v>3.875</v>
      </c>
      <c r="O377" s="136">
        <f t="shared" si="10"/>
        <v>429.875</v>
      </c>
      <c r="Q377" s="136">
        <v>148</v>
      </c>
    </row>
    <row r="378" spans="12:17" x14ac:dyDescent="0.35">
      <c r="L378" s="136">
        <v>376</v>
      </c>
      <c r="M378" s="136">
        <v>5</v>
      </c>
      <c r="N378" s="136">
        <f t="shared" si="11"/>
        <v>3.875</v>
      </c>
      <c r="O378" s="136">
        <f t="shared" si="10"/>
        <v>429.875</v>
      </c>
      <c r="Q378" s="136">
        <v>143</v>
      </c>
    </row>
    <row r="379" spans="12:17" x14ac:dyDescent="0.35">
      <c r="L379" s="136">
        <v>377</v>
      </c>
      <c r="M379" s="136">
        <v>6</v>
      </c>
      <c r="N379" s="136">
        <f t="shared" si="11"/>
        <v>3.625</v>
      </c>
      <c r="O379" s="136">
        <f t="shared" si="10"/>
        <v>429.875</v>
      </c>
      <c r="Q379" s="136">
        <v>148</v>
      </c>
    </row>
    <row r="380" spans="12:17" x14ac:dyDescent="0.35">
      <c r="L380" s="136">
        <v>378</v>
      </c>
      <c r="M380" s="136">
        <v>5</v>
      </c>
      <c r="N380" s="136">
        <f t="shared" si="11"/>
        <v>3.625</v>
      </c>
      <c r="O380" s="136">
        <f t="shared" si="10"/>
        <v>429.875</v>
      </c>
      <c r="Q380" s="136">
        <v>174</v>
      </c>
    </row>
    <row r="381" spans="12:17" x14ac:dyDescent="0.35">
      <c r="L381" s="136">
        <v>379</v>
      </c>
      <c r="M381" s="136">
        <v>4</v>
      </c>
      <c r="N381" s="136">
        <f t="shared" si="11"/>
        <v>4.25</v>
      </c>
      <c r="O381" s="136">
        <f t="shared" si="10"/>
        <v>429.875</v>
      </c>
      <c r="Q381" s="136">
        <v>181</v>
      </c>
    </row>
    <row r="382" spans="12:17" x14ac:dyDescent="0.35">
      <c r="L382" s="136">
        <v>380</v>
      </c>
      <c r="M382" s="136">
        <v>3</v>
      </c>
      <c r="N382" s="136">
        <f t="shared" si="11"/>
        <v>4.625</v>
      </c>
      <c r="O382" s="136">
        <f t="shared" si="10"/>
        <v>429.875</v>
      </c>
      <c r="Q382" s="136">
        <v>181</v>
      </c>
    </row>
    <row r="383" spans="12:17" x14ac:dyDescent="0.35">
      <c r="L383" s="136">
        <v>381</v>
      </c>
      <c r="M383" s="136">
        <v>3</v>
      </c>
      <c r="N383" s="136">
        <f t="shared" si="11"/>
        <v>4.75</v>
      </c>
      <c r="O383" s="136">
        <f t="shared" si="10"/>
        <v>429.875</v>
      </c>
      <c r="Q383" s="136">
        <v>178</v>
      </c>
    </row>
    <row r="384" spans="12:17" x14ac:dyDescent="0.35">
      <c r="L384" s="136">
        <v>382</v>
      </c>
      <c r="M384" s="136">
        <v>3</v>
      </c>
      <c r="N384" s="136">
        <f t="shared" si="11"/>
        <v>4.625</v>
      </c>
      <c r="O384" s="136">
        <f t="shared" si="10"/>
        <v>429.875</v>
      </c>
      <c r="Q384" s="136">
        <v>192</v>
      </c>
    </row>
    <row r="385" spans="12:17" x14ac:dyDescent="0.35">
      <c r="L385" s="136">
        <v>383</v>
      </c>
      <c r="M385" s="136">
        <v>5</v>
      </c>
      <c r="N385" s="136">
        <f t="shared" si="11"/>
        <v>4.625</v>
      </c>
      <c r="O385" s="136">
        <f t="shared" si="10"/>
        <v>429.875</v>
      </c>
      <c r="Q385" s="136">
        <v>210</v>
      </c>
    </row>
    <row r="386" spans="12:17" x14ac:dyDescent="0.35">
      <c r="L386" s="136">
        <v>384</v>
      </c>
      <c r="M386" s="136">
        <v>8</v>
      </c>
      <c r="N386" s="136">
        <f t="shared" si="11"/>
        <v>5.125</v>
      </c>
      <c r="O386" s="136">
        <f t="shared" ref="O386:O449" si="12">MAX($A$35)/2</f>
        <v>429.875</v>
      </c>
      <c r="Q386" s="136">
        <v>218</v>
      </c>
    </row>
    <row r="387" spans="12:17" x14ac:dyDescent="0.35">
      <c r="L387" s="136">
        <v>385</v>
      </c>
      <c r="M387" s="136">
        <v>7</v>
      </c>
      <c r="N387" s="136">
        <f t="shared" si="11"/>
        <v>5.25</v>
      </c>
      <c r="O387" s="136">
        <f t="shared" si="12"/>
        <v>429.875</v>
      </c>
      <c r="Q387" s="136">
        <v>193</v>
      </c>
    </row>
    <row r="388" spans="12:17" x14ac:dyDescent="0.35">
      <c r="L388" s="136">
        <v>386</v>
      </c>
      <c r="M388" s="136">
        <v>4</v>
      </c>
      <c r="N388" s="136">
        <f t="shared" si="11"/>
        <v>5.5</v>
      </c>
      <c r="O388" s="136">
        <f t="shared" si="12"/>
        <v>429.875</v>
      </c>
      <c r="Q388" s="136">
        <v>221</v>
      </c>
    </row>
    <row r="389" spans="12:17" x14ac:dyDescent="0.35">
      <c r="L389" s="136">
        <v>387</v>
      </c>
      <c r="M389" s="136">
        <v>4</v>
      </c>
      <c r="N389" s="136">
        <f t="shared" ref="N389:N452" si="13">AVERAGE(M386:M393)</f>
        <v>5.5</v>
      </c>
      <c r="O389" s="136">
        <f t="shared" si="12"/>
        <v>429.875</v>
      </c>
      <c r="Q389" s="136">
        <v>226</v>
      </c>
    </row>
    <row r="390" spans="12:17" x14ac:dyDescent="0.35">
      <c r="L390" s="136">
        <v>388</v>
      </c>
      <c r="M390" s="136">
        <v>7</v>
      </c>
      <c r="N390" s="136">
        <f t="shared" si="13"/>
        <v>4.75</v>
      </c>
      <c r="O390" s="136">
        <f t="shared" si="12"/>
        <v>429.875</v>
      </c>
      <c r="Q390" s="136">
        <v>271</v>
      </c>
    </row>
    <row r="391" spans="12:17" x14ac:dyDescent="0.35">
      <c r="L391" s="136">
        <v>389</v>
      </c>
      <c r="M391" s="136">
        <v>4</v>
      </c>
      <c r="N391" s="136">
        <f t="shared" si="13"/>
        <v>4.125</v>
      </c>
      <c r="O391" s="136">
        <f t="shared" si="12"/>
        <v>429.875</v>
      </c>
      <c r="Q391" s="136">
        <v>233</v>
      </c>
    </row>
    <row r="392" spans="12:17" x14ac:dyDescent="0.35">
      <c r="L392" s="136">
        <v>390</v>
      </c>
      <c r="M392" s="136">
        <v>5</v>
      </c>
      <c r="N392" s="136">
        <f t="shared" si="13"/>
        <v>3.75</v>
      </c>
      <c r="O392" s="136">
        <f t="shared" si="12"/>
        <v>429.875</v>
      </c>
      <c r="Q392" s="136">
        <v>260</v>
      </c>
    </row>
    <row r="393" spans="12:17" x14ac:dyDescent="0.35">
      <c r="L393" s="136">
        <v>391</v>
      </c>
      <c r="M393" s="136">
        <v>5</v>
      </c>
      <c r="N393" s="136">
        <f t="shared" si="13"/>
        <v>3.875</v>
      </c>
      <c r="O393" s="136">
        <f t="shared" si="12"/>
        <v>429.875</v>
      </c>
      <c r="Q393" s="136">
        <v>241</v>
      </c>
    </row>
    <row r="394" spans="12:17" x14ac:dyDescent="0.35">
      <c r="L394" s="136">
        <v>392</v>
      </c>
      <c r="M394" s="136">
        <v>2</v>
      </c>
      <c r="N394" s="136">
        <f t="shared" si="13"/>
        <v>3.875</v>
      </c>
      <c r="O394" s="136">
        <f t="shared" si="12"/>
        <v>429.875</v>
      </c>
      <c r="Q394" s="136">
        <v>280</v>
      </c>
    </row>
    <row r="395" spans="12:17" x14ac:dyDescent="0.35">
      <c r="L395" s="136">
        <v>393</v>
      </c>
      <c r="M395" s="136">
        <v>2</v>
      </c>
      <c r="N395" s="136">
        <f t="shared" si="13"/>
        <v>3.75</v>
      </c>
      <c r="O395" s="136">
        <f t="shared" si="12"/>
        <v>429.875</v>
      </c>
      <c r="Q395" s="136">
        <v>278</v>
      </c>
    </row>
    <row r="396" spans="12:17" x14ac:dyDescent="0.35">
      <c r="L396" s="136">
        <v>394</v>
      </c>
      <c r="M396" s="136">
        <v>1</v>
      </c>
      <c r="N396" s="136">
        <f t="shared" si="13"/>
        <v>3.875</v>
      </c>
      <c r="O396" s="136">
        <f t="shared" si="12"/>
        <v>429.875</v>
      </c>
      <c r="Q396" s="136">
        <v>276</v>
      </c>
    </row>
    <row r="397" spans="12:17" x14ac:dyDescent="0.35">
      <c r="L397" s="136">
        <v>395</v>
      </c>
      <c r="M397" s="136">
        <v>5</v>
      </c>
      <c r="N397" s="136">
        <f t="shared" si="13"/>
        <v>4.125</v>
      </c>
      <c r="O397" s="136">
        <f t="shared" si="12"/>
        <v>429.875</v>
      </c>
      <c r="Q397" s="136">
        <v>277</v>
      </c>
    </row>
    <row r="398" spans="12:17" x14ac:dyDescent="0.35">
      <c r="L398" s="136">
        <v>396</v>
      </c>
      <c r="M398" s="136">
        <v>7</v>
      </c>
      <c r="N398" s="136">
        <f t="shared" si="13"/>
        <v>4.5</v>
      </c>
      <c r="O398" s="136">
        <f t="shared" si="12"/>
        <v>429.875</v>
      </c>
      <c r="Q398" s="136">
        <v>300</v>
      </c>
    </row>
    <row r="399" spans="12:17" x14ac:dyDescent="0.35">
      <c r="L399" s="136">
        <v>397</v>
      </c>
      <c r="M399" s="136">
        <v>3</v>
      </c>
      <c r="N399" s="136">
        <f t="shared" si="13"/>
        <v>4.875</v>
      </c>
      <c r="O399" s="136">
        <f t="shared" si="12"/>
        <v>429.875</v>
      </c>
      <c r="Q399" s="136">
        <v>320</v>
      </c>
    </row>
    <row r="400" spans="12:17" x14ac:dyDescent="0.35">
      <c r="L400" s="136">
        <v>398</v>
      </c>
      <c r="M400" s="136">
        <v>6</v>
      </c>
      <c r="N400" s="136">
        <f t="shared" si="13"/>
        <v>5.125</v>
      </c>
      <c r="O400" s="136">
        <f t="shared" si="12"/>
        <v>429.875</v>
      </c>
      <c r="Q400" s="136">
        <v>320</v>
      </c>
    </row>
    <row r="401" spans="12:17" x14ac:dyDescent="0.35">
      <c r="L401" s="136">
        <v>399</v>
      </c>
      <c r="M401" s="136">
        <v>7</v>
      </c>
      <c r="N401" s="136">
        <f t="shared" si="13"/>
        <v>5</v>
      </c>
      <c r="O401" s="136">
        <f t="shared" si="12"/>
        <v>429.875</v>
      </c>
      <c r="Q401" s="136">
        <v>324</v>
      </c>
    </row>
    <row r="402" spans="12:17" x14ac:dyDescent="0.35">
      <c r="L402" s="136">
        <v>400</v>
      </c>
      <c r="M402" s="136">
        <v>5</v>
      </c>
      <c r="N402" s="136">
        <f t="shared" si="13"/>
        <v>4.375</v>
      </c>
      <c r="O402" s="136">
        <f t="shared" si="12"/>
        <v>429.875</v>
      </c>
      <c r="Q402" s="136">
        <v>322</v>
      </c>
    </row>
    <row r="403" spans="12:17" x14ac:dyDescent="0.35">
      <c r="L403" s="136">
        <v>401</v>
      </c>
      <c r="M403" s="136">
        <v>5</v>
      </c>
      <c r="N403" s="136">
        <f t="shared" si="13"/>
        <v>4.25</v>
      </c>
      <c r="O403" s="136">
        <f t="shared" si="12"/>
        <v>429.875</v>
      </c>
      <c r="Q403" s="136">
        <v>323</v>
      </c>
    </row>
    <row r="404" spans="12:17" x14ac:dyDescent="0.35">
      <c r="L404" s="136">
        <v>402</v>
      </c>
      <c r="M404" s="136">
        <v>3</v>
      </c>
      <c r="N404" s="136">
        <f t="shared" si="13"/>
        <v>4</v>
      </c>
      <c r="O404" s="136">
        <f t="shared" si="12"/>
        <v>429.875</v>
      </c>
      <c r="Q404" s="136">
        <v>373</v>
      </c>
    </row>
    <row r="405" spans="12:17" x14ac:dyDescent="0.35">
      <c r="L405" s="136">
        <v>403</v>
      </c>
      <c r="M405" s="136">
        <v>4</v>
      </c>
      <c r="N405" s="136">
        <f t="shared" si="13"/>
        <v>4.125</v>
      </c>
      <c r="O405" s="136">
        <f t="shared" si="12"/>
        <v>429.875</v>
      </c>
      <c r="Q405" s="136">
        <v>356</v>
      </c>
    </row>
    <row r="406" spans="12:17" x14ac:dyDescent="0.35">
      <c r="L406" s="136">
        <v>404</v>
      </c>
      <c r="M406" s="136">
        <v>2</v>
      </c>
      <c r="N406" s="136">
        <f t="shared" si="13"/>
        <v>4.375</v>
      </c>
      <c r="O406" s="136">
        <f t="shared" si="12"/>
        <v>429.875</v>
      </c>
      <c r="Q406" s="136">
        <v>388</v>
      </c>
    </row>
    <row r="407" spans="12:17" x14ac:dyDescent="0.35">
      <c r="L407" s="136">
        <v>405</v>
      </c>
      <c r="M407" s="136">
        <v>2</v>
      </c>
      <c r="N407" s="136">
        <f t="shared" si="13"/>
        <v>4.375</v>
      </c>
      <c r="O407" s="136">
        <f t="shared" si="12"/>
        <v>429.875</v>
      </c>
      <c r="Q407" s="136">
        <v>399</v>
      </c>
    </row>
    <row r="408" spans="12:17" x14ac:dyDescent="0.35">
      <c r="L408" s="136">
        <v>406</v>
      </c>
      <c r="M408" s="136">
        <v>4</v>
      </c>
      <c r="N408" s="136">
        <f t="shared" si="13"/>
        <v>4.375</v>
      </c>
      <c r="O408" s="136">
        <f t="shared" si="12"/>
        <v>429.875</v>
      </c>
      <c r="Q408" s="136">
        <v>404</v>
      </c>
    </row>
    <row r="409" spans="12:17" x14ac:dyDescent="0.35">
      <c r="L409" s="136">
        <v>407</v>
      </c>
      <c r="M409" s="136">
        <v>8</v>
      </c>
      <c r="N409" s="136">
        <f t="shared" si="13"/>
        <v>4.375</v>
      </c>
      <c r="O409" s="136">
        <f t="shared" si="12"/>
        <v>429.875</v>
      </c>
      <c r="Q409" s="136">
        <v>408</v>
      </c>
    </row>
    <row r="410" spans="12:17" x14ac:dyDescent="0.35">
      <c r="L410" s="136">
        <v>408</v>
      </c>
      <c r="M410" s="136">
        <v>7</v>
      </c>
      <c r="N410" s="136">
        <f t="shared" si="13"/>
        <v>4.875</v>
      </c>
      <c r="O410" s="136">
        <f t="shared" si="12"/>
        <v>429.875</v>
      </c>
      <c r="Q410" s="136">
        <v>403</v>
      </c>
    </row>
    <row r="411" spans="12:17" x14ac:dyDescent="0.35">
      <c r="L411" s="136">
        <v>409</v>
      </c>
      <c r="M411" s="136">
        <v>5</v>
      </c>
      <c r="N411" s="136">
        <f t="shared" si="13"/>
        <v>5.375</v>
      </c>
      <c r="O411" s="136">
        <f t="shared" si="12"/>
        <v>429.875</v>
      </c>
      <c r="Q411" s="136">
        <v>406</v>
      </c>
    </row>
    <row r="412" spans="12:17" x14ac:dyDescent="0.35">
      <c r="L412" s="136">
        <v>410</v>
      </c>
      <c r="M412" s="136">
        <v>3</v>
      </c>
      <c r="N412" s="136">
        <f t="shared" si="13"/>
        <v>5.5</v>
      </c>
      <c r="O412" s="136">
        <f t="shared" si="12"/>
        <v>429.875</v>
      </c>
      <c r="Q412" s="136">
        <v>390</v>
      </c>
    </row>
    <row r="413" spans="12:17" x14ac:dyDescent="0.35">
      <c r="L413" s="136">
        <v>411</v>
      </c>
      <c r="M413" s="136">
        <v>4</v>
      </c>
      <c r="N413" s="136">
        <f t="shared" si="13"/>
        <v>4.875</v>
      </c>
      <c r="O413" s="136">
        <f t="shared" si="12"/>
        <v>429.875</v>
      </c>
      <c r="Q413" s="136">
        <v>452</v>
      </c>
    </row>
    <row r="414" spans="12:17" x14ac:dyDescent="0.35">
      <c r="L414" s="136">
        <v>412</v>
      </c>
      <c r="M414" s="136">
        <v>6</v>
      </c>
      <c r="N414" s="136">
        <f t="shared" si="13"/>
        <v>4.75</v>
      </c>
      <c r="O414" s="136">
        <f t="shared" si="12"/>
        <v>429.875</v>
      </c>
      <c r="Q414" s="136">
        <v>440</v>
      </c>
    </row>
    <row r="415" spans="12:17" x14ac:dyDescent="0.35">
      <c r="L415" s="136">
        <v>413</v>
      </c>
      <c r="M415" s="136">
        <v>6</v>
      </c>
      <c r="N415" s="136">
        <f t="shared" si="13"/>
        <v>5</v>
      </c>
      <c r="O415" s="136">
        <f t="shared" si="12"/>
        <v>429.875</v>
      </c>
      <c r="Q415" s="136">
        <v>496</v>
      </c>
    </row>
    <row r="416" spans="12:17" x14ac:dyDescent="0.35">
      <c r="L416" s="136">
        <v>414</v>
      </c>
      <c r="M416" s="136">
        <v>5</v>
      </c>
      <c r="N416" s="136">
        <f t="shared" si="13"/>
        <v>5.375</v>
      </c>
      <c r="O416" s="136">
        <f t="shared" si="12"/>
        <v>429.875</v>
      </c>
      <c r="Q416" s="136">
        <v>476</v>
      </c>
    </row>
    <row r="417" spans="12:17" x14ac:dyDescent="0.35">
      <c r="L417" s="136">
        <v>415</v>
      </c>
      <c r="M417" s="136">
        <v>3</v>
      </c>
      <c r="N417" s="136">
        <f t="shared" si="13"/>
        <v>5.625</v>
      </c>
      <c r="O417" s="136">
        <f t="shared" si="12"/>
        <v>429.875</v>
      </c>
      <c r="Q417" s="136">
        <v>503</v>
      </c>
    </row>
    <row r="418" spans="12:17" x14ac:dyDescent="0.35">
      <c r="L418" s="136">
        <v>416</v>
      </c>
      <c r="M418" s="136">
        <v>6</v>
      </c>
      <c r="N418" s="136">
        <f t="shared" si="13"/>
        <v>5</v>
      </c>
      <c r="O418" s="136">
        <f t="shared" si="12"/>
        <v>429.875</v>
      </c>
      <c r="Q418" s="136">
        <v>499</v>
      </c>
    </row>
    <row r="419" spans="12:17" x14ac:dyDescent="0.35">
      <c r="L419" s="136">
        <v>417</v>
      </c>
      <c r="M419" s="136">
        <v>7</v>
      </c>
      <c r="N419" s="136">
        <f t="shared" si="13"/>
        <v>4.625</v>
      </c>
      <c r="O419" s="136">
        <f t="shared" si="12"/>
        <v>429.875</v>
      </c>
      <c r="Q419" s="136">
        <v>532</v>
      </c>
    </row>
    <row r="420" spans="12:17" x14ac:dyDescent="0.35">
      <c r="L420" s="136">
        <v>418</v>
      </c>
      <c r="M420" s="136">
        <v>6</v>
      </c>
      <c r="N420" s="136">
        <f t="shared" si="13"/>
        <v>4.75</v>
      </c>
      <c r="O420" s="136">
        <f t="shared" si="12"/>
        <v>429.875</v>
      </c>
      <c r="Q420" s="136">
        <v>495</v>
      </c>
    </row>
    <row r="421" spans="12:17" x14ac:dyDescent="0.35">
      <c r="L421" s="136">
        <v>419</v>
      </c>
      <c r="M421" s="136">
        <v>6</v>
      </c>
      <c r="N421" s="136">
        <f t="shared" si="13"/>
        <v>5.375</v>
      </c>
      <c r="O421" s="136">
        <f t="shared" si="12"/>
        <v>429.875</v>
      </c>
      <c r="Q421" s="136">
        <v>521</v>
      </c>
    </row>
    <row r="422" spans="12:17" x14ac:dyDescent="0.35">
      <c r="L422" s="136">
        <v>420</v>
      </c>
      <c r="M422" s="136">
        <v>1</v>
      </c>
      <c r="N422" s="136">
        <f t="shared" si="13"/>
        <v>5.125</v>
      </c>
      <c r="O422" s="136">
        <f t="shared" si="12"/>
        <v>429.875</v>
      </c>
      <c r="Q422" s="136">
        <v>548</v>
      </c>
    </row>
    <row r="423" spans="12:17" x14ac:dyDescent="0.35">
      <c r="L423" s="136">
        <v>421</v>
      </c>
      <c r="M423" s="136">
        <v>3</v>
      </c>
      <c r="N423" s="136">
        <f t="shared" si="13"/>
        <v>5</v>
      </c>
      <c r="O423" s="136">
        <f t="shared" si="12"/>
        <v>429.875</v>
      </c>
      <c r="Q423" s="136">
        <v>568</v>
      </c>
    </row>
    <row r="424" spans="12:17" x14ac:dyDescent="0.35">
      <c r="L424" s="136">
        <v>422</v>
      </c>
      <c r="M424" s="136">
        <v>6</v>
      </c>
      <c r="N424" s="136">
        <f t="shared" si="13"/>
        <v>4.875</v>
      </c>
      <c r="O424" s="136">
        <f t="shared" si="12"/>
        <v>429.875</v>
      </c>
      <c r="Q424" s="136">
        <v>568</v>
      </c>
    </row>
    <row r="425" spans="12:17" x14ac:dyDescent="0.35">
      <c r="L425" s="136">
        <v>423</v>
      </c>
      <c r="M425" s="136">
        <v>8</v>
      </c>
      <c r="N425" s="136">
        <f t="shared" si="13"/>
        <v>5.125</v>
      </c>
      <c r="O425" s="136">
        <f t="shared" si="12"/>
        <v>429.875</v>
      </c>
      <c r="Q425" s="136">
        <v>563</v>
      </c>
    </row>
    <row r="426" spans="12:17" x14ac:dyDescent="0.35">
      <c r="L426" s="136">
        <v>424</v>
      </c>
      <c r="M426" s="136">
        <v>4</v>
      </c>
      <c r="N426" s="136">
        <f t="shared" si="13"/>
        <v>5.125</v>
      </c>
      <c r="O426" s="136">
        <f t="shared" si="12"/>
        <v>429.875</v>
      </c>
      <c r="Q426" s="136">
        <v>589</v>
      </c>
    </row>
    <row r="427" spans="12:17" x14ac:dyDescent="0.35">
      <c r="L427" s="136">
        <v>425</v>
      </c>
      <c r="M427" s="136">
        <v>6</v>
      </c>
      <c r="N427" s="136">
        <f t="shared" si="13"/>
        <v>5.375</v>
      </c>
      <c r="O427" s="136">
        <f t="shared" si="12"/>
        <v>429.875</v>
      </c>
      <c r="Q427" s="136">
        <v>567</v>
      </c>
    </row>
    <row r="428" spans="12:17" x14ac:dyDescent="0.35">
      <c r="L428" s="136">
        <v>426</v>
      </c>
      <c r="M428" s="136">
        <v>5</v>
      </c>
      <c r="N428" s="136">
        <f t="shared" si="13"/>
        <v>5.375</v>
      </c>
      <c r="O428" s="136">
        <f t="shared" si="12"/>
        <v>429.875</v>
      </c>
      <c r="Q428" s="136">
        <v>651</v>
      </c>
    </row>
    <row r="429" spans="12:17" x14ac:dyDescent="0.35">
      <c r="L429" s="136">
        <v>427</v>
      </c>
      <c r="M429" s="136">
        <v>8</v>
      </c>
      <c r="N429" s="136">
        <f t="shared" si="13"/>
        <v>5</v>
      </c>
      <c r="O429" s="136">
        <f t="shared" si="12"/>
        <v>429.875</v>
      </c>
      <c r="Q429" s="136">
        <v>603</v>
      </c>
    </row>
    <row r="430" spans="12:17" x14ac:dyDescent="0.35">
      <c r="L430" s="136">
        <v>428</v>
      </c>
      <c r="M430" s="136">
        <v>1</v>
      </c>
      <c r="N430" s="136">
        <f t="shared" si="13"/>
        <v>4.875</v>
      </c>
      <c r="O430" s="136">
        <f t="shared" si="12"/>
        <v>429.875</v>
      </c>
      <c r="Q430" s="136">
        <v>604</v>
      </c>
    </row>
    <row r="431" spans="12:17" x14ac:dyDescent="0.35">
      <c r="L431" s="136">
        <v>429</v>
      </c>
      <c r="M431" s="136">
        <v>5</v>
      </c>
      <c r="N431" s="136">
        <f t="shared" si="13"/>
        <v>4.5</v>
      </c>
      <c r="O431" s="136">
        <f t="shared" si="12"/>
        <v>429.875</v>
      </c>
      <c r="Q431" s="136">
        <v>652</v>
      </c>
    </row>
    <row r="432" spans="12:17" x14ac:dyDescent="0.35">
      <c r="L432" s="136">
        <v>430</v>
      </c>
      <c r="M432" s="136">
        <v>6</v>
      </c>
      <c r="N432" s="136">
        <f t="shared" si="13"/>
        <v>4.5</v>
      </c>
      <c r="O432" s="136">
        <f t="shared" si="12"/>
        <v>429.875</v>
      </c>
      <c r="Q432" s="136">
        <v>662</v>
      </c>
    </row>
    <row r="433" spans="12:17" x14ac:dyDescent="0.35">
      <c r="L433" s="136">
        <v>431</v>
      </c>
      <c r="M433" s="136">
        <v>5</v>
      </c>
      <c r="N433" s="136">
        <f t="shared" si="13"/>
        <v>4.375</v>
      </c>
      <c r="O433" s="136">
        <f t="shared" si="12"/>
        <v>429.875</v>
      </c>
      <c r="Q433" s="136">
        <v>653</v>
      </c>
    </row>
    <row r="434" spans="12:17" x14ac:dyDescent="0.35">
      <c r="L434" s="136">
        <v>432</v>
      </c>
      <c r="M434" s="136">
        <v>3</v>
      </c>
      <c r="N434" s="136">
        <f t="shared" si="13"/>
        <v>5.25</v>
      </c>
      <c r="O434" s="136">
        <f t="shared" si="12"/>
        <v>429.875</v>
      </c>
      <c r="Q434" s="136">
        <v>667</v>
      </c>
    </row>
    <row r="435" spans="12:17" x14ac:dyDescent="0.35">
      <c r="L435" s="136">
        <v>433</v>
      </c>
      <c r="M435" s="136">
        <v>3</v>
      </c>
      <c r="N435" s="136">
        <f t="shared" si="13"/>
        <v>4.875</v>
      </c>
      <c r="O435" s="136">
        <f t="shared" si="12"/>
        <v>429.875</v>
      </c>
      <c r="Q435" s="136">
        <v>676</v>
      </c>
    </row>
    <row r="436" spans="12:17" x14ac:dyDescent="0.35">
      <c r="L436" s="136">
        <v>434</v>
      </c>
      <c r="M436" s="136">
        <v>5</v>
      </c>
      <c r="N436" s="136">
        <f t="shared" si="13"/>
        <v>4.625</v>
      </c>
      <c r="O436" s="136">
        <f t="shared" si="12"/>
        <v>429.875</v>
      </c>
      <c r="Q436" s="136">
        <v>704</v>
      </c>
    </row>
    <row r="437" spans="12:17" x14ac:dyDescent="0.35">
      <c r="L437" s="136">
        <v>435</v>
      </c>
      <c r="M437" s="136">
        <v>7</v>
      </c>
      <c r="N437" s="136">
        <f t="shared" si="13"/>
        <v>4.25</v>
      </c>
      <c r="O437" s="136">
        <f t="shared" si="12"/>
        <v>429.875</v>
      </c>
      <c r="Q437" s="136">
        <v>760</v>
      </c>
    </row>
    <row r="438" spans="12:17" x14ac:dyDescent="0.35">
      <c r="L438" s="136">
        <v>436</v>
      </c>
      <c r="M438" s="136">
        <v>8</v>
      </c>
      <c r="N438" s="136">
        <f t="shared" si="13"/>
        <v>4.625</v>
      </c>
      <c r="O438" s="136">
        <f t="shared" si="12"/>
        <v>429.875</v>
      </c>
      <c r="Q438" s="136">
        <v>713</v>
      </c>
    </row>
    <row r="439" spans="12:17" x14ac:dyDescent="0.35">
      <c r="L439" s="136">
        <v>437</v>
      </c>
      <c r="M439" s="136">
        <v>2</v>
      </c>
      <c r="N439" s="136">
        <f t="shared" si="13"/>
        <v>4.75</v>
      </c>
      <c r="O439" s="136">
        <f t="shared" si="12"/>
        <v>429.875</v>
      </c>
      <c r="Q439" s="136">
        <v>672</v>
      </c>
    </row>
    <row r="440" spans="12:17" x14ac:dyDescent="0.35">
      <c r="L440" s="136">
        <v>438</v>
      </c>
      <c r="M440" s="136">
        <v>4</v>
      </c>
      <c r="N440" s="136">
        <f t="shared" si="13"/>
        <v>5</v>
      </c>
      <c r="O440" s="136">
        <f t="shared" si="12"/>
        <v>429.875</v>
      </c>
      <c r="Q440" s="136">
        <v>739</v>
      </c>
    </row>
    <row r="441" spans="12:17" x14ac:dyDescent="0.35">
      <c r="L441" s="136">
        <v>439</v>
      </c>
      <c r="M441" s="136">
        <v>2</v>
      </c>
      <c r="N441" s="136">
        <f t="shared" si="13"/>
        <v>4.75</v>
      </c>
      <c r="O441" s="136">
        <f t="shared" si="12"/>
        <v>429.875</v>
      </c>
      <c r="Q441" s="136">
        <v>805</v>
      </c>
    </row>
    <row r="442" spans="12:17" x14ac:dyDescent="0.35">
      <c r="L442" s="136">
        <v>440</v>
      </c>
      <c r="M442" s="136">
        <v>6</v>
      </c>
      <c r="N442" s="136">
        <f t="shared" si="13"/>
        <v>4.375</v>
      </c>
      <c r="O442" s="136">
        <f t="shared" si="12"/>
        <v>429.875</v>
      </c>
      <c r="Q442" s="136">
        <v>798</v>
      </c>
    </row>
    <row r="443" spans="12:17" x14ac:dyDescent="0.35">
      <c r="L443" s="136">
        <v>441</v>
      </c>
      <c r="M443" s="136">
        <v>4</v>
      </c>
      <c r="N443" s="136">
        <f t="shared" si="13"/>
        <v>4.625</v>
      </c>
      <c r="O443" s="136">
        <f t="shared" si="12"/>
        <v>429.875</v>
      </c>
      <c r="Q443" s="136">
        <v>792</v>
      </c>
    </row>
    <row r="444" spans="12:17" x14ac:dyDescent="0.35">
      <c r="L444" s="136">
        <v>442</v>
      </c>
      <c r="M444" s="136">
        <v>7</v>
      </c>
      <c r="N444" s="136">
        <f t="shared" si="13"/>
        <v>4.625</v>
      </c>
      <c r="O444" s="136">
        <f t="shared" si="12"/>
        <v>429.875</v>
      </c>
      <c r="Q444" s="136">
        <v>736</v>
      </c>
    </row>
    <row r="445" spans="12:17" x14ac:dyDescent="0.35">
      <c r="L445" s="136">
        <v>443</v>
      </c>
      <c r="M445" s="136">
        <v>5</v>
      </c>
      <c r="N445" s="136">
        <f t="shared" si="13"/>
        <v>5.375</v>
      </c>
      <c r="O445" s="136">
        <f t="shared" si="12"/>
        <v>429.875</v>
      </c>
      <c r="Q445" s="136">
        <v>792</v>
      </c>
    </row>
    <row r="446" spans="12:17" x14ac:dyDescent="0.35">
      <c r="L446" s="136">
        <v>444</v>
      </c>
      <c r="M446" s="136">
        <v>5</v>
      </c>
      <c r="N446" s="136">
        <f t="shared" si="13"/>
        <v>5</v>
      </c>
      <c r="O446" s="136">
        <f t="shared" si="12"/>
        <v>429.875</v>
      </c>
      <c r="Q446" s="136">
        <v>803</v>
      </c>
    </row>
    <row r="447" spans="12:17" x14ac:dyDescent="0.35">
      <c r="L447" s="136">
        <v>445</v>
      </c>
      <c r="M447" s="136">
        <v>4</v>
      </c>
      <c r="N447" s="136">
        <f t="shared" si="13"/>
        <v>4.75</v>
      </c>
      <c r="O447" s="136">
        <f t="shared" si="12"/>
        <v>429.875</v>
      </c>
      <c r="Q447" s="136">
        <v>822</v>
      </c>
    </row>
    <row r="448" spans="12:17" x14ac:dyDescent="0.35">
      <c r="L448" s="136">
        <v>446</v>
      </c>
      <c r="M448" s="136">
        <v>4</v>
      </c>
      <c r="N448" s="136">
        <f t="shared" si="13"/>
        <v>4.625</v>
      </c>
      <c r="O448" s="136">
        <f t="shared" si="12"/>
        <v>429.875</v>
      </c>
      <c r="Q448" s="136">
        <v>861</v>
      </c>
    </row>
    <row r="449" spans="12:17" x14ac:dyDescent="0.35">
      <c r="L449" s="136">
        <v>447</v>
      </c>
      <c r="M449" s="136">
        <v>8</v>
      </c>
      <c r="N449" s="136">
        <f t="shared" si="13"/>
        <v>4.875</v>
      </c>
      <c r="O449" s="136">
        <f t="shared" si="12"/>
        <v>429.875</v>
      </c>
      <c r="Q449" s="136">
        <v>851</v>
      </c>
    </row>
    <row r="450" spans="12:17" x14ac:dyDescent="0.35">
      <c r="L450" s="136">
        <v>448</v>
      </c>
      <c r="M450" s="136">
        <v>3</v>
      </c>
      <c r="N450" s="136">
        <f t="shared" si="13"/>
        <v>4.25</v>
      </c>
      <c r="O450" s="136">
        <f t="shared" ref="O450:O513" si="14">MAX($A$35)/2</f>
        <v>429.875</v>
      </c>
      <c r="Q450" s="136">
        <v>849</v>
      </c>
    </row>
    <row r="451" spans="12:17" x14ac:dyDescent="0.35">
      <c r="L451" s="136">
        <v>449</v>
      </c>
      <c r="M451" s="136">
        <v>2</v>
      </c>
      <c r="N451" s="136">
        <f t="shared" si="13"/>
        <v>4.125</v>
      </c>
      <c r="O451" s="136">
        <f t="shared" si="14"/>
        <v>429.875</v>
      </c>
      <c r="Q451" s="136">
        <v>821</v>
      </c>
    </row>
    <row r="452" spans="12:17" x14ac:dyDescent="0.35">
      <c r="L452" s="136">
        <v>450</v>
      </c>
      <c r="M452" s="136">
        <v>6</v>
      </c>
      <c r="N452" s="136">
        <f t="shared" si="13"/>
        <v>3.875</v>
      </c>
      <c r="O452" s="136">
        <f t="shared" si="14"/>
        <v>429.875</v>
      </c>
      <c r="Q452" s="136">
        <v>837</v>
      </c>
    </row>
    <row r="453" spans="12:17" x14ac:dyDescent="0.35">
      <c r="L453" s="136">
        <v>451</v>
      </c>
      <c r="M453" s="136">
        <v>7</v>
      </c>
      <c r="N453" s="136">
        <f t="shared" ref="N453:N516" si="15">AVERAGE(M450:M457)</f>
        <v>3</v>
      </c>
      <c r="O453" s="136">
        <f t="shared" si="14"/>
        <v>429.875</v>
      </c>
      <c r="Q453" s="136">
        <v>888</v>
      </c>
    </row>
    <row r="454" spans="12:17" x14ac:dyDescent="0.35">
      <c r="L454" s="136">
        <v>452</v>
      </c>
      <c r="M454" s="136">
        <v>0</v>
      </c>
      <c r="N454" s="136">
        <f t="shared" si="15"/>
        <v>2.875</v>
      </c>
      <c r="O454" s="136">
        <f t="shared" si="14"/>
        <v>429.875</v>
      </c>
      <c r="Q454" s="136">
        <v>886</v>
      </c>
    </row>
    <row r="455" spans="12:17" x14ac:dyDescent="0.35">
      <c r="L455" s="136">
        <v>453</v>
      </c>
      <c r="M455" s="136">
        <v>3</v>
      </c>
      <c r="N455" s="136">
        <f t="shared" si="15"/>
        <v>3.25</v>
      </c>
      <c r="O455" s="136">
        <f t="shared" si="14"/>
        <v>429.875</v>
      </c>
      <c r="Q455" s="136">
        <v>890</v>
      </c>
    </row>
    <row r="456" spans="12:17" x14ac:dyDescent="0.35">
      <c r="L456" s="136">
        <v>454</v>
      </c>
      <c r="M456" s="136">
        <v>2</v>
      </c>
      <c r="N456" s="136">
        <f t="shared" si="15"/>
        <v>2.75</v>
      </c>
      <c r="O456" s="136">
        <f t="shared" si="14"/>
        <v>429.875</v>
      </c>
      <c r="Q456" s="136">
        <v>856</v>
      </c>
    </row>
    <row r="457" spans="12:17" x14ac:dyDescent="0.35">
      <c r="L457" s="136">
        <v>455</v>
      </c>
      <c r="M457" s="136">
        <v>1</v>
      </c>
      <c r="N457" s="136">
        <f t="shared" si="15"/>
        <v>2.25</v>
      </c>
      <c r="O457" s="136">
        <f t="shared" si="14"/>
        <v>429.875</v>
      </c>
      <c r="Q457" s="136">
        <v>896</v>
      </c>
    </row>
    <row r="458" spans="12:17" x14ac:dyDescent="0.35">
      <c r="L458" s="136">
        <v>456</v>
      </c>
      <c r="M458" s="136">
        <v>2</v>
      </c>
      <c r="N458" s="136">
        <f t="shared" si="15"/>
        <v>2.625</v>
      </c>
      <c r="O458" s="136">
        <f t="shared" si="14"/>
        <v>429.875</v>
      </c>
      <c r="Q458" s="136">
        <v>884</v>
      </c>
    </row>
    <row r="459" spans="12:17" x14ac:dyDescent="0.35">
      <c r="L459" s="136">
        <v>457</v>
      </c>
      <c r="M459" s="136">
        <v>5</v>
      </c>
      <c r="N459" s="136">
        <f t="shared" si="15"/>
        <v>2.5</v>
      </c>
      <c r="O459" s="136">
        <f t="shared" si="14"/>
        <v>429.875</v>
      </c>
      <c r="Q459" s="136">
        <v>882</v>
      </c>
    </row>
    <row r="460" spans="12:17" x14ac:dyDescent="0.35">
      <c r="L460" s="136">
        <v>458</v>
      </c>
      <c r="M460" s="136">
        <v>2</v>
      </c>
      <c r="N460" s="136">
        <f t="shared" si="15"/>
        <v>2.5</v>
      </c>
      <c r="O460" s="136">
        <f t="shared" si="14"/>
        <v>429.875</v>
      </c>
      <c r="Q460" s="136">
        <v>891</v>
      </c>
    </row>
    <row r="461" spans="12:17" x14ac:dyDescent="0.35">
      <c r="L461" s="136">
        <v>459</v>
      </c>
      <c r="M461" s="136">
        <v>3</v>
      </c>
      <c r="N461" s="136">
        <f t="shared" si="15"/>
        <v>3</v>
      </c>
      <c r="O461" s="136">
        <f t="shared" si="14"/>
        <v>429.875</v>
      </c>
      <c r="Q461" s="136">
        <v>951</v>
      </c>
    </row>
    <row r="462" spans="12:17" x14ac:dyDescent="0.35">
      <c r="L462" s="136">
        <v>460</v>
      </c>
      <c r="M462" s="136">
        <v>3</v>
      </c>
      <c r="N462" s="136">
        <f t="shared" si="15"/>
        <v>3.125</v>
      </c>
      <c r="O462" s="136">
        <f t="shared" si="14"/>
        <v>429.875</v>
      </c>
      <c r="Q462" s="136">
        <v>890</v>
      </c>
    </row>
    <row r="463" spans="12:17" x14ac:dyDescent="0.35">
      <c r="L463" s="136">
        <v>461</v>
      </c>
      <c r="M463" s="136">
        <v>2</v>
      </c>
      <c r="N463" s="136">
        <f t="shared" si="15"/>
        <v>2.75</v>
      </c>
      <c r="O463" s="136">
        <f t="shared" si="14"/>
        <v>429.875</v>
      </c>
      <c r="Q463" s="136">
        <v>889</v>
      </c>
    </row>
    <row r="464" spans="12:17" x14ac:dyDescent="0.35">
      <c r="L464" s="136">
        <v>462</v>
      </c>
      <c r="M464" s="136">
        <v>2</v>
      </c>
      <c r="N464" s="136">
        <f t="shared" si="15"/>
        <v>3.25</v>
      </c>
      <c r="O464" s="136">
        <f t="shared" si="14"/>
        <v>429.875</v>
      </c>
      <c r="Q464" s="136">
        <v>911</v>
      </c>
    </row>
    <row r="465" spans="12:17" x14ac:dyDescent="0.35">
      <c r="L465" s="136">
        <v>463</v>
      </c>
      <c r="M465" s="136">
        <v>5</v>
      </c>
      <c r="N465" s="136">
        <f t="shared" si="15"/>
        <v>3</v>
      </c>
      <c r="O465" s="136">
        <f t="shared" si="14"/>
        <v>429.875</v>
      </c>
      <c r="Q465" s="136">
        <v>974</v>
      </c>
    </row>
    <row r="466" spans="12:17" x14ac:dyDescent="0.35">
      <c r="L466" s="136">
        <v>464</v>
      </c>
      <c r="M466" s="136">
        <v>3</v>
      </c>
      <c r="N466" s="136">
        <f t="shared" si="15"/>
        <v>3</v>
      </c>
      <c r="O466" s="136">
        <f t="shared" si="14"/>
        <v>429.875</v>
      </c>
      <c r="Q466" s="136">
        <v>856</v>
      </c>
    </row>
    <row r="467" spans="12:17" x14ac:dyDescent="0.35">
      <c r="L467" s="136">
        <v>465</v>
      </c>
      <c r="M467" s="136">
        <v>2</v>
      </c>
      <c r="N467" s="136">
        <f t="shared" si="15"/>
        <v>3.25</v>
      </c>
      <c r="O467" s="136">
        <f t="shared" si="14"/>
        <v>429.875</v>
      </c>
      <c r="Q467" s="136">
        <v>932</v>
      </c>
    </row>
    <row r="468" spans="12:17" x14ac:dyDescent="0.35">
      <c r="L468" s="136">
        <v>466</v>
      </c>
      <c r="M468" s="136">
        <v>6</v>
      </c>
      <c r="N468" s="136">
        <f t="shared" si="15"/>
        <v>3.75</v>
      </c>
      <c r="O468" s="136">
        <f t="shared" si="14"/>
        <v>429.875</v>
      </c>
      <c r="Q468" s="136">
        <v>924</v>
      </c>
    </row>
    <row r="469" spans="12:17" x14ac:dyDescent="0.35">
      <c r="L469" s="136">
        <v>467</v>
      </c>
      <c r="M469" s="136">
        <v>1</v>
      </c>
      <c r="N469" s="136">
        <f t="shared" si="15"/>
        <v>3.375</v>
      </c>
      <c r="O469" s="136">
        <f t="shared" si="14"/>
        <v>429.875</v>
      </c>
      <c r="Q469" s="136">
        <v>910</v>
      </c>
    </row>
    <row r="470" spans="12:17" x14ac:dyDescent="0.35">
      <c r="L470" s="136">
        <v>468</v>
      </c>
      <c r="M470" s="136">
        <v>3</v>
      </c>
      <c r="N470" s="136">
        <f t="shared" si="15"/>
        <v>3.25</v>
      </c>
      <c r="O470" s="136">
        <f t="shared" si="14"/>
        <v>429.875</v>
      </c>
      <c r="Q470" s="136">
        <v>927</v>
      </c>
    </row>
    <row r="471" spans="12:17" x14ac:dyDescent="0.35">
      <c r="L471" s="136">
        <v>469</v>
      </c>
      <c r="M471" s="136">
        <v>4</v>
      </c>
      <c r="N471" s="136">
        <f t="shared" si="15"/>
        <v>3.5</v>
      </c>
      <c r="O471" s="136">
        <f t="shared" si="14"/>
        <v>429.875</v>
      </c>
      <c r="Q471" s="136">
        <v>997</v>
      </c>
    </row>
    <row r="472" spans="12:17" x14ac:dyDescent="0.35">
      <c r="L472" s="136">
        <v>470</v>
      </c>
      <c r="M472" s="136">
        <v>6</v>
      </c>
      <c r="N472" s="136">
        <f t="shared" si="15"/>
        <v>2.75</v>
      </c>
      <c r="O472" s="136">
        <f t="shared" si="14"/>
        <v>429.875</v>
      </c>
      <c r="Q472" s="136">
        <v>987</v>
      </c>
    </row>
    <row r="473" spans="12:17" x14ac:dyDescent="0.35">
      <c r="L473" s="136">
        <v>471</v>
      </c>
      <c r="M473" s="136">
        <v>2</v>
      </c>
      <c r="N473" s="136">
        <f t="shared" si="15"/>
        <v>3</v>
      </c>
      <c r="O473" s="136">
        <f t="shared" si="14"/>
        <v>429.875</v>
      </c>
      <c r="Q473" s="136">
        <v>946</v>
      </c>
    </row>
    <row r="474" spans="12:17" x14ac:dyDescent="0.35">
      <c r="L474" s="136">
        <v>472</v>
      </c>
      <c r="M474" s="136">
        <v>2</v>
      </c>
      <c r="N474" s="136">
        <f t="shared" si="15"/>
        <v>2.625</v>
      </c>
      <c r="O474" s="136">
        <f t="shared" si="14"/>
        <v>429.875</v>
      </c>
      <c r="Q474" s="136">
        <v>976</v>
      </c>
    </row>
    <row r="475" spans="12:17" x14ac:dyDescent="0.35">
      <c r="L475" s="136">
        <v>473</v>
      </c>
      <c r="M475" s="136">
        <v>4</v>
      </c>
      <c r="N475" s="136">
        <f t="shared" si="15"/>
        <v>2.25</v>
      </c>
      <c r="O475" s="136">
        <f t="shared" si="14"/>
        <v>429.875</v>
      </c>
      <c r="Q475" s="136">
        <v>891</v>
      </c>
    </row>
    <row r="476" spans="12:17" x14ac:dyDescent="0.35">
      <c r="L476" s="136">
        <v>474</v>
      </c>
      <c r="M476" s="136">
        <v>0</v>
      </c>
      <c r="N476" s="136">
        <f t="shared" si="15"/>
        <v>1.625</v>
      </c>
      <c r="O476" s="136">
        <f t="shared" si="14"/>
        <v>429.875</v>
      </c>
      <c r="Q476" s="136">
        <v>984</v>
      </c>
    </row>
    <row r="477" spans="12:17" x14ac:dyDescent="0.35">
      <c r="L477" s="136">
        <v>475</v>
      </c>
      <c r="M477" s="136">
        <v>3</v>
      </c>
      <c r="N477" s="136">
        <f t="shared" si="15"/>
        <v>1.5</v>
      </c>
      <c r="O477" s="136">
        <f t="shared" si="14"/>
        <v>429.875</v>
      </c>
      <c r="Q477" s="136">
        <v>951</v>
      </c>
    </row>
    <row r="478" spans="12:17" x14ac:dyDescent="0.35">
      <c r="L478" s="136">
        <v>476</v>
      </c>
      <c r="M478" s="136">
        <v>0</v>
      </c>
      <c r="N478" s="136">
        <f t="shared" si="15"/>
        <v>1.375</v>
      </c>
      <c r="O478" s="136">
        <f t="shared" si="14"/>
        <v>429.875</v>
      </c>
      <c r="Q478" s="136">
        <v>984</v>
      </c>
    </row>
    <row r="479" spans="12:17" x14ac:dyDescent="0.35">
      <c r="L479" s="136">
        <v>477</v>
      </c>
      <c r="M479" s="136">
        <v>1</v>
      </c>
      <c r="N479" s="136">
        <f t="shared" si="15"/>
        <v>1</v>
      </c>
      <c r="O479" s="136">
        <f t="shared" si="14"/>
        <v>429.875</v>
      </c>
      <c r="Q479" s="136">
        <v>973</v>
      </c>
    </row>
    <row r="480" spans="12:17" x14ac:dyDescent="0.35">
      <c r="L480" s="136">
        <v>478</v>
      </c>
      <c r="M480" s="136">
        <v>1</v>
      </c>
      <c r="N480" s="136">
        <f t="shared" si="15"/>
        <v>1</v>
      </c>
      <c r="O480" s="136">
        <f t="shared" si="14"/>
        <v>429.875</v>
      </c>
      <c r="Q480" s="136">
        <v>940</v>
      </c>
    </row>
    <row r="481" spans="12:17" x14ac:dyDescent="0.35">
      <c r="L481" s="136">
        <v>479</v>
      </c>
      <c r="M481" s="136">
        <v>1</v>
      </c>
      <c r="N481" s="136">
        <f t="shared" si="15"/>
        <v>0.875</v>
      </c>
      <c r="O481" s="136">
        <f t="shared" si="14"/>
        <v>429.875</v>
      </c>
      <c r="Q481" s="136">
        <v>990</v>
      </c>
    </row>
    <row r="482" spans="12:17" x14ac:dyDescent="0.35">
      <c r="L482" s="136">
        <v>480</v>
      </c>
      <c r="M482" s="136">
        <v>1</v>
      </c>
      <c r="N482" s="136">
        <f t="shared" si="15"/>
        <v>1</v>
      </c>
      <c r="O482" s="136">
        <f t="shared" si="14"/>
        <v>429.875</v>
      </c>
      <c r="Q482" s="136">
        <v>994</v>
      </c>
    </row>
    <row r="483" spans="12:17" x14ac:dyDescent="0.35">
      <c r="L483" s="136">
        <v>481</v>
      </c>
      <c r="M483" s="136">
        <v>1</v>
      </c>
      <c r="N483" s="136">
        <f t="shared" si="15"/>
        <v>1.125</v>
      </c>
      <c r="O483" s="136">
        <f t="shared" si="14"/>
        <v>429.875</v>
      </c>
      <c r="Q483" s="136">
        <v>958</v>
      </c>
    </row>
    <row r="484" spans="12:17" x14ac:dyDescent="0.35">
      <c r="L484" s="136">
        <v>482</v>
      </c>
      <c r="M484" s="136">
        <v>0</v>
      </c>
      <c r="N484" s="136">
        <f t="shared" si="15"/>
        <v>1.125</v>
      </c>
      <c r="O484" s="136">
        <f t="shared" si="14"/>
        <v>429.875</v>
      </c>
      <c r="Q484" s="136">
        <v>981</v>
      </c>
    </row>
    <row r="485" spans="12:17" x14ac:dyDescent="0.35">
      <c r="L485" s="136">
        <v>483</v>
      </c>
      <c r="M485" s="136">
        <v>2</v>
      </c>
      <c r="N485" s="136">
        <f t="shared" si="15"/>
        <v>1.125</v>
      </c>
      <c r="O485" s="136">
        <f t="shared" si="14"/>
        <v>429.875</v>
      </c>
      <c r="Q485" s="136">
        <v>976</v>
      </c>
    </row>
    <row r="486" spans="12:17" x14ac:dyDescent="0.35">
      <c r="L486" s="136">
        <v>484</v>
      </c>
      <c r="M486" s="136">
        <v>1</v>
      </c>
      <c r="N486" s="136">
        <f t="shared" si="15"/>
        <v>1.125</v>
      </c>
      <c r="O486" s="136">
        <f t="shared" si="14"/>
        <v>429.875</v>
      </c>
      <c r="Q486" s="136">
        <v>955</v>
      </c>
    </row>
    <row r="487" spans="12:17" x14ac:dyDescent="0.35">
      <c r="L487" s="136">
        <v>485</v>
      </c>
      <c r="M487" s="136">
        <v>2</v>
      </c>
      <c r="N487" s="136">
        <f t="shared" si="15"/>
        <v>1</v>
      </c>
      <c r="O487" s="136">
        <f t="shared" si="14"/>
        <v>429.875</v>
      </c>
      <c r="Q487" s="136">
        <v>906</v>
      </c>
    </row>
    <row r="488" spans="12:17" x14ac:dyDescent="0.35">
      <c r="L488" s="136">
        <v>486</v>
      </c>
      <c r="M488" s="136">
        <v>1</v>
      </c>
      <c r="N488" s="136">
        <f t="shared" si="15"/>
        <v>1.125</v>
      </c>
      <c r="O488" s="136">
        <f t="shared" si="14"/>
        <v>429.875</v>
      </c>
      <c r="Q488" s="136">
        <v>976</v>
      </c>
    </row>
    <row r="489" spans="12:17" x14ac:dyDescent="0.35">
      <c r="L489" s="136">
        <v>487</v>
      </c>
      <c r="M489" s="136">
        <v>1</v>
      </c>
      <c r="N489" s="136">
        <f t="shared" si="15"/>
        <v>0.875</v>
      </c>
      <c r="O489" s="136">
        <f t="shared" si="14"/>
        <v>429.875</v>
      </c>
      <c r="Q489" s="136">
        <v>936</v>
      </c>
    </row>
    <row r="490" spans="12:17" x14ac:dyDescent="0.35">
      <c r="L490" s="136">
        <v>488</v>
      </c>
      <c r="M490" s="136">
        <v>1</v>
      </c>
      <c r="N490" s="136">
        <f t="shared" si="15"/>
        <v>0.875</v>
      </c>
      <c r="O490" s="136">
        <f t="shared" si="14"/>
        <v>429.875</v>
      </c>
      <c r="Q490" s="136">
        <v>963</v>
      </c>
    </row>
    <row r="491" spans="12:17" x14ac:dyDescent="0.35">
      <c r="L491" s="136">
        <v>489</v>
      </c>
      <c r="M491" s="136">
        <v>0</v>
      </c>
      <c r="N491" s="136">
        <f t="shared" si="15"/>
        <v>0.75</v>
      </c>
      <c r="O491" s="136">
        <f t="shared" si="14"/>
        <v>429.875</v>
      </c>
      <c r="Q491" s="136">
        <v>932</v>
      </c>
    </row>
    <row r="492" spans="12:17" x14ac:dyDescent="0.35">
      <c r="L492" s="136">
        <v>490</v>
      </c>
      <c r="M492" s="136">
        <v>1</v>
      </c>
      <c r="N492" s="136">
        <f t="shared" si="15"/>
        <v>0.875</v>
      </c>
      <c r="O492" s="136">
        <f t="shared" si="14"/>
        <v>429.875</v>
      </c>
      <c r="Q492" s="136">
        <v>918</v>
      </c>
    </row>
    <row r="493" spans="12:17" x14ac:dyDescent="0.35">
      <c r="L493" s="136">
        <v>491</v>
      </c>
      <c r="M493" s="136">
        <v>0</v>
      </c>
      <c r="N493" s="136">
        <f t="shared" si="15"/>
        <v>0.875</v>
      </c>
      <c r="O493" s="136">
        <f t="shared" si="14"/>
        <v>429.875</v>
      </c>
      <c r="Q493" s="136">
        <v>935</v>
      </c>
    </row>
    <row r="494" spans="12:17" x14ac:dyDescent="0.35">
      <c r="L494" s="136">
        <v>492</v>
      </c>
      <c r="M494" s="136">
        <v>1</v>
      </c>
      <c r="N494" s="136">
        <f t="shared" si="15"/>
        <v>0.75</v>
      </c>
      <c r="O494" s="136">
        <f t="shared" si="14"/>
        <v>429.875</v>
      </c>
      <c r="Q494" s="136">
        <v>901</v>
      </c>
    </row>
    <row r="495" spans="12:17" x14ac:dyDescent="0.35">
      <c r="L495" s="136">
        <v>493</v>
      </c>
      <c r="M495" s="136">
        <v>1</v>
      </c>
      <c r="N495" s="136">
        <f t="shared" si="15"/>
        <v>1</v>
      </c>
      <c r="O495" s="136">
        <f t="shared" si="14"/>
        <v>429.875</v>
      </c>
      <c r="Q495" s="136">
        <v>910</v>
      </c>
    </row>
    <row r="496" spans="12:17" x14ac:dyDescent="0.35">
      <c r="L496" s="136">
        <v>494</v>
      </c>
      <c r="M496" s="136">
        <v>2</v>
      </c>
      <c r="N496" s="136">
        <f t="shared" si="15"/>
        <v>1</v>
      </c>
      <c r="O496" s="136">
        <f t="shared" si="14"/>
        <v>429.875</v>
      </c>
      <c r="Q496" s="136">
        <v>953</v>
      </c>
    </row>
    <row r="497" spans="12:17" x14ac:dyDescent="0.35">
      <c r="L497" s="136">
        <v>495</v>
      </c>
      <c r="M497" s="136">
        <v>1</v>
      </c>
      <c r="N497" s="136">
        <f t="shared" si="15"/>
        <v>1.25</v>
      </c>
      <c r="O497" s="136">
        <f t="shared" si="14"/>
        <v>429.875</v>
      </c>
      <c r="Q497" s="136">
        <v>982</v>
      </c>
    </row>
    <row r="498" spans="12:17" x14ac:dyDescent="0.35">
      <c r="L498" s="136">
        <v>496</v>
      </c>
      <c r="M498" s="136">
        <v>0</v>
      </c>
      <c r="N498" s="136">
        <f t="shared" si="15"/>
        <v>1.25</v>
      </c>
      <c r="O498" s="136">
        <f t="shared" si="14"/>
        <v>429.875</v>
      </c>
      <c r="Q498" s="136">
        <v>932</v>
      </c>
    </row>
    <row r="499" spans="12:17" x14ac:dyDescent="0.35">
      <c r="L499" s="136">
        <v>497</v>
      </c>
      <c r="M499" s="136">
        <v>2</v>
      </c>
      <c r="N499" s="136">
        <f t="shared" si="15"/>
        <v>1.125</v>
      </c>
      <c r="O499" s="136">
        <f t="shared" si="14"/>
        <v>429.875</v>
      </c>
      <c r="Q499" s="136">
        <v>915</v>
      </c>
    </row>
    <row r="500" spans="12:17" x14ac:dyDescent="0.35">
      <c r="L500" s="136">
        <v>498</v>
      </c>
      <c r="M500" s="136">
        <v>1</v>
      </c>
      <c r="N500" s="136">
        <f t="shared" si="15"/>
        <v>0.875</v>
      </c>
      <c r="O500" s="136">
        <f t="shared" si="14"/>
        <v>429.875</v>
      </c>
      <c r="Q500" s="136">
        <v>954</v>
      </c>
    </row>
    <row r="501" spans="12:17" x14ac:dyDescent="0.35">
      <c r="L501" s="136">
        <v>499</v>
      </c>
      <c r="M501" s="136">
        <v>2</v>
      </c>
      <c r="N501" s="136">
        <f t="shared" si="15"/>
        <v>0.75</v>
      </c>
      <c r="O501" s="136">
        <f t="shared" si="14"/>
        <v>429.875</v>
      </c>
      <c r="Q501" s="136">
        <v>960</v>
      </c>
    </row>
    <row r="502" spans="12:17" x14ac:dyDescent="0.35">
      <c r="L502" s="136">
        <v>500</v>
      </c>
      <c r="M502" s="136">
        <v>1</v>
      </c>
      <c r="N502" s="136">
        <f t="shared" si="15"/>
        <v>1</v>
      </c>
      <c r="O502" s="136">
        <f t="shared" si="14"/>
        <v>429.875</v>
      </c>
      <c r="Q502" s="136">
        <v>948</v>
      </c>
    </row>
    <row r="503" spans="12:17" x14ac:dyDescent="0.35">
      <c r="L503" s="136">
        <v>501</v>
      </c>
      <c r="M503" s="136">
        <v>0</v>
      </c>
      <c r="N503" s="136">
        <f t="shared" si="15"/>
        <v>0.875</v>
      </c>
      <c r="O503" s="136">
        <f t="shared" si="14"/>
        <v>429.875</v>
      </c>
      <c r="Q503" s="136">
        <v>942</v>
      </c>
    </row>
    <row r="504" spans="12:17" x14ac:dyDescent="0.35">
      <c r="L504" s="136">
        <v>502</v>
      </c>
      <c r="M504" s="136">
        <v>0</v>
      </c>
      <c r="N504" s="136">
        <f t="shared" si="15"/>
        <v>0.75</v>
      </c>
      <c r="O504" s="136">
        <f t="shared" si="14"/>
        <v>429.875</v>
      </c>
      <c r="Q504" s="136">
        <v>909</v>
      </c>
    </row>
    <row r="505" spans="12:17" x14ac:dyDescent="0.35">
      <c r="L505" s="136">
        <v>503</v>
      </c>
      <c r="M505" s="136">
        <v>0</v>
      </c>
      <c r="N505" s="136">
        <f t="shared" si="15"/>
        <v>0.75</v>
      </c>
      <c r="O505" s="136">
        <f t="shared" si="14"/>
        <v>429.875</v>
      </c>
      <c r="Q505" s="136">
        <v>988</v>
      </c>
    </row>
    <row r="506" spans="12:17" x14ac:dyDescent="0.35">
      <c r="L506" s="136">
        <v>504</v>
      </c>
      <c r="M506" s="136">
        <v>2</v>
      </c>
      <c r="N506" s="136">
        <f t="shared" si="15"/>
        <v>0.75</v>
      </c>
      <c r="O506" s="136">
        <f t="shared" si="14"/>
        <v>429.875</v>
      </c>
      <c r="Q506" s="136">
        <v>908</v>
      </c>
    </row>
    <row r="507" spans="12:17" x14ac:dyDescent="0.35">
      <c r="L507" s="136">
        <v>505</v>
      </c>
      <c r="M507" s="136">
        <v>1</v>
      </c>
      <c r="N507" s="136">
        <f t="shared" si="15"/>
        <v>0.75</v>
      </c>
      <c r="O507" s="136">
        <f t="shared" si="14"/>
        <v>429.875</v>
      </c>
      <c r="Q507" s="136">
        <v>941</v>
      </c>
    </row>
    <row r="508" spans="12:17" x14ac:dyDescent="0.35">
      <c r="L508" s="136">
        <v>506</v>
      </c>
      <c r="M508" s="136">
        <v>0</v>
      </c>
      <c r="N508" s="136">
        <f t="shared" si="15"/>
        <v>0.875</v>
      </c>
      <c r="O508" s="136">
        <f t="shared" si="14"/>
        <v>429.875</v>
      </c>
      <c r="Q508" s="136">
        <v>924</v>
      </c>
    </row>
    <row r="509" spans="12:17" x14ac:dyDescent="0.35">
      <c r="L509" s="136">
        <v>507</v>
      </c>
      <c r="M509" s="136">
        <v>2</v>
      </c>
      <c r="N509" s="136">
        <f t="shared" si="15"/>
        <v>0.875</v>
      </c>
      <c r="O509" s="136">
        <f t="shared" si="14"/>
        <v>429.875</v>
      </c>
      <c r="Q509" s="136">
        <v>893</v>
      </c>
    </row>
    <row r="510" spans="12:17" x14ac:dyDescent="0.35">
      <c r="L510" s="136">
        <v>508</v>
      </c>
      <c r="M510" s="136">
        <v>1</v>
      </c>
      <c r="N510" s="136">
        <f t="shared" si="15"/>
        <v>0.75</v>
      </c>
      <c r="O510" s="136">
        <f t="shared" si="14"/>
        <v>429.875</v>
      </c>
      <c r="Q510" s="136">
        <v>904</v>
      </c>
    </row>
    <row r="511" spans="12:17" x14ac:dyDescent="0.35">
      <c r="L511" s="136">
        <v>509</v>
      </c>
      <c r="M511" s="136">
        <v>0</v>
      </c>
      <c r="N511" s="136">
        <f t="shared" si="15"/>
        <v>0.625</v>
      </c>
      <c r="O511" s="136">
        <f t="shared" si="14"/>
        <v>429.875</v>
      </c>
      <c r="Q511" s="136">
        <v>901</v>
      </c>
    </row>
    <row r="512" spans="12:17" x14ac:dyDescent="0.35">
      <c r="L512" s="136">
        <v>510</v>
      </c>
      <c r="M512" s="136">
        <v>1</v>
      </c>
      <c r="N512" s="136">
        <f t="shared" si="15"/>
        <v>0.625</v>
      </c>
      <c r="O512" s="136">
        <f t="shared" si="14"/>
        <v>429.875</v>
      </c>
      <c r="Q512" s="136">
        <v>847</v>
      </c>
    </row>
    <row r="513" spans="12:17" x14ac:dyDescent="0.35">
      <c r="L513" s="136">
        <v>511</v>
      </c>
      <c r="M513" s="136">
        <v>0</v>
      </c>
      <c r="N513" s="136">
        <f t="shared" si="15"/>
        <v>0.375</v>
      </c>
      <c r="O513" s="136">
        <f t="shared" si="14"/>
        <v>429.875</v>
      </c>
      <c r="Q513" s="136">
        <v>875</v>
      </c>
    </row>
    <row r="514" spans="12:17" x14ac:dyDescent="0.35">
      <c r="L514" s="136">
        <v>512</v>
      </c>
      <c r="M514" s="136">
        <v>1</v>
      </c>
      <c r="N514" s="136">
        <f t="shared" si="15"/>
        <v>0.25</v>
      </c>
      <c r="O514" s="136">
        <f t="shared" ref="O514:O577" si="16">MAX($A$35)/2</f>
        <v>429.875</v>
      </c>
      <c r="Q514" s="136">
        <v>838</v>
      </c>
    </row>
    <row r="515" spans="12:17" x14ac:dyDescent="0.35">
      <c r="L515" s="136">
        <v>513</v>
      </c>
      <c r="M515" s="136">
        <v>0</v>
      </c>
      <c r="N515" s="136">
        <f t="shared" si="15"/>
        <v>0.25</v>
      </c>
      <c r="O515" s="136">
        <f t="shared" si="16"/>
        <v>429.875</v>
      </c>
      <c r="Q515" s="136">
        <v>837</v>
      </c>
    </row>
    <row r="516" spans="12:17" x14ac:dyDescent="0.35">
      <c r="L516" s="136">
        <v>514</v>
      </c>
      <c r="M516" s="136">
        <v>0</v>
      </c>
      <c r="N516" s="136">
        <f t="shared" si="15"/>
        <v>0.125</v>
      </c>
      <c r="O516" s="136">
        <f t="shared" si="16"/>
        <v>429.875</v>
      </c>
      <c r="Q516" s="136">
        <v>856</v>
      </c>
    </row>
    <row r="517" spans="12:17" x14ac:dyDescent="0.35">
      <c r="L517" s="136">
        <v>515</v>
      </c>
      <c r="M517" s="136">
        <v>0</v>
      </c>
      <c r="N517" s="136">
        <f t="shared" ref="N517:N580" si="17">AVERAGE(M514:M521)</f>
        <v>0.125</v>
      </c>
      <c r="O517" s="136">
        <f t="shared" si="16"/>
        <v>429.875</v>
      </c>
      <c r="Q517" s="136">
        <v>810</v>
      </c>
    </row>
    <row r="518" spans="12:17" x14ac:dyDescent="0.35">
      <c r="L518" s="136">
        <v>516</v>
      </c>
      <c r="M518" s="136">
        <v>0</v>
      </c>
      <c r="N518" s="136">
        <f t="shared" si="17"/>
        <v>0</v>
      </c>
      <c r="O518" s="136">
        <f t="shared" si="16"/>
        <v>429.875</v>
      </c>
      <c r="Q518" s="136">
        <v>872</v>
      </c>
    </row>
    <row r="519" spans="12:17" x14ac:dyDescent="0.35">
      <c r="L519" s="136">
        <v>517</v>
      </c>
      <c r="M519" s="136">
        <v>0</v>
      </c>
      <c r="N519" s="136">
        <f t="shared" si="17"/>
        <v>0</v>
      </c>
      <c r="O519" s="136">
        <f t="shared" si="16"/>
        <v>429.875</v>
      </c>
      <c r="Q519" s="136">
        <v>817</v>
      </c>
    </row>
    <row r="520" spans="12:17" x14ac:dyDescent="0.35">
      <c r="L520" s="136">
        <v>518</v>
      </c>
      <c r="M520" s="136">
        <v>0</v>
      </c>
      <c r="N520" s="136">
        <f t="shared" si="17"/>
        <v>0</v>
      </c>
      <c r="O520" s="136">
        <f t="shared" si="16"/>
        <v>429.875</v>
      </c>
      <c r="Q520" s="136">
        <v>857</v>
      </c>
    </row>
    <row r="521" spans="12:17" x14ac:dyDescent="0.35">
      <c r="L521" s="136">
        <v>519</v>
      </c>
      <c r="M521" s="136">
        <v>0</v>
      </c>
      <c r="N521" s="136">
        <f t="shared" si="17"/>
        <v>0.125</v>
      </c>
      <c r="O521" s="136">
        <f t="shared" si="16"/>
        <v>429.875</v>
      </c>
      <c r="Q521" s="136">
        <v>786</v>
      </c>
    </row>
    <row r="522" spans="12:17" x14ac:dyDescent="0.35">
      <c r="L522" s="136">
        <v>520</v>
      </c>
      <c r="M522" s="136">
        <v>0</v>
      </c>
      <c r="N522" s="136">
        <f t="shared" si="17"/>
        <v>0.125</v>
      </c>
      <c r="O522" s="136">
        <f t="shared" si="16"/>
        <v>429.875</v>
      </c>
      <c r="Q522" s="136">
        <v>826</v>
      </c>
    </row>
    <row r="523" spans="12:17" x14ac:dyDescent="0.35">
      <c r="L523" s="136">
        <v>521</v>
      </c>
      <c r="M523" s="136">
        <v>0</v>
      </c>
      <c r="N523" s="136">
        <f t="shared" si="17"/>
        <v>0.125</v>
      </c>
      <c r="O523" s="136">
        <f t="shared" si="16"/>
        <v>429.875</v>
      </c>
      <c r="Q523" s="136">
        <v>799</v>
      </c>
    </row>
    <row r="524" spans="12:17" x14ac:dyDescent="0.35">
      <c r="L524" s="136">
        <v>522</v>
      </c>
      <c r="M524" s="136">
        <v>0</v>
      </c>
      <c r="N524" s="136">
        <f t="shared" si="17"/>
        <v>0.125</v>
      </c>
      <c r="O524" s="136">
        <f t="shared" si="16"/>
        <v>429.875</v>
      </c>
      <c r="Q524" s="136">
        <v>811</v>
      </c>
    </row>
    <row r="525" spans="12:17" x14ac:dyDescent="0.35">
      <c r="L525" s="136">
        <v>523</v>
      </c>
      <c r="M525" s="136">
        <v>1</v>
      </c>
      <c r="N525" s="136">
        <f t="shared" si="17"/>
        <v>0.125</v>
      </c>
      <c r="O525" s="136">
        <f t="shared" si="16"/>
        <v>429.875</v>
      </c>
      <c r="Q525" s="136">
        <v>837</v>
      </c>
    </row>
    <row r="526" spans="12:17" x14ac:dyDescent="0.35">
      <c r="L526" s="136">
        <v>524</v>
      </c>
      <c r="M526" s="136">
        <v>0</v>
      </c>
      <c r="N526" s="136">
        <f t="shared" si="17"/>
        <v>0.375</v>
      </c>
      <c r="O526" s="136">
        <f t="shared" si="16"/>
        <v>429.875</v>
      </c>
      <c r="Q526" s="136">
        <v>821</v>
      </c>
    </row>
    <row r="527" spans="12:17" x14ac:dyDescent="0.35">
      <c r="L527" s="136">
        <v>525</v>
      </c>
      <c r="M527" s="136">
        <v>0</v>
      </c>
      <c r="N527" s="136">
        <f t="shared" si="17"/>
        <v>0.375</v>
      </c>
      <c r="O527" s="136">
        <f t="shared" si="16"/>
        <v>429.875</v>
      </c>
      <c r="Q527" s="136">
        <v>757</v>
      </c>
    </row>
    <row r="528" spans="12:17" x14ac:dyDescent="0.35">
      <c r="L528" s="136">
        <v>526</v>
      </c>
      <c r="M528" s="136">
        <v>0</v>
      </c>
      <c r="N528" s="136">
        <f t="shared" si="17"/>
        <v>0.5</v>
      </c>
      <c r="O528" s="136">
        <f t="shared" si="16"/>
        <v>429.875</v>
      </c>
      <c r="Q528" s="136">
        <v>824</v>
      </c>
    </row>
    <row r="529" spans="12:17" x14ac:dyDescent="0.35">
      <c r="L529" s="136">
        <v>527</v>
      </c>
      <c r="M529" s="136">
        <v>0</v>
      </c>
      <c r="N529" s="136">
        <f t="shared" si="17"/>
        <v>0.375</v>
      </c>
      <c r="O529" s="136">
        <f t="shared" si="16"/>
        <v>429.875</v>
      </c>
      <c r="Q529" s="136">
        <v>806</v>
      </c>
    </row>
    <row r="530" spans="12:17" x14ac:dyDescent="0.35">
      <c r="L530" s="136">
        <v>528</v>
      </c>
      <c r="M530" s="136">
        <v>2</v>
      </c>
      <c r="N530" s="136">
        <f t="shared" si="17"/>
        <v>0.5</v>
      </c>
      <c r="O530" s="136">
        <f t="shared" si="16"/>
        <v>429.875</v>
      </c>
      <c r="Q530" s="136">
        <v>739</v>
      </c>
    </row>
    <row r="531" spans="12:17" x14ac:dyDescent="0.35">
      <c r="L531" s="136">
        <v>529</v>
      </c>
      <c r="M531" s="136">
        <v>0</v>
      </c>
      <c r="N531" s="136">
        <f t="shared" si="17"/>
        <v>0.5</v>
      </c>
      <c r="O531" s="136">
        <f t="shared" si="16"/>
        <v>429.875</v>
      </c>
      <c r="Q531" s="136">
        <v>777</v>
      </c>
    </row>
    <row r="532" spans="12:17" x14ac:dyDescent="0.35">
      <c r="L532" s="136">
        <v>530</v>
      </c>
      <c r="M532" s="136">
        <v>1</v>
      </c>
      <c r="N532" s="136">
        <f t="shared" si="17"/>
        <v>0.5</v>
      </c>
      <c r="O532" s="136">
        <f t="shared" si="16"/>
        <v>429.875</v>
      </c>
      <c r="Q532" s="136">
        <v>729</v>
      </c>
    </row>
    <row r="533" spans="12:17" x14ac:dyDescent="0.35">
      <c r="L533" s="136">
        <v>531</v>
      </c>
      <c r="M533" s="136">
        <v>0</v>
      </c>
      <c r="N533" s="136">
        <f t="shared" si="17"/>
        <v>0.5</v>
      </c>
      <c r="O533" s="136">
        <f t="shared" si="16"/>
        <v>429.875</v>
      </c>
      <c r="Q533" s="136">
        <v>767</v>
      </c>
    </row>
    <row r="534" spans="12:17" x14ac:dyDescent="0.35">
      <c r="L534" s="136">
        <v>532</v>
      </c>
      <c r="M534" s="136">
        <v>1</v>
      </c>
      <c r="N534" s="136">
        <f t="shared" si="17"/>
        <v>0.25</v>
      </c>
      <c r="O534" s="136">
        <f t="shared" si="16"/>
        <v>429.875</v>
      </c>
      <c r="Q534" s="136">
        <v>708</v>
      </c>
    </row>
    <row r="535" spans="12:17" x14ac:dyDescent="0.35">
      <c r="L535" s="136">
        <v>533</v>
      </c>
      <c r="M535" s="136">
        <v>0</v>
      </c>
      <c r="N535" s="136">
        <f t="shared" si="17"/>
        <v>0.25</v>
      </c>
      <c r="O535" s="136">
        <f t="shared" si="16"/>
        <v>429.875</v>
      </c>
      <c r="Q535" s="136">
        <v>722</v>
      </c>
    </row>
    <row r="536" spans="12:17" x14ac:dyDescent="0.35">
      <c r="L536" s="136">
        <v>534</v>
      </c>
      <c r="M536" s="136">
        <v>0</v>
      </c>
      <c r="N536" s="136">
        <f t="shared" si="17"/>
        <v>0.125</v>
      </c>
      <c r="O536" s="136">
        <f t="shared" si="16"/>
        <v>429.875</v>
      </c>
      <c r="Q536" s="136">
        <v>706</v>
      </c>
    </row>
    <row r="537" spans="12:17" x14ac:dyDescent="0.35">
      <c r="L537" s="136">
        <v>535</v>
      </c>
      <c r="M537" s="136">
        <v>0</v>
      </c>
      <c r="N537" s="136">
        <f t="shared" si="17"/>
        <v>0.125</v>
      </c>
      <c r="O537" s="136">
        <f t="shared" si="16"/>
        <v>429.875</v>
      </c>
      <c r="Q537" s="136">
        <v>706</v>
      </c>
    </row>
    <row r="538" spans="12:17" x14ac:dyDescent="0.35">
      <c r="L538" s="136">
        <v>536</v>
      </c>
      <c r="M538" s="136">
        <v>0</v>
      </c>
      <c r="N538" s="136">
        <f t="shared" si="17"/>
        <v>0</v>
      </c>
      <c r="O538" s="136">
        <f t="shared" si="16"/>
        <v>429.875</v>
      </c>
      <c r="Q538" s="136">
        <v>715</v>
      </c>
    </row>
    <row r="539" spans="12:17" x14ac:dyDescent="0.35">
      <c r="L539" s="136">
        <v>537</v>
      </c>
      <c r="M539" s="136">
        <v>0</v>
      </c>
      <c r="N539" s="136">
        <f t="shared" si="17"/>
        <v>0</v>
      </c>
      <c r="O539" s="136">
        <f t="shared" si="16"/>
        <v>429.875</v>
      </c>
      <c r="Q539" s="136">
        <v>687</v>
      </c>
    </row>
    <row r="540" spans="12:17" x14ac:dyDescent="0.35">
      <c r="L540" s="136">
        <v>538</v>
      </c>
      <c r="M540" s="136">
        <v>0</v>
      </c>
      <c r="N540" s="136">
        <f t="shared" si="17"/>
        <v>0</v>
      </c>
      <c r="O540" s="136">
        <f t="shared" si="16"/>
        <v>429.875</v>
      </c>
      <c r="Q540" s="136">
        <v>695</v>
      </c>
    </row>
    <row r="541" spans="12:17" x14ac:dyDescent="0.35">
      <c r="L541" s="136">
        <v>539</v>
      </c>
      <c r="M541" s="136">
        <v>0</v>
      </c>
      <c r="N541" s="136">
        <f t="shared" si="17"/>
        <v>0</v>
      </c>
      <c r="O541" s="136">
        <f t="shared" si="16"/>
        <v>429.875</v>
      </c>
      <c r="Q541" s="136">
        <v>679</v>
      </c>
    </row>
    <row r="542" spans="12:17" x14ac:dyDescent="0.35">
      <c r="L542" s="136">
        <v>540</v>
      </c>
      <c r="M542" s="136">
        <v>0</v>
      </c>
      <c r="N542" s="136">
        <f t="shared" si="17"/>
        <v>0</v>
      </c>
      <c r="O542" s="136">
        <f t="shared" si="16"/>
        <v>429.875</v>
      </c>
      <c r="Q542" s="136">
        <v>643</v>
      </c>
    </row>
    <row r="543" spans="12:17" x14ac:dyDescent="0.35">
      <c r="L543" s="136">
        <v>541</v>
      </c>
      <c r="M543" s="136">
        <v>0</v>
      </c>
      <c r="N543" s="136">
        <f t="shared" si="17"/>
        <v>0</v>
      </c>
      <c r="O543" s="136">
        <f t="shared" si="16"/>
        <v>429.875</v>
      </c>
      <c r="Q543" s="136">
        <v>646</v>
      </c>
    </row>
    <row r="544" spans="12:17" x14ac:dyDescent="0.35">
      <c r="L544" s="136">
        <v>542</v>
      </c>
      <c r="M544" s="136">
        <v>0</v>
      </c>
      <c r="N544" s="136">
        <f t="shared" si="17"/>
        <v>0</v>
      </c>
      <c r="O544" s="136">
        <f t="shared" si="16"/>
        <v>429.875</v>
      </c>
      <c r="Q544" s="136">
        <v>627</v>
      </c>
    </row>
    <row r="545" spans="12:17" x14ac:dyDescent="0.35">
      <c r="L545" s="136">
        <v>543</v>
      </c>
      <c r="M545" s="136">
        <v>0</v>
      </c>
      <c r="N545" s="136">
        <f t="shared" si="17"/>
        <v>0</v>
      </c>
      <c r="O545" s="136">
        <f t="shared" si="16"/>
        <v>429.875</v>
      </c>
      <c r="Q545" s="136">
        <v>672</v>
      </c>
    </row>
    <row r="546" spans="12:17" x14ac:dyDescent="0.35">
      <c r="L546" s="136">
        <v>544</v>
      </c>
      <c r="M546" s="136">
        <v>0</v>
      </c>
      <c r="N546" s="136">
        <f t="shared" si="17"/>
        <v>0.125</v>
      </c>
      <c r="O546" s="136">
        <f t="shared" si="16"/>
        <v>429.875</v>
      </c>
      <c r="Q546" s="136">
        <v>660</v>
      </c>
    </row>
    <row r="547" spans="12:17" x14ac:dyDescent="0.35">
      <c r="L547" s="136">
        <v>545</v>
      </c>
      <c r="M547" s="136">
        <v>0</v>
      </c>
      <c r="N547" s="136">
        <f t="shared" si="17"/>
        <v>0.125</v>
      </c>
      <c r="O547" s="136">
        <f t="shared" si="16"/>
        <v>429.875</v>
      </c>
      <c r="Q547" s="136">
        <v>633</v>
      </c>
    </row>
    <row r="548" spans="12:17" x14ac:dyDescent="0.35">
      <c r="L548" s="136">
        <v>546</v>
      </c>
      <c r="M548" s="136">
        <v>0</v>
      </c>
      <c r="N548" s="136">
        <f t="shared" si="17"/>
        <v>0.125</v>
      </c>
      <c r="O548" s="136">
        <f t="shared" si="16"/>
        <v>429.875</v>
      </c>
      <c r="Q548" s="136">
        <v>616</v>
      </c>
    </row>
    <row r="549" spans="12:17" x14ac:dyDescent="0.35">
      <c r="L549" s="136">
        <v>547</v>
      </c>
      <c r="M549" s="136">
        <v>0</v>
      </c>
      <c r="N549" s="136">
        <f t="shared" si="17"/>
        <v>0.125</v>
      </c>
      <c r="O549" s="136">
        <f t="shared" si="16"/>
        <v>429.875</v>
      </c>
      <c r="Q549" s="136">
        <v>626</v>
      </c>
    </row>
    <row r="550" spans="12:17" x14ac:dyDescent="0.35">
      <c r="L550" s="136">
        <v>548</v>
      </c>
      <c r="M550" s="136">
        <v>1</v>
      </c>
      <c r="N550" s="136">
        <f t="shared" si="17"/>
        <v>0.125</v>
      </c>
      <c r="O550" s="136">
        <f t="shared" si="16"/>
        <v>429.875</v>
      </c>
      <c r="Q550" s="136">
        <v>552</v>
      </c>
    </row>
    <row r="551" spans="12:17" x14ac:dyDescent="0.35">
      <c r="L551" s="136">
        <v>549</v>
      </c>
      <c r="M551" s="136">
        <v>0</v>
      </c>
      <c r="N551" s="136">
        <f t="shared" si="17"/>
        <v>0.125</v>
      </c>
      <c r="O551" s="136">
        <f t="shared" si="16"/>
        <v>429.875</v>
      </c>
      <c r="Q551" s="136">
        <v>611</v>
      </c>
    </row>
    <row r="552" spans="12:17" x14ac:dyDescent="0.35">
      <c r="L552" s="136">
        <v>550</v>
      </c>
      <c r="M552" s="136">
        <v>0</v>
      </c>
      <c r="N552" s="136">
        <f t="shared" si="17"/>
        <v>0.125</v>
      </c>
      <c r="O552" s="136">
        <f t="shared" si="16"/>
        <v>429.875</v>
      </c>
      <c r="Q552" s="136">
        <v>589</v>
      </c>
    </row>
    <row r="553" spans="12:17" x14ac:dyDescent="0.35">
      <c r="L553" s="136">
        <v>551</v>
      </c>
      <c r="M553" s="136">
        <v>0</v>
      </c>
      <c r="N553" s="136">
        <f t="shared" si="17"/>
        <v>0.125</v>
      </c>
      <c r="O553" s="136">
        <f t="shared" si="16"/>
        <v>429.875</v>
      </c>
      <c r="Q553" s="136">
        <v>551</v>
      </c>
    </row>
    <row r="554" spans="12:17" x14ac:dyDescent="0.35">
      <c r="L554" s="136">
        <v>552</v>
      </c>
      <c r="M554" s="136">
        <v>0</v>
      </c>
      <c r="N554" s="136">
        <f t="shared" si="17"/>
        <v>0.125</v>
      </c>
      <c r="O554" s="136">
        <f t="shared" si="16"/>
        <v>429.875</v>
      </c>
      <c r="Q554" s="136">
        <v>607</v>
      </c>
    </row>
    <row r="555" spans="12:17" x14ac:dyDescent="0.35">
      <c r="L555" s="136">
        <v>553</v>
      </c>
      <c r="M555" s="136">
        <v>0</v>
      </c>
      <c r="N555" s="136">
        <f t="shared" si="17"/>
        <v>0.125</v>
      </c>
      <c r="O555" s="136">
        <f t="shared" si="16"/>
        <v>429.875</v>
      </c>
      <c r="Q555" s="136">
        <v>537</v>
      </c>
    </row>
    <row r="556" spans="12:17" x14ac:dyDescent="0.35">
      <c r="L556" s="136">
        <v>554</v>
      </c>
      <c r="M556" s="136">
        <v>0</v>
      </c>
      <c r="N556" s="136">
        <f t="shared" si="17"/>
        <v>0.125</v>
      </c>
      <c r="O556" s="136">
        <f t="shared" si="16"/>
        <v>429.875</v>
      </c>
      <c r="Q556" s="136">
        <v>612</v>
      </c>
    </row>
    <row r="557" spans="12:17" x14ac:dyDescent="0.35">
      <c r="L557" s="136">
        <v>555</v>
      </c>
      <c r="M557" s="136">
        <v>0</v>
      </c>
      <c r="N557" s="136">
        <f t="shared" si="17"/>
        <v>0.125</v>
      </c>
      <c r="O557" s="136">
        <f t="shared" si="16"/>
        <v>429.875</v>
      </c>
      <c r="Q557" s="136">
        <v>557</v>
      </c>
    </row>
    <row r="558" spans="12:17" x14ac:dyDescent="0.35">
      <c r="L558" s="136">
        <v>556</v>
      </c>
      <c r="M558" s="136">
        <v>1</v>
      </c>
      <c r="N558" s="136">
        <f t="shared" si="17"/>
        <v>0.25</v>
      </c>
      <c r="O558" s="136">
        <f t="shared" si="16"/>
        <v>429.875</v>
      </c>
      <c r="Q558" s="136">
        <v>557</v>
      </c>
    </row>
    <row r="559" spans="12:17" x14ac:dyDescent="0.35">
      <c r="L559" s="136">
        <v>557</v>
      </c>
      <c r="M559" s="136">
        <v>0</v>
      </c>
      <c r="N559" s="136">
        <f t="shared" si="17"/>
        <v>0.25</v>
      </c>
      <c r="O559" s="136">
        <f t="shared" si="16"/>
        <v>429.875</v>
      </c>
      <c r="Q559" s="136">
        <v>525</v>
      </c>
    </row>
    <row r="560" spans="12:17" x14ac:dyDescent="0.35">
      <c r="L560" s="136">
        <v>558</v>
      </c>
      <c r="M560" s="136">
        <v>0</v>
      </c>
      <c r="N560" s="136">
        <f t="shared" si="17"/>
        <v>0.25</v>
      </c>
      <c r="O560" s="136">
        <f t="shared" si="16"/>
        <v>429.875</v>
      </c>
      <c r="Q560" s="136">
        <v>500</v>
      </c>
    </row>
    <row r="561" spans="12:17" x14ac:dyDescent="0.35">
      <c r="L561" s="136">
        <v>559</v>
      </c>
      <c r="M561" s="136">
        <v>0</v>
      </c>
      <c r="N561" s="136">
        <f t="shared" si="17"/>
        <v>0.25</v>
      </c>
      <c r="O561" s="136">
        <f t="shared" si="16"/>
        <v>429.875</v>
      </c>
      <c r="Q561" s="136">
        <v>507</v>
      </c>
    </row>
    <row r="562" spans="12:17" x14ac:dyDescent="0.35">
      <c r="L562" s="136">
        <v>560</v>
      </c>
      <c r="M562" s="136">
        <v>1</v>
      </c>
      <c r="N562" s="136">
        <f t="shared" si="17"/>
        <v>0.125</v>
      </c>
      <c r="O562" s="136">
        <f t="shared" si="16"/>
        <v>429.875</v>
      </c>
      <c r="Q562" s="136">
        <v>475</v>
      </c>
    </row>
    <row r="563" spans="12:17" x14ac:dyDescent="0.35">
      <c r="L563" s="136">
        <v>561</v>
      </c>
      <c r="M563" s="136">
        <v>0</v>
      </c>
      <c r="N563" s="136">
        <f t="shared" si="17"/>
        <v>0.125</v>
      </c>
      <c r="O563" s="136">
        <f t="shared" si="16"/>
        <v>429.875</v>
      </c>
      <c r="Q563" s="136">
        <v>523</v>
      </c>
    </row>
    <row r="564" spans="12:17" x14ac:dyDescent="0.35">
      <c r="L564" s="136">
        <v>562</v>
      </c>
      <c r="M564" s="136">
        <v>0</v>
      </c>
      <c r="N564" s="136">
        <f t="shared" si="17"/>
        <v>0.125</v>
      </c>
      <c r="O564" s="136">
        <f t="shared" si="16"/>
        <v>429.875</v>
      </c>
      <c r="Q564" s="136">
        <v>442</v>
      </c>
    </row>
    <row r="565" spans="12:17" x14ac:dyDescent="0.35">
      <c r="L565" s="136">
        <v>563</v>
      </c>
      <c r="M565" s="136">
        <v>0</v>
      </c>
      <c r="N565" s="136">
        <f t="shared" si="17"/>
        <v>0.125</v>
      </c>
      <c r="O565" s="136">
        <f t="shared" si="16"/>
        <v>429.875</v>
      </c>
      <c r="Q565" s="136">
        <v>486</v>
      </c>
    </row>
    <row r="566" spans="12:17" x14ac:dyDescent="0.35">
      <c r="L566" s="136">
        <v>564</v>
      </c>
      <c r="M566" s="136">
        <v>0</v>
      </c>
      <c r="N566" s="136">
        <f t="shared" si="17"/>
        <v>0</v>
      </c>
      <c r="O566" s="136">
        <f t="shared" si="16"/>
        <v>429.875</v>
      </c>
      <c r="Q566" s="136">
        <v>447</v>
      </c>
    </row>
    <row r="567" spans="12:17" x14ac:dyDescent="0.35">
      <c r="L567" s="136">
        <v>565</v>
      </c>
      <c r="M567" s="136">
        <v>0</v>
      </c>
      <c r="N567" s="136">
        <f t="shared" si="17"/>
        <v>0</v>
      </c>
      <c r="O567" s="136">
        <f t="shared" si="16"/>
        <v>429.875</v>
      </c>
      <c r="Q567" s="136">
        <v>479</v>
      </c>
    </row>
    <row r="568" spans="12:17" x14ac:dyDescent="0.35">
      <c r="L568" s="136">
        <v>566</v>
      </c>
      <c r="M568" s="136">
        <v>0</v>
      </c>
      <c r="N568" s="136">
        <f t="shared" si="17"/>
        <v>0</v>
      </c>
      <c r="O568" s="136">
        <f t="shared" si="16"/>
        <v>429.875</v>
      </c>
      <c r="Q568" s="136">
        <v>450</v>
      </c>
    </row>
    <row r="569" spans="12:17" x14ac:dyDescent="0.35">
      <c r="L569" s="136">
        <v>567</v>
      </c>
      <c r="M569" s="136">
        <v>0</v>
      </c>
      <c r="N569" s="136">
        <f t="shared" si="17"/>
        <v>0.125</v>
      </c>
      <c r="O569" s="136">
        <f t="shared" si="16"/>
        <v>429.875</v>
      </c>
      <c r="Q569" s="136">
        <v>437</v>
      </c>
    </row>
    <row r="570" spans="12:17" x14ac:dyDescent="0.35">
      <c r="L570" s="136">
        <v>568</v>
      </c>
      <c r="M570" s="136">
        <v>0</v>
      </c>
      <c r="N570" s="136">
        <f t="shared" si="17"/>
        <v>0.125</v>
      </c>
      <c r="O570" s="136">
        <f t="shared" si="16"/>
        <v>429.875</v>
      </c>
      <c r="Q570" s="136">
        <v>420</v>
      </c>
    </row>
    <row r="571" spans="12:17" x14ac:dyDescent="0.35">
      <c r="L571" s="136">
        <v>569</v>
      </c>
      <c r="M571" s="136">
        <v>0</v>
      </c>
      <c r="N571" s="136">
        <f t="shared" si="17"/>
        <v>0.25</v>
      </c>
      <c r="O571" s="136">
        <f t="shared" si="16"/>
        <v>429.875</v>
      </c>
      <c r="Q571" s="136">
        <v>389</v>
      </c>
    </row>
    <row r="572" spans="12:17" x14ac:dyDescent="0.35">
      <c r="L572" s="136">
        <v>570</v>
      </c>
      <c r="M572" s="136">
        <v>0</v>
      </c>
      <c r="N572" s="136">
        <f t="shared" si="17"/>
        <v>0.375</v>
      </c>
      <c r="O572" s="136">
        <f t="shared" si="16"/>
        <v>429.875</v>
      </c>
      <c r="Q572" s="136">
        <v>442</v>
      </c>
    </row>
    <row r="573" spans="12:17" x14ac:dyDescent="0.35">
      <c r="L573" s="136">
        <v>571</v>
      </c>
      <c r="M573" s="136">
        <v>1</v>
      </c>
      <c r="N573" s="136">
        <f t="shared" si="17"/>
        <v>0.375</v>
      </c>
      <c r="O573" s="136">
        <f t="shared" si="16"/>
        <v>429.875</v>
      </c>
      <c r="Q573" s="136">
        <v>402</v>
      </c>
    </row>
    <row r="574" spans="12:17" x14ac:dyDescent="0.35">
      <c r="L574" s="136">
        <v>572</v>
      </c>
      <c r="M574" s="136">
        <v>0</v>
      </c>
      <c r="N574" s="136">
        <f t="shared" si="17"/>
        <v>0.375</v>
      </c>
      <c r="O574" s="136">
        <f t="shared" si="16"/>
        <v>429.875</v>
      </c>
      <c r="Q574" s="136">
        <v>429</v>
      </c>
    </row>
    <row r="575" spans="12:17" x14ac:dyDescent="0.35">
      <c r="L575" s="136">
        <v>573</v>
      </c>
      <c r="M575" s="136">
        <v>1</v>
      </c>
      <c r="N575" s="136">
        <f t="shared" si="17"/>
        <v>0.375</v>
      </c>
      <c r="O575" s="136">
        <f t="shared" si="16"/>
        <v>429.875</v>
      </c>
      <c r="Q575" s="136">
        <v>385</v>
      </c>
    </row>
    <row r="576" spans="12:17" x14ac:dyDescent="0.35">
      <c r="L576" s="136">
        <v>574</v>
      </c>
      <c r="M576" s="136">
        <v>1</v>
      </c>
      <c r="N576" s="136">
        <f t="shared" si="17"/>
        <v>0.375</v>
      </c>
      <c r="O576" s="136">
        <f t="shared" si="16"/>
        <v>429.875</v>
      </c>
      <c r="Q576" s="136">
        <v>424</v>
      </c>
    </row>
    <row r="577" spans="12:17" x14ac:dyDescent="0.35">
      <c r="L577" s="136">
        <v>575</v>
      </c>
      <c r="M577" s="136">
        <v>0</v>
      </c>
      <c r="N577" s="136">
        <f t="shared" si="17"/>
        <v>0.375</v>
      </c>
      <c r="O577" s="136">
        <f t="shared" si="16"/>
        <v>429.875</v>
      </c>
      <c r="Q577" s="136">
        <v>402</v>
      </c>
    </row>
    <row r="578" spans="12:17" x14ac:dyDescent="0.35">
      <c r="L578" s="136">
        <v>576</v>
      </c>
      <c r="M578" s="136">
        <v>0</v>
      </c>
      <c r="N578" s="136">
        <f t="shared" si="17"/>
        <v>0.375</v>
      </c>
      <c r="O578" s="136">
        <f t="shared" ref="O578:O641" si="18">MAX($A$35)/2</f>
        <v>429.875</v>
      </c>
      <c r="Q578" s="136">
        <v>380</v>
      </c>
    </row>
    <row r="579" spans="12:17" x14ac:dyDescent="0.35">
      <c r="L579" s="136">
        <v>577</v>
      </c>
      <c r="M579" s="136">
        <v>0</v>
      </c>
      <c r="N579" s="136">
        <f t="shared" si="17"/>
        <v>0.25</v>
      </c>
      <c r="O579" s="136">
        <f t="shared" si="18"/>
        <v>429.875</v>
      </c>
      <c r="Q579" s="136">
        <v>385</v>
      </c>
    </row>
    <row r="580" spans="12:17" x14ac:dyDescent="0.35">
      <c r="L580" s="136">
        <v>578</v>
      </c>
      <c r="M580" s="136">
        <v>0</v>
      </c>
      <c r="N580" s="136">
        <f t="shared" si="17"/>
        <v>0.125</v>
      </c>
      <c r="O580" s="136">
        <f t="shared" si="18"/>
        <v>429.875</v>
      </c>
      <c r="Q580" s="136">
        <v>391</v>
      </c>
    </row>
    <row r="581" spans="12:17" x14ac:dyDescent="0.35">
      <c r="L581" s="136">
        <v>579</v>
      </c>
      <c r="M581" s="136">
        <v>1</v>
      </c>
      <c r="N581" s="136">
        <f t="shared" ref="N581:N644" si="19">AVERAGE(M578:M585)</f>
        <v>0.125</v>
      </c>
      <c r="O581" s="136">
        <f t="shared" si="18"/>
        <v>429.875</v>
      </c>
      <c r="Q581" s="136">
        <v>363</v>
      </c>
    </row>
    <row r="582" spans="12:17" x14ac:dyDescent="0.35">
      <c r="L582" s="136">
        <v>580</v>
      </c>
      <c r="M582" s="136">
        <v>0</v>
      </c>
      <c r="N582" s="136">
        <f t="shared" si="19"/>
        <v>0.125</v>
      </c>
      <c r="O582" s="136">
        <f t="shared" si="18"/>
        <v>429.875</v>
      </c>
      <c r="Q582" s="136">
        <v>341</v>
      </c>
    </row>
    <row r="583" spans="12:17" x14ac:dyDescent="0.35">
      <c r="L583" s="136">
        <v>581</v>
      </c>
      <c r="M583" s="136">
        <v>0</v>
      </c>
      <c r="N583" s="136">
        <f t="shared" si="19"/>
        <v>0.125</v>
      </c>
      <c r="O583" s="136">
        <f t="shared" si="18"/>
        <v>429.875</v>
      </c>
      <c r="Q583" s="136">
        <v>340</v>
      </c>
    </row>
    <row r="584" spans="12:17" x14ac:dyDescent="0.35">
      <c r="L584" s="136">
        <v>582</v>
      </c>
      <c r="M584" s="136">
        <v>0</v>
      </c>
      <c r="N584" s="136">
        <f t="shared" si="19"/>
        <v>0.125</v>
      </c>
      <c r="O584" s="136">
        <f t="shared" si="18"/>
        <v>429.875</v>
      </c>
      <c r="Q584" s="136">
        <v>345</v>
      </c>
    </row>
    <row r="585" spans="12:17" x14ac:dyDescent="0.35">
      <c r="L585" s="136">
        <v>583</v>
      </c>
      <c r="M585" s="136">
        <v>0</v>
      </c>
      <c r="N585" s="136">
        <f t="shared" si="19"/>
        <v>0</v>
      </c>
      <c r="O585" s="136">
        <f t="shared" si="18"/>
        <v>429.875</v>
      </c>
      <c r="Q585" s="136">
        <v>289</v>
      </c>
    </row>
    <row r="586" spans="12:17" x14ac:dyDescent="0.35">
      <c r="L586" s="136">
        <v>584</v>
      </c>
      <c r="M586" s="136">
        <v>0</v>
      </c>
      <c r="N586" s="136">
        <f t="shared" si="19"/>
        <v>0</v>
      </c>
      <c r="O586" s="136">
        <f t="shared" si="18"/>
        <v>429.875</v>
      </c>
      <c r="Q586" s="136">
        <v>318</v>
      </c>
    </row>
    <row r="587" spans="12:17" x14ac:dyDescent="0.35">
      <c r="L587" s="136">
        <v>585</v>
      </c>
      <c r="M587" s="136">
        <v>0</v>
      </c>
      <c r="N587" s="136">
        <f t="shared" si="19"/>
        <v>0</v>
      </c>
      <c r="O587" s="136">
        <f t="shared" si="18"/>
        <v>429.875</v>
      </c>
      <c r="Q587" s="136">
        <v>311</v>
      </c>
    </row>
    <row r="588" spans="12:17" x14ac:dyDescent="0.35">
      <c r="L588" s="136">
        <v>586</v>
      </c>
      <c r="M588" s="136">
        <v>0</v>
      </c>
      <c r="N588" s="136">
        <f t="shared" si="19"/>
        <v>0</v>
      </c>
      <c r="O588" s="136">
        <f t="shared" si="18"/>
        <v>429.875</v>
      </c>
      <c r="Q588" s="136">
        <v>327</v>
      </c>
    </row>
    <row r="589" spans="12:17" x14ac:dyDescent="0.35">
      <c r="L589" s="136">
        <v>587</v>
      </c>
      <c r="M589" s="136">
        <v>0</v>
      </c>
      <c r="N589" s="136">
        <f t="shared" si="19"/>
        <v>0</v>
      </c>
      <c r="O589" s="136">
        <f t="shared" si="18"/>
        <v>429.875</v>
      </c>
      <c r="Q589" s="136">
        <v>282</v>
      </c>
    </row>
    <row r="590" spans="12:17" x14ac:dyDescent="0.35">
      <c r="L590" s="136">
        <v>588</v>
      </c>
      <c r="M590" s="136">
        <v>0</v>
      </c>
      <c r="N590" s="136">
        <f t="shared" si="19"/>
        <v>0</v>
      </c>
      <c r="O590" s="136">
        <f t="shared" si="18"/>
        <v>429.875</v>
      </c>
      <c r="Q590" s="136">
        <v>295</v>
      </c>
    </row>
    <row r="591" spans="12:17" x14ac:dyDescent="0.35">
      <c r="L591" s="136">
        <v>589</v>
      </c>
      <c r="M591" s="136">
        <v>0</v>
      </c>
      <c r="N591" s="136">
        <f t="shared" si="19"/>
        <v>0</v>
      </c>
      <c r="O591" s="136">
        <f t="shared" si="18"/>
        <v>429.875</v>
      </c>
      <c r="Q591" s="136">
        <v>269</v>
      </c>
    </row>
    <row r="592" spans="12:17" x14ac:dyDescent="0.35">
      <c r="L592" s="136">
        <v>590</v>
      </c>
      <c r="M592" s="136">
        <v>0</v>
      </c>
      <c r="N592" s="136">
        <f t="shared" si="19"/>
        <v>0</v>
      </c>
      <c r="O592" s="136">
        <f t="shared" si="18"/>
        <v>429.875</v>
      </c>
      <c r="Q592" s="136">
        <v>287</v>
      </c>
    </row>
    <row r="593" spans="12:17" x14ac:dyDescent="0.35">
      <c r="L593" s="136">
        <v>591</v>
      </c>
      <c r="M593" s="136">
        <v>0</v>
      </c>
      <c r="N593" s="136">
        <f t="shared" si="19"/>
        <v>0</v>
      </c>
      <c r="O593" s="136">
        <f t="shared" si="18"/>
        <v>429.875</v>
      </c>
      <c r="Q593" s="136">
        <v>290</v>
      </c>
    </row>
    <row r="594" spans="12:17" x14ac:dyDescent="0.35">
      <c r="L594" s="136">
        <v>592</v>
      </c>
      <c r="M594" s="136">
        <v>0</v>
      </c>
      <c r="N594" s="136">
        <f t="shared" si="19"/>
        <v>0</v>
      </c>
      <c r="O594" s="136">
        <f t="shared" si="18"/>
        <v>429.875</v>
      </c>
      <c r="Q594" s="136">
        <v>268</v>
      </c>
    </row>
    <row r="595" spans="12:17" x14ac:dyDescent="0.35">
      <c r="L595" s="136">
        <v>593</v>
      </c>
      <c r="M595" s="136">
        <v>0</v>
      </c>
      <c r="N595" s="136">
        <f t="shared" si="19"/>
        <v>0</v>
      </c>
      <c r="O595" s="136">
        <f t="shared" si="18"/>
        <v>429.875</v>
      </c>
      <c r="Q595" s="136">
        <v>280</v>
      </c>
    </row>
    <row r="596" spans="12:17" x14ac:dyDescent="0.35">
      <c r="L596" s="136">
        <v>594</v>
      </c>
      <c r="M596" s="136">
        <v>0</v>
      </c>
      <c r="N596" s="136">
        <f t="shared" si="19"/>
        <v>0</v>
      </c>
      <c r="O596" s="136">
        <f t="shared" si="18"/>
        <v>429.875</v>
      </c>
      <c r="Q596" s="136">
        <v>263</v>
      </c>
    </row>
    <row r="597" spans="12:17" x14ac:dyDescent="0.35">
      <c r="L597" s="136">
        <v>595</v>
      </c>
      <c r="M597" s="136">
        <v>0</v>
      </c>
      <c r="N597" s="136">
        <f t="shared" si="19"/>
        <v>0.125</v>
      </c>
      <c r="O597" s="136">
        <f t="shared" si="18"/>
        <v>429.875</v>
      </c>
      <c r="Q597" s="136">
        <v>237</v>
      </c>
    </row>
    <row r="598" spans="12:17" x14ac:dyDescent="0.35">
      <c r="L598" s="136">
        <v>596</v>
      </c>
      <c r="M598" s="136">
        <v>0</v>
      </c>
      <c r="N598" s="136">
        <f t="shared" si="19"/>
        <v>0.125</v>
      </c>
      <c r="O598" s="136">
        <f t="shared" si="18"/>
        <v>429.875</v>
      </c>
      <c r="Q598" s="136">
        <v>233</v>
      </c>
    </row>
    <row r="599" spans="12:17" x14ac:dyDescent="0.35">
      <c r="L599" s="136">
        <v>597</v>
      </c>
      <c r="M599" s="136">
        <v>0</v>
      </c>
      <c r="N599" s="136">
        <f t="shared" si="19"/>
        <v>0.125</v>
      </c>
      <c r="O599" s="136">
        <f t="shared" si="18"/>
        <v>429.875</v>
      </c>
      <c r="Q599" s="136">
        <v>229</v>
      </c>
    </row>
    <row r="600" spans="12:17" x14ac:dyDescent="0.35">
      <c r="L600" s="136">
        <v>598</v>
      </c>
      <c r="M600" s="136">
        <v>0</v>
      </c>
      <c r="N600" s="136">
        <f t="shared" si="19"/>
        <v>0.125</v>
      </c>
      <c r="O600" s="136">
        <f t="shared" si="18"/>
        <v>429.875</v>
      </c>
      <c r="Q600" s="136">
        <v>230</v>
      </c>
    </row>
    <row r="601" spans="12:17" x14ac:dyDescent="0.35">
      <c r="L601" s="136">
        <v>599</v>
      </c>
      <c r="M601" s="136">
        <v>1</v>
      </c>
      <c r="N601" s="136">
        <f t="shared" si="19"/>
        <v>0.125</v>
      </c>
      <c r="O601" s="136">
        <f t="shared" si="18"/>
        <v>429.875</v>
      </c>
      <c r="Q601" s="136">
        <v>235</v>
      </c>
    </row>
    <row r="602" spans="12:17" x14ac:dyDescent="0.35">
      <c r="L602" s="136">
        <v>600</v>
      </c>
      <c r="M602" s="136">
        <v>0</v>
      </c>
      <c r="N602" s="136">
        <f t="shared" si="19"/>
        <v>0.125</v>
      </c>
      <c r="O602" s="136">
        <f t="shared" si="18"/>
        <v>429.875</v>
      </c>
      <c r="Q602" s="136">
        <v>230</v>
      </c>
    </row>
    <row r="603" spans="12:17" x14ac:dyDescent="0.35">
      <c r="L603" s="136">
        <v>601</v>
      </c>
      <c r="M603" s="136">
        <v>0</v>
      </c>
      <c r="N603" s="136">
        <f t="shared" si="19"/>
        <v>0.125</v>
      </c>
      <c r="O603" s="136">
        <f t="shared" si="18"/>
        <v>429.875</v>
      </c>
      <c r="Q603" s="136">
        <v>227</v>
      </c>
    </row>
    <row r="604" spans="12:17" x14ac:dyDescent="0.35">
      <c r="L604" s="136">
        <v>602</v>
      </c>
      <c r="M604" s="136">
        <v>0</v>
      </c>
      <c r="N604" s="136">
        <f t="shared" si="19"/>
        <v>0.25</v>
      </c>
      <c r="O604" s="136">
        <f t="shared" si="18"/>
        <v>429.875</v>
      </c>
      <c r="Q604" s="136">
        <v>191</v>
      </c>
    </row>
    <row r="605" spans="12:17" x14ac:dyDescent="0.35">
      <c r="L605" s="136">
        <v>603</v>
      </c>
      <c r="M605" s="136">
        <v>0</v>
      </c>
      <c r="N605" s="136">
        <f t="shared" si="19"/>
        <v>0.125</v>
      </c>
      <c r="O605" s="136">
        <f t="shared" si="18"/>
        <v>429.875</v>
      </c>
      <c r="Q605" s="136">
        <v>206</v>
      </c>
    </row>
    <row r="606" spans="12:17" x14ac:dyDescent="0.35">
      <c r="L606" s="136">
        <v>604</v>
      </c>
      <c r="M606" s="136">
        <v>0</v>
      </c>
      <c r="N606" s="136">
        <f t="shared" si="19"/>
        <v>0.125</v>
      </c>
      <c r="O606" s="136">
        <f t="shared" si="18"/>
        <v>429.875</v>
      </c>
      <c r="Q606" s="136">
        <v>190</v>
      </c>
    </row>
    <row r="607" spans="12:17" x14ac:dyDescent="0.35">
      <c r="L607" s="136">
        <v>605</v>
      </c>
      <c r="M607" s="136">
        <v>0</v>
      </c>
      <c r="N607" s="136">
        <f t="shared" si="19"/>
        <v>0.125</v>
      </c>
      <c r="O607" s="136">
        <f t="shared" si="18"/>
        <v>429.875</v>
      </c>
      <c r="Q607" s="136">
        <v>157</v>
      </c>
    </row>
    <row r="608" spans="12:17" x14ac:dyDescent="0.35">
      <c r="L608" s="136">
        <v>606</v>
      </c>
      <c r="M608" s="136">
        <v>1</v>
      </c>
      <c r="N608" s="136">
        <f t="shared" si="19"/>
        <v>0.25</v>
      </c>
      <c r="O608" s="136">
        <f t="shared" si="18"/>
        <v>429.875</v>
      </c>
      <c r="Q608" s="136">
        <v>175</v>
      </c>
    </row>
    <row r="609" spans="12:17" x14ac:dyDescent="0.35">
      <c r="L609" s="136">
        <v>607</v>
      </c>
      <c r="M609" s="136">
        <v>0</v>
      </c>
      <c r="N609" s="136">
        <f t="shared" si="19"/>
        <v>0.375</v>
      </c>
      <c r="O609" s="136">
        <f t="shared" si="18"/>
        <v>429.875</v>
      </c>
      <c r="Q609" s="136">
        <v>190</v>
      </c>
    </row>
    <row r="610" spans="12:17" x14ac:dyDescent="0.35">
      <c r="L610" s="136">
        <v>608</v>
      </c>
      <c r="M610" s="136">
        <v>0</v>
      </c>
      <c r="N610" s="136">
        <f t="shared" si="19"/>
        <v>0.375</v>
      </c>
      <c r="O610" s="136">
        <f t="shared" si="18"/>
        <v>429.875</v>
      </c>
      <c r="Q610" s="136">
        <v>181</v>
      </c>
    </row>
    <row r="611" spans="12:17" x14ac:dyDescent="0.35">
      <c r="L611" s="136">
        <v>609</v>
      </c>
      <c r="M611" s="136">
        <v>0</v>
      </c>
      <c r="N611" s="136">
        <f t="shared" si="19"/>
        <v>0.375</v>
      </c>
      <c r="O611" s="136">
        <f t="shared" si="18"/>
        <v>429.875</v>
      </c>
      <c r="Q611" s="136">
        <v>170</v>
      </c>
    </row>
    <row r="612" spans="12:17" x14ac:dyDescent="0.35">
      <c r="L612" s="136">
        <v>610</v>
      </c>
      <c r="M612" s="136">
        <v>1</v>
      </c>
      <c r="N612" s="136">
        <f t="shared" si="19"/>
        <v>0.25</v>
      </c>
      <c r="O612" s="136">
        <f t="shared" si="18"/>
        <v>429.875</v>
      </c>
      <c r="Q612" s="136">
        <v>155</v>
      </c>
    </row>
    <row r="613" spans="12:17" x14ac:dyDescent="0.35">
      <c r="L613" s="136">
        <v>611</v>
      </c>
      <c r="M613" s="136">
        <v>1</v>
      </c>
      <c r="N613" s="136">
        <f t="shared" si="19"/>
        <v>0.25</v>
      </c>
      <c r="O613" s="136">
        <f t="shared" si="18"/>
        <v>429.875</v>
      </c>
      <c r="Q613" s="136">
        <v>196</v>
      </c>
    </row>
    <row r="614" spans="12:17" x14ac:dyDescent="0.35">
      <c r="L614" s="136">
        <v>612</v>
      </c>
      <c r="M614" s="136">
        <v>0</v>
      </c>
      <c r="N614" s="136">
        <f t="shared" si="19"/>
        <v>0.25</v>
      </c>
      <c r="O614" s="136">
        <f t="shared" si="18"/>
        <v>429.875</v>
      </c>
      <c r="Q614" s="136">
        <v>181</v>
      </c>
    </row>
    <row r="615" spans="12:17" x14ac:dyDescent="0.35">
      <c r="L615" s="136">
        <v>613</v>
      </c>
      <c r="M615" s="136">
        <v>0</v>
      </c>
      <c r="N615" s="136">
        <f t="shared" si="19"/>
        <v>0.375</v>
      </c>
      <c r="O615" s="136">
        <f t="shared" si="18"/>
        <v>429.875</v>
      </c>
      <c r="Q615" s="136">
        <v>173</v>
      </c>
    </row>
    <row r="616" spans="12:17" x14ac:dyDescent="0.35">
      <c r="L616" s="136">
        <v>614</v>
      </c>
      <c r="M616" s="136">
        <v>0</v>
      </c>
      <c r="N616" s="136">
        <f t="shared" si="19"/>
        <v>0.25</v>
      </c>
      <c r="O616" s="136">
        <f t="shared" si="18"/>
        <v>429.875</v>
      </c>
      <c r="Q616" s="136">
        <v>163</v>
      </c>
    </row>
    <row r="617" spans="12:17" x14ac:dyDescent="0.35">
      <c r="L617" s="136">
        <v>615</v>
      </c>
      <c r="M617" s="136">
        <v>0</v>
      </c>
      <c r="N617" s="136">
        <f t="shared" si="19"/>
        <v>0.125</v>
      </c>
      <c r="O617" s="136">
        <f t="shared" si="18"/>
        <v>429.875</v>
      </c>
      <c r="Q617" s="136">
        <v>180</v>
      </c>
    </row>
    <row r="618" spans="12:17" x14ac:dyDescent="0.35">
      <c r="L618" s="136">
        <v>616</v>
      </c>
      <c r="M618" s="136">
        <v>0</v>
      </c>
      <c r="N618" s="136">
        <f t="shared" si="19"/>
        <v>0.125</v>
      </c>
      <c r="O618" s="136">
        <f t="shared" si="18"/>
        <v>429.875</v>
      </c>
      <c r="Q618" s="136">
        <v>142</v>
      </c>
    </row>
    <row r="619" spans="12:17" x14ac:dyDescent="0.35">
      <c r="L619" s="136">
        <v>617</v>
      </c>
      <c r="M619" s="136">
        <v>1</v>
      </c>
      <c r="N619" s="136">
        <f t="shared" si="19"/>
        <v>0.125</v>
      </c>
      <c r="O619" s="136">
        <f t="shared" si="18"/>
        <v>429.875</v>
      </c>
      <c r="Q619" s="136">
        <v>138</v>
      </c>
    </row>
    <row r="620" spans="12:17" x14ac:dyDescent="0.35">
      <c r="L620" s="136">
        <v>618</v>
      </c>
      <c r="M620" s="136">
        <v>0</v>
      </c>
      <c r="N620" s="136">
        <f t="shared" si="19"/>
        <v>0.125</v>
      </c>
      <c r="O620" s="136">
        <f t="shared" si="18"/>
        <v>429.875</v>
      </c>
      <c r="Q620" s="136">
        <v>139</v>
      </c>
    </row>
    <row r="621" spans="12:17" x14ac:dyDescent="0.35">
      <c r="L621" s="136">
        <v>619</v>
      </c>
      <c r="M621" s="136">
        <v>0</v>
      </c>
      <c r="N621" s="136">
        <f t="shared" si="19"/>
        <v>0.125</v>
      </c>
      <c r="O621" s="136">
        <f t="shared" si="18"/>
        <v>429.875</v>
      </c>
      <c r="Q621" s="136">
        <v>137</v>
      </c>
    </row>
    <row r="622" spans="12:17" x14ac:dyDescent="0.35">
      <c r="L622" s="136">
        <v>620</v>
      </c>
      <c r="M622" s="136">
        <v>0</v>
      </c>
      <c r="N622" s="136">
        <f t="shared" si="19"/>
        <v>0.125</v>
      </c>
      <c r="O622" s="136">
        <f t="shared" si="18"/>
        <v>429.875</v>
      </c>
      <c r="Q622" s="136">
        <v>139</v>
      </c>
    </row>
    <row r="623" spans="12:17" x14ac:dyDescent="0.35">
      <c r="L623" s="136">
        <v>621</v>
      </c>
      <c r="M623" s="136">
        <v>0</v>
      </c>
      <c r="N623" s="136">
        <f t="shared" si="19"/>
        <v>0</v>
      </c>
      <c r="O623" s="136">
        <f t="shared" si="18"/>
        <v>429.875</v>
      </c>
      <c r="Q623" s="136">
        <v>127</v>
      </c>
    </row>
    <row r="624" spans="12:17" x14ac:dyDescent="0.35">
      <c r="L624" s="136">
        <v>622</v>
      </c>
      <c r="M624" s="136">
        <v>0</v>
      </c>
      <c r="N624" s="136">
        <f t="shared" si="19"/>
        <v>0</v>
      </c>
      <c r="O624" s="136">
        <f t="shared" si="18"/>
        <v>429.875</v>
      </c>
      <c r="Q624" s="136">
        <v>125</v>
      </c>
    </row>
    <row r="625" spans="12:17" x14ac:dyDescent="0.35">
      <c r="L625" s="136">
        <v>623</v>
      </c>
      <c r="M625" s="136">
        <v>0</v>
      </c>
      <c r="N625" s="136">
        <f t="shared" si="19"/>
        <v>0.125</v>
      </c>
      <c r="O625" s="136">
        <f t="shared" si="18"/>
        <v>429.875</v>
      </c>
      <c r="Q625" s="136">
        <v>140</v>
      </c>
    </row>
    <row r="626" spans="12:17" x14ac:dyDescent="0.35">
      <c r="L626" s="136">
        <v>624</v>
      </c>
      <c r="M626" s="136">
        <v>0</v>
      </c>
      <c r="N626" s="136">
        <f t="shared" si="19"/>
        <v>0.25</v>
      </c>
      <c r="O626" s="136">
        <f t="shared" si="18"/>
        <v>429.875</v>
      </c>
      <c r="Q626" s="136">
        <v>140</v>
      </c>
    </row>
    <row r="627" spans="12:17" x14ac:dyDescent="0.35">
      <c r="L627" s="136">
        <v>625</v>
      </c>
      <c r="M627" s="136">
        <v>0</v>
      </c>
      <c r="N627" s="136">
        <f t="shared" si="19"/>
        <v>0.25</v>
      </c>
      <c r="O627" s="136">
        <f t="shared" si="18"/>
        <v>429.875</v>
      </c>
      <c r="Q627" s="136">
        <v>110</v>
      </c>
    </row>
    <row r="628" spans="12:17" x14ac:dyDescent="0.35">
      <c r="L628" s="136">
        <v>626</v>
      </c>
      <c r="M628" s="136">
        <v>0</v>
      </c>
      <c r="N628" s="136">
        <f t="shared" si="19"/>
        <v>0.25</v>
      </c>
      <c r="O628" s="136">
        <f t="shared" si="18"/>
        <v>429.875</v>
      </c>
      <c r="Q628" s="136">
        <v>120</v>
      </c>
    </row>
    <row r="629" spans="12:17" x14ac:dyDescent="0.35">
      <c r="L629" s="136">
        <v>627</v>
      </c>
      <c r="M629" s="136">
        <v>1</v>
      </c>
      <c r="N629" s="136">
        <f t="shared" si="19"/>
        <v>0.25</v>
      </c>
      <c r="O629" s="136">
        <f t="shared" si="18"/>
        <v>429.875</v>
      </c>
      <c r="Q629" s="136">
        <v>123</v>
      </c>
    </row>
    <row r="630" spans="12:17" x14ac:dyDescent="0.35">
      <c r="L630" s="136">
        <v>628</v>
      </c>
      <c r="M630" s="136">
        <v>1</v>
      </c>
      <c r="N630" s="136">
        <f t="shared" si="19"/>
        <v>0.25</v>
      </c>
      <c r="O630" s="136">
        <f t="shared" si="18"/>
        <v>429.875</v>
      </c>
      <c r="Q630" s="136">
        <v>87</v>
      </c>
    </row>
    <row r="631" spans="12:17" x14ac:dyDescent="0.35">
      <c r="L631" s="136">
        <v>629</v>
      </c>
      <c r="M631" s="136">
        <v>0</v>
      </c>
      <c r="N631" s="136">
        <f t="shared" si="19"/>
        <v>0.25</v>
      </c>
      <c r="O631" s="136">
        <f t="shared" si="18"/>
        <v>429.875</v>
      </c>
      <c r="Q631" s="136">
        <v>105</v>
      </c>
    </row>
    <row r="632" spans="12:17" x14ac:dyDescent="0.35">
      <c r="L632" s="136">
        <v>630</v>
      </c>
      <c r="M632" s="136">
        <v>0</v>
      </c>
      <c r="N632" s="136">
        <f t="shared" si="19"/>
        <v>0.375</v>
      </c>
      <c r="O632" s="136">
        <f t="shared" si="18"/>
        <v>429.875</v>
      </c>
      <c r="Q632" s="136">
        <v>100</v>
      </c>
    </row>
    <row r="633" spans="12:17" x14ac:dyDescent="0.35">
      <c r="L633" s="136">
        <v>631</v>
      </c>
      <c r="M633" s="136">
        <v>0</v>
      </c>
      <c r="N633" s="136">
        <f t="shared" si="19"/>
        <v>0.25</v>
      </c>
      <c r="O633" s="136">
        <f t="shared" si="18"/>
        <v>429.875</v>
      </c>
      <c r="Q633" s="136">
        <v>93</v>
      </c>
    </row>
    <row r="634" spans="12:17" x14ac:dyDescent="0.35">
      <c r="L634" s="136">
        <v>632</v>
      </c>
      <c r="M634" s="136">
        <v>0</v>
      </c>
      <c r="N634" s="136">
        <f t="shared" si="19"/>
        <v>0.125</v>
      </c>
      <c r="O634" s="136">
        <f t="shared" si="18"/>
        <v>429.875</v>
      </c>
      <c r="Q634" s="136">
        <v>114</v>
      </c>
    </row>
    <row r="635" spans="12:17" x14ac:dyDescent="0.35">
      <c r="L635" s="136">
        <v>633</v>
      </c>
      <c r="M635" s="136">
        <v>0</v>
      </c>
      <c r="N635" s="136">
        <f t="shared" si="19"/>
        <v>0.125</v>
      </c>
      <c r="O635" s="136">
        <f t="shared" si="18"/>
        <v>429.875</v>
      </c>
      <c r="Q635" s="136">
        <v>88</v>
      </c>
    </row>
    <row r="636" spans="12:17" x14ac:dyDescent="0.35">
      <c r="L636" s="136">
        <v>634</v>
      </c>
      <c r="M636" s="136">
        <v>1</v>
      </c>
      <c r="N636" s="136">
        <f t="shared" si="19"/>
        <v>0.25</v>
      </c>
      <c r="O636" s="136">
        <f t="shared" si="18"/>
        <v>429.875</v>
      </c>
      <c r="Q636" s="136">
        <v>92</v>
      </c>
    </row>
    <row r="637" spans="12:17" x14ac:dyDescent="0.35">
      <c r="L637" s="136">
        <v>635</v>
      </c>
      <c r="M637" s="136">
        <v>0</v>
      </c>
      <c r="N637" s="136">
        <f t="shared" si="19"/>
        <v>0.25</v>
      </c>
      <c r="O637" s="136">
        <f t="shared" si="18"/>
        <v>429.875</v>
      </c>
      <c r="Q637" s="136">
        <v>94</v>
      </c>
    </row>
    <row r="638" spans="12:17" x14ac:dyDescent="0.35">
      <c r="L638" s="136">
        <v>636</v>
      </c>
      <c r="M638" s="136">
        <v>0</v>
      </c>
      <c r="N638" s="136">
        <f t="shared" si="19"/>
        <v>0.25</v>
      </c>
      <c r="O638" s="136">
        <f t="shared" si="18"/>
        <v>429.875</v>
      </c>
      <c r="Q638" s="136">
        <v>100</v>
      </c>
    </row>
    <row r="639" spans="12:17" x14ac:dyDescent="0.35">
      <c r="L639" s="136">
        <v>637</v>
      </c>
      <c r="M639" s="136">
        <v>0</v>
      </c>
      <c r="N639" s="136">
        <f t="shared" si="19"/>
        <v>0.25</v>
      </c>
      <c r="O639" s="136">
        <f t="shared" si="18"/>
        <v>429.875</v>
      </c>
      <c r="Q639" s="136">
        <v>92</v>
      </c>
    </row>
    <row r="640" spans="12:17" x14ac:dyDescent="0.35">
      <c r="L640" s="136">
        <v>638</v>
      </c>
      <c r="M640" s="136">
        <v>1</v>
      </c>
      <c r="N640" s="136">
        <f t="shared" si="19"/>
        <v>0.25</v>
      </c>
      <c r="O640" s="136">
        <f t="shared" si="18"/>
        <v>429.875</v>
      </c>
      <c r="Q640" s="136">
        <v>76</v>
      </c>
    </row>
    <row r="641" spans="12:17" x14ac:dyDescent="0.35">
      <c r="L641" s="136">
        <v>639</v>
      </c>
      <c r="M641" s="136">
        <v>0</v>
      </c>
      <c r="N641" s="136">
        <f t="shared" si="19"/>
        <v>0.25</v>
      </c>
      <c r="O641" s="136">
        <f t="shared" si="18"/>
        <v>429.875</v>
      </c>
      <c r="Q641" s="136">
        <v>81</v>
      </c>
    </row>
    <row r="642" spans="12:17" x14ac:dyDescent="0.35">
      <c r="L642" s="136">
        <v>640</v>
      </c>
      <c r="M642" s="136">
        <v>0</v>
      </c>
      <c r="N642" s="136">
        <f t="shared" si="19"/>
        <v>0.25</v>
      </c>
      <c r="O642" s="136">
        <f t="shared" ref="O642:O685" si="20">MAX($A$35)/2</f>
        <v>429.875</v>
      </c>
      <c r="Q642" s="136">
        <v>73</v>
      </c>
    </row>
    <row r="643" spans="12:17" x14ac:dyDescent="0.35">
      <c r="L643" s="136">
        <v>641</v>
      </c>
      <c r="M643" s="136">
        <v>0</v>
      </c>
      <c r="N643" s="136">
        <f t="shared" si="19"/>
        <v>0.25</v>
      </c>
      <c r="O643" s="136">
        <f t="shared" si="20"/>
        <v>429.875</v>
      </c>
      <c r="Q643" s="136">
        <v>76</v>
      </c>
    </row>
    <row r="644" spans="12:17" x14ac:dyDescent="0.35">
      <c r="L644" s="136">
        <v>642</v>
      </c>
      <c r="M644" s="136">
        <v>1</v>
      </c>
      <c r="N644" s="136">
        <f t="shared" si="19"/>
        <v>0.125</v>
      </c>
      <c r="O644" s="136">
        <f t="shared" si="20"/>
        <v>429.875</v>
      </c>
      <c r="Q644" s="136">
        <v>64</v>
      </c>
    </row>
    <row r="645" spans="12:17" x14ac:dyDescent="0.35">
      <c r="L645" s="136">
        <v>643</v>
      </c>
      <c r="M645" s="136">
        <v>0</v>
      </c>
      <c r="N645" s="136">
        <f t="shared" ref="N645:N685" si="21">AVERAGE(M642:M649)</f>
        <v>0.125</v>
      </c>
      <c r="O645" s="136">
        <f t="shared" si="20"/>
        <v>429.875</v>
      </c>
      <c r="Q645" s="136">
        <v>73</v>
      </c>
    </row>
    <row r="646" spans="12:17" x14ac:dyDescent="0.35">
      <c r="L646" s="136">
        <v>644</v>
      </c>
      <c r="M646" s="136">
        <v>0</v>
      </c>
      <c r="N646" s="136">
        <f t="shared" si="21"/>
        <v>0.125</v>
      </c>
      <c r="O646" s="136">
        <f t="shared" si="20"/>
        <v>429.875</v>
      </c>
      <c r="Q646" s="136">
        <v>67</v>
      </c>
    </row>
    <row r="647" spans="12:17" x14ac:dyDescent="0.35">
      <c r="L647" s="136">
        <v>645</v>
      </c>
      <c r="M647" s="136">
        <v>0</v>
      </c>
      <c r="N647" s="136">
        <f t="shared" si="21"/>
        <v>0.125</v>
      </c>
      <c r="O647" s="136">
        <f t="shared" si="20"/>
        <v>429.875</v>
      </c>
      <c r="Q647" s="136">
        <v>56</v>
      </c>
    </row>
    <row r="648" spans="12:17" x14ac:dyDescent="0.35">
      <c r="L648" s="136">
        <v>646</v>
      </c>
      <c r="M648" s="136">
        <v>0</v>
      </c>
      <c r="N648" s="136">
        <f t="shared" si="21"/>
        <v>0</v>
      </c>
      <c r="O648" s="136">
        <f t="shared" si="20"/>
        <v>429.875</v>
      </c>
      <c r="Q648" s="136">
        <v>68</v>
      </c>
    </row>
    <row r="649" spans="12:17" x14ac:dyDescent="0.35">
      <c r="L649" s="136">
        <v>647</v>
      </c>
      <c r="M649" s="136">
        <v>0</v>
      </c>
      <c r="N649" s="136">
        <f t="shared" si="21"/>
        <v>0.125</v>
      </c>
      <c r="O649" s="136">
        <f t="shared" si="20"/>
        <v>429.875</v>
      </c>
      <c r="Q649" s="136">
        <v>66</v>
      </c>
    </row>
    <row r="650" spans="12:17" x14ac:dyDescent="0.35">
      <c r="L650" s="136">
        <v>648</v>
      </c>
      <c r="M650" s="136">
        <v>0</v>
      </c>
      <c r="N650" s="136">
        <f t="shared" si="21"/>
        <v>0.125</v>
      </c>
      <c r="O650" s="136">
        <f t="shared" si="20"/>
        <v>429.875</v>
      </c>
      <c r="Q650" s="136">
        <v>63</v>
      </c>
    </row>
    <row r="651" spans="12:17" x14ac:dyDescent="0.35">
      <c r="L651" s="136">
        <v>649</v>
      </c>
      <c r="M651" s="136">
        <v>0</v>
      </c>
      <c r="N651" s="136">
        <f t="shared" si="21"/>
        <v>0.125</v>
      </c>
      <c r="O651" s="136">
        <f t="shared" si="20"/>
        <v>429.875</v>
      </c>
      <c r="Q651" s="136">
        <v>62</v>
      </c>
    </row>
    <row r="652" spans="12:17" x14ac:dyDescent="0.35">
      <c r="L652" s="136">
        <v>650</v>
      </c>
      <c r="M652" s="136">
        <v>0</v>
      </c>
      <c r="N652" s="136">
        <f t="shared" si="21"/>
        <v>0.25</v>
      </c>
      <c r="O652" s="136">
        <f t="shared" si="20"/>
        <v>429.875</v>
      </c>
      <c r="Q652" s="136">
        <v>54</v>
      </c>
    </row>
    <row r="653" spans="12:17" x14ac:dyDescent="0.35">
      <c r="L653" s="136">
        <v>651</v>
      </c>
      <c r="M653" s="136">
        <v>1</v>
      </c>
      <c r="N653" s="136">
        <f t="shared" si="21"/>
        <v>0.25</v>
      </c>
      <c r="O653" s="136">
        <f t="shared" si="20"/>
        <v>429.875</v>
      </c>
      <c r="Q653" s="136">
        <v>59</v>
      </c>
    </row>
    <row r="654" spans="12:17" x14ac:dyDescent="0.35">
      <c r="L654" s="136">
        <v>652</v>
      </c>
      <c r="M654" s="136">
        <v>0</v>
      </c>
      <c r="N654" s="136">
        <f t="shared" si="21"/>
        <v>0.25</v>
      </c>
      <c r="O654" s="136">
        <f t="shared" si="20"/>
        <v>429.875</v>
      </c>
      <c r="Q654" s="136">
        <v>43</v>
      </c>
    </row>
    <row r="655" spans="12:17" x14ac:dyDescent="0.35">
      <c r="L655" s="136">
        <v>653</v>
      </c>
      <c r="M655" s="136">
        <v>0</v>
      </c>
      <c r="N655" s="136">
        <f t="shared" si="21"/>
        <v>0.25</v>
      </c>
      <c r="O655" s="136">
        <f t="shared" si="20"/>
        <v>429.875</v>
      </c>
      <c r="Q655" s="136">
        <v>51</v>
      </c>
    </row>
    <row r="656" spans="12:17" x14ac:dyDescent="0.35">
      <c r="L656" s="136">
        <v>654</v>
      </c>
      <c r="M656" s="136">
        <v>1</v>
      </c>
      <c r="N656" s="136">
        <f t="shared" si="21"/>
        <v>0.25</v>
      </c>
      <c r="O656" s="136">
        <f t="shared" si="20"/>
        <v>429.875</v>
      </c>
      <c r="Q656" s="136">
        <v>55</v>
      </c>
    </row>
    <row r="657" spans="12:17" x14ac:dyDescent="0.35">
      <c r="L657" s="136">
        <v>655</v>
      </c>
      <c r="M657" s="136">
        <v>0</v>
      </c>
      <c r="N657" s="136">
        <f t="shared" si="21"/>
        <v>0.125</v>
      </c>
      <c r="O657" s="136">
        <f t="shared" si="20"/>
        <v>429.875</v>
      </c>
      <c r="Q657" s="136">
        <v>53</v>
      </c>
    </row>
    <row r="658" spans="12:17" x14ac:dyDescent="0.35">
      <c r="L658" s="136">
        <v>656</v>
      </c>
      <c r="M658" s="136">
        <v>0</v>
      </c>
      <c r="N658" s="136">
        <f t="shared" si="21"/>
        <v>0.125</v>
      </c>
      <c r="O658" s="136">
        <f t="shared" si="20"/>
        <v>429.875</v>
      </c>
      <c r="Q658" s="136">
        <v>46</v>
      </c>
    </row>
    <row r="659" spans="12:17" x14ac:dyDescent="0.35">
      <c r="L659" s="136">
        <v>657</v>
      </c>
      <c r="M659" s="136">
        <v>0</v>
      </c>
      <c r="N659" s="136">
        <f t="shared" si="21"/>
        <v>0.125</v>
      </c>
      <c r="O659" s="136">
        <f t="shared" si="20"/>
        <v>429.875</v>
      </c>
      <c r="Q659" s="136">
        <v>43</v>
      </c>
    </row>
    <row r="660" spans="12:17" x14ac:dyDescent="0.35">
      <c r="L660" s="136">
        <v>658</v>
      </c>
      <c r="M660" s="136">
        <v>0</v>
      </c>
      <c r="N660" s="136">
        <f t="shared" si="21"/>
        <v>0</v>
      </c>
      <c r="O660" s="136">
        <f t="shared" si="20"/>
        <v>429.875</v>
      </c>
      <c r="Q660" s="136">
        <v>36</v>
      </c>
    </row>
    <row r="661" spans="12:17" x14ac:dyDescent="0.35">
      <c r="L661" s="136">
        <v>659</v>
      </c>
      <c r="M661" s="136">
        <v>0</v>
      </c>
      <c r="N661" s="136">
        <f t="shared" si="21"/>
        <v>0</v>
      </c>
      <c r="O661" s="136">
        <f t="shared" si="20"/>
        <v>429.875</v>
      </c>
      <c r="Q661" s="136">
        <v>54</v>
      </c>
    </row>
    <row r="662" spans="12:17" x14ac:dyDescent="0.35">
      <c r="L662" s="136">
        <v>660</v>
      </c>
      <c r="M662" s="136">
        <v>0</v>
      </c>
      <c r="N662" s="136">
        <f t="shared" si="21"/>
        <v>0</v>
      </c>
      <c r="O662" s="136">
        <f t="shared" si="20"/>
        <v>429.875</v>
      </c>
      <c r="Q662" s="136">
        <v>37</v>
      </c>
    </row>
    <row r="663" spans="12:17" x14ac:dyDescent="0.35">
      <c r="L663" s="136">
        <v>661</v>
      </c>
      <c r="M663" s="136">
        <v>0</v>
      </c>
      <c r="N663" s="136">
        <f t="shared" si="21"/>
        <v>0</v>
      </c>
      <c r="O663" s="136">
        <f t="shared" si="20"/>
        <v>429.875</v>
      </c>
      <c r="Q663" s="136">
        <v>43</v>
      </c>
    </row>
    <row r="664" spans="12:17" x14ac:dyDescent="0.35">
      <c r="L664" s="136">
        <v>662</v>
      </c>
      <c r="M664" s="136">
        <v>0</v>
      </c>
      <c r="N664" s="136">
        <f t="shared" si="21"/>
        <v>0.125</v>
      </c>
      <c r="O664" s="136">
        <f t="shared" si="20"/>
        <v>429.875</v>
      </c>
      <c r="Q664" s="136">
        <v>40</v>
      </c>
    </row>
    <row r="665" spans="12:17" x14ac:dyDescent="0.35">
      <c r="L665" s="136">
        <v>663</v>
      </c>
      <c r="M665" s="136">
        <v>0</v>
      </c>
      <c r="N665" s="136">
        <f t="shared" si="21"/>
        <v>0.125</v>
      </c>
      <c r="O665" s="136">
        <f t="shared" si="20"/>
        <v>429.875</v>
      </c>
      <c r="Q665" s="136">
        <v>43</v>
      </c>
    </row>
    <row r="666" spans="12:17" x14ac:dyDescent="0.35">
      <c r="L666" s="136">
        <v>664</v>
      </c>
      <c r="M666" s="136">
        <v>0</v>
      </c>
      <c r="N666" s="136">
        <f t="shared" si="21"/>
        <v>0.125</v>
      </c>
      <c r="O666" s="136">
        <f t="shared" si="20"/>
        <v>429.875</v>
      </c>
      <c r="Q666" s="136">
        <v>40</v>
      </c>
    </row>
    <row r="667" spans="12:17" x14ac:dyDescent="0.35">
      <c r="L667" s="136">
        <v>665</v>
      </c>
      <c r="M667" s="136">
        <v>0</v>
      </c>
      <c r="N667" s="136">
        <f t="shared" si="21"/>
        <v>0.125</v>
      </c>
      <c r="O667" s="136">
        <f t="shared" si="20"/>
        <v>429.875</v>
      </c>
      <c r="Q667" s="136">
        <v>38</v>
      </c>
    </row>
    <row r="668" spans="12:17" x14ac:dyDescent="0.35">
      <c r="L668" s="136">
        <v>666</v>
      </c>
      <c r="M668" s="136">
        <v>1</v>
      </c>
      <c r="N668" s="136">
        <f t="shared" si="21"/>
        <v>0.125</v>
      </c>
      <c r="O668" s="136">
        <f t="shared" si="20"/>
        <v>429.875</v>
      </c>
      <c r="Q668" s="136">
        <v>36</v>
      </c>
    </row>
    <row r="669" spans="12:17" x14ac:dyDescent="0.35">
      <c r="L669" s="136">
        <v>667</v>
      </c>
      <c r="M669" s="136">
        <v>0</v>
      </c>
      <c r="N669" s="136">
        <f t="shared" si="21"/>
        <v>0.125</v>
      </c>
      <c r="O669" s="136">
        <f t="shared" si="20"/>
        <v>429.875</v>
      </c>
      <c r="Q669" s="136">
        <v>32</v>
      </c>
    </row>
    <row r="670" spans="12:17" x14ac:dyDescent="0.35">
      <c r="L670" s="136">
        <v>668</v>
      </c>
      <c r="M670" s="136">
        <v>0</v>
      </c>
      <c r="N670" s="136">
        <f t="shared" si="21"/>
        <v>0.125</v>
      </c>
      <c r="O670" s="136">
        <f t="shared" si="20"/>
        <v>429.875</v>
      </c>
      <c r="Q670" s="136">
        <v>31</v>
      </c>
    </row>
    <row r="671" spans="12:17" x14ac:dyDescent="0.35">
      <c r="L671" s="136">
        <v>669</v>
      </c>
      <c r="M671" s="136">
        <v>0</v>
      </c>
      <c r="N671" s="136">
        <f t="shared" si="21"/>
        <v>0.125</v>
      </c>
      <c r="O671" s="136">
        <f t="shared" si="20"/>
        <v>429.875</v>
      </c>
      <c r="Q671" s="136">
        <v>35</v>
      </c>
    </row>
    <row r="672" spans="12:17" x14ac:dyDescent="0.35">
      <c r="L672" s="136">
        <v>670</v>
      </c>
      <c r="M672" s="136">
        <v>0</v>
      </c>
      <c r="N672" s="136">
        <f t="shared" si="21"/>
        <v>0</v>
      </c>
      <c r="O672" s="136">
        <f t="shared" si="20"/>
        <v>429.875</v>
      </c>
      <c r="Q672" s="136">
        <v>25</v>
      </c>
    </row>
    <row r="673" spans="12:17" x14ac:dyDescent="0.35">
      <c r="L673" s="136">
        <v>671</v>
      </c>
      <c r="M673" s="136">
        <v>0</v>
      </c>
      <c r="N673" s="136">
        <f t="shared" si="21"/>
        <v>0</v>
      </c>
      <c r="O673" s="136">
        <f t="shared" si="20"/>
        <v>429.875</v>
      </c>
      <c r="Q673" s="136">
        <v>30</v>
      </c>
    </row>
    <row r="674" spans="12:17" x14ac:dyDescent="0.35">
      <c r="L674" s="136">
        <v>672</v>
      </c>
      <c r="M674" s="136">
        <v>0</v>
      </c>
      <c r="N674" s="136">
        <f t="shared" si="21"/>
        <v>0</v>
      </c>
      <c r="O674" s="136">
        <f t="shared" si="20"/>
        <v>429.875</v>
      </c>
      <c r="Q674" s="136">
        <v>28</v>
      </c>
    </row>
    <row r="675" spans="12:17" x14ac:dyDescent="0.35">
      <c r="L675" s="136">
        <v>673</v>
      </c>
      <c r="M675" s="136">
        <v>0</v>
      </c>
      <c r="N675" s="136">
        <f t="shared" si="21"/>
        <v>0</v>
      </c>
      <c r="O675" s="136">
        <f t="shared" si="20"/>
        <v>429.875</v>
      </c>
      <c r="Q675" s="136">
        <v>23</v>
      </c>
    </row>
    <row r="676" spans="12:17" x14ac:dyDescent="0.35">
      <c r="L676" s="136">
        <v>674</v>
      </c>
      <c r="M676" s="136">
        <v>0</v>
      </c>
      <c r="N676" s="136">
        <f t="shared" si="21"/>
        <v>0</v>
      </c>
      <c r="O676" s="136">
        <f t="shared" si="20"/>
        <v>429.875</v>
      </c>
      <c r="Q676" s="136">
        <v>32</v>
      </c>
    </row>
    <row r="677" spans="12:17" x14ac:dyDescent="0.35">
      <c r="L677" s="136">
        <v>675</v>
      </c>
      <c r="M677" s="136">
        <v>0</v>
      </c>
      <c r="N677" s="136">
        <f t="shared" si="21"/>
        <v>0</v>
      </c>
      <c r="O677" s="136">
        <f t="shared" si="20"/>
        <v>429.875</v>
      </c>
      <c r="Q677" s="136">
        <v>28</v>
      </c>
    </row>
    <row r="678" spans="12:17" x14ac:dyDescent="0.35">
      <c r="L678" s="136">
        <v>676</v>
      </c>
      <c r="M678" s="136">
        <v>0</v>
      </c>
      <c r="N678" s="136">
        <f t="shared" si="21"/>
        <v>0</v>
      </c>
      <c r="O678" s="136">
        <f t="shared" si="20"/>
        <v>429.875</v>
      </c>
      <c r="Q678" s="136">
        <v>26</v>
      </c>
    </row>
    <row r="679" spans="12:17" x14ac:dyDescent="0.35">
      <c r="L679" s="136">
        <v>677</v>
      </c>
      <c r="M679" s="136">
        <v>0</v>
      </c>
      <c r="N679" s="136">
        <f t="shared" si="21"/>
        <v>0</v>
      </c>
      <c r="O679" s="136">
        <f t="shared" si="20"/>
        <v>429.875</v>
      </c>
      <c r="Q679" s="136">
        <v>18</v>
      </c>
    </row>
    <row r="680" spans="12:17" x14ac:dyDescent="0.35">
      <c r="L680" s="136">
        <v>678</v>
      </c>
      <c r="M680" s="136">
        <v>0</v>
      </c>
      <c r="N680" s="136">
        <f t="shared" si="21"/>
        <v>0.125</v>
      </c>
      <c r="O680" s="136">
        <f t="shared" si="20"/>
        <v>429.875</v>
      </c>
      <c r="Q680" s="136">
        <v>17</v>
      </c>
    </row>
    <row r="681" spans="12:17" x14ac:dyDescent="0.35">
      <c r="L681" s="136">
        <v>679</v>
      </c>
      <c r="M681" s="136">
        <v>0</v>
      </c>
      <c r="N681" s="136">
        <f t="shared" si="21"/>
        <v>0.125</v>
      </c>
      <c r="O681" s="136">
        <f t="shared" si="20"/>
        <v>429.875</v>
      </c>
      <c r="Q681" s="136">
        <v>28</v>
      </c>
    </row>
    <row r="682" spans="12:17" x14ac:dyDescent="0.35">
      <c r="L682" s="136">
        <v>680</v>
      </c>
      <c r="M682" s="136">
        <v>0</v>
      </c>
      <c r="N682" s="136">
        <f t="shared" si="21"/>
        <v>0.125</v>
      </c>
      <c r="O682" s="136">
        <f t="shared" si="20"/>
        <v>429.875</v>
      </c>
      <c r="Q682" s="136">
        <v>16</v>
      </c>
    </row>
    <row r="683" spans="12:17" x14ac:dyDescent="0.35">
      <c r="L683" s="136">
        <v>681</v>
      </c>
      <c r="M683" s="136">
        <v>0</v>
      </c>
      <c r="N683" s="136">
        <f t="shared" si="21"/>
        <v>0.125</v>
      </c>
      <c r="O683" s="136">
        <f t="shared" si="20"/>
        <v>429.875</v>
      </c>
      <c r="Q683" s="136">
        <v>27</v>
      </c>
    </row>
    <row r="684" spans="12:17" x14ac:dyDescent="0.35">
      <c r="L684" s="136">
        <v>682</v>
      </c>
      <c r="M684" s="136">
        <v>1</v>
      </c>
      <c r="N684" s="136">
        <f t="shared" si="21"/>
        <v>0.125</v>
      </c>
      <c r="O684" s="136">
        <f t="shared" si="20"/>
        <v>429.875</v>
      </c>
      <c r="Q684" s="136">
        <v>22</v>
      </c>
    </row>
    <row r="685" spans="12:17" x14ac:dyDescent="0.35">
      <c r="L685" s="136">
        <v>683</v>
      </c>
      <c r="M685" s="136">
        <v>0</v>
      </c>
      <c r="N685" s="136">
        <f t="shared" si="21"/>
        <v>0.125</v>
      </c>
      <c r="O685" s="136">
        <f t="shared" si="20"/>
        <v>429.875</v>
      </c>
      <c r="Q685" s="136">
        <v>17</v>
      </c>
    </row>
    <row r="686" spans="12:17" x14ac:dyDescent="0.35">
      <c r="L686" s="136">
        <v>684</v>
      </c>
      <c r="M686" s="136">
        <v>0</v>
      </c>
      <c r="O686" s="136">
        <f t="shared" ref="O686:O749" si="22">MAX(N686:N1684)</f>
        <v>0</v>
      </c>
      <c r="Q686" s="136">
        <v>23</v>
      </c>
    </row>
    <row r="687" spans="12:17" x14ac:dyDescent="0.35">
      <c r="L687" s="136">
        <v>685</v>
      </c>
      <c r="M687" s="136">
        <v>0</v>
      </c>
      <c r="O687" s="136">
        <f t="shared" si="22"/>
        <v>0</v>
      </c>
      <c r="Q687" s="136">
        <v>34</v>
      </c>
    </row>
    <row r="688" spans="12:17" x14ac:dyDescent="0.35">
      <c r="L688" s="136">
        <v>686</v>
      </c>
      <c r="M688" s="136">
        <v>0</v>
      </c>
      <c r="O688" s="136">
        <f t="shared" si="22"/>
        <v>0</v>
      </c>
      <c r="Q688" s="136">
        <v>23</v>
      </c>
    </row>
    <row r="689" spans="12:17" x14ac:dyDescent="0.35">
      <c r="L689" s="136">
        <v>687</v>
      </c>
      <c r="M689" s="136">
        <v>0</v>
      </c>
      <c r="O689" s="136">
        <f t="shared" si="22"/>
        <v>0</v>
      </c>
      <c r="Q689" s="136">
        <v>26</v>
      </c>
    </row>
    <row r="690" spans="12:17" x14ac:dyDescent="0.35">
      <c r="L690" s="136">
        <v>688</v>
      </c>
      <c r="M690" s="136">
        <v>0</v>
      </c>
      <c r="O690" s="136">
        <f t="shared" si="22"/>
        <v>0</v>
      </c>
      <c r="Q690" s="136">
        <v>27</v>
      </c>
    </row>
    <row r="691" spans="12:17" x14ac:dyDescent="0.35">
      <c r="L691" s="136">
        <v>689</v>
      </c>
      <c r="M691" s="136">
        <v>0</v>
      </c>
      <c r="O691" s="136">
        <f t="shared" si="22"/>
        <v>0</v>
      </c>
      <c r="Q691" s="136">
        <v>27</v>
      </c>
    </row>
    <row r="692" spans="12:17" x14ac:dyDescent="0.35">
      <c r="L692" s="136">
        <v>690</v>
      </c>
      <c r="M692" s="136">
        <v>0</v>
      </c>
      <c r="O692" s="136">
        <f t="shared" si="22"/>
        <v>0</v>
      </c>
      <c r="Q692" s="136">
        <v>22</v>
      </c>
    </row>
    <row r="693" spans="12:17" x14ac:dyDescent="0.35">
      <c r="L693" s="136">
        <v>691</v>
      </c>
      <c r="M693" s="136">
        <v>0</v>
      </c>
      <c r="O693" s="136">
        <f t="shared" si="22"/>
        <v>0</v>
      </c>
      <c r="Q693" s="136">
        <v>16</v>
      </c>
    </row>
    <row r="694" spans="12:17" x14ac:dyDescent="0.35">
      <c r="L694" s="136">
        <v>692</v>
      </c>
      <c r="M694" s="136">
        <v>1</v>
      </c>
      <c r="O694" s="136">
        <f t="shared" si="22"/>
        <v>0</v>
      </c>
      <c r="Q694" s="136">
        <v>28</v>
      </c>
    </row>
    <row r="695" spans="12:17" x14ac:dyDescent="0.35">
      <c r="L695" s="136">
        <v>693</v>
      </c>
      <c r="M695" s="136">
        <v>0</v>
      </c>
      <c r="O695" s="136">
        <f t="shared" si="22"/>
        <v>0</v>
      </c>
      <c r="Q695" s="136">
        <v>23</v>
      </c>
    </row>
    <row r="696" spans="12:17" x14ac:dyDescent="0.35">
      <c r="L696" s="136">
        <v>694</v>
      </c>
      <c r="M696" s="136">
        <v>0</v>
      </c>
      <c r="O696" s="136">
        <f t="shared" si="22"/>
        <v>0</v>
      </c>
      <c r="Q696" s="136">
        <v>17</v>
      </c>
    </row>
    <row r="697" spans="12:17" x14ac:dyDescent="0.35">
      <c r="L697" s="136">
        <v>695</v>
      </c>
      <c r="M697" s="136">
        <v>1</v>
      </c>
      <c r="O697" s="136">
        <f t="shared" si="22"/>
        <v>0</v>
      </c>
      <c r="Q697" s="136">
        <v>18</v>
      </c>
    </row>
    <row r="698" spans="12:17" x14ac:dyDescent="0.35">
      <c r="L698" s="136">
        <v>696</v>
      </c>
      <c r="M698" s="136">
        <v>1</v>
      </c>
      <c r="O698" s="136">
        <f t="shared" si="22"/>
        <v>0</v>
      </c>
      <c r="Q698" s="136">
        <v>27</v>
      </c>
    </row>
    <row r="699" spans="12:17" x14ac:dyDescent="0.35">
      <c r="L699" s="136">
        <v>697</v>
      </c>
      <c r="M699" s="136">
        <v>1</v>
      </c>
      <c r="O699" s="136">
        <f t="shared" si="22"/>
        <v>0</v>
      </c>
      <c r="Q699" s="136">
        <v>25</v>
      </c>
    </row>
    <row r="700" spans="12:17" x14ac:dyDescent="0.35">
      <c r="L700" s="136">
        <v>698</v>
      </c>
      <c r="M700" s="136">
        <v>0</v>
      </c>
      <c r="O700" s="136">
        <f t="shared" si="22"/>
        <v>0</v>
      </c>
      <c r="Q700" s="136">
        <v>9</v>
      </c>
    </row>
    <row r="701" spans="12:17" x14ac:dyDescent="0.35">
      <c r="L701" s="136">
        <v>699</v>
      </c>
      <c r="M701" s="136">
        <v>0</v>
      </c>
      <c r="O701" s="136">
        <f t="shared" si="22"/>
        <v>0</v>
      </c>
      <c r="Q701" s="136">
        <v>20</v>
      </c>
    </row>
    <row r="702" spans="12:17" x14ac:dyDescent="0.35">
      <c r="L702" s="136">
        <v>700</v>
      </c>
      <c r="M702" s="136">
        <v>0</v>
      </c>
      <c r="O702" s="136">
        <f t="shared" si="22"/>
        <v>0</v>
      </c>
      <c r="Q702" s="136">
        <v>14</v>
      </c>
    </row>
    <row r="703" spans="12:17" x14ac:dyDescent="0.35">
      <c r="L703" s="136">
        <v>701</v>
      </c>
      <c r="M703" s="136">
        <v>0</v>
      </c>
      <c r="O703" s="136">
        <f t="shared" si="22"/>
        <v>0</v>
      </c>
      <c r="Q703" s="136">
        <v>14</v>
      </c>
    </row>
    <row r="704" spans="12:17" x14ac:dyDescent="0.35">
      <c r="L704" s="136">
        <v>702</v>
      </c>
      <c r="M704" s="136">
        <v>0</v>
      </c>
      <c r="O704" s="136">
        <f t="shared" si="22"/>
        <v>0</v>
      </c>
      <c r="Q704" s="136">
        <v>14</v>
      </c>
    </row>
    <row r="705" spans="12:17" x14ac:dyDescent="0.35">
      <c r="L705" s="136">
        <v>703</v>
      </c>
      <c r="M705" s="136">
        <v>0</v>
      </c>
      <c r="O705" s="136">
        <f t="shared" si="22"/>
        <v>0</v>
      </c>
      <c r="Q705" s="136">
        <v>11</v>
      </c>
    </row>
    <row r="706" spans="12:17" x14ac:dyDescent="0.35">
      <c r="L706" s="136">
        <v>704</v>
      </c>
      <c r="M706" s="136">
        <v>0</v>
      </c>
      <c r="O706" s="136">
        <f t="shared" si="22"/>
        <v>0</v>
      </c>
      <c r="Q706" s="136">
        <v>12</v>
      </c>
    </row>
    <row r="707" spans="12:17" x14ac:dyDescent="0.35">
      <c r="L707" s="136">
        <v>705</v>
      </c>
      <c r="M707" s="136">
        <v>0</v>
      </c>
      <c r="O707" s="136">
        <f t="shared" si="22"/>
        <v>0</v>
      </c>
      <c r="Q707" s="136">
        <v>12</v>
      </c>
    </row>
    <row r="708" spans="12:17" x14ac:dyDescent="0.35">
      <c r="L708" s="136">
        <v>706</v>
      </c>
      <c r="M708" s="136">
        <v>0</v>
      </c>
      <c r="O708" s="136">
        <f t="shared" si="22"/>
        <v>0</v>
      </c>
      <c r="Q708" s="136">
        <v>22</v>
      </c>
    </row>
    <row r="709" spans="12:17" x14ac:dyDescent="0.35">
      <c r="L709" s="136">
        <v>707</v>
      </c>
      <c r="M709" s="136">
        <v>0</v>
      </c>
      <c r="O709" s="136">
        <f t="shared" si="22"/>
        <v>0</v>
      </c>
      <c r="Q709" s="136">
        <v>21</v>
      </c>
    </row>
    <row r="710" spans="12:17" x14ac:dyDescent="0.35">
      <c r="L710" s="136">
        <v>708</v>
      </c>
      <c r="M710" s="136">
        <v>1</v>
      </c>
      <c r="O710" s="136">
        <f t="shared" si="22"/>
        <v>0</v>
      </c>
      <c r="Q710" s="136">
        <v>13</v>
      </c>
    </row>
    <row r="711" spans="12:17" x14ac:dyDescent="0.35">
      <c r="L711" s="136">
        <v>709</v>
      </c>
      <c r="M711" s="136">
        <v>0</v>
      </c>
      <c r="O711" s="136">
        <f t="shared" si="22"/>
        <v>0</v>
      </c>
      <c r="Q711" s="136">
        <v>14</v>
      </c>
    </row>
    <row r="712" spans="12:17" x14ac:dyDescent="0.35">
      <c r="L712" s="136">
        <v>710</v>
      </c>
      <c r="M712" s="136">
        <v>0</v>
      </c>
      <c r="O712" s="136">
        <f t="shared" si="22"/>
        <v>0</v>
      </c>
      <c r="Q712" s="136">
        <v>22</v>
      </c>
    </row>
    <row r="713" spans="12:17" x14ac:dyDescent="0.35">
      <c r="L713" s="136">
        <v>711</v>
      </c>
      <c r="M713" s="136">
        <v>0</v>
      </c>
      <c r="O713" s="136">
        <f t="shared" si="22"/>
        <v>0</v>
      </c>
      <c r="Q713" s="136">
        <v>21</v>
      </c>
    </row>
    <row r="714" spans="12:17" x14ac:dyDescent="0.35">
      <c r="L714" s="136">
        <v>712</v>
      </c>
      <c r="M714" s="136">
        <v>0</v>
      </c>
      <c r="O714" s="136">
        <f t="shared" si="22"/>
        <v>0</v>
      </c>
      <c r="Q714" s="136">
        <v>14</v>
      </c>
    </row>
    <row r="715" spans="12:17" x14ac:dyDescent="0.35">
      <c r="L715" s="136">
        <v>713</v>
      </c>
      <c r="M715" s="136">
        <v>0</v>
      </c>
      <c r="O715" s="136">
        <f t="shared" si="22"/>
        <v>0</v>
      </c>
      <c r="Q715" s="136">
        <v>12</v>
      </c>
    </row>
    <row r="716" spans="12:17" x14ac:dyDescent="0.35">
      <c r="L716" s="136">
        <v>714</v>
      </c>
      <c r="M716" s="136">
        <v>1</v>
      </c>
      <c r="O716" s="136">
        <f t="shared" si="22"/>
        <v>0</v>
      </c>
      <c r="Q716" s="136">
        <v>17</v>
      </c>
    </row>
    <row r="717" spans="12:17" x14ac:dyDescent="0.35">
      <c r="L717" s="136">
        <v>715</v>
      </c>
      <c r="M717" s="136">
        <v>0</v>
      </c>
      <c r="O717" s="136">
        <f t="shared" si="22"/>
        <v>0</v>
      </c>
      <c r="Q717" s="136">
        <v>13</v>
      </c>
    </row>
    <row r="718" spans="12:17" x14ac:dyDescent="0.35">
      <c r="L718" s="136">
        <v>716</v>
      </c>
      <c r="M718" s="136">
        <v>0</v>
      </c>
      <c r="O718" s="136">
        <f t="shared" si="22"/>
        <v>0</v>
      </c>
      <c r="Q718" s="136">
        <v>20</v>
      </c>
    </row>
    <row r="719" spans="12:17" x14ac:dyDescent="0.35">
      <c r="L719" s="136">
        <v>717</v>
      </c>
      <c r="M719" s="136">
        <v>0</v>
      </c>
      <c r="O719" s="136">
        <f t="shared" si="22"/>
        <v>0</v>
      </c>
      <c r="Q719" s="136">
        <v>10</v>
      </c>
    </row>
    <row r="720" spans="12:17" x14ac:dyDescent="0.35">
      <c r="L720" s="136">
        <v>718</v>
      </c>
      <c r="M720" s="136">
        <v>0</v>
      </c>
      <c r="O720" s="136">
        <f t="shared" si="22"/>
        <v>0</v>
      </c>
      <c r="Q720" s="136">
        <v>8</v>
      </c>
    </row>
    <row r="721" spans="12:17" x14ac:dyDescent="0.35">
      <c r="L721" s="136">
        <v>719</v>
      </c>
      <c r="M721" s="136">
        <v>0</v>
      </c>
      <c r="O721" s="136">
        <f t="shared" si="22"/>
        <v>0</v>
      </c>
      <c r="Q721" s="136">
        <v>12</v>
      </c>
    </row>
    <row r="722" spans="12:17" x14ac:dyDescent="0.35">
      <c r="L722" s="136">
        <v>720</v>
      </c>
      <c r="M722" s="136">
        <v>0</v>
      </c>
      <c r="O722" s="136">
        <f t="shared" si="22"/>
        <v>0</v>
      </c>
      <c r="Q722" s="136">
        <v>8</v>
      </c>
    </row>
    <row r="723" spans="12:17" x14ac:dyDescent="0.35">
      <c r="L723" s="136">
        <v>721</v>
      </c>
      <c r="M723" s="136">
        <v>0</v>
      </c>
      <c r="O723" s="136">
        <f t="shared" si="22"/>
        <v>0</v>
      </c>
      <c r="Q723" s="136">
        <v>16</v>
      </c>
    </row>
    <row r="724" spans="12:17" x14ac:dyDescent="0.35">
      <c r="L724" s="136">
        <v>722</v>
      </c>
      <c r="M724" s="136">
        <v>0</v>
      </c>
      <c r="O724" s="136">
        <f t="shared" si="22"/>
        <v>0</v>
      </c>
      <c r="Q724" s="136">
        <v>19</v>
      </c>
    </row>
    <row r="725" spans="12:17" x14ac:dyDescent="0.35">
      <c r="L725" s="136">
        <v>723</v>
      </c>
      <c r="M725" s="136">
        <v>0</v>
      </c>
      <c r="O725" s="136">
        <f t="shared" si="22"/>
        <v>0</v>
      </c>
      <c r="Q725" s="136">
        <v>12</v>
      </c>
    </row>
    <row r="726" spans="12:17" x14ac:dyDescent="0.35">
      <c r="L726" s="136">
        <v>724</v>
      </c>
      <c r="M726" s="136">
        <v>0</v>
      </c>
      <c r="O726" s="136">
        <f t="shared" si="22"/>
        <v>0</v>
      </c>
      <c r="Q726" s="136">
        <v>13</v>
      </c>
    </row>
    <row r="727" spans="12:17" x14ac:dyDescent="0.35">
      <c r="L727" s="136">
        <v>725</v>
      </c>
      <c r="M727" s="136">
        <v>0</v>
      </c>
      <c r="O727" s="136">
        <f t="shared" si="22"/>
        <v>0</v>
      </c>
      <c r="Q727" s="136">
        <v>8</v>
      </c>
    </row>
    <row r="728" spans="12:17" x14ac:dyDescent="0.35">
      <c r="L728" s="136">
        <v>726</v>
      </c>
      <c r="M728" s="136">
        <v>1</v>
      </c>
      <c r="O728" s="136">
        <f t="shared" si="22"/>
        <v>0</v>
      </c>
      <c r="Q728" s="136">
        <v>8</v>
      </c>
    </row>
    <row r="729" spans="12:17" x14ac:dyDescent="0.35">
      <c r="L729" s="136">
        <v>727</v>
      </c>
      <c r="M729" s="136">
        <v>0</v>
      </c>
      <c r="O729" s="136">
        <f t="shared" si="22"/>
        <v>0</v>
      </c>
      <c r="Q729" s="136">
        <v>18</v>
      </c>
    </row>
    <row r="730" spans="12:17" x14ac:dyDescent="0.35">
      <c r="L730" s="136">
        <v>728</v>
      </c>
      <c r="M730" s="136">
        <v>0</v>
      </c>
      <c r="O730" s="136">
        <f t="shared" si="22"/>
        <v>0</v>
      </c>
      <c r="Q730" s="136">
        <v>21</v>
      </c>
    </row>
    <row r="731" spans="12:17" x14ac:dyDescent="0.35">
      <c r="L731" s="136">
        <v>729</v>
      </c>
      <c r="M731" s="136">
        <v>0</v>
      </c>
      <c r="O731" s="136">
        <f t="shared" si="22"/>
        <v>0</v>
      </c>
      <c r="Q731" s="136">
        <v>15</v>
      </c>
    </row>
    <row r="732" spans="12:17" x14ac:dyDescent="0.35">
      <c r="L732" s="136">
        <v>730</v>
      </c>
      <c r="M732" s="136">
        <v>0</v>
      </c>
      <c r="O732" s="136">
        <f t="shared" si="22"/>
        <v>0</v>
      </c>
      <c r="Q732" s="136">
        <v>13</v>
      </c>
    </row>
    <row r="733" spans="12:17" x14ac:dyDescent="0.35">
      <c r="L733" s="136">
        <v>731</v>
      </c>
      <c r="M733" s="136">
        <v>0</v>
      </c>
      <c r="O733" s="136">
        <f t="shared" si="22"/>
        <v>0</v>
      </c>
      <c r="Q733" s="136">
        <v>19</v>
      </c>
    </row>
    <row r="734" spans="12:17" x14ac:dyDescent="0.35">
      <c r="L734" s="136">
        <v>732</v>
      </c>
      <c r="M734" s="136">
        <v>0</v>
      </c>
      <c r="O734" s="136">
        <f t="shared" si="22"/>
        <v>0</v>
      </c>
      <c r="Q734" s="136">
        <v>5</v>
      </c>
    </row>
    <row r="735" spans="12:17" x14ac:dyDescent="0.35">
      <c r="L735" s="136">
        <v>733</v>
      </c>
      <c r="M735" s="136">
        <v>0</v>
      </c>
      <c r="O735" s="136">
        <f t="shared" si="22"/>
        <v>0</v>
      </c>
      <c r="Q735" s="136">
        <v>12</v>
      </c>
    </row>
    <row r="736" spans="12:17" x14ac:dyDescent="0.35">
      <c r="L736" s="136">
        <v>734</v>
      </c>
      <c r="M736" s="136">
        <v>0</v>
      </c>
      <c r="O736" s="136">
        <f t="shared" si="22"/>
        <v>0</v>
      </c>
      <c r="Q736" s="136">
        <v>15</v>
      </c>
    </row>
    <row r="737" spans="12:17" x14ac:dyDescent="0.35">
      <c r="L737" s="136">
        <v>735</v>
      </c>
      <c r="M737" s="136">
        <v>0</v>
      </c>
      <c r="O737" s="136">
        <f t="shared" si="22"/>
        <v>0</v>
      </c>
      <c r="Q737" s="136">
        <v>8</v>
      </c>
    </row>
    <row r="738" spans="12:17" x14ac:dyDescent="0.35">
      <c r="L738" s="136">
        <v>736</v>
      </c>
      <c r="M738" s="136">
        <v>0</v>
      </c>
      <c r="O738" s="136">
        <f t="shared" si="22"/>
        <v>0</v>
      </c>
      <c r="Q738" s="136">
        <v>11</v>
      </c>
    </row>
    <row r="739" spans="12:17" x14ac:dyDescent="0.35">
      <c r="L739" s="136">
        <v>737</v>
      </c>
      <c r="M739" s="136">
        <v>1</v>
      </c>
      <c r="O739" s="136">
        <f t="shared" si="22"/>
        <v>0</v>
      </c>
      <c r="Q739" s="136">
        <v>14</v>
      </c>
    </row>
    <row r="740" spans="12:17" x14ac:dyDescent="0.35">
      <c r="L740" s="136">
        <v>738</v>
      </c>
      <c r="M740" s="136">
        <v>0</v>
      </c>
      <c r="O740" s="136">
        <f t="shared" si="22"/>
        <v>0</v>
      </c>
      <c r="Q740" s="136">
        <v>13</v>
      </c>
    </row>
    <row r="741" spans="12:17" x14ac:dyDescent="0.35">
      <c r="L741" s="136">
        <v>739</v>
      </c>
      <c r="M741" s="136">
        <v>0</v>
      </c>
      <c r="O741" s="136">
        <f t="shared" si="22"/>
        <v>0</v>
      </c>
      <c r="Q741" s="136">
        <v>15</v>
      </c>
    </row>
    <row r="742" spans="12:17" x14ac:dyDescent="0.35">
      <c r="L742" s="136">
        <v>740</v>
      </c>
      <c r="M742" s="136">
        <v>0</v>
      </c>
      <c r="O742" s="136">
        <f t="shared" si="22"/>
        <v>0</v>
      </c>
      <c r="Q742" s="136">
        <v>9</v>
      </c>
    </row>
    <row r="743" spans="12:17" x14ac:dyDescent="0.35">
      <c r="L743" s="136">
        <v>741</v>
      </c>
      <c r="M743" s="136">
        <v>0</v>
      </c>
      <c r="O743" s="136">
        <f t="shared" si="22"/>
        <v>0</v>
      </c>
      <c r="Q743" s="136">
        <v>14</v>
      </c>
    </row>
    <row r="744" spans="12:17" x14ac:dyDescent="0.35">
      <c r="L744" s="136">
        <v>742</v>
      </c>
      <c r="M744" s="136">
        <v>0</v>
      </c>
      <c r="O744" s="136">
        <f t="shared" si="22"/>
        <v>0</v>
      </c>
      <c r="Q744" s="136">
        <v>8</v>
      </c>
    </row>
    <row r="745" spans="12:17" x14ac:dyDescent="0.35">
      <c r="L745" s="136">
        <v>743</v>
      </c>
      <c r="M745" s="136">
        <v>0</v>
      </c>
      <c r="O745" s="136">
        <f t="shared" si="22"/>
        <v>0</v>
      </c>
      <c r="Q745" s="136">
        <v>10</v>
      </c>
    </row>
    <row r="746" spans="12:17" x14ac:dyDescent="0.35">
      <c r="L746" s="136">
        <v>744</v>
      </c>
      <c r="M746" s="136">
        <v>0</v>
      </c>
      <c r="O746" s="136">
        <f t="shared" si="22"/>
        <v>0</v>
      </c>
      <c r="Q746" s="136">
        <v>8</v>
      </c>
    </row>
    <row r="747" spans="12:17" x14ac:dyDescent="0.35">
      <c r="L747" s="136">
        <v>745</v>
      </c>
      <c r="M747" s="136">
        <v>0</v>
      </c>
      <c r="O747" s="136">
        <f t="shared" si="22"/>
        <v>0</v>
      </c>
      <c r="Q747" s="136">
        <v>14</v>
      </c>
    </row>
    <row r="748" spans="12:17" x14ac:dyDescent="0.35">
      <c r="L748" s="136">
        <v>746</v>
      </c>
      <c r="M748" s="136">
        <v>0</v>
      </c>
      <c r="O748" s="136">
        <f t="shared" si="22"/>
        <v>0</v>
      </c>
      <c r="Q748" s="136">
        <v>12</v>
      </c>
    </row>
    <row r="749" spans="12:17" x14ac:dyDescent="0.35">
      <c r="L749" s="136">
        <v>747</v>
      </c>
      <c r="M749" s="136">
        <v>0</v>
      </c>
      <c r="O749" s="136">
        <f t="shared" si="22"/>
        <v>0</v>
      </c>
      <c r="Q749" s="136">
        <v>14</v>
      </c>
    </row>
    <row r="750" spans="12:17" x14ac:dyDescent="0.35">
      <c r="L750" s="136">
        <v>748</v>
      </c>
      <c r="M750" s="136">
        <v>0</v>
      </c>
      <c r="O750" s="136">
        <f t="shared" ref="O750:O813" si="23">MAX(N750:N1748)</f>
        <v>0</v>
      </c>
      <c r="Q750" s="136">
        <v>13</v>
      </c>
    </row>
    <row r="751" spans="12:17" x14ac:dyDescent="0.35">
      <c r="L751" s="136">
        <v>749</v>
      </c>
      <c r="M751" s="136">
        <v>0</v>
      </c>
      <c r="O751" s="136">
        <f t="shared" si="23"/>
        <v>0</v>
      </c>
      <c r="Q751" s="136">
        <v>15</v>
      </c>
    </row>
    <row r="752" spans="12:17" x14ac:dyDescent="0.35">
      <c r="L752" s="136">
        <v>750</v>
      </c>
      <c r="M752" s="136">
        <v>0</v>
      </c>
      <c r="O752" s="136">
        <f t="shared" si="23"/>
        <v>0</v>
      </c>
      <c r="Q752" s="136">
        <v>13</v>
      </c>
    </row>
    <row r="753" spans="12:17" x14ac:dyDescent="0.35">
      <c r="L753" s="136">
        <v>751</v>
      </c>
      <c r="M753" s="136">
        <v>0</v>
      </c>
      <c r="O753" s="136">
        <f t="shared" si="23"/>
        <v>0</v>
      </c>
      <c r="Q753" s="136">
        <v>13</v>
      </c>
    </row>
    <row r="754" spans="12:17" x14ac:dyDescent="0.35">
      <c r="L754" s="136">
        <v>752</v>
      </c>
      <c r="M754" s="136">
        <v>0</v>
      </c>
      <c r="O754" s="136">
        <f t="shared" si="23"/>
        <v>0</v>
      </c>
      <c r="Q754" s="136">
        <v>10</v>
      </c>
    </row>
    <row r="755" spans="12:17" x14ac:dyDescent="0.35">
      <c r="L755" s="136">
        <v>753</v>
      </c>
      <c r="M755" s="136">
        <v>0</v>
      </c>
      <c r="O755" s="136">
        <f t="shared" si="23"/>
        <v>0</v>
      </c>
      <c r="Q755" s="136">
        <v>9</v>
      </c>
    </row>
    <row r="756" spans="12:17" x14ac:dyDescent="0.35">
      <c r="L756" s="136">
        <v>754</v>
      </c>
      <c r="M756" s="136">
        <v>0</v>
      </c>
      <c r="O756" s="136">
        <f t="shared" si="23"/>
        <v>0</v>
      </c>
      <c r="Q756" s="136">
        <v>13</v>
      </c>
    </row>
    <row r="757" spans="12:17" x14ac:dyDescent="0.35">
      <c r="L757" s="136">
        <v>755</v>
      </c>
      <c r="M757" s="136">
        <v>0</v>
      </c>
      <c r="O757" s="136">
        <f t="shared" si="23"/>
        <v>0</v>
      </c>
      <c r="Q757" s="136">
        <v>7</v>
      </c>
    </row>
    <row r="758" spans="12:17" x14ac:dyDescent="0.35">
      <c r="L758" s="136">
        <v>756</v>
      </c>
      <c r="M758" s="136">
        <v>0</v>
      </c>
      <c r="O758" s="136">
        <f t="shared" si="23"/>
        <v>0</v>
      </c>
      <c r="Q758" s="136">
        <v>7</v>
      </c>
    </row>
    <row r="759" spans="12:17" x14ac:dyDescent="0.35">
      <c r="L759" s="136">
        <v>757</v>
      </c>
      <c r="M759" s="136">
        <v>0</v>
      </c>
      <c r="O759" s="136">
        <f t="shared" si="23"/>
        <v>0</v>
      </c>
      <c r="Q759" s="136">
        <v>19</v>
      </c>
    </row>
    <row r="760" spans="12:17" x14ac:dyDescent="0.35">
      <c r="L760" s="136">
        <v>758</v>
      </c>
      <c r="M760" s="136">
        <v>0</v>
      </c>
      <c r="O760" s="136">
        <f t="shared" si="23"/>
        <v>0</v>
      </c>
      <c r="Q760" s="136">
        <v>19</v>
      </c>
    </row>
    <row r="761" spans="12:17" x14ac:dyDescent="0.35">
      <c r="L761" s="136">
        <v>759</v>
      </c>
      <c r="M761" s="136">
        <v>0</v>
      </c>
      <c r="O761" s="136">
        <f t="shared" si="23"/>
        <v>0</v>
      </c>
      <c r="Q761" s="136">
        <v>12</v>
      </c>
    </row>
    <row r="762" spans="12:17" x14ac:dyDescent="0.35">
      <c r="L762" s="136">
        <v>760</v>
      </c>
      <c r="M762" s="136">
        <v>0</v>
      </c>
      <c r="O762" s="136">
        <f t="shared" si="23"/>
        <v>0</v>
      </c>
      <c r="Q762" s="136">
        <v>14</v>
      </c>
    </row>
    <row r="763" spans="12:17" x14ac:dyDescent="0.35">
      <c r="L763" s="136">
        <v>761</v>
      </c>
      <c r="M763" s="136">
        <v>0</v>
      </c>
      <c r="O763" s="136">
        <f t="shared" si="23"/>
        <v>0</v>
      </c>
      <c r="Q763" s="136">
        <v>12</v>
      </c>
    </row>
    <row r="764" spans="12:17" x14ac:dyDescent="0.35">
      <c r="L764" s="136">
        <v>762</v>
      </c>
      <c r="M764" s="136">
        <v>0</v>
      </c>
      <c r="O764" s="136">
        <f t="shared" si="23"/>
        <v>0</v>
      </c>
      <c r="Q764" s="136">
        <v>15</v>
      </c>
    </row>
    <row r="765" spans="12:17" x14ac:dyDescent="0.35">
      <c r="L765" s="136">
        <v>763</v>
      </c>
      <c r="M765" s="136">
        <v>0</v>
      </c>
      <c r="O765" s="136">
        <f t="shared" si="23"/>
        <v>0</v>
      </c>
      <c r="Q765" s="136">
        <v>10</v>
      </c>
    </row>
    <row r="766" spans="12:17" x14ac:dyDescent="0.35">
      <c r="L766" s="136">
        <v>764</v>
      </c>
      <c r="M766" s="136">
        <v>0</v>
      </c>
      <c r="O766" s="136">
        <f t="shared" si="23"/>
        <v>0</v>
      </c>
      <c r="Q766" s="136">
        <v>11</v>
      </c>
    </row>
    <row r="767" spans="12:17" x14ac:dyDescent="0.35">
      <c r="L767" s="136">
        <v>765</v>
      </c>
      <c r="M767" s="136">
        <v>0</v>
      </c>
      <c r="O767" s="136">
        <f t="shared" si="23"/>
        <v>0</v>
      </c>
      <c r="Q767" s="136">
        <v>6</v>
      </c>
    </row>
    <row r="768" spans="12:17" x14ac:dyDescent="0.35">
      <c r="L768" s="136">
        <v>766</v>
      </c>
      <c r="M768" s="136">
        <v>0</v>
      </c>
      <c r="O768" s="136">
        <f t="shared" si="23"/>
        <v>0</v>
      </c>
      <c r="Q768" s="136">
        <v>17</v>
      </c>
    </row>
    <row r="769" spans="12:17" x14ac:dyDescent="0.35">
      <c r="L769" s="136">
        <v>767</v>
      </c>
      <c r="M769" s="136">
        <v>0</v>
      </c>
      <c r="O769" s="136">
        <f t="shared" si="23"/>
        <v>0</v>
      </c>
      <c r="Q769" s="136">
        <v>12</v>
      </c>
    </row>
    <row r="770" spans="12:17" x14ac:dyDescent="0.35">
      <c r="L770" s="136">
        <v>768</v>
      </c>
      <c r="M770" s="136">
        <v>0</v>
      </c>
      <c r="O770" s="136">
        <f t="shared" si="23"/>
        <v>0</v>
      </c>
      <c r="Q770" s="136">
        <v>14</v>
      </c>
    </row>
    <row r="771" spans="12:17" x14ac:dyDescent="0.35">
      <c r="L771" s="136">
        <v>769</v>
      </c>
      <c r="M771" s="136">
        <v>0</v>
      </c>
      <c r="O771" s="136">
        <f t="shared" si="23"/>
        <v>0</v>
      </c>
      <c r="Q771" s="136">
        <v>10</v>
      </c>
    </row>
    <row r="772" spans="12:17" x14ac:dyDescent="0.35">
      <c r="L772" s="136">
        <v>770</v>
      </c>
      <c r="M772" s="136">
        <v>0</v>
      </c>
      <c r="O772" s="136">
        <f t="shared" si="23"/>
        <v>0</v>
      </c>
      <c r="Q772" s="136">
        <v>9</v>
      </c>
    </row>
    <row r="773" spans="12:17" x14ac:dyDescent="0.35">
      <c r="L773" s="136">
        <v>771</v>
      </c>
      <c r="M773" s="136">
        <v>0</v>
      </c>
      <c r="O773" s="136">
        <f t="shared" si="23"/>
        <v>0</v>
      </c>
      <c r="Q773" s="136">
        <v>11</v>
      </c>
    </row>
    <row r="774" spans="12:17" x14ac:dyDescent="0.35">
      <c r="L774" s="136">
        <v>772</v>
      </c>
      <c r="M774" s="136">
        <v>0</v>
      </c>
      <c r="O774" s="136">
        <f t="shared" si="23"/>
        <v>0</v>
      </c>
      <c r="Q774" s="136">
        <v>11</v>
      </c>
    </row>
    <row r="775" spans="12:17" x14ac:dyDescent="0.35">
      <c r="L775" s="136">
        <v>773</v>
      </c>
      <c r="M775" s="136">
        <v>0</v>
      </c>
      <c r="O775" s="136">
        <f t="shared" si="23"/>
        <v>0</v>
      </c>
      <c r="Q775" s="136">
        <v>14</v>
      </c>
    </row>
    <row r="776" spans="12:17" x14ac:dyDescent="0.35">
      <c r="L776" s="136">
        <v>774</v>
      </c>
      <c r="M776" s="136">
        <v>0</v>
      </c>
      <c r="O776" s="136">
        <f t="shared" si="23"/>
        <v>0</v>
      </c>
      <c r="Q776" s="136">
        <v>14</v>
      </c>
    </row>
    <row r="777" spans="12:17" x14ac:dyDescent="0.35">
      <c r="L777" s="136">
        <v>775</v>
      </c>
      <c r="M777" s="136">
        <v>0</v>
      </c>
      <c r="O777" s="136">
        <f t="shared" si="23"/>
        <v>0</v>
      </c>
      <c r="Q777" s="136">
        <v>10</v>
      </c>
    </row>
    <row r="778" spans="12:17" x14ac:dyDescent="0.35">
      <c r="L778" s="136">
        <v>776</v>
      </c>
      <c r="M778" s="136">
        <v>0</v>
      </c>
      <c r="O778" s="136">
        <f t="shared" si="23"/>
        <v>0</v>
      </c>
      <c r="Q778" s="136">
        <v>14</v>
      </c>
    </row>
    <row r="779" spans="12:17" x14ac:dyDescent="0.35">
      <c r="L779" s="136">
        <v>777</v>
      </c>
      <c r="M779" s="136">
        <v>0</v>
      </c>
      <c r="O779" s="136">
        <f t="shared" si="23"/>
        <v>0</v>
      </c>
      <c r="Q779" s="136">
        <v>8</v>
      </c>
    </row>
    <row r="780" spans="12:17" x14ac:dyDescent="0.35">
      <c r="L780" s="136">
        <v>778</v>
      </c>
      <c r="M780" s="136">
        <v>0</v>
      </c>
      <c r="O780" s="136">
        <f t="shared" si="23"/>
        <v>0</v>
      </c>
      <c r="Q780" s="136">
        <v>4</v>
      </c>
    </row>
    <row r="781" spans="12:17" x14ac:dyDescent="0.35">
      <c r="L781" s="136">
        <v>779</v>
      </c>
      <c r="M781" s="136">
        <v>0</v>
      </c>
      <c r="O781" s="136">
        <f t="shared" si="23"/>
        <v>0</v>
      </c>
      <c r="Q781" s="136">
        <v>15</v>
      </c>
    </row>
    <row r="782" spans="12:17" x14ac:dyDescent="0.35">
      <c r="L782" s="136">
        <v>780</v>
      </c>
      <c r="M782" s="136">
        <v>0</v>
      </c>
      <c r="O782" s="136">
        <f t="shared" si="23"/>
        <v>0</v>
      </c>
      <c r="Q782" s="136">
        <v>11</v>
      </c>
    </row>
    <row r="783" spans="12:17" x14ac:dyDescent="0.35">
      <c r="L783" s="136">
        <v>781</v>
      </c>
      <c r="M783" s="136">
        <v>0</v>
      </c>
      <c r="O783" s="136">
        <f t="shared" si="23"/>
        <v>0</v>
      </c>
      <c r="Q783" s="136">
        <v>10</v>
      </c>
    </row>
    <row r="784" spans="12:17" x14ac:dyDescent="0.35">
      <c r="L784" s="136">
        <v>782</v>
      </c>
      <c r="M784" s="136">
        <v>0</v>
      </c>
      <c r="O784" s="136">
        <f t="shared" si="23"/>
        <v>0</v>
      </c>
      <c r="Q784" s="136">
        <v>9</v>
      </c>
    </row>
    <row r="785" spans="12:17" x14ac:dyDescent="0.35">
      <c r="L785" s="136">
        <v>783</v>
      </c>
      <c r="M785" s="136">
        <v>0</v>
      </c>
      <c r="O785" s="136">
        <f t="shared" si="23"/>
        <v>0</v>
      </c>
      <c r="Q785" s="136">
        <v>16</v>
      </c>
    </row>
    <row r="786" spans="12:17" x14ac:dyDescent="0.35">
      <c r="L786" s="136">
        <v>784</v>
      </c>
      <c r="M786" s="136">
        <v>0</v>
      </c>
      <c r="O786" s="136">
        <f t="shared" si="23"/>
        <v>0</v>
      </c>
      <c r="Q786" s="136">
        <v>13</v>
      </c>
    </row>
    <row r="787" spans="12:17" x14ac:dyDescent="0.35">
      <c r="L787" s="136">
        <v>785</v>
      </c>
      <c r="M787" s="136">
        <v>0</v>
      </c>
      <c r="O787" s="136">
        <f t="shared" si="23"/>
        <v>0</v>
      </c>
      <c r="Q787" s="136">
        <v>11</v>
      </c>
    </row>
    <row r="788" spans="12:17" x14ac:dyDescent="0.35">
      <c r="L788" s="136">
        <v>786</v>
      </c>
      <c r="M788" s="136">
        <v>0</v>
      </c>
      <c r="O788" s="136">
        <f t="shared" si="23"/>
        <v>0</v>
      </c>
      <c r="Q788" s="136">
        <v>10</v>
      </c>
    </row>
    <row r="789" spans="12:17" x14ac:dyDescent="0.35">
      <c r="L789" s="136">
        <v>787</v>
      </c>
      <c r="M789" s="136">
        <v>0</v>
      </c>
      <c r="O789" s="136">
        <f t="shared" si="23"/>
        <v>0</v>
      </c>
      <c r="Q789" s="136">
        <v>13</v>
      </c>
    </row>
    <row r="790" spans="12:17" x14ac:dyDescent="0.35">
      <c r="L790" s="136">
        <v>788</v>
      </c>
      <c r="M790" s="136">
        <v>0</v>
      </c>
      <c r="O790" s="136">
        <f t="shared" si="23"/>
        <v>0</v>
      </c>
      <c r="Q790" s="136">
        <v>9</v>
      </c>
    </row>
    <row r="791" spans="12:17" x14ac:dyDescent="0.35">
      <c r="L791" s="136">
        <v>789</v>
      </c>
      <c r="M791" s="136">
        <v>0</v>
      </c>
      <c r="O791" s="136">
        <f t="shared" si="23"/>
        <v>0</v>
      </c>
      <c r="Q791" s="136">
        <v>11</v>
      </c>
    </row>
    <row r="792" spans="12:17" x14ac:dyDescent="0.35">
      <c r="L792" s="136">
        <v>790</v>
      </c>
      <c r="M792" s="136">
        <v>0</v>
      </c>
      <c r="O792" s="136">
        <f t="shared" si="23"/>
        <v>0</v>
      </c>
      <c r="Q792" s="136">
        <v>12</v>
      </c>
    </row>
    <row r="793" spans="12:17" x14ac:dyDescent="0.35">
      <c r="L793" s="136">
        <v>791</v>
      </c>
      <c r="M793" s="136">
        <v>0</v>
      </c>
      <c r="O793" s="136">
        <f t="shared" si="23"/>
        <v>0</v>
      </c>
      <c r="Q793" s="136">
        <v>8</v>
      </c>
    </row>
    <row r="794" spans="12:17" x14ac:dyDescent="0.35">
      <c r="L794" s="136">
        <v>792</v>
      </c>
      <c r="M794" s="136">
        <v>0</v>
      </c>
      <c r="O794" s="136">
        <f t="shared" si="23"/>
        <v>0</v>
      </c>
      <c r="Q794" s="136">
        <v>15</v>
      </c>
    </row>
    <row r="795" spans="12:17" x14ac:dyDescent="0.35">
      <c r="L795" s="136">
        <v>793</v>
      </c>
      <c r="M795" s="136">
        <v>0</v>
      </c>
      <c r="O795" s="136">
        <f t="shared" si="23"/>
        <v>0</v>
      </c>
      <c r="Q795" s="136">
        <v>11</v>
      </c>
    </row>
    <row r="796" spans="12:17" x14ac:dyDescent="0.35">
      <c r="L796" s="136">
        <v>794</v>
      </c>
      <c r="M796" s="136">
        <v>0</v>
      </c>
      <c r="O796" s="136">
        <f t="shared" si="23"/>
        <v>0</v>
      </c>
      <c r="Q796" s="136">
        <v>16</v>
      </c>
    </row>
    <row r="797" spans="12:17" x14ac:dyDescent="0.35">
      <c r="L797" s="136">
        <v>795</v>
      </c>
      <c r="M797" s="136">
        <v>0</v>
      </c>
      <c r="O797" s="136">
        <f t="shared" si="23"/>
        <v>0</v>
      </c>
      <c r="Q797" s="136">
        <v>15</v>
      </c>
    </row>
    <row r="798" spans="12:17" x14ac:dyDescent="0.35">
      <c r="L798" s="136">
        <v>796</v>
      </c>
      <c r="M798" s="136">
        <v>0</v>
      </c>
      <c r="O798" s="136">
        <f t="shared" si="23"/>
        <v>0</v>
      </c>
      <c r="Q798" s="136">
        <v>6</v>
      </c>
    </row>
    <row r="799" spans="12:17" x14ac:dyDescent="0.35">
      <c r="L799" s="136">
        <v>797</v>
      </c>
      <c r="M799" s="136">
        <v>0</v>
      </c>
      <c r="O799" s="136">
        <f t="shared" si="23"/>
        <v>0</v>
      </c>
      <c r="Q799" s="136">
        <v>10</v>
      </c>
    </row>
    <row r="800" spans="12:17" x14ac:dyDescent="0.35">
      <c r="L800" s="136">
        <v>798</v>
      </c>
      <c r="M800" s="136">
        <v>0</v>
      </c>
      <c r="O800" s="136">
        <f t="shared" si="23"/>
        <v>0</v>
      </c>
      <c r="Q800" s="136">
        <v>8</v>
      </c>
    </row>
    <row r="801" spans="12:17" x14ac:dyDescent="0.35">
      <c r="L801" s="136">
        <v>799</v>
      </c>
      <c r="M801" s="136">
        <v>0</v>
      </c>
      <c r="O801" s="136">
        <f t="shared" si="23"/>
        <v>0</v>
      </c>
      <c r="Q801" s="136">
        <v>7</v>
      </c>
    </row>
    <row r="802" spans="12:17" x14ac:dyDescent="0.35">
      <c r="L802" s="136">
        <v>800</v>
      </c>
      <c r="M802" s="136">
        <v>0</v>
      </c>
      <c r="O802" s="136">
        <f t="shared" si="23"/>
        <v>0</v>
      </c>
      <c r="Q802" s="136">
        <v>11</v>
      </c>
    </row>
    <row r="803" spans="12:17" x14ac:dyDescent="0.35">
      <c r="L803" s="136">
        <v>801</v>
      </c>
      <c r="M803" s="136">
        <v>0</v>
      </c>
      <c r="O803" s="136">
        <f t="shared" si="23"/>
        <v>0</v>
      </c>
      <c r="Q803" s="136">
        <v>13</v>
      </c>
    </row>
    <row r="804" spans="12:17" x14ac:dyDescent="0.35">
      <c r="L804" s="136">
        <v>802</v>
      </c>
      <c r="M804" s="136">
        <v>0</v>
      </c>
      <c r="O804" s="136">
        <f t="shared" si="23"/>
        <v>0</v>
      </c>
      <c r="Q804" s="136">
        <v>11</v>
      </c>
    </row>
    <row r="805" spans="12:17" x14ac:dyDescent="0.35">
      <c r="L805" s="136">
        <v>803</v>
      </c>
      <c r="M805" s="136">
        <v>0</v>
      </c>
      <c r="O805" s="136">
        <f t="shared" si="23"/>
        <v>0</v>
      </c>
      <c r="Q805" s="136">
        <v>8</v>
      </c>
    </row>
    <row r="806" spans="12:17" x14ac:dyDescent="0.35">
      <c r="L806" s="136">
        <v>804</v>
      </c>
      <c r="M806" s="136">
        <v>0</v>
      </c>
      <c r="O806" s="136">
        <f t="shared" si="23"/>
        <v>0</v>
      </c>
      <c r="Q806" s="136">
        <v>13</v>
      </c>
    </row>
    <row r="807" spans="12:17" x14ac:dyDescent="0.35">
      <c r="L807" s="136">
        <v>805</v>
      </c>
      <c r="M807" s="136">
        <v>0</v>
      </c>
      <c r="O807" s="136">
        <f t="shared" si="23"/>
        <v>0</v>
      </c>
      <c r="Q807" s="136">
        <v>14</v>
      </c>
    </row>
    <row r="808" spans="12:17" x14ac:dyDescent="0.35">
      <c r="L808" s="136">
        <v>806</v>
      </c>
      <c r="M808" s="136">
        <v>0</v>
      </c>
      <c r="O808" s="136">
        <f t="shared" si="23"/>
        <v>0</v>
      </c>
      <c r="Q808" s="136">
        <v>9</v>
      </c>
    </row>
    <row r="809" spans="12:17" x14ac:dyDescent="0.35">
      <c r="L809" s="136">
        <v>807</v>
      </c>
      <c r="M809" s="136">
        <v>0</v>
      </c>
      <c r="O809" s="136">
        <f t="shared" si="23"/>
        <v>0</v>
      </c>
      <c r="Q809" s="136">
        <v>12</v>
      </c>
    </row>
    <row r="810" spans="12:17" x14ac:dyDescent="0.35">
      <c r="L810" s="136">
        <v>808</v>
      </c>
      <c r="M810" s="136">
        <v>0</v>
      </c>
      <c r="O810" s="136">
        <f t="shared" si="23"/>
        <v>0</v>
      </c>
      <c r="Q810" s="136">
        <v>7</v>
      </c>
    </row>
    <row r="811" spans="12:17" x14ac:dyDescent="0.35">
      <c r="L811" s="136">
        <v>809</v>
      </c>
      <c r="M811" s="136">
        <v>0</v>
      </c>
      <c r="O811" s="136">
        <f t="shared" si="23"/>
        <v>0</v>
      </c>
      <c r="Q811" s="136">
        <v>15</v>
      </c>
    </row>
    <row r="812" spans="12:17" x14ac:dyDescent="0.35">
      <c r="L812" s="136">
        <v>810</v>
      </c>
      <c r="M812" s="136">
        <v>0</v>
      </c>
      <c r="O812" s="136">
        <f t="shared" si="23"/>
        <v>0</v>
      </c>
      <c r="Q812" s="136">
        <v>16</v>
      </c>
    </row>
    <row r="813" spans="12:17" x14ac:dyDescent="0.35">
      <c r="L813" s="136">
        <v>811</v>
      </c>
      <c r="M813" s="136">
        <v>0</v>
      </c>
      <c r="O813" s="136">
        <f t="shared" si="23"/>
        <v>0</v>
      </c>
      <c r="Q813" s="136">
        <v>6</v>
      </c>
    </row>
    <row r="814" spans="12:17" x14ac:dyDescent="0.35">
      <c r="L814" s="136">
        <v>812</v>
      </c>
      <c r="M814" s="136">
        <v>0</v>
      </c>
      <c r="O814" s="136">
        <f t="shared" ref="O814:O877" si="24">MAX(N814:N1812)</f>
        <v>0</v>
      </c>
      <c r="Q814" s="136">
        <v>15</v>
      </c>
    </row>
    <row r="815" spans="12:17" x14ac:dyDescent="0.35">
      <c r="L815" s="136">
        <v>813</v>
      </c>
      <c r="M815" s="136">
        <v>0</v>
      </c>
      <c r="O815" s="136">
        <f t="shared" si="24"/>
        <v>0</v>
      </c>
      <c r="Q815" s="136">
        <v>13</v>
      </c>
    </row>
    <row r="816" spans="12:17" x14ac:dyDescent="0.35">
      <c r="L816" s="136">
        <v>814</v>
      </c>
      <c r="M816" s="136">
        <v>0</v>
      </c>
      <c r="O816" s="136">
        <f t="shared" si="24"/>
        <v>0</v>
      </c>
      <c r="Q816" s="136">
        <v>11</v>
      </c>
    </row>
    <row r="817" spans="12:17" x14ac:dyDescent="0.35">
      <c r="L817" s="136">
        <v>815</v>
      </c>
      <c r="M817" s="136">
        <v>0</v>
      </c>
      <c r="O817" s="136">
        <f t="shared" si="24"/>
        <v>0</v>
      </c>
      <c r="Q817" s="136">
        <v>15</v>
      </c>
    </row>
    <row r="818" spans="12:17" x14ac:dyDescent="0.35">
      <c r="L818" s="136">
        <v>816</v>
      </c>
      <c r="M818" s="136">
        <v>0</v>
      </c>
      <c r="O818" s="136">
        <f t="shared" si="24"/>
        <v>0</v>
      </c>
      <c r="Q818" s="136">
        <v>16</v>
      </c>
    </row>
    <row r="819" spans="12:17" x14ac:dyDescent="0.35">
      <c r="L819" s="136">
        <v>817</v>
      </c>
      <c r="M819" s="136">
        <v>0</v>
      </c>
      <c r="O819" s="136">
        <f t="shared" si="24"/>
        <v>0</v>
      </c>
      <c r="Q819" s="136">
        <v>12</v>
      </c>
    </row>
    <row r="820" spans="12:17" x14ac:dyDescent="0.35">
      <c r="L820" s="136">
        <v>818</v>
      </c>
      <c r="M820" s="136">
        <v>0</v>
      </c>
      <c r="O820" s="136">
        <f t="shared" si="24"/>
        <v>0</v>
      </c>
      <c r="Q820" s="136">
        <v>9</v>
      </c>
    </row>
    <row r="821" spans="12:17" x14ac:dyDescent="0.35">
      <c r="L821" s="136">
        <v>819</v>
      </c>
      <c r="M821" s="136">
        <v>0</v>
      </c>
      <c r="O821" s="136">
        <f t="shared" si="24"/>
        <v>0</v>
      </c>
      <c r="Q821" s="136">
        <v>4</v>
      </c>
    </row>
    <row r="822" spans="12:17" x14ac:dyDescent="0.35">
      <c r="L822" s="136">
        <v>820</v>
      </c>
      <c r="M822" s="136">
        <v>0</v>
      </c>
      <c r="O822" s="136">
        <f t="shared" si="24"/>
        <v>0</v>
      </c>
      <c r="Q822" s="136">
        <v>7</v>
      </c>
    </row>
    <row r="823" spans="12:17" x14ac:dyDescent="0.35">
      <c r="L823" s="136">
        <v>821</v>
      </c>
      <c r="M823" s="136">
        <v>0</v>
      </c>
      <c r="O823" s="136">
        <f t="shared" si="24"/>
        <v>0</v>
      </c>
      <c r="Q823" s="136">
        <v>9</v>
      </c>
    </row>
    <row r="824" spans="12:17" x14ac:dyDescent="0.35">
      <c r="L824" s="136">
        <v>822</v>
      </c>
      <c r="M824" s="136">
        <v>0</v>
      </c>
      <c r="O824" s="136">
        <f t="shared" si="24"/>
        <v>0</v>
      </c>
      <c r="Q824" s="136">
        <v>9</v>
      </c>
    </row>
    <row r="825" spans="12:17" x14ac:dyDescent="0.35">
      <c r="L825" s="136">
        <v>823</v>
      </c>
      <c r="M825" s="136">
        <v>0</v>
      </c>
      <c r="O825" s="136">
        <f t="shared" si="24"/>
        <v>0</v>
      </c>
      <c r="Q825" s="136">
        <v>5</v>
      </c>
    </row>
    <row r="826" spans="12:17" x14ac:dyDescent="0.35">
      <c r="L826" s="136">
        <v>824</v>
      </c>
      <c r="M826" s="136">
        <v>0</v>
      </c>
      <c r="O826" s="136">
        <f t="shared" si="24"/>
        <v>0</v>
      </c>
      <c r="Q826" s="136">
        <v>12</v>
      </c>
    </row>
    <row r="827" spans="12:17" x14ac:dyDescent="0.35">
      <c r="L827" s="136">
        <v>825</v>
      </c>
      <c r="M827" s="136">
        <v>0</v>
      </c>
      <c r="O827" s="136">
        <f t="shared" si="24"/>
        <v>0</v>
      </c>
      <c r="Q827" s="136">
        <v>17</v>
      </c>
    </row>
    <row r="828" spans="12:17" x14ac:dyDescent="0.35">
      <c r="L828" s="136">
        <v>826</v>
      </c>
      <c r="M828" s="136">
        <v>0</v>
      </c>
      <c r="O828" s="136">
        <f t="shared" si="24"/>
        <v>0</v>
      </c>
      <c r="Q828" s="136">
        <v>17</v>
      </c>
    </row>
    <row r="829" spans="12:17" x14ac:dyDescent="0.35">
      <c r="L829" s="136">
        <v>827</v>
      </c>
      <c r="M829" s="136">
        <v>0</v>
      </c>
      <c r="O829" s="136">
        <f t="shared" si="24"/>
        <v>0</v>
      </c>
      <c r="Q829" s="136">
        <v>10</v>
      </c>
    </row>
    <row r="830" spans="12:17" x14ac:dyDescent="0.35">
      <c r="L830" s="136">
        <v>828</v>
      </c>
      <c r="M830" s="136">
        <v>0</v>
      </c>
      <c r="O830" s="136">
        <f t="shared" si="24"/>
        <v>0</v>
      </c>
      <c r="Q830" s="136">
        <v>13</v>
      </c>
    </row>
    <row r="831" spans="12:17" x14ac:dyDescent="0.35">
      <c r="L831" s="136">
        <v>829</v>
      </c>
      <c r="M831" s="136">
        <v>0</v>
      </c>
      <c r="O831" s="136">
        <f t="shared" si="24"/>
        <v>0</v>
      </c>
      <c r="Q831" s="136">
        <v>13</v>
      </c>
    </row>
    <row r="832" spans="12:17" x14ac:dyDescent="0.35">
      <c r="L832" s="136">
        <v>830</v>
      </c>
      <c r="M832" s="136">
        <v>0</v>
      </c>
      <c r="O832" s="136">
        <f t="shared" si="24"/>
        <v>0</v>
      </c>
      <c r="Q832" s="136">
        <v>13</v>
      </c>
    </row>
    <row r="833" spans="12:17" x14ac:dyDescent="0.35">
      <c r="L833" s="136">
        <v>831</v>
      </c>
      <c r="M833" s="136">
        <v>0</v>
      </c>
      <c r="O833" s="136">
        <f t="shared" si="24"/>
        <v>0</v>
      </c>
      <c r="Q833" s="136">
        <v>12</v>
      </c>
    </row>
    <row r="834" spans="12:17" x14ac:dyDescent="0.35">
      <c r="L834" s="136">
        <v>832</v>
      </c>
      <c r="M834" s="136">
        <v>0</v>
      </c>
      <c r="O834" s="136">
        <f t="shared" si="24"/>
        <v>0</v>
      </c>
      <c r="Q834" s="136">
        <v>16</v>
      </c>
    </row>
    <row r="835" spans="12:17" x14ac:dyDescent="0.35">
      <c r="L835" s="136">
        <v>833</v>
      </c>
      <c r="M835" s="136">
        <v>0</v>
      </c>
      <c r="O835" s="136">
        <f t="shared" si="24"/>
        <v>0</v>
      </c>
      <c r="Q835" s="136">
        <v>13</v>
      </c>
    </row>
    <row r="836" spans="12:17" x14ac:dyDescent="0.35">
      <c r="L836" s="136">
        <v>834</v>
      </c>
      <c r="M836" s="136">
        <v>0</v>
      </c>
      <c r="O836" s="136">
        <f t="shared" si="24"/>
        <v>0</v>
      </c>
      <c r="Q836" s="136">
        <v>18</v>
      </c>
    </row>
    <row r="837" spans="12:17" x14ac:dyDescent="0.35">
      <c r="L837" s="136">
        <v>835</v>
      </c>
      <c r="M837" s="136">
        <v>0</v>
      </c>
      <c r="O837" s="136">
        <f t="shared" si="24"/>
        <v>0</v>
      </c>
      <c r="Q837" s="136">
        <v>18</v>
      </c>
    </row>
    <row r="838" spans="12:17" x14ac:dyDescent="0.35">
      <c r="L838" s="136">
        <v>836</v>
      </c>
      <c r="M838" s="136">
        <v>0</v>
      </c>
      <c r="O838" s="136">
        <f t="shared" si="24"/>
        <v>0</v>
      </c>
      <c r="Q838" s="136">
        <v>16</v>
      </c>
    </row>
    <row r="839" spans="12:17" x14ac:dyDescent="0.35">
      <c r="L839" s="136">
        <v>837</v>
      </c>
      <c r="M839" s="136">
        <v>0</v>
      </c>
      <c r="O839" s="136">
        <f t="shared" si="24"/>
        <v>0</v>
      </c>
      <c r="Q839" s="136">
        <v>8</v>
      </c>
    </row>
    <row r="840" spans="12:17" x14ac:dyDescent="0.35">
      <c r="L840" s="136">
        <v>838</v>
      </c>
      <c r="M840" s="136">
        <v>0</v>
      </c>
      <c r="O840" s="136">
        <f t="shared" si="24"/>
        <v>0</v>
      </c>
      <c r="Q840" s="136">
        <v>17</v>
      </c>
    </row>
    <row r="841" spans="12:17" x14ac:dyDescent="0.35">
      <c r="L841" s="136">
        <v>839</v>
      </c>
      <c r="M841" s="136">
        <v>0</v>
      </c>
      <c r="O841" s="136">
        <f t="shared" si="24"/>
        <v>0</v>
      </c>
      <c r="Q841" s="136">
        <v>9</v>
      </c>
    </row>
    <row r="842" spans="12:17" x14ac:dyDescent="0.35">
      <c r="L842" s="136">
        <v>840</v>
      </c>
      <c r="M842" s="136">
        <v>0</v>
      </c>
      <c r="O842" s="136">
        <f t="shared" si="24"/>
        <v>0</v>
      </c>
      <c r="Q842" s="136">
        <v>10</v>
      </c>
    </row>
    <row r="843" spans="12:17" x14ac:dyDescent="0.35">
      <c r="L843" s="136">
        <v>841</v>
      </c>
      <c r="M843" s="136">
        <v>0</v>
      </c>
      <c r="O843" s="136">
        <f t="shared" si="24"/>
        <v>0</v>
      </c>
      <c r="Q843" s="136">
        <v>14</v>
      </c>
    </row>
    <row r="844" spans="12:17" x14ac:dyDescent="0.35">
      <c r="L844" s="136">
        <v>842</v>
      </c>
      <c r="M844" s="136">
        <v>0</v>
      </c>
      <c r="O844" s="136">
        <f t="shared" si="24"/>
        <v>0</v>
      </c>
      <c r="Q844" s="136">
        <v>17</v>
      </c>
    </row>
    <row r="845" spans="12:17" x14ac:dyDescent="0.35">
      <c r="L845" s="136">
        <v>843</v>
      </c>
      <c r="M845" s="136">
        <v>0</v>
      </c>
      <c r="O845" s="136">
        <f t="shared" si="24"/>
        <v>0</v>
      </c>
      <c r="Q845" s="136">
        <v>9</v>
      </c>
    </row>
    <row r="846" spans="12:17" x14ac:dyDescent="0.35">
      <c r="L846" s="136">
        <v>844</v>
      </c>
      <c r="M846" s="136">
        <v>0</v>
      </c>
      <c r="O846" s="136">
        <f t="shared" si="24"/>
        <v>0</v>
      </c>
      <c r="Q846" s="136">
        <v>9</v>
      </c>
    </row>
    <row r="847" spans="12:17" x14ac:dyDescent="0.35">
      <c r="L847" s="136">
        <v>845</v>
      </c>
      <c r="M847" s="136">
        <v>0</v>
      </c>
      <c r="O847" s="136">
        <f t="shared" si="24"/>
        <v>0</v>
      </c>
      <c r="Q847" s="136">
        <v>13</v>
      </c>
    </row>
    <row r="848" spans="12:17" x14ac:dyDescent="0.35">
      <c r="L848" s="136">
        <v>846</v>
      </c>
      <c r="M848" s="136">
        <v>0</v>
      </c>
      <c r="O848" s="136">
        <f t="shared" si="24"/>
        <v>0</v>
      </c>
      <c r="Q848" s="136">
        <v>13</v>
      </c>
    </row>
    <row r="849" spans="12:17" x14ac:dyDescent="0.35">
      <c r="L849" s="136">
        <v>847</v>
      </c>
      <c r="M849" s="136">
        <v>0</v>
      </c>
      <c r="O849" s="136">
        <f t="shared" si="24"/>
        <v>0</v>
      </c>
      <c r="Q849" s="136">
        <v>16</v>
      </c>
    </row>
    <row r="850" spans="12:17" x14ac:dyDescent="0.35">
      <c r="L850" s="136">
        <v>848</v>
      </c>
      <c r="M850" s="136">
        <v>0</v>
      </c>
      <c r="O850" s="136">
        <f t="shared" si="24"/>
        <v>0</v>
      </c>
      <c r="Q850" s="136">
        <v>19</v>
      </c>
    </row>
    <row r="851" spans="12:17" x14ac:dyDescent="0.35">
      <c r="L851" s="136">
        <v>849</v>
      </c>
      <c r="M851" s="136">
        <v>0</v>
      </c>
      <c r="O851" s="136">
        <f t="shared" si="24"/>
        <v>0</v>
      </c>
      <c r="Q851" s="136">
        <v>16</v>
      </c>
    </row>
    <row r="852" spans="12:17" x14ac:dyDescent="0.35">
      <c r="L852" s="136">
        <v>850</v>
      </c>
      <c r="M852" s="136">
        <v>0</v>
      </c>
      <c r="O852" s="136">
        <f t="shared" si="24"/>
        <v>0</v>
      </c>
      <c r="Q852" s="136">
        <v>12</v>
      </c>
    </row>
    <row r="853" spans="12:17" x14ac:dyDescent="0.35">
      <c r="L853" s="136">
        <v>851</v>
      </c>
      <c r="M853" s="136">
        <v>0</v>
      </c>
      <c r="O853" s="136">
        <f t="shared" si="24"/>
        <v>0</v>
      </c>
      <c r="Q853" s="136">
        <v>14</v>
      </c>
    </row>
    <row r="854" spans="12:17" x14ac:dyDescent="0.35">
      <c r="L854" s="136">
        <v>852</v>
      </c>
      <c r="M854" s="136">
        <v>0</v>
      </c>
      <c r="O854" s="136">
        <f t="shared" si="24"/>
        <v>0</v>
      </c>
      <c r="Q854" s="136">
        <v>11</v>
      </c>
    </row>
    <row r="855" spans="12:17" x14ac:dyDescent="0.35">
      <c r="L855" s="136">
        <v>853</v>
      </c>
      <c r="M855" s="136">
        <v>0</v>
      </c>
      <c r="O855" s="136">
        <f t="shared" si="24"/>
        <v>0</v>
      </c>
      <c r="Q855" s="136">
        <v>10</v>
      </c>
    </row>
    <row r="856" spans="12:17" x14ac:dyDescent="0.35">
      <c r="L856" s="136">
        <v>854</v>
      </c>
      <c r="M856" s="136">
        <v>0</v>
      </c>
      <c r="O856" s="136">
        <f t="shared" si="24"/>
        <v>0</v>
      </c>
      <c r="Q856" s="136">
        <v>18</v>
      </c>
    </row>
    <row r="857" spans="12:17" x14ac:dyDescent="0.35">
      <c r="L857" s="136">
        <v>855</v>
      </c>
      <c r="M857" s="136">
        <v>0</v>
      </c>
      <c r="O857" s="136">
        <f t="shared" si="24"/>
        <v>0</v>
      </c>
      <c r="Q857" s="136">
        <v>14</v>
      </c>
    </row>
    <row r="858" spans="12:17" x14ac:dyDescent="0.35">
      <c r="L858" s="136">
        <v>856</v>
      </c>
      <c r="M858" s="136">
        <v>0</v>
      </c>
      <c r="O858" s="136">
        <f t="shared" si="24"/>
        <v>0</v>
      </c>
      <c r="Q858" s="136">
        <v>10</v>
      </c>
    </row>
    <row r="859" spans="12:17" x14ac:dyDescent="0.35">
      <c r="L859" s="136">
        <v>857</v>
      </c>
      <c r="M859" s="136">
        <v>0</v>
      </c>
      <c r="O859" s="136">
        <f t="shared" si="24"/>
        <v>0</v>
      </c>
      <c r="Q859" s="136">
        <v>10</v>
      </c>
    </row>
    <row r="860" spans="12:17" x14ac:dyDescent="0.35">
      <c r="L860" s="136">
        <v>858</v>
      </c>
      <c r="M860" s="136">
        <v>0</v>
      </c>
      <c r="O860" s="136">
        <f t="shared" si="24"/>
        <v>0</v>
      </c>
      <c r="Q860" s="136">
        <v>10</v>
      </c>
    </row>
    <row r="861" spans="12:17" x14ac:dyDescent="0.35">
      <c r="L861" s="136">
        <v>859</v>
      </c>
      <c r="M861" s="136">
        <v>0</v>
      </c>
      <c r="O861" s="136">
        <f t="shared" si="24"/>
        <v>0</v>
      </c>
      <c r="Q861" s="136">
        <v>16</v>
      </c>
    </row>
    <row r="862" spans="12:17" x14ac:dyDescent="0.35">
      <c r="L862" s="136">
        <v>860</v>
      </c>
      <c r="M862" s="136">
        <v>1</v>
      </c>
      <c r="O862" s="136">
        <f t="shared" si="24"/>
        <v>0</v>
      </c>
      <c r="Q862" s="136">
        <v>11</v>
      </c>
    </row>
    <row r="863" spans="12:17" x14ac:dyDescent="0.35">
      <c r="L863" s="136">
        <v>861</v>
      </c>
      <c r="M863" s="136">
        <v>0</v>
      </c>
      <c r="O863" s="136">
        <f t="shared" si="24"/>
        <v>0</v>
      </c>
      <c r="Q863" s="136">
        <v>12</v>
      </c>
    </row>
    <row r="864" spans="12:17" x14ac:dyDescent="0.35">
      <c r="L864" s="136">
        <v>862</v>
      </c>
      <c r="M864" s="136">
        <v>0</v>
      </c>
      <c r="O864" s="136">
        <f t="shared" si="24"/>
        <v>0</v>
      </c>
      <c r="Q864" s="136">
        <v>16</v>
      </c>
    </row>
    <row r="865" spans="12:17" x14ac:dyDescent="0.35">
      <c r="L865" s="136">
        <v>863</v>
      </c>
      <c r="M865" s="136">
        <v>0</v>
      </c>
      <c r="O865" s="136">
        <f t="shared" si="24"/>
        <v>0</v>
      </c>
      <c r="Q865" s="136">
        <v>14</v>
      </c>
    </row>
    <row r="866" spans="12:17" x14ac:dyDescent="0.35">
      <c r="L866" s="136">
        <v>864</v>
      </c>
      <c r="M866" s="136">
        <v>0</v>
      </c>
      <c r="O866" s="136">
        <f t="shared" si="24"/>
        <v>0</v>
      </c>
      <c r="Q866" s="136">
        <v>14</v>
      </c>
    </row>
    <row r="867" spans="12:17" x14ac:dyDescent="0.35">
      <c r="L867" s="136">
        <v>865</v>
      </c>
      <c r="M867" s="136">
        <v>0</v>
      </c>
      <c r="O867" s="136">
        <f t="shared" si="24"/>
        <v>0</v>
      </c>
      <c r="Q867" s="136">
        <v>14</v>
      </c>
    </row>
    <row r="868" spans="12:17" x14ac:dyDescent="0.35">
      <c r="L868" s="136">
        <v>866</v>
      </c>
      <c r="M868" s="136">
        <v>0</v>
      </c>
      <c r="O868" s="136">
        <f t="shared" si="24"/>
        <v>0</v>
      </c>
      <c r="Q868" s="136">
        <v>12</v>
      </c>
    </row>
    <row r="869" spans="12:17" x14ac:dyDescent="0.35">
      <c r="L869" s="136">
        <v>867</v>
      </c>
      <c r="M869" s="136">
        <v>0</v>
      </c>
      <c r="O869" s="136">
        <f t="shared" si="24"/>
        <v>0</v>
      </c>
      <c r="Q869" s="136">
        <v>21</v>
      </c>
    </row>
    <row r="870" spans="12:17" x14ac:dyDescent="0.35">
      <c r="L870" s="136">
        <v>868</v>
      </c>
      <c r="M870" s="136">
        <v>0</v>
      </c>
      <c r="O870" s="136">
        <f t="shared" si="24"/>
        <v>0</v>
      </c>
      <c r="Q870" s="136">
        <v>12</v>
      </c>
    </row>
    <row r="871" spans="12:17" x14ac:dyDescent="0.35">
      <c r="L871" s="136">
        <v>869</v>
      </c>
      <c r="M871" s="136">
        <v>0</v>
      </c>
      <c r="O871" s="136">
        <f t="shared" si="24"/>
        <v>0</v>
      </c>
      <c r="Q871" s="136">
        <v>11</v>
      </c>
    </row>
    <row r="872" spans="12:17" x14ac:dyDescent="0.35">
      <c r="L872" s="136">
        <v>870</v>
      </c>
      <c r="M872" s="136">
        <v>0</v>
      </c>
      <c r="O872" s="136">
        <f t="shared" si="24"/>
        <v>0</v>
      </c>
      <c r="Q872" s="136">
        <v>10</v>
      </c>
    </row>
    <row r="873" spans="12:17" x14ac:dyDescent="0.35">
      <c r="L873" s="136">
        <v>871</v>
      </c>
      <c r="M873" s="136">
        <v>0</v>
      </c>
      <c r="O873" s="136">
        <f t="shared" si="24"/>
        <v>0</v>
      </c>
      <c r="Q873" s="136">
        <v>11</v>
      </c>
    </row>
    <row r="874" spans="12:17" x14ac:dyDescent="0.35">
      <c r="L874" s="136">
        <v>872</v>
      </c>
      <c r="M874" s="136">
        <v>0</v>
      </c>
      <c r="O874" s="136">
        <f t="shared" si="24"/>
        <v>0</v>
      </c>
      <c r="Q874" s="136">
        <v>14</v>
      </c>
    </row>
    <row r="875" spans="12:17" x14ac:dyDescent="0.35">
      <c r="L875" s="136">
        <v>873</v>
      </c>
      <c r="M875" s="136">
        <v>0</v>
      </c>
      <c r="O875" s="136">
        <f t="shared" si="24"/>
        <v>0</v>
      </c>
      <c r="Q875" s="136">
        <v>12</v>
      </c>
    </row>
    <row r="876" spans="12:17" x14ac:dyDescent="0.35">
      <c r="L876" s="136">
        <v>874</v>
      </c>
      <c r="M876" s="136">
        <v>0</v>
      </c>
      <c r="O876" s="136">
        <f t="shared" si="24"/>
        <v>0</v>
      </c>
      <c r="Q876" s="136">
        <v>16</v>
      </c>
    </row>
    <row r="877" spans="12:17" x14ac:dyDescent="0.35">
      <c r="L877" s="136">
        <v>875</v>
      </c>
      <c r="M877" s="136">
        <v>0</v>
      </c>
      <c r="O877" s="136">
        <f t="shared" si="24"/>
        <v>0</v>
      </c>
      <c r="Q877" s="136">
        <v>13</v>
      </c>
    </row>
    <row r="878" spans="12:17" x14ac:dyDescent="0.35">
      <c r="L878" s="136">
        <v>876</v>
      </c>
      <c r="M878" s="136">
        <v>0</v>
      </c>
      <c r="O878" s="136">
        <f t="shared" ref="O878:O941" si="25">MAX(N878:N1876)</f>
        <v>0</v>
      </c>
      <c r="Q878" s="136">
        <v>13</v>
      </c>
    </row>
    <row r="879" spans="12:17" x14ac:dyDescent="0.35">
      <c r="L879" s="136">
        <v>877</v>
      </c>
      <c r="M879" s="136">
        <v>0</v>
      </c>
      <c r="O879" s="136">
        <f t="shared" si="25"/>
        <v>0</v>
      </c>
      <c r="Q879" s="136">
        <v>19</v>
      </c>
    </row>
    <row r="880" spans="12:17" x14ac:dyDescent="0.35">
      <c r="L880" s="136">
        <v>878</v>
      </c>
      <c r="M880" s="136">
        <v>0</v>
      </c>
      <c r="O880" s="136">
        <f t="shared" si="25"/>
        <v>0</v>
      </c>
      <c r="Q880" s="136">
        <v>17</v>
      </c>
    </row>
    <row r="881" spans="12:17" x14ac:dyDescent="0.35">
      <c r="L881" s="136">
        <v>879</v>
      </c>
      <c r="M881" s="136">
        <v>0</v>
      </c>
      <c r="O881" s="136">
        <f t="shared" si="25"/>
        <v>0</v>
      </c>
      <c r="Q881" s="136">
        <v>10</v>
      </c>
    </row>
    <row r="882" spans="12:17" x14ac:dyDescent="0.35">
      <c r="L882" s="136">
        <v>880</v>
      </c>
      <c r="M882" s="136">
        <v>0</v>
      </c>
      <c r="O882" s="136">
        <f t="shared" si="25"/>
        <v>0</v>
      </c>
      <c r="Q882" s="136">
        <v>13</v>
      </c>
    </row>
    <row r="883" spans="12:17" x14ac:dyDescent="0.35">
      <c r="L883" s="136">
        <v>881</v>
      </c>
      <c r="M883" s="136">
        <v>0</v>
      </c>
      <c r="O883" s="136">
        <f t="shared" si="25"/>
        <v>0</v>
      </c>
      <c r="Q883" s="136">
        <v>19</v>
      </c>
    </row>
    <row r="884" spans="12:17" x14ac:dyDescent="0.35">
      <c r="L884" s="136">
        <v>882</v>
      </c>
      <c r="M884" s="136">
        <v>0</v>
      </c>
      <c r="O884" s="136">
        <f t="shared" si="25"/>
        <v>0</v>
      </c>
      <c r="Q884" s="136">
        <v>16</v>
      </c>
    </row>
    <row r="885" spans="12:17" x14ac:dyDescent="0.35">
      <c r="L885" s="136">
        <v>883</v>
      </c>
      <c r="M885" s="136">
        <v>0</v>
      </c>
      <c r="O885" s="136">
        <f t="shared" si="25"/>
        <v>0</v>
      </c>
      <c r="Q885" s="136">
        <v>17</v>
      </c>
    </row>
    <row r="886" spans="12:17" x14ac:dyDescent="0.35">
      <c r="L886" s="136">
        <v>884</v>
      </c>
      <c r="M886" s="136">
        <v>0</v>
      </c>
      <c r="O886" s="136">
        <f t="shared" si="25"/>
        <v>0</v>
      </c>
      <c r="Q886" s="136">
        <v>9</v>
      </c>
    </row>
    <row r="887" spans="12:17" x14ac:dyDescent="0.35">
      <c r="L887" s="136">
        <v>885</v>
      </c>
      <c r="M887" s="136">
        <v>0</v>
      </c>
      <c r="O887" s="136">
        <f t="shared" si="25"/>
        <v>0</v>
      </c>
      <c r="Q887" s="136">
        <v>14</v>
      </c>
    </row>
    <row r="888" spans="12:17" x14ac:dyDescent="0.35">
      <c r="L888" s="136">
        <v>886</v>
      </c>
      <c r="M888" s="136">
        <v>0</v>
      </c>
      <c r="O888" s="136">
        <f t="shared" si="25"/>
        <v>0</v>
      </c>
      <c r="Q888" s="136">
        <v>16</v>
      </c>
    </row>
    <row r="889" spans="12:17" x14ac:dyDescent="0.35">
      <c r="L889" s="136">
        <v>887</v>
      </c>
      <c r="M889" s="136">
        <v>0</v>
      </c>
      <c r="O889" s="136">
        <f t="shared" si="25"/>
        <v>0</v>
      </c>
      <c r="Q889" s="136">
        <v>19</v>
      </c>
    </row>
    <row r="890" spans="12:17" x14ac:dyDescent="0.35">
      <c r="L890" s="136">
        <v>888</v>
      </c>
      <c r="M890" s="136">
        <v>0</v>
      </c>
      <c r="O890" s="136">
        <f t="shared" si="25"/>
        <v>0</v>
      </c>
      <c r="Q890" s="136">
        <v>14</v>
      </c>
    </row>
    <row r="891" spans="12:17" x14ac:dyDescent="0.35">
      <c r="L891" s="136">
        <v>889</v>
      </c>
      <c r="M891" s="136">
        <v>0</v>
      </c>
      <c r="O891" s="136">
        <f t="shared" si="25"/>
        <v>0</v>
      </c>
      <c r="Q891" s="136">
        <v>16</v>
      </c>
    </row>
    <row r="892" spans="12:17" x14ac:dyDescent="0.35">
      <c r="L892" s="136">
        <v>890</v>
      </c>
      <c r="M892" s="136">
        <v>0</v>
      </c>
      <c r="O892" s="136">
        <f t="shared" si="25"/>
        <v>0</v>
      </c>
      <c r="Q892" s="136">
        <v>9</v>
      </c>
    </row>
    <row r="893" spans="12:17" x14ac:dyDescent="0.35">
      <c r="L893" s="136">
        <v>891</v>
      </c>
      <c r="M893" s="136">
        <v>0</v>
      </c>
      <c r="O893" s="136">
        <f t="shared" si="25"/>
        <v>0</v>
      </c>
      <c r="Q893" s="136">
        <v>12</v>
      </c>
    </row>
    <row r="894" spans="12:17" x14ac:dyDescent="0.35">
      <c r="L894" s="136">
        <v>892</v>
      </c>
      <c r="M894" s="136">
        <v>0</v>
      </c>
      <c r="O894" s="136">
        <f t="shared" si="25"/>
        <v>0</v>
      </c>
      <c r="Q894" s="136">
        <v>13</v>
      </c>
    </row>
    <row r="895" spans="12:17" x14ac:dyDescent="0.35">
      <c r="L895" s="136">
        <v>893</v>
      </c>
      <c r="M895" s="136">
        <v>0</v>
      </c>
      <c r="O895" s="136">
        <f t="shared" si="25"/>
        <v>0</v>
      </c>
      <c r="Q895" s="136">
        <v>21</v>
      </c>
    </row>
    <row r="896" spans="12:17" x14ac:dyDescent="0.35">
      <c r="L896" s="136">
        <v>894</v>
      </c>
      <c r="M896" s="136">
        <v>0</v>
      </c>
      <c r="O896" s="136">
        <f t="shared" si="25"/>
        <v>0</v>
      </c>
      <c r="Q896" s="136">
        <v>11</v>
      </c>
    </row>
    <row r="897" spans="12:17" x14ac:dyDescent="0.35">
      <c r="L897" s="136">
        <v>895</v>
      </c>
      <c r="M897" s="136">
        <v>0</v>
      </c>
      <c r="O897" s="136">
        <f t="shared" si="25"/>
        <v>0</v>
      </c>
      <c r="Q897" s="136">
        <v>13</v>
      </c>
    </row>
    <row r="898" spans="12:17" x14ac:dyDescent="0.35">
      <c r="L898" s="136">
        <v>896</v>
      </c>
      <c r="M898" s="136">
        <v>0</v>
      </c>
      <c r="O898" s="136">
        <f t="shared" si="25"/>
        <v>0</v>
      </c>
      <c r="Q898" s="136">
        <v>15</v>
      </c>
    </row>
    <row r="899" spans="12:17" x14ac:dyDescent="0.35">
      <c r="L899" s="136">
        <v>897</v>
      </c>
      <c r="M899" s="136">
        <v>0</v>
      </c>
      <c r="O899" s="136">
        <f t="shared" si="25"/>
        <v>0</v>
      </c>
      <c r="Q899" s="136">
        <v>12</v>
      </c>
    </row>
    <row r="900" spans="12:17" x14ac:dyDescent="0.35">
      <c r="L900" s="136">
        <v>898</v>
      </c>
      <c r="M900" s="136">
        <v>0</v>
      </c>
      <c r="O900" s="136">
        <f t="shared" si="25"/>
        <v>0</v>
      </c>
      <c r="Q900" s="136">
        <v>11</v>
      </c>
    </row>
    <row r="901" spans="12:17" x14ac:dyDescent="0.35">
      <c r="L901" s="136">
        <v>899</v>
      </c>
      <c r="M901" s="136">
        <v>0</v>
      </c>
      <c r="O901" s="136">
        <f t="shared" si="25"/>
        <v>0</v>
      </c>
      <c r="Q901" s="136">
        <v>16</v>
      </c>
    </row>
    <row r="902" spans="12:17" x14ac:dyDescent="0.35">
      <c r="L902" s="136">
        <v>900</v>
      </c>
      <c r="M902" s="136">
        <v>0</v>
      </c>
      <c r="O902" s="136">
        <f t="shared" si="25"/>
        <v>0</v>
      </c>
      <c r="Q902" s="136">
        <v>13</v>
      </c>
    </row>
    <row r="903" spans="12:17" x14ac:dyDescent="0.35">
      <c r="L903" s="136">
        <v>901</v>
      </c>
      <c r="M903" s="136">
        <v>0</v>
      </c>
      <c r="O903" s="136">
        <f t="shared" si="25"/>
        <v>0</v>
      </c>
      <c r="Q903" s="136">
        <v>15</v>
      </c>
    </row>
    <row r="904" spans="12:17" x14ac:dyDescent="0.35">
      <c r="L904" s="136">
        <v>902</v>
      </c>
      <c r="M904" s="136">
        <v>0</v>
      </c>
      <c r="O904" s="136">
        <f t="shared" si="25"/>
        <v>0</v>
      </c>
      <c r="Q904" s="136">
        <v>13</v>
      </c>
    </row>
    <row r="905" spans="12:17" x14ac:dyDescent="0.35">
      <c r="L905" s="136">
        <v>903</v>
      </c>
      <c r="M905" s="136">
        <v>0</v>
      </c>
      <c r="O905" s="136">
        <f t="shared" si="25"/>
        <v>0</v>
      </c>
      <c r="Q905" s="136">
        <v>17</v>
      </c>
    </row>
    <row r="906" spans="12:17" x14ac:dyDescent="0.35">
      <c r="L906" s="136">
        <v>904</v>
      </c>
      <c r="M906" s="136">
        <v>0</v>
      </c>
      <c r="O906" s="136">
        <f t="shared" si="25"/>
        <v>0</v>
      </c>
      <c r="Q906" s="136">
        <v>16</v>
      </c>
    </row>
    <row r="907" spans="12:17" x14ac:dyDescent="0.35">
      <c r="L907" s="136">
        <v>905</v>
      </c>
      <c r="M907" s="136">
        <v>0</v>
      </c>
      <c r="O907" s="136">
        <f t="shared" si="25"/>
        <v>0</v>
      </c>
      <c r="Q907" s="136">
        <v>20</v>
      </c>
    </row>
    <row r="908" spans="12:17" x14ac:dyDescent="0.35">
      <c r="L908" s="136">
        <v>906</v>
      </c>
      <c r="M908" s="136">
        <v>0</v>
      </c>
      <c r="O908" s="136">
        <f t="shared" si="25"/>
        <v>0</v>
      </c>
      <c r="Q908" s="136">
        <v>18</v>
      </c>
    </row>
    <row r="909" spans="12:17" x14ac:dyDescent="0.35">
      <c r="L909" s="136">
        <v>907</v>
      </c>
      <c r="M909" s="136">
        <v>0</v>
      </c>
      <c r="O909" s="136">
        <f t="shared" si="25"/>
        <v>0</v>
      </c>
      <c r="Q909" s="136">
        <v>8</v>
      </c>
    </row>
    <row r="910" spans="12:17" x14ac:dyDescent="0.35">
      <c r="L910" s="136">
        <v>908</v>
      </c>
      <c r="M910" s="136">
        <v>0</v>
      </c>
      <c r="O910" s="136">
        <f t="shared" si="25"/>
        <v>0</v>
      </c>
      <c r="Q910" s="136">
        <v>11</v>
      </c>
    </row>
    <row r="911" spans="12:17" x14ac:dyDescent="0.35">
      <c r="L911" s="136">
        <v>909</v>
      </c>
      <c r="M911" s="136">
        <v>0</v>
      </c>
      <c r="O911" s="136">
        <f t="shared" si="25"/>
        <v>0</v>
      </c>
      <c r="Q911" s="136">
        <v>15</v>
      </c>
    </row>
    <row r="912" spans="12:17" x14ac:dyDescent="0.35">
      <c r="L912" s="136">
        <v>910</v>
      </c>
      <c r="M912" s="136">
        <v>0</v>
      </c>
      <c r="O912" s="136">
        <f t="shared" si="25"/>
        <v>0</v>
      </c>
      <c r="Q912" s="136">
        <v>16</v>
      </c>
    </row>
    <row r="913" spans="12:17" x14ac:dyDescent="0.35">
      <c r="L913" s="136">
        <v>911</v>
      </c>
      <c r="M913" s="136">
        <v>0</v>
      </c>
      <c r="O913" s="136">
        <f t="shared" si="25"/>
        <v>0</v>
      </c>
      <c r="Q913" s="136">
        <v>21</v>
      </c>
    </row>
    <row r="914" spans="12:17" x14ac:dyDescent="0.35">
      <c r="L914" s="136">
        <v>912</v>
      </c>
      <c r="M914" s="136">
        <v>0</v>
      </c>
      <c r="O914" s="136">
        <f t="shared" si="25"/>
        <v>0</v>
      </c>
      <c r="Q914" s="136">
        <v>16</v>
      </c>
    </row>
    <row r="915" spans="12:17" x14ac:dyDescent="0.35">
      <c r="L915" s="136">
        <v>913</v>
      </c>
      <c r="M915" s="136">
        <v>0</v>
      </c>
      <c r="O915" s="136">
        <f t="shared" si="25"/>
        <v>0</v>
      </c>
      <c r="Q915" s="136">
        <v>17</v>
      </c>
    </row>
    <row r="916" spans="12:17" x14ac:dyDescent="0.35">
      <c r="L916" s="136">
        <v>914</v>
      </c>
      <c r="M916" s="136">
        <v>0</v>
      </c>
      <c r="O916" s="136">
        <f t="shared" si="25"/>
        <v>0</v>
      </c>
      <c r="Q916" s="136">
        <v>16</v>
      </c>
    </row>
    <row r="917" spans="12:17" x14ac:dyDescent="0.35">
      <c r="L917" s="136">
        <v>915</v>
      </c>
      <c r="M917" s="136">
        <v>0</v>
      </c>
      <c r="O917" s="136">
        <f t="shared" si="25"/>
        <v>0</v>
      </c>
      <c r="Q917" s="136">
        <v>14</v>
      </c>
    </row>
    <row r="918" spans="12:17" x14ac:dyDescent="0.35">
      <c r="L918" s="136">
        <v>916</v>
      </c>
      <c r="M918" s="136">
        <v>0</v>
      </c>
      <c r="O918" s="136">
        <f t="shared" si="25"/>
        <v>0</v>
      </c>
      <c r="Q918" s="136">
        <v>11</v>
      </c>
    </row>
    <row r="919" spans="12:17" x14ac:dyDescent="0.35">
      <c r="L919" s="136">
        <v>917</v>
      </c>
      <c r="M919" s="136">
        <v>0</v>
      </c>
      <c r="O919" s="136">
        <f t="shared" si="25"/>
        <v>0</v>
      </c>
      <c r="Q919" s="136">
        <v>11</v>
      </c>
    </row>
    <row r="920" spans="12:17" x14ac:dyDescent="0.35">
      <c r="L920" s="136">
        <v>918</v>
      </c>
      <c r="M920" s="136">
        <v>0</v>
      </c>
      <c r="O920" s="136">
        <f t="shared" si="25"/>
        <v>0</v>
      </c>
      <c r="Q920" s="136">
        <v>10</v>
      </c>
    </row>
    <row r="921" spans="12:17" x14ac:dyDescent="0.35">
      <c r="L921" s="136">
        <v>919</v>
      </c>
      <c r="M921" s="136">
        <v>1</v>
      </c>
      <c r="O921" s="136">
        <f t="shared" si="25"/>
        <v>0</v>
      </c>
      <c r="Q921" s="136">
        <v>13</v>
      </c>
    </row>
    <row r="922" spans="12:17" x14ac:dyDescent="0.35">
      <c r="L922" s="136">
        <v>920</v>
      </c>
      <c r="M922" s="136">
        <v>1</v>
      </c>
      <c r="O922" s="136">
        <f t="shared" si="25"/>
        <v>0</v>
      </c>
      <c r="Q922" s="136">
        <v>24</v>
      </c>
    </row>
    <row r="923" spans="12:17" x14ac:dyDescent="0.35">
      <c r="L923" s="136">
        <v>921</v>
      </c>
      <c r="M923" s="136">
        <v>0</v>
      </c>
      <c r="O923" s="136">
        <f t="shared" si="25"/>
        <v>0</v>
      </c>
      <c r="Q923" s="136">
        <v>15</v>
      </c>
    </row>
    <row r="924" spans="12:17" x14ac:dyDescent="0.35">
      <c r="L924" s="136">
        <v>922</v>
      </c>
      <c r="M924" s="136">
        <v>0</v>
      </c>
      <c r="O924" s="136">
        <f t="shared" si="25"/>
        <v>0</v>
      </c>
      <c r="Q924" s="136">
        <v>13</v>
      </c>
    </row>
    <row r="925" spans="12:17" x14ac:dyDescent="0.35">
      <c r="L925" s="136">
        <v>923</v>
      </c>
      <c r="M925" s="136">
        <v>0</v>
      </c>
      <c r="O925" s="136">
        <f t="shared" si="25"/>
        <v>0</v>
      </c>
      <c r="Q925" s="136">
        <v>16</v>
      </c>
    </row>
    <row r="926" spans="12:17" x14ac:dyDescent="0.35">
      <c r="L926" s="136">
        <v>924</v>
      </c>
      <c r="M926" s="136">
        <v>0</v>
      </c>
      <c r="O926" s="136">
        <f t="shared" si="25"/>
        <v>0</v>
      </c>
      <c r="Q926" s="136">
        <v>23</v>
      </c>
    </row>
    <row r="927" spans="12:17" x14ac:dyDescent="0.35">
      <c r="L927" s="136">
        <v>925</v>
      </c>
      <c r="M927" s="136">
        <v>0</v>
      </c>
      <c r="O927" s="136">
        <f t="shared" si="25"/>
        <v>0</v>
      </c>
      <c r="Q927" s="136">
        <v>21</v>
      </c>
    </row>
    <row r="928" spans="12:17" x14ac:dyDescent="0.35">
      <c r="L928" s="136">
        <v>926</v>
      </c>
      <c r="M928" s="136">
        <v>0</v>
      </c>
      <c r="O928" s="136">
        <f t="shared" si="25"/>
        <v>0</v>
      </c>
      <c r="Q928" s="136">
        <v>27</v>
      </c>
    </row>
    <row r="929" spans="12:17" x14ac:dyDescent="0.35">
      <c r="L929" s="136">
        <v>927</v>
      </c>
      <c r="M929" s="136">
        <v>0</v>
      </c>
      <c r="O929" s="136">
        <f t="shared" si="25"/>
        <v>0</v>
      </c>
      <c r="Q929" s="136">
        <v>21</v>
      </c>
    </row>
    <row r="930" spans="12:17" x14ac:dyDescent="0.35">
      <c r="L930" s="136">
        <v>928</v>
      </c>
      <c r="M930" s="136">
        <v>0</v>
      </c>
      <c r="O930" s="136">
        <f t="shared" si="25"/>
        <v>0</v>
      </c>
      <c r="Q930" s="136">
        <v>18</v>
      </c>
    </row>
    <row r="931" spans="12:17" x14ac:dyDescent="0.35">
      <c r="L931" s="136">
        <v>929</v>
      </c>
      <c r="M931" s="136">
        <v>0</v>
      </c>
      <c r="O931" s="136">
        <f t="shared" si="25"/>
        <v>0</v>
      </c>
      <c r="Q931" s="136">
        <v>14</v>
      </c>
    </row>
    <row r="932" spans="12:17" x14ac:dyDescent="0.35">
      <c r="L932" s="136">
        <v>930</v>
      </c>
      <c r="M932" s="136">
        <v>0</v>
      </c>
      <c r="O932" s="136">
        <f t="shared" si="25"/>
        <v>0</v>
      </c>
      <c r="Q932" s="136">
        <v>23</v>
      </c>
    </row>
    <row r="933" spans="12:17" x14ac:dyDescent="0.35">
      <c r="L933" s="136">
        <v>931</v>
      </c>
      <c r="M933" s="136">
        <v>0</v>
      </c>
      <c r="O933" s="136">
        <f t="shared" si="25"/>
        <v>0</v>
      </c>
      <c r="Q933" s="136">
        <v>19</v>
      </c>
    </row>
    <row r="934" spans="12:17" x14ac:dyDescent="0.35">
      <c r="L934" s="136">
        <v>932</v>
      </c>
      <c r="M934" s="136">
        <v>0</v>
      </c>
      <c r="O934" s="136">
        <f t="shared" si="25"/>
        <v>0</v>
      </c>
      <c r="Q934" s="136">
        <v>19</v>
      </c>
    </row>
    <row r="935" spans="12:17" x14ac:dyDescent="0.35">
      <c r="L935" s="136">
        <v>933</v>
      </c>
      <c r="M935" s="136">
        <v>0</v>
      </c>
      <c r="O935" s="136">
        <f t="shared" si="25"/>
        <v>0</v>
      </c>
      <c r="Q935" s="136">
        <v>14</v>
      </c>
    </row>
    <row r="936" spans="12:17" x14ac:dyDescent="0.35">
      <c r="L936" s="136">
        <v>934</v>
      </c>
      <c r="M936" s="136">
        <v>0</v>
      </c>
      <c r="O936" s="136">
        <f t="shared" si="25"/>
        <v>0</v>
      </c>
      <c r="Q936" s="136">
        <v>18</v>
      </c>
    </row>
    <row r="937" spans="12:17" x14ac:dyDescent="0.35">
      <c r="L937" s="136">
        <v>935</v>
      </c>
      <c r="M937" s="136">
        <v>0</v>
      </c>
      <c r="O937" s="136">
        <f t="shared" si="25"/>
        <v>0</v>
      </c>
      <c r="Q937" s="136">
        <v>14</v>
      </c>
    </row>
    <row r="938" spans="12:17" x14ac:dyDescent="0.35">
      <c r="L938" s="136">
        <v>936</v>
      </c>
      <c r="M938" s="136">
        <v>0</v>
      </c>
      <c r="O938" s="136">
        <f t="shared" si="25"/>
        <v>0</v>
      </c>
      <c r="Q938" s="136">
        <v>22</v>
      </c>
    </row>
    <row r="939" spans="12:17" x14ac:dyDescent="0.35">
      <c r="L939" s="136">
        <v>937</v>
      </c>
      <c r="M939" s="136">
        <v>0</v>
      </c>
      <c r="O939" s="136">
        <f t="shared" si="25"/>
        <v>0</v>
      </c>
      <c r="Q939" s="136">
        <v>18</v>
      </c>
    </row>
    <row r="940" spans="12:17" x14ac:dyDescent="0.35">
      <c r="L940" s="136">
        <v>938</v>
      </c>
      <c r="M940" s="136">
        <v>0</v>
      </c>
      <c r="O940" s="136">
        <f t="shared" si="25"/>
        <v>0</v>
      </c>
      <c r="Q940" s="136">
        <v>14</v>
      </c>
    </row>
    <row r="941" spans="12:17" x14ac:dyDescent="0.35">
      <c r="L941" s="136">
        <v>939</v>
      </c>
      <c r="M941" s="136">
        <v>0</v>
      </c>
      <c r="O941" s="136">
        <f t="shared" si="25"/>
        <v>0</v>
      </c>
      <c r="Q941" s="136">
        <v>22</v>
      </c>
    </row>
    <row r="942" spans="12:17" x14ac:dyDescent="0.35">
      <c r="L942" s="136">
        <v>940</v>
      </c>
      <c r="M942" s="136">
        <v>0</v>
      </c>
      <c r="O942" s="136">
        <f t="shared" ref="O942:O1002" si="26">MAX(N942:N1940)</f>
        <v>0</v>
      </c>
      <c r="Q942" s="136">
        <v>14</v>
      </c>
    </row>
    <row r="943" spans="12:17" x14ac:dyDescent="0.35">
      <c r="L943" s="136">
        <v>941</v>
      </c>
      <c r="M943" s="136">
        <v>0</v>
      </c>
      <c r="O943" s="136">
        <f t="shared" si="26"/>
        <v>0</v>
      </c>
      <c r="Q943" s="136">
        <v>20</v>
      </c>
    </row>
    <row r="944" spans="12:17" x14ac:dyDescent="0.35">
      <c r="L944" s="136">
        <v>942</v>
      </c>
      <c r="M944" s="136">
        <v>0</v>
      </c>
      <c r="O944" s="136">
        <f t="shared" si="26"/>
        <v>0</v>
      </c>
      <c r="Q944" s="136">
        <v>9</v>
      </c>
    </row>
    <row r="945" spans="12:17" x14ac:dyDescent="0.35">
      <c r="L945" s="136">
        <v>943</v>
      </c>
      <c r="M945" s="136">
        <v>0</v>
      </c>
      <c r="O945" s="136">
        <f t="shared" si="26"/>
        <v>0</v>
      </c>
      <c r="Q945" s="136">
        <v>16</v>
      </c>
    </row>
    <row r="946" spans="12:17" x14ac:dyDescent="0.35">
      <c r="L946" s="136">
        <v>944</v>
      </c>
      <c r="M946" s="136">
        <v>0</v>
      </c>
      <c r="O946" s="136">
        <f t="shared" si="26"/>
        <v>0</v>
      </c>
      <c r="Q946" s="136">
        <v>16</v>
      </c>
    </row>
    <row r="947" spans="12:17" x14ac:dyDescent="0.35">
      <c r="L947" s="136">
        <v>945</v>
      </c>
      <c r="M947" s="136">
        <v>0</v>
      </c>
      <c r="O947" s="136">
        <f t="shared" si="26"/>
        <v>0</v>
      </c>
      <c r="Q947" s="136">
        <v>18</v>
      </c>
    </row>
    <row r="948" spans="12:17" x14ac:dyDescent="0.35">
      <c r="L948" s="136">
        <v>946</v>
      </c>
      <c r="M948" s="136">
        <v>0</v>
      </c>
      <c r="O948" s="136">
        <f t="shared" si="26"/>
        <v>0</v>
      </c>
      <c r="Q948" s="136">
        <v>16</v>
      </c>
    </row>
    <row r="949" spans="12:17" x14ac:dyDescent="0.35">
      <c r="L949" s="136">
        <v>947</v>
      </c>
      <c r="M949" s="136">
        <v>0</v>
      </c>
      <c r="O949" s="136">
        <f t="shared" si="26"/>
        <v>0</v>
      </c>
      <c r="Q949" s="136">
        <v>18</v>
      </c>
    </row>
    <row r="950" spans="12:17" x14ac:dyDescent="0.35">
      <c r="L950" s="136">
        <v>948</v>
      </c>
      <c r="M950" s="136">
        <v>0</v>
      </c>
      <c r="O950" s="136">
        <f t="shared" si="26"/>
        <v>0</v>
      </c>
      <c r="Q950" s="136">
        <v>19</v>
      </c>
    </row>
    <row r="951" spans="12:17" x14ac:dyDescent="0.35">
      <c r="L951" s="136">
        <v>949</v>
      </c>
      <c r="M951" s="136">
        <v>0</v>
      </c>
      <c r="O951" s="136">
        <f t="shared" si="26"/>
        <v>0</v>
      </c>
      <c r="Q951" s="136">
        <v>24</v>
      </c>
    </row>
    <row r="952" spans="12:17" x14ac:dyDescent="0.35">
      <c r="L952" s="136">
        <v>950</v>
      </c>
      <c r="M952" s="136">
        <v>0</v>
      </c>
      <c r="O952" s="136">
        <f t="shared" si="26"/>
        <v>0</v>
      </c>
      <c r="Q952" s="136">
        <v>20</v>
      </c>
    </row>
    <row r="953" spans="12:17" x14ac:dyDescent="0.35">
      <c r="L953" s="136">
        <v>951</v>
      </c>
      <c r="M953" s="136">
        <v>0</v>
      </c>
      <c r="O953" s="136">
        <f t="shared" si="26"/>
        <v>0</v>
      </c>
      <c r="Q953" s="136">
        <v>18</v>
      </c>
    </row>
    <row r="954" spans="12:17" x14ac:dyDescent="0.35">
      <c r="L954" s="136">
        <v>952</v>
      </c>
      <c r="M954" s="136">
        <v>1</v>
      </c>
      <c r="O954" s="136">
        <f t="shared" si="26"/>
        <v>0</v>
      </c>
      <c r="Q954" s="136">
        <v>8</v>
      </c>
    </row>
    <row r="955" spans="12:17" x14ac:dyDescent="0.35">
      <c r="L955" s="136">
        <v>953</v>
      </c>
      <c r="M955" s="136">
        <v>0</v>
      </c>
      <c r="O955" s="136">
        <f t="shared" si="26"/>
        <v>0</v>
      </c>
      <c r="Q955" s="136">
        <v>17</v>
      </c>
    </row>
    <row r="956" spans="12:17" x14ac:dyDescent="0.35">
      <c r="L956" s="136">
        <v>954</v>
      </c>
      <c r="M956" s="136">
        <v>0</v>
      </c>
      <c r="O956" s="136">
        <f t="shared" si="26"/>
        <v>0</v>
      </c>
      <c r="Q956" s="136">
        <v>16</v>
      </c>
    </row>
    <row r="957" spans="12:17" x14ac:dyDescent="0.35">
      <c r="L957" s="136">
        <v>955</v>
      </c>
      <c r="M957" s="136">
        <v>0</v>
      </c>
      <c r="O957" s="136">
        <f t="shared" si="26"/>
        <v>0</v>
      </c>
      <c r="Q957" s="136">
        <v>8</v>
      </c>
    </row>
    <row r="958" spans="12:17" x14ac:dyDescent="0.35">
      <c r="L958" s="136">
        <v>956</v>
      </c>
      <c r="M958" s="136">
        <v>0</v>
      </c>
      <c r="O958" s="136">
        <f t="shared" si="26"/>
        <v>0</v>
      </c>
      <c r="Q958" s="136">
        <v>13</v>
      </c>
    </row>
    <row r="959" spans="12:17" x14ac:dyDescent="0.35">
      <c r="L959" s="136">
        <v>957</v>
      </c>
      <c r="M959" s="136">
        <v>0</v>
      </c>
      <c r="O959" s="136">
        <f t="shared" si="26"/>
        <v>0</v>
      </c>
      <c r="Q959" s="136">
        <v>19</v>
      </c>
    </row>
    <row r="960" spans="12:17" x14ac:dyDescent="0.35">
      <c r="L960" s="136">
        <v>958</v>
      </c>
      <c r="M960" s="136">
        <v>0</v>
      </c>
      <c r="O960" s="136">
        <f t="shared" si="26"/>
        <v>0</v>
      </c>
      <c r="Q960" s="136">
        <v>20</v>
      </c>
    </row>
    <row r="961" spans="12:17" x14ac:dyDescent="0.35">
      <c r="L961" s="136">
        <v>959</v>
      </c>
      <c r="M961" s="136">
        <v>0</v>
      </c>
      <c r="O961" s="136">
        <f t="shared" si="26"/>
        <v>0</v>
      </c>
      <c r="Q961" s="136">
        <v>22</v>
      </c>
    </row>
    <row r="962" spans="12:17" x14ac:dyDescent="0.35">
      <c r="L962" s="136">
        <v>960</v>
      </c>
      <c r="M962" s="136">
        <v>0</v>
      </c>
      <c r="O962" s="136">
        <f t="shared" si="26"/>
        <v>0</v>
      </c>
      <c r="Q962" s="136">
        <v>17</v>
      </c>
    </row>
    <row r="963" spans="12:17" x14ac:dyDescent="0.35">
      <c r="L963" s="136">
        <v>961</v>
      </c>
      <c r="M963" s="136">
        <v>0</v>
      </c>
      <c r="O963" s="136">
        <f t="shared" si="26"/>
        <v>0</v>
      </c>
      <c r="Q963" s="136">
        <v>19</v>
      </c>
    </row>
    <row r="964" spans="12:17" x14ac:dyDescent="0.35">
      <c r="L964" s="136">
        <v>962</v>
      </c>
      <c r="M964" s="136">
        <v>0</v>
      </c>
      <c r="O964" s="136">
        <f t="shared" si="26"/>
        <v>0</v>
      </c>
      <c r="Q964" s="136">
        <v>18</v>
      </c>
    </row>
    <row r="965" spans="12:17" x14ac:dyDescent="0.35">
      <c r="L965" s="136">
        <v>963</v>
      </c>
      <c r="M965" s="136">
        <v>0</v>
      </c>
      <c r="O965" s="136">
        <f t="shared" si="26"/>
        <v>0</v>
      </c>
      <c r="Q965" s="136">
        <v>18</v>
      </c>
    </row>
    <row r="966" spans="12:17" x14ac:dyDescent="0.35">
      <c r="L966" s="136">
        <v>964</v>
      </c>
      <c r="M966" s="136">
        <v>0</v>
      </c>
      <c r="O966" s="136">
        <f t="shared" si="26"/>
        <v>0</v>
      </c>
      <c r="Q966" s="136">
        <v>19</v>
      </c>
    </row>
    <row r="967" spans="12:17" x14ac:dyDescent="0.35">
      <c r="L967" s="136">
        <v>965</v>
      </c>
      <c r="M967" s="136">
        <v>0</v>
      </c>
      <c r="O967" s="136">
        <f t="shared" si="26"/>
        <v>0</v>
      </c>
      <c r="Q967" s="136">
        <v>17</v>
      </c>
    </row>
    <row r="968" spans="12:17" x14ac:dyDescent="0.35">
      <c r="L968" s="136">
        <v>966</v>
      </c>
      <c r="M968" s="136">
        <v>0</v>
      </c>
      <c r="O968" s="136">
        <f t="shared" si="26"/>
        <v>0</v>
      </c>
      <c r="Q968" s="136">
        <v>13</v>
      </c>
    </row>
    <row r="969" spans="12:17" x14ac:dyDescent="0.35">
      <c r="L969" s="136">
        <v>967</v>
      </c>
      <c r="M969" s="136">
        <v>2</v>
      </c>
      <c r="O969" s="136">
        <f t="shared" si="26"/>
        <v>0</v>
      </c>
      <c r="Q969" s="136">
        <v>19</v>
      </c>
    </row>
    <row r="970" spans="12:17" x14ac:dyDescent="0.35">
      <c r="L970" s="136">
        <v>968</v>
      </c>
      <c r="M970" s="136">
        <v>0</v>
      </c>
      <c r="O970" s="136">
        <f t="shared" si="26"/>
        <v>0</v>
      </c>
      <c r="Q970" s="136">
        <v>19</v>
      </c>
    </row>
    <row r="971" spans="12:17" x14ac:dyDescent="0.35">
      <c r="L971" s="136">
        <v>969</v>
      </c>
      <c r="M971" s="136">
        <v>0</v>
      </c>
      <c r="O971" s="136">
        <f t="shared" si="26"/>
        <v>0</v>
      </c>
      <c r="Q971" s="136">
        <v>14</v>
      </c>
    </row>
    <row r="972" spans="12:17" x14ac:dyDescent="0.35">
      <c r="L972" s="136">
        <v>970</v>
      </c>
      <c r="M972" s="136">
        <v>0</v>
      </c>
      <c r="O972" s="136">
        <f t="shared" si="26"/>
        <v>0</v>
      </c>
      <c r="Q972" s="136">
        <v>28</v>
      </c>
    </row>
    <row r="973" spans="12:17" x14ac:dyDescent="0.35">
      <c r="L973" s="136">
        <v>971</v>
      </c>
      <c r="M973" s="136">
        <v>0</v>
      </c>
      <c r="O973" s="136">
        <f t="shared" si="26"/>
        <v>0</v>
      </c>
      <c r="Q973" s="136">
        <v>18</v>
      </c>
    </row>
    <row r="974" spans="12:17" x14ac:dyDescent="0.35">
      <c r="L974" s="136">
        <v>972</v>
      </c>
      <c r="M974" s="136">
        <v>0</v>
      </c>
      <c r="O974" s="136">
        <f t="shared" si="26"/>
        <v>0</v>
      </c>
      <c r="Q974" s="136">
        <v>27</v>
      </c>
    </row>
    <row r="975" spans="12:17" x14ac:dyDescent="0.35">
      <c r="L975" s="136">
        <v>973</v>
      </c>
      <c r="M975" s="136">
        <v>0</v>
      </c>
      <c r="O975" s="136">
        <f t="shared" si="26"/>
        <v>0</v>
      </c>
      <c r="Q975" s="136">
        <v>15</v>
      </c>
    </row>
    <row r="976" spans="12:17" x14ac:dyDescent="0.35">
      <c r="L976" s="136">
        <v>974</v>
      </c>
      <c r="M976" s="136">
        <v>0</v>
      </c>
      <c r="O976" s="136">
        <f t="shared" si="26"/>
        <v>0</v>
      </c>
      <c r="Q976" s="136">
        <v>21</v>
      </c>
    </row>
    <row r="977" spans="12:17" x14ac:dyDescent="0.35">
      <c r="L977" s="136">
        <v>975</v>
      </c>
      <c r="M977" s="136">
        <v>0</v>
      </c>
      <c r="O977" s="136">
        <f t="shared" si="26"/>
        <v>0</v>
      </c>
      <c r="Q977" s="136">
        <v>15</v>
      </c>
    </row>
    <row r="978" spans="12:17" x14ac:dyDescent="0.35">
      <c r="L978" s="136">
        <v>976</v>
      </c>
      <c r="M978" s="136">
        <v>0</v>
      </c>
      <c r="O978" s="136">
        <f t="shared" si="26"/>
        <v>0</v>
      </c>
      <c r="Q978" s="136">
        <v>12</v>
      </c>
    </row>
    <row r="979" spans="12:17" x14ac:dyDescent="0.35">
      <c r="L979" s="136">
        <v>977</v>
      </c>
      <c r="M979" s="136">
        <v>0</v>
      </c>
      <c r="O979" s="136">
        <f t="shared" si="26"/>
        <v>0</v>
      </c>
      <c r="Q979" s="136">
        <v>18</v>
      </c>
    </row>
    <row r="980" spans="12:17" x14ac:dyDescent="0.35">
      <c r="L980" s="136">
        <v>978</v>
      </c>
      <c r="M980" s="136">
        <v>0</v>
      </c>
      <c r="O980" s="136">
        <f t="shared" si="26"/>
        <v>0</v>
      </c>
      <c r="Q980" s="136">
        <v>19</v>
      </c>
    </row>
    <row r="981" spans="12:17" x14ac:dyDescent="0.35">
      <c r="L981" s="136">
        <v>979</v>
      </c>
      <c r="M981" s="136">
        <v>0</v>
      </c>
      <c r="O981" s="136">
        <f t="shared" si="26"/>
        <v>0</v>
      </c>
      <c r="Q981" s="136">
        <v>20</v>
      </c>
    </row>
    <row r="982" spans="12:17" x14ac:dyDescent="0.35">
      <c r="L982" s="136">
        <v>980</v>
      </c>
      <c r="M982" s="136">
        <v>0</v>
      </c>
      <c r="O982" s="136">
        <f t="shared" si="26"/>
        <v>0</v>
      </c>
      <c r="Q982" s="136">
        <v>19</v>
      </c>
    </row>
    <row r="983" spans="12:17" x14ac:dyDescent="0.35">
      <c r="L983" s="136">
        <v>981</v>
      </c>
      <c r="M983" s="136">
        <v>0</v>
      </c>
      <c r="O983" s="136">
        <f t="shared" si="26"/>
        <v>0</v>
      </c>
      <c r="Q983" s="136">
        <v>24</v>
      </c>
    </row>
    <row r="984" spans="12:17" x14ac:dyDescent="0.35">
      <c r="L984" s="136">
        <v>982</v>
      </c>
      <c r="M984" s="136">
        <v>0</v>
      </c>
      <c r="O984" s="136">
        <f t="shared" si="26"/>
        <v>0</v>
      </c>
      <c r="Q984" s="136">
        <v>17</v>
      </c>
    </row>
    <row r="985" spans="12:17" x14ac:dyDescent="0.35">
      <c r="L985" s="136">
        <v>983</v>
      </c>
      <c r="M985" s="136">
        <v>0</v>
      </c>
      <c r="O985" s="136">
        <f t="shared" si="26"/>
        <v>0</v>
      </c>
      <c r="Q985" s="136">
        <v>13</v>
      </c>
    </row>
    <row r="986" spans="12:17" x14ac:dyDescent="0.35">
      <c r="L986" s="136">
        <v>984</v>
      </c>
      <c r="M986" s="136">
        <v>0</v>
      </c>
      <c r="O986" s="136">
        <f t="shared" si="26"/>
        <v>0</v>
      </c>
      <c r="Q986" s="136">
        <v>20</v>
      </c>
    </row>
    <row r="987" spans="12:17" x14ac:dyDescent="0.35">
      <c r="L987" s="136">
        <v>985</v>
      </c>
      <c r="M987" s="136">
        <v>0</v>
      </c>
      <c r="O987" s="136">
        <f t="shared" si="26"/>
        <v>0</v>
      </c>
      <c r="Q987" s="136">
        <v>12</v>
      </c>
    </row>
    <row r="988" spans="12:17" x14ac:dyDescent="0.35">
      <c r="L988" s="136">
        <v>986</v>
      </c>
      <c r="M988" s="136">
        <v>0</v>
      </c>
      <c r="O988" s="136">
        <f t="shared" si="26"/>
        <v>0</v>
      </c>
      <c r="Q988" s="136">
        <v>20</v>
      </c>
    </row>
    <row r="989" spans="12:17" x14ac:dyDescent="0.35">
      <c r="L989" s="136">
        <v>987</v>
      </c>
      <c r="M989" s="136">
        <v>0</v>
      </c>
      <c r="O989" s="136">
        <f t="shared" si="26"/>
        <v>0</v>
      </c>
      <c r="Q989" s="136">
        <v>20</v>
      </c>
    </row>
    <row r="990" spans="12:17" x14ac:dyDescent="0.35">
      <c r="L990" s="136">
        <v>988</v>
      </c>
      <c r="M990" s="136">
        <v>0</v>
      </c>
      <c r="O990" s="136">
        <f t="shared" si="26"/>
        <v>0</v>
      </c>
      <c r="Q990" s="136">
        <v>23</v>
      </c>
    </row>
    <row r="991" spans="12:17" x14ac:dyDescent="0.35">
      <c r="L991" s="136">
        <v>989</v>
      </c>
      <c r="M991" s="136">
        <v>1</v>
      </c>
      <c r="O991" s="136">
        <f t="shared" si="26"/>
        <v>0</v>
      </c>
      <c r="Q991" s="136">
        <v>14</v>
      </c>
    </row>
    <row r="992" spans="12:17" x14ac:dyDescent="0.35">
      <c r="L992" s="136">
        <v>990</v>
      </c>
      <c r="M992" s="136">
        <v>1</v>
      </c>
      <c r="O992" s="136">
        <f t="shared" si="26"/>
        <v>0</v>
      </c>
      <c r="Q992" s="136">
        <v>16</v>
      </c>
    </row>
    <row r="993" spans="12:17" x14ac:dyDescent="0.35">
      <c r="L993" s="136">
        <v>991</v>
      </c>
      <c r="M993" s="136">
        <v>0</v>
      </c>
      <c r="O993" s="136">
        <f t="shared" si="26"/>
        <v>0</v>
      </c>
      <c r="Q993" s="136">
        <v>12</v>
      </c>
    </row>
    <row r="994" spans="12:17" x14ac:dyDescent="0.35">
      <c r="L994" s="136">
        <v>992</v>
      </c>
      <c r="M994" s="136">
        <v>0</v>
      </c>
      <c r="O994" s="136">
        <f t="shared" si="26"/>
        <v>0</v>
      </c>
      <c r="Q994" s="136">
        <v>23</v>
      </c>
    </row>
    <row r="995" spans="12:17" x14ac:dyDescent="0.35">
      <c r="L995" s="136">
        <v>993</v>
      </c>
      <c r="M995" s="136">
        <v>0</v>
      </c>
      <c r="O995" s="136">
        <f t="shared" si="26"/>
        <v>0</v>
      </c>
      <c r="Q995" s="136">
        <v>14</v>
      </c>
    </row>
    <row r="996" spans="12:17" x14ac:dyDescent="0.35">
      <c r="L996" s="136">
        <v>994</v>
      </c>
      <c r="M996" s="136">
        <v>0</v>
      </c>
      <c r="O996" s="136">
        <f t="shared" si="26"/>
        <v>0</v>
      </c>
      <c r="Q996" s="136">
        <v>19</v>
      </c>
    </row>
    <row r="997" spans="12:17" x14ac:dyDescent="0.35">
      <c r="L997" s="136">
        <v>995</v>
      </c>
      <c r="M997" s="136">
        <v>0</v>
      </c>
      <c r="O997" s="136">
        <f t="shared" si="26"/>
        <v>0</v>
      </c>
      <c r="Q997" s="136">
        <v>12</v>
      </c>
    </row>
    <row r="998" spans="12:17" x14ac:dyDescent="0.35">
      <c r="L998" s="136">
        <v>996</v>
      </c>
      <c r="M998" s="136">
        <v>0</v>
      </c>
      <c r="O998" s="136">
        <f t="shared" si="26"/>
        <v>0</v>
      </c>
      <c r="Q998" s="136">
        <v>18</v>
      </c>
    </row>
    <row r="999" spans="12:17" x14ac:dyDescent="0.35">
      <c r="L999" s="136">
        <v>997</v>
      </c>
      <c r="M999" s="136">
        <v>0</v>
      </c>
      <c r="O999" s="136">
        <f t="shared" si="26"/>
        <v>0</v>
      </c>
      <c r="Q999" s="136">
        <v>21</v>
      </c>
    </row>
    <row r="1000" spans="12:17" x14ac:dyDescent="0.35">
      <c r="L1000" s="136">
        <v>998</v>
      </c>
      <c r="M1000" s="136">
        <v>1</v>
      </c>
      <c r="O1000" s="136">
        <f t="shared" si="26"/>
        <v>0</v>
      </c>
      <c r="Q1000" s="136">
        <v>21</v>
      </c>
    </row>
    <row r="1001" spans="12:17" x14ac:dyDescent="0.35">
      <c r="L1001" s="136">
        <v>999</v>
      </c>
      <c r="M1001" s="136">
        <v>0</v>
      </c>
      <c r="O1001" s="136">
        <f t="shared" si="26"/>
        <v>0</v>
      </c>
      <c r="Q1001" s="136">
        <v>24</v>
      </c>
    </row>
    <row r="1002" spans="12:17" x14ac:dyDescent="0.35">
      <c r="L1002" s="136">
        <v>1000</v>
      </c>
      <c r="M1002" s="136">
        <v>0</v>
      </c>
      <c r="O1002" s="136">
        <f t="shared" si="26"/>
        <v>0</v>
      </c>
    </row>
    <row r="1003" spans="12:17" x14ac:dyDescent="0.35">
      <c r="M1003" s="136">
        <v>0</v>
      </c>
    </row>
    <row r="1004" spans="12:17" x14ac:dyDescent="0.35">
      <c r="M1004" s="136">
        <v>0</v>
      </c>
    </row>
    <row r="1005" spans="12:17" x14ac:dyDescent="0.35">
      <c r="M1005" s="136">
        <v>0</v>
      </c>
    </row>
    <row r="1006" spans="12:17" x14ac:dyDescent="0.35">
      <c r="M1006" s="136">
        <v>0</v>
      </c>
    </row>
    <row r="1007" spans="12:17" x14ac:dyDescent="0.35">
      <c r="M1007" s="136">
        <v>0</v>
      </c>
    </row>
    <row r="1008" spans="12:17" x14ac:dyDescent="0.35">
      <c r="M1008" s="136">
        <v>0</v>
      </c>
    </row>
    <row r="1009" spans="13:13" x14ac:dyDescent="0.35">
      <c r="M1009" s="136">
        <v>0</v>
      </c>
    </row>
    <row r="1010" spans="13:13" x14ac:dyDescent="0.35">
      <c r="M1010" s="136">
        <v>0</v>
      </c>
    </row>
    <row r="1011" spans="13:13" x14ac:dyDescent="0.35">
      <c r="M1011" s="136">
        <v>0</v>
      </c>
    </row>
    <row r="1012" spans="13:13" x14ac:dyDescent="0.35">
      <c r="M1012" s="136">
        <v>0</v>
      </c>
    </row>
    <row r="1013" spans="13:13" x14ac:dyDescent="0.35">
      <c r="M1013" s="136">
        <v>0</v>
      </c>
    </row>
    <row r="1014" spans="13:13" x14ac:dyDescent="0.35">
      <c r="M1014" s="136">
        <v>0</v>
      </c>
    </row>
    <row r="1015" spans="13:13" x14ac:dyDescent="0.35">
      <c r="M1015" s="136">
        <v>0</v>
      </c>
    </row>
    <row r="1016" spans="13:13" x14ac:dyDescent="0.35">
      <c r="M1016" s="136">
        <v>0</v>
      </c>
    </row>
    <row r="1017" spans="13:13" x14ac:dyDescent="0.35">
      <c r="M1017" s="136">
        <v>0</v>
      </c>
    </row>
    <row r="1018" spans="13:13" x14ac:dyDescent="0.35">
      <c r="M1018" s="136">
        <v>0</v>
      </c>
    </row>
    <row r="1019" spans="13:13" x14ac:dyDescent="0.35">
      <c r="M1019" s="136">
        <v>0</v>
      </c>
    </row>
    <row r="1020" spans="13:13" x14ac:dyDescent="0.35">
      <c r="M1020" s="136">
        <v>0</v>
      </c>
    </row>
    <row r="1021" spans="13:13" x14ac:dyDescent="0.35">
      <c r="M1021" s="136">
        <v>1</v>
      </c>
    </row>
    <row r="1022" spans="13:13" x14ac:dyDescent="0.35">
      <c r="M1022" s="136">
        <v>0</v>
      </c>
    </row>
    <row r="1023" spans="13:13" x14ac:dyDescent="0.35">
      <c r="M1023" s="136">
        <v>0</v>
      </c>
    </row>
    <row r="1024" spans="13:13" x14ac:dyDescent="0.35">
      <c r="M1024" s="136">
        <v>0</v>
      </c>
    </row>
    <row r="1025" spans="13:13" x14ac:dyDescent="0.35">
      <c r="M1025" s="136">
        <v>0</v>
      </c>
    </row>
    <row r="1026" spans="13:13" x14ac:dyDescent="0.35">
      <c r="M1026" s="136">
        <v>0</v>
      </c>
    </row>
    <row r="1027" spans="13:13" x14ac:dyDescent="0.35">
      <c r="M1027" s="136">
        <v>0</v>
      </c>
    </row>
    <row r="1028" spans="13:13" x14ac:dyDescent="0.35">
      <c r="M1028" s="136">
        <v>0</v>
      </c>
    </row>
    <row r="1029" spans="13:13" x14ac:dyDescent="0.35">
      <c r="M1029" s="136">
        <v>0</v>
      </c>
    </row>
    <row r="1030" spans="13:13" x14ac:dyDescent="0.35">
      <c r="M1030" s="136">
        <v>0</v>
      </c>
    </row>
    <row r="1031" spans="13:13" x14ac:dyDescent="0.35">
      <c r="M1031" s="136">
        <v>0</v>
      </c>
    </row>
    <row r="1032" spans="13:13" x14ac:dyDescent="0.35">
      <c r="M1032" s="136">
        <v>0</v>
      </c>
    </row>
    <row r="1033" spans="13:13" x14ac:dyDescent="0.35">
      <c r="M1033" s="136">
        <v>0</v>
      </c>
    </row>
    <row r="1034" spans="13:13" x14ac:dyDescent="0.35">
      <c r="M1034" s="136">
        <v>1</v>
      </c>
    </row>
    <row r="1035" spans="13:13" x14ac:dyDescent="0.35">
      <c r="M1035" s="136">
        <v>0</v>
      </c>
    </row>
    <row r="1036" spans="13:13" x14ac:dyDescent="0.35">
      <c r="M1036" s="136">
        <v>0</v>
      </c>
    </row>
    <row r="1037" spans="13:13" x14ac:dyDescent="0.35">
      <c r="M1037" s="136">
        <v>1</v>
      </c>
    </row>
    <row r="1038" spans="13:13" x14ac:dyDescent="0.35">
      <c r="M1038" s="136">
        <v>0</v>
      </c>
    </row>
    <row r="1039" spans="13:13" x14ac:dyDescent="0.35">
      <c r="M1039" s="136">
        <v>0</v>
      </c>
    </row>
    <row r="1040" spans="13:13" x14ac:dyDescent="0.35">
      <c r="M1040" s="136">
        <v>0</v>
      </c>
    </row>
    <row r="1041" spans="13:13" x14ac:dyDescent="0.35">
      <c r="M1041" s="136">
        <v>0</v>
      </c>
    </row>
    <row r="1042" spans="13:13" x14ac:dyDescent="0.35">
      <c r="M1042" s="136">
        <v>0</v>
      </c>
    </row>
    <row r="1043" spans="13:13" x14ac:dyDescent="0.35">
      <c r="M1043" s="136">
        <v>0</v>
      </c>
    </row>
    <row r="1044" spans="13:13" x14ac:dyDescent="0.35">
      <c r="M1044" s="136">
        <v>0</v>
      </c>
    </row>
    <row r="1045" spans="13:13" x14ac:dyDescent="0.35">
      <c r="M1045" s="136">
        <v>0</v>
      </c>
    </row>
    <row r="1046" spans="13:13" x14ac:dyDescent="0.35">
      <c r="M1046" s="136">
        <v>0</v>
      </c>
    </row>
    <row r="1047" spans="13:13" x14ac:dyDescent="0.35">
      <c r="M1047" s="136">
        <v>0</v>
      </c>
    </row>
    <row r="1048" spans="13:13" x14ac:dyDescent="0.35">
      <c r="M1048" s="136">
        <v>0</v>
      </c>
    </row>
    <row r="1049" spans="13:13" x14ac:dyDescent="0.35">
      <c r="M1049" s="136">
        <v>0</v>
      </c>
    </row>
    <row r="1050" spans="13:13" x14ac:dyDescent="0.35">
      <c r="M1050" s="136">
        <v>0</v>
      </c>
    </row>
    <row r="1051" spans="13:13" x14ac:dyDescent="0.35">
      <c r="M1051" s="136">
        <v>1</v>
      </c>
    </row>
    <row r="1052" spans="13:13" x14ac:dyDescent="0.35">
      <c r="M1052" s="136">
        <v>0</v>
      </c>
    </row>
    <row r="1053" spans="13:13" x14ac:dyDescent="0.35">
      <c r="M1053" s="136">
        <v>0</v>
      </c>
    </row>
    <row r="1054" spans="13:13" x14ac:dyDescent="0.35">
      <c r="M1054" s="136">
        <v>0</v>
      </c>
    </row>
    <row r="1055" spans="13:13" x14ac:dyDescent="0.35">
      <c r="M1055" s="136">
        <v>0</v>
      </c>
    </row>
    <row r="1056" spans="13:13" x14ac:dyDescent="0.35">
      <c r="M1056" s="136">
        <v>0</v>
      </c>
    </row>
    <row r="1057" spans="13:13" x14ac:dyDescent="0.35">
      <c r="M1057" s="136">
        <v>0</v>
      </c>
    </row>
    <row r="1058" spans="13:13" x14ac:dyDescent="0.35">
      <c r="M1058" s="136">
        <v>0</v>
      </c>
    </row>
    <row r="1059" spans="13:13" x14ac:dyDescent="0.35">
      <c r="M1059" s="136">
        <v>0</v>
      </c>
    </row>
    <row r="1060" spans="13:13" x14ac:dyDescent="0.35">
      <c r="M1060" s="136">
        <v>0</v>
      </c>
    </row>
    <row r="1061" spans="13:13" x14ac:dyDescent="0.35">
      <c r="M1061" s="136">
        <v>0</v>
      </c>
    </row>
    <row r="1062" spans="13:13" x14ac:dyDescent="0.35">
      <c r="M1062" s="136">
        <v>0</v>
      </c>
    </row>
    <row r="1063" spans="13:13" x14ac:dyDescent="0.35">
      <c r="M1063" s="136">
        <v>0</v>
      </c>
    </row>
    <row r="1064" spans="13:13" x14ac:dyDescent="0.35">
      <c r="M1064" s="136">
        <v>0</v>
      </c>
    </row>
    <row r="1065" spans="13:13" x14ac:dyDescent="0.35">
      <c r="M1065" s="136">
        <v>0</v>
      </c>
    </row>
    <row r="1066" spans="13:13" x14ac:dyDescent="0.35">
      <c r="M1066" s="136">
        <v>0</v>
      </c>
    </row>
    <row r="1067" spans="13:13" x14ac:dyDescent="0.35">
      <c r="M1067" s="136">
        <v>0</v>
      </c>
    </row>
    <row r="1068" spans="13:13" x14ac:dyDescent="0.35">
      <c r="M1068" s="136">
        <v>0</v>
      </c>
    </row>
    <row r="1069" spans="13:13" x14ac:dyDescent="0.35">
      <c r="M1069" s="136">
        <v>0</v>
      </c>
    </row>
    <row r="1070" spans="13:13" x14ac:dyDescent="0.35">
      <c r="M1070" s="136">
        <v>0</v>
      </c>
    </row>
    <row r="1071" spans="13:13" x14ac:dyDescent="0.35">
      <c r="M1071" s="136">
        <v>0</v>
      </c>
    </row>
    <row r="1072" spans="13:13" x14ac:dyDescent="0.35">
      <c r="M1072" s="136">
        <v>0</v>
      </c>
    </row>
    <row r="1073" spans="13:13" x14ac:dyDescent="0.35">
      <c r="M1073" s="136">
        <v>0</v>
      </c>
    </row>
    <row r="1074" spans="13:13" x14ac:dyDescent="0.35">
      <c r="M1074" s="136">
        <v>0</v>
      </c>
    </row>
    <row r="1075" spans="13:13" x14ac:dyDescent="0.35">
      <c r="M1075" s="136">
        <v>0</v>
      </c>
    </row>
    <row r="1076" spans="13:13" x14ac:dyDescent="0.35">
      <c r="M1076" s="136">
        <v>0</v>
      </c>
    </row>
    <row r="1077" spans="13:13" x14ac:dyDescent="0.35">
      <c r="M1077" s="136">
        <v>0</v>
      </c>
    </row>
    <row r="1078" spans="13:13" x14ac:dyDescent="0.35">
      <c r="M1078" s="136">
        <v>0</v>
      </c>
    </row>
    <row r="1079" spans="13:13" x14ac:dyDescent="0.35">
      <c r="M1079" s="136">
        <v>0</v>
      </c>
    </row>
    <row r="1080" spans="13:13" x14ac:dyDescent="0.35">
      <c r="M1080" s="136">
        <v>0</v>
      </c>
    </row>
    <row r="1081" spans="13:13" x14ac:dyDescent="0.35">
      <c r="M1081" s="136">
        <v>0</v>
      </c>
    </row>
    <row r="1082" spans="13:13" x14ac:dyDescent="0.35">
      <c r="M1082" s="136">
        <v>0</v>
      </c>
    </row>
    <row r="1083" spans="13:13" x14ac:dyDescent="0.35">
      <c r="M1083" s="136">
        <v>0</v>
      </c>
    </row>
    <row r="1084" spans="13:13" x14ac:dyDescent="0.35">
      <c r="M1084" s="136">
        <v>0</v>
      </c>
    </row>
    <row r="1085" spans="13:13" x14ac:dyDescent="0.35">
      <c r="M1085" s="136">
        <v>0</v>
      </c>
    </row>
    <row r="1086" spans="13:13" x14ac:dyDescent="0.35">
      <c r="M1086" s="136">
        <v>0</v>
      </c>
    </row>
    <row r="1087" spans="13:13" x14ac:dyDescent="0.35">
      <c r="M1087" s="136">
        <v>0</v>
      </c>
    </row>
    <row r="1088" spans="13:13" x14ac:dyDescent="0.35">
      <c r="M1088" s="136">
        <v>0</v>
      </c>
    </row>
    <row r="1089" spans="13:13" x14ac:dyDescent="0.35">
      <c r="M1089" s="136">
        <v>0</v>
      </c>
    </row>
    <row r="1090" spans="13:13" x14ac:dyDescent="0.35">
      <c r="M1090" s="136">
        <v>0</v>
      </c>
    </row>
    <row r="1091" spans="13:13" x14ac:dyDescent="0.35">
      <c r="M1091" s="136">
        <v>0</v>
      </c>
    </row>
    <row r="1092" spans="13:13" x14ac:dyDescent="0.35">
      <c r="M1092" s="136">
        <v>0</v>
      </c>
    </row>
    <row r="1093" spans="13:13" x14ac:dyDescent="0.35">
      <c r="M1093" s="136">
        <v>0</v>
      </c>
    </row>
    <row r="1094" spans="13:13" x14ac:dyDescent="0.35">
      <c r="M1094" s="136">
        <v>0</v>
      </c>
    </row>
    <row r="1095" spans="13:13" x14ac:dyDescent="0.35">
      <c r="M1095" s="136">
        <v>0</v>
      </c>
    </row>
    <row r="1096" spans="13:13" x14ac:dyDescent="0.35">
      <c r="M1096" s="136">
        <v>0</v>
      </c>
    </row>
    <row r="1097" spans="13:13" x14ac:dyDescent="0.35">
      <c r="M1097" s="136">
        <v>0</v>
      </c>
    </row>
    <row r="1098" spans="13:13" x14ac:dyDescent="0.35">
      <c r="M1098" s="136">
        <v>0</v>
      </c>
    </row>
    <row r="1099" spans="13:13" x14ac:dyDescent="0.35">
      <c r="M1099" s="136">
        <v>0</v>
      </c>
    </row>
    <row r="1100" spans="13:13" x14ac:dyDescent="0.35">
      <c r="M1100" s="136">
        <v>0</v>
      </c>
    </row>
    <row r="1101" spans="13:13" x14ac:dyDescent="0.35">
      <c r="M1101" s="13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85" zoomScaleNormal="85" workbookViewId="0">
      <selection activeCell="A40" sqref="A40"/>
    </sheetView>
  </sheetViews>
  <sheetFormatPr defaultColWidth="11.53125" defaultRowHeight="12.75" x14ac:dyDescent="0.35"/>
  <sheetData>
    <row r="1" spans="1:49" x14ac:dyDescent="0.35">
      <c r="A1" t="s">
        <v>265</v>
      </c>
    </row>
    <row r="2" spans="1:49" ht="40.15" x14ac:dyDescent="1.05">
      <c r="A2" s="75" t="s">
        <v>266</v>
      </c>
    </row>
    <row r="4" spans="1:49" ht="40.15" x14ac:dyDescent="1.05">
      <c r="A4" s="75" t="s">
        <v>91</v>
      </c>
    </row>
    <row r="5" spans="1:49" x14ac:dyDescent="0.35">
      <c r="A5" s="29">
        <v>46010</v>
      </c>
    </row>
    <row r="6" spans="1:49" ht="13.15" x14ac:dyDescent="0.4">
      <c r="A6" t="s">
        <v>389</v>
      </c>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267</v>
      </c>
      <c r="B8">
        <v>8.8482789999999998</v>
      </c>
      <c r="C8">
        <v>9.7367000000000008</v>
      </c>
      <c r="D8">
        <v>9.5684539999999991</v>
      </c>
      <c r="E8">
        <v>9.697203</v>
      </c>
      <c r="F8">
        <v>9.7018930000000001</v>
      </c>
      <c r="G8" s="78">
        <v>25.517626</v>
      </c>
      <c r="H8" s="78">
        <f>AVERAGE(B$8:F$8)*5</f>
        <v>47.552529000000007</v>
      </c>
      <c r="I8" s="79"/>
      <c r="K8" s="79"/>
    </row>
    <row r="9" spans="1:49" ht="13.15" x14ac:dyDescent="0.4">
      <c r="A9" s="68"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row>
    <row r="11" spans="1:49" ht="13.15" x14ac:dyDescent="0.4">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row>
    <row r="14" spans="1:49" ht="13.15" x14ac:dyDescent="0.4">
      <c r="A14" s="68"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267</v>
      </c>
      <c r="B31" s="68" t="s">
        <v>139</v>
      </c>
      <c r="C31" s="68" t="s">
        <v>140</v>
      </c>
      <c r="D31" s="68" t="s">
        <v>141</v>
      </c>
      <c r="E31" s="68" t="s">
        <v>142</v>
      </c>
      <c r="F31" s="68" t="s">
        <v>143</v>
      </c>
      <c r="G31" s="68" t="s">
        <v>144</v>
      </c>
      <c r="H31" s="68" t="s">
        <v>145</v>
      </c>
      <c r="I31" s="79"/>
      <c r="J31" s="79"/>
      <c r="K31" s="79"/>
      <c r="M31" s="42"/>
    </row>
    <row r="32" spans="1:49" x14ac:dyDescent="0.35">
      <c r="A32">
        <v>8.8482789999999998</v>
      </c>
      <c r="B32">
        <v>4255.2910160000001</v>
      </c>
      <c r="C32">
        <v>2395.155029</v>
      </c>
      <c r="D32">
        <v>1243.1795649999999</v>
      </c>
      <c r="E32">
        <v>668.15252699999996</v>
      </c>
      <c r="F32">
        <v>336.90167200000002</v>
      </c>
      <c r="G32">
        <v>174.72323600000001</v>
      </c>
      <c r="H32">
        <v>105.21820099999999</v>
      </c>
      <c r="I32" s="79"/>
      <c r="J32" s="79"/>
      <c r="K32" s="79"/>
      <c r="M32" s="42"/>
    </row>
    <row r="33" spans="1:13" x14ac:dyDescent="0.35">
      <c r="A33">
        <v>9.7367000000000008</v>
      </c>
      <c r="B33">
        <v>4470.2001950000003</v>
      </c>
      <c r="C33">
        <v>2492.3227539999998</v>
      </c>
      <c r="D33">
        <v>1289.040405</v>
      </c>
      <c r="E33">
        <v>678.361267</v>
      </c>
      <c r="F33">
        <v>343.54556300000002</v>
      </c>
      <c r="G33">
        <v>174.905258</v>
      </c>
      <c r="H33">
        <v>105.271805</v>
      </c>
      <c r="I33" s="79"/>
      <c r="J33" s="79"/>
      <c r="K33" s="79"/>
      <c r="M33" s="42"/>
    </row>
    <row r="34" spans="1:13" x14ac:dyDescent="0.35">
      <c r="A34">
        <v>9.5684539999999991</v>
      </c>
      <c r="B34">
        <v>4305.7114259999998</v>
      </c>
      <c r="C34">
        <v>2386.1745609999998</v>
      </c>
      <c r="D34">
        <v>1229.4567870000001</v>
      </c>
      <c r="E34">
        <v>645.97686799999997</v>
      </c>
      <c r="F34">
        <v>323.24972500000001</v>
      </c>
      <c r="G34">
        <v>165.43948399999999</v>
      </c>
      <c r="H34">
        <v>96.044776999999996</v>
      </c>
      <c r="I34" s="79"/>
      <c r="J34" s="79"/>
      <c r="K34" s="79"/>
      <c r="M34" s="42"/>
    </row>
    <row r="35" spans="1:13" x14ac:dyDescent="0.35">
      <c r="A35">
        <v>9.697203</v>
      </c>
      <c r="B35">
        <v>4392.2973629999997</v>
      </c>
      <c r="C35">
        <v>2450.0878910000001</v>
      </c>
      <c r="D35">
        <v>1283.359741</v>
      </c>
      <c r="E35">
        <v>676.793091</v>
      </c>
      <c r="F35">
        <v>337.21066300000001</v>
      </c>
      <c r="G35">
        <v>174.79267899999999</v>
      </c>
      <c r="H35">
        <v>100.750702</v>
      </c>
      <c r="I35" s="79"/>
      <c r="J35" s="79"/>
      <c r="K35" s="79"/>
      <c r="M35" s="42"/>
    </row>
    <row r="36" spans="1:13" x14ac:dyDescent="0.35">
      <c r="A36">
        <v>9.7018930000000001</v>
      </c>
      <c r="B36">
        <v>4454.6977539999998</v>
      </c>
      <c r="C36">
        <v>2478.279297</v>
      </c>
      <c r="D36">
        <v>1285.110107</v>
      </c>
      <c r="E36">
        <v>684.81481900000006</v>
      </c>
      <c r="F36">
        <v>346.42724600000003</v>
      </c>
      <c r="G36">
        <v>175.12046799999999</v>
      </c>
      <c r="H36">
        <v>103.79418200000001</v>
      </c>
      <c r="I36" s="79"/>
      <c r="J36" s="79"/>
      <c r="K36" s="79"/>
      <c r="M36" s="42"/>
    </row>
    <row r="37" spans="1:13" x14ac:dyDescent="0.35">
      <c r="I37" s="79"/>
      <c r="J37" s="79"/>
      <c r="K37" s="79"/>
    </row>
    <row r="38" spans="1:13" x14ac:dyDescent="0.35">
      <c r="I38" s="79"/>
      <c r="J38" s="79"/>
      <c r="K38" s="79"/>
    </row>
    <row r="40" spans="1:13" ht="36.4" x14ac:dyDescent="0.35">
      <c r="A40" s="130" t="s">
        <v>414</v>
      </c>
    </row>
    <row r="43" spans="1:13" x14ac:dyDescent="0.35">
      <c r="G43" s="42"/>
      <c r="H43" s="42"/>
    </row>
    <row r="44" spans="1:13" ht="13.15" x14ac:dyDescent="0.4">
      <c r="A44" s="8"/>
    </row>
    <row r="48" spans="1:13" x14ac:dyDescent="0.35">
      <c r="H48" s="240"/>
    </row>
    <row r="49" spans="1:10" ht="13.15" x14ac:dyDescent="0.4">
      <c r="A49" s="8"/>
      <c r="H49" s="241"/>
    </row>
    <row r="64" spans="1:10" x14ac:dyDescent="0.35">
      <c r="I64" s="42"/>
      <c r="J64" s="42"/>
    </row>
    <row r="69" spans="10:11" x14ac:dyDescent="0.35">
      <c r="J69" s="82"/>
    </row>
    <row r="70" spans="10:11" ht="13.15" x14ac:dyDescent="0.4">
      <c r="J70" s="118"/>
    </row>
    <row r="71" spans="10:11" ht="13.15" x14ac:dyDescent="0.4">
      <c r="K71" s="65"/>
    </row>
  </sheetData>
  <sheetProtection sheet="1" objects="1" scenarios="1"/>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A3" sqref="A3"/>
    </sheetView>
  </sheetViews>
  <sheetFormatPr defaultColWidth="11.53125" defaultRowHeight="12.75" x14ac:dyDescent="0.35"/>
  <sheetData>
    <row r="1" spans="1:49" x14ac:dyDescent="0.35">
      <c r="A1" t="s">
        <v>265</v>
      </c>
    </row>
    <row r="2" spans="1:49" ht="40.15" x14ac:dyDescent="1.05">
      <c r="A2" s="75" t="s">
        <v>181</v>
      </c>
      <c r="O2" s="75"/>
    </row>
    <row r="4" spans="1:49" ht="40.15" x14ac:dyDescent="1.05">
      <c r="A4" s="75" t="s">
        <v>91</v>
      </c>
    </row>
    <row r="5" spans="1:49" x14ac:dyDescent="0.35">
      <c r="A5" s="29">
        <v>46010</v>
      </c>
    </row>
    <row r="6" spans="1:49" ht="13.15" x14ac:dyDescent="0.4">
      <c r="A6" t="s">
        <v>389</v>
      </c>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138</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J38" sqref="J38"/>
    </sheetView>
  </sheetViews>
  <sheetFormatPr defaultColWidth="11.53125" defaultRowHeight="12.75" x14ac:dyDescent="0.35"/>
  <sheetData>
    <row r="1" spans="1:49" x14ac:dyDescent="0.35">
      <c r="A1" t="s">
        <v>265</v>
      </c>
    </row>
    <row r="2" spans="1:49" ht="16.899999999999999" customHeight="1" x14ac:dyDescent="1.05">
      <c r="A2" s="75" t="s">
        <v>266</v>
      </c>
      <c r="O2" s="75"/>
    </row>
    <row r="4" spans="1:49" ht="40.15" x14ac:dyDescent="1.05">
      <c r="A4" s="75" t="s">
        <v>91</v>
      </c>
      <c r="O4" s="75"/>
    </row>
    <row r="5" spans="1:49" x14ac:dyDescent="0.35">
      <c r="A5" s="29">
        <v>46010</v>
      </c>
      <c r="O5" s="29"/>
    </row>
    <row r="6" spans="1:49" ht="13.15" x14ac:dyDescent="0.4">
      <c r="A6" t="s">
        <v>389</v>
      </c>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138</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70" zoomScaleNormal="70" workbookViewId="0">
      <selection activeCell="F15" sqref="F15"/>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268</v>
      </c>
      <c r="C1" s="262" t="s">
        <v>19</v>
      </c>
      <c r="D1" s="262"/>
      <c r="E1" s="262"/>
      <c r="F1" s="262"/>
      <c r="G1" s="262"/>
      <c r="H1" s="262"/>
      <c r="I1" s="262"/>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116</v>
      </c>
      <c r="D3" s="68" t="s">
        <v>243</v>
      </c>
    </row>
    <row r="4" spans="1:1024" x14ac:dyDescent="0.35">
      <c r="A4" t="s">
        <v>21</v>
      </c>
      <c r="D4" s="68" t="s">
        <v>59</v>
      </c>
    </row>
    <row r="5" spans="1:1024" x14ac:dyDescent="0.35">
      <c r="A5" t="s">
        <v>23</v>
      </c>
      <c r="D5" s="68" t="s">
        <v>24</v>
      </c>
    </row>
    <row r="6" spans="1:1024" x14ac:dyDescent="0.35">
      <c r="A6" t="s">
        <v>25</v>
      </c>
      <c r="D6" s="68" t="s">
        <v>59</v>
      </c>
    </row>
    <row r="7" spans="1:1024" x14ac:dyDescent="0.35">
      <c r="A7" t="s">
        <v>26</v>
      </c>
      <c r="D7" s="68"/>
    </row>
    <row r="8" spans="1:1024" ht="13.15" x14ac:dyDescent="0.4">
      <c r="A8" t="s">
        <v>27</v>
      </c>
      <c r="D8" s="119">
        <v>45831</v>
      </c>
    </row>
    <row r="9" spans="1:1024" x14ac:dyDescent="0.35">
      <c r="A9" t="s">
        <v>28</v>
      </c>
      <c r="D9" s="63" t="s">
        <v>29</v>
      </c>
    </row>
    <row r="10" spans="1:1024" ht="13.15" x14ac:dyDescent="0.4">
      <c r="A10" t="s">
        <v>30</v>
      </c>
      <c r="D10" s="65">
        <v>36</v>
      </c>
    </row>
    <row r="11" spans="1:1024" x14ac:dyDescent="0.35">
      <c r="A11" t="s">
        <v>269</v>
      </c>
      <c r="D11">
        <v>1</v>
      </c>
    </row>
    <row r="13" spans="1:1024" x14ac:dyDescent="0.35">
      <c r="A13" t="s">
        <v>270</v>
      </c>
      <c r="B13">
        <v>50</v>
      </c>
      <c r="C13" t="s">
        <v>52</v>
      </c>
    </row>
    <row r="14" spans="1:1024" x14ac:dyDescent="0.35">
      <c r="A14" t="s">
        <v>271</v>
      </c>
      <c r="B14">
        <v>5</v>
      </c>
    </row>
    <row r="15" spans="1:1024" x14ac:dyDescent="0.35">
      <c r="A15" t="s">
        <v>272</v>
      </c>
      <c r="B15">
        <f>B13/B14</f>
        <v>10</v>
      </c>
      <c r="C15" t="s">
        <v>52</v>
      </c>
    </row>
    <row r="16" spans="1:1024" x14ac:dyDescent="0.35">
      <c r="A16" t="s">
        <v>264</v>
      </c>
      <c r="B16">
        <v>0.7</v>
      </c>
    </row>
    <row r="17" spans="1:10" x14ac:dyDescent="0.35">
      <c r="D17" s="68"/>
    </row>
    <row r="18" spans="1:10" x14ac:dyDescent="0.35">
      <c r="A18" t="s">
        <v>273</v>
      </c>
      <c r="B18">
        <f>$B$16*$B$15/100</f>
        <v>7.0000000000000007E-2</v>
      </c>
    </row>
    <row r="19" spans="1:10" x14ac:dyDescent="0.35">
      <c r="A19" s="70" t="s">
        <v>274</v>
      </c>
      <c r="B19">
        <f>B16*$B$13</f>
        <v>35</v>
      </c>
      <c r="C19" t="s">
        <v>52</v>
      </c>
    </row>
    <row r="20" spans="1:10" x14ac:dyDescent="0.35">
      <c r="A20" t="s">
        <v>275</v>
      </c>
      <c r="B20">
        <f>B15*B16</f>
        <v>7</v>
      </c>
      <c r="C20" t="s">
        <v>52</v>
      </c>
    </row>
    <row r="22" spans="1:10" x14ac:dyDescent="0.35">
      <c r="A22" s="120" t="s">
        <v>224</v>
      </c>
      <c r="B22" s="120" t="s">
        <v>276</v>
      </c>
      <c r="C22" s="120" t="s">
        <v>277</v>
      </c>
      <c r="D22" s="120" t="s">
        <v>278</v>
      </c>
      <c r="E22" s="120" t="s">
        <v>279</v>
      </c>
      <c r="F22" s="120" t="s">
        <v>280</v>
      </c>
      <c r="G22" s="120" t="s">
        <v>281</v>
      </c>
      <c r="H22" s="120" t="s">
        <v>282</v>
      </c>
      <c r="I22" s="120" t="s">
        <v>38</v>
      </c>
    </row>
    <row r="23" spans="1:10" x14ac:dyDescent="0.35">
      <c r="A23" s="121">
        <v>4</v>
      </c>
      <c r="B23" s="122">
        <f>'E - B1'!$G9</f>
        <v>4375.6395508000005</v>
      </c>
      <c r="C23" s="122">
        <f>'E - B2'!$G9</f>
        <v>4375.6395508000005</v>
      </c>
      <c r="D23" s="122">
        <f>'E - B3'!$G9</f>
        <v>4375.6395508000005</v>
      </c>
      <c r="E23" s="42">
        <f t="shared" ref="E23:E28" si="0">AVERAGE(B23:D23)</f>
        <v>4375.6395508000005</v>
      </c>
      <c r="F23" s="107">
        <v>6300</v>
      </c>
      <c r="G23">
        <v>4553</v>
      </c>
      <c r="H23">
        <v>8713</v>
      </c>
      <c r="I23" s="79">
        <f t="shared" ref="I23:I28" si="1">(E23-F23)/F23</f>
        <v>-0.3054540395555555</v>
      </c>
    </row>
    <row r="24" spans="1:10" x14ac:dyDescent="0.35">
      <c r="A24" s="68">
        <v>5</v>
      </c>
      <c r="B24" s="122">
        <f>'E - B1'!$G10</f>
        <v>2440.4039064000003</v>
      </c>
      <c r="C24" s="122">
        <f>'E - B2'!$G10</f>
        <v>2440.4039064000003</v>
      </c>
      <c r="D24" s="122">
        <f>'E - B3'!$G10</f>
        <v>2440.4039064000003</v>
      </c>
      <c r="E24" s="42">
        <f t="shared" si="0"/>
        <v>2440.4039064000003</v>
      </c>
      <c r="F24" s="123">
        <v>3475</v>
      </c>
      <c r="G24">
        <v>2330</v>
      </c>
      <c r="H24">
        <v>5183</v>
      </c>
      <c r="I24" s="79">
        <f t="shared" si="1"/>
        <v>-0.29772549456115099</v>
      </c>
    </row>
    <row r="25" spans="1:10" x14ac:dyDescent="0.35">
      <c r="A25" s="68">
        <v>6</v>
      </c>
      <c r="B25" s="122">
        <f>'E - B1'!$G11</f>
        <v>1266.029321</v>
      </c>
      <c r="C25" s="122">
        <f>'E - B2'!$G11</f>
        <v>1266.029321</v>
      </c>
      <c r="D25" s="122">
        <f>'E - B3'!$G11</f>
        <v>1266.029321</v>
      </c>
      <c r="E25" s="42">
        <f t="shared" si="0"/>
        <v>1266.029321</v>
      </c>
      <c r="F25" s="123">
        <v>1631</v>
      </c>
      <c r="G25">
        <v>938.2</v>
      </c>
      <c r="H25">
        <v>2834</v>
      </c>
      <c r="I25" s="79">
        <f t="shared" si="1"/>
        <v>-0.22377110913549972</v>
      </c>
    </row>
    <row r="26" spans="1:10" x14ac:dyDescent="0.35">
      <c r="A26" s="68">
        <v>7</v>
      </c>
      <c r="B26" s="122">
        <f>'E - B1'!$G12</f>
        <v>670.81971439999995</v>
      </c>
      <c r="C26" s="122">
        <f>'E - B2'!$G12</f>
        <v>670.81971439999995</v>
      </c>
      <c r="D26" s="122">
        <f>'E - B3'!$G12</f>
        <v>670.81971439999995</v>
      </c>
      <c r="E26" s="42">
        <f t="shared" si="0"/>
        <v>670.81971439999995</v>
      </c>
      <c r="F26" s="123">
        <v>769.8</v>
      </c>
      <c r="G26">
        <v>413.6</v>
      </c>
      <c r="H26">
        <v>1433</v>
      </c>
      <c r="I26" s="79">
        <f t="shared" si="1"/>
        <v>-0.12857922265523514</v>
      </c>
    </row>
    <row r="27" spans="1:10" x14ac:dyDescent="0.35">
      <c r="A27" s="68">
        <v>8</v>
      </c>
      <c r="B27" s="122">
        <f>'E - B1'!$G13</f>
        <v>337.46697380000001</v>
      </c>
      <c r="C27" s="122">
        <f>'E - B2'!$G13</f>
        <v>337.46697380000001</v>
      </c>
      <c r="D27" s="122">
        <f>'E - B3'!$G13</f>
        <v>337.46697380000001</v>
      </c>
      <c r="E27" s="42">
        <f t="shared" si="0"/>
        <v>337.46697380000001</v>
      </c>
      <c r="F27" s="123">
        <v>379.1</v>
      </c>
      <c r="G27">
        <v>179.7</v>
      </c>
      <c r="H27">
        <v>799.5</v>
      </c>
      <c r="I27" s="79">
        <f t="shared" si="1"/>
        <v>-0.10982069691374312</v>
      </c>
    </row>
    <row r="28" spans="1:10" x14ac:dyDescent="0.35">
      <c r="A28" s="87">
        <v>9</v>
      </c>
      <c r="B28" s="124">
        <f>'E - B1'!$G14</f>
        <v>172.99622500000001</v>
      </c>
      <c r="C28" s="124">
        <f>'E - B2'!$G14</f>
        <v>172.99622500000001</v>
      </c>
      <c r="D28" s="124">
        <f>'E - B3'!$G14</f>
        <v>172.99622500000001</v>
      </c>
      <c r="E28" s="125">
        <f t="shared" si="0"/>
        <v>172.99622500000001</v>
      </c>
      <c r="F28" s="126">
        <v>196.2</v>
      </c>
      <c r="G28" s="48">
        <v>76.569999999999993</v>
      </c>
      <c r="H28" s="48">
        <v>502.6</v>
      </c>
      <c r="I28" s="117">
        <f t="shared" si="1"/>
        <v>-0.11826592762487248</v>
      </c>
    </row>
    <row r="29" spans="1:10" ht="13.15" x14ac:dyDescent="0.4">
      <c r="A29" s="8"/>
      <c r="B29" s="8"/>
      <c r="C29" s="127"/>
      <c r="D29" s="107"/>
      <c r="E29" s="107"/>
      <c r="J29" s="68"/>
    </row>
    <row r="30" spans="1:10" x14ac:dyDescent="0.35">
      <c r="A30" t="s">
        <v>280</v>
      </c>
      <c r="C30" s="43"/>
    </row>
    <row r="31" spans="1:10" x14ac:dyDescent="0.35">
      <c r="A31" s="120" t="s">
        <v>224</v>
      </c>
      <c r="B31" s="120" t="s">
        <v>283</v>
      </c>
      <c r="C31" s="120" t="s">
        <v>284</v>
      </c>
      <c r="D31" s="120" t="s">
        <v>285</v>
      </c>
    </row>
    <row r="32" spans="1:10" x14ac:dyDescent="0.35">
      <c r="A32">
        <v>2</v>
      </c>
      <c r="B32">
        <v>20210</v>
      </c>
      <c r="C32">
        <v>14180</v>
      </c>
      <c r="D32">
        <v>28820</v>
      </c>
    </row>
    <row r="33" spans="1:21" x14ac:dyDescent="0.35">
      <c r="A33">
        <v>3</v>
      </c>
      <c r="B33">
        <v>10700</v>
      </c>
      <c r="C33">
        <v>7928</v>
      </c>
      <c r="D33">
        <v>14440</v>
      </c>
      <c r="U33" s="29"/>
    </row>
    <row r="34" spans="1:21" ht="13.15" x14ac:dyDescent="0.4">
      <c r="A34" s="128">
        <v>4</v>
      </c>
      <c r="B34" s="128">
        <v>6300</v>
      </c>
      <c r="C34" s="128">
        <v>4553</v>
      </c>
      <c r="D34" s="128">
        <v>8713</v>
      </c>
    </row>
    <row r="35" spans="1:21" x14ac:dyDescent="0.35">
      <c r="A35">
        <v>5</v>
      </c>
      <c r="B35">
        <v>3475</v>
      </c>
      <c r="C35">
        <v>2330</v>
      </c>
      <c r="D35">
        <v>5183</v>
      </c>
      <c r="E35" s="82"/>
      <c r="F35" s="42"/>
      <c r="G35" s="82"/>
      <c r="H35" s="42"/>
      <c r="I35" s="82"/>
      <c r="J35" s="42"/>
      <c r="K35" s="82"/>
    </row>
    <row r="36" spans="1:21" ht="13.15" x14ac:dyDescent="0.4">
      <c r="A36" s="128">
        <v>6</v>
      </c>
      <c r="B36" s="128">
        <v>1631</v>
      </c>
      <c r="C36" s="128">
        <v>938.2</v>
      </c>
      <c r="D36" s="128">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169</v>
      </c>
    </row>
    <row r="43" spans="1:21" ht="15" x14ac:dyDescent="0.5">
      <c r="A43" s="35"/>
      <c r="B43" s="83" t="s">
        <v>170</v>
      </c>
      <c r="C43" s="35"/>
      <c r="D43" s="84" t="s">
        <v>171</v>
      </c>
      <c r="E43" s="36"/>
      <c r="F43" s="36"/>
      <c r="G43" s="36"/>
      <c r="H43" s="85"/>
      <c r="U43" s="29"/>
    </row>
    <row r="44" spans="1:21" ht="15" x14ac:dyDescent="0.5">
      <c r="A44" s="86" t="s">
        <v>172</v>
      </c>
      <c r="B44" s="87" t="s">
        <v>173</v>
      </c>
      <c r="C44" s="86" t="s">
        <v>174</v>
      </c>
      <c r="D44" s="86" t="s">
        <v>175</v>
      </c>
      <c r="E44" s="87" t="s">
        <v>176</v>
      </c>
      <c r="F44" s="87" t="s">
        <v>177</v>
      </c>
      <c r="G44" s="87" t="s">
        <v>178</v>
      </c>
      <c r="H44" s="88" t="s">
        <v>179</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29" t="s">
        <v>286</v>
      </c>
    </row>
    <row r="54" spans="1:12" x14ac:dyDescent="0.35">
      <c r="B54" s="82"/>
      <c r="D54" s="82"/>
      <c r="F54" s="82"/>
      <c r="H54" s="82"/>
      <c r="J54" s="82"/>
    </row>
    <row r="55" spans="1:12" ht="13.15" x14ac:dyDescent="0.4">
      <c r="A55" s="8"/>
      <c r="B55" s="118"/>
      <c r="D55" s="118"/>
      <c r="F55" s="118"/>
      <c r="H55" s="118"/>
      <c r="J55" s="118"/>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2026-03-16T13:46:32Z</dcterms:modified>
  <dc:language>en-GB</dc:language>
</cp:coreProperties>
</file>