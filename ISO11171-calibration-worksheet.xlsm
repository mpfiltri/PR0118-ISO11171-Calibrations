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3F55E3A3-385C-4980-9297-BE8DE0C01A60}" xr6:coauthVersionLast="47" xr6:coauthVersionMax="47" xr10:uidLastSave="{00000000-0000-0000-0000-000000000000}"/>
  <bookViews>
    <workbookView xWindow="-98" yWindow="-98" windowWidth="28996" windowHeight="17745" tabRatio="500" firstSheet="2" activeTab="6" xr2:uid="{00000000-000D-0000-FFFF-FFFF00000000}"/>
  </bookViews>
  <sheets>
    <sheet name="ISO 11171_2020 Summary" sheetId="1" r:id="rId1"/>
    <sheet name="Annex A Preliminary Check" sheetId="2" r:id="rId2"/>
    <sheet name="Annex B Coincidence Limit" sheetId="3" r:id="rId3"/>
    <sheet name="Clause 6 Sizing Calibration" sheetId="4" r:id="rId4"/>
    <sheet name="6 - B1" sheetId="5" r:id="rId5"/>
    <sheet name="6 - B2" sheetId="6" r:id="rId6"/>
    <sheet name="6 - B3" sheetId="7" r:id="rId7"/>
    <sheet name="6 - Interpolated Thresholds" sheetId="8" r:id="rId8"/>
    <sheet name="Clause 6 - Spheres" sheetId="9" r:id="rId9"/>
    <sheet name="6 - Calibration Curve" sheetId="10" r:id="rId10"/>
    <sheet name="Annex C - Flow Rate" sheetId="11" r:id="rId11"/>
    <sheet name="Annex D Resolution" sheetId="12" r:id="rId12"/>
    <sheet name="ANNEX E - B1" sheetId="13" r:id="rId13"/>
    <sheet name="ANNEX E - B2" sheetId="14" r:id="rId14"/>
    <sheet name="ANNEX E - B3" sheetId="15" r:id="rId15"/>
    <sheet name="Annex E Verify Counting Accurac" sheetId="16" r:id="rId16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A27" i="12" l="1"/>
  <c r="A28" i="12" s="1"/>
  <c r="A29" i="12"/>
  <c r="A30" i="12" s="1" a="1"/>
  <c r="A30" i="12" s="1"/>
  <c r="A34" i="10"/>
  <c r="A33" i="10"/>
  <c r="A32" i="10"/>
  <c r="B34" i="10"/>
  <c r="B33" i="10"/>
  <c r="B32" i="10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N52" i="7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F14" i="7" s="1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F17" i="7" s="1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F18" i="7" s="1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F20" i="7" s="1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F23" i="7" s="1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F27" i="7" s="1"/>
  <c r="A72" i="7"/>
  <c r="B72" i="7"/>
  <c r="C72" i="7"/>
  <c r="D72" i="7"/>
  <c r="E72" i="7"/>
  <c r="F72" i="7"/>
  <c r="G72" i="7"/>
  <c r="H72" i="7"/>
  <c r="I72" i="7"/>
  <c r="J72" i="7"/>
  <c r="K72" i="7"/>
  <c r="L72" i="7"/>
  <c r="B28" i="7" s="1"/>
  <c r="M72" i="7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F30" i="7" s="1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E33" i="7" s="1"/>
  <c r="P77" i="7"/>
  <c r="F33" i="7" s="1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A80" i="7"/>
  <c r="B80" i="7"/>
  <c r="C80" i="7"/>
  <c r="D80" i="7"/>
  <c r="E80" i="7"/>
  <c r="F80" i="7"/>
  <c r="G80" i="7"/>
  <c r="H80" i="7"/>
  <c r="I80" i="7"/>
  <c r="J80" i="7"/>
  <c r="K80" i="7"/>
  <c r="L80" i="7"/>
  <c r="B36" i="7" s="1"/>
  <c r="M80" i="7"/>
  <c r="N80" i="7"/>
  <c r="O80" i="7"/>
  <c r="P80" i="7"/>
  <c r="F36" i="7" s="1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F38" i="7" s="1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D28" i="16"/>
  <c r="D27" i="16"/>
  <c r="B27" i="16"/>
  <c r="E27" i="16" s="1"/>
  <c r="I27" i="16" s="1"/>
  <c r="D26" i="16"/>
  <c r="B26" i="16"/>
  <c r="C25" i="16"/>
  <c r="B23" i="16"/>
  <c r="B20" i="16"/>
  <c r="B19" i="16"/>
  <c r="B18" i="16"/>
  <c r="B15" i="16"/>
  <c r="K38" i="15"/>
  <c r="I38" i="15"/>
  <c r="G38" i="15"/>
  <c r="I37" i="15"/>
  <c r="G37" i="15"/>
  <c r="H37" i="15" s="1"/>
  <c r="J37" i="15" s="1"/>
  <c r="I36" i="15"/>
  <c r="G36" i="15"/>
  <c r="H36" i="15" s="1"/>
  <c r="J35" i="15"/>
  <c r="I35" i="15"/>
  <c r="H35" i="15"/>
  <c r="K35" i="15" s="1"/>
  <c r="G35" i="15"/>
  <c r="I34" i="15"/>
  <c r="H34" i="15"/>
  <c r="K34" i="15" s="1"/>
  <c r="G34" i="15"/>
  <c r="K33" i="15"/>
  <c r="J33" i="15"/>
  <c r="I33" i="15"/>
  <c r="H33" i="15"/>
  <c r="G33" i="15"/>
  <c r="I32" i="15"/>
  <c r="G32" i="15"/>
  <c r="H32" i="15" s="1"/>
  <c r="I31" i="15"/>
  <c r="G31" i="15"/>
  <c r="H31" i="15" s="1"/>
  <c r="I30" i="15"/>
  <c r="G30" i="15"/>
  <c r="H30" i="15" s="1"/>
  <c r="K30" i="15" s="1"/>
  <c r="I29" i="15"/>
  <c r="H29" i="15"/>
  <c r="G29" i="15"/>
  <c r="I28" i="15"/>
  <c r="H28" i="15"/>
  <c r="G28" i="15"/>
  <c r="K27" i="15"/>
  <c r="I27" i="15"/>
  <c r="H27" i="15"/>
  <c r="J27" i="15" s="1"/>
  <c r="G27" i="15"/>
  <c r="I26" i="15"/>
  <c r="G26" i="15"/>
  <c r="H26" i="15" s="1"/>
  <c r="I25" i="15"/>
  <c r="G25" i="15"/>
  <c r="H25" i="15" s="1"/>
  <c r="J24" i="15"/>
  <c r="I24" i="15"/>
  <c r="H24" i="15"/>
  <c r="K24" i="15" s="1"/>
  <c r="G24" i="15"/>
  <c r="I23" i="15"/>
  <c r="H23" i="15"/>
  <c r="K23" i="15" s="1"/>
  <c r="G23" i="15"/>
  <c r="I22" i="15"/>
  <c r="G22" i="15"/>
  <c r="K21" i="15"/>
  <c r="I21" i="15"/>
  <c r="G21" i="15"/>
  <c r="H21" i="15" s="1"/>
  <c r="J21" i="15" s="1"/>
  <c r="I20" i="15"/>
  <c r="G20" i="15"/>
  <c r="H20" i="15" s="1"/>
  <c r="J19" i="15"/>
  <c r="I19" i="15"/>
  <c r="H19" i="15"/>
  <c r="K19" i="15" s="1"/>
  <c r="G19" i="15"/>
  <c r="I18" i="15"/>
  <c r="H18" i="15"/>
  <c r="K18" i="15" s="1"/>
  <c r="G18" i="15"/>
  <c r="K17" i="15"/>
  <c r="J17" i="15"/>
  <c r="I17" i="15"/>
  <c r="H17" i="15"/>
  <c r="G17" i="15"/>
  <c r="I16" i="15"/>
  <c r="G16" i="15"/>
  <c r="H16" i="15" s="1"/>
  <c r="I15" i="15"/>
  <c r="G15" i="15"/>
  <c r="H15" i="15" s="1"/>
  <c r="J14" i="15"/>
  <c r="I14" i="15"/>
  <c r="G14" i="15"/>
  <c r="H14" i="15" s="1"/>
  <c r="K14" i="15" s="1"/>
  <c r="I13" i="15"/>
  <c r="H13" i="15"/>
  <c r="G13" i="15"/>
  <c r="I12" i="15"/>
  <c r="H12" i="15"/>
  <c r="G12" i="15"/>
  <c r="K11" i="15"/>
  <c r="I11" i="15"/>
  <c r="H11" i="15"/>
  <c r="J11" i="15" s="1"/>
  <c r="G11" i="15"/>
  <c r="D25" i="16" s="1"/>
  <c r="I10" i="15"/>
  <c r="G10" i="15"/>
  <c r="I9" i="15"/>
  <c r="G9" i="15"/>
  <c r="H9" i="15" s="1"/>
  <c r="H8" i="15"/>
  <c r="H38" i="15" s="1"/>
  <c r="J38" i="15" s="1"/>
  <c r="K38" i="14"/>
  <c r="I38" i="14"/>
  <c r="H38" i="14"/>
  <c r="J38" i="14" s="1"/>
  <c r="G38" i="14"/>
  <c r="I37" i="14"/>
  <c r="G37" i="14"/>
  <c r="H37" i="14" s="1"/>
  <c r="I36" i="14"/>
  <c r="G36" i="14"/>
  <c r="H36" i="14" s="1"/>
  <c r="J35" i="14"/>
  <c r="I35" i="14"/>
  <c r="H35" i="14"/>
  <c r="K35" i="14" s="1"/>
  <c r="G35" i="14"/>
  <c r="I34" i="14"/>
  <c r="H34" i="14"/>
  <c r="K34" i="14" s="1"/>
  <c r="G34" i="14"/>
  <c r="I33" i="14"/>
  <c r="G33" i="14"/>
  <c r="I32" i="14"/>
  <c r="G32" i="14"/>
  <c r="H32" i="14" s="1"/>
  <c r="J32" i="14" s="1"/>
  <c r="I31" i="14"/>
  <c r="G31" i="14"/>
  <c r="H31" i="14" s="1"/>
  <c r="I30" i="14"/>
  <c r="G30" i="14"/>
  <c r="J29" i="14"/>
  <c r="I29" i="14"/>
  <c r="H29" i="14"/>
  <c r="K29" i="14" s="1"/>
  <c r="G29" i="14"/>
  <c r="K28" i="14"/>
  <c r="J28" i="14"/>
  <c r="I28" i="14"/>
  <c r="H28" i="14"/>
  <c r="G28" i="14"/>
  <c r="I27" i="14"/>
  <c r="G27" i="14"/>
  <c r="H27" i="14" s="1"/>
  <c r="I26" i="14"/>
  <c r="G26" i="14"/>
  <c r="H26" i="14" s="1"/>
  <c r="I25" i="14"/>
  <c r="G25" i="14"/>
  <c r="H25" i="14" s="1"/>
  <c r="K25" i="14" s="1"/>
  <c r="I24" i="14"/>
  <c r="H24" i="14"/>
  <c r="G24" i="14"/>
  <c r="I23" i="14"/>
  <c r="H23" i="14"/>
  <c r="G23" i="14"/>
  <c r="K22" i="14"/>
  <c r="I22" i="14"/>
  <c r="H22" i="14"/>
  <c r="J22" i="14" s="1"/>
  <c r="G22" i="14"/>
  <c r="I21" i="14"/>
  <c r="G21" i="14"/>
  <c r="H21" i="14" s="1"/>
  <c r="I20" i="14"/>
  <c r="G20" i="14"/>
  <c r="H20" i="14" s="1"/>
  <c r="J19" i="14"/>
  <c r="I19" i="14"/>
  <c r="H19" i="14"/>
  <c r="K19" i="14" s="1"/>
  <c r="G19" i="14"/>
  <c r="I18" i="14"/>
  <c r="H18" i="14"/>
  <c r="K18" i="14" s="1"/>
  <c r="G18" i="14"/>
  <c r="I17" i="14"/>
  <c r="G17" i="14"/>
  <c r="I16" i="14"/>
  <c r="G16" i="14"/>
  <c r="H16" i="14" s="1"/>
  <c r="J16" i="14" s="1"/>
  <c r="I15" i="14"/>
  <c r="G15" i="14"/>
  <c r="H15" i="14" s="1"/>
  <c r="J14" i="14"/>
  <c r="I14" i="14"/>
  <c r="H14" i="14"/>
  <c r="K14" i="14" s="1"/>
  <c r="G14" i="14"/>
  <c r="C28" i="16" s="1"/>
  <c r="I13" i="14"/>
  <c r="H13" i="14"/>
  <c r="K13" i="14" s="1"/>
  <c r="G13" i="14"/>
  <c r="C27" i="16" s="1"/>
  <c r="K12" i="14"/>
  <c r="J12" i="14"/>
  <c r="I12" i="14"/>
  <c r="H12" i="14"/>
  <c r="G12" i="14"/>
  <c r="C26" i="16" s="1"/>
  <c r="E26" i="16" s="1"/>
  <c r="I26" i="16" s="1"/>
  <c r="I11" i="14"/>
  <c r="G11" i="14"/>
  <c r="H11" i="14" s="1"/>
  <c r="I10" i="14"/>
  <c r="G10" i="14"/>
  <c r="H10" i="14" s="1"/>
  <c r="I9" i="14"/>
  <c r="G9" i="14"/>
  <c r="C23" i="16" s="1"/>
  <c r="H8" i="14"/>
  <c r="H30" i="14" s="1"/>
  <c r="K30" i="14" s="1"/>
  <c r="I38" i="13"/>
  <c r="G38" i="13"/>
  <c r="H38" i="13" s="1"/>
  <c r="I37" i="13"/>
  <c r="G37" i="13"/>
  <c r="H37" i="13" s="1"/>
  <c r="J36" i="13"/>
  <c r="I36" i="13"/>
  <c r="G36" i="13"/>
  <c r="H36" i="13" s="1"/>
  <c r="K36" i="13" s="1"/>
  <c r="I35" i="13"/>
  <c r="H35" i="13"/>
  <c r="G35" i="13"/>
  <c r="I34" i="13"/>
  <c r="H34" i="13"/>
  <c r="G34" i="13"/>
  <c r="K33" i="13"/>
  <c r="I33" i="13"/>
  <c r="H33" i="13"/>
  <c r="J33" i="13" s="1"/>
  <c r="G33" i="13"/>
  <c r="I32" i="13"/>
  <c r="G32" i="13"/>
  <c r="H32" i="13" s="1"/>
  <c r="I31" i="13"/>
  <c r="G31" i="13"/>
  <c r="H31" i="13" s="1"/>
  <c r="I30" i="13"/>
  <c r="H30" i="13"/>
  <c r="K30" i="13" s="1"/>
  <c r="G30" i="13"/>
  <c r="I29" i="13"/>
  <c r="H29" i="13"/>
  <c r="K29" i="13" s="1"/>
  <c r="G29" i="13"/>
  <c r="K28" i="13"/>
  <c r="I28" i="13"/>
  <c r="H28" i="13"/>
  <c r="J28" i="13" s="1"/>
  <c r="G28" i="13"/>
  <c r="I27" i="13"/>
  <c r="G27" i="13"/>
  <c r="H27" i="13" s="1"/>
  <c r="J27" i="13" s="1"/>
  <c r="I26" i="13"/>
  <c r="G26" i="13"/>
  <c r="H26" i="13" s="1"/>
  <c r="J25" i="13"/>
  <c r="I25" i="13"/>
  <c r="H25" i="13"/>
  <c r="K25" i="13" s="1"/>
  <c r="G25" i="13"/>
  <c r="J24" i="13"/>
  <c r="I24" i="13"/>
  <c r="H24" i="13"/>
  <c r="K24" i="13" s="1"/>
  <c r="G24" i="13"/>
  <c r="K23" i="13"/>
  <c r="J23" i="13"/>
  <c r="I23" i="13"/>
  <c r="H23" i="13"/>
  <c r="G23" i="13"/>
  <c r="I22" i="13"/>
  <c r="G22" i="13"/>
  <c r="H22" i="13" s="1"/>
  <c r="I21" i="13"/>
  <c r="G21" i="13"/>
  <c r="H21" i="13" s="1"/>
  <c r="I20" i="13"/>
  <c r="G20" i="13"/>
  <c r="H20" i="13" s="1"/>
  <c r="K20" i="13" s="1"/>
  <c r="I19" i="13"/>
  <c r="H19" i="13"/>
  <c r="G19" i="13"/>
  <c r="I18" i="13"/>
  <c r="H18" i="13"/>
  <c r="G18" i="13"/>
  <c r="K17" i="13"/>
  <c r="I17" i="13"/>
  <c r="H17" i="13"/>
  <c r="J17" i="13" s="1"/>
  <c r="G17" i="13"/>
  <c r="I16" i="13"/>
  <c r="G16" i="13"/>
  <c r="H16" i="13" s="1"/>
  <c r="I15" i="13"/>
  <c r="G15" i="13"/>
  <c r="H15" i="13" s="1"/>
  <c r="I14" i="13"/>
  <c r="H14" i="13"/>
  <c r="K14" i="13" s="1"/>
  <c r="G14" i="13"/>
  <c r="B28" i="16" s="1"/>
  <c r="I13" i="13"/>
  <c r="H13" i="13"/>
  <c r="K13" i="13" s="1"/>
  <c r="G13" i="13"/>
  <c r="K12" i="13"/>
  <c r="I12" i="13"/>
  <c r="H12" i="13"/>
  <c r="J12" i="13" s="1"/>
  <c r="G12" i="13"/>
  <c r="I11" i="13"/>
  <c r="G11" i="13"/>
  <c r="I10" i="13"/>
  <c r="G10" i="13"/>
  <c r="B24" i="16" s="1"/>
  <c r="J9" i="13"/>
  <c r="I9" i="13"/>
  <c r="H9" i="13"/>
  <c r="K9" i="13" s="1"/>
  <c r="G9" i="13"/>
  <c r="H8" i="13"/>
  <c r="B27" i="11"/>
  <c r="B34" i="11" s="1"/>
  <c r="C34" i="11" s="1"/>
  <c r="B26" i="11"/>
  <c r="C22" i="11" s="1"/>
  <c r="C24" i="11"/>
  <c r="C23" i="11"/>
  <c r="C21" i="11"/>
  <c r="C20" i="11"/>
  <c r="B46" i="9"/>
  <c r="O44" i="9"/>
  <c r="N44" i="9"/>
  <c r="M46" i="9" s="1"/>
  <c r="M44" i="9"/>
  <c r="H44" i="9"/>
  <c r="G44" i="9"/>
  <c r="F44" i="9"/>
  <c r="F46" i="9" s="1"/>
  <c r="D44" i="9"/>
  <c r="O42" i="9"/>
  <c r="M42" i="9"/>
  <c r="H42" i="9"/>
  <c r="F42" i="9"/>
  <c r="D42" i="9"/>
  <c r="B42" i="9"/>
  <c r="G40" i="9"/>
  <c r="C40" i="9"/>
  <c r="A31" i="9"/>
  <c r="A32" i="9" s="1"/>
  <c r="M30" i="9"/>
  <c r="F30" i="9"/>
  <c r="A30" i="9"/>
  <c r="A17" i="9"/>
  <c r="A19" i="9" s="1"/>
  <c r="A21" i="9" s="1"/>
  <c r="M15" i="9"/>
  <c r="M22" i="9" s="1"/>
  <c r="M14" i="9"/>
  <c r="M13" i="9"/>
  <c r="F13" i="9"/>
  <c r="F14" i="9" s="1"/>
  <c r="F15" i="9" s="1"/>
  <c r="A13" i="9"/>
  <c r="A14" i="9" s="1"/>
  <c r="A15" i="9" s="1"/>
  <c r="P30" i="8"/>
  <c r="L30" i="8" s="1"/>
  <c r="P29" i="8"/>
  <c r="L29" i="8" s="1"/>
  <c r="P28" i="8"/>
  <c r="L28" i="8" s="1"/>
  <c r="P27" i="8"/>
  <c r="L27" i="8" s="1"/>
  <c r="P26" i="8"/>
  <c r="L26" i="8" s="1"/>
  <c r="P25" i="8"/>
  <c r="L25" i="8" s="1"/>
  <c r="P24" i="8"/>
  <c r="L24" i="8" s="1"/>
  <c r="P23" i="8"/>
  <c r="L23" i="8" s="1"/>
  <c r="P22" i="8"/>
  <c r="L22" i="8" s="1"/>
  <c r="P21" i="8"/>
  <c r="L21" i="8" s="1"/>
  <c r="P20" i="8"/>
  <c r="L20" i="8" s="1"/>
  <c r="P19" i="8"/>
  <c r="L19" i="8" s="1"/>
  <c r="P18" i="8"/>
  <c r="L18" i="8" s="1"/>
  <c r="P17" i="8"/>
  <c r="L17" i="8" s="1"/>
  <c r="P16" i="8"/>
  <c r="L16" i="8" s="1"/>
  <c r="P15" i="8"/>
  <c r="L15" i="8" s="1"/>
  <c r="P14" i="8"/>
  <c r="L14" i="8" s="1"/>
  <c r="P13" i="8"/>
  <c r="L13" i="8" s="1"/>
  <c r="P12" i="8"/>
  <c r="L12" i="8" s="1"/>
  <c r="P11" i="8"/>
  <c r="L11" i="8" s="1"/>
  <c r="P10" i="8"/>
  <c r="L10" i="8" s="1"/>
  <c r="P9" i="8"/>
  <c r="L9" i="8" s="1"/>
  <c r="P8" i="8"/>
  <c r="L8" i="8" s="1"/>
  <c r="P7" i="8"/>
  <c r="L7" i="8" s="1"/>
  <c r="P6" i="8"/>
  <c r="L6" i="8" s="1"/>
  <c r="P5" i="8"/>
  <c r="L5" i="8" s="1"/>
  <c r="P4" i="8"/>
  <c r="L4" i="8" s="1"/>
  <c r="E8" i="7"/>
  <c r="E20" i="7" s="1"/>
  <c r="D8" i="7"/>
  <c r="D10" i="7" s="1"/>
  <c r="C8" i="7"/>
  <c r="C26" i="7" s="1"/>
  <c r="B5" i="7"/>
  <c r="A5" i="7"/>
  <c r="B4" i="7"/>
  <c r="A4" i="7"/>
  <c r="B3" i="7"/>
  <c r="A3" i="7"/>
  <c r="A1" i="7"/>
  <c r="D21" i="6"/>
  <c r="C8" i="6"/>
  <c r="C32" i="6" s="1"/>
  <c r="B8" i="6"/>
  <c r="B22" i="6" s="1"/>
  <c r="C35" i="6"/>
  <c r="C19" i="6"/>
  <c r="F8" i="6"/>
  <c r="F33" i="6" s="1"/>
  <c r="E8" i="6"/>
  <c r="E33" i="6" s="1"/>
  <c r="D8" i="6"/>
  <c r="D23" i="6" s="1"/>
  <c r="B5" i="6"/>
  <c r="A5" i="6"/>
  <c r="B4" i="6"/>
  <c r="A4" i="6"/>
  <c r="B3" i="6"/>
  <c r="A3" i="6"/>
  <c r="A1" i="6"/>
  <c r="F38" i="5"/>
  <c r="D37" i="5"/>
  <c r="C37" i="5"/>
  <c r="B37" i="5"/>
  <c r="E34" i="5"/>
  <c r="D34" i="5"/>
  <c r="C34" i="5"/>
  <c r="C33" i="5"/>
  <c r="E31" i="5"/>
  <c r="D31" i="5"/>
  <c r="C30" i="5"/>
  <c r="B30" i="5"/>
  <c r="C29" i="5"/>
  <c r="E28" i="5"/>
  <c r="E27" i="5"/>
  <c r="C27" i="5"/>
  <c r="B27" i="5"/>
  <c r="C26" i="5"/>
  <c r="F24" i="5"/>
  <c r="E24" i="5"/>
  <c r="D24" i="5"/>
  <c r="C24" i="5"/>
  <c r="F23" i="5"/>
  <c r="C23" i="5"/>
  <c r="B23" i="5"/>
  <c r="C22" i="5"/>
  <c r="F20" i="5"/>
  <c r="E20" i="5"/>
  <c r="D20" i="5"/>
  <c r="C20" i="5"/>
  <c r="F19" i="5"/>
  <c r="C19" i="5"/>
  <c r="B19" i="5"/>
  <c r="C18" i="5"/>
  <c r="F16" i="5"/>
  <c r="E16" i="5"/>
  <c r="D16" i="5"/>
  <c r="C16" i="5"/>
  <c r="F15" i="5"/>
  <c r="D15" i="5"/>
  <c r="C15" i="5"/>
  <c r="B15" i="5"/>
  <c r="C14" i="5"/>
  <c r="F12" i="5"/>
  <c r="E12" i="5"/>
  <c r="D12" i="5"/>
  <c r="C12" i="5"/>
  <c r="F11" i="5"/>
  <c r="D11" i="5"/>
  <c r="C11" i="5"/>
  <c r="B11" i="5"/>
  <c r="C10" i="5"/>
  <c r="F8" i="5"/>
  <c r="F25" i="5" s="1"/>
  <c r="E8" i="5"/>
  <c r="E38" i="5" s="1"/>
  <c r="D8" i="5"/>
  <c r="D28" i="5" s="1"/>
  <c r="C8" i="5"/>
  <c r="C31" i="5" s="1"/>
  <c r="B8" i="5"/>
  <c r="B34" i="5" s="1"/>
  <c r="G34" i="5" s="1"/>
  <c r="B6" i="5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G46" i="4"/>
  <c r="E19" i="4"/>
  <c r="B16" i="4"/>
  <c r="G45" i="4" s="1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B14" i="4"/>
  <c r="D102" i="3" a="1"/>
  <c r="D106" i="3" s="1"/>
  <c r="B102" i="3" a="1"/>
  <c r="B106" i="3" s="1"/>
  <c r="D101" i="3"/>
  <c r="B101" i="3"/>
  <c r="AD99" i="3"/>
  <c r="AC99" i="3"/>
  <c r="I99" i="3"/>
  <c r="B99" i="3"/>
  <c r="I98" i="3"/>
  <c r="B98" i="3"/>
  <c r="O97" i="3"/>
  <c r="N97" i="3"/>
  <c r="H97" i="3"/>
  <c r="G97" i="3"/>
  <c r="J91" i="3"/>
  <c r="C91" i="3"/>
  <c r="AC89" i="3"/>
  <c r="AD89" i="3" s="1"/>
  <c r="J86" i="3"/>
  <c r="C86" i="3"/>
  <c r="J85" i="3"/>
  <c r="C85" i="3"/>
  <c r="AC84" i="3"/>
  <c r="AD84" i="3" s="1"/>
  <c r="AC79" i="3"/>
  <c r="AD79" i="3" s="1"/>
  <c r="AC69" i="3"/>
  <c r="AD69" i="3" s="1"/>
  <c r="AC64" i="3"/>
  <c r="AD64" i="3" s="1"/>
  <c r="AC59" i="3"/>
  <c r="AD59" i="3" s="1"/>
  <c r="AD54" i="3"/>
  <c r="AC54" i="3"/>
  <c r="AC44" i="3"/>
  <c r="AD44" i="3" s="1"/>
  <c r="AC38" i="3"/>
  <c r="AD38" i="3" s="1"/>
  <c r="G37" i="3"/>
  <c r="G36" i="3"/>
  <c r="L36" i="3" s="1"/>
  <c r="L35" i="3"/>
  <c r="G35" i="3"/>
  <c r="G34" i="3"/>
  <c r="G33" i="3"/>
  <c r="L32" i="3"/>
  <c r="G32" i="3"/>
  <c r="G31" i="3"/>
  <c r="G30" i="3"/>
  <c r="L30" i="3" s="1"/>
  <c r="AC29" i="3"/>
  <c r="AD29" i="3" s="1"/>
  <c r="G29" i="3"/>
  <c r="L28" i="3"/>
  <c r="L27" i="3"/>
  <c r="L26" i="3"/>
  <c r="L25" i="3"/>
  <c r="L24" i="3"/>
  <c r="L23" i="3"/>
  <c r="C23" i="3"/>
  <c r="C24" i="3" s="1"/>
  <c r="L22" i="3"/>
  <c r="K22" i="3"/>
  <c r="AD21" i="3"/>
  <c r="AC21" i="3"/>
  <c r="K21" i="3"/>
  <c r="A13" i="3"/>
  <c r="A16" i="3" s="1"/>
  <c r="AD11" i="3"/>
  <c r="AC11" i="3"/>
  <c r="A9" i="3"/>
  <c r="A10" i="3" s="1"/>
  <c r="A11" i="3" s="1"/>
  <c r="A15" i="3" s="1"/>
  <c r="AD7" i="3"/>
  <c r="AC7" i="3"/>
  <c r="C38" i="2"/>
  <c r="D38" i="2" s="1"/>
  <c r="H36" i="2"/>
  <c r="H38" i="2" s="1"/>
  <c r="H35" i="2"/>
  <c r="H33" i="2"/>
  <c r="C31" i="2"/>
  <c r="C30" i="2"/>
  <c r="D28" i="2"/>
  <c r="D27" i="2"/>
  <c r="D19" i="2"/>
  <c r="D20" i="2" s="1"/>
  <c r="D15" i="2"/>
  <c r="B34" i="7" l="1"/>
  <c r="B13" i="7"/>
  <c r="C11" i="7"/>
  <c r="D12" i="7"/>
  <c r="D13" i="7"/>
  <c r="C23" i="7"/>
  <c r="D23" i="7"/>
  <c r="D24" i="7"/>
  <c r="D30" i="7"/>
  <c r="C26" i="6"/>
  <c r="C10" i="6"/>
  <c r="D13" i="6"/>
  <c r="C16" i="6"/>
  <c r="F24" i="7"/>
  <c r="F34" i="7"/>
  <c r="C36" i="7"/>
  <c r="D14" i="7"/>
  <c r="C25" i="7"/>
  <c r="D36" i="7"/>
  <c r="G36" i="7" s="1"/>
  <c r="B26" i="7"/>
  <c r="G26" i="7" s="1"/>
  <c r="C15" i="7"/>
  <c r="D26" i="7"/>
  <c r="D38" i="7"/>
  <c r="D17" i="7"/>
  <c r="B18" i="7"/>
  <c r="D28" i="7"/>
  <c r="C20" i="7"/>
  <c r="D20" i="7"/>
  <c r="C31" i="7"/>
  <c r="B10" i="7"/>
  <c r="G10" i="7" s="1"/>
  <c r="C33" i="7"/>
  <c r="C10" i="7"/>
  <c r="D22" i="7"/>
  <c r="D33" i="7"/>
  <c r="B23" i="7"/>
  <c r="E13" i="6"/>
  <c r="F17" i="6"/>
  <c r="E20" i="6"/>
  <c r="F23" i="6"/>
  <c r="E26" i="6"/>
  <c r="F26" i="6"/>
  <c r="B29" i="6"/>
  <c r="E29" i="6"/>
  <c r="G8" i="6"/>
  <c r="D32" i="6"/>
  <c r="E10" i="6"/>
  <c r="B35" i="6"/>
  <c r="B13" i="6"/>
  <c r="D24" i="3"/>
  <c r="E24" i="3" s="1"/>
  <c r="C25" i="3"/>
  <c r="B6" i="8"/>
  <c r="K34" i="5"/>
  <c r="D23" i="3"/>
  <c r="E23" i="3" s="1"/>
  <c r="D29" i="6"/>
  <c r="L29" i="3"/>
  <c r="L11" i="5"/>
  <c r="I11" i="5"/>
  <c r="L33" i="3"/>
  <c r="D20" i="6"/>
  <c r="D33" i="6"/>
  <c r="D17" i="6"/>
  <c r="D36" i="6"/>
  <c r="D30" i="6"/>
  <c r="D14" i="6"/>
  <c r="D38" i="6"/>
  <c r="D27" i="6"/>
  <c r="D11" i="6"/>
  <c r="D24" i="6"/>
  <c r="D34" i="6"/>
  <c r="D18" i="6"/>
  <c r="D31" i="6"/>
  <c r="D15" i="6"/>
  <c r="D28" i="6"/>
  <c r="D12" i="6"/>
  <c r="D25" i="6"/>
  <c r="D9" i="6"/>
  <c r="D22" i="6"/>
  <c r="D35" i="6"/>
  <c r="D19" i="6"/>
  <c r="D26" i="6"/>
  <c r="D10" i="6"/>
  <c r="E11" i="7"/>
  <c r="E12" i="7"/>
  <c r="E15" i="7"/>
  <c r="E16" i="7"/>
  <c r="E18" i="7"/>
  <c r="E22" i="7"/>
  <c r="E24" i="7"/>
  <c r="E28" i="7"/>
  <c r="E29" i="7"/>
  <c r="E31" i="7"/>
  <c r="E32" i="7"/>
  <c r="E34" i="7"/>
  <c r="E38" i="7"/>
  <c r="I23" i="5"/>
  <c r="G23" i="5"/>
  <c r="I27" i="5"/>
  <c r="E35" i="7"/>
  <c r="E30" i="7"/>
  <c r="E17" i="7"/>
  <c r="E27" i="7"/>
  <c r="E19" i="7"/>
  <c r="E14" i="7"/>
  <c r="E37" i="7"/>
  <c r="E26" i="7"/>
  <c r="E21" i="7"/>
  <c r="E36" i="7"/>
  <c r="E23" i="7"/>
  <c r="E25" i="7"/>
  <c r="E9" i="7"/>
  <c r="E10" i="7"/>
  <c r="E13" i="7"/>
  <c r="G13" i="7" s="1"/>
  <c r="F30" i="6"/>
  <c r="F14" i="6"/>
  <c r="F38" i="6"/>
  <c r="F36" i="6"/>
  <c r="F27" i="6"/>
  <c r="F11" i="6"/>
  <c r="F24" i="6"/>
  <c r="F21" i="6"/>
  <c r="F34" i="6"/>
  <c r="F18" i="6"/>
  <c r="F31" i="6"/>
  <c r="F15" i="6"/>
  <c r="F28" i="6"/>
  <c r="F12" i="6"/>
  <c r="F25" i="6"/>
  <c r="F9" i="6"/>
  <c r="F22" i="6"/>
  <c r="F35" i="6"/>
  <c r="F19" i="6"/>
  <c r="F32" i="6"/>
  <c r="F16" i="6"/>
  <c r="F29" i="6"/>
  <c r="F13" i="6"/>
  <c r="F20" i="6"/>
  <c r="D16" i="6"/>
  <c r="L34" i="5"/>
  <c r="I34" i="5"/>
  <c r="L37" i="5"/>
  <c r="B24" i="6"/>
  <c r="B21" i="6"/>
  <c r="B34" i="6"/>
  <c r="B18" i="6"/>
  <c r="B37" i="6"/>
  <c r="B28" i="6"/>
  <c r="B12" i="6"/>
  <c r="B25" i="6"/>
  <c r="B9" i="6"/>
  <c r="B32" i="6"/>
  <c r="B16" i="6"/>
  <c r="B10" i="6"/>
  <c r="B11" i="6"/>
  <c r="B14" i="6"/>
  <c r="B15" i="6"/>
  <c r="B17" i="6"/>
  <c r="B20" i="6"/>
  <c r="B23" i="6"/>
  <c r="B26" i="6"/>
  <c r="B27" i="6"/>
  <c r="B30" i="6"/>
  <c r="B31" i="6"/>
  <c r="B33" i="6"/>
  <c r="B36" i="6"/>
  <c r="B38" i="6"/>
  <c r="E20" i="4"/>
  <c r="F19" i="4"/>
  <c r="C36" i="6"/>
  <c r="C30" i="6"/>
  <c r="C14" i="6"/>
  <c r="C38" i="6"/>
  <c r="C27" i="6"/>
  <c r="C11" i="6"/>
  <c r="C21" i="6"/>
  <c r="C34" i="6"/>
  <c r="C18" i="6"/>
  <c r="C31" i="6"/>
  <c r="C15" i="6"/>
  <c r="C25" i="6"/>
  <c r="C9" i="6"/>
  <c r="C22" i="6"/>
  <c r="C29" i="6"/>
  <c r="C13" i="6"/>
  <c r="L13" i="6" s="1"/>
  <c r="C12" i="6"/>
  <c r="C17" i="6"/>
  <c r="C20" i="6"/>
  <c r="C23" i="6"/>
  <c r="C24" i="6"/>
  <c r="C28" i="6"/>
  <c r="C33" i="6"/>
  <c r="L34" i="3"/>
  <c r="F10" i="6"/>
  <c r="I35" i="6"/>
  <c r="G35" i="6"/>
  <c r="D26" i="2"/>
  <c r="D25" i="2"/>
  <c r="D24" i="2"/>
  <c r="L31" i="3"/>
  <c r="B19" i="6"/>
  <c r="L37" i="3"/>
  <c r="E23" i="6"/>
  <c r="M31" i="9"/>
  <c r="M32" i="9" s="1"/>
  <c r="D27" i="5"/>
  <c r="L27" i="5" s="1"/>
  <c r="B33" i="5"/>
  <c r="E37" i="5"/>
  <c r="G37" i="5" s="1"/>
  <c r="E16" i="6"/>
  <c r="E32" i="6"/>
  <c r="D102" i="3"/>
  <c r="D19" i="5"/>
  <c r="D23" i="5"/>
  <c r="D30" i="5"/>
  <c r="L30" i="5" s="1"/>
  <c r="B36" i="5"/>
  <c r="F37" i="5"/>
  <c r="E19" i="6"/>
  <c r="E35" i="6"/>
  <c r="L35" i="6" s="1"/>
  <c r="E11" i="5"/>
  <c r="G11" i="5" s="1"/>
  <c r="E15" i="5"/>
  <c r="L15" i="5" s="1"/>
  <c r="E19" i="5"/>
  <c r="L19" i="5" s="1"/>
  <c r="E23" i="5"/>
  <c r="L23" i="5" s="1"/>
  <c r="E30" i="5"/>
  <c r="D33" i="5"/>
  <c r="C36" i="5"/>
  <c r="E22" i="6"/>
  <c r="E37" i="6"/>
  <c r="C13" i="7"/>
  <c r="D103" i="3"/>
  <c r="B10" i="5"/>
  <c r="B14" i="5"/>
  <c r="B18" i="5"/>
  <c r="B22" i="5"/>
  <c r="B26" i="5"/>
  <c r="E33" i="5"/>
  <c r="D36" i="5"/>
  <c r="E9" i="6"/>
  <c r="E25" i="6"/>
  <c r="F22" i="9"/>
  <c r="F17" i="9"/>
  <c r="F19" i="9" s="1"/>
  <c r="F21" i="9" s="1"/>
  <c r="F23" i="9" s="1"/>
  <c r="F24" i="9" s="1"/>
  <c r="D104" i="3"/>
  <c r="B29" i="5"/>
  <c r="E36" i="5"/>
  <c r="E12" i="6"/>
  <c r="E28" i="6"/>
  <c r="C37" i="6"/>
  <c r="B33" i="7"/>
  <c r="B17" i="7"/>
  <c r="B27" i="7"/>
  <c r="B11" i="7"/>
  <c r="B24" i="7"/>
  <c r="B37" i="7"/>
  <c r="B21" i="7"/>
  <c r="B31" i="7"/>
  <c r="B15" i="7"/>
  <c r="B25" i="7"/>
  <c r="B9" i="7"/>
  <c r="B38" i="7"/>
  <c r="B22" i="7"/>
  <c r="G8" i="7"/>
  <c r="B16" i="7"/>
  <c r="B29" i="7"/>
  <c r="B102" i="3"/>
  <c r="D105" i="3"/>
  <c r="D10" i="5"/>
  <c r="D14" i="5"/>
  <c r="D18" i="5"/>
  <c r="D22" i="5"/>
  <c r="D26" i="5"/>
  <c r="B32" i="5"/>
  <c r="F36" i="5"/>
  <c r="E15" i="6"/>
  <c r="E31" i="6"/>
  <c r="D37" i="6"/>
  <c r="C30" i="7"/>
  <c r="C14" i="7"/>
  <c r="C24" i="7"/>
  <c r="C37" i="7"/>
  <c r="C21" i="7"/>
  <c r="C34" i="7"/>
  <c r="C18" i="7"/>
  <c r="L18" i="7" s="1"/>
  <c r="C28" i="7"/>
  <c r="C12" i="7"/>
  <c r="C38" i="7"/>
  <c r="C22" i="7"/>
  <c r="C35" i="7"/>
  <c r="C19" i="7"/>
  <c r="C16" i="7"/>
  <c r="C29" i="7"/>
  <c r="G8" i="5"/>
  <c r="H34" i="5" s="1"/>
  <c r="J34" i="5" s="1"/>
  <c r="E10" i="5"/>
  <c r="E14" i="5"/>
  <c r="E18" i="5"/>
  <c r="E22" i="5"/>
  <c r="E26" i="5"/>
  <c r="D29" i="5"/>
  <c r="C32" i="5"/>
  <c r="B35" i="5"/>
  <c r="E18" i="6"/>
  <c r="E34" i="6"/>
  <c r="E36" i="6"/>
  <c r="D27" i="7"/>
  <c r="D11" i="7"/>
  <c r="D37" i="7"/>
  <c r="D21" i="7"/>
  <c r="D34" i="7"/>
  <c r="D18" i="7"/>
  <c r="D31" i="7"/>
  <c r="D15" i="7"/>
  <c r="D25" i="7"/>
  <c r="D9" i="7"/>
  <c r="D35" i="7"/>
  <c r="D19" i="7"/>
  <c r="D32" i="7"/>
  <c r="D16" i="7"/>
  <c r="F11" i="7"/>
  <c r="B14" i="7"/>
  <c r="F16" i="7"/>
  <c r="D29" i="7"/>
  <c r="B103" i="3"/>
  <c r="B9" i="5"/>
  <c r="F10" i="5"/>
  <c r="B13" i="5"/>
  <c r="F14" i="5"/>
  <c r="B17" i="5"/>
  <c r="F18" i="5"/>
  <c r="B21" i="5"/>
  <c r="F22" i="5"/>
  <c r="B25" i="5"/>
  <c r="E29" i="5"/>
  <c r="D32" i="5"/>
  <c r="C35" i="5"/>
  <c r="E21" i="6"/>
  <c r="F37" i="6"/>
  <c r="B19" i="7"/>
  <c r="C27" i="7"/>
  <c r="B32" i="7"/>
  <c r="B104" i="3"/>
  <c r="C9" i="5"/>
  <c r="C13" i="5"/>
  <c r="C17" i="5"/>
  <c r="C21" i="5"/>
  <c r="C25" i="5"/>
  <c r="E32" i="5"/>
  <c r="D35" i="5"/>
  <c r="B38" i="5"/>
  <c r="E24" i="6"/>
  <c r="F37" i="7"/>
  <c r="F21" i="7"/>
  <c r="F31" i="7"/>
  <c r="F15" i="7"/>
  <c r="F28" i="7"/>
  <c r="F12" i="7"/>
  <c r="F25" i="7"/>
  <c r="F9" i="7"/>
  <c r="F35" i="7"/>
  <c r="F19" i="7"/>
  <c r="F29" i="7"/>
  <c r="F13" i="7"/>
  <c r="F26" i="7"/>
  <c r="F10" i="7"/>
  <c r="C32" i="7"/>
  <c r="M17" i="9"/>
  <c r="M19" i="9" s="1"/>
  <c r="M21" i="9" s="1"/>
  <c r="M23" i="9" s="1"/>
  <c r="M24" i="9" s="1"/>
  <c r="B105" i="3"/>
  <c r="D9" i="5"/>
  <c r="D13" i="5"/>
  <c r="D17" i="5"/>
  <c r="D21" i="5"/>
  <c r="D25" i="5"/>
  <c r="B28" i="5"/>
  <c r="E35" i="5"/>
  <c r="C38" i="5"/>
  <c r="E11" i="6"/>
  <c r="E27" i="6"/>
  <c r="E38" i="6"/>
  <c r="C9" i="7"/>
  <c r="C17" i="7"/>
  <c r="B30" i="7"/>
  <c r="F32" i="7"/>
  <c r="E9" i="5"/>
  <c r="E13" i="5"/>
  <c r="E17" i="5"/>
  <c r="E21" i="5"/>
  <c r="E25" i="5"/>
  <c r="C28" i="5"/>
  <c r="B31" i="5"/>
  <c r="D38" i="5"/>
  <c r="E14" i="6"/>
  <c r="E30" i="6"/>
  <c r="B35" i="7"/>
  <c r="F9" i="5"/>
  <c r="B12" i="5"/>
  <c r="F13" i="5"/>
  <c r="B16" i="5"/>
  <c r="F17" i="5"/>
  <c r="B20" i="5"/>
  <c r="F21" i="5"/>
  <c r="B24" i="5"/>
  <c r="E17" i="6"/>
  <c r="B12" i="7"/>
  <c r="B20" i="7"/>
  <c r="F22" i="7"/>
  <c r="K11" i="14"/>
  <c r="J11" i="14"/>
  <c r="K21" i="14"/>
  <c r="J21" i="14"/>
  <c r="K37" i="14"/>
  <c r="J37" i="14"/>
  <c r="K12" i="15"/>
  <c r="J12" i="15"/>
  <c r="J35" i="13"/>
  <c r="K35" i="13"/>
  <c r="K27" i="14"/>
  <c r="J27" i="14"/>
  <c r="K28" i="15"/>
  <c r="J28" i="15"/>
  <c r="J14" i="13"/>
  <c r="K15" i="13"/>
  <c r="J15" i="13"/>
  <c r="J20" i="13"/>
  <c r="K16" i="14"/>
  <c r="K32" i="14"/>
  <c r="J13" i="15"/>
  <c r="K13" i="15"/>
  <c r="K21" i="13"/>
  <c r="J21" i="13"/>
  <c r="J30" i="13"/>
  <c r="J18" i="15"/>
  <c r="J29" i="15"/>
  <c r="K29" i="15"/>
  <c r="B25" i="16"/>
  <c r="E25" i="16" s="1"/>
  <c r="I25" i="16" s="1"/>
  <c r="H11" i="13"/>
  <c r="K16" i="13"/>
  <c r="J16" i="13"/>
  <c r="K26" i="13"/>
  <c r="J26" i="13"/>
  <c r="K31" i="13"/>
  <c r="J31" i="13"/>
  <c r="J34" i="15"/>
  <c r="K22" i="13"/>
  <c r="J22" i="13"/>
  <c r="K37" i="13"/>
  <c r="J37" i="13"/>
  <c r="K32" i="13"/>
  <c r="J32" i="13"/>
  <c r="K23" i="14"/>
  <c r="J23" i="14"/>
  <c r="K9" i="15"/>
  <c r="J9" i="15"/>
  <c r="D23" i="16"/>
  <c r="E23" i="16" s="1"/>
  <c r="I23" i="16" s="1"/>
  <c r="K38" i="13"/>
  <c r="J38" i="13"/>
  <c r="K15" i="15"/>
  <c r="J15" i="15"/>
  <c r="K25" i="15"/>
  <c r="J25" i="15"/>
  <c r="J30" i="15"/>
  <c r="K27" i="13"/>
  <c r="H10" i="15"/>
  <c r="D24" i="16"/>
  <c r="K20" i="15"/>
  <c r="J20" i="15"/>
  <c r="K31" i="15"/>
  <c r="J31" i="15"/>
  <c r="C24" i="16"/>
  <c r="E24" i="16" s="1"/>
  <c r="I24" i="16" s="1"/>
  <c r="J13" i="14"/>
  <c r="J24" i="14"/>
  <c r="K24" i="14"/>
  <c r="K16" i="15"/>
  <c r="J16" i="15"/>
  <c r="K26" i="15"/>
  <c r="J26" i="15"/>
  <c r="K36" i="15"/>
  <c r="J36" i="15"/>
  <c r="K32" i="15"/>
  <c r="J32" i="15"/>
  <c r="K18" i="13"/>
  <c r="J18" i="13"/>
  <c r="K34" i="13"/>
  <c r="J34" i="13"/>
  <c r="K10" i="14"/>
  <c r="J10" i="14"/>
  <c r="K20" i="14"/>
  <c r="J20" i="14"/>
  <c r="J25" i="14"/>
  <c r="J30" i="14"/>
  <c r="K36" i="14"/>
  <c r="J36" i="14"/>
  <c r="K37" i="15"/>
  <c r="E28" i="16"/>
  <c r="I28" i="16" s="1"/>
  <c r="J19" i="13"/>
  <c r="K19" i="13"/>
  <c r="K15" i="14"/>
  <c r="J15" i="14"/>
  <c r="K26" i="14"/>
  <c r="J26" i="14"/>
  <c r="K31" i="14"/>
  <c r="J31" i="14"/>
  <c r="H10" i="13"/>
  <c r="J13" i="13"/>
  <c r="J29" i="13"/>
  <c r="J18" i="14"/>
  <c r="J34" i="14"/>
  <c r="J23" i="15"/>
  <c r="H9" i="14"/>
  <c r="H17" i="14"/>
  <c r="H33" i="14"/>
  <c r="H22" i="15"/>
  <c r="L36" i="7" l="1"/>
  <c r="G28" i="7"/>
  <c r="I28" i="7" s="1"/>
  <c r="L34" i="7"/>
  <c r="G23" i="7"/>
  <c r="I23" i="7" s="1"/>
  <c r="L29" i="6"/>
  <c r="I29" i="6"/>
  <c r="I22" i="6"/>
  <c r="G13" i="6"/>
  <c r="L26" i="7"/>
  <c r="L23" i="7"/>
  <c r="G18" i="7"/>
  <c r="H18" i="7"/>
  <c r="J18" i="7" s="1"/>
  <c r="G34" i="7"/>
  <c r="K34" i="7" s="1"/>
  <c r="L13" i="7"/>
  <c r="L10" i="7"/>
  <c r="L28" i="7"/>
  <c r="G22" i="6"/>
  <c r="C18" i="8" s="1"/>
  <c r="L22" i="6"/>
  <c r="G29" i="6"/>
  <c r="K29" i="6" s="1"/>
  <c r="I13" i="6"/>
  <c r="K37" i="5"/>
  <c r="H37" i="5"/>
  <c r="J37" i="5" s="1"/>
  <c r="B29" i="8"/>
  <c r="K11" i="5"/>
  <c r="H11" i="5"/>
  <c r="J11" i="5" s="1"/>
  <c r="C27" i="8"/>
  <c r="K13" i="6"/>
  <c r="H13" i="6"/>
  <c r="J13" i="6" s="1"/>
  <c r="L17" i="6"/>
  <c r="G17" i="6"/>
  <c r="I17" i="6"/>
  <c r="L35" i="7"/>
  <c r="G35" i="7"/>
  <c r="L11" i="7"/>
  <c r="G29" i="8" s="1"/>
  <c r="H29" i="8" s="1"/>
  <c r="G11" i="7"/>
  <c r="K10" i="13"/>
  <c r="J10" i="13"/>
  <c r="L17" i="7"/>
  <c r="G17" i="7"/>
  <c r="E21" i="4"/>
  <c r="F20" i="4"/>
  <c r="L17" i="5"/>
  <c r="G17" i="5"/>
  <c r="I17" i="5"/>
  <c r="G11" i="6"/>
  <c r="L11" i="6"/>
  <c r="I11" i="6"/>
  <c r="G19" i="5"/>
  <c r="L29" i="7"/>
  <c r="G29" i="7"/>
  <c r="L33" i="7"/>
  <c r="G33" i="7"/>
  <c r="I22" i="5"/>
  <c r="G22" i="5"/>
  <c r="L22" i="5"/>
  <c r="L33" i="5"/>
  <c r="I33" i="5"/>
  <c r="G33" i="5"/>
  <c r="L10" i="6"/>
  <c r="I10" i="6"/>
  <c r="G10" i="6"/>
  <c r="I19" i="5"/>
  <c r="F23" i="3"/>
  <c r="H23" i="3" s="1"/>
  <c r="I26" i="5"/>
  <c r="G26" i="5"/>
  <c r="L26" i="5"/>
  <c r="L31" i="5"/>
  <c r="I31" i="5"/>
  <c r="G31" i="5"/>
  <c r="L28" i="5"/>
  <c r="G28" i="5"/>
  <c r="I28" i="5"/>
  <c r="L13" i="5"/>
  <c r="G13" i="5"/>
  <c r="I13" i="5"/>
  <c r="G16" i="7"/>
  <c r="L16" i="7"/>
  <c r="I18" i="5"/>
  <c r="G18" i="5"/>
  <c r="L18" i="5"/>
  <c r="L16" i="6"/>
  <c r="I16" i="6"/>
  <c r="G16" i="6"/>
  <c r="D30" i="8"/>
  <c r="K10" i="7"/>
  <c r="I10" i="7"/>
  <c r="H10" i="7"/>
  <c r="J10" i="7" s="1"/>
  <c r="L21" i="5"/>
  <c r="G21" i="5"/>
  <c r="I21" i="5"/>
  <c r="I15" i="6"/>
  <c r="G15" i="6"/>
  <c r="L15" i="6"/>
  <c r="J11" i="13"/>
  <c r="K11" i="13"/>
  <c r="L20" i="7"/>
  <c r="G20" i="7"/>
  <c r="K13" i="7"/>
  <c r="H13" i="7"/>
  <c r="J13" i="7" s="1"/>
  <c r="D27" i="8"/>
  <c r="I13" i="7"/>
  <c r="I14" i="5"/>
  <c r="G14" i="5"/>
  <c r="L14" i="5"/>
  <c r="D14" i="8"/>
  <c r="K26" i="7"/>
  <c r="I26" i="7"/>
  <c r="H26" i="7"/>
  <c r="J26" i="7" s="1"/>
  <c r="L32" i="6"/>
  <c r="I32" i="6"/>
  <c r="G32" i="6"/>
  <c r="K36" i="7"/>
  <c r="I36" i="7"/>
  <c r="H36" i="7"/>
  <c r="J36" i="7" s="1"/>
  <c r="D4" i="8"/>
  <c r="G12" i="7"/>
  <c r="L12" i="7"/>
  <c r="G32" i="7"/>
  <c r="L32" i="7"/>
  <c r="L9" i="5"/>
  <c r="G9" i="5"/>
  <c r="I9" i="5"/>
  <c r="I10" i="5"/>
  <c r="G10" i="5"/>
  <c r="L10" i="5"/>
  <c r="I38" i="6"/>
  <c r="G38" i="6"/>
  <c r="L38" i="6"/>
  <c r="L9" i="6"/>
  <c r="I9" i="6"/>
  <c r="G9" i="6"/>
  <c r="B17" i="8"/>
  <c r="K23" i="5"/>
  <c r="H23" i="5"/>
  <c r="J23" i="5" s="1"/>
  <c r="G22" i="7"/>
  <c r="L22" i="7"/>
  <c r="I37" i="5"/>
  <c r="F31" i="9"/>
  <c r="F32" i="9" s="1"/>
  <c r="G36" i="6"/>
  <c r="L36" i="6"/>
  <c r="I36" i="6"/>
  <c r="L25" i="6"/>
  <c r="I25" i="6"/>
  <c r="G25" i="6"/>
  <c r="G15" i="5"/>
  <c r="C5" i="8"/>
  <c r="K35" i="6"/>
  <c r="H35" i="6"/>
  <c r="J35" i="6" s="1"/>
  <c r="L14" i="6"/>
  <c r="I14" i="6"/>
  <c r="G14" i="6"/>
  <c r="I15" i="5"/>
  <c r="G30" i="5"/>
  <c r="L19" i="7"/>
  <c r="G19" i="7"/>
  <c r="L19" i="6"/>
  <c r="I19" i="6"/>
  <c r="G19" i="6"/>
  <c r="L33" i="6"/>
  <c r="G33" i="6"/>
  <c r="I33" i="6"/>
  <c r="K10" i="15"/>
  <c r="J10" i="15"/>
  <c r="G9" i="7"/>
  <c r="L9" i="7"/>
  <c r="I29" i="5"/>
  <c r="G29" i="5"/>
  <c r="L29" i="5"/>
  <c r="D6" i="8"/>
  <c r="I31" i="6"/>
  <c r="G31" i="6"/>
  <c r="L31" i="6"/>
  <c r="L28" i="6"/>
  <c r="I28" i="6"/>
  <c r="G28" i="6"/>
  <c r="I30" i="5"/>
  <c r="J22" i="15"/>
  <c r="K22" i="15"/>
  <c r="L24" i="5"/>
  <c r="I24" i="5"/>
  <c r="G24" i="5"/>
  <c r="G38" i="7"/>
  <c r="L38" i="7"/>
  <c r="L12" i="6"/>
  <c r="I12" i="6"/>
  <c r="G12" i="6"/>
  <c r="J33" i="14"/>
  <c r="K33" i="14"/>
  <c r="J17" i="14"/>
  <c r="K17" i="14"/>
  <c r="L20" i="5"/>
  <c r="I20" i="5"/>
  <c r="G20" i="5"/>
  <c r="G25" i="7"/>
  <c r="L25" i="7"/>
  <c r="L30" i="6"/>
  <c r="I30" i="6"/>
  <c r="G30" i="6"/>
  <c r="L37" i="6"/>
  <c r="I37" i="6"/>
  <c r="G37" i="6"/>
  <c r="D25" i="3"/>
  <c r="E25" i="3" s="1"/>
  <c r="C26" i="3"/>
  <c r="L27" i="7"/>
  <c r="G27" i="7"/>
  <c r="L36" i="5"/>
  <c r="I36" i="5"/>
  <c r="G36" i="5"/>
  <c r="F24" i="3"/>
  <c r="H24" i="3" s="1"/>
  <c r="G14" i="7"/>
  <c r="L14" i="7"/>
  <c r="I32" i="5"/>
  <c r="G32" i="5"/>
  <c r="L32" i="5"/>
  <c r="L15" i="7"/>
  <c r="G15" i="7"/>
  <c r="G27" i="6"/>
  <c r="L27" i="6"/>
  <c r="I27" i="6"/>
  <c r="I18" i="6"/>
  <c r="G18" i="6"/>
  <c r="L18" i="6"/>
  <c r="L16" i="5"/>
  <c r="I16" i="5"/>
  <c r="G16" i="5"/>
  <c r="L30" i="7"/>
  <c r="G30" i="7"/>
  <c r="L31" i="7"/>
  <c r="G31" i="7"/>
  <c r="L26" i="6"/>
  <c r="I26" i="6"/>
  <c r="G26" i="6"/>
  <c r="I34" i="6"/>
  <c r="G34" i="6"/>
  <c r="L34" i="6"/>
  <c r="G27" i="5"/>
  <c r="K22" i="6"/>
  <c r="L21" i="7"/>
  <c r="G21" i="7"/>
  <c r="I21" i="6"/>
  <c r="G21" i="6"/>
  <c r="L21" i="6"/>
  <c r="H28" i="7"/>
  <c r="J28" i="7" s="1"/>
  <c r="L24" i="7"/>
  <c r="G24" i="7"/>
  <c r="K9" i="14"/>
  <c r="J9" i="14"/>
  <c r="L38" i="5"/>
  <c r="G38" i="5"/>
  <c r="I38" i="5"/>
  <c r="L23" i="6"/>
  <c r="G17" i="8" s="1"/>
  <c r="H17" i="8" s="1"/>
  <c r="I23" i="6"/>
  <c r="G23" i="6"/>
  <c r="L12" i="5"/>
  <c r="I12" i="5"/>
  <c r="G12" i="5"/>
  <c r="L25" i="5"/>
  <c r="I25" i="5"/>
  <c r="G25" i="5"/>
  <c r="G35" i="5"/>
  <c r="L35" i="5"/>
  <c r="I35" i="5"/>
  <c r="G37" i="7"/>
  <c r="L37" i="7"/>
  <c r="L20" i="6"/>
  <c r="I20" i="6"/>
  <c r="G20" i="6"/>
  <c r="G24" i="6"/>
  <c r="L24" i="6"/>
  <c r="I24" i="6"/>
  <c r="G13" i="8" l="1"/>
  <c r="H13" i="8" s="1"/>
  <c r="D17" i="8"/>
  <c r="G5" i="8"/>
  <c r="H5" i="8" s="1"/>
  <c r="I34" i="7"/>
  <c r="G6" i="8"/>
  <c r="H6" i="8" s="1"/>
  <c r="H23" i="7"/>
  <c r="J23" i="7" s="1"/>
  <c r="H34" i="7"/>
  <c r="J34" i="7" s="1"/>
  <c r="K23" i="7"/>
  <c r="K28" i="7"/>
  <c r="D12" i="8"/>
  <c r="C11" i="8"/>
  <c r="G8" i="8"/>
  <c r="H8" i="8" s="1"/>
  <c r="G15" i="8"/>
  <c r="H15" i="8" s="1"/>
  <c r="H29" i="6"/>
  <c r="J29" i="6" s="1"/>
  <c r="G18" i="8"/>
  <c r="H18" i="8" s="1"/>
  <c r="G4" i="8"/>
  <c r="H4" i="8" s="1"/>
  <c r="G25" i="8"/>
  <c r="H25" i="8" s="1"/>
  <c r="G21" i="8"/>
  <c r="H21" i="8" s="1"/>
  <c r="G11" i="8"/>
  <c r="H11" i="8" s="1"/>
  <c r="G10" i="8"/>
  <c r="H10" i="8" s="1"/>
  <c r="D22" i="8"/>
  <c r="I18" i="7"/>
  <c r="K18" i="7"/>
  <c r="G27" i="8"/>
  <c r="H27" i="8" s="1"/>
  <c r="G28" i="8"/>
  <c r="H28" i="8" s="1"/>
  <c r="H22" i="6"/>
  <c r="J22" i="6" s="1"/>
  <c r="G20" i="8"/>
  <c r="H20" i="8" s="1"/>
  <c r="H9" i="7"/>
  <c r="J9" i="7" s="1"/>
  <c r="I9" i="7"/>
  <c r="D31" i="8"/>
  <c r="K9" i="7"/>
  <c r="C29" i="8"/>
  <c r="H11" i="6"/>
  <c r="J11" i="6" s="1"/>
  <c r="K11" i="6"/>
  <c r="C23" i="8"/>
  <c r="K17" i="6"/>
  <c r="H17" i="6"/>
  <c r="J17" i="6" s="1"/>
  <c r="B13" i="8"/>
  <c r="K27" i="5"/>
  <c r="H27" i="5"/>
  <c r="J27" i="5" s="1"/>
  <c r="B15" i="8"/>
  <c r="K25" i="5"/>
  <c r="H25" i="5"/>
  <c r="J25" i="5" s="1"/>
  <c r="K27" i="7"/>
  <c r="H27" i="7"/>
  <c r="J27" i="7" s="1"/>
  <c r="D13" i="8"/>
  <c r="I27" i="7"/>
  <c r="C12" i="8"/>
  <c r="K28" i="6"/>
  <c r="H28" i="6"/>
  <c r="J28" i="6" s="1"/>
  <c r="K9" i="6"/>
  <c r="H9" i="6"/>
  <c r="J9" i="6" s="1"/>
  <c r="C31" i="8"/>
  <c r="K16" i="6"/>
  <c r="C24" i="8"/>
  <c r="H16" i="6"/>
  <c r="J16" i="6" s="1"/>
  <c r="B12" i="8"/>
  <c r="K28" i="5"/>
  <c r="H28" i="5"/>
  <c r="J28" i="5" s="1"/>
  <c r="B23" i="8"/>
  <c r="K17" i="5"/>
  <c r="H17" i="5"/>
  <c r="J17" i="5" s="1"/>
  <c r="C13" i="8"/>
  <c r="H27" i="6"/>
  <c r="J27" i="6" s="1"/>
  <c r="K27" i="6"/>
  <c r="B25" i="8"/>
  <c r="K15" i="5"/>
  <c r="H15" i="5"/>
  <c r="J15" i="5" s="1"/>
  <c r="G12" i="8"/>
  <c r="H12" i="8" s="1"/>
  <c r="K33" i="5"/>
  <c r="H33" i="5"/>
  <c r="J33" i="5" s="1"/>
  <c r="B7" i="8"/>
  <c r="G23" i="8"/>
  <c r="H23" i="8" s="1"/>
  <c r="H35" i="5"/>
  <c r="J35" i="5" s="1"/>
  <c r="B5" i="8"/>
  <c r="E5" i="8" s="1"/>
  <c r="K35" i="5"/>
  <c r="D26" i="3"/>
  <c r="E26" i="3" s="1"/>
  <c r="C27" i="3"/>
  <c r="C7" i="8"/>
  <c r="K33" i="6"/>
  <c r="H33" i="6"/>
  <c r="J33" i="6" s="1"/>
  <c r="K25" i="6"/>
  <c r="H25" i="6"/>
  <c r="J25" i="6" s="1"/>
  <c r="C15" i="8"/>
  <c r="K20" i="7"/>
  <c r="I20" i="7"/>
  <c r="H20" i="7"/>
  <c r="J20" i="7" s="1"/>
  <c r="D20" i="8"/>
  <c r="B9" i="8"/>
  <c r="K31" i="5"/>
  <c r="H31" i="5"/>
  <c r="J31" i="5" s="1"/>
  <c r="C14" i="8"/>
  <c r="K26" i="6"/>
  <c r="H26" i="6"/>
  <c r="J26" i="6" s="1"/>
  <c r="F25" i="3"/>
  <c r="H25" i="3" s="1"/>
  <c r="G7" i="8"/>
  <c r="H7" i="8" s="1"/>
  <c r="I12" i="7"/>
  <c r="D28" i="8"/>
  <c r="H12" i="7"/>
  <c r="J12" i="7" s="1"/>
  <c r="K12" i="7"/>
  <c r="K37" i="6"/>
  <c r="H37" i="6"/>
  <c r="J37" i="6" s="1"/>
  <c r="C28" i="8"/>
  <c r="K12" i="6"/>
  <c r="H12" i="6"/>
  <c r="J12" i="6" s="1"/>
  <c r="C9" i="8"/>
  <c r="K31" i="6"/>
  <c r="H31" i="6"/>
  <c r="J31" i="6" s="1"/>
  <c r="C21" i="8"/>
  <c r="K19" i="6"/>
  <c r="H19" i="6"/>
  <c r="J19" i="6" s="1"/>
  <c r="K38" i="6"/>
  <c r="H38" i="6"/>
  <c r="J38" i="6" s="1"/>
  <c r="C8" i="8"/>
  <c r="K32" i="6"/>
  <c r="H32" i="6"/>
  <c r="J32" i="6" s="1"/>
  <c r="G9" i="8"/>
  <c r="H9" i="8" s="1"/>
  <c r="E22" i="4"/>
  <c r="F21" i="4"/>
  <c r="C6" i="8"/>
  <c r="E6" i="8" s="1"/>
  <c r="H34" i="6"/>
  <c r="J34" i="6" s="1"/>
  <c r="K34" i="6"/>
  <c r="B28" i="8"/>
  <c r="K12" i="5"/>
  <c r="H12" i="5"/>
  <c r="J12" i="5" s="1"/>
  <c r="C17" i="8"/>
  <c r="E17" i="8" s="1"/>
  <c r="K23" i="6"/>
  <c r="H23" i="6"/>
  <c r="J23" i="6" s="1"/>
  <c r="H31" i="7"/>
  <c r="J31" i="7" s="1"/>
  <c r="D9" i="8"/>
  <c r="K31" i="7"/>
  <c r="I31" i="7"/>
  <c r="B8" i="8"/>
  <c r="H32" i="5"/>
  <c r="J32" i="5" s="1"/>
  <c r="K32" i="5"/>
  <c r="G14" i="8"/>
  <c r="H14" i="8" s="1"/>
  <c r="H22" i="5"/>
  <c r="J22" i="5" s="1"/>
  <c r="B18" i="8"/>
  <c r="K22" i="5"/>
  <c r="I17" i="7"/>
  <c r="D23" i="8"/>
  <c r="H17" i="7"/>
  <c r="J17" i="7" s="1"/>
  <c r="K17" i="7"/>
  <c r="H15" i="7"/>
  <c r="J15" i="7" s="1"/>
  <c r="K15" i="7"/>
  <c r="I15" i="7"/>
  <c r="D25" i="8"/>
  <c r="H24" i="6"/>
  <c r="J24" i="6" s="1"/>
  <c r="C16" i="8"/>
  <c r="K24" i="6"/>
  <c r="G30" i="8"/>
  <c r="H30" i="8" s="1"/>
  <c r="B14" i="8"/>
  <c r="K26" i="5"/>
  <c r="H26" i="5"/>
  <c r="J26" i="5" s="1"/>
  <c r="C20" i="8"/>
  <c r="K20" i="6"/>
  <c r="H20" i="6"/>
  <c r="J20" i="6" s="1"/>
  <c r="C19" i="8"/>
  <c r="H21" i="6"/>
  <c r="J21" i="6" s="1"/>
  <c r="K21" i="6"/>
  <c r="D10" i="8"/>
  <c r="K30" i="7"/>
  <c r="I30" i="7"/>
  <c r="H30" i="7"/>
  <c r="J30" i="7" s="1"/>
  <c r="C10" i="8"/>
  <c r="K30" i="6"/>
  <c r="H30" i="6"/>
  <c r="J30" i="6" s="1"/>
  <c r="D21" i="8"/>
  <c r="I19" i="7"/>
  <c r="H19" i="7"/>
  <c r="J19" i="7" s="1"/>
  <c r="K19" i="7"/>
  <c r="C4" i="8"/>
  <c r="H36" i="6"/>
  <c r="J36" i="6" s="1"/>
  <c r="K36" i="6"/>
  <c r="B30" i="8"/>
  <c r="H10" i="5"/>
  <c r="J10" i="5" s="1"/>
  <c r="K10" i="5"/>
  <c r="C25" i="8"/>
  <c r="K15" i="6"/>
  <c r="H15" i="6"/>
  <c r="J15" i="6" s="1"/>
  <c r="G22" i="8"/>
  <c r="H22" i="8" s="1"/>
  <c r="I33" i="7"/>
  <c r="D7" i="8"/>
  <c r="K33" i="7"/>
  <c r="H33" i="7"/>
  <c r="J33" i="7" s="1"/>
  <c r="H18" i="5"/>
  <c r="J18" i="5" s="1"/>
  <c r="K18" i="5"/>
  <c r="B22" i="8"/>
  <c r="B16" i="8"/>
  <c r="K24" i="5"/>
  <c r="H24" i="5"/>
  <c r="J24" i="5" s="1"/>
  <c r="B10" i="8"/>
  <c r="K30" i="5"/>
  <c r="H30" i="5"/>
  <c r="J30" i="5" s="1"/>
  <c r="B76" i="3" a="1"/>
  <c r="K29" i="7"/>
  <c r="H29" i="7"/>
  <c r="J29" i="7" s="1"/>
  <c r="D11" i="8"/>
  <c r="I29" i="7"/>
  <c r="K11" i="7"/>
  <c r="D29" i="8"/>
  <c r="I11" i="7"/>
  <c r="H11" i="7"/>
  <c r="J11" i="7" s="1"/>
  <c r="D19" i="8"/>
  <c r="K21" i="7"/>
  <c r="I21" i="7"/>
  <c r="H21" i="7"/>
  <c r="J21" i="7" s="1"/>
  <c r="B31" i="8"/>
  <c r="K9" i="5"/>
  <c r="H9" i="5"/>
  <c r="J9" i="5" s="1"/>
  <c r="B19" i="8"/>
  <c r="K21" i="5"/>
  <c r="H21" i="5"/>
  <c r="J21" i="5" s="1"/>
  <c r="D26" i="8"/>
  <c r="K14" i="7"/>
  <c r="H14" i="7"/>
  <c r="J14" i="7" s="1"/>
  <c r="I14" i="7"/>
  <c r="K38" i="5"/>
  <c r="H38" i="5"/>
  <c r="J38" i="5" s="1"/>
  <c r="K37" i="7"/>
  <c r="I37" i="7"/>
  <c r="H37" i="7"/>
  <c r="J37" i="7" s="1"/>
  <c r="G24" i="8"/>
  <c r="H24" i="8" s="1"/>
  <c r="G16" i="8"/>
  <c r="H16" i="8" s="1"/>
  <c r="H29" i="5"/>
  <c r="J29" i="5" s="1"/>
  <c r="B11" i="8"/>
  <c r="K29" i="5"/>
  <c r="C26" i="8"/>
  <c r="K14" i="6"/>
  <c r="H14" i="6"/>
  <c r="J14" i="6" s="1"/>
  <c r="G31" i="8"/>
  <c r="H31" i="8" s="1"/>
  <c r="G26" i="8"/>
  <c r="H26" i="8" s="1"/>
  <c r="G19" i="8"/>
  <c r="H19" i="8" s="1"/>
  <c r="K16" i="7"/>
  <c r="I16" i="7"/>
  <c r="H16" i="7"/>
  <c r="J16" i="7" s="1"/>
  <c r="D24" i="8"/>
  <c r="K19" i="5"/>
  <c r="B21" i="8"/>
  <c r="H19" i="5"/>
  <c r="J19" i="5" s="1"/>
  <c r="D5" i="8"/>
  <c r="I35" i="7"/>
  <c r="H35" i="7"/>
  <c r="J35" i="7" s="1"/>
  <c r="K35" i="7"/>
  <c r="H25" i="7"/>
  <c r="J25" i="7" s="1"/>
  <c r="D15" i="8"/>
  <c r="I25" i="7"/>
  <c r="K25" i="7"/>
  <c r="K22" i="7"/>
  <c r="I22" i="7"/>
  <c r="H22" i="7"/>
  <c r="J22" i="7" s="1"/>
  <c r="D18" i="8"/>
  <c r="B26" i="8"/>
  <c r="H14" i="5"/>
  <c r="J14" i="5" s="1"/>
  <c r="K14" i="5"/>
  <c r="K38" i="7"/>
  <c r="I38" i="7"/>
  <c r="H38" i="7"/>
  <c r="J38" i="7" s="1"/>
  <c r="B24" i="8"/>
  <c r="K16" i="5"/>
  <c r="H16" i="5"/>
  <c r="J16" i="5" s="1"/>
  <c r="D16" i="8"/>
  <c r="K24" i="7"/>
  <c r="I24" i="7"/>
  <c r="H24" i="7"/>
  <c r="J24" i="7" s="1"/>
  <c r="H18" i="6"/>
  <c r="J18" i="6" s="1"/>
  <c r="K18" i="6"/>
  <c r="C22" i="8"/>
  <c r="B4" i="8"/>
  <c r="K36" i="5"/>
  <c r="H36" i="5"/>
  <c r="J36" i="5" s="1"/>
  <c r="B20" i="8"/>
  <c r="K20" i="5"/>
  <c r="H20" i="5"/>
  <c r="J20" i="5" s="1"/>
  <c r="K32" i="7"/>
  <c r="I32" i="7"/>
  <c r="H32" i="7"/>
  <c r="J32" i="7" s="1"/>
  <c r="D8" i="8"/>
  <c r="B27" i="8"/>
  <c r="E27" i="8" s="1"/>
  <c r="K13" i="5"/>
  <c r="H13" i="5"/>
  <c r="J13" i="5" s="1"/>
  <c r="C30" i="8"/>
  <c r="K10" i="6"/>
  <c r="H10" i="6"/>
  <c r="J10" i="6" s="1"/>
  <c r="E14" i="8" l="1"/>
  <c r="E7" i="8"/>
  <c r="E20" i="8"/>
  <c r="E31" i="8"/>
  <c r="E29" i="8"/>
  <c r="E21" i="8"/>
  <c r="E18" i="8"/>
  <c r="E15" i="8"/>
  <c r="E13" i="8"/>
  <c r="E19" i="8"/>
  <c r="E11" i="8"/>
  <c r="E8" i="8"/>
  <c r="E4" i="8"/>
  <c r="E16" i="8"/>
  <c r="E30" i="8"/>
  <c r="E9" i="8"/>
  <c r="E12" i="8"/>
  <c r="B76" i="3"/>
  <c r="B80" i="3"/>
  <c r="C79" i="3"/>
  <c r="B79" i="3"/>
  <c r="C78" i="3"/>
  <c r="C84" i="3" s="1"/>
  <c r="B78" i="3"/>
  <c r="C76" i="3"/>
  <c r="C98" i="3" s="1" a="1"/>
  <c r="C77" i="3"/>
  <c r="D98" i="3" s="1" a="1"/>
  <c r="C80" i="3"/>
  <c r="B77" i="3"/>
  <c r="E24" i="8"/>
  <c r="E23" i="4"/>
  <c r="F22" i="4"/>
  <c r="E10" i="8"/>
  <c r="E25" i="8"/>
  <c r="E22" i="8"/>
  <c r="E26" i="8"/>
  <c r="C28" i="3"/>
  <c r="D27" i="3"/>
  <c r="E27" i="3" s="1"/>
  <c r="F26" i="3"/>
  <c r="H26" i="3" s="1"/>
  <c r="E28" i="8"/>
  <c r="E23" i="8"/>
  <c r="M4" i="8"/>
  <c r="M15" i="8"/>
  <c r="M16" i="8"/>
  <c r="M17" i="8"/>
  <c r="M18" i="8"/>
  <c r="M19" i="8"/>
  <c r="M20" i="8"/>
  <c r="M5" i="8"/>
  <c r="M21" i="8"/>
  <c r="M6" i="8"/>
  <c r="M22" i="8"/>
  <c r="M7" i="8"/>
  <c r="M23" i="8"/>
  <c r="M8" i="8"/>
  <c r="M24" i="8"/>
  <c r="M9" i="8"/>
  <c r="M25" i="8"/>
  <c r="M10" i="8"/>
  <c r="M26" i="8"/>
  <c r="M11" i="8"/>
  <c r="M27" i="8"/>
  <c r="M12" i="8"/>
  <c r="M28" i="8"/>
  <c r="M13" i="8"/>
  <c r="M29" i="8"/>
  <c r="M14" i="8"/>
  <c r="M30" i="8"/>
  <c r="B5" i="10" l="1"/>
  <c r="B31" i="10"/>
  <c r="B15" i="10"/>
  <c r="B30" i="10"/>
  <c r="B14" i="10"/>
  <c r="B29" i="10"/>
  <c r="B13" i="10"/>
  <c r="B28" i="10"/>
  <c r="B12" i="10"/>
  <c r="B27" i="10"/>
  <c r="B11" i="10"/>
  <c r="B26" i="10"/>
  <c r="B10" i="10"/>
  <c r="B25" i="10"/>
  <c r="B9" i="10"/>
  <c r="B24" i="10"/>
  <c r="B8" i="10"/>
  <c r="B23" i="10"/>
  <c r="B7" i="10"/>
  <c r="B22" i="10"/>
  <c r="B6" i="10"/>
  <c r="B21" i="10"/>
  <c r="B20" i="10"/>
  <c r="B19" i="10"/>
  <c r="B18" i="10"/>
  <c r="B17" i="10"/>
  <c r="B16" i="10"/>
  <c r="F23" i="4"/>
  <c r="E24" i="4"/>
  <c r="C83" i="3"/>
  <c r="C87" i="3"/>
  <c r="F27" i="3"/>
  <c r="H27" i="3" s="1"/>
  <c r="D98" i="3"/>
  <c r="D99" i="3"/>
  <c r="C29" i="3"/>
  <c r="D28" i="3"/>
  <c r="E28" i="3" s="1"/>
  <c r="E91" i="3"/>
  <c r="D93" i="3"/>
  <c r="D91" i="3"/>
  <c r="C98" i="3"/>
  <c r="C99" i="3"/>
  <c r="F91" i="3"/>
  <c r="G91" i="3"/>
  <c r="E92" i="3"/>
  <c r="D92" i="3"/>
  <c r="C92" i="3"/>
  <c r="C93" i="3"/>
  <c r="D5" i="10"/>
  <c r="D22" i="10"/>
  <c r="D19" i="10"/>
  <c r="D21" i="10"/>
  <c r="D7" i="10"/>
  <c r="D23" i="10"/>
  <c r="D8" i="10"/>
  <c r="D24" i="10"/>
  <c r="D20" i="10"/>
  <c r="D9" i="10"/>
  <c r="D25" i="10"/>
  <c r="D10" i="10"/>
  <c r="D26" i="10"/>
  <c r="D11" i="10"/>
  <c r="D27" i="10"/>
  <c r="D12" i="10"/>
  <c r="D28" i="10"/>
  <c r="D13" i="10"/>
  <c r="D29" i="10"/>
  <c r="D14" i="10"/>
  <c r="D30" i="10"/>
  <c r="D15" i="10"/>
  <c r="D31" i="10"/>
  <c r="D16" i="10"/>
  <c r="D32" i="10"/>
  <c r="D17" i="10"/>
  <c r="D33" i="10"/>
  <c r="D6" i="10"/>
  <c r="D18" i="10"/>
  <c r="D34" i="10"/>
  <c r="AJ22" i="10" l="1"/>
  <c r="AJ23" i="10" s="1"/>
  <c r="T22" i="10"/>
  <c r="T23" i="10" s="1"/>
  <c r="H22" i="10"/>
  <c r="H23" i="10" s="1"/>
  <c r="AI22" i="10"/>
  <c r="AI23" i="10" s="1"/>
  <c r="S22" i="10"/>
  <c r="S23" i="10" s="1"/>
  <c r="AH22" i="10"/>
  <c r="AH23" i="10" s="1"/>
  <c r="R22" i="10"/>
  <c r="R23" i="10" s="1"/>
  <c r="AG22" i="10"/>
  <c r="AG23" i="10" s="1"/>
  <c r="Q22" i="10"/>
  <c r="Q23" i="10" s="1"/>
  <c r="AF22" i="10"/>
  <c r="AF23" i="10" s="1"/>
  <c r="P22" i="10"/>
  <c r="P23" i="10" s="1"/>
  <c r="AE22" i="10"/>
  <c r="AE23" i="10" s="1"/>
  <c r="O22" i="10"/>
  <c r="O23" i="10" s="1"/>
  <c r="AD22" i="10"/>
  <c r="AD23" i="10" s="1"/>
  <c r="N22" i="10"/>
  <c r="N23" i="10" s="1"/>
  <c r="AC22" i="10"/>
  <c r="AC23" i="10" s="1"/>
  <c r="M22" i="10"/>
  <c r="M23" i="10" s="1"/>
  <c r="AB22" i="10"/>
  <c r="AB23" i="10" s="1"/>
  <c r="L22" i="10"/>
  <c r="L23" i="10" s="1"/>
  <c r="AA22" i="10"/>
  <c r="AA23" i="10" s="1"/>
  <c r="K22" i="10"/>
  <c r="K23" i="10" s="1"/>
  <c r="V22" i="10"/>
  <c r="V23" i="10" s="1"/>
  <c r="Z22" i="10"/>
  <c r="Z23" i="10" s="1"/>
  <c r="J22" i="10"/>
  <c r="J23" i="10" s="1"/>
  <c r="Y22" i="10"/>
  <c r="Y23" i="10" s="1"/>
  <c r="I22" i="10"/>
  <c r="I23" i="10" s="1"/>
  <c r="W22" i="10"/>
  <c r="W23" i="10" s="1"/>
  <c r="U22" i="10"/>
  <c r="U23" i="10" s="1"/>
  <c r="X22" i="10"/>
  <c r="X23" i="10" s="1"/>
  <c r="G22" i="10"/>
  <c r="G23" i="10" s="1"/>
  <c r="H98" i="3" a="1"/>
  <c r="G98" i="3" a="1"/>
  <c r="E98" i="3" a="1"/>
  <c r="C102" i="3" a="1"/>
  <c r="I24" i="3"/>
  <c r="I23" i="3"/>
  <c r="I25" i="3"/>
  <c r="I26" i="3"/>
  <c r="D29" i="3"/>
  <c r="E29" i="3" s="1"/>
  <c r="C30" i="3"/>
  <c r="I27" i="3"/>
  <c r="F28" i="3"/>
  <c r="H28" i="3" s="1"/>
  <c r="I28" i="3"/>
  <c r="E25" i="4"/>
  <c r="F24" i="4"/>
  <c r="E26" i="4" l="1"/>
  <c r="F25" i="4"/>
  <c r="K28" i="3"/>
  <c r="J28" i="3"/>
  <c r="M28" i="3"/>
  <c r="D30" i="3"/>
  <c r="E30" i="3" s="1"/>
  <c r="C31" i="3"/>
  <c r="K26" i="3"/>
  <c r="J26" i="3"/>
  <c r="M26" i="3"/>
  <c r="K27" i="3"/>
  <c r="M27" i="3"/>
  <c r="J27" i="3"/>
  <c r="I29" i="3"/>
  <c r="F29" i="3"/>
  <c r="H29" i="3" s="1"/>
  <c r="K25" i="3"/>
  <c r="J25" i="3"/>
  <c r="M25" i="3"/>
  <c r="J23" i="3"/>
  <c r="M23" i="3"/>
  <c r="K23" i="3"/>
  <c r="M24" i="3"/>
  <c r="K24" i="3"/>
  <c r="J24" i="3"/>
  <c r="C102" i="3"/>
  <c r="C106" i="3"/>
  <c r="C103" i="3"/>
  <c r="C105" i="3"/>
  <c r="C104" i="3"/>
  <c r="E99" i="3"/>
  <c r="E98" i="3"/>
  <c r="F98" i="3" s="1" a="1"/>
  <c r="G99" i="3"/>
  <c r="G98" i="3"/>
  <c r="H99" i="3"/>
  <c r="H98" i="3"/>
  <c r="F99" i="3" l="1"/>
  <c r="F98" i="3"/>
  <c r="D31" i="3"/>
  <c r="E31" i="3" s="1"/>
  <c r="C32" i="3"/>
  <c r="K29" i="3"/>
  <c r="J29" i="3"/>
  <c r="M29" i="3"/>
  <c r="E102" i="3" a="1"/>
  <c r="F30" i="3"/>
  <c r="H30" i="3" s="1"/>
  <c r="I30" i="3"/>
  <c r="E27" i="4"/>
  <c r="F26" i="4"/>
  <c r="E28" i="4" l="1"/>
  <c r="F27" i="4"/>
  <c r="E105" i="3"/>
  <c r="E104" i="3"/>
  <c r="E103" i="3"/>
  <c r="E102" i="3"/>
  <c r="E106" i="3"/>
  <c r="C33" i="3"/>
  <c r="D32" i="3"/>
  <c r="E32" i="3" s="1"/>
  <c r="K30" i="3"/>
  <c r="J30" i="3"/>
  <c r="M30" i="3"/>
  <c r="I31" i="3"/>
  <c r="F31" i="3"/>
  <c r="H31" i="3" s="1"/>
  <c r="I32" i="3" l="1"/>
  <c r="F32" i="3"/>
  <c r="H32" i="3" s="1"/>
  <c r="D33" i="3"/>
  <c r="E33" i="3" s="1"/>
  <c r="C34" i="3"/>
  <c r="K31" i="3"/>
  <c r="J31" i="3"/>
  <c r="M31" i="3"/>
  <c r="F28" i="4"/>
  <c r="E29" i="4"/>
  <c r="F33" i="3" l="1"/>
  <c r="H33" i="3" s="1"/>
  <c r="I33" i="3"/>
  <c r="E30" i="4"/>
  <c r="F29" i="4"/>
  <c r="D34" i="3"/>
  <c r="E34" i="3" s="1"/>
  <c r="C35" i="3"/>
  <c r="M32" i="3"/>
  <c r="K32" i="3"/>
  <c r="J32" i="3"/>
  <c r="I34" i="3" l="1"/>
  <c r="F34" i="3"/>
  <c r="H34" i="3" s="1"/>
  <c r="C36" i="3"/>
  <c r="D35" i="3"/>
  <c r="E35" i="3" s="1"/>
  <c r="E31" i="4"/>
  <c r="F30" i="4"/>
  <c r="K33" i="3"/>
  <c r="J33" i="3"/>
  <c r="M33" i="3"/>
  <c r="E32" i="4" l="1"/>
  <c r="F31" i="4"/>
  <c r="I35" i="3"/>
  <c r="F35" i="3"/>
  <c r="H35" i="3" s="1"/>
  <c r="D36" i="3"/>
  <c r="E36" i="3" s="1"/>
  <c r="C37" i="3"/>
  <c r="D37" i="3" s="1"/>
  <c r="E37" i="3" s="1"/>
  <c r="K34" i="3"/>
  <c r="J34" i="3"/>
  <c r="M34" i="3"/>
  <c r="I36" i="3" l="1"/>
  <c r="F36" i="3"/>
  <c r="H36" i="3" s="1"/>
  <c r="I37" i="3"/>
  <c r="F37" i="3"/>
  <c r="H37" i="3" s="1"/>
  <c r="J35" i="3"/>
  <c r="K35" i="3"/>
  <c r="M35" i="3"/>
  <c r="E33" i="4"/>
  <c r="F32" i="4"/>
  <c r="K37" i="3" l="1"/>
  <c r="J37" i="3"/>
  <c r="M37" i="3"/>
  <c r="F33" i="4"/>
  <c r="E34" i="4"/>
  <c r="K36" i="3"/>
  <c r="J36" i="3"/>
  <c r="M36" i="3"/>
  <c r="F34" i="4" l="1"/>
  <c r="E35" i="4"/>
  <c r="E36" i="4" l="1"/>
  <c r="F35" i="4"/>
  <c r="E37" i="4" l="1"/>
  <c r="F36" i="4"/>
  <c r="E38" i="4" l="1"/>
  <c r="F37" i="4"/>
  <c r="E39" i="4" l="1"/>
  <c r="F38" i="4"/>
  <c r="E40" i="4" l="1"/>
  <c r="F39" i="4"/>
  <c r="E41" i="4" l="1"/>
  <c r="F40" i="4"/>
  <c r="E42" i="4" l="1"/>
  <c r="F41" i="4"/>
  <c r="E43" i="4" l="1"/>
  <c r="F42" i="4"/>
  <c r="E44" i="4" l="1"/>
  <c r="F43" i="4"/>
  <c r="F44" i="4" l="1"/>
  <c r="E45" i="4"/>
  <c r="E46" i="4" l="1"/>
  <c r="F46" i="4" s="1"/>
  <c r="F45" i="4"/>
  <c r="I76" i="3" a="1"/>
  <c r="J78" i="3"/>
  <c r="J79" i="3"/>
  <c r="J92" i="3"/>
  <c r="I80" i="3"/>
  <c r="K91" i="3"/>
  <c r="J80" i="3"/>
  <c r="K93" i="3"/>
  <c r="L91" i="3"/>
  <c r="I79" i="3"/>
  <c r="M91" i="3"/>
  <c r="N91" i="3"/>
  <c r="L92" i="3"/>
  <c r="J76" i="3"/>
  <c r="I77" i="3"/>
  <c r="J77" i="3"/>
  <c r="K98" i="3" a="1"/>
  <c r="K98" i="3"/>
  <c r="K99" i="3"/>
  <c r="I78" i="3"/>
  <c r="J83" i="3"/>
  <c r="I76" i="3"/>
  <c r="J98" i="3" a="1"/>
  <c r="J99" i="3"/>
  <c r="J98" i="3"/>
  <c r="O98" i="3" a="1"/>
  <c r="O98" i="3"/>
  <c r="O99" i="3"/>
  <c r="L98" i="3" a="1"/>
  <c r="L98" i="3"/>
  <c r="M98" i="3" a="1"/>
  <c r="M98" i="3"/>
  <c r="L99" i="3"/>
  <c r="M99" i="3"/>
  <c r="N98" i="3" a="1"/>
  <c r="N98" i="3"/>
  <c r="N99" i="3"/>
  <c r="J87" i="3"/>
  <c r="J84" i="3"/>
  <c r="K92" i="3"/>
  <c r="J93" i="3"/>
  <c r="A31" i="12"/>
  <c r="A32" i="12" s="1"/>
  <c r="A33" i="12" s="1"/>
  <c r="A34" i="12" s="1"/>
  <c r="A35" i="12" s="1"/>
  <c r="A37" i="12" s="1"/>
</calcChain>
</file>

<file path=xl/sharedStrings.xml><?xml version="1.0" encoding="utf-8"?>
<sst xmlns="http://schemas.openxmlformats.org/spreadsheetml/2006/main" count="910" uniqueCount="329">
  <si>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</si>
  <si>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</si>
  <si>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</si>
  <si>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</si>
  <si>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</si>
  <si>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</si>
  <si>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</si>
  <si>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</si>
  <si>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</si>
  <si>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</si>
  <si>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</si>
  <si>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</si>
  <si>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</si>
  <si>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</si>
  <si>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</si>
  <si>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</si>
  <si>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</si>
  <si>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</si>
  <si>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</si>
  <si>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</si>
  <si>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</si>
  <si>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</si>
  <si>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</si>
  <si>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</si>
  <si>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</si>
  <si>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</si>
  <si>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</si>
  <si>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</si>
  <si>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</si>
  <si>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</si>
  <si>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</si>
  <si>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</si>
  <si>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</si>
  <si>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</si>
  <si>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</si>
  <si>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</si>
  <si>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Initial fluid volume ml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</si>
  <si>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</si>
  <si>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</si>
  <si>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</si>
  <si>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</si>
  <si>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</si>
  <si>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</si>
  <si>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</si>
  <si>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</si>
  <si>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</si>
  <si>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</si>
  <si>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</si>
  <si>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</si>
  <si>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40'C</t>
  </si>
  <si>
    <t>10ml Weight</t>
  </si>
  <si>
    <t>Mean</t>
  </si>
  <si>
    <t>After 100ml</t>
  </si>
  <si>
    <t>Sample StdDev</t>
  </si>
  <si>
    <t>Flush</t>
  </si>
  <si>
    <t>ml</t>
  </si>
  <si>
    <t>Sample</t>
  </si>
  <si>
    <t>Total Fluid</t>
  </si>
  <si>
    <t>Final Weight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</si>
  <si>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</si>
  <si>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</si>
  <si>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</si>
  <si>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</si>
  <si>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Error</t>
  </si>
  <si>
    <t>NAVAIR</t>
  </si>
  <si>
    <t>portion</t>
  </si>
  <si>
    <t>11171-00011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</si>
  <si>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</t>
    </r>
  </si>
  <si>
    <t>counts</t>
  </si>
  <si>
    <t>Averaged</t>
  </si>
  <si>
    <t>Dq % (&lt;11%)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</si>
  <si>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</si>
  <si>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</si>
  <si>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</si>
  <si>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</si>
  <si>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</si>
  <si>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</si>
  <si>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</si>
  <si>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</si>
  <si>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</si>
  <si>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ENABLED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</si>
  <si>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</si>
  <si>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</si>
  <si>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</si>
  <si>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</si>
  <si>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</si>
  <si>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</si>
  <si>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</si>
  <si>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correction threshold</t>
  </si>
  <si>
    <t>correction factor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</si>
  <si>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</si>
  <si>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</si>
  <si>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</si>
  <si>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</si>
  <si>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</si>
  <si>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</si>
  <si>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</si>
  <si>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</si>
  <si>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</si>
  <si>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</si>
  <si>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</si>
  <si>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</si>
  <si>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</si>
  <si>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4μm/100ml</t>
  </si>
  <si>
    <t>Actual</t>
  </si>
  <si>
    <t>RM8632a</t>
  </si>
  <si>
    <t>Line 0-40%</t>
  </si>
  <si>
    <t>fraction</t>
  </si>
  <si>
    <t>Regression Model</t>
  </si>
  <si>
    <t>Linear</t>
  </si>
  <si>
    <t>Power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</si>
  <si>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</si>
  <si>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</si>
  <si>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</si>
  <si>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</si>
  <si>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</si>
  <si>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</si>
  <si>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</si>
  <si>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</si>
  <si>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</si>
  <si>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</si>
  <si>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</si>
  <si>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</si>
  <si>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</si>
  <si>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</si>
  <si>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</si>
  <si>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</si>
  <si>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</si>
  <si>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</si>
  <si>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</si>
  <si>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</si>
  <si>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Partistan 34D Lot 34D</t>
  </si>
  <si>
    <t>Bottle Sampler</t>
  </si>
  <si>
    <t>BS110-NAVAIR BS2042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</si>
  <si>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</si>
  <si>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</si>
  <si>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</si>
  <si>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</si>
  <si>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</si>
  <si>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</si>
  <si>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</si>
  <si>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</si>
  <si>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</si>
  <si>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</si>
  <si>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Thresholds to Load into Instrument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</si>
  <si>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</si>
  <si>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</si>
  <si>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</si>
  <si>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</si>
  <si>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</si>
  <si>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</si>
  <si>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</si>
  <si>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</si>
  <si>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</si>
  <si>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</si>
  <si>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</si>
  <si>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</si>
  <si>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</si>
  <si>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</si>
  <si>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</si>
  <si>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</si>
  <si>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</si>
  <si>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</si>
  <si>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</si>
  <si>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</si>
  <si>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</si>
  <si>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</si>
  <si>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</si>
  <si>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</si>
  <si>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</si>
  <si>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</si>
  <si>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</si>
  <si>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</si>
  <si>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</si>
  <si>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</si>
  <si>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</si>
  <si>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</si>
  <si>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</si>
  <si>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</si>
  <si>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</si>
  <si>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</si>
  <si>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</si>
  <si>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</si>
  <si>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</si>
  <si>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</si>
  <si>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</si>
  <si>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</si>
  <si>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</si>
  <si>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</si>
  <si>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</si>
  <si>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</si>
  <si>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</si>
  <si>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</si>
  <si>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</si>
  <si>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</si>
  <si>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</si>
  <si>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</si>
  <si>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</si>
  <si>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</si>
  <si>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</si>
  <si>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</si>
  <si>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</si>
  <si>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r>
      <rPr>
        <sz val="10"/>
        <rFont val="Arial"/>
        <family val="2"/>
      </rPr>
      <t xml:space="preserve">Enter all of the threshold  settings determined in 6.3 in column A </t>
    </r>
    <r>
      <rPr>
        <u/>
        <sz val="11"/>
        <color rgb="FF000000"/>
        <rFont val="Calibri"/>
        <family val="2"/>
      </rPr>
      <t>in order of decreasing value of threshold  setting</t>
    </r>
    <r>
      <rPr>
        <sz val="11"/>
        <color rgb="FF000000"/>
        <rFont val="Calibri"/>
        <family val="2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obtained for each threshold setting actually used for a sample in the a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</si>
  <si>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</si>
  <si>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</si>
  <si>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</si>
  <si>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</si>
  <si>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rPr>
        <sz val="10"/>
        <rFont val="Arial"/>
        <family val="2"/>
      </rP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</si>
  <si>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</si>
  <si>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</si>
  <si>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</si>
  <si>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</si>
  <si>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</si>
  <si>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</si>
  <si>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</si>
  <si>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</si>
  <si>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>samples</t>
  </si>
  <si>
    <t xml:space="preserve">µm(c) </t>
  </si>
  <si>
    <t>Distribution</t>
  </si>
  <si>
    <t>BS110 BS2042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</si>
  <si>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</si>
  <si>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</si>
  <si>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</si>
  <si>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</si>
  <si>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</si>
  <si>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</si>
  <si>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</si>
  <si>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</si>
  <si>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</si>
  <si>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</si>
  <si>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</si>
  <si>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</si>
  <si>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</si>
  <si>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</si>
  <si>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</si>
  <si>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</si>
  <si>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</si>
  <si>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</si>
  <si>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</si>
  <si>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</si>
  <si>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</si>
  <si>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</si>
  <si>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</si>
  <si>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</si>
  <si>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</si>
  <si>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</si>
  <si>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</si>
  <si>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</si>
  <si>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</si>
  <si>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</si>
  <si>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</si>
  <si>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</si>
  <si>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</si>
  <si>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</si>
  <si>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</si>
  <si>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</si>
  <si>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</si>
  <si>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</si>
  <si>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</si>
  <si>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</si>
  <si>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</si>
  <si>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</si>
  <si>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</si>
  <si>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</si>
  <si>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</si>
  <si>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</si>
  <si>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</si>
  <si>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</si>
  <si>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</si>
  <si>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</si>
  <si>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</si>
  <si>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</si>
  <si>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</si>
  <si>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</si>
  <si>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</si>
  <si>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</si>
  <si>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</si>
  <si>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</si>
  <si>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</si>
  <si>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</si>
  <si>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</si>
  <si>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Rig volume</t>
  </si>
  <si>
    <t>Total 10um particles Sized and Plotted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</si>
  <si>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</si>
  <si>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</si>
  <si>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</si>
  <si>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</si>
  <si>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</si>
  <si>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</si>
  <si>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</si>
  <si>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</si>
  <si>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</si>
  <si>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</si>
  <si>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</si>
  <si>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</si>
  <si>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</si>
  <si>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</si>
  <si>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</si>
  <si>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</si>
  <si>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</si>
  <si>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</si>
  <si>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</si>
  <si>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</si>
  <si>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</si>
  <si>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</si>
  <si>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</si>
  <si>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</si>
  <si>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</si>
  <si>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</si>
  <si>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</si>
  <si>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</si>
  <si>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</si>
  <si>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</si>
  <si>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</si>
  <si>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</si>
  <si>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</si>
  <si>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</si>
  <si>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</si>
  <si>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</si>
  <si>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</si>
  <si>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</si>
  <si>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Calibration Rig</t>
  </si>
  <si>
    <t>Target concentration per 100ml</t>
  </si>
  <si>
    <t>N/100ml</t>
  </si>
  <si>
    <t>10?m particles</t>
  </si>
  <si>
    <t>Analysed Fluid Volume</t>
  </si>
  <si>
    <t>Pulse</t>
  </si>
  <si>
    <t>Annex C - Flow Rate</t>
  </si>
  <si>
    <t>Annex D - Resolution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</si>
</sst>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00"/>
    <numFmt numFmtId="166" formatCode="0.0"/>
    <numFmt numFmtId="167" formatCode="0.0%"/>
    <numFmt numFmtId="168" formatCode="0.000E+00"/>
    <numFmt numFmtId="169" formatCode="0.00E+000"/>
  </numFmts>
  <fonts count="23" x14ac:knownFonts="1"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99CCFF"/>
        <bgColor rgb="FFC0C0C0"/>
      </patternFill>
    </fill>
    <fill>
      <patternFill patternType="solid">
        <fgColor rgb="FFE7E7E7"/>
        <bgColor rgb="FFDDDDDD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0" fillId="2" borderId="0" applyBorder="0" applyAlignment="0" applyProtection="0"/>
  </cellStyleXfs>
  <cellXfs count="172">
    <xf numFmtId="0" fontId="0" fillId="0" borderId="0" xfId="0"/>
    <xf numFmtId="0" fontId="15" fillId="6" borderId="1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vertical="top" wrapText="1"/>
    </xf>
    <xf numFmtId="0" fontId="1" fillId="3" borderId="0" xfId="0" applyFont="1" applyFill="1" applyAlignment="1">
      <alignment wrapText="1"/>
    </xf>
    <xf numFmtId="0" fontId="1" fillId="3" borderId="0" xfId="0" applyFont="1" applyFill="1"/>
    <xf numFmtId="0" fontId="1" fillId="0" borderId="0" xfId="0" applyFont="1"/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right"/>
    </xf>
    <xf numFmtId="164" fontId="6" fillId="0" borderId="0" xfId="0" applyNumberFormat="1" applyFont="1"/>
    <xf numFmtId="164" fontId="4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5" fontId="4" fillId="0" borderId="0" xfId="0" applyNumberFormat="1" applyFont="1"/>
    <xf numFmtId="2" fontId="0" fillId="0" borderId="0" xfId="0" applyNumberFormat="1" applyAlignment="1">
      <alignment horizontal="right"/>
    </xf>
    <xf numFmtId="166" fontId="0" fillId="0" borderId="1" xfId="0" applyNumberFormat="1" applyBorder="1"/>
    <xf numFmtId="2" fontId="4" fillId="0" borderId="0" xfId="0" applyNumberFormat="1" applyFont="1" applyAlignment="1">
      <alignment horizontal="right"/>
    </xf>
    <xf numFmtId="0" fontId="6" fillId="0" borderId="2" xfId="0" applyFont="1" applyBorder="1"/>
    <xf numFmtId="10" fontId="4" fillId="0" borderId="0" xfId="0" applyNumberFormat="1" applyFont="1"/>
    <xf numFmtId="0" fontId="6" fillId="0" borderId="3" xfId="0" applyFont="1" applyBorder="1"/>
    <xf numFmtId="0" fontId="6" fillId="0" borderId="4" xfId="0" applyFont="1" applyBorder="1"/>
    <xf numFmtId="1" fontId="4" fillId="0" borderId="0" xfId="0" applyNumberFormat="1" applyFont="1"/>
    <xf numFmtId="0" fontId="4" fillId="0" borderId="1" xfId="0" applyFont="1" applyBorder="1"/>
    <xf numFmtId="0" fontId="6" fillId="0" borderId="1" xfId="0" applyFont="1" applyBorder="1"/>
    <xf numFmtId="2" fontId="4" fillId="4" borderId="1" xfId="0" applyNumberFormat="1" applyFont="1" applyFill="1" applyBorder="1" applyAlignment="1">
      <alignment horizontal="right"/>
    </xf>
    <xf numFmtId="10" fontId="4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4" fillId="0" borderId="0" xfId="0" applyNumberFormat="1" applyFont="1"/>
    <xf numFmtId="1" fontId="1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8" fillId="0" borderId="0" xfId="0" applyFont="1"/>
    <xf numFmtId="164" fontId="1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1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1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1" fillId="0" borderId="0" xfId="0" applyNumberFormat="1" applyFont="1"/>
    <xf numFmtId="11" fontId="0" fillId="0" borderId="0" xfId="0" applyNumberFormat="1"/>
    <xf numFmtId="0" fontId="1" fillId="5" borderId="6" xfId="0" applyFont="1" applyFill="1" applyBorder="1" applyAlignment="1">
      <alignment horizontal="right"/>
    </xf>
    <xf numFmtId="0" fontId="1" fillId="5" borderId="11" xfId="0" applyFont="1" applyFill="1" applyBorder="1" applyAlignment="1">
      <alignment horizontal="right"/>
    </xf>
    <xf numFmtId="10" fontId="1" fillId="5" borderId="11" xfId="0" applyNumberFormat="1" applyFont="1" applyFill="1" applyBorder="1" applyAlignment="1">
      <alignment horizontal="right"/>
    </xf>
    <xf numFmtId="0" fontId="0" fillId="5" borderId="0" xfId="0" applyFill="1"/>
    <xf numFmtId="166" fontId="0" fillId="5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left" indent="2"/>
    </xf>
    <xf numFmtId="0" fontId="0" fillId="5" borderId="0" xfId="0" applyFill="1" applyAlignment="1">
      <alignment horizontal="left" indent="5"/>
    </xf>
    <xf numFmtId="1" fontId="0" fillId="5" borderId="0" xfId="0" applyNumberFormat="1" applyFill="1"/>
    <xf numFmtId="2" fontId="0" fillId="5" borderId="0" xfId="0" applyNumberFormat="1" applyFill="1"/>
    <xf numFmtId="0" fontId="1" fillId="5" borderId="0" xfId="0" applyFont="1" applyFill="1"/>
    <xf numFmtId="1" fontId="1" fillId="0" borderId="0" xfId="0" applyNumberFormat="1" applyFont="1"/>
    <xf numFmtId="0" fontId="0" fillId="5" borderId="11" xfId="0" applyFill="1" applyBorder="1"/>
    <xf numFmtId="166" fontId="0" fillId="5" borderId="11" xfId="0" applyNumberFormat="1" applyFill="1" applyBorder="1"/>
    <xf numFmtId="165" fontId="0" fillId="5" borderId="11" xfId="0" applyNumberFormat="1" applyFill="1" applyBorder="1"/>
    <xf numFmtId="1" fontId="0" fillId="5" borderId="11" xfId="0" applyNumberFormat="1" applyFill="1" applyBorder="1"/>
    <xf numFmtId="2" fontId="0" fillId="5" borderId="11" xfId="0" applyNumberFormat="1" applyFill="1" applyBorder="1"/>
    <xf numFmtId="0" fontId="0" fillId="5" borderId="11" xfId="0" applyFill="1" applyBorder="1" applyAlignment="1">
      <alignment horizontal="left" indent="2"/>
    </xf>
    <xf numFmtId="164" fontId="6" fillId="0" borderId="0" xfId="0" applyNumberFormat="1" applyFont="1" applyAlignment="1">
      <alignment horizontal="left"/>
    </xf>
    <xf numFmtId="164" fontId="0" fillId="0" borderId="0" xfId="0" applyNumberFormat="1" applyAlignment="1">
      <alignment horizontal="right"/>
    </xf>
    <xf numFmtId="164" fontId="4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/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1" fillId="0" borderId="13" xfId="0" applyFont="1" applyBorder="1"/>
    <xf numFmtId="0" fontId="1" fillId="0" borderId="1" xfId="0" applyFont="1" applyBorder="1"/>
    <xf numFmtId="0" fontId="1" fillId="0" borderId="14" xfId="0" applyFont="1" applyBorder="1"/>
    <xf numFmtId="0" fontId="10" fillId="0" borderId="0" xfId="0" applyFont="1"/>
    <xf numFmtId="0" fontId="1" fillId="0" borderId="2" xfId="0" applyFont="1" applyBorder="1"/>
    <xf numFmtId="164" fontId="1" fillId="0" borderId="3" xfId="0" applyNumberFormat="1" applyFont="1" applyBorder="1"/>
    <xf numFmtId="0" fontId="9" fillId="0" borderId="0" xfId="0" applyFont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 wrapText="1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166" fontId="1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1" fillId="0" borderId="4" xfId="0" applyFont="1" applyBorder="1" applyAlignment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3" fillId="0" borderId="0" xfId="0" applyFont="1"/>
    <xf numFmtId="0" fontId="12" fillId="0" borderId="0" xfId="0" applyFont="1" applyAlignment="1">
      <alignment horizontal="right"/>
    </xf>
    <xf numFmtId="0" fontId="0" fillId="6" borderId="15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wrapText="1"/>
    </xf>
    <xf numFmtId="0" fontId="1" fillId="0" borderId="0" xfId="0" applyFont="1" applyAlignment="1">
      <alignment horizontal="right" wrapText="1"/>
    </xf>
    <xf numFmtId="0" fontId="0" fillId="6" borderId="15" xfId="0" applyFill="1" applyBorder="1" applyAlignment="1">
      <alignment horizontal="center" vertical="center"/>
    </xf>
    <xf numFmtId="0" fontId="17" fillId="0" borderId="0" xfId="0" applyFont="1" applyAlignment="1">
      <alignment horizontal="right"/>
    </xf>
    <xf numFmtId="10" fontId="17" fillId="0" borderId="0" xfId="0" applyNumberFormat="1" applyFont="1" applyAlignment="1">
      <alignment horizontal="right"/>
    </xf>
    <xf numFmtId="166" fontId="0" fillId="7" borderId="15" xfId="0" applyNumberFormat="1" applyFill="1" applyBorder="1"/>
    <xf numFmtId="0" fontId="0" fillId="8" borderId="15" xfId="0" applyFill="1" applyBorder="1"/>
    <xf numFmtId="3" fontId="0" fillId="0" borderId="0" xfId="0" applyNumberFormat="1"/>
    <xf numFmtId="164" fontId="6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1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1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8" fillId="0" borderId="5" xfId="0" applyFont="1" applyBorder="1"/>
    <xf numFmtId="0" fontId="17" fillId="0" borderId="6" xfId="0" applyFont="1" applyBorder="1"/>
    <xf numFmtId="0" fontId="18" fillId="0" borderId="7" xfId="0" applyFont="1" applyBorder="1"/>
    <xf numFmtId="0" fontId="18" fillId="0" borderId="0" xfId="0" applyFont="1"/>
    <xf numFmtId="10" fontId="17" fillId="0" borderId="0" xfId="0" applyNumberFormat="1" applyFont="1"/>
    <xf numFmtId="0" fontId="15" fillId="6" borderId="15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 wrapText="1"/>
    </xf>
    <xf numFmtId="0" fontId="15" fillId="6" borderId="15" xfId="0" applyFont="1" applyFill="1" applyBorder="1" applyAlignment="1">
      <alignment horizontal="center" wrapText="1"/>
    </xf>
    <xf numFmtId="0" fontId="19" fillId="0" borderId="0" xfId="0" applyFont="1" applyAlignment="1">
      <alignment vertical="center"/>
    </xf>
    <xf numFmtId="0" fontId="20" fillId="2" borderId="0" xfId="1" applyAlignment="1">
      <alignment vertical="center" wrapText="1"/>
    </xf>
    <xf numFmtId="11" fontId="0" fillId="0" borderId="0" xfId="0" applyNumberFormat="1" applyProtection="1">
      <protection locked="0"/>
    </xf>
    <xf numFmtId="0" fontId="0" fillId="0" borderId="0" xfId="1" applyFont="1" applyFill="1"/>
    <xf numFmtId="166" fontId="1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1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1" fillId="0" borderId="0" xfId="0" applyNumberFormat="1" applyFont="1"/>
    <xf numFmtId="164" fontId="1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8" fillId="0" borderId="0" xfId="0" applyNumberFormat="1" applyFont="1"/>
    <xf numFmtId="0" fontId="18" fillId="0" borderId="0" xfId="0" applyFont="1" applyAlignment="1">
      <alignment horizontal="right"/>
    </xf>
    <xf numFmtId="1" fontId="18" fillId="0" borderId="11" xfId="0" applyNumberFormat="1" applyFont="1" applyBorder="1"/>
    <xf numFmtId="1" fontId="0" fillId="0" borderId="11" xfId="0" applyNumberFormat="1" applyBorder="1"/>
    <xf numFmtId="0" fontId="18" fillId="0" borderId="11" xfId="0" applyFont="1" applyBorder="1" applyAlignment="1">
      <alignment horizontal="right"/>
    </xf>
    <xf numFmtId="166" fontId="18" fillId="0" borderId="0" xfId="0" applyNumberFormat="1" applyFont="1"/>
    <xf numFmtId="0" fontId="1" fillId="9" borderId="0" xfId="0" applyFont="1" applyFill="1"/>
    <xf numFmtId="0" fontId="21" fillId="0" borderId="0" xfId="0" applyFont="1"/>
    <xf numFmtId="0" fontId="22" fillId="0" borderId="0" xfId="0" applyFont="1" applyAlignment="1">
      <alignment vertical="center"/>
    </xf>
    <xf numFmtId="0" fontId="20" fillId="2" borderId="0" xfId="1"/>
    <xf numFmtId="1" fontId="0" fillId="0" borderId="0" xfId="0" applyNumberFormat="1" applyProtection="1">
      <protection locked="0"/>
    </xf>
    <xf numFmtId="169" fontId="1" fillId="0" borderId="0" xfId="0" applyNumberFormat="1" applyFont="1" applyProtection="1">
      <protection locked="0"/>
    </xf>
    <xf numFmtId="0" fontId="3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9" fillId="0" borderId="0" xfId="0" applyFont="1" applyAlignment="1">
      <alignment horizontal="left" vertical="center"/>
    </xf>
    <xf numFmtId="0" fontId="0" fillId="6" borderId="15" xfId="0" applyFill="1" applyBorder="1" applyAlignment="1">
      <alignment vertical="center" wrapText="1"/>
    </xf>
    <xf numFmtId="0" fontId="15" fillId="6" borderId="15" xfId="0" applyFont="1" applyFill="1" applyBorder="1" applyAlignment="1">
      <alignment horizontal="center"/>
    </xf>
    <xf numFmtId="0" fontId="0" fillId="6" borderId="15" xfId="0" applyFill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2">
    <cellStyle name="Good" xfId="1" xr:uid="{00000000-0005-0000-0000-000006000000}"/>
    <cellStyle name="Normal" xfId="0" builtinId="0"/>
  </cellStyles>
  <dxfs count="2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Limit'!$G$22:$G$37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Limit'!$L$21:$L$21</c15:sqref>
                        </c15:formulaRef>
                      </c:ext>
                    </c:extLst>
                    <c:strCache>
                      <c:ptCount val="1"/>
                      <c:pt idx="0">
                        <c:v>corrected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Limit'!$K$22:$K$37</c:f>
              <c:numCache>
                <c:formatCode>General</c:formatCode>
                <c:ptCount val="32"/>
                <c:pt idx="16">
                  <c:v>0.95</c:v>
                </c:pt>
                <c:pt idx="17">
                  <c:v>148655.463751551</c:v>
                </c:pt>
                <c:pt idx="18">
                  <c:v>297059.35241786198</c:v>
                </c:pt>
                <c:pt idx="19">
                  <c:v>445212.30408360198</c:v>
                </c:pt>
                <c:pt idx="20">
                  <c:v>593114.95467737794</c:v>
                </c:pt>
                <c:pt idx="21">
                  <c:v>740767.93798083905</c:v>
                </c:pt>
                <c:pt idx="22">
                  <c:v>888171.88563772396</c:v>
                </c:pt>
                <c:pt idx="23">
                  <c:v>1035327.4271628699</c:v>
                </c:pt>
                <c:pt idx="24">
                  <c:v>1182235.18995119</c:v>
                </c:pt>
                <c:pt idx="25">
                  <c:v>1328895.7992865399</c:v>
                </c:pt>
                <c:pt idx="26">
                  <c:v>1475309.87835067</c:v>
                </c:pt>
                <c:pt idx="27">
                  <c:v>1621478.04823196</c:v>
                </c:pt>
                <c:pt idx="28">
                  <c:v>1767400.9279342799</c:v>
                </c:pt>
                <c:pt idx="29">
                  <c:v>1913079.1343856901</c:v>
                </c:pt>
                <c:pt idx="30">
                  <c:v>2058513.2824471199</c:v>
                </c:pt>
                <c:pt idx="31">
                  <c:v>2203703.98492106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Limit'!$K$21:$K$21</c15:sqref>
                        </c15:formulaRef>
                      </c:ext>
                    </c:extLst>
                    <c:strCache>
                      <c:ptCount val="1"/>
                      <c:pt idx="0">
                        <c:v>95%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Limit'!$I$22:$I$37</c:f>
              <c:numCache>
                <c:formatCode>General</c:formatCode>
                <c:ptCount val="32"/>
                <c:pt idx="16">
                  <c:v>1</c:v>
                </c:pt>
                <c:pt idx="17">
                  <c:v>156479.43552794799</c:v>
                </c:pt>
                <c:pt idx="18">
                  <c:v>312694.05517669697</c:v>
                </c:pt>
                <c:pt idx="19">
                  <c:v>468644.53061431798</c:v>
                </c:pt>
                <c:pt idx="20">
                  <c:v>624331.53123934602</c:v>
                </c:pt>
                <c:pt idx="21">
                  <c:v>779755.72419035702</c:v>
                </c:pt>
                <c:pt idx="22">
                  <c:v>934917.77435549896</c:v>
                </c:pt>
                <c:pt idx="23">
                  <c:v>1089818.3443819699</c:v>
                </c:pt>
                <c:pt idx="24">
                  <c:v>1244458.09468546</c:v>
                </c:pt>
                <c:pt idx="25">
                  <c:v>1398837.6834595201</c:v>
                </c:pt>
                <c:pt idx="26">
                  <c:v>1552957.76668491</c:v>
                </c:pt>
                <c:pt idx="27">
                  <c:v>1706818.9981389099</c:v>
                </c:pt>
                <c:pt idx="28">
                  <c:v>1860422.02940451</c:v>
                </c:pt>
                <c:pt idx="29">
                  <c:v>2013767.5098796701</c:v>
                </c:pt>
                <c:pt idx="30">
                  <c:v>2166856.0867864401</c:v>
                </c:pt>
                <c:pt idx="31">
                  <c:v>2319688.4051800598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Limit'!$I$21:$I$21</c15:sqref>
                        </c15:formulaRef>
                      </c:ext>
                    </c:extLst>
                    <c:strCache>
                      <c:ptCount val="1"/>
                      <c:pt idx="0">
                        <c:v>Line 0-40%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1.00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Limit'!$M$22:$M$22</c:f>
              <c:numCache>
                <c:formatCode>General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Limit'!$M$22:$M$37</c:f>
              <c:numCache>
                <c:formatCode>General</c:formatCode>
                <c:ptCount val="32"/>
                <c:pt idx="16">
                  <c:v>1</c:v>
                </c:pt>
                <c:pt idx="17">
                  <c:v>1.01337916682143</c:v>
                </c:pt>
                <c:pt idx="18">
                  <c:v>1.0101439242953001</c:v>
                </c:pt>
                <c:pt idx="19">
                  <c:v>1.00522244307956</c:v>
                </c:pt>
                <c:pt idx="20">
                  <c:v>0.99367238231344301</c:v>
                </c:pt>
                <c:pt idx="21">
                  <c:v>0.97506049191168298</c:v>
                </c:pt>
                <c:pt idx="22">
                  <c:v>0.98660120205315904</c:v>
                </c:pt>
                <c:pt idx="23">
                  <c:v>0.99378488679614496</c:v>
                </c:pt>
                <c:pt idx="24">
                  <c:v>0.99974439100294399</c:v>
                </c:pt>
                <c:pt idx="25">
                  <c:v>1.0062139565178001</c:v>
                </c:pt>
                <c:pt idx="26">
                  <c:v>1.0062244019267299</c:v>
                </c:pt>
                <c:pt idx="27">
                  <c:v>1.0038516104333599</c:v>
                </c:pt>
                <c:pt idx="28">
                  <c:v>1.0068715433344899</c:v>
                </c:pt>
                <c:pt idx="29">
                  <c:v>1.00800464305897</c:v>
                </c:pt>
                <c:pt idx="30">
                  <c:v>1.0140945738850899</c:v>
                </c:pt>
                <c:pt idx="31">
                  <c:v>1.0031274005610999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2582071948103"/>
          <c:h val="7.1466071662947897E-2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Calibration Curve'!$D$5:$D$34</c:f>
              <c:numCache>
                <c:formatCode>0</c:formatCode>
                <c:ptCount val="30"/>
                <c:pt idx="0">
                  <c:v>75.995129221123477</c:v>
                </c:pt>
                <c:pt idx="1">
                  <c:v>120.51857422238072</c:v>
                </c:pt>
                <c:pt idx="2">
                  <c:v>179.91780655046506</c:v>
                </c:pt>
                <c:pt idx="3">
                  <c:v>249.73118272528444</c:v>
                </c:pt>
                <c:pt idx="4">
                  <c:v>319.17351214117207</c:v>
                </c:pt>
                <c:pt idx="5">
                  <c:v>400.42081720928729</c:v>
                </c:pt>
                <c:pt idx="6">
                  <c:v>499.54849545669538</c:v>
                </c:pt>
                <c:pt idx="7">
                  <c:v>609.22803397294706</c:v>
                </c:pt>
                <c:pt idx="8">
                  <c:v>723.61930022988236</c:v>
                </c:pt>
                <c:pt idx="9">
                  <c:v>846.80601571380691</c:v>
                </c:pt>
                <c:pt idx="10">
                  <c:v>978.65576811997187</c:v>
                </c:pt>
                <c:pt idx="11">
                  <c:v>1113.9818751608996</c:v>
                </c:pt>
                <c:pt idx="12">
                  <c:v>1250.1410778468601</c:v>
                </c:pt>
                <c:pt idx="13">
                  <c:v>1387.3330107901504</c:v>
                </c:pt>
                <c:pt idx="14">
                  <c:v>1530.7869155651774</c:v>
                </c:pt>
                <c:pt idx="15">
                  <c:v>1684.4534147738382</c:v>
                </c:pt>
                <c:pt idx="16">
                  <c:v>1857.5880640673872</c:v>
                </c:pt>
                <c:pt idx="17">
                  <c:v>2060.7463748410291</c:v>
                </c:pt>
                <c:pt idx="18">
                  <c:v>2285.2448226752185</c:v>
                </c:pt>
                <c:pt idx="19">
                  <c:v>2532.9478317563871</c:v>
                </c:pt>
                <c:pt idx="20">
                  <c:v>2789.2674546648195</c:v>
                </c:pt>
                <c:pt idx="21">
                  <c:v>3071.6225341151703</c:v>
                </c:pt>
                <c:pt idx="22">
                  <c:v>3403.6161532981732</c:v>
                </c:pt>
                <c:pt idx="23">
                  <c:v>3729.2361130906124</c:v>
                </c:pt>
                <c:pt idx="24">
                  <c:v>4045.6493704036366</c:v>
                </c:pt>
                <c:pt idx="25">
                  <c:v>4394.9590162181921</c:v>
                </c:pt>
                <c:pt idx="26">
                  <c:v>4824.5310451997566</c:v>
                </c:pt>
                <c:pt idx="27">
                  <c:v>9431.6538934267683</c:v>
                </c:pt>
                <c:pt idx="28">
                  <c:v>15895.418171796442</c:v>
                </c:pt>
                <c:pt idx="29">
                  <c:v>24999.999999999996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Pulse Height</c:v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'Annex D Resolution'!$M$2:$M$1001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140</c:v>
                </c:pt>
                <c:pt idx="21">
                  <c:v>125</c:v>
                </c:pt>
                <c:pt idx="22">
                  <c:v>141</c:v>
                </c:pt>
                <c:pt idx="23">
                  <c:v>136</c:v>
                </c:pt>
                <c:pt idx="24">
                  <c:v>84</c:v>
                </c:pt>
                <c:pt idx="25">
                  <c:v>114</c:v>
                </c:pt>
                <c:pt idx="26">
                  <c:v>113</c:v>
                </c:pt>
                <c:pt idx="27">
                  <c:v>106</c:v>
                </c:pt>
                <c:pt idx="28">
                  <c:v>95</c:v>
                </c:pt>
                <c:pt idx="29">
                  <c:v>77</c:v>
                </c:pt>
                <c:pt idx="30">
                  <c:v>79</c:v>
                </c:pt>
                <c:pt idx="31">
                  <c:v>87</c:v>
                </c:pt>
                <c:pt idx="32">
                  <c:v>62</c:v>
                </c:pt>
                <c:pt idx="33">
                  <c:v>70</c:v>
                </c:pt>
                <c:pt idx="34">
                  <c:v>79</c:v>
                </c:pt>
                <c:pt idx="35">
                  <c:v>59</c:v>
                </c:pt>
                <c:pt idx="36">
                  <c:v>56</c:v>
                </c:pt>
                <c:pt idx="37">
                  <c:v>70</c:v>
                </c:pt>
                <c:pt idx="38">
                  <c:v>49</c:v>
                </c:pt>
                <c:pt idx="39">
                  <c:v>51</c:v>
                </c:pt>
                <c:pt idx="40">
                  <c:v>44</c:v>
                </c:pt>
                <c:pt idx="41">
                  <c:v>48</c:v>
                </c:pt>
                <c:pt idx="42">
                  <c:v>44</c:v>
                </c:pt>
                <c:pt idx="43">
                  <c:v>35</c:v>
                </c:pt>
                <c:pt idx="44">
                  <c:v>43</c:v>
                </c:pt>
                <c:pt idx="45">
                  <c:v>45</c:v>
                </c:pt>
                <c:pt idx="46">
                  <c:v>43</c:v>
                </c:pt>
                <c:pt idx="47">
                  <c:v>48</c:v>
                </c:pt>
                <c:pt idx="48">
                  <c:v>45</c:v>
                </c:pt>
                <c:pt idx="49">
                  <c:v>55</c:v>
                </c:pt>
                <c:pt idx="50">
                  <c:v>49</c:v>
                </c:pt>
                <c:pt idx="51">
                  <c:v>34</c:v>
                </c:pt>
                <c:pt idx="52">
                  <c:v>40</c:v>
                </c:pt>
                <c:pt idx="53">
                  <c:v>33</c:v>
                </c:pt>
                <c:pt idx="54">
                  <c:v>33</c:v>
                </c:pt>
                <c:pt idx="55">
                  <c:v>41</c:v>
                </c:pt>
                <c:pt idx="56">
                  <c:v>33</c:v>
                </c:pt>
                <c:pt idx="57">
                  <c:v>38</c:v>
                </c:pt>
                <c:pt idx="58">
                  <c:v>35</c:v>
                </c:pt>
                <c:pt idx="59">
                  <c:v>37</c:v>
                </c:pt>
                <c:pt idx="60">
                  <c:v>31</c:v>
                </c:pt>
                <c:pt idx="61">
                  <c:v>29</c:v>
                </c:pt>
                <c:pt idx="62">
                  <c:v>43</c:v>
                </c:pt>
                <c:pt idx="63">
                  <c:v>40</c:v>
                </c:pt>
                <c:pt idx="64">
                  <c:v>48</c:v>
                </c:pt>
                <c:pt idx="65">
                  <c:v>34</c:v>
                </c:pt>
                <c:pt idx="66">
                  <c:v>33</c:v>
                </c:pt>
                <c:pt idx="67">
                  <c:v>33</c:v>
                </c:pt>
                <c:pt idx="68">
                  <c:v>35</c:v>
                </c:pt>
                <c:pt idx="69">
                  <c:v>42</c:v>
                </c:pt>
                <c:pt idx="70">
                  <c:v>28</c:v>
                </c:pt>
                <c:pt idx="71">
                  <c:v>20</c:v>
                </c:pt>
                <c:pt idx="72">
                  <c:v>37</c:v>
                </c:pt>
                <c:pt idx="73">
                  <c:v>38</c:v>
                </c:pt>
                <c:pt idx="74">
                  <c:v>27</c:v>
                </c:pt>
                <c:pt idx="75">
                  <c:v>27</c:v>
                </c:pt>
                <c:pt idx="76">
                  <c:v>37</c:v>
                </c:pt>
                <c:pt idx="77">
                  <c:v>27</c:v>
                </c:pt>
                <c:pt idx="78">
                  <c:v>37</c:v>
                </c:pt>
                <c:pt idx="79">
                  <c:v>27</c:v>
                </c:pt>
                <c:pt idx="80">
                  <c:v>30</c:v>
                </c:pt>
                <c:pt idx="81">
                  <c:v>34</c:v>
                </c:pt>
                <c:pt idx="82">
                  <c:v>37</c:v>
                </c:pt>
                <c:pt idx="83">
                  <c:v>32</c:v>
                </c:pt>
                <c:pt idx="84">
                  <c:v>34</c:v>
                </c:pt>
                <c:pt idx="85">
                  <c:v>31</c:v>
                </c:pt>
                <c:pt idx="86">
                  <c:v>34</c:v>
                </c:pt>
                <c:pt idx="87">
                  <c:v>39</c:v>
                </c:pt>
                <c:pt idx="88">
                  <c:v>36</c:v>
                </c:pt>
                <c:pt idx="89">
                  <c:v>43</c:v>
                </c:pt>
                <c:pt idx="90">
                  <c:v>44</c:v>
                </c:pt>
                <c:pt idx="91">
                  <c:v>34</c:v>
                </c:pt>
                <c:pt idx="92">
                  <c:v>36</c:v>
                </c:pt>
                <c:pt idx="93">
                  <c:v>46</c:v>
                </c:pt>
                <c:pt idx="94">
                  <c:v>35</c:v>
                </c:pt>
                <c:pt idx="95">
                  <c:v>34</c:v>
                </c:pt>
                <c:pt idx="96">
                  <c:v>29</c:v>
                </c:pt>
                <c:pt idx="97">
                  <c:v>35</c:v>
                </c:pt>
                <c:pt idx="98">
                  <c:v>35</c:v>
                </c:pt>
                <c:pt idx="99">
                  <c:v>38</c:v>
                </c:pt>
                <c:pt idx="100">
                  <c:v>44</c:v>
                </c:pt>
                <c:pt idx="101">
                  <c:v>34</c:v>
                </c:pt>
                <c:pt idx="102">
                  <c:v>40</c:v>
                </c:pt>
                <c:pt idx="103">
                  <c:v>45</c:v>
                </c:pt>
                <c:pt idx="104">
                  <c:v>40</c:v>
                </c:pt>
                <c:pt idx="105">
                  <c:v>45</c:v>
                </c:pt>
                <c:pt idx="106">
                  <c:v>31</c:v>
                </c:pt>
                <c:pt idx="107">
                  <c:v>34</c:v>
                </c:pt>
                <c:pt idx="108">
                  <c:v>31</c:v>
                </c:pt>
                <c:pt idx="109">
                  <c:v>31</c:v>
                </c:pt>
                <c:pt idx="110">
                  <c:v>33</c:v>
                </c:pt>
                <c:pt idx="111">
                  <c:v>36</c:v>
                </c:pt>
                <c:pt idx="112">
                  <c:v>23</c:v>
                </c:pt>
                <c:pt idx="113">
                  <c:v>36</c:v>
                </c:pt>
                <c:pt idx="114">
                  <c:v>36</c:v>
                </c:pt>
                <c:pt idx="115">
                  <c:v>37</c:v>
                </c:pt>
                <c:pt idx="116">
                  <c:v>29</c:v>
                </c:pt>
                <c:pt idx="117">
                  <c:v>37</c:v>
                </c:pt>
                <c:pt idx="118">
                  <c:v>36</c:v>
                </c:pt>
                <c:pt idx="119">
                  <c:v>33</c:v>
                </c:pt>
                <c:pt idx="120">
                  <c:v>30</c:v>
                </c:pt>
                <c:pt idx="121">
                  <c:v>22</c:v>
                </c:pt>
                <c:pt idx="122">
                  <c:v>24</c:v>
                </c:pt>
                <c:pt idx="123">
                  <c:v>29</c:v>
                </c:pt>
                <c:pt idx="124">
                  <c:v>39</c:v>
                </c:pt>
                <c:pt idx="125">
                  <c:v>44</c:v>
                </c:pt>
                <c:pt idx="126">
                  <c:v>28</c:v>
                </c:pt>
                <c:pt idx="127">
                  <c:v>23</c:v>
                </c:pt>
                <c:pt idx="128">
                  <c:v>33</c:v>
                </c:pt>
                <c:pt idx="129">
                  <c:v>31</c:v>
                </c:pt>
                <c:pt idx="130">
                  <c:v>31</c:v>
                </c:pt>
                <c:pt idx="131">
                  <c:v>30</c:v>
                </c:pt>
                <c:pt idx="132">
                  <c:v>21</c:v>
                </c:pt>
                <c:pt idx="133">
                  <c:v>33</c:v>
                </c:pt>
                <c:pt idx="134">
                  <c:v>41</c:v>
                </c:pt>
                <c:pt idx="135">
                  <c:v>30</c:v>
                </c:pt>
                <c:pt idx="136">
                  <c:v>32</c:v>
                </c:pt>
                <c:pt idx="137">
                  <c:v>36</c:v>
                </c:pt>
                <c:pt idx="138">
                  <c:v>29</c:v>
                </c:pt>
                <c:pt idx="139">
                  <c:v>33</c:v>
                </c:pt>
                <c:pt idx="140">
                  <c:v>39</c:v>
                </c:pt>
                <c:pt idx="141">
                  <c:v>47</c:v>
                </c:pt>
                <c:pt idx="142">
                  <c:v>26</c:v>
                </c:pt>
                <c:pt idx="143">
                  <c:v>35</c:v>
                </c:pt>
                <c:pt idx="144">
                  <c:v>46</c:v>
                </c:pt>
                <c:pt idx="145">
                  <c:v>49</c:v>
                </c:pt>
                <c:pt idx="146">
                  <c:v>42</c:v>
                </c:pt>
                <c:pt idx="147">
                  <c:v>47</c:v>
                </c:pt>
                <c:pt idx="148">
                  <c:v>37</c:v>
                </c:pt>
                <c:pt idx="149">
                  <c:v>47</c:v>
                </c:pt>
                <c:pt idx="150">
                  <c:v>47</c:v>
                </c:pt>
                <c:pt idx="151">
                  <c:v>38</c:v>
                </c:pt>
                <c:pt idx="152">
                  <c:v>44</c:v>
                </c:pt>
                <c:pt idx="153">
                  <c:v>51</c:v>
                </c:pt>
                <c:pt idx="154">
                  <c:v>66</c:v>
                </c:pt>
                <c:pt idx="155">
                  <c:v>64</c:v>
                </c:pt>
                <c:pt idx="156">
                  <c:v>63</c:v>
                </c:pt>
                <c:pt idx="157">
                  <c:v>70</c:v>
                </c:pt>
                <c:pt idx="158">
                  <c:v>80</c:v>
                </c:pt>
                <c:pt idx="159">
                  <c:v>77</c:v>
                </c:pt>
                <c:pt idx="160">
                  <c:v>84</c:v>
                </c:pt>
                <c:pt idx="161">
                  <c:v>75</c:v>
                </c:pt>
                <c:pt idx="162">
                  <c:v>97</c:v>
                </c:pt>
                <c:pt idx="163">
                  <c:v>101</c:v>
                </c:pt>
                <c:pt idx="164">
                  <c:v>114</c:v>
                </c:pt>
                <c:pt idx="165">
                  <c:v>119</c:v>
                </c:pt>
                <c:pt idx="166">
                  <c:v>148</c:v>
                </c:pt>
                <c:pt idx="167">
                  <c:v>130</c:v>
                </c:pt>
                <c:pt idx="168">
                  <c:v>169</c:v>
                </c:pt>
                <c:pt idx="169">
                  <c:v>178</c:v>
                </c:pt>
                <c:pt idx="170">
                  <c:v>197</c:v>
                </c:pt>
                <c:pt idx="171">
                  <c:v>199</c:v>
                </c:pt>
                <c:pt idx="172">
                  <c:v>204</c:v>
                </c:pt>
                <c:pt idx="173">
                  <c:v>232</c:v>
                </c:pt>
                <c:pt idx="174">
                  <c:v>266</c:v>
                </c:pt>
                <c:pt idx="175">
                  <c:v>279</c:v>
                </c:pt>
                <c:pt idx="176">
                  <c:v>301</c:v>
                </c:pt>
                <c:pt idx="177">
                  <c:v>324</c:v>
                </c:pt>
                <c:pt idx="178">
                  <c:v>334</c:v>
                </c:pt>
                <c:pt idx="179">
                  <c:v>418</c:v>
                </c:pt>
                <c:pt idx="180">
                  <c:v>377</c:v>
                </c:pt>
                <c:pt idx="181">
                  <c:v>391</c:v>
                </c:pt>
                <c:pt idx="182">
                  <c:v>406</c:v>
                </c:pt>
                <c:pt idx="183">
                  <c:v>502</c:v>
                </c:pt>
                <c:pt idx="184">
                  <c:v>451</c:v>
                </c:pt>
                <c:pt idx="185">
                  <c:v>546</c:v>
                </c:pt>
                <c:pt idx="186">
                  <c:v>559</c:v>
                </c:pt>
                <c:pt idx="187">
                  <c:v>574</c:v>
                </c:pt>
                <c:pt idx="188">
                  <c:v>590</c:v>
                </c:pt>
                <c:pt idx="189">
                  <c:v>589</c:v>
                </c:pt>
                <c:pt idx="190">
                  <c:v>622</c:v>
                </c:pt>
                <c:pt idx="191">
                  <c:v>671</c:v>
                </c:pt>
                <c:pt idx="192">
                  <c:v>648</c:v>
                </c:pt>
                <c:pt idx="193">
                  <c:v>743</c:v>
                </c:pt>
                <c:pt idx="194">
                  <c:v>711</c:v>
                </c:pt>
                <c:pt idx="195">
                  <c:v>752</c:v>
                </c:pt>
                <c:pt idx="196">
                  <c:v>789</c:v>
                </c:pt>
                <c:pt idx="197">
                  <c:v>794</c:v>
                </c:pt>
                <c:pt idx="198">
                  <c:v>785</c:v>
                </c:pt>
                <c:pt idx="199">
                  <c:v>747</c:v>
                </c:pt>
                <c:pt idx="200">
                  <c:v>782</c:v>
                </c:pt>
                <c:pt idx="201">
                  <c:v>824</c:v>
                </c:pt>
                <c:pt idx="202">
                  <c:v>790</c:v>
                </c:pt>
                <c:pt idx="203">
                  <c:v>834</c:v>
                </c:pt>
                <c:pt idx="204">
                  <c:v>854</c:v>
                </c:pt>
                <c:pt idx="205">
                  <c:v>766</c:v>
                </c:pt>
                <c:pt idx="206">
                  <c:v>837</c:v>
                </c:pt>
                <c:pt idx="207">
                  <c:v>773</c:v>
                </c:pt>
                <c:pt idx="208">
                  <c:v>787</c:v>
                </c:pt>
                <c:pt idx="209">
                  <c:v>837</c:v>
                </c:pt>
                <c:pt idx="210">
                  <c:v>800</c:v>
                </c:pt>
                <c:pt idx="211">
                  <c:v>732</c:v>
                </c:pt>
                <c:pt idx="212">
                  <c:v>795</c:v>
                </c:pt>
                <c:pt idx="213">
                  <c:v>753</c:v>
                </c:pt>
                <c:pt idx="214">
                  <c:v>738</c:v>
                </c:pt>
                <c:pt idx="215">
                  <c:v>715</c:v>
                </c:pt>
                <c:pt idx="216">
                  <c:v>716</c:v>
                </c:pt>
                <c:pt idx="217">
                  <c:v>691</c:v>
                </c:pt>
                <c:pt idx="218">
                  <c:v>691</c:v>
                </c:pt>
                <c:pt idx="219">
                  <c:v>690</c:v>
                </c:pt>
                <c:pt idx="220">
                  <c:v>664</c:v>
                </c:pt>
                <c:pt idx="221">
                  <c:v>600</c:v>
                </c:pt>
                <c:pt idx="222">
                  <c:v>599</c:v>
                </c:pt>
                <c:pt idx="223">
                  <c:v>622</c:v>
                </c:pt>
                <c:pt idx="224">
                  <c:v>526</c:v>
                </c:pt>
                <c:pt idx="225">
                  <c:v>532</c:v>
                </c:pt>
                <c:pt idx="226">
                  <c:v>504</c:v>
                </c:pt>
                <c:pt idx="227">
                  <c:v>516</c:v>
                </c:pt>
                <c:pt idx="228">
                  <c:v>469</c:v>
                </c:pt>
                <c:pt idx="229">
                  <c:v>451</c:v>
                </c:pt>
                <c:pt idx="230">
                  <c:v>435</c:v>
                </c:pt>
                <c:pt idx="231">
                  <c:v>409</c:v>
                </c:pt>
                <c:pt idx="232">
                  <c:v>364</c:v>
                </c:pt>
                <c:pt idx="233">
                  <c:v>353</c:v>
                </c:pt>
                <c:pt idx="234">
                  <c:v>364</c:v>
                </c:pt>
                <c:pt idx="235">
                  <c:v>339</c:v>
                </c:pt>
                <c:pt idx="236">
                  <c:v>323</c:v>
                </c:pt>
                <c:pt idx="237">
                  <c:v>290</c:v>
                </c:pt>
                <c:pt idx="238">
                  <c:v>275</c:v>
                </c:pt>
                <c:pt idx="239">
                  <c:v>239</c:v>
                </c:pt>
                <c:pt idx="240">
                  <c:v>256</c:v>
                </c:pt>
                <c:pt idx="241">
                  <c:v>208</c:v>
                </c:pt>
                <c:pt idx="242">
                  <c:v>203</c:v>
                </c:pt>
                <c:pt idx="243">
                  <c:v>188</c:v>
                </c:pt>
                <c:pt idx="244">
                  <c:v>175</c:v>
                </c:pt>
                <c:pt idx="245">
                  <c:v>163</c:v>
                </c:pt>
                <c:pt idx="246">
                  <c:v>143</c:v>
                </c:pt>
                <c:pt idx="247">
                  <c:v>130</c:v>
                </c:pt>
                <c:pt idx="248">
                  <c:v>120</c:v>
                </c:pt>
                <c:pt idx="249">
                  <c:v>123</c:v>
                </c:pt>
                <c:pt idx="250">
                  <c:v>122</c:v>
                </c:pt>
                <c:pt idx="251">
                  <c:v>101</c:v>
                </c:pt>
                <c:pt idx="252">
                  <c:v>86</c:v>
                </c:pt>
                <c:pt idx="253">
                  <c:v>84</c:v>
                </c:pt>
                <c:pt idx="254">
                  <c:v>84</c:v>
                </c:pt>
                <c:pt idx="255">
                  <c:v>65</c:v>
                </c:pt>
                <c:pt idx="256">
                  <c:v>61</c:v>
                </c:pt>
                <c:pt idx="257">
                  <c:v>45</c:v>
                </c:pt>
                <c:pt idx="258">
                  <c:v>44</c:v>
                </c:pt>
                <c:pt idx="259">
                  <c:v>61</c:v>
                </c:pt>
                <c:pt idx="260">
                  <c:v>46</c:v>
                </c:pt>
                <c:pt idx="261">
                  <c:v>40</c:v>
                </c:pt>
                <c:pt idx="262">
                  <c:v>46</c:v>
                </c:pt>
                <c:pt idx="263">
                  <c:v>29</c:v>
                </c:pt>
                <c:pt idx="264">
                  <c:v>29</c:v>
                </c:pt>
                <c:pt idx="265">
                  <c:v>38</c:v>
                </c:pt>
                <c:pt idx="266">
                  <c:v>27</c:v>
                </c:pt>
                <c:pt idx="267">
                  <c:v>18</c:v>
                </c:pt>
                <c:pt idx="268">
                  <c:v>19</c:v>
                </c:pt>
                <c:pt idx="269">
                  <c:v>19</c:v>
                </c:pt>
                <c:pt idx="270">
                  <c:v>18</c:v>
                </c:pt>
                <c:pt idx="271">
                  <c:v>13</c:v>
                </c:pt>
                <c:pt idx="272">
                  <c:v>23</c:v>
                </c:pt>
                <c:pt idx="273">
                  <c:v>13</c:v>
                </c:pt>
                <c:pt idx="274">
                  <c:v>16</c:v>
                </c:pt>
                <c:pt idx="275">
                  <c:v>9</c:v>
                </c:pt>
                <c:pt idx="276">
                  <c:v>14</c:v>
                </c:pt>
                <c:pt idx="277">
                  <c:v>15</c:v>
                </c:pt>
                <c:pt idx="278">
                  <c:v>8</c:v>
                </c:pt>
                <c:pt idx="279">
                  <c:v>6</c:v>
                </c:pt>
                <c:pt idx="280">
                  <c:v>12</c:v>
                </c:pt>
                <c:pt idx="281">
                  <c:v>6</c:v>
                </c:pt>
                <c:pt idx="282">
                  <c:v>8</c:v>
                </c:pt>
                <c:pt idx="283">
                  <c:v>6</c:v>
                </c:pt>
                <c:pt idx="284">
                  <c:v>11</c:v>
                </c:pt>
                <c:pt idx="285">
                  <c:v>8</c:v>
                </c:pt>
                <c:pt idx="286">
                  <c:v>6</c:v>
                </c:pt>
                <c:pt idx="287">
                  <c:v>7</c:v>
                </c:pt>
                <c:pt idx="288">
                  <c:v>9</c:v>
                </c:pt>
                <c:pt idx="289">
                  <c:v>4</c:v>
                </c:pt>
                <c:pt idx="290">
                  <c:v>4</c:v>
                </c:pt>
                <c:pt idx="291">
                  <c:v>6</c:v>
                </c:pt>
                <c:pt idx="292">
                  <c:v>5</c:v>
                </c:pt>
                <c:pt idx="293">
                  <c:v>1</c:v>
                </c:pt>
                <c:pt idx="294">
                  <c:v>8</c:v>
                </c:pt>
                <c:pt idx="295">
                  <c:v>2</c:v>
                </c:pt>
                <c:pt idx="296">
                  <c:v>4</c:v>
                </c:pt>
                <c:pt idx="297">
                  <c:v>4</c:v>
                </c:pt>
                <c:pt idx="298">
                  <c:v>0</c:v>
                </c:pt>
                <c:pt idx="299">
                  <c:v>5</c:v>
                </c:pt>
                <c:pt idx="300">
                  <c:v>3</c:v>
                </c:pt>
                <c:pt idx="301">
                  <c:v>2</c:v>
                </c:pt>
                <c:pt idx="302">
                  <c:v>6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4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4</c:v>
                </c:pt>
                <c:pt idx="315">
                  <c:v>3</c:v>
                </c:pt>
                <c:pt idx="316">
                  <c:v>2</c:v>
                </c:pt>
                <c:pt idx="317">
                  <c:v>3</c:v>
                </c:pt>
                <c:pt idx="318">
                  <c:v>3</c:v>
                </c:pt>
                <c:pt idx="319">
                  <c:v>6</c:v>
                </c:pt>
                <c:pt idx="320">
                  <c:v>6</c:v>
                </c:pt>
                <c:pt idx="321">
                  <c:v>3</c:v>
                </c:pt>
                <c:pt idx="322">
                  <c:v>3</c:v>
                </c:pt>
                <c:pt idx="323">
                  <c:v>4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6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7</c:v>
                </c:pt>
                <c:pt idx="332">
                  <c:v>3</c:v>
                </c:pt>
                <c:pt idx="333">
                  <c:v>7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5</c:v>
                </c:pt>
                <c:pt idx="338">
                  <c:v>1</c:v>
                </c:pt>
                <c:pt idx="339">
                  <c:v>3</c:v>
                </c:pt>
                <c:pt idx="340">
                  <c:v>3</c:v>
                </c:pt>
                <c:pt idx="341">
                  <c:v>1</c:v>
                </c:pt>
                <c:pt idx="342">
                  <c:v>2</c:v>
                </c:pt>
                <c:pt idx="343">
                  <c:v>2</c:v>
                </c:pt>
                <c:pt idx="344">
                  <c:v>9</c:v>
                </c:pt>
                <c:pt idx="345">
                  <c:v>6</c:v>
                </c:pt>
                <c:pt idx="346">
                  <c:v>1</c:v>
                </c:pt>
                <c:pt idx="347">
                  <c:v>5</c:v>
                </c:pt>
                <c:pt idx="348">
                  <c:v>2</c:v>
                </c:pt>
                <c:pt idx="349">
                  <c:v>5</c:v>
                </c:pt>
                <c:pt idx="350">
                  <c:v>9</c:v>
                </c:pt>
                <c:pt idx="351">
                  <c:v>3</c:v>
                </c:pt>
                <c:pt idx="352">
                  <c:v>4</c:v>
                </c:pt>
                <c:pt idx="353">
                  <c:v>9</c:v>
                </c:pt>
                <c:pt idx="354">
                  <c:v>3</c:v>
                </c:pt>
                <c:pt idx="355">
                  <c:v>4</c:v>
                </c:pt>
                <c:pt idx="356">
                  <c:v>6</c:v>
                </c:pt>
                <c:pt idx="357">
                  <c:v>3</c:v>
                </c:pt>
                <c:pt idx="358">
                  <c:v>7</c:v>
                </c:pt>
                <c:pt idx="359">
                  <c:v>2</c:v>
                </c:pt>
                <c:pt idx="360">
                  <c:v>6</c:v>
                </c:pt>
                <c:pt idx="361">
                  <c:v>1</c:v>
                </c:pt>
                <c:pt idx="362">
                  <c:v>9</c:v>
                </c:pt>
                <c:pt idx="363">
                  <c:v>7</c:v>
                </c:pt>
                <c:pt idx="364">
                  <c:v>4</c:v>
                </c:pt>
                <c:pt idx="365">
                  <c:v>10</c:v>
                </c:pt>
                <c:pt idx="366">
                  <c:v>10</c:v>
                </c:pt>
                <c:pt idx="367">
                  <c:v>8</c:v>
                </c:pt>
                <c:pt idx="368">
                  <c:v>4</c:v>
                </c:pt>
                <c:pt idx="369">
                  <c:v>7</c:v>
                </c:pt>
                <c:pt idx="370">
                  <c:v>5</c:v>
                </c:pt>
                <c:pt idx="371">
                  <c:v>6</c:v>
                </c:pt>
                <c:pt idx="372">
                  <c:v>4</c:v>
                </c:pt>
                <c:pt idx="373">
                  <c:v>6</c:v>
                </c:pt>
                <c:pt idx="374">
                  <c:v>9</c:v>
                </c:pt>
                <c:pt idx="375">
                  <c:v>6</c:v>
                </c:pt>
                <c:pt idx="376">
                  <c:v>0</c:v>
                </c:pt>
                <c:pt idx="377">
                  <c:v>3</c:v>
                </c:pt>
                <c:pt idx="378">
                  <c:v>7</c:v>
                </c:pt>
                <c:pt idx="379">
                  <c:v>3</c:v>
                </c:pt>
                <c:pt idx="380">
                  <c:v>5</c:v>
                </c:pt>
                <c:pt idx="381">
                  <c:v>7</c:v>
                </c:pt>
                <c:pt idx="382">
                  <c:v>6</c:v>
                </c:pt>
                <c:pt idx="383">
                  <c:v>8</c:v>
                </c:pt>
                <c:pt idx="384">
                  <c:v>5</c:v>
                </c:pt>
                <c:pt idx="385">
                  <c:v>6</c:v>
                </c:pt>
                <c:pt idx="386">
                  <c:v>8</c:v>
                </c:pt>
                <c:pt idx="387">
                  <c:v>5</c:v>
                </c:pt>
                <c:pt idx="388">
                  <c:v>2</c:v>
                </c:pt>
                <c:pt idx="389">
                  <c:v>10</c:v>
                </c:pt>
                <c:pt idx="390">
                  <c:v>7</c:v>
                </c:pt>
                <c:pt idx="391">
                  <c:v>2</c:v>
                </c:pt>
                <c:pt idx="392">
                  <c:v>3</c:v>
                </c:pt>
                <c:pt idx="393">
                  <c:v>4</c:v>
                </c:pt>
                <c:pt idx="394">
                  <c:v>5</c:v>
                </c:pt>
                <c:pt idx="395">
                  <c:v>5</c:v>
                </c:pt>
                <c:pt idx="396">
                  <c:v>3</c:v>
                </c:pt>
                <c:pt idx="397">
                  <c:v>5</c:v>
                </c:pt>
                <c:pt idx="398">
                  <c:v>2</c:v>
                </c:pt>
                <c:pt idx="399">
                  <c:v>9</c:v>
                </c:pt>
                <c:pt idx="400">
                  <c:v>8</c:v>
                </c:pt>
                <c:pt idx="401">
                  <c:v>5</c:v>
                </c:pt>
                <c:pt idx="402">
                  <c:v>7</c:v>
                </c:pt>
                <c:pt idx="403">
                  <c:v>7</c:v>
                </c:pt>
                <c:pt idx="404">
                  <c:v>6</c:v>
                </c:pt>
                <c:pt idx="405">
                  <c:v>4</c:v>
                </c:pt>
                <c:pt idx="406">
                  <c:v>4</c:v>
                </c:pt>
                <c:pt idx="407">
                  <c:v>5</c:v>
                </c:pt>
                <c:pt idx="408">
                  <c:v>7</c:v>
                </c:pt>
                <c:pt idx="409">
                  <c:v>6</c:v>
                </c:pt>
                <c:pt idx="410">
                  <c:v>4</c:v>
                </c:pt>
                <c:pt idx="411">
                  <c:v>11</c:v>
                </c:pt>
                <c:pt idx="412">
                  <c:v>6</c:v>
                </c:pt>
                <c:pt idx="413">
                  <c:v>5</c:v>
                </c:pt>
                <c:pt idx="414">
                  <c:v>4</c:v>
                </c:pt>
                <c:pt idx="415">
                  <c:v>5</c:v>
                </c:pt>
                <c:pt idx="416">
                  <c:v>2</c:v>
                </c:pt>
                <c:pt idx="417">
                  <c:v>5</c:v>
                </c:pt>
                <c:pt idx="418">
                  <c:v>2</c:v>
                </c:pt>
                <c:pt idx="419">
                  <c:v>3</c:v>
                </c:pt>
                <c:pt idx="420">
                  <c:v>8</c:v>
                </c:pt>
                <c:pt idx="421">
                  <c:v>6</c:v>
                </c:pt>
                <c:pt idx="422">
                  <c:v>2</c:v>
                </c:pt>
                <c:pt idx="423">
                  <c:v>3</c:v>
                </c:pt>
                <c:pt idx="424">
                  <c:v>3</c:v>
                </c:pt>
                <c:pt idx="425">
                  <c:v>2</c:v>
                </c:pt>
                <c:pt idx="426">
                  <c:v>7</c:v>
                </c:pt>
                <c:pt idx="427">
                  <c:v>3</c:v>
                </c:pt>
                <c:pt idx="428">
                  <c:v>4</c:v>
                </c:pt>
                <c:pt idx="429">
                  <c:v>2</c:v>
                </c:pt>
                <c:pt idx="430">
                  <c:v>6</c:v>
                </c:pt>
                <c:pt idx="431">
                  <c:v>5</c:v>
                </c:pt>
                <c:pt idx="432">
                  <c:v>0</c:v>
                </c:pt>
                <c:pt idx="433">
                  <c:v>3</c:v>
                </c:pt>
                <c:pt idx="434">
                  <c:v>3</c:v>
                </c:pt>
                <c:pt idx="435">
                  <c:v>0</c:v>
                </c:pt>
                <c:pt idx="436">
                  <c:v>2</c:v>
                </c:pt>
                <c:pt idx="437">
                  <c:v>1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3</c:v>
                </c:pt>
                <c:pt idx="442">
                  <c:v>2</c:v>
                </c:pt>
                <c:pt idx="443">
                  <c:v>1</c:v>
                </c:pt>
                <c:pt idx="444">
                  <c:v>3</c:v>
                </c:pt>
                <c:pt idx="445">
                  <c:v>3</c:v>
                </c:pt>
                <c:pt idx="446">
                  <c:v>2</c:v>
                </c:pt>
                <c:pt idx="447">
                  <c:v>4</c:v>
                </c:pt>
                <c:pt idx="448">
                  <c:v>1</c:v>
                </c:pt>
                <c:pt idx="449">
                  <c:v>0</c:v>
                </c:pt>
                <c:pt idx="450">
                  <c:v>2</c:v>
                </c:pt>
                <c:pt idx="451">
                  <c:v>0</c:v>
                </c:pt>
                <c:pt idx="452">
                  <c:v>0</c:v>
                </c:pt>
                <c:pt idx="453">
                  <c:v>1</c:v>
                </c:pt>
                <c:pt idx="454">
                  <c:v>4</c:v>
                </c:pt>
                <c:pt idx="455">
                  <c:v>2</c:v>
                </c:pt>
                <c:pt idx="456">
                  <c:v>4</c:v>
                </c:pt>
                <c:pt idx="457">
                  <c:v>1</c:v>
                </c:pt>
                <c:pt idx="458">
                  <c:v>1</c:v>
                </c:pt>
                <c:pt idx="459">
                  <c:v>0</c:v>
                </c:pt>
                <c:pt idx="460">
                  <c:v>3</c:v>
                </c:pt>
                <c:pt idx="461">
                  <c:v>0</c:v>
                </c:pt>
                <c:pt idx="462">
                  <c:v>1</c:v>
                </c:pt>
                <c:pt idx="463">
                  <c:v>0</c:v>
                </c:pt>
                <c:pt idx="464">
                  <c:v>1</c:v>
                </c:pt>
                <c:pt idx="465">
                  <c:v>2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</c:v>
                </c:pt>
                <c:pt idx="479">
                  <c:v>1</c:v>
                </c:pt>
                <c:pt idx="480">
                  <c:v>1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1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2</c:v>
                </c:pt>
                <c:pt idx="495">
                  <c:v>0</c:v>
                </c:pt>
                <c:pt idx="496">
                  <c:v>2</c:v>
                </c:pt>
                <c:pt idx="497">
                  <c:v>0</c:v>
                </c:pt>
                <c:pt idx="498">
                  <c:v>0</c:v>
                </c:pt>
                <c:pt idx="499">
                  <c:v>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1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1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B-4CDB-AC80-7E4857305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51948"/>
        <c:axId val="25909105"/>
      </c:scatterChart>
      <c:valAx>
        <c:axId val="31651948"/>
        <c:scaling>
          <c:orientation val="minMax"/>
          <c:max val="100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5909105"/>
        <c:crosses val="autoZero"/>
        <c:crossBetween val="between"/>
        <c:majorUnit val="100"/>
      </c:valAx>
      <c:valAx>
        <c:axId val="2590910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31651948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109800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132120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Used microbalance to weigh 10ml sample of fluid, added using precision digital pipette. Added 10x 10ml I total to plastic sample bottle and weighed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15ml pumped flush + 40ml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Measured final weight of bottle+remaining fluid.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37</xdr:row>
      <xdr:rowOff>1800</xdr:rowOff>
    </xdr:from>
    <xdr:to>
      <xdr:col>10</xdr:col>
      <xdr:colOff>561240</xdr:colOff>
      <xdr:row>70</xdr:row>
      <xdr:rowOff>123480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36</xdr:row>
      <xdr:rowOff>158760</xdr:rowOff>
    </xdr:from>
    <xdr:to>
      <xdr:col>20</xdr:col>
      <xdr:colOff>12600</xdr:colOff>
      <xdr:row>70</xdr:row>
      <xdr:rowOff>117360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11520</xdr:colOff>
      <xdr:row>13</xdr:row>
      <xdr:rowOff>19080</xdr:rowOff>
    </xdr:from>
    <xdr:to>
      <xdr:col>22</xdr:col>
      <xdr:colOff>582480</xdr:colOff>
      <xdr:row>36</xdr:row>
      <xdr:rowOff>27720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374920" y="2642400"/>
          <a:ext cx="7057440" cy="374724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Procedure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ENSURE UNIT REMAINS ONLINE 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102</xdr:row>
      <xdr:rowOff>11880</xdr:rowOff>
    </xdr:from>
    <xdr:to>
      <xdr:col>10</xdr:col>
      <xdr:colOff>507600</xdr:colOff>
      <xdr:row>110</xdr:row>
      <xdr:rowOff>59760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118080</xdr:colOff>
      <xdr:row>24</xdr:row>
      <xdr:rowOff>154080</xdr:rowOff>
    </xdr:from>
    <xdr:to>
      <xdr:col>10</xdr:col>
      <xdr:colOff>514080</xdr:colOff>
      <xdr:row>44</xdr:row>
      <xdr:rowOff>20881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A9" sqref="A9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/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2"/>
      <c r="B13" s="9"/>
      <c r="C13" s="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2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zoomScale="95" zoomScaleNormal="95" workbookViewId="0">
      <selection activeCell="A2" sqref="A2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27.75" x14ac:dyDescent="0.4">
      <c r="A1" s="164" t="s">
        <v>318</v>
      </c>
      <c r="B1" s="164"/>
      <c r="C1" s="164"/>
      <c r="D1" s="164"/>
      <c r="E1" s="164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22</v>
      </c>
      <c r="B5" s="10"/>
      <c r="C5" s="10"/>
      <c r="D5" s="12" t="s">
        <v>23</v>
      </c>
      <c r="E5" s="10"/>
      <c r="G5" s="10"/>
      <c r="H5" s="10"/>
      <c r="I5" s="10"/>
      <c r="K5" s="10"/>
      <c r="L5" s="10"/>
      <c r="M5" s="10"/>
      <c r="N5" s="10"/>
      <c r="O5" s="10"/>
    </row>
    <row r="6" spans="1:15" ht="13.15" x14ac:dyDescent="0.4">
      <c r="A6" s="10" t="s">
        <v>24</v>
      </c>
      <c r="B6" s="10"/>
      <c r="C6" s="10"/>
      <c r="D6" s="10" t="s">
        <v>25</v>
      </c>
      <c r="E6" s="10"/>
      <c r="F6" s="10"/>
      <c r="G6" s="10"/>
      <c r="H6" s="10"/>
      <c r="I6" s="10"/>
      <c r="K6" s="10"/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">
        <v>23</v>
      </c>
      <c r="E7" s="10"/>
      <c r="F7" s="10"/>
      <c r="G7" s="10"/>
      <c r="H7" s="10"/>
      <c r="I7" s="10"/>
      <c r="K7" s="10"/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0" t="s">
        <v>25</v>
      </c>
      <c r="E8" s="10"/>
      <c r="F8" s="10"/>
      <c r="G8" s="10"/>
      <c r="H8" s="10"/>
      <c r="I8" s="10"/>
      <c r="K8" s="10"/>
      <c r="L8" s="10"/>
      <c r="M8" s="10"/>
      <c r="N8" s="10"/>
      <c r="O8" s="10"/>
    </row>
    <row r="9" spans="1:15" ht="13.15" x14ac:dyDescent="0.4">
      <c r="A9" s="10" t="s">
        <v>28</v>
      </c>
      <c r="B9" s="10"/>
      <c r="C9" s="10"/>
      <c r="D9" s="13">
        <v>45820</v>
      </c>
      <c r="E9" s="10"/>
      <c r="F9" s="10"/>
      <c r="G9" s="10"/>
      <c r="H9" s="10"/>
      <c r="I9" s="10"/>
      <c r="K9" s="10"/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4" t="s">
        <v>30</v>
      </c>
      <c r="E10" s="10"/>
      <c r="F10" s="10"/>
      <c r="G10" s="10"/>
      <c r="H10" s="10"/>
      <c r="I10" s="10"/>
      <c r="K10" s="10"/>
      <c r="L10" s="10"/>
      <c r="M10" s="10"/>
      <c r="N10" s="10"/>
      <c r="O10" s="10"/>
    </row>
    <row r="11" spans="1:15" ht="13.15" x14ac:dyDescent="0.4">
      <c r="A11" s="10" t="s">
        <v>31</v>
      </c>
      <c r="B11" s="10"/>
      <c r="C11" s="10"/>
      <c r="D11" s="15">
        <v>36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0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6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5" ht="13.15" x14ac:dyDescent="0.4">
      <c r="A17" t="s">
        <v>35</v>
      </c>
      <c r="B17" s="10"/>
      <c r="C17" s="10"/>
      <c r="D17" s="8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5" ht="13.15" x14ac:dyDescent="0.4">
      <c r="A18" t="s">
        <v>36</v>
      </c>
      <c r="D18" s="8">
        <v>500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5" ht="13.15" x14ac:dyDescent="0.4">
      <c r="A19" t="s">
        <v>37</v>
      </c>
      <c r="D19" s="17">
        <f>D18*D15/1000</f>
        <v>0.79365079365079361</v>
      </c>
      <c r="E19" s="10"/>
      <c r="F19" s="10"/>
      <c r="G19" s="10"/>
      <c r="H19" s="10"/>
      <c r="I19" s="10"/>
      <c r="K19" s="10"/>
      <c r="L19" s="10"/>
      <c r="M19" s="10"/>
      <c r="N19" s="14"/>
      <c r="O19" s="10"/>
    </row>
    <row r="20" spans="1:15" ht="13.15" x14ac:dyDescent="0.4">
      <c r="A20" t="s">
        <v>38</v>
      </c>
      <c r="D20" s="18">
        <f>D19/D17*1000</f>
        <v>7.9365079365079358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5" ht="13.15" x14ac:dyDescent="0.4">
      <c r="E21" s="10"/>
      <c r="K21" s="10"/>
      <c r="L21" s="10"/>
      <c r="M21" s="10"/>
      <c r="N21" s="12"/>
      <c r="O21" s="10"/>
    </row>
    <row r="22" spans="1:15" ht="13.15" x14ac:dyDescent="0.4">
      <c r="A22" s="10"/>
      <c r="B22" s="10"/>
      <c r="C22" s="12" t="s">
        <v>39</v>
      </c>
      <c r="D22" s="12" t="s">
        <v>40</v>
      </c>
      <c r="E22" s="10"/>
      <c r="K22" s="10"/>
      <c r="L22" s="10"/>
      <c r="M22" s="10"/>
      <c r="N22" s="19"/>
      <c r="O22" s="10"/>
    </row>
    <row r="23" spans="1:15" ht="13.15" x14ac:dyDescent="0.4">
      <c r="A23" s="10"/>
      <c r="B23" s="10"/>
      <c r="C23" s="10"/>
      <c r="D23" s="10"/>
      <c r="E23" s="10"/>
      <c r="F23" s="10" t="s">
        <v>28</v>
      </c>
      <c r="G23" s="10"/>
      <c r="H23" s="14">
        <v>45726</v>
      </c>
      <c r="I23" s="10"/>
      <c r="K23" s="10"/>
      <c r="L23" s="10"/>
      <c r="M23" s="10"/>
      <c r="N23" s="12"/>
      <c r="O23" s="10"/>
    </row>
    <row r="24" spans="1:15" ht="13.15" x14ac:dyDescent="0.4">
      <c r="A24" s="10"/>
      <c r="B24" s="10" t="s">
        <v>41</v>
      </c>
      <c r="C24" s="20">
        <v>9223</v>
      </c>
      <c r="D24" s="21">
        <f>(C24-$C$30)/$C$30</f>
        <v>1.4319021643498233E-2</v>
      </c>
      <c r="E24" s="10"/>
      <c r="F24" s="10" t="s">
        <v>29</v>
      </c>
      <c r="G24" s="10"/>
      <c r="H24" s="12" t="s">
        <v>30</v>
      </c>
      <c r="I24" s="10"/>
      <c r="K24" s="10"/>
      <c r="L24" s="10"/>
      <c r="M24" s="10"/>
      <c r="N24" s="12"/>
      <c r="O24" s="10"/>
    </row>
    <row r="25" spans="1:15" ht="13.15" x14ac:dyDescent="0.4">
      <c r="A25" s="10"/>
      <c r="B25" s="10" t="s">
        <v>42</v>
      </c>
      <c r="C25" s="22">
        <v>9124</v>
      </c>
      <c r="D25" s="21">
        <f>(C25-$C$30)/$C$30</f>
        <v>3.4312862924512503E-3</v>
      </c>
      <c r="E25" s="10"/>
      <c r="F25" s="10" t="s">
        <v>43</v>
      </c>
      <c r="G25" s="10"/>
      <c r="H25" s="12">
        <v>61110029</v>
      </c>
      <c r="I25" s="10"/>
      <c r="K25" s="10"/>
      <c r="L25" s="10"/>
      <c r="M25" s="10"/>
      <c r="N25" s="12"/>
      <c r="O25" s="10"/>
    </row>
    <row r="26" spans="1:15" ht="13.9" customHeight="1" x14ac:dyDescent="0.4">
      <c r="A26" s="10"/>
      <c r="B26" s="10" t="s">
        <v>44</v>
      </c>
      <c r="C26" s="22">
        <v>9086</v>
      </c>
      <c r="D26" s="21">
        <f>(C26-$C$30)/$C$30</f>
        <v>-7.4784444835466221E-4</v>
      </c>
      <c r="E26" s="10"/>
      <c r="F26" s="10"/>
      <c r="G26" s="10"/>
      <c r="H26" s="12"/>
      <c r="I26" s="10"/>
    </row>
    <row r="27" spans="1:15" ht="13.15" x14ac:dyDescent="0.4">
      <c r="A27" s="10"/>
      <c r="B27" s="10" t="s">
        <v>45</v>
      </c>
      <c r="C27" s="22">
        <v>9116</v>
      </c>
      <c r="D27" s="21">
        <f>(C27-$C$30)/$C$30</f>
        <v>2.5514692943868476E-3</v>
      </c>
      <c r="E27" s="10"/>
      <c r="F27" s="10" t="s">
        <v>46</v>
      </c>
      <c r="G27" s="10"/>
      <c r="H27" s="12"/>
      <c r="I27" s="10"/>
    </row>
    <row r="28" spans="1:15" ht="13.15" x14ac:dyDescent="0.4">
      <c r="A28" s="10"/>
      <c r="B28" s="10" t="s">
        <v>47</v>
      </c>
      <c r="C28" s="23">
        <v>8915</v>
      </c>
      <c r="D28" s="21">
        <f>(C28-$C$30)/$C$30</f>
        <v>-1.9553932781981271E-2</v>
      </c>
      <c r="E28" s="10"/>
      <c r="F28" s="10" t="s">
        <v>48</v>
      </c>
      <c r="G28" s="10"/>
      <c r="H28" s="12" t="s">
        <v>49</v>
      </c>
      <c r="I28" s="10"/>
    </row>
    <row r="29" spans="1:15" ht="13.15" x14ac:dyDescent="0.4">
      <c r="A29" s="10"/>
      <c r="B29" s="10"/>
      <c r="C29" s="10"/>
      <c r="D29" s="10"/>
      <c r="E29" s="10"/>
      <c r="F29" s="10" t="s">
        <v>50</v>
      </c>
      <c r="G29" s="10"/>
      <c r="H29" s="19">
        <v>8.4190000000000005</v>
      </c>
      <c r="I29" s="10"/>
    </row>
    <row r="30" spans="1:15" ht="13.15" x14ac:dyDescent="0.4">
      <c r="A30" s="10"/>
      <c r="B30" s="10" t="s">
        <v>51</v>
      </c>
      <c r="C30" s="24">
        <f>AVERAGE(C24:C28)</f>
        <v>9092.7999999999993</v>
      </c>
      <c r="D30" s="10"/>
      <c r="E30" s="10"/>
      <c r="F30" s="10" t="s">
        <v>52</v>
      </c>
      <c r="G30" s="10"/>
      <c r="H30" s="19">
        <v>86.379000000000005</v>
      </c>
      <c r="I30" s="10"/>
    </row>
    <row r="31" spans="1:15" ht="13.15" x14ac:dyDescent="0.4">
      <c r="A31" s="10"/>
      <c r="B31" s="10" t="s">
        <v>53</v>
      </c>
      <c r="C31" s="24">
        <f>STDEVP(C24:C28)</f>
        <v>100.12272469324834</v>
      </c>
      <c r="D31" s="10"/>
      <c r="E31" s="10"/>
      <c r="F31" s="10" t="s">
        <v>54</v>
      </c>
      <c r="G31" s="10"/>
      <c r="H31" s="12">
        <v>15</v>
      </c>
      <c r="I31" s="10" t="s">
        <v>55</v>
      </c>
    </row>
    <row r="32" spans="1:15" ht="13.15" x14ac:dyDescent="0.4">
      <c r="A32" s="10"/>
      <c r="B32" s="10"/>
      <c r="C32" s="24"/>
      <c r="D32" s="10"/>
      <c r="E32" s="10"/>
      <c r="F32" s="10" t="s">
        <v>56</v>
      </c>
      <c r="G32" s="10"/>
      <c r="H32" s="12">
        <v>40</v>
      </c>
      <c r="I32" s="10" t="s">
        <v>55</v>
      </c>
    </row>
    <row r="33" spans="1:10" ht="13.15" x14ac:dyDescent="0.4">
      <c r="A33" s="10"/>
      <c r="B33" s="10"/>
      <c r="C33" s="10"/>
      <c r="D33" s="10"/>
      <c r="E33" s="10"/>
      <c r="F33" s="10" t="s">
        <v>57</v>
      </c>
      <c r="G33" s="10"/>
      <c r="H33" s="12">
        <f>H31+H32</f>
        <v>55</v>
      </c>
      <c r="I33" s="10" t="s">
        <v>55</v>
      </c>
    </row>
    <row r="34" spans="1:10" ht="13.15" x14ac:dyDescent="0.4">
      <c r="A34" s="10"/>
      <c r="B34" s="10"/>
      <c r="C34" s="21"/>
      <c r="D34" s="10"/>
      <c r="E34" s="10"/>
      <c r="F34" s="10" t="s">
        <v>58</v>
      </c>
      <c r="G34" s="10"/>
      <c r="H34" s="19">
        <v>39.51</v>
      </c>
      <c r="I34" s="10" t="s">
        <v>59</v>
      </c>
    </row>
    <row r="35" spans="1:10" ht="13.15" x14ac:dyDescent="0.4">
      <c r="A35" s="10"/>
      <c r="B35" s="10"/>
      <c r="C35" s="10"/>
      <c r="D35" s="10"/>
      <c r="F35" s="10" t="s">
        <v>60</v>
      </c>
      <c r="G35" s="10"/>
      <c r="H35" s="19">
        <f>H30-H34</f>
        <v>46.869000000000007</v>
      </c>
      <c r="I35" s="10"/>
    </row>
    <row r="36" spans="1:10" ht="13.15" x14ac:dyDescent="0.4">
      <c r="A36" s="10"/>
      <c r="B36" s="10"/>
      <c r="C36" s="10"/>
      <c r="D36" s="10"/>
      <c r="F36" s="25" t="s">
        <v>61</v>
      </c>
      <c r="G36" s="26"/>
      <c r="H36" s="27">
        <f>H35/H29*10</f>
        <v>55.670507186126628</v>
      </c>
      <c r="I36" s="10"/>
    </row>
    <row r="37" spans="1:10" ht="13.15" x14ac:dyDescent="0.4">
      <c r="A37" s="10"/>
      <c r="B37" s="10"/>
      <c r="C37" s="10"/>
      <c r="D37" s="10"/>
      <c r="F37" s="10"/>
      <c r="G37" s="10"/>
      <c r="H37" s="12"/>
      <c r="I37" s="10"/>
    </row>
    <row r="38" spans="1:10" ht="15.4" x14ac:dyDescent="0.55000000000000004">
      <c r="A38" s="10"/>
      <c r="B38" s="10" t="s">
        <v>62</v>
      </c>
      <c r="C38" s="21">
        <f>C31/C30</f>
        <v>1.10112093847053E-2</v>
      </c>
      <c r="D38" s="10" t="str">
        <f>IF(C38&lt;0.03,"&lt;3% = PASS","&gt;3% = FAIL")</f>
        <v>&lt;3% = PASS</v>
      </c>
      <c r="F38" s="10" t="s">
        <v>63</v>
      </c>
      <c r="G38" s="10"/>
      <c r="H38" s="28">
        <f>H36/H33-1</f>
        <v>1.2191039747756927E-2</v>
      </c>
      <c r="I38" s="10"/>
      <c r="J38" s="29"/>
    </row>
    <row r="39" spans="1:10" ht="13.15" x14ac:dyDescent="0.4">
      <c r="A39" s="10"/>
      <c r="B39" s="10"/>
      <c r="C39" s="10"/>
      <c r="D39" s="10"/>
      <c r="F39" s="10"/>
      <c r="G39" s="10"/>
      <c r="H39" s="30"/>
      <c r="I39" s="29"/>
      <c r="J39" s="29"/>
    </row>
    <row r="40" spans="1:10" ht="13.15" x14ac:dyDescent="0.4">
      <c r="A40" s="8"/>
      <c r="F40" s="10"/>
      <c r="G40" s="10"/>
      <c r="H40" s="31"/>
      <c r="I40" s="29"/>
      <c r="J40" s="29"/>
    </row>
    <row r="41" spans="1:10" ht="13.15" x14ac:dyDescent="0.4">
      <c r="B41" s="32"/>
      <c r="E41" s="10"/>
      <c r="F41" s="10"/>
      <c r="G41" s="10"/>
      <c r="H41" s="30"/>
      <c r="I41" s="29"/>
      <c r="J41" s="29"/>
    </row>
    <row r="42" spans="1:10" ht="13.15" x14ac:dyDescent="0.4">
      <c r="E42" s="10"/>
      <c r="F42" s="10"/>
      <c r="G42" s="10"/>
      <c r="H42" s="31"/>
      <c r="I42" s="29"/>
      <c r="J42" s="29"/>
    </row>
    <row r="43" spans="1:10" ht="13.15" x14ac:dyDescent="0.4">
      <c r="E43" s="10"/>
      <c r="F43" s="10"/>
      <c r="G43" s="10"/>
      <c r="H43" s="30"/>
      <c r="I43" s="29"/>
      <c r="J43" s="29"/>
    </row>
    <row r="44" spans="1:10" ht="13.15" x14ac:dyDescent="0.4">
      <c r="C44" s="8"/>
      <c r="E44" s="33"/>
      <c r="F44" s="10"/>
      <c r="G44" s="10"/>
      <c r="H44" s="34"/>
      <c r="I44" s="29"/>
      <c r="J44" s="29"/>
    </row>
    <row r="45" spans="1:10" ht="13.15" x14ac:dyDescent="0.4">
      <c r="E45" s="10"/>
      <c r="F45" s="10"/>
      <c r="G45" s="10"/>
      <c r="H45" s="10"/>
      <c r="I45" s="10"/>
    </row>
    <row r="46" spans="1:10" ht="13.15" x14ac:dyDescent="0.4">
      <c r="E46" s="10"/>
      <c r="F46" s="10"/>
      <c r="G46" s="10"/>
      <c r="H46" s="10"/>
      <c r="I46" s="21"/>
    </row>
    <row r="47" spans="1:10" ht="13.15" x14ac:dyDescent="0.4">
      <c r="E47" s="10"/>
      <c r="F47" s="10"/>
      <c r="G47" s="10"/>
      <c r="H47" s="10"/>
      <c r="I47" s="10"/>
    </row>
    <row r="48" spans="1:10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21"/>
    </row>
  </sheetData>
  <mergeCells count="1">
    <mergeCell ref="A1:E1"/>
  </mergeCells>
  <conditionalFormatting sqref="C38">
    <cfRule type="cellIs" dxfId="23" priority="4" operator="lessThan">
      <formula>0.03</formula>
    </cfRule>
    <cfRule type="cellIs" dxfId="22" priority="5" operator="greaterThanOrEqual">
      <formula>0.03</formula>
    </cfRule>
  </conditionalFormatting>
  <conditionalFormatting sqref="D38">
    <cfRule type="cellIs" dxfId="21" priority="2" operator="equal">
      <formula>"&lt;3% = PASS"</formula>
    </cfRule>
    <cfRule type="cellIs" dxfId="20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06"/>
  <sheetViews>
    <sheetView zoomScale="70" zoomScaleNormal="70" workbookViewId="0"/>
  </sheetViews>
  <sheetFormatPr defaultColWidth="11.53125" defaultRowHeight="12.75" x14ac:dyDescent="0.35"/>
  <cols>
    <col min="14" max="14" width="11.33203125" customWidth="1"/>
    <col min="21" max="21" width="11.33203125" customWidth="1"/>
    <col min="24" max="24" width="11.33203125" customWidth="1"/>
    <col min="28" max="28" width="11.33203125" customWidth="1"/>
  </cols>
  <sheetData>
    <row r="1" spans="1:1009" ht="53" customHeight="1" x14ac:dyDescent="1.05">
      <c r="A1" s="3" t="s">
        <v>10</v>
      </c>
      <c r="B1" s="35" t="s">
        <v>8</v>
      </c>
      <c r="C1" s="165" t="s">
        <v>11</v>
      </c>
      <c r="D1" s="165"/>
      <c r="E1" s="165"/>
      <c r="F1" s="165"/>
      <c r="G1" s="165"/>
      <c r="H1" s="165"/>
      <c r="I1" s="165"/>
      <c r="J1" s="165"/>
      <c r="K1" s="165"/>
      <c r="L1" s="165"/>
      <c r="M1" s="9"/>
      <c r="N1" s="36" t="s">
        <v>64</v>
      </c>
      <c r="P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</row>
    <row r="2" spans="1:1009" ht="13.15" x14ac:dyDescent="0.4">
      <c r="A2" s="37">
        <v>45786</v>
      </c>
    </row>
    <row r="3" spans="1:1009" ht="13.15" x14ac:dyDescent="0.4">
      <c r="N3" s="38" t="s">
        <v>22</v>
      </c>
      <c r="O3" s="39"/>
      <c r="P3" s="39"/>
      <c r="Q3" s="40" t="s">
        <v>23</v>
      </c>
      <c r="AB3" s="8" t="s">
        <v>65</v>
      </c>
      <c r="AC3" s="8"/>
    </row>
    <row r="4" spans="1:1009" ht="15" x14ac:dyDescent="0.5">
      <c r="N4" s="41" t="s">
        <v>24</v>
      </c>
      <c r="Q4" s="42" t="s">
        <v>66</v>
      </c>
      <c r="AA4" t="s">
        <v>67</v>
      </c>
      <c r="AB4" s="8" t="s">
        <v>68</v>
      </c>
      <c r="AC4" s="8" t="s">
        <v>69</v>
      </c>
      <c r="AD4" t="s">
        <v>70</v>
      </c>
    </row>
    <row r="5" spans="1:1009" x14ac:dyDescent="0.35">
      <c r="N5" s="41" t="s">
        <v>27</v>
      </c>
      <c r="Q5" s="42" t="s">
        <v>66</v>
      </c>
      <c r="AB5">
        <v>167569</v>
      </c>
      <c r="AC5" s="9"/>
    </row>
    <row r="6" spans="1:1009" ht="13.15" x14ac:dyDescent="0.4">
      <c r="A6">
        <v>6300</v>
      </c>
      <c r="B6" t="s">
        <v>71</v>
      </c>
      <c r="C6" t="s">
        <v>72</v>
      </c>
      <c r="I6">
        <v>60000</v>
      </c>
      <c r="N6" s="41" t="s">
        <v>28</v>
      </c>
      <c r="Q6" s="43">
        <v>45791</v>
      </c>
      <c r="AB6">
        <v>169407</v>
      </c>
    </row>
    <row r="7" spans="1:1009" x14ac:dyDescent="0.35">
      <c r="A7">
        <v>11.68</v>
      </c>
      <c r="B7" t="s">
        <v>73</v>
      </c>
      <c r="C7" t="s">
        <v>74</v>
      </c>
      <c r="N7" s="41" t="s">
        <v>29</v>
      </c>
      <c r="Q7" s="44" t="s">
        <v>30</v>
      </c>
      <c r="AB7">
        <v>169243</v>
      </c>
      <c r="AC7" s="45">
        <f>SUM(AB5:AB7)/3</f>
        <v>168739.66666666666</v>
      </c>
      <c r="AD7" s="46">
        <f>(MAX(AB5:AB6)-MIN(AB5:AB6))/AC7*100</f>
        <v>1.0892518850537021</v>
      </c>
    </row>
    <row r="8" spans="1:1009" ht="13.15" x14ac:dyDescent="0.4">
      <c r="A8">
        <v>20000</v>
      </c>
      <c r="B8" t="s">
        <v>39</v>
      </c>
      <c r="C8" t="s">
        <v>75</v>
      </c>
      <c r="N8" s="41" t="s">
        <v>31</v>
      </c>
      <c r="Q8" s="47">
        <v>38</v>
      </c>
      <c r="AB8">
        <v>292859</v>
      </c>
      <c r="AC8" s="45"/>
      <c r="AD8" s="46"/>
    </row>
    <row r="9" spans="1:1009" x14ac:dyDescent="0.35">
      <c r="A9">
        <f>A8/10</f>
        <v>2000</v>
      </c>
      <c r="B9" t="s">
        <v>39</v>
      </c>
      <c r="C9" t="s">
        <v>76</v>
      </c>
      <c r="N9" s="41"/>
      <c r="Q9" s="48"/>
      <c r="AB9">
        <v>301110</v>
      </c>
      <c r="AC9" s="45"/>
      <c r="AD9" s="46"/>
    </row>
    <row r="10" spans="1:1009" x14ac:dyDescent="0.35">
      <c r="A10" s="49">
        <f>A9/A6*A7</f>
        <v>3.7079365079365076</v>
      </c>
      <c r="B10" t="s">
        <v>77</v>
      </c>
      <c r="C10" t="s">
        <v>78</v>
      </c>
      <c r="N10" s="50" t="s">
        <v>79</v>
      </c>
      <c r="O10" s="51"/>
      <c r="P10" s="51"/>
      <c r="Q10" s="52" t="s">
        <v>80</v>
      </c>
      <c r="AB10">
        <v>299624</v>
      </c>
      <c r="AC10" s="45"/>
      <c r="AD10" s="46"/>
    </row>
    <row r="11" spans="1:1009" x14ac:dyDescent="0.35">
      <c r="A11" s="53">
        <f>A10*100</f>
        <v>370.79365079365078</v>
      </c>
      <c r="B11" t="s">
        <v>81</v>
      </c>
      <c r="C11" t="s">
        <v>82</v>
      </c>
      <c r="AB11">
        <v>285382</v>
      </c>
      <c r="AC11" s="45">
        <f>SUM(AB8:AB11)/4</f>
        <v>294743.75</v>
      </c>
      <c r="AD11" s="46">
        <f>(MAX(AB8:AB10)-MIN(AB8:AB10))/AC11*100</f>
        <v>2.7993808180835047</v>
      </c>
    </row>
    <row r="12" spans="1:1009" x14ac:dyDescent="0.35">
      <c r="A12">
        <v>200</v>
      </c>
      <c r="B12" t="s">
        <v>55</v>
      </c>
      <c r="C12" t="s">
        <v>83</v>
      </c>
      <c r="AB12">
        <v>458207</v>
      </c>
      <c r="AC12" s="45"/>
      <c r="AD12" s="46"/>
    </row>
    <row r="13" spans="1:1009" ht="13.15" x14ac:dyDescent="0.4">
      <c r="A13" s="54">
        <f>A11*A12/1000</f>
        <v>74.158730158730165</v>
      </c>
      <c r="B13" t="s">
        <v>77</v>
      </c>
      <c r="C13" t="s">
        <v>84</v>
      </c>
      <c r="AB13">
        <v>465138</v>
      </c>
      <c r="AC13" s="45"/>
      <c r="AD13" s="46"/>
    </row>
    <row r="14" spans="1:1009" x14ac:dyDescent="0.35">
      <c r="A14">
        <v>74.66</v>
      </c>
      <c r="B14" t="s">
        <v>77</v>
      </c>
      <c r="C14" t="s">
        <v>85</v>
      </c>
      <c r="AB14">
        <v>454200</v>
      </c>
      <c r="AC14" s="45"/>
      <c r="AD14" s="46"/>
    </row>
    <row r="15" spans="1:1009" x14ac:dyDescent="0.35">
      <c r="A15" s="53">
        <f>A11*A14/A13</f>
        <v>373.29999999999995</v>
      </c>
      <c r="B15" t="s">
        <v>81</v>
      </c>
      <c r="C15" t="s">
        <v>86</v>
      </c>
      <c r="AB15">
        <v>445750</v>
      </c>
      <c r="AC15" s="45"/>
      <c r="AD15" s="46"/>
    </row>
    <row r="16" spans="1:1009" x14ac:dyDescent="0.35">
      <c r="A16" s="53">
        <f>A13/A14*10</f>
        <v>9.9328596515845398</v>
      </c>
      <c r="B16" t="s">
        <v>55</v>
      </c>
      <c r="C16" t="s">
        <v>87</v>
      </c>
      <c r="AB16">
        <v>443747</v>
      </c>
      <c r="AC16" s="45"/>
      <c r="AD16" s="46"/>
    </row>
    <row r="17" spans="1:1009" x14ac:dyDescent="0.35">
      <c r="AB17">
        <v>453143</v>
      </c>
      <c r="AC17" s="45"/>
      <c r="AD17" s="46"/>
    </row>
    <row r="18" spans="1:1009" x14ac:dyDescent="0.35">
      <c r="A18" s="55">
        <v>1000000000</v>
      </c>
      <c r="C18" t="s">
        <v>88</v>
      </c>
      <c r="AB18">
        <v>436276</v>
      </c>
      <c r="AC18" s="45"/>
      <c r="AD18" s="46"/>
    </row>
    <row r="19" spans="1:1009" x14ac:dyDescent="0.35">
      <c r="A19">
        <v>0.06</v>
      </c>
      <c r="C19" t="s">
        <v>89</v>
      </c>
      <c r="AB19">
        <v>454474</v>
      </c>
      <c r="AC19" s="45"/>
      <c r="AD19" s="46"/>
    </row>
    <row r="20" spans="1:1009" ht="13.15" x14ac:dyDescent="0.4">
      <c r="A20" s="56"/>
      <c r="B20" s="56"/>
      <c r="C20" s="56" t="s">
        <v>90</v>
      </c>
      <c r="D20" s="56" t="s">
        <v>91</v>
      </c>
      <c r="E20" s="56" t="s">
        <v>92</v>
      </c>
      <c r="F20" s="56" t="s">
        <v>93</v>
      </c>
      <c r="G20" s="56" t="s">
        <v>94</v>
      </c>
      <c r="H20" s="56" t="s">
        <v>95</v>
      </c>
      <c r="I20" s="56" t="s">
        <v>96</v>
      </c>
      <c r="J20" s="56" t="s">
        <v>97</v>
      </c>
      <c r="K20" s="56"/>
      <c r="L20" s="56"/>
      <c r="M20" s="56" t="s">
        <v>98</v>
      </c>
      <c r="AB20">
        <v>454993</v>
      </c>
      <c r="AC20" s="45"/>
      <c r="AD20" s="46"/>
    </row>
    <row r="21" spans="1:1009" ht="13.15" x14ac:dyDescent="0.4">
      <c r="A21" s="57" t="s">
        <v>99</v>
      </c>
      <c r="B21" s="57" t="s">
        <v>100</v>
      </c>
      <c r="C21" s="57" t="s">
        <v>85</v>
      </c>
      <c r="D21" s="57" t="s">
        <v>101</v>
      </c>
      <c r="E21" s="57" t="s">
        <v>102</v>
      </c>
      <c r="F21" s="57" t="s">
        <v>103</v>
      </c>
      <c r="G21" s="57" t="s">
        <v>104</v>
      </c>
      <c r="H21" s="57" t="s">
        <v>105</v>
      </c>
      <c r="I21" s="57" t="s">
        <v>106</v>
      </c>
      <c r="J21" s="57" t="s">
        <v>40</v>
      </c>
      <c r="K21" s="58" t="str">
        <f>"95%"</f>
        <v>95%</v>
      </c>
      <c r="L21" s="57" t="s">
        <v>98</v>
      </c>
      <c r="M21" s="57" t="s">
        <v>107</v>
      </c>
      <c r="AB21">
        <v>462615</v>
      </c>
      <c r="AC21" s="45">
        <f>SUM(AB12:AB21)/(17-8+1)</f>
        <v>452854.3</v>
      </c>
      <c r="AD21" s="46">
        <f>(MAX(AB12:AB20)-MIN(AB12:AB20))/AC21*100</f>
        <v>6.3733523122116758</v>
      </c>
    </row>
    <row r="22" spans="1:1009" x14ac:dyDescent="0.35">
      <c r="A22" s="59">
        <v>0</v>
      </c>
      <c r="B22" s="60">
        <v>0</v>
      </c>
      <c r="C22" s="60">
        <v>0</v>
      </c>
      <c r="D22" s="61">
        <v>0</v>
      </c>
      <c r="E22" s="61">
        <v>0</v>
      </c>
      <c r="F22" s="59">
        <v>1</v>
      </c>
      <c r="G22" s="59">
        <v>1</v>
      </c>
      <c r="H22" s="59"/>
      <c r="I22" s="59">
        <v>1</v>
      </c>
      <c r="J22" s="59">
        <v>1</v>
      </c>
      <c r="K22" s="59">
        <f t="shared" ref="K22:K37" si="0">I22*0.95</f>
        <v>0.95</v>
      </c>
      <c r="L22" s="62">
        <f t="shared" ref="L22:L37" si="1">IF(G22&lt;$A$18, G22, G22*(1+G22/$A$18*$A$19))</f>
        <v>1</v>
      </c>
      <c r="M22" s="63">
        <v>1</v>
      </c>
      <c r="AB22">
        <v>578672</v>
      </c>
      <c r="AC22" s="45"/>
      <c r="AD22" s="46"/>
    </row>
    <row r="23" spans="1:1009" x14ac:dyDescent="0.35">
      <c r="A23" s="59">
        <v>10</v>
      </c>
      <c r="B23" s="59">
        <v>9.9</v>
      </c>
      <c r="C23" s="60">
        <f>B23</f>
        <v>9.9</v>
      </c>
      <c r="D23" s="61">
        <f t="shared" ref="D23:D37" si="2">C23*$A$15/1000</f>
        <v>3.6956699999999998</v>
      </c>
      <c r="E23" s="61">
        <f t="shared" ref="E23:E37" si="3">D23/($A$7+C23/1000)</f>
        <v>0.31614213979589217</v>
      </c>
      <c r="F23" s="64">
        <f t="shared" ref="F23:F37" si="4">$A$6*E23*100</f>
        <v>199169.54807141208</v>
      </c>
      <c r="G23" s="59">
        <v>158573</v>
      </c>
      <c r="H23" s="65">
        <f t="shared" ref="H23:H37" si="5">G23/F23</f>
        <v>0.79617090833154769</v>
      </c>
      <c r="I23" s="64">
        <f t="shared" ref="I23:I37" si="6">E23*$C$99</f>
        <v>156479.43552794794</v>
      </c>
      <c r="J23" s="65">
        <f t="shared" ref="J23:J37" si="7">G23/I23</f>
        <v>1.0133791668214329</v>
      </c>
      <c r="K23" s="64">
        <f t="shared" si="0"/>
        <v>148655.46375155053</v>
      </c>
      <c r="L23" s="62">
        <f t="shared" si="1"/>
        <v>158573</v>
      </c>
      <c r="M23" s="63">
        <f t="shared" ref="M23:M37" si="8">L23/I23</f>
        <v>1.0133791668214329</v>
      </c>
      <c r="AB23">
        <v>581090</v>
      </c>
      <c r="AC23" s="45"/>
      <c r="AD23" s="46"/>
    </row>
    <row r="24" spans="1:1009" x14ac:dyDescent="0.35">
      <c r="A24" s="59">
        <v>20</v>
      </c>
      <c r="B24" s="59">
        <v>9.9</v>
      </c>
      <c r="C24" s="60">
        <f t="shared" ref="C24:C37" si="9">C23+B24</f>
        <v>19.8</v>
      </c>
      <c r="D24" s="61">
        <f t="shared" si="2"/>
        <v>7.3913399999999996</v>
      </c>
      <c r="E24" s="61">
        <f t="shared" si="3"/>
        <v>0.63174926067112258</v>
      </c>
      <c r="F24" s="64">
        <f t="shared" si="4"/>
        <v>398002.03422280727</v>
      </c>
      <c r="G24" s="59">
        <v>315866</v>
      </c>
      <c r="H24" s="65">
        <f t="shared" si="5"/>
        <v>0.79362910950141941</v>
      </c>
      <c r="I24" s="64">
        <f t="shared" si="6"/>
        <v>312694.0551766968</v>
      </c>
      <c r="J24" s="65">
        <f t="shared" si="7"/>
        <v>1.0101439242953014</v>
      </c>
      <c r="K24" s="64">
        <f t="shared" si="0"/>
        <v>297059.35241786193</v>
      </c>
      <c r="L24" s="62">
        <f t="shared" si="1"/>
        <v>315866</v>
      </c>
      <c r="M24" s="63">
        <f t="shared" si="8"/>
        <v>1.0101439242953014</v>
      </c>
      <c r="AB24">
        <v>592101</v>
      </c>
      <c r="AC24" s="45"/>
      <c r="AD24" s="46"/>
    </row>
    <row r="25" spans="1:1009" x14ac:dyDescent="0.35">
      <c r="A25" s="59">
        <v>30</v>
      </c>
      <c r="B25" s="59">
        <v>9.9</v>
      </c>
      <c r="C25" s="60">
        <f t="shared" si="9"/>
        <v>29.700000000000003</v>
      </c>
      <c r="D25" s="61">
        <f t="shared" si="2"/>
        <v>11.087009999999999</v>
      </c>
      <c r="E25" s="61">
        <f t="shared" si="3"/>
        <v>0.94682271962560949</v>
      </c>
      <c r="F25" s="64">
        <f t="shared" si="4"/>
        <v>596498.31336413394</v>
      </c>
      <c r="G25" s="59">
        <v>471092</v>
      </c>
      <c r="H25" s="65">
        <f t="shared" si="5"/>
        <v>0.78976250132734349</v>
      </c>
      <c r="I25" s="64">
        <f t="shared" si="6"/>
        <v>468644.53061431763</v>
      </c>
      <c r="J25" s="65">
        <f t="shared" si="7"/>
        <v>1.0052224430795642</v>
      </c>
      <c r="K25" s="64">
        <f t="shared" si="0"/>
        <v>445212.30408360175</v>
      </c>
      <c r="L25" s="62">
        <f t="shared" si="1"/>
        <v>471092</v>
      </c>
      <c r="M25" s="63">
        <f t="shared" si="8"/>
        <v>1.0052224430795642</v>
      </c>
      <c r="AB25">
        <v>600145</v>
      </c>
      <c r="AC25" s="45"/>
      <c r="AD25" s="46"/>
    </row>
    <row r="26" spans="1:1009" ht="13.15" x14ac:dyDescent="0.4">
      <c r="A26" s="59">
        <v>40</v>
      </c>
      <c r="B26" s="59">
        <v>9.9</v>
      </c>
      <c r="C26" s="60">
        <f t="shared" si="9"/>
        <v>39.6</v>
      </c>
      <c r="D26" s="61">
        <f t="shared" si="2"/>
        <v>14.782679999999999</v>
      </c>
      <c r="E26" s="61">
        <f t="shared" si="3"/>
        <v>1.2613638690740299</v>
      </c>
      <c r="F26" s="64">
        <f t="shared" si="4"/>
        <v>794659.23751663882</v>
      </c>
      <c r="G26" s="59">
        <v>620381</v>
      </c>
      <c r="H26" s="65">
        <f t="shared" si="5"/>
        <v>0.78068808705820936</v>
      </c>
      <c r="I26" s="64">
        <f t="shared" si="6"/>
        <v>624331.53123934555</v>
      </c>
      <c r="J26" s="65">
        <f t="shared" si="7"/>
        <v>0.99367238231344257</v>
      </c>
      <c r="K26" s="64">
        <f t="shared" si="0"/>
        <v>593114.95467737829</v>
      </c>
      <c r="L26" s="62">
        <f t="shared" si="1"/>
        <v>620381</v>
      </c>
      <c r="M26" s="63">
        <f t="shared" si="8"/>
        <v>0.99367238231344257</v>
      </c>
      <c r="P26" s="8"/>
      <c r="Q26" s="8"/>
      <c r="AB26">
        <v>599839</v>
      </c>
      <c r="AC26" s="45"/>
      <c r="AD26" s="46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</row>
    <row r="27" spans="1:1009" x14ac:dyDescent="0.35">
      <c r="A27" s="59">
        <v>50</v>
      </c>
      <c r="B27" s="59">
        <v>9.9</v>
      </c>
      <c r="C27" s="60">
        <f t="shared" si="9"/>
        <v>49.5</v>
      </c>
      <c r="D27" s="61">
        <f t="shared" si="2"/>
        <v>18.478349999999999</v>
      </c>
      <c r="E27" s="61">
        <f t="shared" si="3"/>
        <v>1.5753740568651688</v>
      </c>
      <c r="F27" s="64">
        <f t="shared" si="4"/>
        <v>992485.65582505637</v>
      </c>
      <c r="G27" s="59">
        <v>760309</v>
      </c>
      <c r="H27" s="65">
        <f t="shared" si="5"/>
        <v>0.76606547967481986</v>
      </c>
      <c r="I27" s="64">
        <f t="shared" si="6"/>
        <v>779755.72419035691</v>
      </c>
      <c r="J27" s="65">
        <f t="shared" si="7"/>
        <v>0.97506049191168298</v>
      </c>
      <c r="K27" s="64">
        <f t="shared" si="0"/>
        <v>740767.93798083905</v>
      </c>
      <c r="L27" s="62">
        <f t="shared" si="1"/>
        <v>760309</v>
      </c>
      <c r="M27" s="63">
        <f t="shared" si="8"/>
        <v>0.97506049191168298</v>
      </c>
      <c r="AB27">
        <v>606849</v>
      </c>
      <c r="AC27" s="45"/>
      <c r="AD27" s="46"/>
    </row>
    <row r="28" spans="1:1009" ht="13.15" x14ac:dyDescent="0.4">
      <c r="A28" s="59">
        <v>60</v>
      </c>
      <c r="B28" s="59">
        <v>9.9</v>
      </c>
      <c r="C28" s="60">
        <f t="shared" si="9"/>
        <v>59.4</v>
      </c>
      <c r="D28" s="61">
        <f t="shared" si="2"/>
        <v>22.174019999999995</v>
      </c>
      <c r="E28" s="61">
        <f t="shared" si="3"/>
        <v>1.8888546263011734</v>
      </c>
      <c r="F28" s="64">
        <f t="shared" si="4"/>
        <v>1189978.4145697393</v>
      </c>
      <c r="G28" s="66">
        <v>922391</v>
      </c>
      <c r="H28" s="65">
        <f t="shared" si="5"/>
        <v>0.7751325475374351</v>
      </c>
      <c r="I28" s="64">
        <f t="shared" si="6"/>
        <v>934917.77435549931</v>
      </c>
      <c r="J28" s="65">
        <f t="shared" si="7"/>
        <v>0.98660120205315938</v>
      </c>
      <c r="K28" s="64">
        <f t="shared" si="0"/>
        <v>888171.88563772431</v>
      </c>
      <c r="L28" s="62">
        <f t="shared" si="1"/>
        <v>922391</v>
      </c>
      <c r="M28" s="63">
        <f t="shared" si="8"/>
        <v>0.98660120205315938</v>
      </c>
      <c r="AB28">
        <v>607236</v>
      </c>
      <c r="AC28" s="45"/>
      <c r="AD28" s="46"/>
    </row>
    <row r="29" spans="1:1009" x14ac:dyDescent="0.35">
      <c r="A29" s="59">
        <v>70</v>
      </c>
      <c r="B29" s="59">
        <v>9.9</v>
      </c>
      <c r="C29" s="60">
        <f t="shared" si="9"/>
        <v>69.3</v>
      </c>
      <c r="D29" s="61">
        <f t="shared" si="2"/>
        <v>25.869689999999995</v>
      </c>
      <c r="E29" s="61">
        <f t="shared" si="3"/>
        <v>2.2018069161567069</v>
      </c>
      <c r="F29" s="64">
        <f t="shared" si="4"/>
        <v>1387138.3571787253</v>
      </c>
      <c r="G29" s="59">
        <f>1143045-$I$6</f>
        <v>1083045</v>
      </c>
      <c r="H29" s="65">
        <f t="shared" si="5"/>
        <v>0.78077647726704413</v>
      </c>
      <c r="I29" s="64">
        <f t="shared" si="6"/>
        <v>1089818.3443819722</v>
      </c>
      <c r="J29" s="65">
        <f t="shared" si="7"/>
        <v>0.99378488679614463</v>
      </c>
      <c r="K29" s="64">
        <f t="shared" si="0"/>
        <v>1035327.4271628736</v>
      </c>
      <c r="L29" s="62">
        <f t="shared" si="1"/>
        <v>1083045</v>
      </c>
      <c r="M29" s="63">
        <f t="shared" si="8"/>
        <v>0.99378488679614463</v>
      </c>
      <c r="AB29">
        <v>615108</v>
      </c>
      <c r="AC29" s="45">
        <f>SUM(AB22:AB29)/8</f>
        <v>597630</v>
      </c>
      <c r="AD29" s="46">
        <f>(MAX(AB22:AB28)-MIN(AB22:AB28))/AC29*100</f>
        <v>4.7795458728644817</v>
      </c>
    </row>
    <row r="30" spans="1:1009" ht="13.15" x14ac:dyDescent="0.4">
      <c r="A30" s="59">
        <v>80</v>
      </c>
      <c r="B30" s="59">
        <v>9.9</v>
      </c>
      <c r="C30" s="60">
        <f t="shared" si="9"/>
        <v>79.2</v>
      </c>
      <c r="D30" s="61">
        <f t="shared" si="2"/>
        <v>29.565359999999998</v>
      </c>
      <c r="E30" s="61">
        <f t="shared" si="3"/>
        <v>2.5142322606980065</v>
      </c>
      <c r="F30" s="64">
        <f t="shared" si="4"/>
        <v>1583966.3242397441</v>
      </c>
      <c r="G30" s="59">
        <f>1304140 -$I$6</f>
        <v>1244140</v>
      </c>
      <c r="H30" s="65">
        <f t="shared" si="5"/>
        <v>0.7854586180025952</v>
      </c>
      <c r="I30" s="64">
        <f t="shared" si="6"/>
        <v>1244458.0946854604</v>
      </c>
      <c r="J30" s="65">
        <f t="shared" si="7"/>
        <v>0.99974439100294421</v>
      </c>
      <c r="K30" s="64">
        <f t="shared" si="0"/>
        <v>1182235.1899511875</v>
      </c>
      <c r="L30" s="62">
        <f t="shared" si="1"/>
        <v>1244140</v>
      </c>
      <c r="M30" s="63">
        <f t="shared" si="8"/>
        <v>0.99974439100294421</v>
      </c>
      <c r="AB30" s="8">
        <v>723681</v>
      </c>
      <c r="AC30" s="67"/>
      <c r="AD30" s="46"/>
    </row>
    <row r="31" spans="1:1009" x14ac:dyDescent="0.35">
      <c r="A31" s="59">
        <v>90</v>
      </c>
      <c r="B31" s="59">
        <v>9.9</v>
      </c>
      <c r="C31" s="60">
        <f t="shared" si="9"/>
        <v>89.100000000000009</v>
      </c>
      <c r="D31" s="61">
        <f t="shared" si="2"/>
        <v>33.261029999999998</v>
      </c>
      <c r="E31" s="61">
        <f t="shared" si="3"/>
        <v>2.8261319897018464</v>
      </c>
      <c r="F31" s="64">
        <f t="shared" si="4"/>
        <v>1780463.1535121633</v>
      </c>
      <c r="G31" s="59">
        <f>1467530-$I$6</f>
        <v>1407530</v>
      </c>
      <c r="H31" s="65">
        <f t="shared" si="5"/>
        <v>0.79054149321960931</v>
      </c>
      <c r="I31" s="64">
        <f t="shared" si="6"/>
        <v>1398837.6834595192</v>
      </c>
      <c r="J31" s="65">
        <f t="shared" si="7"/>
        <v>1.0062139565178023</v>
      </c>
      <c r="K31" s="64">
        <f t="shared" si="0"/>
        <v>1328895.7992865432</v>
      </c>
      <c r="L31" s="62">
        <f t="shared" si="1"/>
        <v>1407530</v>
      </c>
      <c r="M31" s="63">
        <f t="shared" si="8"/>
        <v>1.0062139565178023</v>
      </c>
      <c r="AB31">
        <v>707528</v>
      </c>
      <c r="AC31" s="45"/>
      <c r="AD31" s="46"/>
    </row>
    <row r="32" spans="1:1009" x14ac:dyDescent="0.35">
      <c r="A32" s="59">
        <v>100</v>
      </c>
      <c r="B32" s="59">
        <v>9.9</v>
      </c>
      <c r="C32" s="60">
        <f t="shared" si="9"/>
        <v>99.000000000000014</v>
      </c>
      <c r="D32" s="61">
        <f t="shared" si="2"/>
        <v>36.956700000000005</v>
      </c>
      <c r="E32" s="61">
        <f t="shared" si="3"/>
        <v>3.1375074284744042</v>
      </c>
      <c r="F32" s="64">
        <f t="shared" si="4"/>
        <v>1976629.6799388747</v>
      </c>
      <c r="G32" s="59">
        <f>1622624-$I$6</f>
        <v>1562624</v>
      </c>
      <c r="H32" s="65">
        <f t="shared" si="5"/>
        <v>0.79054969975373568</v>
      </c>
      <c r="I32" s="64">
        <f t="shared" si="6"/>
        <v>1552957.7666849128</v>
      </c>
      <c r="J32" s="65">
        <f t="shared" si="7"/>
        <v>1.0062244019267321</v>
      </c>
      <c r="K32" s="64">
        <f t="shared" si="0"/>
        <v>1475309.8783506672</v>
      </c>
      <c r="L32" s="62">
        <f t="shared" si="1"/>
        <v>1562624</v>
      </c>
      <c r="M32" s="63">
        <f t="shared" si="8"/>
        <v>1.0062244019267321</v>
      </c>
      <c r="AB32">
        <v>726643</v>
      </c>
      <c r="AC32" s="45"/>
      <c r="AD32" s="46"/>
    </row>
    <row r="33" spans="1:30" x14ac:dyDescent="0.35">
      <c r="A33" s="59">
        <v>110</v>
      </c>
      <c r="B33" s="59">
        <v>9.9</v>
      </c>
      <c r="C33" s="60">
        <f t="shared" si="9"/>
        <v>108.90000000000002</v>
      </c>
      <c r="D33" s="61">
        <f t="shared" si="2"/>
        <v>40.652370000000005</v>
      </c>
      <c r="E33" s="61">
        <f t="shared" si="3"/>
        <v>3.4483598978700307</v>
      </c>
      <c r="F33" s="64">
        <f t="shared" si="4"/>
        <v>2172466.7356581194</v>
      </c>
      <c r="G33" s="59">
        <f>1773393-$I$6</f>
        <v>1713393</v>
      </c>
      <c r="H33" s="65">
        <f t="shared" si="5"/>
        <v>0.78868549371871088</v>
      </c>
      <c r="I33" s="64">
        <f t="shared" si="6"/>
        <v>1706818.9981389057</v>
      </c>
      <c r="J33" s="65">
        <f t="shared" si="7"/>
        <v>1.0038516104333632</v>
      </c>
      <c r="K33" s="64">
        <f t="shared" si="0"/>
        <v>1621478.0482319603</v>
      </c>
      <c r="L33" s="62">
        <f t="shared" si="1"/>
        <v>1713393</v>
      </c>
      <c r="M33" s="63">
        <f t="shared" si="8"/>
        <v>1.0038516104333632</v>
      </c>
      <c r="AB33">
        <v>726839</v>
      </c>
      <c r="AC33" s="45"/>
      <c r="AD33" s="46"/>
    </row>
    <row r="34" spans="1:30" x14ac:dyDescent="0.35">
      <c r="A34" s="59">
        <v>120</v>
      </c>
      <c r="B34" s="59">
        <v>9.9</v>
      </c>
      <c r="C34" s="60">
        <f t="shared" si="9"/>
        <v>118.80000000000003</v>
      </c>
      <c r="D34" s="61">
        <f t="shared" si="2"/>
        <v>44.348039999999997</v>
      </c>
      <c r="E34" s="61">
        <f t="shared" si="3"/>
        <v>3.7586907143099295</v>
      </c>
      <c r="F34" s="64">
        <f t="shared" si="4"/>
        <v>2367975.1500152559</v>
      </c>
      <c r="G34" s="59">
        <f>1933206-$I$6</f>
        <v>1873206</v>
      </c>
      <c r="H34" s="65">
        <f t="shared" si="5"/>
        <v>0.79105813250951207</v>
      </c>
      <c r="I34" s="64">
        <f t="shared" si="6"/>
        <v>1860422.0294045073</v>
      </c>
      <c r="J34" s="65">
        <f t="shared" si="7"/>
        <v>1.0068715433344899</v>
      </c>
      <c r="K34" s="64">
        <f t="shared" si="0"/>
        <v>1767400.9279342818</v>
      </c>
      <c r="L34" s="62">
        <f t="shared" si="1"/>
        <v>1873206</v>
      </c>
      <c r="M34" s="63">
        <f t="shared" si="8"/>
        <v>1.0068715433344899</v>
      </c>
      <c r="AB34">
        <v>732858</v>
      </c>
      <c r="AC34" s="45"/>
      <c r="AD34" s="46"/>
    </row>
    <row r="35" spans="1:30" x14ac:dyDescent="0.35">
      <c r="A35" s="59">
        <v>130</v>
      </c>
      <c r="B35" s="59">
        <v>9.9</v>
      </c>
      <c r="C35" s="60">
        <f t="shared" si="9"/>
        <v>128.70000000000002</v>
      </c>
      <c r="D35" s="61">
        <f t="shared" si="2"/>
        <v>48.043709999999997</v>
      </c>
      <c r="E35" s="61">
        <f t="shared" si="3"/>
        <v>4.0685011898007399</v>
      </c>
      <c r="F35" s="64">
        <f t="shared" si="4"/>
        <v>2563155.7495744661</v>
      </c>
      <c r="G35" s="59">
        <f>2089887-$I$6</f>
        <v>2029887</v>
      </c>
      <c r="H35" s="65">
        <f t="shared" si="5"/>
        <v>0.79194836300408233</v>
      </c>
      <c r="I35" s="64">
        <f t="shared" si="6"/>
        <v>2013767.5098796701</v>
      </c>
      <c r="J35" s="65">
        <f t="shared" si="7"/>
        <v>1.0080046430589662</v>
      </c>
      <c r="K35" s="64">
        <f t="shared" si="0"/>
        <v>1913079.1343856866</v>
      </c>
      <c r="L35" s="62">
        <f t="shared" si="1"/>
        <v>2029887</v>
      </c>
      <c r="M35" s="63">
        <f t="shared" si="8"/>
        <v>1.0080046430589662</v>
      </c>
      <c r="AB35">
        <v>705786</v>
      </c>
      <c r="AC35" s="45"/>
      <c r="AD35" s="46"/>
    </row>
    <row r="36" spans="1:30" x14ac:dyDescent="0.35">
      <c r="A36" s="68">
        <v>140</v>
      </c>
      <c r="B36" s="59">
        <v>9.9</v>
      </c>
      <c r="C36" s="69">
        <f t="shared" si="9"/>
        <v>138.60000000000002</v>
      </c>
      <c r="D36" s="70">
        <f t="shared" si="2"/>
        <v>51.739380000000004</v>
      </c>
      <c r="E36" s="70">
        <f t="shared" si="3"/>
        <v>4.3777926319530236</v>
      </c>
      <c r="F36" s="71">
        <f t="shared" si="4"/>
        <v>2758009.3581304047</v>
      </c>
      <c r="G36" s="68">
        <f>2257397-$I$6</f>
        <v>2197397</v>
      </c>
      <c r="H36" s="72">
        <f t="shared" si="5"/>
        <v>0.7967329746442805</v>
      </c>
      <c r="I36" s="71">
        <f t="shared" si="6"/>
        <v>2166856.0867864401</v>
      </c>
      <c r="J36" s="72">
        <f t="shared" si="7"/>
        <v>1.0140945738850859</v>
      </c>
      <c r="K36" s="71">
        <f t="shared" si="0"/>
        <v>2058513.2824471181</v>
      </c>
      <c r="L36" s="73">
        <f t="shared" si="1"/>
        <v>2197397</v>
      </c>
      <c r="M36" s="63">
        <f t="shared" si="8"/>
        <v>1.0140945738850859</v>
      </c>
      <c r="AB36">
        <v>700985</v>
      </c>
      <c r="AC36" s="45"/>
      <c r="AD36" s="46"/>
    </row>
    <row r="37" spans="1:30" x14ac:dyDescent="0.35">
      <c r="A37" s="68">
        <v>150</v>
      </c>
      <c r="B37" s="59">
        <v>9.9</v>
      </c>
      <c r="C37" s="69">
        <f t="shared" si="9"/>
        <v>148.50000000000003</v>
      </c>
      <c r="D37" s="70">
        <f t="shared" si="2"/>
        <v>55.435050000000004</v>
      </c>
      <c r="E37" s="70">
        <f t="shared" si="3"/>
        <v>4.6865663439996625</v>
      </c>
      <c r="F37" s="71">
        <f t="shared" si="4"/>
        <v>2952536.7967197876</v>
      </c>
      <c r="G37" s="68">
        <f>2386943-$I$6</f>
        <v>2326943</v>
      </c>
      <c r="H37" s="72">
        <f t="shared" si="5"/>
        <v>0.78811651139629813</v>
      </c>
      <c r="I37" s="71">
        <f t="shared" si="6"/>
        <v>2319688.4051800636</v>
      </c>
      <c r="J37" s="72">
        <f t="shared" si="7"/>
        <v>1.0031274005610997</v>
      </c>
      <c r="K37" s="71">
        <f t="shared" si="0"/>
        <v>2203703.9849210605</v>
      </c>
      <c r="L37" s="73">
        <f t="shared" si="1"/>
        <v>2326943</v>
      </c>
      <c r="M37" s="63">
        <f t="shared" si="8"/>
        <v>1.0031274005610997</v>
      </c>
      <c r="AB37">
        <v>726528</v>
      </c>
      <c r="AC37" s="45"/>
      <c r="AD37" s="46"/>
    </row>
    <row r="38" spans="1:30" x14ac:dyDescent="0.35">
      <c r="F38" s="45"/>
      <c r="AB38">
        <v>735848</v>
      </c>
      <c r="AC38" s="45">
        <f>SUM(AB30:AB38)/9</f>
        <v>720744</v>
      </c>
      <c r="AD38" s="46">
        <f>(MAX(AB30:AB37)-MIN(AB30:AB37))/AC38*100</f>
        <v>4.4222359117800494</v>
      </c>
    </row>
    <row r="39" spans="1:30" x14ac:dyDescent="0.35">
      <c r="F39" s="45"/>
      <c r="AB39">
        <v>731747</v>
      </c>
      <c r="AC39" s="45"/>
      <c r="AD39" s="46"/>
    </row>
    <row r="40" spans="1:30" x14ac:dyDescent="0.35">
      <c r="AB40">
        <v>836817</v>
      </c>
      <c r="AC40" s="45"/>
      <c r="AD40" s="46"/>
    </row>
    <row r="41" spans="1:30" x14ac:dyDescent="0.35">
      <c r="AB41">
        <v>827707</v>
      </c>
      <c r="AC41" s="45"/>
      <c r="AD41" s="46"/>
    </row>
    <row r="42" spans="1:30" x14ac:dyDescent="0.35">
      <c r="AB42">
        <v>822322</v>
      </c>
      <c r="AC42" s="45"/>
      <c r="AD42" s="46"/>
    </row>
    <row r="43" spans="1:30" x14ac:dyDescent="0.35">
      <c r="AB43">
        <v>853847</v>
      </c>
      <c r="AC43" s="45"/>
      <c r="AD43" s="46"/>
    </row>
    <row r="44" spans="1:30" x14ac:dyDescent="0.35">
      <c r="AB44">
        <v>848079</v>
      </c>
      <c r="AC44" s="45">
        <f>SUM(AB40:AB44)/5</f>
        <v>837754.4</v>
      </c>
      <c r="AD44" s="46">
        <f>(MAX(AB40:AB43)-MIN(AB40:AB43))/AC44*100</f>
        <v>3.7630360401568765</v>
      </c>
    </row>
    <row r="45" spans="1:30" x14ac:dyDescent="0.35">
      <c r="AB45">
        <v>954372</v>
      </c>
      <c r="AC45" s="45"/>
      <c r="AD45" s="46"/>
    </row>
    <row r="46" spans="1:30" x14ac:dyDescent="0.35">
      <c r="AB46">
        <v>944582</v>
      </c>
      <c r="AC46" s="45"/>
      <c r="AD46" s="46"/>
    </row>
    <row r="47" spans="1:30" x14ac:dyDescent="0.35">
      <c r="AB47">
        <v>968293</v>
      </c>
      <c r="AC47" s="45"/>
      <c r="AD47" s="46"/>
    </row>
    <row r="48" spans="1:30" x14ac:dyDescent="0.35">
      <c r="AB48">
        <v>955723</v>
      </c>
      <c r="AC48" s="45"/>
      <c r="AD48" s="46"/>
    </row>
    <row r="49" spans="28:30" x14ac:dyDescent="0.35">
      <c r="AB49">
        <v>964172</v>
      </c>
      <c r="AC49" s="45"/>
      <c r="AD49" s="46"/>
    </row>
    <row r="50" spans="28:30" x14ac:dyDescent="0.35">
      <c r="AB50">
        <v>920144</v>
      </c>
      <c r="AC50" s="45"/>
      <c r="AD50" s="46"/>
    </row>
    <row r="51" spans="28:30" x14ac:dyDescent="0.35">
      <c r="AB51">
        <v>949327</v>
      </c>
      <c r="AC51" s="45"/>
      <c r="AD51" s="46"/>
    </row>
    <row r="52" spans="28:30" x14ac:dyDescent="0.35">
      <c r="AB52">
        <v>956910</v>
      </c>
      <c r="AC52" s="45"/>
      <c r="AD52" s="46"/>
    </row>
    <row r="53" spans="28:30" x14ac:dyDescent="0.35">
      <c r="AB53">
        <v>951584</v>
      </c>
      <c r="AC53" s="45"/>
      <c r="AD53" s="46"/>
    </row>
    <row r="54" spans="28:30" x14ac:dyDescent="0.35">
      <c r="AB54">
        <v>971636</v>
      </c>
      <c r="AC54" s="45">
        <f>SUM(AB45:AB54)/10</f>
        <v>953674.3</v>
      </c>
      <c r="AD54" s="46">
        <f>(MAX(AB45:AB53)-MIN(AB45:AB53))/AC54*100</f>
        <v>5.0487886692553214</v>
      </c>
    </row>
    <row r="55" spans="28:30" x14ac:dyDescent="0.35">
      <c r="AB55">
        <v>1084905</v>
      </c>
      <c r="AC55" s="45"/>
      <c r="AD55" s="46"/>
    </row>
    <row r="56" spans="28:30" x14ac:dyDescent="0.35">
      <c r="AB56">
        <v>1073791</v>
      </c>
      <c r="AC56" s="45"/>
      <c r="AD56" s="46"/>
    </row>
    <row r="57" spans="28:30" x14ac:dyDescent="0.35">
      <c r="AB57">
        <v>1082662</v>
      </c>
      <c r="AC57" s="45"/>
      <c r="AD57" s="46"/>
    </row>
    <row r="58" spans="28:30" x14ac:dyDescent="0.35">
      <c r="AB58">
        <v>1095580</v>
      </c>
      <c r="AC58" s="45"/>
      <c r="AD58" s="46"/>
    </row>
    <row r="59" spans="28:30" x14ac:dyDescent="0.35">
      <c r="AB59">
        <v>1092684</v>
      </c>
      <c r="AC59" s="45">
        <f>SUM(AB55:AB59)/5</f>
        <v>1085924.3999999999</v>
      </c>
      <c r="AD59" s="46">
        <f>(MAX(AB55:AB58)-MIN(AB55:AB58))/AC59*100</f>
        <v>2.0064932696972275</v>
      </c>
    </row>
    <row r="60" spans="28:30" x14ac:dyDescent="0.35">
      <c r="AB60">
        <v>1205750</v>
      </c>
      <c r="AC60" s="45"/>
      <c r="AD60" s="46"/>
    </row>
    <row r="61" spans="28:30" x14ac:dyDescent="0.35">
      <c r="AB61">
        <v>1188471</v>
      </c>
      <c r="AC61" s="45"/>
      <c r="AD61" s="46"/>
    </row>
    <row r="62" spans="28:30" x14ac:dyDescent="0.35">
      <c r="AB62">
        <v>1219844</v>
      </c>
      <c r="AC62" s="45"/>
      <c r="AD62" s="46"/>
    </row>
    <row r="63" spans="28:30" x14ac:dyDescent="0.35">
      <c r="AB63">
        <v>1175662</v>
      </c>
      <c r="AC63" s="45"/>
      <c r="AD63" s="46"/>
    </row>
    <row r="64" spans="28:30" x14ac:dyDescent="0.35">
      <c r="AB64">
        <v>1207639</v>
      </c>
      <c r="AC64" s="45">
        <f>SUM(AB60:AB64)/5</f>
        <v>1199473.2</v>
      </c>
      <c r="AD64" s="46">
        <f>(MAX(AB60:AB63)-MIN(AB60:AB63))/AC64*100</f>
        <v>3.6834503680449049</v>
      </c>
    </row>
    <row r="65" spans="2:30" x14ac:dyDescent="0.35">
      <c r="AB65">
        <v>1404845</v>
      </c>
      <c r="AC65" s="45"/>
      <c r="AD65" s="46"/>
    </row>
    <row r="66" spans="2:30" x14ac:dyDescent="0.35">
      <c r="AB66">
        <v>1399177</v>
      </c>
      <c r="AC66" s="45"/>
      <c r="AD66" s="46"/>
    </row>
    <row r="67" spans="2:30" x14ac:dyDescent="0.35">
      <c r="AB67">
        <v>1434430</v>
      </c>
      <c r="AC67" s="45"/>
      <c r="AD67" s="46"/>
    </row>
    <row r="68" spans="2:30" x14ac:dyDescent="0.35">
      <c r="AB68">
        <v>1417323</v>
      </c>
      <c r="AC68" s="45"/>
      <c r="AD68" s="46"/>
    </row>
    <row r="69" spans="2:30" x14ac:dyDescent="0.35">
      <c r="AB69">
        <v>1428968</v>
      </c>
      <c r="AC69" s="45">
        <f>SUM(AB65:AB69)/5</f>
        <v>1416948.6</v>
      </c>
      <c r="AD69" s="46">
        <f>(MAX(AB65:AB68)-MIN(AB65:AB68))/AC69*100</f>
        <v>2.4879519271200095</v>
      </c>
    </row>
    <row r="70" spans="2:30" x14ac:dyDescent="0.35">
      <c r="AB70">
        <v>1502457</v>
      </c>
      <c r="AC70" s="45"/>
      <c r="AD70" s="46"/>
    </row>
    <row r="71" spans="2:30" x14ac:dyDescent="0.35">
      <c r="AB71">
        <v>1504837</v>
      </c>
      <c r="AC71" s="45"/>
      <c r="AD71" s="46"/>
    </row>
    <row r="72" spans="2:30" ht="13.15" x14ac:dyDescent="0.4">
      <c r="B72" s="8" t="s">
        <v>96</v>
      </c>
      <c r="I72" s="8" t="s">
        <v>96</v>
      </c>
      <c r="AB72">
        <v>1524086</v>
      </c>
      <c r="AC72" s="45"/>
      <c r="AD72" s="46"/>
    </row>
    <row r="73" spans="2:30" x14ac:dyDescent="0.35">
      <c r="B73" t="s">
        <v>108</v>
      </c>
      <c r="C73" t="s">
        <v>109</v>
      </c>
      <c r="I73" t="s">
        <v>108</v>
      </c>
      <c r="J73" t="s">
        <v>110</v>
      </c>
      <c r="AB73">
        <v>1554010</v>
      </c>
      <c r="AC73" s="45"/>
      <c r="AD73" s="46"/>
    </row>
    <row r="74" spans="2:30" x14ac:dyDescent="0.35">
      <c r="AB74">
        <v>1549983</v>
      </c>
      <c r="AC74" s="45"/>
      <c r="AD74" s="46"/>
    </row>
    <row r="75" spans="2:30" x14ac:dyDescent="0.35">
      <c r="B75" t="s">
        <v>111</v>
      </c>
      <c r="I75" t="s">
        <v>111</v>
      </c>
      <c r="AB75">
        <v>1512338</v>
      </c>
      <c r="AC75" s="45"/>
      <c r="AD75" s="46"/>
    </row>
    <row r="76" spans="2:30" x14ac:dyDescent="0.35">
      <c r="B76">
        <f t="array" ref="B76:C80">LINEST($G$22:$G$26, $E$22:$E$26, 0, 1)</f>
        <v>494965.44696311047</v>
      </c>
      <c r="C76">
        <v>0</v>
      </c>
      <c r="I76">
        <f t="array" ref="I76:J80">LINEST(LN($J$22:$J$36), LN($G$22:$G$36), 1, 1)</f>
        <v>1.0811750846014074E-4</v>
      </c>
      <c r="J76">
        <v>8.3215736731011248E-5</v>
      </c>
      <c r="AB76">
        <v>1494015</v>
      </c>
      <c r="AC76" s="45"/>
      <c r="AD76" s="46"/>
    </row>
    <row r="77" spans="2:30" x14ac:dyDescent="0.35">
      <c r="B77">
        <v>1736.9316789731779</v>
      </c>
      <c r="C77" t="e">
        <v>#N/A</v>
      </c>
      <c r="I77">
        <v>8.0891524189165341E-4</v>
      </c>
      <c r="J77">
        <v>1.0765894584772222E-2</v>
      </c>
      <c r="AB77">
        <v>1540956</v>
      </c>
      <c r="AC77" s="45"/>
      <c r="AD77" s="46"/>
    </row>
    <row r="78" spans="2:30" x14ac:dyDescent="0.35">
      <c r="B78">
        <v>0.99995074454820643</v>
      </c>
      <c r="C78">
        <v>3001.7099554927154</v>
      </c>
      <c r="I78">
        <v>1.37229120669095E-3</v>
      </c>
      <c r="J78">
        <v>1.0982714893946437E-2</v>
      </c>
      <c r="AB78">
        <v>1535685</v>
      </c>
      <c r="AC78" s="45"/>
      <c r="AD78" s="46"/>
    </row>
    <row r="79" spans="2:30" x14ac:dyDescent="0.35">
      <c r="B79">
        <v>81205.284542923371</v>
      </c>
      <c r="C79">
        <v>4</v>
      </c>
      <c r="I79">
        <v>1.7864300709760035E-2</v>
      </c>
      <c r="J79">
        <v>13</v>
      </c>
      <c r="AB79">
        <v>1543844</v>
      </c>
      <c r="AC79" s="45">
        <f>SUM(AB70:AB79)/10</f>
        <v>1526221.1</v>
      </c>
      <c r="AD79" s="46">
        <f>(MAX(AB70:AB78)-MIN(AB70:AB78))/AC79*100</f>
        <v>3.9309507646041584</v>
      </c>
    </row>
    <row r="80" spans="2:30" x14ac:dyDescent="0.35">
      <c r="B80">
        <v>731680942860.37244</v>
      </c>
      <c r="C80">
        <v>36041050.627616316</v>
      </c>
      <c r="I80">
        <v>2.1547924239739662E-6</v>
      </c>
      <c r="J80">
        <v>1.5680603437422677E-3</v>
      </c>
      <c r="AB80">
        <v>1665079</v>
      </c>
      <c r="AC80" s="45"/>
      <c r="AD80" s="46"/>
    </row>
    <row r="81" spans="2:30" x14ac:dyDescent="0.35">
      <c r="AB81">
        <v>1647703</v>
      </c>
      <c r="AC81" s="45"/>
      <c r="AD81" s="46"/>
    </row>
    <row r="82" spans="2:30" x14ac:dyDescent="0.35">
      <c r="B82" t="s">
        <v>112</v>
      </c>
      <c r="I82" t="s">
        <v>112</v>
      </c>
      <c r="AB82">
        <v>1659088</v>
      </c>
      <c r="AC82" s="45"/>
      <c r="AD82" s="46"/>
    </row>
    <row r="83" spans="2:30" x14ac:dyDescent="0.35">
      <c r="B83" t="s">
        <v>113</v>
      </c>
      <c r="C83">
        <f>$B$78</f>
        <v>0.99995074454820643</v>
      </c>
      <c r="I83" t="s">
        <v>113</v>
      </c>
      <c r="J83">
        <f>$I$78</f>
        <v>1.37229120669095E-3</v>
      </c>
      <c r="AB83">
        <v>1647890</v>
      </c>
      <c r="AC83" s="45"/>
      <c r="AD83" s="46"/>
    </row>
    <row r="84" spans="2:30" x14ac:dyDescent="0.35">
      <c r="B84" t="s">
        <v>114</v>
      </c>
      <c r="C84">
        <f>$C$78</f>
        <v>3001.7099554927154</v>
      </c>
      <c r="I84" t="s">
        <v>114</v>
      </c>
      <c r="J84">
        <f>$J$78</f>
        <v>1.0982714893946437E-2</v>
      </c>
      <c r="AB84">
        <v>1649454</v>
      </c>
      <c r="AC84" s="45">
        <f>SUM(AB80:AB84)/5</f>
        <v>1653842.8</v>
      </c>
      <c r="AD84" s="46">
        <f>(MAX(AB80:AB83)-MIN(AB80:AB83))/AC84*100</f>
        <v>1.0506439910733958</v>
      </c>
    </row>
    <row r="85" spans="2:30" x14ac:dyDescent="0.35">
      <c r="B85" t="s">
        <v>115</v>
      </c>
      <c r="C85">
        <f>1</f>
        <v>1</v>
      </c>
      <c r="I85" t="s">
        <v>115</v>
      </c>
      <c r="J85">
        <f>1</f>
        <v>1</v>
      </c>
      <c r="AB85">
        <v>1793367</v>
      </c>
      <c r="AC85" s="45"/>
      <c r="AD85" s="46"/>
    </row>
    <row r="86" spans="2:30" x14ac:dyDescent="0.35">
      <c r="B86" t="s">
        <v>116</v>
      </c>
      <c r="C86">
        <f>5</f>
        <v>5</v>
      </c>
      <c r="I86" t="s">
        <v>116</v>
      </c>
      <c r="J86">
        <f>15</f>
        <v>15</v>
      </c>
      <c r="AB86">
        <v>1751541</v>
      </c>
      <c r="AC86" s="45"/>
      <c r="AD86" s="46"/>
    </row>
    <row r="87" spans="2:30" x14ac:dyDescent="0.35">
      <c r="B87" t="s">
        <v>117</v>
      </c>
      <c r="C87">
        <f>1 - (1 - $B$78)*($C$86 - 1)/($C$86 - $C$85)</f>
        <v>0.99995074454820643</v>
      </c>
      <c r="I87" t="s">
        <v>117</v>
      </c>
      <c r="J87">
        <f>1 - (1 - $I$78)*($J$86 - 1)/($J$86 - $J$85 - 1)</f>
        <v>-7.5445224854332915E-2</v>
      </c>
      <c r="AB87">
        <v>1770996</v>
      </c>
      <c r="AC87" s="45"/>
      <c r="AD87" s="46"/>
    </row>
    <row r="88" spans="2:30" x14ac:dyDescent="0.35">
      <c r="AB88">
        <v>1775754</v>
      </c>
      <c r="AC88" s="45"/>
      <c r="AD88" s="46"/>
    </row>
    <row r="89" spans="2:30" x14ac:dyDescent="0.35">
      <c r="B89" t="s">
        <v>118</v>
      </c>
      <c r="I89" t="s">
        <v>118</v>
      </c>
      <c r="AB89">
        <v>1762332</v>
      </c>
      <c r="AC89" s="45">
        <f>SUM(AB85:AB89)/5</f>
        <v>1770798</v>
      </c>
      <c r="AD89" s="46">
        <f>(MAX(AB85:AB88)-MIN(AB85:AB88))/AC89*100</f>
        <v>2.3619859520961737</v>
      </c>
    </row>
    <row r="90" spans="2:30" x14ac:dyDescent="0.35">
      <c r="C90" t="s">
        <v>119</v>
      </c>
      <c r="D90" t="s">
        <v>120</v>
      </c>
      <c r="E90" t="s">
        <v>121</v>
      </c>
      <c r="F90" t="s">
        <v>122</v>
      </c>
      <c r="G90" t="s">
        <v>123</v>
      </c>
      <c r="J90" t="s">
        <v>119</v>
      </c>
      <c r="K90" t="s">
        <v>120</v>
      </c>
      <c r="L90" t="s">
        <v>121</v>
      </c>
      <c r="M90" t="s">
        <v>122</v>
      </c>
      <c r="N90" t="s">
        <v>123</v>
      </c>
      <c r="AB90">
        <v>1847092</v>
      </c>
      <c r="AC90" s="45"/>
      <c r="AD90" s="46"/>
    </row>
    <row r="91" spans="2:30" x14ac:dyDescent="0.35">
      <c r="B91" t="s">
        <v>96</v>
      </c>
      <c r="C91">
        <f>$C$85</f>
        <v>1</v>
      </c>
      <c r="D91">
        <f>$B$80</f>
        <v>731680942860.37244</v>
      </c>
      <c r="E91">
        <f>$B$80 / $C$91</f>
        <v>731680942860.37244</v>
      </c>
      <c r="F91">
        <f>$B$79</f>
        <v>81205.284542923371</v>
      </c>
      <c r="G91">
        <f>FDIST($B$79, $C$91, $C$79)</f>
        <v>9.0980226201580063E-10</v>
      </c>
      <c r="I91" t="s">
        <v>96</v>
      </c>
      <c r="J91">
        <f>$J$85</f>
        <v>1</v>
      </c>
      <c r="K91">
        <f>$I$80</f>
        <v>2.1547924239739662E-6</v>
      </c>
      <c r="L91">
        <f>$I$80 / $J$91</f>
        <v>2.1547924239739662E-6</v>
      </c>
      <c r="M91">
        <f>$I$79</f>
        <v>1.7864300709760035E-2</v>
      </c>
      <c r="N91">
        <f>FDIST($I$79, $J$91, $J$79)</f>
        <v>0.89572042249465933</v>
      </c>
      <c r="AB91">
        <v>1833359</v>
      </c>
      <c r="AC91" s="45"/>
      <c r="AD91" s="46"/>
    </row>
    <row r="92" spans="2:30" x14ac:dyDescent="0.35">
      <c r="B92" t="s">
        <v>124</v>
      </c>
      <c r="C92">
        <f>$C$79</f>
        <v>4</v>
      </c>
      <c r="D92">
        <f>$C$80</f>
        <v>36041050.627616316</v>
      </c>
      <c r="E92">
        <f>$C$80 / $C$79</f>
        <v>9010262.656904079</v>
      </c>
      <c r="I92" t="s">
        <v>124</v>
      </c>
      <c r="J92">
        <f>$J$79</f>
        <v>13</v>
      </c>
      <c r="K92">
        <f>$J$80</f>
        <v>1.5680603437422677E-3</v>
      </c>
      <c r="L92">
        <f>$J$80 / $J$79</f>
        <v>1.2062002644171291E-4</v>
      </c>
      <c r="AB92">
        <v>1903999</v>
      </c>
      <c r="AC92" s="45"/>
      <c r="AD92" s="46"/>
    </row>
    <row r="93" spans="2:30" x14ac:dyDescent="0.35">
      <c r="B93" t="s">
        <v>90</v>
      </c>
      <c r="C93">
        <f>$C$91 + $C$79</f>
        <v>5</v>
      </c>
      <c r="D93">
        <f>$B$80 + $C$80</f>
        <v>731716983911</v>
      </c>
      <c r="I93" t="s">
        <v>90</v>
      </c>
      <c r="J93">
        <f>$J$91 + $J$79</f>
        <v>14</v>
      </c>
      <c r="K93">
        <f>$I$80 + $J$80</f>
        <v>1.5702151361662417E-3</v>
      </c>
      <c r="AB93">
        <v>1839722</v>
      </c>
      <c r="AC93" s="45"/>
      <c r="AD93" s="46"/>
    </row>
    <row r="94" spans="2:30" x14ac:dyDescent="0.35">
      <c r="AB94">
        <v>1879761</v>
      </c>
      <c r="AC94" s="45"/>
      <c r="AD94" s="46"/>
    </row>
    <row r="95" spans="2:30" x14ac:dyDescent="0.35">
      <c r="B95" t="s">
        <v>125</v>
      </c>
      <c r="C95">
        <v>0.95</v>
      </c>
      <c r="I95" t="s">
        <v>125</v>
      </c>
      <c r="J95">
        <v>0.95</v>
      </c>
      <c r="AB95">
        <v>1826056</v>
      </c>
      <c r="AC95" s="45"/>
      <c r="AD95" s="46"/>
    </row>
    <row r="96" spans="2:30" x14ac:dyDescent="0.35">
      <c r="AB96">
        <v>1813477</v>
      </c>
      <c r="AC96" s="45"/>
      <c r="AD96" s="46"/>
    </row>
    <row r="97" spans="2:30" x14ac:dyDescent="0.35">
      <c r="C97" t="s">
        <v>126</v>
      </c>
      <c r="D97" t="s">
        <v>114</v>
      </c>
      <c r="E97" t="s">
        <v>127</v>
      </c>
      <c r="F97" t="s">
        <v>128</v>
      </c>
      <c r="G97" t="str">
        <f>_xlfn.CONCAT("Lower ", INT($C$95 * 100), "%")</f>
        <v>Lower 95%</v>
      </c>
      <c r="H97" t="str">
        <f>_xlfn.CONCAT("Upper ", INT($C$95 * 100), "%")</f>
        <v>Upper 95%</v>
      </c>
      <c r="J97" t="s">
        <v>126</v>
      </c>
      <c r="K97" t="s">
        <v>114</v>
      </c>
      <c r="L97" t="s">
        <v>127</v>
      </c>
      <c r="M97" t="s">
        <v>128</v>
      </c>
      <c r="N97" t="str">
        <f>_xlfn.CONCAT("Lower ", INT($J$95 * 100), "%")</f>
        <v>Lower 95%</v>
      </c>
      <c r="O97" t="str">
        <f>_xlfn.CONCAT("Upper ", INT($J$95 * 100), "%")</f>
        <v>Upper 95%</v>
      </c>
      <c r="AB97">
        <v>1885554</v>
      </c>
      <c r="AC97" s="45"/>
      <c r="AD97" s="46"/>
    </row>
    <row r="98" spans="2:30" x14ac:dyDescent="0.35">
      <c r="B98" t="str">
        <f>"Intercept"</f>
        <v>Intercept</v>
      </c>
      <c r="C98">
        <f t="array" ref="C98:C99">INDEX($B$76:$C$76, 1, ROW($C$99)+1 - ROW())</f>
        <v>0</v>
      </c>
      <c r="D98" t="e">
        <f t="array" ref="D98:D99">INDEX($B$77:$C$77, 1, ROW($D$99)+1 - ROW())</f>
        <v>#N/A</v>
      </c>
      <c r="E98" t="e">
        <f t="array" ref="E98:E99">$C$98:$C$99 / $D$98:$D$99</f>
        <v>#N/A</v>
      </c>
      <c r="F98" t="e">
        <f t="array" ref="F98:F99">TDIST(ABS($E$98:$E$99), $C$79, 2 )</f>
        <v>#N/A</v>
      </c>
      <c r="G98" t="e">
        <f t="array" ref="G98:G99">$C$98:$C$99 - $D$98:$D$99 * TINV(1 - $C$95, $C$79)</f>
        <v>#N/A</v>
      </c>
      <c r="H98" t="e">
        <f t="array" ref="H98:H99">$C$98:$C$99 + $D$98:$D$99 * TINV(1 - $C$95, $C$79)</f>
        <v>#N/A</v>
      </c>
      <c r="I98" t="str">
        <f>"Intercept"</f>
        <v>Intercept</v>
      </c>
      <c r="J98">
        <f t="array" ref="J98:J99">INDEX($I$76:$J$76, 1, ROW($J$99)+1 - ROW())</f>
        <v>8.3215736731011248E-5</v>
      </c>
      <c r="K98">
        <f t="array" ref="K98:K99">INDEX($I$77:$J$77, 1, ROW($K$99)+1 - ROW())</f>
        <v>1.0765894584772222E-2</v>
      </c>
      <c r="L98">
        <f t="array" ref="L98:L99">$J$98:$J$99 / $K$98:$K$99</f>
        <v>7.7295700859560173E-3</v>
      </c>
      <c r="M98">
        <f t="array" ref="M98:M99">TDIST(ABS($L$98:$L$99), $J$79, 2 )</f>
        <v>0.99395011519008203</v>
      </c>
      <c r="N98">
        <f t="array" ref="N98:N99">$J$98:$J$99 - $K$98:$K$99 * TINV(1 - $J$95, $J$79)</f>
        <v>-2.31750854829934E-2</v>
      </c>
      <c r="O98">
        <f t="array" ref="O98:O99">$J$98:$J$99 + $K$98:$K$99 * TINV(1 - $J$95, $J$79)</f>
        <v>2.3341516956455421E-2</v>
      </c>
      <c r="AB98">
        <v>1836044</v>
      </c>
      <c r="AC98" s="45"/>
      <c r="AD98" s="46"/>
    </row>
    <row r="99" spans="2:30" ht="13.15" x14ac:dyDescent="0.4">
      <c r="B99" t="str">
        <f>"X1"</f>
        <v>X1</v>
      </c>
      <c r="C99" s="8">
        <v>494965.44696311047</v>
      </c>
      <c r="D99">
        <v>1736.9316789731779</v>
      </c>
      <c r="E99">
        <v>284.96540937967075</v>
      </c>
      <c r="F99">
        <v>9.0980226201580393E-10</v>
      </c>
      <c r="G99">
        <v>490142.9515049624</v>
      </c>
      <c r="H99">
        <v>499787.94242125854</v>
      </c>
      <c r="I99" t="str">
        <f>"LN(X1)"</f>
        <v>LN(X1)</v>
      </c>
      <c r="J99">
        <v>1.0811750846014074E-4</v>
      </c>
      <c r="K99">
        <v>8.0891524189165341E-4</v>
      </c>
      <c r="L99">
        <v>0.13365740050503594</v>
      </c>
      <c r="M99">
        <v>0.89572042249464912</v>
      </c>
      <c r="N99">
        <v>-1.6394376258576048E-3</v>
      </c>
      <c r="O99">
        <v>1.8556726427778863E-3</v>
      </c>
      <c r="AB99">
        <v>1841236</v>
      </c>
      <c r="AC99" s="45">
        <f>SUM(AB90:AB99)/10</f>
        <v>1850630</v>
      </c>
      <c r="AD99" s="46">
        <f>(MAX(AB90:AB98)-MIN(AB90:AB98))/AC99*100</f>
        <v>4.891415355851791</v>
      </c>
    </row>
    <row r="101" spans="2:30" x14ac:dyDescent="0.35">
      <c r="B101" t="str">
        <f>"X1"</f>
        <v>X1</v>
      </c>
      <c r="C101" t="s">
        <v>129</v>
      </c>
      <c r="D101" t="str">
        <f>"Y"</f>
        <v>Y</v>
      </c>
      <c r="E101" t="s">
        <v>124</v>
      </c>
    </row>
    <row r="102" spans="2:30" x14ac:dyDescent="0.35">
      <c r="B102">
        <f t="array" ref="B102:B106">$A$22:$A$26</f>
        <v>0</v>
      </c>
      <c r="C102">
        <f t="array" ref="C102:C106">MMULT($B$102:$B$106, $C$99) + $C$98</f>
        <v>0</v>
      </c>
      <c r="D102">
        <f t="array" ref="D102:D106">$G$22:$G$26</f>
        <v>1</v>
      </c>
      <c r="E102">
        <f t="array" ref="E102:E106">$D$102:$D$106 - $C$102:$C$106</f>
        <v>1</v>
      </c>
    </row>
    <row r="103" spans="2:30" x14ac:dyDescent="0.35">
      <c r="B103">
        <v>10</v>
      </c>
      <c r="C103">
        <v>4949654.4696311047</v>
      </c>
      <c r="D103">
        <v>158573</v>
      </c>
      <c r="E103">
        <v>-4791081.4696311047</v>
      </c>
    </row>
    <row r="104" spans="2:30" x14ac:dyDescent="0.35">
      <c r="B104">
        <v>20</v>
      </c>
      <c r="C104">
        <v>9899308.9392622095</v>
      </c>
      <c r="D104">
        <v>315866</v>
      </c>
      <c r="E104">
        <v>-9583442.9392622095</v>
      </c>
    </row>
    <row r="105" spans="2:30" x14ac:dyDescent="0.35">
      <c r="B105">
        <v>30</v>
      </c>
      <c r="C105">
        <v>14848963.408893313</v>
      </c>
      <c r="D105">
        <v>471092</v>
      </c>
      <c r="E105">
        <v>-14377871.408893313</v>
      </c>
    </row>
    <row r="106" spans="2:30" x14ac:dyDescent="0.35">
      <c r="B106">
        <v>40</v>
      </c>
      <c r="C106">
        <v>19798617.878524419</v>
      </c>
      <c r="D106">
        <v>620381</v>
      </c>
      <c r="E106">
        <v>-19178236.878524419</v>
      </c>
    </row>
  </sheetData>
  <mergeCells count="1">
    <mergeCell ref="C1:L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49"/>
  <sheetViews>
    <sheetView zoomScale="95" zoomScaleNormal="95" workbookViewId="0">
      <selection activeCell="E5" sqref="E5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0.35">
      <c r="A1" s="160" t="s">
        <v>319</v>
      </c>
      <c r="B1" s="9"/>
      <c r="C1" s="2"/>
      <c r="D1" s="2"/>
      <c r="E1" s="2"/>
      <c r="F1" s="2"/>
      <c r="G1" s="2"/>
      <c r="H1" s="9"/>
      <c r="I1" s="9"/>
      <c r="J1" s="9"/>
      <c r="K1" s="9"/>
      <c r="L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5.75" x14ac:dyDescent="0.5">
      <c r="A3" s="11" t="s">
        <v>130</v>
      </c>
      <c r="B3" s="10" t="s">
        <v>131</v>
      </c>
      <c r="C3" s="10"/>
      <c r="D3" s="10"/>
    </row>
    <row r="4" spans="1:1024" ht="13.15" x14ac:dyDescent="0.4">
      <c r="A4" s="10" t="s">
        <v>28</v>
      </c>
      <c r="B4" s="74">
        <v>45820</v>
      </c>
      <c r="C4" s="10"/>
      <c r="L4" s="75"/>
    </row>
    <row r="5" spans="1:1024" ht="13.15" x14ac:dyDescent="0.4">
      <c r="A5" s="10" t="s">
        <v>29</v>
      </c>
      <c r="B5" s="76" t="s">
        <v>30</v>
      </c>
      <c r="C5" s="10"/>
      <c r="L5" s="77"/>
    </row>
    <row r="6" spans="1:1024" ht="13.15" x14ac:dyDescent="0.4">
      <c r="A6" s="10" t="s">
        <v>22</v>
      </c>
      <c r="B6" s="78" t="s">
        <v>23</v>
      </c>
      <c r="C6" s="79"/>
      <c r="L6" s="80"/>
    </row>
    <row r="7" spans="1:1024" ht="13.15" x14ac:dyDescent="0.4">
      <c r="A7" s="10" t="s">
        <v>24</v>
      </c>
      <c r="B7" s="81" t="s">
        <v>25</v>
      </c>
      <c r="C7" s="10"/>
      <c r="L7" s="80"/>
    </row>
    <row r="8" spans="1:1024" ht="13.15" x14ac:dyDescent="0.4">
      <c r="A8" s="10" t="s">
        <v>26</v>
      </c>
      <c r="B8" s="78" t="s">
        <v>23</v>
      </c>
      <c r="C8" s="10"/>
      <c r="L8" s="80"/>
    </row>
    <row r="9" spans="1:1024" ht="13.15" x14ac:dyDescent="0.4">
      <c r="A9" s="10" t="s">
        <v>27</v>
      </c>
      <c r="B9" s="81" t="s">
        <v>25</v>
      </c>
      <c r="C9" s="10"/>
      <c r="L9" s="75"/>
    </row>
    <row r="10" spans="1:1024" ht="13.15" x14ac:dyDescent="0.4">
      <c r="A10" s="79" t="s">
        <v>132</v>
      </c>
      <c r="B10" s="81" t="s">
        <v>133</v>
      </c>
      <c r="C10" s="10"/>
      <c r="L10" s="80"/>
    </row>
    <row r="11" spans="1:1024" x14ac:dyDescent="0.35">
      <c r="B11" s="82"/>
    </row>
    <row r="12" spans="1:1024" ht="13.15" x14ac:dyDescent="0.4">
      <c r="A12" s="10" t="s">
        <v>31</v>
      </c>
      <c r="B12" s="78">
        <v>36</v>
      </c>
      <c r="C12" s="10"/>
      <c r="L12" s="80"/>
    </row>
    <row r="13" spans="1:1024" hidden="1" x14ac:dyDescent="0.35">
      <c r="B13" s="82"/>
      <c r="L13" s="80"/>
    </row>
    <row r="14" spans="1:1024" x14ac:dyDescent="0.35">
      <c r="A14" t="s">
        <v>134</v>
      </c>
      <c r="B14" s="82">
        <f>B12*1.5</f>
        <v>54</v>
      </c>
    </row>
    <row r="15" spans="1:1024" x14ac:dyDescent="0.35">
      <c r="A15" t="s">
        <v>135</v>
      </c>
      <c r="B15" s="82">
        <v>6000</v>
      </c>
    </row>
    <row r="16" spans="1:1024" x14ac:dyDescent="0.35">
      <c r="A16" t="s">
        <v>136</v>
      </c>
      <c r="B16" s="83">
        <f>10^((LOG(B15)-LOG(B14))/27)</f>
        <v>1.1906079988631944</v>
      </c>
    </row>
    <row r="18" spans="1:7" x14ac:dyDescent="0.35">
      <c r="D18" s="80" t="s">
        <v>137</v>
      </c>
      <c r="E18" s="80" t="s">
        <v>138</v>
      </c>
      <c r="F18" s="80" t="s">
        <v>139</v>
      </c>
      <c r="G18" s="80" t="s">
        <v>140</v>
      </c>
    </row>
    <row r="19" spans="1:7" x14ac:dyDescent="0.35">
      <c r="A19" t="s">
        <v>141</v>
      </c>
      <c r="C19" t="s">
        <v>142</v>
      </c>
      <c r="D19">
        <v>0</v>
      </c>
      <c r="E19" s="45">
        <f>B12*1.5</f>
        <v>54</v>
      </c>
      <c r="F19">
        <f t="shared" ref="F19:F46" si="0">INT(E19)</f>
        <v>54</v>
      </c>
      <c r="G19" s="45">
        <f t="shared" ref="G19:G45" si="1">G20*B$16</f>
        <v>6000.0000000000055</v>
      </c>
    </row>
    <row r="20" spans="1:7" x14ac:dyDescent="0.35">
      <c r="D20">
        <v>1</v>
      </c>
      <c r="E20" s="45">
        <f t="shared" ref="E20:E46" si="2">E19*B$16</f>
        <v>64.292831938612494</v>
      </c>
      <c r="F20">
        <f t="shared" si="0"/>
        <v>64</v>
      </c>
      <c r="G20" s="45">
        <f t="shared" si="1"/>
        <v>5039.4420377898277</v>
      </c>
    </row>
    <row r="21" spans="1:7" x14ac:dyDescent="0.35">
      <c r="D21">
        <v>2</v>
      </c>
      <c r="E21" s="45">
        <f t="shared" si="2"/>
        <v>76.547559975679093</v>
      </c>
      <c r="F21">
        <f t="shared" si="0"/>
        <v>76</v>
      </c>
      <c r="G21" s="45">
        <f t="shared" si="1"/>
        <v>4232.6626753738783</v>
      </c>
    </row>
    <row r="22" spans="1:7" x14ac:dyDescent="0.35">
      <c r="D22">
        <v>3</v>
      </c>
      <c r="E22" s="45">
        <f t="shared" si="2"/>
        <v>91.138137200503635</v>
      </c>
      <c r="F22">
        <f t="shared" si="0"/>
        <v>91</v>
      </c>
      <c r="G22" s="45">
        <f t="shared" si="1"/>
        <v>3555.0430363438436</v>
      </c>
    </row>
    <row r="23" spans="1:7" x14ac:dyDescent="0.35">
      <c r="D23">
        <v>4</v>
      </c>
      <c r="E23" s="45">
        <f t="shared" si="2"/>
        <v>108.50979515241089</v>
      </c>
      <c r="F23">
        <f t="shared" si="0"/>
        <v>108</v>
      </c>
      <c r="G23" s="45">
        <f t="shared" si="1"/>
        <v>2985.90555391719</v>
      </c>
    </row>
    <row r="24" spans="1:7" x14ac:dyDescent="0.35">
      <c r="D24">
        <v>5</v>
      </c>
      <c r="E24" s="45">
        <f t="shared" si="2"/>
        <v>129.19263006346708</v>
      </c>
      <c r="F24">
        <f t="shared" si="0"/>
        <v>129</v>
      </c>
      <c r="G24" s="45">
        <f t="shared" si="1"/>
        <v>2507.8829948800658</v>
      </c>
    </row>
    <row r="25" spans="1:7" x14ac:dyDescent="0.35">
      <c r="D25">
        <v>6</v>
      </c>
      <c r="E25" s="45">
        <f t="shared" si="2"/>
        <v>153.81777874773749</v>
      </c>
      <c r="F25">
        <f t="shared" si="0"/>
        <v>153</v>
      </c>
      <c r="G25" s="45">
        <f t="shared" si="1"/>
        <v>2106.3884983761409</v>
      </c>
    </row>
    <row r="26" spans="1:7" x14ac:dyDescent="0.35">
      <c r="D26">
        <v>7</v>
      </c>
      <c r="E26" s="45">
        <f t="shared" si="2"/>
        <v>183.13667774442533</v>
      </c>
      <c r="F26">
        <f t="shared" si="0"/>
        <v>183</v>
      </c>
      <c r="G26" s="45">
        <f t="shared" si="1"/>
        <v>1769.1704577722842</v>
      </c>
    </row>
    <row r="27" spans="1:7" x14ac:dyDescent="0.35">
      <c r="D27">
        <v>8</v>
      </c>
      <c r="E27" s="45">
        <f t="shared" si="2"/>
        <v>218.04399340774393</v>
      </c>
      <c r="F27">
        <f t="shared" si="0"/>
        <v>218</v>
      </c>
      <c r="G27" s="45">
        <f t="shared" si="1"/>
        <v>1485.9386628189191</v>
      </c>
    </row>
    <row r="28" spans="1:7" x14ac:dyDescent="0.35">
      <c r="D28">
        <v>9</v>
      </c>
      <c r="E28" s="45">
        <f t="shared" si="2"/>
        <v>259.60492265533355</v>
      </c>
      <c r="F28">
        <f t="shared" si="0"/>
        <v>259</v>
      </c>
      <c r="G28" s="45">
        <f t="shared" si="1"/>
        <v>1248.0502938311431</v>
      </c>
    </row>
    <row r="29" spans="1:7" x14ac:dyDescent="0.35">
      <c r="D29">
        <v>10</v>
      </c>
      <c r="E29" s="45">
        <f t="shared" si="2"/>
        <v>309.08769745770104</v>
      </c>
      <c r="F29">
        <f t="shared" si="0"/>
        <v>309</v>
      </c>
      <c r="G29" s="45">
        <f t="shared" si="1"/>
        <v>1048.2461860014339</v>
      </c>
    </row>
    <row r="30" spans="1:7" x14ac:dyDescent="0.35">
      <c r="D30">
        <v>11</v>
      </c>
      <c r="E30" s="45">
        <f t="shared" si="2"/>
        <v>368.0022849433459</v>
      </c>
      <c r="F30">
        <f t="shared" si="0"/>
        <v>368</v>
      </c>
      <c r="G30" s="45">
        <f t="shared" si="1"/>
        <v>880.42931594807931</v>
      </c>
    </row>
    <row r="31" spans="1:7" x14ac:dyDescent="0.35">
      <c r="D31">
        <v>12</v>
      </c>
      <c r="E31" s="45">
        <f t="shared" si="2"/>
        <v>438.14646405348009</v>
      </c>
      <c r="F31">
        <f t="shared" si="0"/>
        <v>438</v>
      </c>
      <c r="G31" s="45">
        <f t="shared" si="1"/>
        <v>739.47875101521481</v>
      </c>
    </row>
    <row r="32" spans="1:7" x14ac:dyDescent="0.35">
      <c r="D32">
        <v>13</v>
      </c>
      <c r="E32" s="45">
        <f t="shared" si="2"/>
        <v>521.66068477569843</v>
      </c>
      <c r="F32">
        <f t="shared" si="0"/>
        <v>521</v>
      </c>
      <c r="G32" s="45">
        <f t="shared" si="1"/>
        <v>621.09338398639795</v>
      </c>
    </row>
    <row r="33" spans="2:30" x14ac:dyDescent="0.35">
      <c r="D33">
        <v>14</v>
      </c>
      <c r="E33" s="45">
        <f t="shared" si="2"/>
        <v>621.09338398639795</v>
      </c>
      <c r="F33">
        <f t="shared" si="0"/>
        <v>621</v>
      </c>
      <c r="G33" s="45">
        <f t="shared" si="1"/>
        <v>521.66068477569843</v>
      </c>
    </row>
    <row r="34" spans="2:30" x14ac:dyDescent="0.35">
      <c r="D34">
        <v>15</v>
      </c>
      <c r="E34" s="45">
        <f t="shared" si="2"/>
        <v>739.47875101521481</v>
      </c>
      <c r="F34">
        <f t="shared" si="0"/>
        <v>739</v>
      </c>
      <c r="G34" s="45">
        <f t="shared" si="1"/>
        <v>438.14646405348009</v>
      </c>
    </row>
    <row r="35" spans="2:30" x14ac:dyDescent="0.35">
      <c r="D35">
        <v>16</v>
      </c>
      <c r="E35" s="45">
        <f t="shared" si="2"/>
        <v>880.42931594807931</v>
      </c>
      <c r="F35">
        <f t="shared" si="0"/>
        <v>880</v>
      </c>
      <c r="G35" s="45">
        <f t="shared" si="1"/>
        <v>368.0022849433459</v>
      </c>
    </row>
    <row r="36" spans="2:30" x14ac:dyDescent="0.35">
      <c r="D36">
        <v>17</v>
      </c>
      <c r="E36" s="45">
        <f t="shared" si="2"/>
        <v>1048.2461860014339</v>
      </c>
      <c r="F36">
        <f t="shared" si="0"/>
        <v>1048</v>
      </c>
      <c r="G36" s="45">
        <f t="shared" si="1"/>
        <v>309.08769745770104</v>
      </c>
    </row>
    <row r="37" spans="2:30" x14ac:dyDescent="0.35">
      <c r="D37">
        <v>18</v>
      </c>
      <c r="E37" s="45">
        <f t="shared" si="2"/>
        <v>1248.0502938311431</v>
      </c>
      <c r="F37">
        <f t="shared" si="0"/>
        <v>1248</v>
      </c>
      <c r="G37" s="45">
        <f t="shared" si="1"/>
        <v>259.60492265533355</v>
      </c>
    </row>
    <row r="38" spans="2:30" x14ac:dyDescent="0.35">
      <c r="D38">
        <v>19</v>
      </c>
      <c r="E38" s="45">
        <f t="shared" si="2"/>
        <v>1485.9386628189191</v>
      </c>
      <c r="F38">
        <f t="shared" si="0"/>
        <v>1485</v>
      </c>
      <c r="G38" s="45">
        <f t="shared" si="1"/>
        <v>218.04399340774393</v>
      </c>
    </row>
    <row r="39" spans="2:30" x14ac:dyDescent="0.35">
      <c r="D39">
        <v>20</v>
      </c>
      <c r="E39" s="45">
        <f t="shared" si="2"/>
        <v>1769.1704577722842</v>
      </c>
      <c r="F39">
        <f t="shared" si="0"/>
        <v>1769</v>
      </c>
      <c r="G39" s="45">
        <f t="shared" si="1"/>
        <v>183.13667774442533</v>
      </c>
    </row>
    <row r="40" spans="2:30" x14ac:dyDescent="0.35">
      <c r="D40">
        <v>21</v>
      </c>
      <c r="E40" s="45">
        <f t="shared" si="2"/>
        <v>2106.3884983761409</v>
      </c>
      <c r="F40">
        <f t="shared" si="0"/>
        <v>2106</v>
      </c>
      <c r="G40" s="45">
        <f t="shared" si="1"/>
        <v>153.81777874773749</v>
      </c>
    </row>
    <row r="41" spans="2:30" x14ac:dyDescent="0.35">
      <c r="D41">
        <v>22</v>
      </c>
      <c r="E41" s="45">
        <f t="shared" si="2"/>
        <v>2507.8829948800658</v>
      </c>
      <c r="F41">
        <f t="shared" si="0"/>
        <v>2507</v>
      </c>
      <c r="G41" s="45">
        <f t="shared" si="1"/>
        <v>129.19263006346708</v>
      </c>
    </row>
    <row r="42" spans="2:30" x14ac:dyDescent="0.35">
      <c r="D42">
        <v>23</v>
      </c>
      <c r="E42" s="45">
        <f t="shared" si="2"/>
        <v>2985.90555391719</v>
      </c>
      <c r="F42">
        <f t="shared" si="0"/>
        <v>2985</v>
      </c>
      <c r="G42" s="45">
        <f t="shared" si="1"/>
        <v>108.50979515241089</v>
      </c>
    </row>
    <row r="43" spans="2:30" x14ac:dyDescent="0.35">
      <c r="D43">
        <v>24</v>
      </c>
      <c r="E43" s="45">
        <f t="shared" si="2"/>
        <v>3555.0430363438436</v>
      </c>
      <c r="F43">
        <f t="shared" si="0"/>
        <v>3555</v>
      </c>
      <c r="G43" s="45">
        <f t="shared" si="1"/>
        <v>91.138137200503635</v>
      </c>
    </row>
    <row r="44" spans="2:30" x14ac:dyDescent="0.35">
      <c r="D44">
        <v>25</v>
      </c>
      <c r="E44" s="45">
        <f t="shared" si="2"/>
        <v>4232.6626753738783</v>
      </c>
      <c r="F44">
        <f t="shared" si="0"/>
        <v>4232</v>
      </c>
      <c r="G44" s="45">
        <f t="shared" si="1"/>
        <v>76.547559975679093</v>
      </c>
    </row>
    <row r="45" spans="2:30" x14ac:dyDescent="0.35">
      <c r="D45">
        <v>26</v>
      </c>
      <c r="E45" s="45">
        <f t="shared" si="2"/>
        <v>5039.4420377898277</v>
      </c>
      <c r="F45">
        <f t="shared" si="0"/>
        <v>5039</v>
      </c>
      <c r="G45" s="45">
        <f t="shared" si="1"/>
        <v>64.292831938612494</v>
      </c>
    </row>
    <row r="46" spans="2:30" x14ac:dyDescent="0.35">
      <c r="B46" t="s">
        <v>143</v>
      </c>
      <c r="D46">
        <v>27</v>
      </c>
      <c r="E46" s="45">
        <f t="shared" si="2"/>
        <v>6000.0000000000055</v>
      </c>
      <c r="F46">
        <f t="shared" si="0"/>
        <v>6000</v>
      </c>
      <c r="G46" s="45">
        <f>B12*1.5</f>
        <v>54</v>
      </c>
    </row>
    <row r="47" spans="2:30" x14ac:dyDescent="0.35">
      <c r="E47" s="45"/>
    </row>
    <row r="48" spans="2:30" x14ac:dyDescent="0.35">
      <c r="C48" s="46">
        <v>54</v>
      </c>
      <c r="D48" s="46">
        <v>63.860147458464198</v>
      </c>
      <c r="E48" s="46">
        <v>75.520711729940501</v>
      </c>
      <c r="F48" s="46">
        <v>89.310440504484603</v>
      </c>
      <c r="G48" s="46">
        <v>105.618109262903</v>
      </c>
      <c r="H48" s="46">
        <v>124.903482070615</v>
      </c>
      <c r="I48" s="46">
        <v>147.710273761205</v>
      </c>
      <c r="J48" s="46">
        <v>174.681478954087</v>
      </c>
      <c r="K48" s="46">
        <v>206.57750007908501</v>
      </c>
      <c r="L48" s="46">
        <v>244.29758549354199</v>
      </c>
      <c r="M48" s="46">
        <v>288.90518209933998</v>
      </c>
      <c r="N48" s="46">
        <v>341.657917229227</v>
      </c>
      <c r="O48" s="46">
        <v>404.04305508537402</v>
      </c>
      <c r="P48" s="46">
        <v>477.81942735778398</v>
      </c>
      <c r="Q48" s="46">
        <v>565.06702017753798</v>
      </c>
      <c r="R48" s="46">
        <v>668.24561541578703</v>
      </c>
      <c r="S48" s="46">
        <v>790.26413960970899</v>
      </c>
      <c r="T48" s="46">
        <v>934.56267567800705</v>
      </c>
      <c r="U48" s="46">
        <v>1105.2094495921201</v>
      </c>
      <c r="V48" s="46">
        <v>1307.01552636001</v>
      </c>
      <c r="W48" s="46">
        <v>1545.67044896023</v>
      </c>
      <c r="X48" s="46">
        <v>1827.9026443109401</v>
      </c>
      <c r="Y48" s="46">
        <v>2161.66911861877</v>
      </c>
      <c r="Z48" s="46">
        <v>2556.3797902111601</v>
      </c>
      <c r="AA48" s="46">
        <v>3023.1627844948598</v>
      </c>
      <c r="AB48" s="46">
        <v>3575.17817053302</v>
      </c>
      <c r="AC48" s="46">
        <v>4227.9889844540903</v>
      </c>
      <c r="AD48" s="46">
        <v>5000.00000000001</v>
      </c>
    </row>
    <row r="49" spans="1:30" ht="13.15" x14ac:dyDescent="0.4">
      <c r="A49" s="8" t="s">
        <v>144</v>
      </c>
      <c r="C49" s="84">
        <f t="shared" ref="C49:AD49" si="3">INT(C48+0.5)</f>
        <v>54</v>
      </c>
      <c r="D49" s="85">
        <f t="shared" si="3"/>
        <v>64</v>
      </c>
      <c r="E49" s="85">
        <f t="shared" si="3"/>
        <v>76</v>
      </c>
      <c r="F49" s="85">
        <f t="shared" si="3"/>
        <v>89</v>
      </c>
      <c r="G49" s="85">
        <f t="shared" si="3"/>
        <v>106</v>
      </c>
      <c r="H49" s="85">
        <f t="shared" si="3"/>
        <v>125</v>
      </c>
      <c r="I49" s="85">
        <f t="shared" si="3"/>
        <v>148</v>
      </c>
      <c r="J49" s="85">
        <f t="shared" si="3"/>
        <v>175</v>
      </c>
      <c r="K49" s="85">
        <f t="shared" si="3"/>
        <v>207</v>
      </c>
      <c r="L49" s="85">
        <f t="shared" si="3"/>
        <v>244</v>
      </c>
      <c r="M49" s="85">
        <f t="shared" si="3"/>
        <v>289</v>
      </c>
      <c r="N49" s="85">
        <f t="shared" si="3"/>
        <v>342</v>
      </c>
      <c r="O49" s="85">
        <f t="shared" si="3"/>
        <v>404</v>
      </c>
      <c r="P49" s="85">
        <f t="shared" si="3"/>
        <v>478</v>
      </c>
      <c r="Q49" s="85">
        <f t="shared" si="3"/>
        <v>565</v>
      </c>
      <c r="R49" s="85">
        <f t="shared" si="3"/>
        <v>668</v>
      </c>
      <c r="S49" s="85">
        <f t="shared" si="3"/>
        <v>790</v>
      </c>
      <c r="T49" s="85">
        <f t="shared" si="3"/>
        <v>935</v>
      </c>
      <c r="U49" s="85">
        <f t="shared" si="3"/>
        <v>1105</v>
      </c>
      <c r="V49" s="85">
        <f t="shared" si="3"/>
        <v>1307</v>
      </c>
      <c r="W49" s="85">
        <f t="shared" si="3"/>
        <v>1546</v>
      </c>
      <c r="X49" s="85">
        <f t="shared" si="3"/>
        <v>1828</v>
      </c>
      <c r="Y49" s="85">
        <f t="shared" si="3"/>
        <v>2162</v>
      </c>
      <c r="Z49" s="85">
        <f t="shared" si="3"/>
        <v>2556</v>
      </c>
      <c r="AA49" s="85">
        <f t="shared" si="3"/>
        <v>3023</v>
      </c>
      <c r="AB49" s="85">
        <f t="shared" si="3"/>
        <v>3575</v>
      </c>
      <c r="AC49" s="85">
        <f t="shared" si="3"/>
        <v>4228</v>
      </c>
      <c r="AD49" s="86">
        <f t="shared" si="3"/>
        <v>5000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82"/>
  <sheetViews>
    <sheetView zoomScale="85" zoomScaleNormal="85" workbookViewId="0">
      <selection activeCell="O7" sqref="O7:P38"/>
    </sheetView>
  </sheetViews>
  <sheetFormatPr defaultColWidth="11.53125" defaultRowHeight="12.75" x14ac:dyDescent="0.35"/>
  <sheetData>
    <row r="1" spans="1:49" x14ac:dyDescent="0.35">
      <c r="A1" t="s">
        <v>145</v>
      </c>
    </row>
    <row r="2" spans="1:49" ht="40.15" x14ac:dyDescent="0.4">
      <c r="A2" s="166" t="s">
        <v>295</v>
      </c>
      <c r="B2" s="166"/>
      <c r="C2" s="166"/>
      <c r="D2" s="166"/>
      <c r="E2" s="166"/>
      <c r="H2" s="87" t="s">
        <v>146</v>
      </c>
    </row>
    <row r="3" spans="1:49" ht="13.15" x14ac:dyDescent="0.4">
      <c r="A3" t="s">
        <v>147</v>
      </c>
      <c r="B3" s="88" t="s">
        <v>25</v>
      </c>
      <c r="D3" t="s">
        <v>148</v>
      </c>
      <c r="E3" s="8">
        <v>1</v>
      </c>
    </row>
    <row r="4" spans="1:49" ht="18.100000000000001" customHeight="1" x14ac:dyDescent="1.05">
      <c r="A4" s="8" t="s">
        <v>28</v>
      </c>
      <c r="B4" s="89">
        <v>45820</v>
      </c>
      <c r="O4" s="90"/>
    </row>
    <row r="5" spans="1:49" ht="13.15" x14ac:dyDescent="0.4">
      <c r="A5" s="8" t="s">
        <v>130</v>
      </c>
      <c r="B5" s="91" t="s">
        <v>149</v>
      </c>
      <c r="O5" s="32"/>
    </row>
    <row r="6" spans="1:49" ht="13.15" x14ac:dyDescent="0.4">
      <c r="A6" t="s">
        <v>150</v>
      </c>
      <c r="B6" s="92" t="str">
        <f ca="1">RIGHT(CELL("filename"),1)</f>
        <v>3</v>
      </c>
      <c r="C6" s="8"/>
      <c r="D6" s="8"/>
      <c r="E6" s="8"/>
      <c r="F6" s="8"/>
    </row>
    <row r="7" spans="1:49" ht="14.65" x14ac:dyDescent="0.5">
      <c r="B7" s="77" t="s">
        <v>41</v>
      </c>
      <c r="C7" s="77" t="s">
        <v>42</v>
      </c>
      <c r="D7" s="77" t="s">
        <v>44</v>
      </c>
      <c r="E7" s="77" t="s">
        <v>45</v>
      </c>
      <c r="F7" s="77" t="s">
        <v>47</v>
      </c>
      <c r="G7" s="77" t="s">
        <v>151</v>
      </c>
      <c r="H7" s="77" t="s">
        <v>152</v>
      </c>
      <c r="I7" s="77" t="s">
        <v>153</v>
      </c>
      <c r="J7" s="77" t="s">
        <v>154</v>
      </c>
      <c r="K7" s="77" t="s">
        <v>155</v>
      </c>
      <c r="L7" s="77" t="s">
        <v>156</v>
      </c>
      <c r="P7" s="77"/>
    </row>
    <row r="8" spans="1:49" ht="13.15" x14ac:dyDescent="0.4">
      <c r="A8" s="80" t="s">
        <v>157</v>
      </c>
      <c r="B8" s="49">
        <f>B52</f>
        <v>4.4751469999999998</v>
      </c>
      <c r="C8" s="49">
        <f>C52</f>
        <v>4.7339909999999996</v>
      </c>
      <c r="D8" s="49">
        <f>D52</f>
        <v>4.7205320000000004</v>
      </c>
      <c r="E8" s="49">
        <f>E52</f>
        <v>4.7539819999999997</v>
      </c>
      <c r="F8" s="49">
        <f>F52</f>
        <v>4.7760610000000003</v>
      </c>
      <c r="G8" s="93">
        <f>AVERAGE(B$8:F$8)*5</f>
        <v>23.459713000000001</v>
      </c>
      <c r="I8" s="94"/>
      <c r="K8" s="94"/>
    </row>
    <row r="9" spans="1:49" ht="13.15" x14ac:dyDescent="0.4">
      <c r="A9" s="80" t="s">
        <v>158</v>
      </c>
      <c r="B9" s="45">
        <f t="shared" ref="B9:F18" si="0">B53/B$8</f>
        <v>14502.093450784969</v>
      </c>
      <c r="C9" s="45">
        <f t="shared" si="0"/>
        <v>14559.385516364524</v>
      </c>
      <c r="D9" s="45">
        <f t="shared" si="0"/>
        <v>14539.886606001186</v>
      </c>
      <c r="E9" s="45">
        <f t="shared" si="0"/>
        <v>14410.025111580146</v>
      </c>
      <c r="F9" s="45">
        <f t="shared" si="0"/>
        <v>14278.083969195535</v>
      </c>
      <c r="G9" s="95">
        <f t="shared" ref="G9:G38" si="1">AVERAGE(B9:F9)</f>
        <v>14457.894930785271</v>
      </c>
      <c r="H9" s="96">
        <f t="shared" ref="H9:H38" si="2">G9*G$8</f>
        <v>339178.06566037732</v>
      </c>
      <c r="I9" s="94">
        <f t="shared" ref="I9:I38" si="3">STDEVP(B9:F9)/AVERAGE(B9:F9)</f>
        <v>7.1613065599438188E-3</v>
      </c>
      <c r="J9" s="94">
        <f t="shared" ref="J9:J38" si="4">IF(H9&gt;$A$43, $C$43, IF(H9&gt;$A$44, $C$44, IF(H9&gt;$A$45,$C$45,IF(H9&gt;$A$46,$C$46, IF(H9&gt;$A$47,$C$47,IF(H9&gt;$A$48,$C$48,$C$49))))))/100</f>
        <v>0.11</v>
      </c>
      <c r="K9" s="94">
        <f t="shared" ref="K9:K38" si="5">(MAX(B9:F9)-MIN(B9:F9))/G9</f>
        <v>1.9456604748870586E-2</v>
      </c>
      <c r="L9">
        <f t="shared" ref="L9:L38" si="6">COUNTA(B9:F9)</f>
        <v>5</v>
      </c>
      <c r="P9" s="45"/>
    </row>
    <row r="10" spans="1:49" ht="13.15" x14ac:dyDescent="0.4">
      <c r="A10" s="80" t="s">
        <v>159</v>
      </c>
      <c r="B10" s="45">
        <f t="shared" si="0"/>
        <v>12570.983701764435</v>
      </c>
      <c r="C10" s="45">
        <f t="shared" si="0"/>
        <v>12651.270355182342</v>
      </c>
      <c r="D10" s="45">
        <f t="shared" si="0"/>
        <v>12567.651273203952</v>
      </c>
      <c r="E10" s="45">
        <f t="shared" si="0"/>
        <v>12472.701831853803</v>
      </c>
      <c r="F10" s="45">
        <f t="shared" si="0"/>
        <v>12367.094976383258</v>
      </c>
      <c r="G10" s="95">
        <f t="shared" si="1"/>
        <v>12525.940427677557</v>
      </c>
      <c r="H10" s="96">
        <f t="shared" si="2"/>
        <v>293854.96748841275</v>
      </c>
      <c r="I10" s="94">
        <f t="shared" si="3"/>
        <v>7.7847684104743152E-3</v>
      </c>
      <c r="J10" s="94">
        <f t="shared" si="4"/>
        <v>0.11</v>
      </c>
      <c r="K10" s="94">
        <f t="shared" si="5"/>
        <v>2.2686949569963182E-2</v>
      </c>
      <c r="L10">
        <f t="shared" si="6"/>
        <v>5</v>
      </c>
      <c r="P10" s="45"/>
    </row>
    <row r="11" spans="1:49" ht="13.15" x14ac:dyDescent="0.4">
      <c r="A11" s="80" t="s">
        <v>160</v>
      </c>
      <c r="B11" s="45">
        <f t="shared" si="0"/>
        <v>10856.179696443493</v>
      </c>
      <c r="C11" s="45">
        <f t="shared" si="0"/>
        <v>10911.300845312127</v>
      </c>
      <c r="D11" s="45">
        <f t="shared" si="0"/>
        <v>10867.41918071946</v>
      </c>
      <c r="E11" s="45">
        <f t="shared" si="0"/>
        <v>10744.676778330251</v>
      </c>
      <c r="F11" s="45">
        <f t="shared" si="0"/>
        <v>10661.505370220355</v>
      </c>
      <c r="G11" s="95">
        <f t="shared" si="1"/>
        <v>10808.216374205138</v>
      </c>
      <c r="H11" s="96">
        <f t="shared" si="2"/>
        <v>253557.65418075316</v>
      </c>
      <c r="I11" s="94">
        <f t="shared" si="3"/>
        <v>8.4791196028538973E-3</v>
      </c>
      <c r="J11" s="94">
        <f t="shared" si="4"/>
        <v>0.11</v>
      </c>
      <c r="K11" s="94">
        <f t="shared" si="5"/>
        <v>2.3111627898931938E-2</v>
      </c>
      <c r="L11">
        <f t="shared" si="6"/>
        <v>5</v>
      </c>
      <c r="P11" s="45"/>
    </row>
    <row r="12" spans="1:49" ht="13.15" x14ac:dyDescent="0.4">
      <c r="A12" s="80" t="s">
        <v>161</v>
      </c>
      <c r="B12" s="45">
        <f t="shared" si="0"/>
        <v>9464.9404812847497</v>
      </c>
      <c r="C12" s="45">
        <f t="shared" si="0"/>
        <v>9504.4540642345964</v>
      </c>
      <c r="D12" s="45">
        <f t="shared" si="0"/>
        <v>9477.957145508175</v>
      </c>
      <c r="E12" s="45">
        <f t="shared" si="0"/>
        <v>9379.2950835741503</v>
      </c>
      <c r="F12" s="45">
        <f t="shared" si="0"/>
        <v>9285.8947990823399</v>
      </c>
      <c r="G12" s="95">
        <f t="shared" si="1"/>
        <v>9422.5083147368023</v>
      </c>
      <c r="H12" s="96">
        <f t="shared" si="2"/>
        <v>221049.34080383906</v>
      </c>
      <c r="I12" s="94">
        <f t="shared" si="3"/>
        <v>8.5063190608294283E-3</v>
      </c>
      <c r="J12" s="94">
        <f t="shared" si="4"/>
        <v>0.11</v>
      </c>
      <c r="K12" s="94">
        <f t="shared" si="5"/>
        <v>2.3195444127168334E-2</v>
      </c>
      <c r="L12">
        <f t="shared" si="6"/>
        <v>5</v>
      </c>
      <c r="P12" s="45"/>
    </row>
    <row r="13" spans="1:49" ht="13.15" x14ac:dyDescent="0.4">
      <c r="A13" s="80" t="s">
        <v>162</v>
      </c>
      <c r="B13" s="45">
        <f t="shared" si="0"/>
        <v>8066.3272066817026</v>
      </c>
      <c r="C13" s="45">
        <f t="shared" si="0"/>
        <v>8095.7061388583124</v>
      </c>
      <c r="D13" s="45">
        <f t="shared" si="0"/>
        <v>8100.3581799678504</v>
      </c>
      <c r="E13" s="45">
        <f t="shared" si="0"/>
        <v>8025.2722875265417</v>
      </c>
      <c r="F13" s="45">
        <f t="shared" si="0"/>
        <v>7902.9560133340001</v>
      </c>
      <c r="G13" s="95">
        <f t="shared" si="1"/>
        <v>8038.1239652736813</v>
      </c>
      <c r="H13" s="96">
        <f t="shared" si="2"/>
        <v>188572.08128374253</v>
      </c>
      <c r="I13" s="94">
        <f t="shared" si="3"/>
        <v>9.0432554113133445E-3</v>
      </c>
      <c r="J13" s="94">
        <f t="shared" si="4"/>
        <v>0.11</v>
      </c>
      <c r="K13" s="94">
        <f t="shared" si="5"/>
        <v>2.4558238649549022E-2</v>
      </c>
      <c r="L13">
        <f t="shared" si="6"/>
        <v>5</v>
      </c>
      <c r="P13" s="45"/>
    </row>
    <row r="14" spans="1:49" ht="13.15" x14ac:dyDescent="0.4">
      <c r="A14" s="80" t="s">
        <v>163</v>
      </c>
      <c r="B14" s="45">
        <f t="shared" si="0"/>
        <v>6870.8357513172195</v>
      </c>
      <c r="C14" s="45">
        <f t="shared" si="0"/>
        <v>6927.9810629128788</v>
      </c>
      <c r="D14" s="45">
        <f t="shared" si="0"/>
        <v>6964.8929400330298</v>
      </c>
      <c r="E14" s="45">
        <f t="shared" si="0"/>
        <v>6884.9650671794725</v>
      </c>
      <c r="F14" s="45">
        <f t="shared" si="0"/>
        <v>6773.1546979822906</v>
      </c>
      <c r="G14" s="95">
        <f t="shared" si="1"/>
        <v>6884.3659038849783</v>
      </c>
      <c r="H14" s="96">
        <f t="shared" si="2"/>
        <v>161505.24829212719</v>
      </c>
      <c r="I14" s="94">
        <f t="shared" si="3"/>
        <v>9.399855127696222E-3</v>
      </c>
      <c r="J14" s="94">
        <f t="shared" si="4"/>
        <v>0.11</v>
      </c>
      <c r="K14" s="94">
        <f t="shared" si="5"/>
        <v>2.785125670652365E-2</v>
      </c>
      <c r="L14">
        <f t="shared" si="6"/>
        <v>5</v>
      </c>
      <c r="P14" s="45"/>
    </row>
    <row r="15" spans="1:49" ht="13.15" x14ac:dyDescent="0.4">
      <c r="A15" s="80" t="s">
        <v>164</v>
      </c>
      <c r="B15" s="45">
        <f t="shared" si="0"/>
        <v>5810.7588421117789</v>
      </c>
      <c r="C15" s="45">
        <f t="shared" si="0"/>
        <v>5872.845977104731</v>
      </c>
      <c r="D15" s="45">
        <f t="shared" si="0"/>
        <v>5891.9206564005917</v>
      </c>
      <c r="E15" s="45">
        <f t="shared" si="0"/>
        <v>5813.0215890594454</v>
      </c>
      <c r="F15" s="45">
        <f t="shared" si="0"/>
        <v>5742.5983462104023</v>
      </c>
      <c r="G15" s="95">
        <f t="shared" si="1"/>
        <v>5826.2290821773895</v>
      </c>
      <c r="H15" s="96">
        <f t="shared" si="2"/>
        <v>136681.66214013498</v>
      </c>
      <c r="I15" s="94">
        <f t="shared" si="3"/>
        <v>9.0485365428909312E-3</v>
      </c>
      <c r="J15" s="94">
        <f t="shared" si="4"/>
        <v>0.11</v>
      </c>
      <c r="K15" s="94">
        <f t="shared" si="5"/>
        <v>2.5629323544275131E-2</v>
      </c>
      <c r="L15">
        <f t="shared" si="6"/>
        <v>5</v>
      </c>
      <c r="P15" s="45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spans="1:49" ht="13.15" x14ac:dyDescent="0.4">
      <c r="A16" s="80" t="s">
        <v>165</v>
      </c>
      <c r="B16" s="45">
        <f t="shared" si="0"/>
        <v>4868.4434276684096</v>
      </c>
      <c r="C16" s="45">
        <f t="shared" si="0"/>
        <v>4937.2717438626314</v>
      </c>
      <c r="D16" s="45">
        <f t="shared" si="0"/>
        <v>4950.9250228575929</v>
      </c>
      <c r="E16" s="45">
        <f t="shared" si="0"/>
        <v>4874.2296458000892</v>
      </c>
      <c r="F16" s="45">
        <f t="shared" si="0"/>
        <v>4801.0274575638796</v>
      </c>
      <c r="G16" s="95">
        <f t="shared" si="1"/>
        <v>4886.3794595505206</v>
      </c>
      <c r="H16" s="96">
        <f t="shared" si="2"/>
        <v>114633.05973015033</v>
      </c>
      <c r="I16" s="94">
        <f t="shared" si="3"/>
        <v>1.1024732635348049E-2</v>
      </c>
      <c r="J16" s="94">
        <f t="shared" si="4"/>
        <v>0.11</v>
      </c>
      <c r="K16" s="94">
        <f t="shared" si="5"/>
        <v>3.0676611698818381E-2</v>
      </c>
      <c r="L16">
        <f t="shared" si="6"/>
        <v>5</v>
      </c>
      <c r="P16" s="45"/>
      <c r="Q16" s="8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spans="1:49" ht="13.15" x14ac:dyDescent="0.4">
      <c r="A17" s="80" t="s">
        <v>166</v>
      </c>
      <c r="B17" s="45">
        <f t="shared" si="0"/>
        <v>3994.2821989981562</v>
      </c>
      <c r="C17" s="45">
        <f t="shared" si="0"/>
        <v>4088.0939570861037</v>
      </c>
      <c r="D17" s="45">
        <f t="shared" si="0"/>
        <v>4083.0143721089062</v>
      </c>
      <c r="E17" s="45">
        <f t="shared" si="0"/>
        <v>4026.5192421847623</v>
      </c>
      <c r="F17" s="45">
        <f t="shared" si="0"/>
        <v>3979.4299109663798</v>
      </c>
      <c r="G17" s="95">
        <f t="shared" si="1"/>
        <v>4034.2679362688614</v>
      </c>
      <c r="H17" s="96">
        <f t="shared" si="2"/>
        <v>94642.767949969784</v>
      </c>
      <c r="I17" s="94">
        <f t="shared" si="3"/>
        <v>1.1051824248822232E-2</v>
      </c>
      <c r="J17" s="94">
        <f t="shared" si="4"/>
        <v>0.11</v>
      </c>
      <c r="K17" s="94">
        <f t="shared" si="5"/>
        <v>2.693525760716407E-2</v>
      </c>
      <c r="L17">
        <f t="shared" si="6"/>
        <v>5</v>
      </c>
      <c r="P17" s="45"/>
      <c r="Q17" s="8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spans="1:49" ht="13.15" x14ac:dyDescent="0.4">
      <c r="A18" s="80" t="s">
        <v>167</v>
      </c>
      <c r="B18" s="45">
        <f t="shared" si="0"/>
        <v>3249.502195123423</v>
      </c>
      <c r="C18" s="45">
        <f t="shared" si="0"/>
        <v>3331.8610026930769</v>
      </c>
      <c r="D18" s="45">
        <f t="shared" si="0"/>
        <v>3341.5725176738551</v>
      </c>
      <c r="E18" s="45">
        <f t="shared" si="0"/>
        <v>3273.4663278068788</v>
      </c>
      <c r="F18" s="45">
        <f t="shared" si="0"/>
        <v>3259.1711035516505</v>
      </c>
      <c r="G18" s="95">
        <f t="shared" si="1"/>
        <v>3291.114629369777</v>
      </c>
      <c r="H18" s="96">
        <f t="shared" si="2"/>
        <v>77208.604655116345</v>
      </c>
      <c r="I18" s="94">
        <f t="shared" si="3"/>
        <v>1.1585921377314023E-2</v>
      </c>
      <c r="J18" s="94">
        <f t="shared" si="4"/>
        <v>0.11</v>
      </c>
      <c r="K18" s="94">
        <f t="shared" si="5"/>
        <v>2.797542259051089E-2</v>
      </c>
      <c r="L18">
        <f t="shared" si="6"/>
        <v>5</v>
      </c>
      <c r="P18" s="45"/>
      <c r="Q18" s="8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spans="1:49" ht="13.15" x14ac:dyDescent="0.4">
      <c r="A19" s="80" t="s">
        <v>168</v>
      </c>
      <c r="B19" s="45">
        <f t="shared" ref="B19:F25" si="7">B63/B$8</f>
        <v>2605.5010036541817</v>
      </c>
      <c r="C19" s="45">
        <f t="shared" si="7"/>
        <v>2669.8403102160528</v>
      </c>
      <c r="D19" s="45">
        <f t="shared" si="7"/>
        <v>2662.1999384815099</v>
      </c>
      <c r="E19" s="45">
        <f t="shared" si="7"/>
        <v>2619.2779021881029</v>
      </c>
      <c r="F19" s="45">
        <f t="shared" si="7"/>
        <v>2596.9098803386305</v>
      </c>
      <c r="G19" s="95">
        <f t="shared" si="1"/>
        <v>2630.7458069756954</v>
      </c>
      <c r="H19" s="96">
        <f t="shared" si="2"/>
        <v>61716.541607603212</v>
      </c>
      <c r="I19" s="94">
        <f t="shared" si="3"/>
        <v>1.1316388122062043E-2</v>
      </c>
      <c r="J19" s="94">
        <f t="shared" si="4"/>
        <v>0.11</v>
      </c>
      <c r="K19" s="94">
        <f t="shared" si="5"/>
        <v>2.772234006190932E-2</v>
      </c>
      <c r="L19">
        <f t="shared" si="6"/>
        <v>5</v>
      </c>
      <c r="P19" s="45"/>
      <c r="Q19" s="8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spans="1:49" ht="13.15" x14ac:dyDescent="0.4">
      <c r="A20" s="80" t="s">
        <v>169</v>
      </c>
      <c r="B20" s="45">
        <f t="shared" si="7"/>
        <v>2036.581144708766</v>
      </c>
      <c r="C20" s="45">
        <f t="shared" si="7"/>
        <v>2099.9194971008606</v>
      </c>
      <c r="D20" s="45">
        <f t="shared" si="7"/>
        <v>2093.4081158649064</v>
      </c>
      <c r="E20" s="45">
        <f t="shared" si="7"/>
        <v>2042.2879177918639</v>
      </c>
      <c r="F20" s="45">
        <f t="shared" si="7"/>
        <v>2031.1717124215959</v>
      </c>
      <c r="G20" s="95">
        <f t="shared" si="1"/>
        <v>2060.6736775775985</v>
      </c>
      <c r="H20" s="96">
        <f t="shared" si="2"/>
        <v>48342.813062624999</v>
      </c>
      <c r="I20" s="94">
        <f t="shared" si="3"/>
        <v>1.4396708269136589E-2</v>
      </c>
      <c r="J20" s="94">
        <f t="shared" si="4"/>
        <v>0.11</v>
      </c>
      <c r="K20" s="94">
        <f t="shared" si="5"/>
        <v>3.336180076802861E-2</v>
      </c>
      <c r="L20">
        <f t="shared" si="6"/>
        <v>5</v>
      </c>
      <c r="P20" s="45"/>
      <c r="Q20" s="8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spans="1:49" ht="13.15" x14ac:dyDescent="0.4">
      <c r="A21" s="80" t="s">
        <v>170</v>
      </c>
      <c r="B21" s="45">
        <f t="shared" si="7"/>
        <v>1578.0487210811177</v>
      </c>
      <c r="C21" s="45">
        <f t="shared" si="7"/>
        <v>1625.2671371787569</v>
      </c>
      <c r="D21" s="45">
        <f t="shared" si="7"/>
        <v>1627.3589502200175</v>
      </c>
      <c r="E21" s="45">
        <f t="shared" si="7"/>
        <v>1562.0589223939007</v>
      </c>
      <c r="F21" s="45">
        <f t="shared" si="7"/>
        <v>1567.1910388079214</v>
      </c>
      <c r="G21" s="95">
        <f t="shared" si="1"/>
        <v>1591.9849539363427</v>
      </c>
      <c r="H21" s="96">
        <f t="shared" si="2"/>
        <v>37347.510119664817</v>
      </c>
      <c r="I21" s="94">
        <f t="shared" si="3"/>
        <v>1.7907242298412555E-2</v>
      </c>
      <c r="J21" s="94">
        <f t="shared" si="4"/>
        <v>0.11</v>
      </c>
      <c r="K21" s="94">
        <f t="shared" si="5"/>
        <v>4.101799308131393E-2</v>
      </c>
      <c r="L21">
        <f t="shared" si="6"/>
        <v>5</v>
      </c>
      <c r="P21" s="45"/>
      <c r="R21" s="77"/>
      <c r="S21" s="77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spans="1:49" ht="13.15" x14ac:dyDescent="0.4">
      <c r="A22" s="80" t="s">
        <v>171</v>
      </c>
      <c r="B22" s="45">
        <f t="shared" si="7"/>
        <v>1203.5358838491786</v>
      </c>
      <c r="C22" s="45">
        <f t="shared" si="7"/>
        <v>1248.4180895147456</v>
      </c>
      <c r="D22" s="45">
        <f t="shared" si="7"/>
        <v>1251.7656908162046</v>
      </c>
      <c r="E22" s="45">
        <f t="shared" si="7"/>
        <v>1186.3738651092915</v>
      </c>
      <c r="F22" s="45">
        <f t="shared" si="7"/>
        <v>1193.033338560793</v>
      </c>
      <c r="G22" s="95">
        <f t="shared" si="1"/>
        <v>1216.6253735700425</v>
      </c>
      <c r="H22" s="96">
        <f t="shared" si="2"/>
        <v>28541.682092470983</v>
      </c>
      <c r="I22" s="94">
        <f t="shared" si="3"/>
        <v>2.2922388166784196E-2</v>
      </c>
      <c r="J22" s="94">
        <f t="shared" si="4"/>
        <v>0.11</v>
      </c>
      <c r="K22" s="94">
        <f t="shared" si="5"/>
        <v>5.3748530260410862E-2</v>
      </c>
      <c r="L22">
        <f t="shared" si="6"/>
        <v>5</v>
      </c>
      <c r="P22" s="45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80" t="s">
        <v>172</v>
      </c>
      <c r="B23" s="45">
        <f t="shared" si="7"/>
        <v>925.55618843358673</v>
      </c>
      <c r="C23" s="45">
        <f t="shared" si="7"/>
        <v>938.74280707335527</v>
      </c>
      <c r="D23" s="45">
        <f t="shared" si="7"/>
        <v>961.33232440750317</v>
      </c>
      <c r="E23" s="45">
        <f t="shared" si="7"/>
        <v>898.61509782746339</v>
      </c>
      <c r="F23" s="45">
        <f t="shared" si="7"/>
        <v>886.50459028894306</v>
      </c>
      <c r="G23" s="95">
        <f t="shared" si="1"/>
        <v>922.15020160617041</v>
      </c>
      <c r="H23" s="96">
        <f t="shared" si="2"/>
        <v>21633.379072572898</v>
      </c>
      <c r="I23" s="94">
        <f t="shared" si="3"/>
        <v>2.9286080562692839E-2</v>
      </c>
      <c r="J23" s="94">
        <f t="shared" si="4"/>
        <v>0.11</v>
      </c>
      <c r="K23" s="94">
        <f t="shared" si="5"/>
        <v>8.1144843853233076E-2</v>
      </c>
      <c r="L23">
        <f t="shared" si="6"/>
        <v>5</v>
      </c>
      <c r="P23" s="45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</row>
    <row r="24" spans="1:49" ht="13.15" x14ac:dyDescent="0.4">
      <c r="A24" s="80" t="s">
        <v>173</v>
      </c>
      <c r="B24" s="45">
        <f t="shared" si="7"/>
        <v>711.26155185516814</v>
      </c>
      <c r="C24" s="45">
        <f t="shared" si="7"/>
        <v>713.14035028794945</v>
      </c>
      <c r="D24" s="45">
        <f t="shared" si="7"/>
        <v>727.67221999554283</v>
      </c>
      <c r="E24" s="45">
        <f t="shared" si="7"/>
        <v>693.94457109850237</v>
      </c>
      <c r="F24" s="45">
        <f t="shared" si="7"/>
        <v>669.79881538363929</v>
      </c>
      <c r="G24" s="95">
        <f t="shared" si="1"/>
        <v>703.16350172416037</v>
      </c>
      <c r="H24" s="96">
        <f t="shared" si="2"/>
        <v>16496.013942523809</v>
      </c>
      <c r="I24" s="94">
        <f t="shared" si="3"/>
        <v>2.8185624980533716E-2</v>
      </c>
      <c r="J24" s="94">
        <f t="shared" si="4"/>
        <v>0.11</v>
      </c>
      <c r="K24" s="94">
        <f t="shared" si="5"/>
        <v>8.2304335293281961E-2</v>
      </c>
      <c r="L24">
        <f t="shared" si="6"/>
        <v>5</v>
      </c>
      <c r="P24" s="45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ht="13.15" x14ac:dyDescent="0.4">
      <c r="A25" s="80" t="s">
        <v>174</v>
      </c>
      <c r="B25" s="45">
        <f t="shared" si="7"/>
        <v>553.72482736321285</v>
      </c>
      <c r="C25" s="45">
        <f t="shared" si="7"/>
        <v>542.88231642180983</v>
      </c>
      <c r="D25" s="45">
        <f t="shared" si="7"/>
        <v>558.19979612467398</v>
      </c>
      <c r="E25" s="45">
        <f t="shared" si="7"/>
        <v>522.2989906146048</v>
      </c>
      <c r="F25" s="45">
        <f t="shared" si="7"/>
        <v>508.78747151680011</v>
      </c>
      <c r="G25" s="95">
        <f t="shared" si="1"/>
        <v>537.17868040822032</v>
      </c>
      <c r="H25" s="96">
        <f t="shared" si="2"/>
        <v>12602.057672095572</v>
      </c>
      <c r="I25" s="94">
        <f t="shared" si="3"/>
        <v>3.5081333553290329E-2</v>
      </c>
      <c r="J25" s="94">
        <f t="shared" si="4"/>
        <v>0.11</v>
      </c>
      <c r="K25" s="94">
        <f t="shared" si="5"/>
        <v>9.1984895175519193E-2</v>
      </c>
      <c r="L25">
        <f t="shared" si="6"/>
        <v>5</v>
      </c>
      <c r="P25" s="45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</row>
    <row r="26" spans="1:49" ht="13.15" x14ac:dyDescent="0.4">
      <c r="A26" s="80" t="s">
        <v>175</v>
      </c>
      <c r="B26" s="45">
        <f t="shared" ref="B26:E38" si="8">B70/B$8</f>
        <v>428.36581681004003</v>
      </c>
      <c r="C26" s="45">
        <f t="shared" si="8"/>
        <v>410.64716853073867</v>
      </c>
      <c r="D26" s="45">
        <f t="shared" si="8"/>
        <v>430.24811610216813</v>
      </c>
      <c r="E26" s="45">
        <f t="shared" si="8"/>
        <v>403.030554175426</v>
      </c>
      <c r="F26" s="45"/>
      <c r="G26" s="95">
        <f t="shared" si="1"/>
        <v>418.07291390459318</v>
      </c>
      <c r="H26" s="96">
        <f t="shared" si="2"/>
        <v>9807.8705732754661</v>
      </c>
      <c r="I26" s="94">
        <f t="shared" si="3"/>
        <v>2.7678063063579273E-2</v>
      </c>
      <c r="J26" s="94">
        <f t="shared" si="4"/>
        <v>0.113</v>
      </c>
      <c r="K26" s="94">
        <f t="shared" si="5"/>
        <v>6.5102428360028455E-2</v>
      </c>
      <c r="L26">
        <f t="shared" si="6"/>
        <v>4</v>
      </c>
      <c r="P26" s="45"/>
    </row>
    <row r="27" spans="1:49" ht="13.15" x14ac:dyDescent="0.4">
      <c r="A27" s="80" t="s">
        <v>176</v>
      </c>
      <c r="B27" s="45">
        <f t="shared" si="8"/>
        <v>328.03391709814224</v>
      </c>
      <c r="C27" s="45">
        <f t="shared" si="8"/>
        <v>314.3225240605654</v>
      </c>
      <c r="D27" s="45">
        <f t="shared" si="8"/>
        <v>332.80147237641859</v>
      </c>
      <c r="E27" s="45">
        <f t="shared" si="8"/>
        <v>313.84216431614595</v>
      </c>
      <c r="F27" s="45"/>
      <c r="G27" s="95">
        <f t="shared" si="1"/>
        <v>322.25001946281805</v>
      </c>
      <c r="H27" s="96">
        <f t="shared" si="2"/>
        <v>7559.8929708421256</v>
      </c>
      <c r="I27" s="94">
        <f t="shared" si="3"/>
        <v>2.5885243664131592E-2</v>
      </c>
      <c r="J27" s="94">
        <f t="shared" si="4"/>
        <v>0.113</v>
      </c>
      <c r="K27" s="94">
        <f t="shared" si="5"/>
        <v>5.8834156447460519E-2</v>
      </c>
      <c r="L27">
        <f t="shared" si="6"/>
        <v>4</v>
      </c>
      <c r="P27" s="45"/>
    </row>
    <row r="28" spans="1:49" ht="13.15" x14ac:dyDescent="0.4">
      <c r="A28" s="80" t="s">
        <v>177</v>
      </c>
      <c r="B28" s="45">
        <f t="shared" si="8"/>
        <v>253.17604092111389</v>
      </c>
      <c r="C28" s="45">
        <f t="shared" si="8"/>
        <v>239.75541989834795</v>
      </c>
      <c r="D28" s="45">
        <f t="shared" si="8"/>
        <v>251.66654944824015</v>
      </c>
      <c r="E28" s="45">
        <f t="shared" si="8"/>
        <v>242.32317244785531</v>
      </c>
      <c r="F28" s="45"/>
      <c r="G28" s="95">
        <f t="shared" si="1"/>
        <v>246.73029567888932</v>
      </c>
      <c r="H28" s="96">
        <f t="shared" si="2"/>
        <v>5788.221925031884</v>
      </c>
      <c r="I28" s="94">
        <f t="shared" si="3"/>
        <v>2.3457245317464692E-2</v>
      </c>
      <c r="J28" s="94">
        <f t="shared" si="4"/>
        <v>0.113</v>
      </c>
      <c r="K28" s="94">
        <f t="shared" si="5"/>
        <v>5.4393891864144651E-2</v>
      </c>
      <c r="L28">
        <f t="shared" si="6"/>
        <v>4</v>
      </c>
      <c r="P28" s="45"/>
    </row>
    <row r="29" spans="1:49" ht="13.15" x14ac:dyDescent="0.4">
      <c r="A29" s="80" t="s">
        <v>178</v>
      </c>
      <c r="B29" s="45">
        <f t="shared" si="8"/>
        <v>195.3008471006651</v>
      </c>
      <c r="C29" s="45">
        <f t="shared" si="8"/>
        <v>183.3548057019965</v>
      </c>
      <c r="D29" s="45">
        <f t="shared" si="8"/>
        <v>188.96175261601869</v>
      </c>
      <c r="E29" s="45">
        <f t="shared" si="8"/>
        <v>189.73567842705339</v>
      </c>
      <c r="F29" s="45"/>
      <c r="G29" s="95">
        <f t="shared" si="1"/>
        <v>189.33827096143341</v>
      </c>
      <c r="H29" s="96">
        <f t="shared" si="2"/>
        <v>4441.8214966714622</v>
      </c>
      <c r="I29" s="94">
        <f t="shared" si="3"/>
        <v>2.2353803125167028E-2</v>
      </c>
      <c r="J29" s="94">
        <f t="shared" si="4"/>
        <v>0.11900000000000001</v>
      </c>
      <c r="K29" s="94">
        <f t="shared" si="5"/>
        <v>6.3093643656975743E-2</v>
      </c>
      <c r="L29">
        <f t="shared" si="6"/>
        <v>4</v>
      </c>
      <c r="P29" s="45"/>
    </row>
    <row r="30" spans="1:49" ht="13.15" x14ac:dyDescent="0.4">
      <c r="A30" s="80" t="s">
        <v>179</v>
      </c>
      <c r="B30" s="45">
        <f t="shared" si="8"/>
        <v>148.37501427327416</v>
      </c>
      <c r="C30" s="45">
        <f t="shared" si="8"/>
        <v>138.99477206441671</v>
      </c>
      <c r="D30" s="45">
        <f t="shared" si="8"/>
        <v>143.41603870072271</v>
      </c>
      <c r="E30" s="45">
        <f t="shared" si="8"/>
        <v>140.93448397574917</v>
      </c>
      <c r="F30" s="45"/>
      <c r="G30" s="95">
        <f t="shared" si="1"/>
        <v>142.93007725354067</v>
      </c>
      <c r="H30" s="96">
        <f t="shared" si="2"/>
        <v>3353.0985914358926</v>
      </c>
      <c r="I30" s="94">
        <f t="shared" si="3"/>
        <v>2.4575424590504401E-2</v>
      </c>
      <c r="J30" s="94">
        <f t="shared" si="4"/>
        <v>0.11900000000000001</v>
      </c>
      <c r="K30" s="94">
        <f t="shared" si="5"/>
        <v>6.5628189595238501E-2</v>
      </c>
      <c r="L30">
        <f t="shared" si="6"/>
        <v>4</v>
      </c>
      <c r="P30" s="45"/>
    </row>
    <row r="31" spans="1:49" ht="13.15" x14ac:dyDescent="0.4">
      <c r="A31" s="80" t="s">
        <v>180</v>
      </c>
      <c r="B31" s="45">
        <f t="shared" si="8"/>
        <v>110.83434801136141</v>
      </c>
      <c r="C31" s="45">
        <f t="shared" si="8"/>
        <v>107.09779549644266</v>
      </c>
      <c r="D31" s="45">
        <f t="shared" si="8"/>
        <v>108.88603233703319</v>
      </c>
      <c r="E31" s="45">
        <f t="shared" si="8"/>
        <v>102.86113830468858</v>
      </c>
      <c r="F31" s="45"/>
      <c r="G31" s="95">
        <f t="shared" si="1"/>
        <v>107.41982853738145</v>
      </c>
      <c r="H31" s="96">
        <f t="shared" si="2"/>
        <v>2520.0383479961788</v>
      </c>
      <c r="I31" s="94">
        <f t="shared" si="3"/>
        <v>2.7416568962979889E-2</v>
      </c>
      <c r="J31" s="94">
        <f t="shared" si="4"/>
        <v>0.11900000000000001</v>
      </c>
      <c r="K31" s="94">
        <f t="shared" si="5"/>
        <v>7.422474803055755E-2</v>
      </c>
      <c r="L31">
        <f t="shared" si="6"/>
        <v>4</v>
      </c>
      <c r="P31" s="45"/>
    </row>
    <row r="32" spans="1:49" ht="13.15" x14ac:dyDescent="0.4">
      <c r="A32" s="80" t="s">
        <v>181</v>
      </c>
      <c r="B32" s="45">
        <f t="shared" si="8"/>
        <v>84.24304274250656</v>
      </c>
      <c r="C32" s="45">
        <f t="shared" si="8"/>
        <v>77.735677993473161</v>
      </c>
      <c r="D32" s="45">
        <f t="shared" si="8"/>
        <v>78.592836570115395</v>
      </c>
      <c r="E32" s="45">
        <f t="shared" si="8"/>
        <v>77.198441222537241</v>
      </c>
      <c r="F32" s="45"/>
      <c r="G32" s="95">
        <f t="shared" si="1"/>
        <v>79.442499632158089</v>
      </c>
      <c r="H32" s="96">
        <f t="shared" si="2"/>
        <v>1863.6982413730343</v>
      </c>
      <c r="I32" s="94">
        <f t="shared" si="3"/>
        <v>3.5445208781021267E-2</v>
      </c>
      <c r="J32" s="94">
        <f t="shared" si="4"/>
        <v>0.13400000000000001</v>
      </c>
      <c r="K32" s="94">
        <f t="shared" si="5"/>
        <v>8.8675476635149644E-2</v>
      </c>
      <c r="L32">
        <f t="shared" si="6"/>
        <v>4</v>
      </c>
      <c r="P32" s="45"/>
    </row>
    <row r="33" spans="1:16" ht="13.15" x14ac:dyDescent="0.4">
      <c r="A33" s="80" t="s">
        <v>182</v>
      </c>
      <c r="B33" s="45">
        <f t="shared" si="8"/>
        <v>60.556669982014</v>
      </c>
      <c r="C33" s="45">
        <f t="shared" si="8"/>
        <v>56.189375940934411</v>
      </c>
      <c r="D33" s="45">
        <f t="shared" si="8"/>
        <v>58.467986235449729</v>
      </c>
      <c r="E33" s="45">
        <f t="shared" si="8"/>
        <v>54.690993781634013</v>
      </c>
      <c r="F33" s="45"/>
      <c r="G33" s="95">
        <f t="shared" si="1"/>
        <v>57.476256485008037</v>
      </c>
      <c r="H33" s="96">
        <f t="shared" si="2"/>
        <v>1348.3764814526774</v>
      </c>
      <c r="I33" s="94">
        <f t="shared" si="3"/>
        <v>3.8793387579490003E-2</v>
      </c>
      <c r="J33" s="94">
        <f t="shared" si="4"/>
        <v>0.13400000000000001</v>
      </c>
      <c r="K33" s="94">
        <f t="shared" si="5"/>
        <v>0.10205390119500868</v>
      </c>
      <c r="L33">
        <f t="shared" si="6"/>
        <v>4</v>
      </c>
      <c r="P33" s="45"/>
    </row>
    <row r="34" spans="1:16" ht="13.15" x14ac:dyDescent="0.4">
      <c r="A34" s="80" t="s">
        <v>183</v>
      </c>
      <c r="B34" s="45">
        <f t="shared" si="8"/>
        <v>45.808551093405427</v>
      </c>
      <c r="C34" s="45">
        <f t="shared" si="8"/>
        <v>40.135268529238864</v>
      </c>
      <c r="D34" s="45">
        <f t="shared" si="8"/>
        <v>43.215468087071535</v>
      </c>
      <c r="E34" s="45">
        <f t="shared" si="8"/>
        <v>39.335445527559848</v>
      </c>
      <c r="F34" s="45"/>
      <c r="G34" s="95">
        <f t="shared" si="1"/>
        <v>42.12368330931892</v>
      </c>
      <c r="H34" s="96">
        <f t="shared" si="2"/>
        <v>988.20952093951212</v>
      </c>
      <c r="I34" s="94">
        <f t="shared" si="3"/>
        <v>6.1101621552961997E-2</v>
      </c>
      <c r="J34" s="94">
        <f t="shared" si="4"/>
        <v>0.156</v>
      </c>
      <c r="K34" s="94">
        <f t="shared" si="5"/>
        <v>0.1536690302771683</v>
      </c>
      <c r="L34">
        <f t="shared" si="6"/>
        <v>4</v>
      </c>
      <c r="P34" s="45"/>
    </row>
    <row r="35" spans="1:16" ht="13.15" x14ac:dyDescent="0.4">
      <c r="A35" s="80" t="s">
        <v>184</v>
      </c>
      <c r="B35" s="45">
        <f t="shared" si="8"/>
        <v>34.188821059956247</v>
      </c>
      <c r="C35" s="45">
        <f t="shared" si="8"/>
        <v>27.460973204216064</v>
      </c>
      <c r="D35" s="45">
        <f t="shared" si="8"/>
        <v>28.810312058047693</v>
      </c>
      <c r="E35" s="45">
        <f t="shared" si="8"/>
        <v>25.241997129984927</v>
      </c>
      <c r="F35" s="45"/>
      <c r="G35" s="95">
        <f t="shared" si="1"/>
        <v>28.925525863051234</v>
      </c>
      <c r="H35" s="96">
        <f t="shared" si="2"/>
        <v>678.58453512125925</v>
      </c>
      <c r="I35" s="94">
        <f t="shared" si="3"/>
        <v>0.11391420949597166</v>
      </c>
      <c r="J35" s="94">
        <f t="shared" si="4"/>
        <v>0.156</v>
      </c>
      <c r="K35" s="94">
        <f t="shared" si="5"/>
        <v>0.3093054892875699</v>
      </c>
      <c r="L35">
        <f t="shared" si="6"/>
        <v>4</v>
      </c>
      <c r="P35" s="45"/>
    </row>
    <row r="36" spans="1:16" ht="13.15" x14ac:dyDescent="0.4">
      <c r="A36" s="80" t="s">
        <v>185</v>
      </c>
      <c r="B36" s="45">
        <f t="shared" si="8"/>
        <v>22.122178332912863</v>
      </c>
      <c r="C36" s="45">
        <f t="shared" si="8"/>
        <v>19.645157753785337</v>
      </c>
      <c r="D36" s="45">
        <f t="shared" si="8"/>
        <v>20.124850334665666</v>
      </c>
      <c r="E36" s="45">
        <f t="shared" si="8"/>
        <v>16.407298134490205</v>
      </c>
      <c r="F36" s="45">
        <f>F80/F$8</f>
        <v>12.562653617698768</v>
      </c>
      <c r="G36" s="95">
        <f t="shared" si="1"/>
        <v>18.172427634710566</v>
      </c>
      <c r="H36" s="96">
        <f t="shared" si="2"/>
        <v>426.3199368235787</v>
      </c>
      <c r="I36" s="94">
        <f t="shared" si="3"/>
        <v>0.18443416381114611</v>
      </c>
      <c r="J36" s="94">
        <f t="shared" si="4"/>
        <v>0.193</v>
      </c>
      <c r="K36" s="94">
        <f t="shared" si="5"/>
        <v>0.52604555139098519</v>
      </c>
      <c r="L36">
        <f t="shared" si="6"/>
        <v>5</v>
      </c>
      <c r="P36" s="45"/>
    </row>
    <row r="37" spans="1:16" ht="13.15" x14ac:dyDescent="0.4">
      <c r="A37" s="80" t="s">
        <v>186</v>
      </c>
      <c r="B37" s="45">
        <f t="shared" si="8"/>
        <v>14.301206195014377</v>
      </c>
      <c r="C37" s="45">
        <f t="shared" si="8"/>
        <v>10.350674515435285</v>
      </c>
      <c r="D37" s="45">
        <f t="shared" si="8"/>
        <v>9.9565049024135401</v>
      </c>
      <c r="E37" s="45">
        <f t="shared" si="8"/>
        <v>8.2036490672451023</v>
      </c>
      <c r="F37" s="45">
        <f>F81/F$8</f>
        <v>7.1188370500293017</v>
      </c>
      <c r="G37" s="95">
        <f t="shared" si="1"/>
        <v>9.9861743460275214</v>
      </c>
      <c r="H37" s="96">
        <f t="shared" si="2"/>
        <v>234.27278412576834</v>
      </c>
      <c r="I37" s="94">
        <f t="shared" si="3"/>
        <v>0.24590977294409661</v>
      </c>
      <c r="J37" s="94">
        <f t="shared" si="4"/>
        <v>0.193</v>
      </c>
      <c r="K37" s="94">
        <f t="shared" si="5"/>
        <v>0.7192312988048527</v>
      </c>
      <c r="L37">
        <f t="shared" si="6"/>
        <v>5</v>
      </c>
    </row>
    <row r="38" spans="1:16" ht="13.15" x14ac:dyDescent="0.4">
      <c r="A38" s="80" t="s">
        <v>187</v>
      </c>
      <c r="B38" s="45">
        <f t="shared" si="8"/>
        <v>7.3740594443042884</v>
      </c>
      <c r="C38" s="45">
        <f t="shared" si="8"/>
        <v>4.4360033637579797</v>
      </c>
      <c r="D38" s="45">
        <f t="shared" si="8"/>
        <v>4.4486511266103053</v>
      </c>
      <c r="E38" s="45">
        <f t="shared" si="8"/>
        <v>2.1034997608320771</v>
      </c>
      <c r="F38" s="45">
        <f>F82/F$8</f>
        <v>3.3500409647196716</v>
      </c>
      <c r="G38" s="95">
        <f t="shared" si="1"/>
        <v>4.3424509320448639</v>
      </c>
      <c r="H38" s="96">
        <f t="shared" si="2"/>
        <v>101.87265258235502</v>
      </c>
      <c r="I38" s="94">
        <f t="shared" si="3"/>
        <v>0.40162681995362798</v>
      </c>
      <c r="J38" s="94">
        <f t="shared" si="4"/>
        <v>0.27500000000000002</v>
      </c>
      <c r="K38" s="94">
        <f t="shared" si="5"/>
        <v>1.2137292432203257</v>
      </c>
      <c r="L38">
        <f t="shared" si="6"/>
        <v>5</v>
      </c>
    </row>
    <row r="40" spans="1:16" x14ac:dyDescent="0.35">
      <c r="A40" t="s">
        <v>188</v>
      </c>
    </row>
    <row r="41" spans="1:16" ht="15" x14ac:dyDescent="0.5">
      <c r="A41" s="38"/>
      <c r="B41" s="98" t="s">
        <v>189</v>
      </c>
      <c r="C41" s="38"/>
      <c r="D41" s="99" t="s">
        <v>190</v>
      </c>
      <c r="E41" s="39"/>
      <c r="F41" s="39"/>
      <c r="G41" s="39"/>
      <c r="H41" s="100"/>
    </row>
    <row r="42" spans="1:16" ht="15" x14ac:dyDescent="0.5">
      <c r="A42" s="101" t="s">
        <v>191</v>
      </c>
      <c r="B42" s="102" t="s">
        <v>192</v>
      </c>
      <c r="C42" s="101" t="s">
        <v>193</v>
      </c>
      <c r="D42" s="101" t="s">
        <v>194</v>
      </c>
      <c r="E42" s="102" t="s">
        <v>195</v>
      </c>
      <c r="F42" s="102" t="s">
        <v>196</v>
      </c>
      <c r="G42" s="102" t="s">
        <v>197</v>
      </c>
      <c r="H42" s="103" t="s">
        <v>198</v>
      </c>
    </row>
    <row r="43" spans="1:16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6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6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6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6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6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4">
        <v>5.5</v>
      </c>
    </row>
    <row r="51" spans="1:16" ht="13.15" x14ac:dyDescent="0.4">
      <c r="B51" s="77" t="s">
        <v>41</v>
      </c>
      <c r="C51" s="77" t="s">
        <v>42</v>
      </c>
      <c r="D51" s="77" t="s">
        <v>44</v>
      </c>
      <c r="E51" s="77" t="s">
        <v>45</v>
      </c>
      <c r="F51" s="77" t="s">
        <v>47</v>
      </c>
      <c r="G51" s="77" t="s">
        <v>41</v>
      </c>
      <c r="H51" s="77" t="s">
        <v>42</v>
      </c>
      <c r="I51" s="77" t="s">
        <v>44</v>
      </c>
      <c r="J51" s="77" t="s">
        <v>45</v>
      </c>
      <c r="K51" s="77" t="s">
        <v>47</v>
      </c>
      <c r="L51" s="77" t="s">
        <v>41</v>
      </c>
      <c r="M51" s="77" t="s">
        <v>42</v>
      </c>
      <c r="N51" s="77" t="s">
        <v>44</v>
      </c>
      <c r="O51" s="77" t="s">
        <v>45</v>
      </c>
      <c r="P51" s="77" t="s">
        <v>47</v>
      </c>
    </row>
    <row r="52" spans="1:16" ht="13.15" x14ac:dyDescent="0.4">
      <c r="A52" s="77" t="s">
        <v>199</v>
      </c>
      <c r="B52">
        <v>4.4751469999999998</v>
      </c>
      <c r="C52">
        <v>4.7339909999999996</v>
      </c>
      <c r="D52">
        <v>4.7205320000000004</v>
      </c>
      <c r="E52">
        <v>4.7539819999999997</v>
      </c>
      <c r="F52">
        <v>4.7760610000000003</v>
      </c>
      <c r="G52">
        <v>4.4751469999999998</v>
      </c>
      <c r="H52">
        <v>4.7339909999999996</v>
      </c>
      <c r="I52">
        <v>4.7205320000000004</v>
      </c>
      <c r="J52">
        <v>4.7539819999999997</v>
      </c>
      <c r="K52">
        <v>4.7760610000000003</v>
      </c>
      <c r="L52">
        <v>4.4751469999999998</v>
      </c>
      <c r="M52">
        <v>4.7339909999999996</v>
      </c>
      <c r="N52">
        <v>4.7205320000000004</v>
      </c>
      <c r="O52">
        <v>4.7539819999999997</v>
      </c>
      <c r="P52">
        <v>4.7760610000000003</v>
      </c>
    </row>
    <row r="53" spans="1:16" ht="13.15" x14ac:dyDescent="0.4">
      <c r="A53" s="8">
        <v>4</v>
      </c>
      <c r="B53">
        <v>64899</v>
      </c>
      <c r="C53">
        <v>68924</v>
      </c>
      <c r="D53">
        <v>68636</v>
      </c>
      <c r="E53">
        <v>68505</v>
      </c>
      <c r="F53">
        <v>68193</v>
      </c>
      <c r="G53">
        <v>64899</v>
      </c>
      <c r="H53">
        <v>68924</v>
      </c>
      <c r="I53">
        <v>68636</v>
      </c>
      <c r="J53">
        <v>68505</v>
      </c>
      <c r="K53">
        <v>68193</v>
      </c>
      <c r="L53">
        <v>64899</v>
      </c>
      <c r="M53">
        <v>68924</v>
      </c>
      <c r="N53">
        <v>68636</v>
      </c>
      <c r="O53">
        <v>68505</v>
      </c>
      <c r="P53">
        <v>68193</v>
      </c>
    </row>
    <row r="54" spans="1:16" ht="13.15" x14ac:dyDescent="0.4">
      <c r="A54" s="8">
        <v>5</v>
      </c>
      <c r="B54">
        <v>56257</v>
      </c>
      <c r="C54">
        <v>59891</v>
      </c>
      <c r="D54">
        <v>59326</v>
      </c>
      <c r="E54">
        <v>59295</v>
      </c>
      <c r="F54">
        <v>59066</v>
      </c>
      <c r="G54">
        <v>56257</v>
      </c>
      <c r="H54">
        <v>59891</v>
      </c>
      <c r="I54">
        <v>59326</v>
      </c>
      <c r="J54">
        <v>59295</v>
      </c>
      <c r="K54">
        <v>59066</v>
      </c>
      <c r="L54">
        <v>56257</v>
      </c>
      <c r="M54">
        <v>59891</v>
      </c>
      <c r="N54">
        <v>59326</v>
      </c>
      <c r="O54">
        <v>59295</v>
      </c>
      <c r="P54">
        <v>59066</v>
      </c>
    </row>
    <row r="55" spans="1:16" ht="13.15" x14ac:dyDescent="0.4">
      <c r="A55" s="8">
        <v>6</v>
      </c>
      <c r="B55">
        <v>48583</v>
      </c>
      <c r="C55">
        <v>51654</v>
      </c>
      <c r="D55">
        <v>51300</v>
      </c>
      <c r="E55">
        <v>51080</v>
      </c>
      <c r="F55">
        <v>50920</v>
      </c>
      <c r="G55">
        <v>48583</v>
      </c>
      <c r="H55">
        <v>51654</v>
      </c>
      <c r="I55">
        <v>51300</v>
      </c>
      <c r="J55">
        <v>51080</v>
      </c>
      <c r="K55">
        <v>50920</v>
      </c>
      <c r="L55">
        <v>48583</v>
      </c>
      <c r="M55">
        <v>51654</v>
      </c>
      <c r="N55">
        <v>51300</v>
      </c>
      <c r="O55">
        <v>51080</v>
      </c>
      <c r="P55">
        <v>50920</v>
      </c>
    </row>
    <row r="56" spans="1:16" ht="13.15" x14ac:dyDescent="0.4">
      <c r="A56" s="8">
        <v>7</v>
      </c>
      <c r="B56">
        <v>42357</v>
      </c>
      <c r="C56">
        <v>44994</v>
      </c>
      <c r="D56">
        <v>44741</v>
      </c>
      <c r="E56">
        <v>44589</v>
      </c>
      <c r="F56">
        <v>44350</v>
      </c>
      <c r="G56">
        <v>42357</v>
      </c>
      <c r="H56">
        <v>44994</v>
      </c>
      <c r="I56">
        <v>44741</v>
      </c>
      <c r="J56">
        <v>44589</v>
      </c>
      <c r="K56">
        <v>44350</v>
      </c>
      <c r="L56">
        <v>42357</v>
      </c>
      <c r="M56">
        <v>44994</v>
      </c>
      <c r="N56">
        <v>44741</v>
      </c>
      <c r="O56">
        <v>44589</v>
      </c>
      <c r="P56">
        <v>44350</v>
      </c>
    </row>
    <row r="57" spans="1:16" ht="13.15" x14ac:dyDescent="0.4">
      <c r="A57" s="8">
        <v>8</v>
      </c>
      <c r="B57">
        <v>36098</v>
      </c>
      <c r="C57">
        <v>38325</v>
      </c>
      <c r="D57">
        <v>38238</v>
      </c>
      <c r="E57">
        <v>38152</v>
      </c>
      <c r="F57">
        <v>37745</v>
      </c>
      <c r="G57">
        <v>36098</v>
      </c>
      <c r="H57">
        <v>38325</v>
      </c>
      <c r="I57">
        <v>38238</v>
      </c>
      <c r="J57">
        <v>38152</v>
      </c>
      <c r="K57">
        <v>37745</v>
      </c>
      <c r="L57">
        <v>36098</v>
      </c>
      <c r="M57">
        <v>38325</v>
      </c>
      <c r="N57">
        <v>38238</v>
      </c>
      <c r="O57">
        <v>38152</v>
      </c>
      <c r="P57">
        <v>37745</v>
      </c>
    </row>
    <row r="58" spans="1:16" ht="13.15" x14ac:dyDescent="0.4">
      <c r="A58" s="8">
        <v>9</v>
      </c>
      <c r="B58">
        <v>30748</v>
      </c>
      <c r="C58">
        <v>32797</v>
      </c>
      <c r="D58">
        <v>32878</v>
      </c>
      <c r="E58">
        <v>32731</v>
      </c>
      <c r="F58">
        <v>32349</v>
      </c>
      <c r="G58">
        <v>30748</v>
      </c>
      <c r="H58">
        <v>32797</v>
      </c>
      <c r="I58">
        <v>32878</v>
      </c>
      <c r="J58">
        <v>32731</v>
      </c>
      <c r="K58">
        <v>32349</v>
      </c>
      <c r="L58">
        <v>30748</v>
      </c>
      <c r="M58">
        <v>32797</v>
      </c>
      <c r="N58">
        <v>32878</v>
      </c>
      <c r="O58">
        <v>32731</v>
      </c>
      <c r="P58">
        <v>32349</v>
      </c>
    </row>
    <row r="59" spans="1:16" ht="13.15" x14ac:dyDescent="0.4">
      <c r="A59" s="8">
        <v>10</v>
      </c>
      <c r="B59">
        <v>26004</v>
      </c>
      <c r="C59">
        <v>27802</v>
      </c>
      <c r="D59">
        <v>27813</v>
      </c>
      <c r="E59">
        <v>27635</v>
      </c>
      <c r="F59">
        <v>27427</v>
      </c>
      <c r="G59">
        <v>26004</v>
      </c>
      <c r="H59">
        <v>27802</v>
      </c>
      <c r="I59">
        <v>27813</v>
      </c>
      <c r="J59">
        <v>27635</v>
      </c>
      <c r="K59">
        <v>27427</v>
      </c>
      <c r="L59">
        <v>26004</v>
      </c>
      <c r="M59">
        <v>27802</v>
      </c>
      <c r="N59">
        <v>27813</v>
      </c>
      <c r="O59">
        <v>27635</v>
      </c>
      <c r="P59">
        <v>27427</v>
      </c>
    </row>
    <row r="60" spans="1:16" ht="13.15" x14ac:dyDescent="0.4">
      <c r="A60" s="8">
        <v>11</v>
      </c>
      <c r="B60">
        <v>21787</v>
      </c>
      <c r="C60">
        <v>23373</v>
      </c>
      <c r="D60">
        <v>23371</v>
      </c>
      <c r="E60">
        <v>23172</v>
      </c>
      <c r="F60">
        <v>22930</v>
      </c>
      <c r="G60">
        <v>21787</v>
      </c>
      <c r="H60">
        <v>23373</v>
      </c>
      <c r="I60">
        <v>23371</v>
      </c>
      <c r="J60">
        <v>23172</v>
      </c>
      <c r="K60">
        <v>22930</v>
      </c>
      <c r="L60">
        <v>21787</v>
      </c>
      <c r="M60">
        <v>23373</v>
      </c>
      <c r="N60">
        <v>23371</v>
      </c>
      <c r="O60">
        <v>23172</v>
      </c>
      <c r="P60">
        <v>22930</v>
      </c>
    </row>
    <row r="61" spans="1:16" ht="13.15" x14ac:dyDescent="0.4">
      <c r="A61" s="8">
        <v>12</v>
      </c>
      <c r="B61">
        <v>17875</v>
      </c>
      <c r="C61">
        <v>19353</v>
      </c>
      <c r="D61">
        <v>19274</v>
      </c>
      <c r="E61">
        <v>19142</v>
      </c>
      <c r="F61">
        <v>19006</v>
      </c>
      <c r="G61">
        <v>17875</v>
      </c>
      <c r="H61">
        <v>19353</v>
      </c>
      <c r="I61">
        <v>19274</v>
      </c>
      <c r="J61">
        <v>19142</v>
      </c>
      <c r="K61">
        <v>19006</v>
      </c>
      <c r="L61">
        <v>17875</v>
      </c>
      <c r="M61">
        <v>19353</v>
      </c>
      <c r="N61">
        <v>19274</v>
      </c>
      <c r="O61">
        <v>19142</v>
      </c>
      <c r="P61">
        <v>19006</v>
      </c>
    </row>
    <row r="62" spans="1:16" ht="13.15" x14ac:dyDescent="0.4">
      <c r="A62" s="8">
        <v>13</v>
      </c>
      <c r="B62">
        <v>14542</v>
      </c>
      <c r="C62">
        <v>15773</v>
      </c>
      <c r="D62">
        <v>15774</v>
      </c>
      <c r="E62">
        <v>15562</v>
      </c>
      <c r="F62">
        <v>15566</v>
      </c>
      <c r="G62">
        <v>14542</v>
      </c>
      <c r="H62">
        <v>15773</v>
      </c>
      <c r="I62">
        <v>15774</v>
      </c>
      <c r="J62">
        <v>15562</v>
      </c>
      <c r="K62">
        <v>15566</v>
      </c>
      <c r="L62">
        <v>14542</v>
      </c>
      <c r="M62">
        <v>15773</v>
      </c>
      <c r="N62">
        <v>15774</v>
      </c>
      <c r="O62">
        <v>15562</v>
      </c>
      <c r="P62">
        <v>15566</v>
      </c>
    </row>
    <row r="63" spans="1:16" ht="13.15" x14ac:dyDescent="0.4">
      <c r="A63" s="8">
        <v>14</v>
      </c>
      <c r="B63">
        <v>11660</v>
      </c>
      <c r="C63">
        <v>12639</v>
      </c>
      <c r="D63">
        <v>12567</v>
      </c>
      <c r="E63">
        <v>12452</v>
      </c>
      <c r="F63">
        <v>12403</v>
      </c>
      <c r="G63">
        <v>11660</v>
      </c>
      <c r="H63">
        <v>12639</v>
      </c>
      <c r="I63">
        <v>12567</v>
      </c>
      <c r="J63">
        <v>12452</v>
      </c>
      <c r="K63">
        <v>12403</v>
      </c>
      <c r="L63">
        <v>11660</v>
      </c>
      <c r="M63">
        <v>12639</v>
      </c>
      <c r="N63">
        <v>12567</v>
      </c>
      <c r="O63">
        <v>12452</v>
      </c>
      <c r="P63">
        <v>12403</v>
      </c>
    </row>
    <row r="64" spans="1:16" ht="13.15" x14ac:dyDescent="0.4">
      <c r="A64" s="8">
        <v>15</v>
      </c>
      <c r="B64">
        <v>9114</v>
      </c>
      <c r="C64">
        <v>9941</v>
      </c>
      <c r="D64">
        <v>9882</v>
      </c>
      <c r="E64">
        <v>9709</v>
      </c>
      <c r="F64">
        <v>9701</v>
      </c>
      <c r="G64">
        <v>9114</v>
      </c>
      <c r="H64">
        <v>9941</v>
      </c>
      <c r="I64">
        <v>9882</v>
      </c>
      <c r="J64">
        <v>9709</v>
      </c>
      <c r="K64">
        <v>9701</v>
      </c>
      <c r="L64">
        <v>9114</v>
      </c>
      <c r="M64">
        <v>9941</v>
      </c>
      <c r="N64">
        <v>9882</v>
      </c>
      <c r="O64">
        <v>9709</v>
      </c>
      <c r="P64">
        <v>9701</v>
      </c>
    </row>
    <row r="65" spans="1:16" ht="13.15" x14ac:dyDescent="0.4">
      <c r="A65" s="8">
        <v>16</v>
      </c>
      <c r="B65">
        <v>7062</v>
      </c>
      <c r="C65">
        <v>7694</v>
      </c>
      <c r="D65">
        <v>7682</v>
      </c>
      <c r="E65">
        <v>7426</v>
      </c>
      <c r="F65">
        <v>7485</v>
      </c>
      <c r="G65">
        <v>7062</v>
      </c>
      <c r="H65">
        <v>7694</v>
      </c>
      <c r="I65">
        <v>7682</v>
      </c>
      <c r="J65">
        <v>7426</v>
      </c>
      <c r="K65">
        <v>7485</v>
      </c>
      <c r="L65">
        <v>7062</v>
      </c>
      <c r="M65">
        <v>7694</v>
      </c>
      <c r="N65">
        <v>7682</v>
      </c>
      <c r="O65">
        <v>7426</v>
      </c>
      <c r="P65">
        <v>7485</v>
      </c>
    </row>
    <row r="66" spans="1:16" ht="13.15" x14ac:dyDescent="0.4">
      <c r="A66" s="8">
        <v>17</v>
      </c>
      <c r="B66">
        <v>5386</v>
      </c>
      <c r="C66">
        <v>5910</v>
      </c>
      <c r="D66">
        <v>5909</v>
      </c>
      <c r="E66">
        <v>5640</v>
      </c>
      <c r="F66">
        <v>5698</v>
      </c>
      <c r="G66">
        <v>5386</v>
      </c>
      <c r="H66">
        <v>5910</v>
      </c>
      <c r="I66">
        <v>5909</v>
      </c>
      <c r="J66">
        <v>5640</v>
      </c>
      <c r="K66">
        <v>5698</v>
      </c>
      <c r="L66">
        <v>5386</v>
      </c>
      <c r="M66">
        <v>5910</v>
      </c>
      <c r="N66">
        <v>5909</v>
      </c>
      <c r="O66">
        <v>5640</v>
      </c>
      <c r="P66">
        <v>5698</v>
      </c>
    </row>
    <row r="67" spans="1:16" ht="13.15" x14ac:dyDescent="0.4">
      <c r="A67" s="8">
        <v>18</v>
      </c>
      <c r="B67">
        <v>4142</v>
      </c>
      <c r="C67">
        <v>4444</v>
      </c>
      <c r="D67">
        <v>4538</v>
      </c>
      <c r="E67">
        <v>4272</v>
      </c>
      <c r="F67">
        <v>4234</v>
      </c>
      <c r="G67">
        <v>4142</v>
      </c>
      <c r="H67">
        <v>4444</v>
      </c>
      <c r="I67">
        <v>4538</v>
      </c>
      <c r="J67">
        <v>4272</v>
      </c>
      <c r="K67">
        <v>4234</v>
      </c>
      <c r="L67">
        <v>4142</v>
      </c>
      <c r="M67">
        <v>4444</v>
      </c>
      <c r="N67">
        <v>4538</v>
      </c>
      <c r="O67">
        <v>4272</v>
      </c>
      <c r="P67">
        <v>4234</v>
      </c>
    </row>
    <row r="68" spans="1:16" ht="13.15" x14ac:dyDescent="0.4">
      <c r="A68" s="8">
        <v>19</v>
      </c>
      <c r="B68">
        <v>3183</v>
      </c>
      <c r="C68">
        <v>3376</v>
      </c>
      <c r="D68">
        <v>3435</v>
      </c>
      <c r="E68">
        <v>3299</v>
      </c>
      <c r="F68">
        <v>3199</v>
      </c>
      <c r="G68">
        <v>3183</v>
      </c>
      <c r="H68">
        <v>3376</v>
      </c>
      <c r="I68">
        <v>3435</v>
      </c>
      <c r="J68">
        <v>3299</v>
      </c>
      <c r="K68">
        <v>3199</v>
      </c>
      <c r="L68">
        <v>3183</v>
      </c>
      <c r="M68">
        <v>3376</v>
      </c>
      <c r="N68">
        <v>3435</v>
      </c>
      <c r="O68">
        <v>3299</v>
      </c>
      <c r="P68">
        <v>3199</v>
      </c>
    </row>
    <row r="69" spans="1:16" ht="13.15" x14ac:dyDescent="0.4">
      <c r="A69" s="8">
        <v>20</v>
      </c>
      <c r="B69">
        <v>2478</v>
      </c>
      <c r="C69">
        <v>2570</v>
      </c>
      <c r="D69">
        <v>2635</v>
      </c>
      <c r="E69">
        <v>2483</v>
      </c>
      <c r="F69">
        <v>2430</v>
      </c>
      <c r="G69">
        <v>2478</v>
      </c>
      <c r="H69">
        <v>2570</v>
      </c>
      <c r="I69">
        <v>2635</v>
      </c>
      <c r="J69">
        <v>2483</v>
      </c>
      <c r="K69">
        <v>2430</v>
      </c>
      <c r="L69">
        <v>2478</v>
      </c>
      <c r="M69">
        <v>2570</v>
      </c>
      <c r="N69">
        <v>2635</v>
      </c>
      <c r="O69">
        <v>2483</v>
      </c>
      <c r="P69">
        <v>2430</v>
      </c>
    </row>
    <row r="70" spans="1:16" ht="13.15" x14ac:dyDescent="0.4">
      <c r="A70" s="8">
        <v>21</v>
      </c>
      <c r="B70">
        <v>1917</v>
      </c>
      <c r="C70">
        <v>1944</v>
      </c>
      <c r="D70">
        <v>2031</v>
      </c>
      <c r="E70">
        <v>1916</v>
      </c>
      <c r="F70">
        <v>1828</v>
      </c>
      <c r="G70">
        <v>1917</v>
      </c>
      <c r="H70">
        <v>1944</v>
      </c>
      <c r="I70">
        <v>2031</v>
      </c>
      <c r="J70">
        <v>1916</v>
      </c>
      <c r="K70">
        <v>1828</v>
      </c>
      <c r="L70">
        <v>1917</v>
      </c>
      <c r="M70">
        <v>1944</v>
      </c>
      <c r="N70">
        <v>2031</v>
      </c>
      <c r="O70">
        <v>1916</v>
      </c>
      <c r="P70">
        <v>1828</v>
      </c>
    </row>
    <row r="71" spans="1:16" ht="13.15" x14ac:dyDescent="0.4">
      <c r="A71" s="8">
        <v>22</v>
      </c>
      <c r="B71">
        <v>1468</v>
      </c>
      <c r="C71">
        <v>1488</v>
      </c>
      <c r="D71">
        <v>1571</v>
      </c>
      <c r="E71">
        <v>1492</v>
      </c>
      <c r="F71">
        <v>1409</v>
      </c>
      <c r="G71">
        <v>1468</v>
      </c>
      <c r="H71">
        <v>1488</v>
      </c>
      <c r="I71">
        <v>1571</v>
      </c>
      <c r="J71">
        <v>1492</v>
      </c>
      <c r="K71">
        <v>1409</v>
      </c>
      <c r="L71">
        <v>1468</v>
      </c>
      <c r="M71">
        <v>1488</v>
      </c>
      <c r="N71">
        <v>1571</v>
      </c>
      <c r="O71">
        <v>1492</v>
      </c>
      <c r="P71">
        <v>1409</v>
      </c>
    </row>
    <row r="72" spans="1:16" ht="13.15" x14ac:dyDescent="0.4">
      <c r="A72" s="8">
        <v>23</v>
      </c>
      <c r="B72">
        <v>1133</v>
      </c>
      <c r="C72">
        <v>1135</v>
      </c>
      <c r="D72">
        <v>1188</v>
      </c>
      <c r="E72">
        <v>1152</v>
      </c>
      <c r="F72">
        <v>1063</v>
      </c>
      <c r="G72">
        <v>1133</v>
      </c>
      <c r="H72">
        <v>1135</v>
      </c>
      <c r="I72">
        <v>1188</v>
      </c>
      <c r="J72">
        <v>1152</v>
      </c>
      <c r="K72">
        <v>1063</v>
      </c>
      <c r="L72">
        <v>1133</v>
      </c>
      <c r="M72">
        <v>1135</v>
      </c>
      <c r="N72">
        <v>1188</v>
      </c>
      <c r="O72">
        <v>1152</v>
      </c>
      <c r="P72">
        <v>1063</v>
      </c>
    </row>
    <row r="73" spans="1:16" ht="13.15" x14ac:dyDescent="0.4">
      <c r="A73" s="8">
        <v>24</v>
      </c>
      <c r="B73">
        <v>874</v>
      </c>
      <c r="C73">
        <v>868</v>
      </c>
      <c r="D73">
        <v>892</v>
      </c>
      <c r="E73">
        <v>902</v>
      </c>
      <c r="F73">
        <v>773</v>
      </c>
      <c r="G73">
        <v>874</v>
      </c>
      <c r="H73">
        <v>868</v>
      </c>
      <c r="I73">
        <v>892</v>
      </c>
      <c r="J73">
        <v>902</v>
      </c>
      <c r="K73">
        <v>773</v>
      </c>
      <c r="L73">
        <v>874</v>
      </c>
      <c r="M73">
        <v>868</v>
      </c>
      <c r="N73">
        <v>892</v>
      </c>
      <c r="O73">
        <v>902</v>
      </c>
      <c r="P73">
        <v>773</v>
      </c>
    </row>
    <row r="74" spans="1:16" ht="13.15" x14ac:dyDescent="0.4">
      <c r="A74" s="8">
        <v>25</v>
      </c>
      <c r="B74">
        <v>664</v>
      </c>
      <c r="C74">
        <v>658</v>
      </c>
      <c r="D74">
        <v>677</v>
      </c>
      <c r="E74">
        <v>670</v>
      </c>
      <c r="F74">
        <v>586</v>
      </c>
      <c r="G74">
        <v>664</v>
      </c>
      <c r="H74">
        <v>658</v>
      </c>
      <c r="I74">
        <v>677</v>
      </c>
      <c r="J74">
        <v>670</v>
      </c>
      <c r="K74">
        <v>586</v>
      </c>
      <c r="L74">
        <v>664</v>
      </c>
      <c r="M74">
        <v>658</v>
      </c>
      <c r="N74">
        <v>677</v>
      </c>
      <c r="O74">
        <v>670</v>
      </c>
      <c r="P74">
        <v>586</v>
      </c>
    </row>
    <row r="75" spans="1:16" ht="13.15" x14ac:dyDescent="0.4">
      <c r="A75" s="8">
        <v>26</v>
      </c>
      <c r="B75">
        <v>496</v>
      </c>
      <c r="C75">
        <v>507</v>
      </c>
      <c r="D75">
        <v>514</v>
      </c>
      <c r="E75">
        <v>489</v>
      </c>
      <c r="F75">
        <v>433</v>
      </c>
      <c r="G75">
        <v>496</v>
      </c>
      <c r="H75">
        <v>507</v>
      </c>
      <c r="I75">
        <v>514</v>
      </c>
      <c r="J75">
        <v>489</v>
      </c>
      <c r="K75">
        <v>433</v>
      </c>
      <c r="L75">
        <v>496</v>
      </c>
      <c r="M75">
        <v>507</v>
      </c>
      <c r="N75">
        <v>514</v>
      </c>
      <c r="O75">
        <v>489</v>
      </c>
      <c r="P75">
        <v>433</v>
      </c>
    </row>
    <row r="76" spans="1:16" ht="13.15" x14ac:dyDescent="0.4">
      <c r="A76" s="8">
        <v>27</v>
      </c>
      <c r="B76">
        <v>377</v>
      </c>
      <c r="C76">
        <v>368</v>
      </c>
      <c r="D76">
        <v>371</v>
      </c>
      <c r="E76">
        <v>367</v>
      </c>
      <c r="F76">
        <v>314</v>
      </c>
      <c r="G76">
        <v>377</v>
      </c>
      <c r="H76">
        <v>368</v>
      </c>
      <c r="I76">
        <v>371</v>
      </c>
      <c r="J76">
        <v>367</v>
      </c>
      <c r="K76">
        <v>314</v>
      </c>
      <c r="L76">
        <v>377</v>
      </c>
      <c r="M76">
        <v>368</v>
      </c>
      <c r="N76">
        <v>371</v>
      </c>
      <c r="O76">
        <v>367</v>
      </c>
      <c r="P76">
        <v>314</v>
      </c>
    </row>
    <row r="77" spans="1:16" ht="13.15" x14ac:dyDescent="0.4">
      <c r="A77" s="8">
        <v>28</v>
      </c>
      <c r="B77">
        <v>271</v>
      </c>
      <c r="C77">
        <v>266</v>
      </c>
      <c r="D77">
        <v>276</v>
      </c>
      <c r="E77">
        <v>260</v>
      </c>
      <c r="F77">
        <v>204</v>
      </c>
      <c r="G77">
        <v>271</v>
      </c>
      <c r="H77">
        <v>266</v>
      </c>
      <c r="I77">
        <v>276</v>
      </c>
      <c r="J77">
        <v>260</v>
      </c>
      <c r="K77">
        <v>204</v>
      </c>
      <c r="L77">
        <v>271</v>
      </c>
      <c r="M77">
        <v>266</v>
      </c>
      <c r="N77">
        <v>276</v>
      </c>
      <c r="O77">
        <v>260</v>
      </c>
      <c r="P77">
        <v>204</v>
      </c>
    </row>
    <row r="78" spans="1:16" ht="13.15" x14ac:dyDescent="0.4">
      <c r="A78" s="8">
        <v>29</v>
      </c>
      <c r="B78">
        <v>205</v>
      </c>
      <c r="C78">
        <v>190</v>
      </c>
      <c r="D78">
        <v>204</v>
      </c>
      <c r="E78">
        <v>187</v>
      </c>
      <c r="F78">
        <v>143</v>
      </c>
      <c r="G78">
        <v>205</v>
      </c>
      <c r="H78">
        <v>190</v>
      </c>
      <c r="I78">
        <v>204</v>
      </c>
      <c r="J78">
        <v>187</v>
      </c>
      <c r="K78">
        <v>143</v>
      </c>
      <c r="L78">
        <v>205</v>
      </c>
      <c r="M78">
        <v>190</v>
      </c>
      <c r="N78">
        <v>204</v>
      </c>
      <c r="O78">
        <v>187</v>
      </c>
      <c r="P78">
        <v>143</v>
      </c>
    </row>
    <row r="79" spans="1:16" ht="13.15" x14ac:dyDescent="0.4">
      <c r="A79" s="8">
        <v>30</v>
      </c>
      <c r="B79">
        <v>153</v>
      </c>
      <c r="C79">
        <v>130</v>
      </c>
      <c r="D79">
        <v>136</v>
      </c>
      <c r="E79">
        <v>120</v>
      </c>
      <c r="F79">
        <v>91</v>
      </c>
      <c r="G79">
        <v>153</v>
      </c>
      <c r="H79">
        <v>130</v>
      </c>
      <c r="I79">
        <v>136</v>
      </c>
      <c r="J79">
        <v>120</v>
      </c>
      <c r="K79">
        <v>91</v>
      </c>
      <c r="L79">
        <v>153</v>
      </c>
      <c r="M79">
        <v>130</v>
      </c>
      <c r="N79">
        <v>136</v>
      </c>
      <c r="O79">
        <v>120</v>
      </c>
      <c r="P79">
        <v>91</v>
      </c>
    </row>
    <row r="80" spans="1:16" ht="13.15" x14ac:dyDescent="0.4">
      <c r="A80" s="8">
        <v>38</v>
      </c>
      <c r="B80">
        <v>99</v>
      </c>
      <c r="C80">
        <v>93</v>
      </c>
      <c r="D80">
        <v>95</v>
      </c>
      <c r="E80">
        <v>78</v>
      </c>
      <c r="F80">
        <v>60</v>
      </c>
      <c r="G80">
        <v>99</v>
      </c>
      <c r="H80">
        <v>93</v>
      </c>
      <c r="I80">
        <v>95</v>
      </c>
      <c r="J80">
        <v>78</v>
      </c>
      <c r="K80">
        <v>60</v>
      </c>
      <c r="L80">
        <v>99</v>
      </c>
      <c r="M80">
        <v>93</v>
      </c>
      <c r="N80">
        <v>95</v>
      </c>
      <c r="O80">
        <v>78</v>
      </c>
      <c r="P80">
        <v>60</v>
      </c>
    </row>
    <row r="81" spans="1:16" ht="13.15" x14ac:dyDescent="0.4">
      <c r="A81" s="8">
        <v>50</v>
      </c>
      <c r="B81">
        <v>64</v>
      </c>
      <c r="C81">
        <v>49</v>
      </c>
      <c r="D81">
        <v>47</v>
      </c>
      <c r="E81">
        <v>39</v>
      </c>
      <c r="F81">
        <v>34</v>
      </c>
      <c r="G81">
        <v>64</v>
      </c>
      <c r="H81">
        <v>49</v>
      </c>
      <c r="I81">
        <v>47</v>
      </c>
      <c r="J81">
        <v>39</v>
      </c>
      <c r="K81">
        <v>34</v>
      </c>
      <c r="L81">
        <v>64</v>
      </c>
      <c r="M81">
        <v>49</v>
      </c>
      <c r="N81">
        <v>47</v>
      </c>
      <c r="O81">
        <v>39</v>
      </c>
      <c r="P81">
        <v>34</v>
      </c>
    </row>
    <row r="82" spans="1:16" ht="13.15" x14ac:dyDescent="0.4">
      <c r="A82" s="8">
        <v>70</v>
      </c>
      <c r="B82">
        <v>33</v>
      </c>
      <c r="C82">
        <v>21</v>
      </c>
      <c r="D82">
        <v>21</v>
      </c>
      <c r="E82">
        <v>10</v>
      </c>
      <c r="F82">
        <v>16</v>
      </c>
      <c r="G82">
        <v>33</v>
      </c>
      <c r="H82">
        <v>21</v>
      </c>
      <c r="I82">
        <v>21</v>
      </c>
      <c r="J82">
        <v>10</v>
      </c>
      <c r="K82">
        <v>16</v>
      </c>
      <c r="L82">
        <v>33</v>
      </c>
      <c r="M82">
        <v>21</v>
      </c>
      <c r="N82">
        <v>21</v>
      </c>
      <c r="O82">
        <v>10</v>
      </c>
      <c r="P82">
        <v>16</v>
      </c>
    </row>
  </sheetData>
  <mergeCells count="1">
    <mergeCell ref="A2:E2"/>
  </mergeCells>
  <conditionalFormatting sqref="H9:H40">
    <cfRule type="cellIs" dxfId="19" priority="2" operator="greaterThan">
      <formula>1000</formula>
    </cfRule>
  </conditionalFormatting>
  <conditionalFormatting sqref="K9:K40">
    <cfRule type="cellIs" dxfId="1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95" zoomScaleNormal="95" workbookViewId="0">
      <selection activeCell="N7" sqref="N7:O38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90" t="s">
        <v>200</v>
      </c>
      <c r="O2" s="90"/>
    </row>
    <row r="3" spans="1:49" ht="13.15" x14ac:dyDescent="0.4">
      <c r="A3" t="str">
        <f>'6 - B1'!$A$3</f>
        <v>Serial #</v>
      </c>
      <c r="B3" s="88" t="str">
        <f>'6 - B1'!$B$3</f>
        <v>11171-00009</v>
      </c>
    </row>
    <row r="4" spans="1:49" ht="19.149999999999999" customHeight="1" x14ac:dyDescent="1.05">
      <c r="A4" s="8" t="str">
        <f>'6 - B1'!$A$4</f>
        <v>Date</v>
      </c>
      <c r="B4" s="89">
        <f>'6 - B1'!$B$4</f>
        <v>45820</v>
      </c>
      <c r="O4" s="90"/>
    </row>
    <row r="5" spans="1:49" ht="13.15" x14ac:dyDescent="0.4">
      <c r="A5" s="8" t="str">
        <f>'6 - B1'!$A$5</f>
        <v>RM</v>
      </c>
      <c r="B5" s="105" t="str">
        <f>'6 - B1'!$B$5</f>
        <v>34D</v>
      </c>
      <c r="O5" s="32"/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7" t="s">
        <v>41</v>
      </c>
      <c r="C7" s="77" t="s">
        <v>42</v>
      </c>
      <c r="D7" s="77" t="s">
        <v>44</v>
      </c>
      <c r="E7" s="77" t="s">
        <v>45</v>
      </c>
      <c r="F7" s="77" t="s">
        <v>47</v>
      </c>
      <c r="G7" s="77" t="s">
        <v>151</v>
      </c>
      <c r="H7" s="77" t="s">
        <v>152</v>
      </c>
      <c r="I7" s="77" t="s">
        <v>153</v>
      </c>
      <c r="J7" s="77" t="s">
        <v>154</v>
      </c>
      <c r="K7" s="77" t="s">
        <v>155</v>
      </c>
      <c r="L7" s="77" t="s">
        <v>156</v>
      </c>
      <c r="O7" s="77"/>
    </row>
    <row r="8" spans="1:49" ht="13.15" x14ac:dyDescent="0.4">
      <c r="A8" s="80" t="s">
        <v>157</v>
      </c>
      <c r="B8" s="49">
        <f>G52</f>
        <v>4.4751469999999998</v>
      </c>
      <c r="C8" s="49">
        <f>H52</f>
        <v>4.7339909999999996</v>
      </c>
      <c r="D8" s="49">
        <f>I52</f>
        <v>4.7205320000000004</v>
      </c>
      <c r="E8" s="49">
        <f>J52</f>
        <v>4.7539819999999997</v>
      </c>
      <c r="F8" s="49">
        <f>K52</f>
        <v>4.7760610000000003</v>
      </c>
      <c r="G8" s="93">
        <f>AVERAGE(B$8:F$8)*5</f>
        <v>23.459713000000001</v>
      </c>
      <c r="I8" s="94"/>
      <c r="K8" s="94"/>
    </row>
    <row r="9" spans="1:49" ht="13.15" x14ac:dyDescent="0.4">
      <c r="A9" s="80" t="s">
        <v>158</v>
      </c>
      <c r="B9" s="45">
        <f t="shared" ref="B9:B38" si="0">G53/B$8</f>
        <v>14502.093450784969</v>
      </c>
      <c r="C9" s="45">
        <f t="shared" ref="C9:C38" si="1">H53/C$8</f>
        <v>14559.385516364524</v>
      </c>
      <c r="D9" s="45">
        <f t="shared" ref="D9:D38" si="2">I53/D$8</f>
        <v>14539.886606001186</v>
      </c>
      <c r="E9" s="45">
        <f t="shared" ref="E9:E38" si="3">J53/E$8</f>
        <v>14410.025111580146</v>
      </c>
      <c r="F9" s="45">
        <f t="shared" ref="F9:F38" si="4">K53/F$8</f>
        <v>14278.083969195535</v>
      </c>
      <c r="G9" s="95">
        <f t="shared" ref="G9:G38" si="5">AVERAGE(B9:F9)</f>
        <v>14457.894930785271</v>
      </c>
      <c r="H9" s="96">
        <f t="shared" ref="H9:H38" si="6">G9*G$8</f>
        <v>339178.06566037732</v>
      </c>
      <c r="I9" s="94">
        <f t="shared" ref="I9:I38" si="7">STDEVP(B9:F9)/AVERAGE(B9:F9)</f>
        <v>7.1613065599438188E-3</v>
      </c>
      <c r="J9" s="94">
        <f t="shared" ref="J9:J38" si="8">IF(H9&gt;$A$43, $C$43, IF(H9&gt;$A$44, $C$44, IF(H9&gt;$A$45,$C$45,IF(H9&gt;$A$46,$C$46, IF(H9&gt;$A$47,$C$47,IF(H9&gt;$A$48,$C$48,$C$49))))))/100</f>
        <v>0.11</v>
      </c>
      <c r="K9" s="94">
        <f t="shared" ref="K9:K38" si="9">(MAX(B9:F9)-MIN(B9:F9))/G9</f>
        <v>1.9456604748870586E-2</v>
      </c>
      <c r="L9">
        <f t="shared" ref="L9:L38" si="10">COUNTA(B9:F9)</f>
        <v>5</v>
      </c>
      <c r="O9" s="45"/>
    </row>
    <row r="10" spans="1:49" ht="13.15" x14ac:dyDescent="0.4">
      <c r="A10" s="80" t="s">
        <v>159</v>
      </c>
      <c r="B10" s="45">
        <f t="shared" si="0"/>
        <v>12570.983701764435</v>
      </c>
      <c r="C10" s="45">
        <f t="shared" si="1"/>
        <v>12651.270355182342</v>
      </c>
      <c r="D10" s="45">
        <f t="shared" si="2"/>
        <v>12567.651273203952</v>
      </c>
      <c r="E10" s="45">
        <f t="shared" si="3"/>
        <v>12472.701831853803</v>
      </c>
      <c r="F10" s="45">
        <f t="shared" si="4"/>
        <v>12367.094976383258</v>
      </c>
      <c r="G10" s="95">
        <f t="shared" si="5"/>
        <v>12525.940427677557</v>
      </c>
      <c r="H10" s="96">
        <f t="shared" si="6"/>
        <v>293854.96748841275</v>
      </c>
      <c r="I10" s="94">
        <f t="shared" si="7"/>
        <v>7.7847684104743152E-3</v>
      </c>
      <c r="J10" s="94">
        <f t="shared" si="8"/>
        <v>0.11</v>
      </c>
      <c r="K10" s="94">
        <f t="shared" si="9"/>
        <v>2.2686949569963182E-2</v>
      </c>
      <c r="L10">
        <f t="shared" si="10"/>
        <v>5</v>
      </c>
      <c r="O10" s="45"/>
    </row>
    <row r="11" spans="1:49" ht="13.15" x14ac:dyDescent="0.4">
      <c r="A11" s="80" t="s">
        <v>160</v>
      </c>
      <c r="B11" s="45">
        <f t="shared" si="0"/>
        <v>10856.179696443493</v>
      </c>
      <c r="C11" s="45">
        <f t="shared" si="1"/>
        <v>10911.300845312127</v>
      </c>
      <c r="D11" s="45">
        <f t="shared" si="2"/>
        <v>10867.41918071946</v>
      </c>
      <c r="E11" s="45">
        <f t="shared" si="3"/>
        <v>10744.676778330251</v>
      </c>
      <c r="F11" s="45">
        <f t="shared" si="4"/>
        <v>10661.505370220355</v>
      </c>
      <c r="G11" s="95">
        <f t="shared" si="5"/>
        <v>10808.216374205138</v>
      </c>
      <c r="H11" s="96">
        <f t="shared" si="6"/>
        <v>253557.65418075316</v>
      </c>
      <c r="I11" s="94">
        <f t="shared" si="7"/>
        <v>8.4791196028538973E-3</v>
      </c>
      <c r="J11" s="94">
        <f t="shared" si="8"/>
        <v>0.11</v>
      </c>
      <c r="K11" s="94">
        <f t="shared" si="9"/>
        <v>2.3111627898931938E-2</v>
      </c>
      <c r="L11">
        <f t="shared" si="10"/>
        <v>5</v>
      </c>
      <c r="O11" s="45"/>
    </row>
    <row r="12" spans="1:49" ht="13.15" x14ac:dyDescent="0.4">
      <c r="A12" s="80" t="s">
        <v>161</v>
      </c>
      <c r="B12" s="45">
        <f t="shared" si="0"/>
        <v>9464.9404812847497</v>
      </c>
      <c r="C12" s="45">
        <f t="shared" si="1"/>
        <v>9504.4540642345964</v>
      </c>
      <c r="D12" s="45">
        <f t="shared" si="2"/>
        <v>9477.957145508175</v>
      </c>
      <c r="E12" s="45">
        <f t="shared" si="3"/>
        <v>9379.2950835741503</v>
      </c>
      <c r="F12" s="45">
        <f t="shared" si="4"/>
        <v>9285.8947990823399</v>
      </c>
      <c r="G12" s="95">
        <f t="shared" si="5"/>
        <v>9422.5083147368023</v>
      </c>
      <c r="H12" s="96">
        <f t="shared" si="6"/>
        <v>221049.34080383906</v>
      </c>
      <c r="I12" s="94">
        <f t="shared" si="7"/>
        <v>8.5063190608294283E-3</v>
      </c>
      <c r="J12" s="94">
        <f t="shared" si="8"/>
        <v>0.11</v>
      </c>
      <c r="K12" s="94">
        <f t="shared" si="9"/>
        <v>2.3195444127168334E-2</v>
      </c>
      <c r="L12">
        <f t="shared" si="10"/>
        <v>5</v>
      </c>
      <c r="O12" s="45"/>
    </row>
    <row r="13" spans="1:49" ht="13.15" x14ac:dyDescent="0.4">
      <c r="A13" s="80" t="s">
        <v>162</v>
      </c>
      <c r="B13" s="45">
        <f t="shared" si="0"/>
        <v>8066.3272066817026</v>
      </c>
      <c r="C13" s="45">
        <f t="shared" si="1"/>
        <v>8095.7061388583124</v>
      </c>
      <c r="D13" s="45">
        <f t="shared" si="2"/>
        <v>8100.3581799678504</v>
      </c>
      <c r="E13" s="45">
        <f t="shared" si="3"/>
        <v>8025.2722875265417</v>
      </c>
      <c r="F13" s="45">
        <f t="shared" si="4"/>
        <v>7902.9560133340001</v>
      </c>
      <c r="G13" s="95">
        <f t="shared" si="5"/>
        <v>8038.1239652736813</v>
      </c>
      <c r="H13" s="96">
        <f t="shared" si="6"/>
        <v>188572.08128374253</v>
      </c>
      <c r="I13" s="94">
        <f t="shared" si="7"/>
        <v>9.0432554113133445E-3</v>
      </c>
      <c r="J13" s="94">
        <f t="shared" si="8"/>
        <v>0.11</v>
      </c>
      <c r="K13" s="94">
        <f t="shared" si="9"/>
        <v>2.4558238649549022E-2</v>
      </c>
      <c r="L13">
        <f t="shared" si="10"/>
        <v>5</v>
      </c>
      <c r="O13" s="45"/>
    </row>
    <row r="14" spans="1:49" ht="13.15" x14ac:dyDescent="0.4">
      <c r="A14" s="80" t="s">
        <v>163</v>
      </c>
      <c r="B14" s="45">
        <f t="shared" si="0"/>
        <v>6870.8357513172195</v>
      </c>
      <c r="C14" s="45">
        <f t="shared" si="1"/>
        <v>6927.9810629128788</v>
      </c>
      <c r="D14" s="45">
        <f t="shared" si="2"/>
        <v>6964.8929400330298</v>
      </c>
      <c r="E14" s="45">
        <f t="shared" si="3"/>
        <v>6884.9650671794725</v>
      </c>
      <c r="F14" s="45">
        <f t="shared" si="4"/>
        <v>6773.1546979822906</v>
      </c>
      <c r="G14" s="95">
        <f t="shared" si="5"/>
        <v>6884.3659038849783</v>
      </c>
      <c r="H14" s="96">
        <f t="shared" si="6"/>
        <v>161505.24829212719</v>
      </c>
      <c r="I14" s="94">
        <f t="shared" si="7"/>
        <v>9.399855127696222E-3</v>
      </c>
      <c r="J14" s="94">
        <f t="shared" si="8"/>
        <v>0.11</v>
      </c>
      <c r="K14" s="94">
        <f t="shared" si="9"/>
        <v>2.785125670652365E-2</v>
      </c>
      <c r="L14">
        <f t="shared" si="10"/>
        <v>5</v>
      </c>
      <c r="O14" s="45"/>
    </row>
    <row r="15" spans="1:49" ht="13.15" x14ac:dyDescent="0.4">
      <c r="A15" s="80" t="s">
        <v>164</v>
      </c>
      <c r="B15" s="45">
        <f t="shared" si="0"/>
        <v>5810.7588421117789</v>
      </c>
      <c r="C15" s="45">
        <f t="shared" si="1"/>
        <v>5872.845977104731</v>
      </c>
      <c r="D15" s="45">
        <f t="shared" si="2"/>
        <v>5891.9206564005917</v>
      </c>
      <c r="E15" s="45">
        <f t="shared" si="3"/>
        <v>5813.0215890594454</v>
      </c>
      <c r="F15" s="45">
        <f t="shared" si="4"/>
        <v>5742.5983462104023</v>
      </c>
      <c r="G15" s="95">
        <f t="shared" si="5"/>
        <v>5826.2290821773895</v>
      </c>
      <c r="H15" s="96">
        <f t="shared" si="6"/>
        <v>136681.66214013498</v>
      </c>
      <c r="I15" s="94">
        <f t="shared" si="7"/>
        <v>9.0485365428909312E-3</v>
      </c>
      <c r="J15" s="94">
        <f t="shared" si="8"/>
        <v>0.11</v>
      </c>
      <c r="K15" s="94">
        <f t="shared" si="9"/>
        <v>2.5629323544275131E-2</v>
      </c>
      <c r="L15">
        <f t="shared" si="10"/>
        <v>5</v>
      </c>
      <c r="O15" s="45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spans="1:49" ht="13.15" x14ac:dyDescent="0.4">
      <c r="A16" s="80" t="s">
        <v>165</v>
      </c>
      <c r="B16" s="45">
        <f t="shared" si="0"/>
        <v>4868.4434276684096</v>
      </c>
      <c r="C16" s="45">
        <f t="shared" si="1"/>
        <v>4937.2717438626314</v>
      </c>
      <c r="D16" s="45">
        <f t="shared" si="2"/>
        <v>4950.9250228575929</v>
      </c>
      <c r="E16" s="45">
        <f t="shared" si="3"/>
        <v>4874.2296458000892</v>
      </c>
      <c r="F16" s="45">
        <f t="shared" si="4"/>
        <v>4801.0274575638796</v>
      </c>
      <c r="G16" s="95">
        <f t="shared" si="5"/>
        <v>4886.3794595505206</v>
      </c>
      <c r="H16" s="96">
        <f t="shared" si="6"/>
        <v>114633.05973015033</v>
      </c>
      <c r="I16" s="94">
        <f t="shared" si="7"/>
        <v>1.1024732635348049E-2</v>
      </c>
      <c r="J16" s="94">
        <f t="shared" si="8"/>
        <v>0.11</v>
      </c>
      <c r="K16" s="94">
        <f t="shared" si="9"/>
        <v>3.0676611698818381E-2</v>
      </c>
      <c r="L16">
        <f t="shared" si="10"/>
        <v>5</v>
      </c>
      <c r="O16" s="45"/>
      <c r="P16" s="8"/>
      <c r="Q16" s="8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spans="1:49" ht="13.15" x14ac:dyDescent="0.4">
      <c r="A17" s="80" t="s">
        <v>166</v>
      </c>
      <c r="B17" s="45">
        <f t="shared" si="0"/>
        <v>3994.2821989981562</v>
      </c>
      <c r="C17" s="45">
        <f t="shared" si="1"/>
        <v>4088.0939570861037</v>
      </c>
      <c r="D17" s="45">
        <f t="shared" si="2"/>
        <v>4083.0143721089062</v>
      </c>
      <c r="E17" s="45">
        <f t="shared" si="3"/>
        <v>4026.5192421847623</v>
      </c>
      <c r="F17" s="45">
        <f t="shared" si="4"/>
        <v>3979.4299109663798</v>
      </c>
      <c r="G17" s="95">
        <f t="shared" si="5"/>
        <v>4034.2679362688614</v>
      </c>
      <c r="H17" s="96">
        <f t="shared" si="6"/>
        <v>94642.767949969784</v>
      </c>
      <c r="I17" s="94">
        <f t="shared" si="7"/>
        <v>1.1051824248822232E-2</v>
      </c>
      <c r="J17" s="94">
        <f t="shared" si="8"/>
        <v>0.11</v>
      </c>
      <c r="K17" s="94">
        <f t="shared" si="9"/>
        <v>2.693525760716407E-2</v>
      </c>
      <c r="L17">
        <f t="shared" si="10"/>
        <v>5</v>
      </c>
      <c r="O17" s="45"/>
      <c r="P17" s="8"/>
      <c r="Q17" s="8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spans="1:49" ht="13.15" x14ac:dyDescent="0.4">
      <c r="A18" s="80" t="s">
        <v>167</v>
      </c>
      <c r="B18" s="45">
        <f t="shared" si="0"/>
        <v>3249.502195123423</v>
      </c>
      <c r="C18" s="45">
        <f t="shared" si="1"/>
        <v>3331.8610026930769</v>
      </c>
      <c r="D18" s="45">
        <f t="shared" si="2"/>
        <v>3341.5725176738551</v>
      </c>
      <c r="E18" s="45">
        <f t="shared" si="3"/>
        <v>3273.4663278068788</v>
      </c>
      <c r="F18" s="45">
        <f t="shared" si="4"/>
        <v>3259.1711035516505</v>
      </c>
      <c r="G18" s="95">
        <f t="shared" si="5"/>
        <v>3291.114629369777</v>
      </c>
      <c r="H18" s="96">
        <f t="shared" si="6"/>
        <v>77208.604655116345</v>
      </c>
      <c r="I18" s="94">
        <f t="shared" si="7"/>
        <v>1.1585921377314023E-2</v>
      </c>
      <c r="J18" s="94">
        <f t="shared" si="8"/>
        <v>0.11</v>
      </c>
      <c r="K18" s="94">
        <f t="shared" si="9"/>
        <v>2.797542259051089E-2</v>
      </c>
      <c r="L18">
        <f t="shared" si="10"/>
        <v>5</v>
      </c>
      <c r="O18" s="45"/>
      <c r="P18" s="8"/>
      <c r="Q18" s="8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spans="1:49" ht="13.15" x14ac:dyDescent="0.4">
      <c r="A19" s="80" t="s">
        <v>168</v>
      </c>
      <c r="B19" s="45">
        <f t="shared" si="0"/>
        <v>2605.5010036541817</v>
      </c>
      <c r="C19" s="45">
        <f t="shared" si="1"/>
        <v>2669.8403102160528</v>
      </c>
      <c r="D19" s="45">
        <f t="shared" si="2"/>
        <v>2662.1999384815099</v>
      </c>
      <c r="E19" s="45">
        <f t="shared" si="3"/>
        <v>2619.2779021881029</v>
      </c>
      <c r="F19" s="45">
        <f t="shared" si="4"/>
        <v>2596.9098803386305</v>
      </c>
      <c r="G19" s="95">
        <f t="shared" si="5"/>
        <v>2630.7458069756954</v>
      </c>
      <c r="H19" s="96">
        <f t="shared" si="6"/>
        <v>61716.541607603212</v>
      </c>
      <c r="I19" s="94">
        <f t="shared" si="7"/>
        <v>1.1316388122062043E-2</v>
      </c>
      <c r="J19" s="94">
        <f t="shared" si="8"/>
        <v>0.11</v>
      </c>
      <c r="K19" s="94">
        <f t="shared" si="9"/>
        <v>2.772234006190932E-2</v>
      </c>
      <c r="L19">
        <f t="shared" si="10"/>
        <v>5</v>
      </c>
      <c r="O19" s="45"/>
      <c r="P19" s="8"/>
      <c r="Q19" s="8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spans="1:49" ht="13.15" x14ac:dyDescent="0.4">
      <c r="A20" s="80" t="s">
        <v>169</v>
      </c>
      <c r="B20" s="45">
        <f t="shared" si="0"/>
        <v>2036.581144708766</v>
      </c>
      <c r="C20" s="45">
        <f t="shared" si="1"/>
        <v>2099.9194971008606</v>
      </c>
      <c r="D20" s="45">
        <f t="shared" si="2"/>
        <v>2093.4081158649064</v>
      </c>
      <c r="E20" s="45">
        <f t="shared" si="3"/>
        <v>2042.2879177918639</v>
      </c>
      <c r="F20" s="45">
        <f t="shared" si="4"/>
        <v>2031.1717124215959</v>
      </c>
      <c r="G20" s="95">
        <f t="shared" si="5"/>
        <v>2060.6736775775985</v>
      </c>
      <c r="H20" s="96">
        <f t="shared" si="6"/>
        <v>48342.813062624999</v>
      </c>
      <c r="I20" s="94">
        <f t="shared" si="7"/>
        <v>1.4396708269136589E-2</v>
      </c>
      <c r="J20" s="94">
        <f t="shared" si="8"/>
        <v>0.11</v>
      </c>
      <c r="K20" s="94">
        <f t="shared" si="9"/>
        <v>3.336180076802861E-2</v>
      </c>
      <c r="L20">
        <f t="shared" si="10"/>
        <v>5</v>
      </c>
      <c r="O20" s="45"/>
      <c r="P20" s="8"/>
      <c r="Q20" s="8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spans="1:49" ht="13.15" x14ac:dyDescent="0.4">
      <c r="A21" s="80" t="s">
        <v>170</v>
      </c>
      <c r="B21" s="45">
        <f t="shared" si="0"/>
        <v>1578.0487210811177</v>
      </c>
      <c r="C21" s="45">
        <f t="shared" si="1"/>
        <v>1625.2671371787569</v>
      </c>
      <c r="D21" s="45">
        <f t="shared" si="2"/>
        <v>1627.3589502200175</v>
      </c>
      <c r="E21" s="45">
        <f t="shared" si="3"/>
        <v>1562.0589223939007</v>
      </c>
      <c r="F21" s="45">
        <f t="shared" si="4"/>
        <v>1567.1910388079214</v>
      </c>
      <c r="G21" s="95">
        <f t="shared" si="5"/>
        <v>1591.9849539363427</v>
      </c>
      <c r="H21" s="96">
        <f t="shared" si="6"/>
        <v>37347.510119664817</v>
      </c>
      <c r="I21" s="94">
        <f t="shared" si="7"/>
        <v>1.7907242298412555E-2</v>
      </c>
      <c r="J21" s="94">
        <f t="shared" si="8"/>
        <v>0.11</v>
      </c>
      <c r="K21" s="94">
        <f t="shared" si="9"/>
        <v>4.101799308131393E-2</v>
      </c>
      <c r="L21">
        <f t="shared" si="10"/>
        <v>5</v>
      </c>
      <c r="O21" s="45"/>
      <c r="R21" s="77"/>
      <c r="S21" s="77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spans="1:49" ht="13.15" x14ac:dyDescent="0.4">
      <c r="A22" s="80" t="s">
        <v>171</v>
      </c>
      <c r="B22" s="45">
        <f t="shared" si="0"/>
        <v>1203.5358838491786</v>
      </c>
      <c r="C22" s="45">
        <f t="shared" si="1"/>
        <v>1248.4180895147456</v>
      </c>
      <c r="D22" s="45">
        <f t="shared" si="2"/>
        <v>1251.7656908162046</v>
      </c>
      <c r="E22" s="45">
        <f t="shared" si="3"/>
        <v>1186.3738651092915</v>
      </c>
      <c r="F22" s="45">
        <f t="shared" si="4"/>
        <v>1193.033338560793</v>
      </c>
      <c r="G22" s="95">
        <f t="shared" si="5"/>
        <v>1216.6253735700425</v>
      </c>
      <c r="H22" s="96">
        <f t="shared" si="6"/>
        <v>28541.682092470983</v>
      </c>
      <c r="I22" s="94">
        <f t="shared" si="7"/>
        <v>2.2922388166784196E-2</v>
      </c>
      <c r="J22" s="94">
        <f t="shared" si="8"/>
        <v>0.11</v>
      </c>
      <c r="K22" s="94">
        <f t="shared" si="9"/>
        <v>5.3748530260410862E-2</v>
      </c>
      <c r="L22">
        <f t="shared" si="10"/>
        <v>5</v>
      </c>
      <c r="O22" s="45"/>
      <c r="P22" s="80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80" t="s">
        <v>172</v>
      </c>
      <c r="B23" s="45">
        <f t="shared" si="0"/>
        <v>925.55618843358673</v>
      </c>
      <c r="C23" s="45">
        <f t="shared" si="1"/>
        <v>938.74280707335527</v>
      </c>
      <c r="D23" s="45">
        <f t="shared" si="2"/>
        <v>961.33232440750317</v>
      </c>
      <c r="E23" s="45">
        <f t="shared" si="3"/>
        <v>898.61509782746339</v>
      </c>
      <c r="F23" s="45">
        <f t="shared" si="4"/>
        <v>886.50459028894306</v>
      </c>
      <c r="G23" s="95">
        <f t="shared" si="5"/>
        <v>922.15020160617041</v>
      </c>
      <c r="H23" s="96">
        <f t="shared" si="6"/>
        <v>21633.379072572898</v>
      </c>
      <c r="I23" s="94">
        <f t="shared" si="7"/>
        <v>2.9286080562692839E-2</v>
      </c>
      <c r="J23" s="94">
        <f t="shared" si="8"/>
        <v>0.11</v>
      </c>
      <c r="K23" s="94">
        <f t="shared" si="9"/>
        <v>8.1144843853233076E-2</v>
      </c>
      <c r="L23">
        <f t="shared" si="10"/>
        <v>5</v>
      </c>
      <c r="O23" s="45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</row>
    <row r="24" spans="1:49" ht="13.15" x14ac:dyDescent="0.4">
      <c r="A24" s="80" t="s">
        <v>173</v>
      </c>
      <c r="B24" s="45">
        <f t="shared" si="0"/>
        <v>711.26155185516814</v>
      </c>
      <c r="C24" s="45">
        <f t="shared" si="1"/>
        <v>713.14035028794945</v>
      </c>
      <c r="D24" s="45">
        <f t="shared" si="2"/>
        <v>727.67221999554283</v>
      </c>
      <c r="E24" s="45">
        <f t="shared" si="3"/>
        <v>693.94457109850237</v>
      </c>
      <c r="F24" s="45">
        <f t="shared" si="4"/>
        <v>669.79881538363929</v>
      </c>
      <c r="G24" s="95">
        <f t="shared" si="5"/>
        <v>703.16350172416037</v>
      </c>
      <c r="H24" s="96">
        <f t="shared" si="6"/>
        <v>16496.013942523809</v>
      </c>
      <c r="I24" s="94">
        <f t="shared" si="7"/>
        <v>2.8185624980533716E-2</v>
      </c>
      <c r="J24" s="94">
        <f t="shared" si="8"/>
        <v>0.11</v>
      </c>
      <c r="K24" s="94">
        <f t="shared" si="9"/>
        <v>8.2304335293281961E-2</v>
      </c>
      <c r="L24">
        <f t="shared" si="10"/>
        <v>5</v>
      </c>
      <c r="O24" s="45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ht="13.15" x14ac:dyDescent="0.4">
      <c r="A25" s="80" t="s">
        <v>174</v>
      </c>
      <c r="B25" s="45">
        <f t="shared" si="0"/>
        <v>553.72482736321285</v>
      </c>
      <c r="C25" s="45">
        <f t="shared" si="1"/>
        <v>542.88231642180983</v>
      </c>
      <c r="D25" s="45">
        <f t="shared" si="2"/>
        <v>558.19979612467398</v>
      </c>
      <c r="E25" s="45">
        <f t="shared" si="3"/>
        <v>522.2989906146048</v>
      </c>
      <c r="F25" s="45">
        <f t="shared" si="4"/>
        <v>508.78747151680011</v>
      </c>
      <c r="G25" s="95">
        <f t="shared" si="5"/>
        <v>537.17868040822032</v>
      </c>
      <c r="H25" s="96">
        <f t="shared" si="6"/>
        <v>12602.057672095572</v>
      </c>
      <c r="I25" s="94">
        <f t="shared" si="7"/>
        <v>3.5081333553290329E-2</v>
      </c>
      <c r="J25" s="94">
        <f t="shared" si="8"/>
        <v>0.11</v>
      </c>
      <c r="K25" s="94">
        <f t="shared" si="9"/>
        <v>9.1984895175519193E-2</v>
      </c>
      <c r="L25">
        <f t="shared" si="10"/>
        <v>5</v>
      </c>
      <c r="O25" s="45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</row>
    <row r="26" spans="1:49" ht="13.15" x14ac:dyDescent="0.4">
      <c r="A26" s="80" t="s">
        <v>175</v>
      </c>
      <c r="B26" s="45">
        <f t="shared" si="0"/>
        <v>428.36581681004003</v>
      </c>
      <c r="C26" s="45">
        <f t="shared" si="1"/>
        <v>410.64716853073867</v>
      </c>
      <c r="D26" s="45">
        <f t="shared" si="2"/>
        <v>430.24811610216813</v>
      </c>
      <c r="E26" s="45">
        <f t="shared" si="3"/>
        <v>403.030554175426</v>
      </c>
      <c r="F26" s="45">
        <f t="shared" si="4"/>
        <v>382.74218021922246</v>
      </c>
      <c r="G26" s="95">
        <f t="shared" si="5"/>
        <v>411.00676716751906</v>
      </c>
      <c r="H26" s="96">
        <f t="shared" si="6"/>
        <v>9642.10079880782</v>
      </c>
      <c r="I26" s="94">
        <f t="shared" si="7"/>
        <v>4.2619400482489168E-2</v>
      </c>
      <c r="J26" s="94">
        <f t="shared" si="8"/>
        <v>0.113</v>
      </c>
      <c r="K26" s="94">
        <f t="shared" si="9"/>
        <v>0.1155843155827726</v>
      </c>
      <c r="L26">
        <f t="shared" si="10"/>
        <v>5</v>
      </c>
      <c r="O26" s="45"/>
    </row>
    <row r="27" spans="1:49" ht="13.15" x14ac:dyDescent="0.4">
      <c r="A27" s="80" t="s">
        <v>176</v>
      </c>
      <c r="B27" s="45">
        <f t="shared" si="0"/>
        <v>328.03391709814224</v>
      </c>
      <c r="C27" s="45">
        <f t="shared" si="1"/>
        <v>314.3225240605654</v>
      </c>
      <c r="D27" s="45">
        <f t="shared" si="2"/>
        <v>332.80147237641859</v>
      </c>
      <c r="E27" s="45">
        <f t="shared" si="3"/>
        <v>313.84216431614595</v>
      </c>
      <c r="F27" s="45">
        <f t="shared" si="4"/>
        <v>295.01298245562606</v>
      </c>
      <c r="G27" s="95">
        <f t="shared" si="5"/>
        <v>316.80261206137965</v>
      </c>
      <c r="H27" s="96">
        <f t="shared" si="6"/>
        <v>7432.098356610305</v>
      </c>
      <c r="I27" s="94">
        <f t="shared" si="7"/>
        <v>4.1680878681547795E-2</v>
      </c>
      <c r="J27" s="94">
        <f t="shared" si="8"/>
        <v>0.113</v>
      </c>
      <c r="K27" s="94">
        <f t="shared" si="9"/>
        <v>0.11928086600962466</v>
      </c>
      <c r="L27">
        <f t="shared" si="10"/>
        <v>5</v>
      </c>
      <c r="O27" s="45"/>
    </row>
    <row r="28" spans="1:49" ht="13.15" x14ac:dyDescent="0.4">
      <c r="A28" s="80" t="s">
        <v>177</v>
      </c>
      <c r="B28" s="45">
        <f t="shared" si="0"/>
        <v>253.17604092111389</v>
      </c>
      <c r="C28" s="45">
        <f t="shared" si="1"/>
        <v>239.75541989834795</v>
      </c>
      <c r="D28" s="45">
        <f t="shared" si="2"/>
        <v>251.66654944824015</v>
      </c>
      <c r="E28" s="45">
        <f t="shared" si="3"/>
        <v>242.32317244785531</v>
      </c>
      <c r="F28" s="45">
        <f t="shared" si="4"/>
        <v>222.56834659356318</v>
      </c>
      <c r="G28" s="95">
        <f t="shared" si="5"/>
        <v>241.89790586182409</v>
      </c>
      <c r="H28" s="96">
        <f t="shared" si="6"/>
        <v>5674.8554468194106</v>
      </c>
      <c r="I28" s="94">
        <f t="shared" si="7"/>
        <v>4.5324122642956571E-2</v>
      </c>
      <c r="J28" s="94">
        <f t="shared" si="8"/>
        <v>0.113</v>
      </c>
      <c r="K28" s="94">
        <f t="shared" si="9"/>
        <v>0.12653145639480781</v>
      </c>
      <c r="L28">
        <f t="shared" si="10"/>
        <v>5</v>
      </c>
      <c r="O28" s="45"/>
    </row>
    <row r="29" spans="1:49" ht="13.15" x14ac:dyDescent="0.4">
      <c r="A29" s="80" t="s">
        <v>178</v>
      </c>
      <c r="B29" s="45">
        <f t="shared" si="0"/>
        <v>195.3008471006651</v>
      </c>
      <c r="C29" s="45">
        <f t="shared" si="1"/>
        <v>183.3548057019965</v>
      </c>
      <c r="D29" s="45">
        <f t="shared" si="2"/>
        <v>188.96175261601869</v>
      </c>
      <c r="E29" s="45">
        <f t="shared" si="3"/>
        <v>189.73567842705339</v>
      </c>
      <c r="F29" s="45">
        <f t="shared" si="4"/>
        <v>161.84885410801914</v>
      </c>
      <c r="G29" s="95">
        <f t="shared" si="5"/>
        <v>183.84038759075057</v>
      </c>
      <c r="H29" s="96">
        <f t="shared" si="6"/>
        <v>4312.8427306877702</v>
      </c>
      <c r="I29" s="94">
        <f t="shared" si="7"/>
        <v>6.3256898864058622E-2</v>
      </c>
      <c r="J29" s="94">
        <f t="shared" si="8"/>
        <v>0.11900000000000001</v>
      </c>
      <c r="K29" s="94">
        <f t="shared" si="9"/>
        <v>0.18196215440490621</v>
      </c>
      <c r="L29">
        <f t="shared" si="10"/>
        <v>5</v>
      </c>
      <c r="O29" s="45"/>
    </row>
    <row r="30" spans="1:49" ht="13.15" x14ac:dyDescent="0.4">
      <c r="A30" s="80" t="s">
        <v>179</v>
      </c>
      <c r="B30" s="45">
        <f t="shared" si="0"/>
        <v>148.37501427327416</v>
      </c>
      <c r="C30" s="45">
        <f t="shared" si="1"/>
        <v>138.99477206441671</v>
      </c>
      <c r="D30" s="45">
        <f t="shared" si="2"/>
        <v>143.41603870072271</v>
      </c>
      <c r="E30" s="45">
        <f t="shared" si="3"/>
        <v>140.93448397574917</v>
      </c>
      <c r="F30" s="45">
        <f t="shared" si="4"/>
        <v>122.69525033285797</v>
      </c>
      <c r="G30" s="95">
        <f t="shared" si="5"/>
        <v>138.88311186940413</v>
      </c>
      <c r="H30" s="96">
        <f t="shared" si="6"/>
        <v>3258.1579450031145</v>
      </c>
      <c r="I30" s="94">
        <f t="shared" si="7"/>
        <v>6.2515112778032969E-2</v>
      </c>
      <c r="J30" s="94">
        <f t="shared" si="8"/>
        <v>0.11900000000000001</v>
      </c>
      <c r="K30" s="94">
        <f t="shared" si="9"/>
        <v>0.18490199128432283</v>
      </c>
      <c r="L30">
        <f t="shared" si="10"/>
        <v>5</v>
      </c>
      <c r="O30" s="45"/>
    </row>
    <row r="31" spans="1:49" ht="13.15" x14ac:dyDescent="0.4">
      <c r="A31" s="80" t="s">
        <v>180</v>
      </c>
      <c r="B31" s="45">
        <f t="shared" si="0"/>
        <v>110.83434801136141</v>
      </c>
      <c r="C31" s="45">
        <f t="shared" si="1"/>
        <v>107.09779549644266</v>
      </c>
      <c r="D31" s="45">
        <f t="shared" si="2"/>
        <v>108.88603233703319</v>
      </c>
      <c r="E31" s="45">
        <f t="shared" si="3"/>
        <v>102.86113830468858</v>
      </c>
      <c r="F31" s="45">
        <f t="shared" si="4"/>
        <v>90.660483607726107</v>
      </c>
      <c r="G31" s="95">
        <f t="shared" si="5"/>
        <v>104.06795955145037</v>
      </c>
      <c r="H31" s="96">
        <f t="shared" si="6"/>
        <v>2441.4044635726345</v>
      </c>
      <c r="I31" s="94">
        <f t="shared" si="7"/>
        <v>6.9211522190839259E-2</v>
      </c>
      <c r="J31" s="94">
        <f t="shared" si="8"/>
        <v>0.11900000000000001</v>
      </c>
      <c r="K31" s="94">
        <f t="shared" si="9"/>
        <v>0.19385279091266808</v>
      </c>
      <c r="L31">
        <f t="shared" si="10"/>
        <v>5</v>
      </c>
      <c r="O31" s="45"/>
    </row>
    <row r="32" spans="1:49" ht="13.15" x14ac:dyDescent="0.4">
      <c r="A32" s="80" t="s">
        <v>181</v>
      </c>
      <c r="B32" s="45">
        <f t="shared" si="0"/>
        <v>84.24304274250656</v>
      </c>
      <c r="C32" s="45">
        <f t="shared" si="1"/>
        <v>77.735677993473161</v>
      </c>
      <c r="D32" s="45">
        <f t="shared" si="2"/>
        <v>78.592836570115395</v>
      </c>
      <c r="E32" s="45">
        <f t="shared" si="3"/>
        <v>77.198441222537241</v>
      </c>
      <c r="F32" s="45">
        <f t="shared" si="4"/>
        <v>65.744553932623546</v>
      </c>
      <c r="G32" s="95">
        <f t="shared" si="5"/>
        <v>76.702910492251178</v>
      </c>
      <c r="H32" s="96">
        <f t="shared" si="6"/>
        <v>1799.4282664129014</v>
      </c>
      <c r="I32" s="94">
        <f t="shared" si="7"/>
        <v>7.8619041797561823E-2</v>
      </c>
      <c r="J32" s="94">
        <f t="shared" si="8"/>
        <v>0.13400000000000001</v>
      </c>
      <c r="K32" s="94">
        <f t="shared" si="9"/>
        <v>0.24117062431094843</v>
      </c>
      <c r="L32">
        <f t="shared" si="10"/>
        <v>5</v>
      </c>
      <c r="O32" s="45"/>
    </row>
    <row r="33" spans="1:15" ht="13.15" x14ac:dyDescent="0.4">
      <c r="A33" s="80" t="s">
        <v>182</v>
      </c>
      <c r="B33" s="45">
        <f t="shared" si="0"/>
        <v>60.556669982014</v>
      </c>
      <c r="C33" s="45">
        <f t="shared" si="1"/>
        <v>56.189375940934411</v>
      </c>
      <c r="D33" s="45">
        <f t="shared" si="2"/>
        <v>58.467986235449729</v>
      </c>
      <c r="E33" s="45">
        <f t="shared" si="3"/>
        <v>54.690993781634013</v>
      </c>
      <c r="F33" s="45">
        <f t="shared" si="4"/>
        <v>42.713022300175808</v>
      </c>
      <c r="G33" s="95">
        <f t="shared" si="5"/>
        <v>54.523609648041585</v>
      </c>
      <c r="H33" s="96">
        <f t="shared" si="6"/>
        <v>1279.1082340670866</v>
      </c>
      <c r="I33" s="94">
        <f t="shared" si="7"/>
        <v>0.11431663954608912</v>
      </c>
      <c r="J33" s="94">
        <f t="shared" si="8"/>
        <v>0.13400000000000001</v>
      </c>
      <c r="K33" s="94">
        <f t="shared" si="9"/>
        <v>0.32726460696607806</v>
      </c>
      <c r="L33">
        <f t="shared" si="10"/>
        <v>5</v>
      </c>
      <c r="O33" s="45"/>
    </row>
    <row r="34" spans="1:15" ht="13.15" x14ac:dyDescent="0.4">
      <c r="A34" s="80" t="s">
        <v>183</v>
      </c>
      <c r="B34" s="45">
        <f t="shared" si="0"/>
        <v>45.808551093405427</v>
      </c>
      <c r="C34" s="45">
        <f t="shared" si="1"/>
        <v>40.135268529238864</v>
      </c>
      <c r="D34" s="45">
        <f t="shared" si="2"/>
        <v>43.215468087071535</v>
      </c>
      <c r="E34" s="45">
        <f t="shared" si="3"/>
        <v>39.335445527559848</v>
      </c>
      <c r="F34" s="45">
        <f t="shared" si="4"/>
        <v>29.940991122182062</v>
      </c>
      <c r="G34" s="95">
        <f t="shared" si="5"/>
        <v>39.687144871891547</v>
      </c>
      <c r="H34" s="96">
        <f t="shared" si="6"/>
        <v>931.04902848399752</v>
      </c>
      <c r="I34" s="94">
        <f t="shared" si="7"/>
        <v>0.13579924189810719</v>
      </c>
      <c r="J34" s="94">
        <f t="shared" si="8"/>
        <v>0.156</v>
      </c>
      <c r="K34" s="94">
        <f t="shared" si="9"/>
        <v>0.39981611230647074</v>
      </c>
      <c r="L34">
        <f t="shared" si="10"/>
        <v>5</v>
      </c>
      <c r="O34" s="45"/>
    </row>
    <row r="35" spans="1:15" ht="13.15" x14ac:dyDescent="0.4">
      <c r="A35" s="80" t="s">
        <v>184</v>
      </c>
      <c r="B35" s="45">
        <f t="shared" si="0"/>
        <v>34.188821059956247</v>
      </c>
      <c r="C35" s="45">
        <f t="shared" si="1"/>
        <v>27.460973204216064</v>
      </c>
      <c r="D35" s="45">
        <f t="shared" si="2"/>
        <v>28.810312058047693</v>
      </c>
      <c r="E35" s="45">
        <f t="shared" si="3"/>
        <v>25.241997129984927</v>
      </c>
      <c r="F35" s="45">
        <f t="shared" si="4"/>
        <v>19.053357986843132</v>
      </c>
      <c r="G35" s="95">
        <f t="shared" si="5"/>
        <v>26.951092287809615</v>
      </c>
      <c r="H35" s="96">
        <f t="shared" si="6"/>
        <v>632.26489010852697</v>
      </c>
      <c r="I35" s="94">
        <f t="shared" si="7"/>
        <v>0.18282766066845804</v>
      </c>
      <c r="J35" s="94">
        <f t="shared" si="8"/>
        <v>0.156</v>
      </c>
      <c r="K35" s="94">
        <f t="shared" si="9"/>
        <v>0.56158996865441013</v>
      </c>
      <c r="L35">
        <f t="shared" si="10"/>
        <v>5</v>
      </c>
      <c r="O35" s="45"/>
    </row>
    <row r="36" spans="1:15" ht="13.15" x14ac:dyDescent="0.4">
      <c r="A36" s="80" t="s">
        <v>185</v>
      </c>
      <c r="B36" s="45">
        <f t="shared" si="0"/>
        <v>22.122178332912863</v>
      </c>
      <c r="C36" s="45">
        <f t="shared" si="1"/>
        <v>19.645157753785337</v>
      </c>
      <c r="D36" s="45">
        <f t="shared" si="2"/>
        <v>20.124850334665666</v>
      </c>
      <c r="E36" s="45">
        <f t="shared" si="3"/>
        <v>16.407298134490205</v>
      </c>
      <c r="F36" s="45">
        <f t="shared" si="4"/>
        <v>12.562653617698768</v>
      </c>
      <c r="G36" s="95">
        <f t="shared" si="5"/>
        <v>18.172427634710566</v>
      </c>
      <c r="H36" s="96">
        <f t="shared" si="6"/>
        <v>426.3199368235787</v>
      </c>
      <c r="I36" s="94">
        <f t="shared" si="7"/>
        <v>0.18443416381114611</v>
      </c>
      <c r="J36" s="94">
        <f t="shared" si="8"/>
        <v>0.193</v>
      </c>
      <c r="K36" s="94">
        <f t="shared" si="9"/>
        <v>0.52604555139098519</v>
      </c>
      <c r="L36">
        <f t="shared" si="10"/>
        <v>5</v>
      </c>
      <c r="O36" s="45"/>
    </row>
    <row r="37" spans="1:15" ht="13.15" x14ac:dyDescent="0.4">
      <c r="A37" s="80" t="s">
        <v>186</v>
      </c>
      <c r="B37" s="45">
        <f t="shared" si="0"/>
        <v>14.301206195014377</v>
      </c>
      <c r="C37" s="45">
        <f t="shared" si="1"/>
        <v>10.350674515435285</v>
      </c>
      <c r="D37" s="45">
        <f t="shared" si="2"/>
        <v>9.9565049024135401</v>
      </c>
      <c r="E37" s="45">
        <f t="shared" si="3"/>
        <v>8.2036490672451023</v>
      </c>
      <c r="F37" s="45">
        <f t="shared" si="4"/>
        <v>7.1188370500293017</v>
      </c>
      <c r="G37" s="95">
        <f t="shared" si="5"/>
        <v>9.9861743460275214</v>
      </c>
      <c r="H37" s="96">
        <f t="shared" si="6"/>
        <v>234.27278412576834</v>
      </c>
      <c r="I37" s="94">
        <f t="shared" si="7"/>
        <v>0.24590977294409661</v>
      </c>
      <c r="J37" s="94">
        <f t="shared" si="8"/>
        <v>0.193</v>
      </c>
      <c r="K37" s="94">
        <f t="shared" si="9"/>
        <v>0.7192312988048527</v>
      </c>
      <c r="L37">
        <f t="shared" si="10"/>
        <v>5</v>
      </c>
    </row>
    <row r="38" spans="1:15" ht="13.15" x14ac:dyDescent="0.4">
      <c r="A38" s="80" t="s">
        <v>187</v>
      </c>
      <c r="B38" s="45">
        <f t="shared" si="0"/>
        <v>7.3740594443042884</v>
      </c>
      <c r="C38" s="45">
        <f t="shared" si="1"/>
        <v>4.4360033637579797</v>
      </c>
      <c r="D38" s="45">
        <f t="shared" si="2"/>
        <v>4.4486511266103053</v>
      </c>
      <c r="E38" s="45">
        <f t="shared" si="3"/>
        <v>2.1034997608320771</v>
      </c>
      <c r="F38" s="45">
        <f t="shared" si="4"/>
        <v>3.3500409647196716</v>
      </c>
      <c r="G38" s="95">
        <f t="shared" si="5"/>
        <v>4.3424509320448639</v>
      </c>
      <c r="H38" s="96">
        <f t="shared" si="6"/>
        <v>101.87265258235502</v>
      </c>
      <c r="I38" s="94">
        <f t="shared" si="7"/>
        <v>0.40162681995362798</v>
      </c>
      <c r="J38" s="94">
        <f t="shared" si="8"/>
        <v>0.27500000000000002</v>
      </c>
      <c r="K38" s="94">
        <f t="shared" si="9"/>
        <v>1.2137292432203257</v>
      </c>
      <c r="L38">
        <f t="shared" si="10"/>
        <v>5</v>
      </c>
    </row>
    <row r="40" spans="1:15" x14ac:dyDescent="0.35">
      <c r="A40" t="s">
        <v>188</v>
      </c>
    </row>
    <row r="41" spans="1:15" ht="15" x14ac:dyDescent="0.5">
      <c r="A41" s="38"/>
      <c r="B41" s="98" t="s">
        <v>189</v>
      </c>
      <c r="C41" s="38"/>
      <c r="D41" s="99" t="s">
        <v>190</v>
      </c>
      <c r="E41" s="39"/>
      <c r="F41" s="39"/>
      <c r="G41" s="39"/>
      <c r="H41" s="100"/>
    </row>
    <row r="42" spans="1:15" ht="15" x14ac:dyDescent="0.5">
      <c r="A42" s="101" t="s">
        <v>191</v>
      </c>
      <c r="B42" s="102" t="s">
        <v>192</v>
      </c>
      <c r="C42" s="101" t="s">
        <v>193</v>
      </c>
      <c r="D42" s="101" t="s">
        <v>194</v>
      </c>
      <c r="E42" s="102" t="s">
        <v>195</v>
      </c>
      <c r="F42" s="102" t="s">
        <v>196</v>
      </c>
      <c r="G42" s="102" t="s">
        <v>197</v>
      </c>
      <c r="H42" s="103" t="s">
        <v>198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4">
        <v>5.5</v>
      </c>
    </row>
    <row r="51" spans="1:16" x14ac:dyDescent="0.35">
      <c r="A51" s="106">
        <f>'6 - B1'!A51</f>
        <v>0</v>
      </c>
      <c r="B51" s="107" t="str">
        <f>'6 - B1'!B51</f>
        <v>Portion 1</v>
      </c>
      <c r="C51" s="107" t="str">
        <f>'6 - B1'!C51</f>
        <v>Portion 2</v>
      </c>
      <c r="D51" s="107" t="str">
        <f>'6 - B1'!D51</f>
        <v>Portion 3</v>
      </c>
      <c r="E51" s="107" t="str">
        <f>'6 - B1'!E51</f>
        <v>Portion 4</v>
      </c>
      <c r="F51" s="107" t="str">
        <f>'6 - B1'!F51</f>
        <v>Portion 5</v>
      </c>
      <c r="G51" s="107" t="str">
        <f>'6 - B1'!G51</f>
        <v>Portion 1</v>
      </c>
      <c r="H51" s="107" t="str">
        <f>'6 - B1'!H51</f>
        <v>Portion 2</v>
      </c>
      <c r="I51" s="107" t="str">
        <f>'6 - B1'!I51</f>
        <v>Portion 3</v>
      </c>
      <c r="J51" s="107" t="str">
        <f>'6 - B1'!J51</f>
        <v>Portion 4</v>
      </c>
      <c r="K51" s="107" t="str">
        <f>'6 - B1'!K51</f>
        <v>Portion 5</v>
      </c>
      <c r="L51" s="107" t="str">
        <f>'6 - B1'!L51</f>
        <v>Portion 1</v>
      </c>
      <c r="M51" s="107" t="str">
        <f>'6 - B1'!M51</f>
        <v>Portion 2</v>
      </c>
      <c r="N51" s="107" t="str">
        <f>'6 - B1'!N51</f>
        <v>Portion 3</v>
      </c>
      <c r="O51" s="107" t="str">
        <f>'6 - B1'!O51</f>
        <v>Portion 4</v>
      </c>
      <c r="P51" s="107" t="str">
        <f>'6 - B1'!P51</f>
        <v>Portion 5</v>
      </c>
    </row>
    <row r="52" spans="1:16" x14ac:dyDescent="0.35">
      <c r="A52" s="108" t="str">
        <f>'6 - B1'!A52</f>
        <v>NAME\mL</v>
      </c>
      <c r="B52" s="106">
        <f>'6 - B1'!B52</f>
        <v>4.4751469999999998</v>
      </c>
      <c r="C52" s="106">
        <f>'6 - B1'!C52</f>
        <v>4.7339909999999996</v>
      </c>
      <c r="D52" s="106">
        <f>'6 - B1'!D52</f>
        <v>4.7205320000000004</v>
      </c>
      <c r="E52" s="106">
        <f>'6 - B1'!E52</f>
        <v>4.7539819999999997</v>
      </c>
      <c r="F52" s="106">
        <f>'6 - B1'!F52</f>
        <v>4.7760610000000003</v>
      </c>
      <c r="G52" s="106">
        <f>'6 - B1'!G52</f>
        <v>4.4751469999999998</v>
      </c>
      <c r="H52" s="106">
        <f>'6 - B1'!H52</f>
        <v>4.7339909999999996</v>
      </c>
      <c r="I52" s="106">
        <f>'6 - B1'!I52</f>
        <v>4.7205320000000004</v>
      </c>
      <c r="J52" s="106">
        <f>'6 - B1'!J52</f>
        <v>4.7539819999999997</v>
      </c>
      <c r="K52" s="106">
        <f>'6 - B1'!K52</f>
        <v>4.7760610000000003</v>
      </c>
      <c r="L52" s="106">
        <f>'6 - B1'!L52</f>
        <v>4.4751469999999998</v>
      </c>
      <c r="M52" s="106">
        <f>'6 - B1'!M52</f>
        <v>4.7339909999999996</v>
      </c>
      <c r="N52" s="106">
        <f>'6 - B1'!N52</f>
        <v>4.7205320000000004</v>
      </c>
      <c r="O52" s="106">
        <f>'6 - B1'!O52</f>
        <v>4.7539819999999997</v>
      </c>
      <c r="P52" s="106">
        <f>'6 - B1'!P52</f>
        <v>4.7760610000000003</v>
      </c>
    </row>
    <row r="53" spans="1:16" x14ac:dyDescent="0.35">
      <c r="A53" s="108">
        <f>'6 - B1'!A53</f>
        <v>4</v>
      </c>
      <c r="B53" s="106">
        <f>'6 - B1'!B53</f>
        <v>64899</v>
      </c>
      <c r="C53" s="106">
        <f>'6 - B1'!C53</f>
        <v>68924</v>
      </c>
      <c r="D53" s="106">
        <f>'6 - B1'!D53</f>
        <v>68636</v>
      </c>
      <c r="E53" s="106">
        <f>'6 - B1'!E53</f>
        <v>68505</v>
      </c>
      <c r="F53" s="106">
        <f>'6 - B1'!F53</f>
        <v>68193</v>
      </c>
      <c r="G53" s="106">
        <f>'6 - B1'!G53</f>
        <v>64899</v>
      </c>
      <c r="H53" s="106">
        <f>'6 - B1'!H53</f>
        <v>68924</v>
      </c>
      <c r="I53" s="106">
        <f>'6 - B1'!I53</f>
        <v>68636</v>
      </c>
      <c r="J53" s="106">
        <f>'6 - B1'!J53</f>
        <v>68505</v>
      </c>
      <c r="K53" s="106">
        <f>'6 - B1'!K53</f>
        <v>68193</v>
      </c>
      <c r="L53" s="106">
        <f>'6 - B1'!L53</f>
        <v>64899</v>
      </c>
      <c r="M53" s="106">
        <f>'6 - B1'!M53</f>
        <v>68924</v>
      </c>
      <c r="N53" s="106">
        <f>'6 - B1'!N53</f>
        <v>68636</v>
      </c>
      <c r="O53" s="106">
        <f>'6 - B1'!O53</f>
        <v>68505</v>
      </c>
      <c r="P53" s="106">
        <f>'6 - B1'!P53</f>
        <v>68193</v>
      </c>
    </row>
    <row r="54" spans="1:16" x14ac:dyDescent="0.35">
      <c r="A54" s="108">
        <f>'6 - B1'!A54</f>
        <v>5</v>
      </c>
      <c r="B54" s="106">
        <f>'6 - B1'!B54</f>
        <v>56257</v>
      </c>
      <c r="C54" s="106">
        <f>'6 - B1'!C54</f>
        <v>59891</v>
      </c>
      <c r="D54" s="106">
        <f>'6 - B1'!D54</f>
        <v>59326</v>
      </c>
      <c r="E54" s="106">
        <f>'6 - B1'!E54</f>
        <v>59295</v>
      </c>
      <c r="F54" s="106">
        <f>'6 - B1'!F54</f>
        <v>59066</v>
      </c>
      <c r="G54" s="106">
        <f>'6 - B1'!G54</f>
        <v>56257</v>
      </c>
      <c r="H54" s="106">
        <f>'6 - B1'!H54</f>
        <v>59891</v>
      </c>
      <c r="I54" s="106">
        <f>'6 - B1'!I54</f>
        <v>59326</v>
      </c>
      <c r="J54" s="106">
        <f>'6 - B1'!J54</f>
        <v>59295</v>
      </c>
      <c r="K54" s="106">
        <f>'6 - B1'!K54</f>
        <v>59066</v>
      </c>
      <c r="L54" s="106">
        <f>'6 - B1'!L54</f>
        <v>56257</v>
      </c>
      <c r="M54" s="106">
        <f>'6 - B1'!M54</f>
        <v>59891</v>
      </c>
      <c r="N54" s="106">
        <f>'6 - B1'!N54</f>
        <v>59326</v>
      </c>
      <c r="O54" s="106">
        <f>'6 - B1'!O54</f>
        <v>59295</v>
      </c>
      <c r="P54" s="106">
        <f>'6 - B1'!P54</f>
        <v>59066</v>
      </c>
    </row>
    <row r="55" spans="1:16" x14ac:dyDescent="0.35">
      <c r="A55" s="108">
        <f>'6 - B1'!A55</f>
        <v>6</v>
      </c>
      <c r="B55" s="106">
        <f>'6 - B1'!B55</f>
        <v>48583</v>
      </c>
      <c r="C55" s="106">
        <f>'6 - B1'!C55</f>
        <v>51654</v>
      </c>
      <c r="D55" s="106">
        <f>'6 - B1'!D55</f>
        <v>51300</v>
      </c>
      <c r="E55" s="106">
        <f>'6 - B1'!E55</f>
        <v>51080</v>
      </c>
      <c r="F55" s="106">
        <f>'6 - B1'!F55</f>
        <v>50920</v>
      </c>
      <c r="G55" s="106">
        <f>'6 - B1'!G55</f>
        <v>48583</v>
      </c>
      <c r="H55" s="106">
        <f>'6 - B1'!H55</f>
        <v>51654</v>
      </c>
      <c r="I55" s="106">
        <f>'6 - B1'!I55</f>
        <v>51300</v>
      </c>
      <c r="J55" s="106">
        <f>'6 - B1'!J55</f>
        <v>51080</v>
      </c>
      <c r="K55" s="106">
        <f>'6 - B1'!K55</f>
        <v>50920</v>
      </c>
      <c r="L55" s="106">
        <f>'6 - B1'!L55</f>
        <v>48583</v>
      </c>
      <c r="M55" s="106">
        <f>'6 - B1'!M55</f>
        <v>51654</v>
      </c>
      <c r="N55" s="106">
        <f>'6 - B1'!N55</f>
        <v>51300</v>
      </c>
      <c r="O55" s="106">
        <f>'6 - B1'!O55</f>
        <v>51080</v>
      </c>
      <c r="P55" s="106">
        <f>'6 - B1'!P55</f>
        <v>50920</v>
      </c>
    </row>
    <row r="56" spans="1:16" x14ac:dyDescent="0.35">
      <c r="A56" s="108">
        <f>'6 - B1'!A56</f>
        <v>7</v>
      </c>
      <c r="B56" s="106">
        <f>'6 - B1'!B56</f>
        <v>42357</v>
      </c>
      <c r="C56" s="106">
        <f>'6 - B1'!C56</f>
        <v>44994</v>
      </c>
      <c r="D56" s="106">
        <f>'6 - B1'!D56</f>
        <v>44741</v>
      </c>
      <c r="E56" s="106">
        <f>'6 - B1'!E56</f>
        <v>44589</v>
      </c>
      <c r="F56" s="106">
        <f>'6 - B1'!F56</f>
        <v>44350</v>
      </c>
      <c r="G56" s="106">
        <f>'6 - B1'!G56</f>
        <v>42357</v>
      </c>
      <c r="H56" s="106">
        <f>'6 - B1'!H56</f>
        <v>44994</v>
      </c>
      <c r="I56" s="106">
        <f>'6 - B1'!I56</f>
        <v>44741</v>
      </c>
      <c r="J56" s="106">
        <f>'6 - B1'!J56</f>
        <v>44589</v>
      </c>
      <c r="K56" s="106">
        <f>'6 - B1'!K56</f>
        <v>44350</v>
      </c>
      <c r="L56" s="106">
        <f>'6 - B1'!L56</f>
        <v>42357</v>
      </c>
      <c r="M56" s="106">
        <f>'6 - B1'!M56</f>
        <v>44994</v>
      </c>
      <c r="N56" s="106">
        <f>'6 - B1'!N56</f>
        <v>44741</v>
      </c>
      <c r="O56" s="106">
        <f>'6 - B1'!O56</f>
        <v>44589</v>
      </c>
      <c r="P56" s="106">
        <f>'6 - B1'!P56</f>
        <v>44350</v>
      </c>
    </row>
    <row r="57" spans="1:16" x14ac:dyDescent="0.35">
      <c r="A57" s="108">
        <f>'6 - B1'!A57</f>
        <v>8</v>
      </c>
      <c r="B57" s="106">
        <f>'6 - B1'!B57</f>
        <v>36098</v>
      </c>
      <c r="C57" s="106">
        <f>'6 - B1'!C57</f>
        <v>38325</v>
      </c>
      <c r="D57" s="106">
        <f>'6 - B1'!D57</f>
        <v>38238</v>
      </c>
      <c r="E57" s="106">
        <f>'6 - B1'!E57</f>
        <v>38152</v>
      </c>
      <c r="F57" s="106">
        <f>'6 - B1'!F57</f>
        <v>37745</v>
      </c>
      <c r="G57" s="106">
        <f>'6 - B1'!G57</f>
        <v>36098</v>
      </c>
      <c r="H57" s="106">
        <f>'6 - B1'!H57</f>
        <v>38325</v>
      </c>
      <c r="I57" s="106">
        <f>'6 - B1'!I57</f>
        <v>38238</v>
      </c>
      <c r="J57" s="106">
        <f>'6 - B1'!J57</f>
        <v>38152</v>
      </c>
      <c r="K57" s="106">
        <f>'6 - B1'!K57</f>
        <v>37745</v>
      </c>
      <c r="L57" s="106">
        <f>'6 - B1'!L57</f>
        <v>36098</v>
      </c>
      <c r="M57" s="106">
        <f>'6 - B1'!M57</f>
        <v>38325</v>
      </c>
      <c r="N57" s="106">
        <f>'6 - B1'!N57</f>
        <v>38238</v>
      </c>
      <c r="O57" s="106">
        <f>'6 - B1'!O57</f>
        <v>38152</v>
      </c>
      <c r="P57" s="106">
        <f>'6 - B1'!P57</f>
        <v>37745</v>
      </c>
    </row>
    <row r="58" spans="1:16" x14ac:dyDescent="0.35">
      <c r="A58" s="108">
        <f>'6 - B1'!A58</f>
        <v>9</v>
      </c>
      <c r="B58" s="106">
        <f>'6 - B1'!B58</f>
        <v>30748</v>
      </c>
      <c r="C58" s="106">
        <f>'6 - B1'!C58</f>
        <v>32797</v>
      </c>
      <c r="D58" s="106">
        <f>'6 - B1'!D58</f>
        <v>32878</v>
      </c>
      <c r="E58" s="106">
        <f>'6 - B1'!E58</f>
        <v>32731</v>
      </c>
      <c r="F58" s="106">
        <f>'6 - B1'!F58</f>
        <v>32349</v>
      </c>
      <c r="G58" s="106">
        <f>'6 - B1'!G58</f>
        <v>30748</v>
      </c>
      <c r="H58" s="106">
        <f>'6 - B1'!H58</f>
        <v>32797</v>
      </c>
      <c r="I58" s="106">
        <f>'6 - B1'!I58</f>
        <v>32878</v>
      </c>
      <c r="J58" s="106">
        <f>'6 - B1'!J58</f>
        <v>32731</v>
      </c>
      <c r="K58" s="106">
        <f>'6 - B1'!K58</f>
        <v>32349</v>
      </c>
      <c r="L58" s="106">
        <f>'6 - B1'!L58</f>
        <v>30748</v>
      </c>
      <c r="M58" s="106">
        <f>'6 - B1'!M58</f>
        <v>32797</v>
      </c>
      <c r="N58" s="106">
        <f>'6 - B1'!N58</f>
        <v>32878</v>
      </c>
      <c r="O58" s="106">
        <f>'6 - B1'!O58</f>
        <v>32731</v>
      </c>
      <c r="P58" s="106">
        <f>'6 - B1'!P58</f>
        <v>32349</v>
      </c>
    </row>
    <row r="59" spans="1:16" x14ac:dyDescent="0.35">
      <c r="A59" s="108">
        <f>'6 - B1'!A59</f>
        <v>10</v>
      </c>
      <c r="B59" s="106">
        <f>'6 - B1'!B59</f>
        <v>26004</v>
      </c>
      <c r="C59" s="106">
        <f>'6 - B1'!C59</f>
        <v>27802</v>
      </c>
      <c r="D59" s="106">
        <f>'6 - B1'!D59</f>
        <v>27813</v>
      </c>
      <c r="E59" s="106">
        <f>'6 - B1'!E59</f>
        <v>27635</v>
      </c>
      <c r="F59" s="106">
        <f>'6 - B1'!F59</f>
        <v>27427</v>
      </c>
      <c r="G59" s="106">
        <f>'6 - B1'!G59</f>
        <v>26004</v>
      </c>
      <c r="H59" s="106">
        <f>'6 - B1'!H59</f>
        <v>27802</v>
      </c>
      <c r="I59" s="106">
        <f>'6 - B1'!I59</f>
        <v>27813</v>
      </c>
      <c r="J59" s="106">
        <f>'6 - B1'!J59</f>
        <v>27635</v>
      </c>
      <c r="K59" s="106">
        <f>'6 - B1'!K59</f>
        <v>27427</v>
      </c>
      <c r="L59" s="106">
        <f>'6 - B1'!L59</f>
        <v>26004</v>
      </c>
      <c r="M59" s="106">
        <f>'6 - B1'!M59</f>
        <v>27802</v>
      </c>
      <c r="N59" s="106">
        <f>'6 - B1'!N59</f>
        <v>27813</v>
      </c>
      <c r="O59" s="106">
        <f>'6 - B1'!O59</f>
        <v>27635</v>
      </c>
      <c r="P59" s="106">
        <f>'6 - B1'!P59</f>
        <v>27427</v>
      </c>
    </row>
    <row r="60" spans="1:16" x14ac:dyDescent="0.35">
      <c r="A60" s="108">
        <f>'6 - B1'!A60</f>
        <v>11</v>
      </c>
      <c r="B60" s="106">
        <f>'6 - B1'!B60</f>
        <v>21787</v>
      </c>
      <c r="C60" s="106">
        <f>'6 - B1'!C60</f>
        <v>23373</v>
      </c>
      <c r="D60" s="106">
        <f>'6 - B1'!D60</f>
        <v>23371</v>
      </c>
      <c r="E60" s="106">
        <f>'6 - B1'!E60</f>
        <v>23172</v>
      </c>
      <c r="F60" s="106">
        <f>'6 - B1'!F60</f>
        <v>22930</v>
      </c>
      <c r="G60" s="106">
        <f>'6 - B1'!G60</f>
        <v>21787</v>
      </c>
      <c r="H60" s="106">
        <f>'6 - B1'!H60</f>
        <v>23373</v>
      </c>
      <c r="I60" s="106">
        <f>'6 - B1'!I60</f>
        <v>23371</v>
      </c>
      <c r="J60" s="106">
        <f>'6 - B1'!J60</f>
        <v>23172</v>
      </c>
      <c r="K60" s="106">
        <f>'6 - B1'!K60</f>
        <v>22930</v>
      </c>
      <c r="L60" s="106">
        <f>'6 - B1'!L60</f>
        <v>21787</v>
      </c>
      <c r="M60" s="106">
        <f>'6 - B1'!M60</f>
        <v>23373</v>
      </c>
      <c r="N60" s="106">
        <f>'6 - B1'!N60</f>
        <v>23371</v>
      </c>
      <c r="O60" s="106">
        <f>'6 - B1'!O60</f>
        <v>23172</v>
      </c>
      <c r="P60" s="106">
        <f>'6 - B1'!P60</f>
        <v>22930</v>
      </c>
    </row>
    <row r="61" spans="1:16" x14ac:dyDescent="0.35">
      <c r="A61" s="108">
        <f>'6 - B1'!A61</f>
        <v>12</v>
      </c>
      <c r="B61" s="106">
        <f>'6 - B1'!B61</f>
        <v>17875</v>
      </c>
      <c r="C61" s="106">
        <f>'6 - B1'!C61</f>
        <v>19353</v>
      </c>
      <c r="D61" s="106">
        <f>'6 - B1'!D61</f>
        <v>19274</v>
      </c>
      <c r="E61" s="106">
        <f>'6 - B1'!E61</f>
        <v>19142</v>
      </c>
      <c r="F61" s="106">
        <f>'6 - B1'!F61</f>
        <v>19006</v>
      </c>
      <c r="G61" s="106">
        <f>'6 - B1'!G61</f>
        <v>17875</v>
      </c>
      <c r="H61" s="106">
        <f>'6 - B1'!H61</f>
        <v>19353</v>
      </c>
      <c r="I61" s="106">
        <f>'6 - B1'!I61</f>
        <v>19274</v>
      </c>
      <c r="J61" s="106">
        <f>'6 - B1'!J61</f>
        <v>19142</v>
      </c>
      <c r="K61" s="106">
        <f>'6 - B1'!K61</f>
        <v>19006</v>
      </c>
      <c r="L61" s="106">
        <f>'6 - B1'!L61</f>
        <v>17875</v>
      </c>
      <c r="M61" s="106">
        <f>'6 - B1'!M61</f>
        <v>19353</v>
      </c>
      <c r="N61" s="106">
        <f>'6 - B1'!N61</f>
        <v>19274</v>
      </c>
      <c r="O61" s="106">
        <f>'6 - B1'!O61</f>
        <v>19142</v>
      </c>
      <c r="P61" s="106">
        <f>'6 - B1'!P61</f>
        <v>19006</v>
      </c>
    </row>
    <row r="62" spans="1:16" x14ac:dyDescent="0.35">
      <c r="A62" s="108">
        <f>'6 - B1'!A62</f>
        <v>13</v>
      </c>
      <c r="B62" s="106">
        <f>'6 - B1'!B62</f>
        <v>14542</v>
      </c>
      <c r="C62" s="106">
        <f>'6 - B1'!C62</f>
        <v>15773</v>
      </c>
      <c r="D62" s="106">
        <f>'6 - B1'!D62</f>
        <v>15774</v>
      </c>
      <c r="E62" s="106">
        <f>'6 - B1'!E62</f>
        <v>15562</v>
      </c>
      <c r="F62" s="106">
        <f>'6 - B1'!F62</f>
        <v>15566</v>
      </c>
      <c r="G62" s="106">
        <f>'6 - B1'!G62</f>
        <v>14542</v>
      </c>
      <c r="H62" s="106">
        <f>'6 - B1'!H62</f>
        <v>15773</v>
      </c>
      <c r="I62" s="106">
        <f>'6 - B1'!I62</f>
        <v>15774</v>
      </c>
      <c r="J62" s="106">
        <f>'6 - B1'!J62</f>
        <v>15562</v>
      </c>
      <c r="K62" s="106">
        <f>'6 - B1'!K62</f>
        <v>15566</v>
      </c>
      <c r="L62" s="106">
        <f>'6 - B1'!L62</f>
        <v>14542</v>
      </c>
      <c r="M62" s="106">
        <f>'6 - B1'!M62</f>
        <v>15773</v>
      </c>
      <c r="N62" s="106">
        <f>'6 - B1'!N62</f>
        <v>15774</v>
      </c>
      <c r="O62" s="106">
        <f>'6 - B1'!O62</f>
        <v>15562</v>
      </c>
      <c r="P62" s="106">
        <f>'6 - B1'!P62</f>
        <v>15566</v>
      </c>
    </row>
    <row r="63" spans="1:16" x14ac:dyDescent="0.35">
      <c r="A63" s="108">
        <f>'6 - B1'!A63</f>
        <v>14</v>
      </c>
      <c r="B63" s="106">
        <f>'6 - B1'!B63</f>
        <v>11660</v>
      </c>
      <c r="C63" s="106">
        <f>'6 - B1'!C63</f>
        <v>12639</v>
      </c>
      <c r="D63" s="106">
        <f>'6 - B1'!D63</f>
        <v>12567</v>
      </c>
      <c r="E63" s="106">
        <f>'6 - B1'!E63</f>
        <v>12452</v>
      </c>
      <c r="F63" s="106">
        <f>'6 - B1'!F63</f>
        <v>12403</v>
      </c>
      <c r="G63" s="106">
        <f>'6 - B1'!G63</f>
        <v>11660</v>
      </c>
      <c r="H63" s="106">
        <f>'6 - B1'!H63</f>
        <v>12639</v>
      </c>
      <c r="I63" s="106">
        <f>'6 - B1'!I63</f>
        <v>12567</v>
      </c>
      <c r="J63" s="106">
        <f>'6 - B1'!J63</f>
        <v>12452</v>
      </c>
      <c r="K63" s="106">
        <f>'6 - B1'!K63</f>
        <v>12403</v>
      </c>
      <c r="L63" s="106">
        <f>'6 - B1'!L63</f>
        <v>11660</v>
      </c>
      <c r="M63" s="106">
        <f>'6 - B1'!M63</f>
        <v>12639</v>
      </c>
      <c r="N63" s="106">
        <f>'6 - B1'!N63</f>
        <v>12567</v>
      </c>
      <c r="O63" s="106">
        <f>'6 - B1'!O63</f>
        <v>12452</v>
      </c>
      <c r="P63" s="106">
        <f>'6 - B1'!P63</f>
        <v>12403</v>
      </c>
    </row>
    <row r="64" spans="1:16" x14ac:dyDescent="0.35">
      <c r="A64" s="108">
        <f>'6 - B1'!A64</f>
        <v>15</v>
      </c>
      <c r="B64" s="106">
        <f>'6 - B1'!B64</f>
        <v>9114</v>
      </c>
      <c r="C64" s="106">
        <f>'6 - B1'!C64</f>
        <v>9941</v>
      </c>
      <c r="D64" s="106">
        <f>'6 - B1'!D64</f>
        <v>9882</v>
      </c>
      <c r="E64" s="106">
        <f>'6 - B1'!E64</f>
        <v>9709</v>
      </c>
      <c r="F64" s="106">
        <f>'6 - B1'!F64</f>
        <v>9701</v>
      </c>
      <c r="G64" s="106">
        <f>'6 - B1'!G64</f>
        <v>9114</v>
      </c>
      <c r="H64" s="106">
        <f>'6 - B1'!H64</f>
        <v>9941</v>
      </c>
      <c r="I64" s="106">
        <f>'6 - B1'!I64</f>
        <v>9882</v>
      </c>
      <c r="J64" s="106">
        <f>'6 - B1'!J64</f>
        <v>9709</v>
      </c>
      <c r="K64" s="106">
        <f>'6 - B1'!K64</f>
        <v>9701</v>
      </c>
      <c r="L64" s="106">
        <f>'6 - B1'!L64</f>
        <v>9114</v>
      </c>
      <c r="M64" s="106">
        <f>'6 - B1'!M64</f>
        <v>9941</v>
      </c>
      <c r="N64" s="106">
        <f>'6 - B1'!N64</f>
        <v>9882</v>
      </c>
      <c r="O64" s="106">
        <f>'6 - B1'!O64</f>
        <v>9709</v>
      </c>
      <c r="P64" s="106">
        <f>'6 - B1'!P64</f>
        <v>9701</v>
      </c>
    </row>
    <row r="65" spans="1:16" x14ac:dyDescent="0.35">
      <c r="A65" s="108">
        <f>'6 - B1'!A65</f>
        <v>16</v>
      </c>
      <c r="B65" s="106">
        <f>'6 - B1'!B65</f>
        <v>7062</v>
      </c>
      <c r="C65" s="106">
        <f>'6 - B1'!C65</f>
        <v>7694</v>
      </c>
      <c r="D65" s="106">
        <f>'6 - B1'!D65</f>
        <v>7682</v>
      </c>
      <c r="E65" s="106">
        <f>'6 - B1'!E65</f>
        <v>7426</v>
      </c>
      <c r="F65" s="106">
        <f>'6 - B1'!F65</f>
        <v>7485</v>
      </c>
      <c r="G65" s="106">
        <f>'6 - B1'!G65</f>
        <v>7062</v>
      </c>
      <c r="H65" s="106">
        <f>'6 - B1'!H65</f>
        <v>7694</v>
      </c>
      <c r="I65" s="106">
        <f>'6 - B1'!I65</f>
        <v>7682</v>
      </c>
      <c r="J65" s="106">
        <f>'6 - B1'!J65</f>
        <v>7426</v>
      </c>
      <c r="K65" s="106">
        <f>'6 - B1'!K65</f>
        <v>7485</v>
      </c>
      <c r="L65" s="106">
        <f>'6 - B1'!L65</f>
        <v>7062</v>
      </c>
      <c r="M65" s="106">
        <f>'6 - B1'!M65</f>
        <v>7694</v>
      </c>
      <c r="N65" s="106">
        <f>'6 - B1'!N65</f>
        <v>7682</v>
      </c>
      <c r="O65" s="106">
        <f>'6 - B1'!O65</f>
        <v>7426</v>
      </c>
      <c r="P65" s="106">
        <f>'6 - B1'!P65</f>
        <v>7485</v>
      </c>
    </row>
    <row r="66" spans="1:16" x14ac:dyDescent="0.35">
      <c r="A66" s="108">
        <f>'6 - B1'!A66</f>
        <v>17</v>
      </c>
      <c r="B66" s="106">
        <f>'6 - B1'!B66</f>
        <v>5386</v>
      </c>
      <c r="C66" s="106">
        <f>'6 - B1'!C66</f>
        <v>5910</v>
      </c>
      <c r="D66" s="106">
        <f>'6 - B1'!D66</f>
        <v>5909</v>
      </c>
      <c r="E66" s="106">
        <f>'6 - B1'!E66</f>
        <v>5640</v>
      </c>
      <c r="F66" s="106">
        <f>'6 - B1'!F66</f>
        <v>5698</v>
      </c>
      <c r="G66" s="106">
        <f>'6 - B1'!G66</f>
        <v>5386</v>
      </c>
      <c r="H66" s="106">
        <f>'6 - B1'!H66</f>
        <v>5910</v>
      </c>
      <c r="I66" s="106">
        <f>'6 - B1'!I66</f>
        <v>5909</v>
      </c>
      <c r="J66" s="106">
        <f>'6 - B1'!J66</f>
        <v>5640</v>
      </c>
      <c r="K66" s="106">
        <f>'6 - B1'!K66</f>
        <v>5698</v>
      </c>
      <c r="L66" s="106">
        <f>'6 - B1'!L66</f>
        <v>5386</v>
      </c>
      <c r="M66" s="106">
        <f>'6 - B1'!M66</f>
        <v>5910</v>
      </c>
      <c r="N66" s="106">
        <f>'6 - B1'!N66</f>
        <v>5909</v>
      </c>
      <c r="O66" s="106">
        <f>'6 - B1'!O66</f>
        <v>5640</v>
      </c>
      <c r="P66" s="106">
        <f>'6 - B1'!P66</f>
        <v>5698</v>
      </c>
    </row>
    <row r="67" spans="1:16" x14ac:dyDescent="0.35">
      <c r="A67" s="108">
        <f>'6 - B1'!A67</f>
        <v>18</v>
      </c>
      <c r="B67" s="106">
        <f>'6 - B1'!B67</f>
        <v>4142</v>
      </c>
      <c r="C67" s="106">
        <f>'6 - B1'!C67</f>
        <v>4444</v>
      </c>
      <c r="D67" s="106">
        <f>'6 - B1'!D67</f>
        <v>4538</v>
      </c>
      <c r="E67" s="106">
        <f>'6 - B1'!E67</f>
        <v>4272</v>
      </c>
      <c r="F67" s="106">
        <f>'6 - B1'!F67</f>
        <v>4234</v>
      </c>
      <c r="G67" s="106">
        <f>'6 - B1'!G67</f>
        <v>4142</v>
      </c>
      <c r="H67" s="106">
        <f>'6 - B1'!H67</f>
        <v>4444</v>
      </c>
      <c r="I67" s="106">
        <f>'6 - B1'!I67</f>
        <v>4538</v>
      </c>
      <c r="J67" s="106">
        <f>'6 - B1'!J67</f>
        <v>4272</v>
      </c>
      <c r="K67" s="106">
        <f>'6 - B1'!K67</f>
        <v>4234</v>
      </c>
      <c r="L67" s="106">
        <f>'6 - B1'!L67</f>
        <v>4142</v>
      </c>
      <c r="M67" s="106">
        <f>'6 - B1'!M67</f>
        <v>4444</v>
      </c>
      <c r="N67" s="106">
        <f>'6 - B1'!N67</f>
        <v>4538</v>
      </c>
      <c r="O67" s="106">
        <f>'6 - B1'!O67</f>
        <v>4272</v>
      </c>
      <c r="P67" s="106">
        <f>'6 - B1'!P67</f>
        <v>4234</v>
      </c>
    </row>
    <row r="68" spans="1:16" x14ac:dyDescent="0.35">
      <c r="A68" s="108">
        <f>'6 - B1'!A68</f>
        <v>19</v>
      </c>
      <c r="B68" s="106">
        <f>'6 - B1'!B68</f>
        <v>3183</v>
      </c>
      <c r="C68" s="106">
        <f>'6 - B1'!C68</f>
        <v>3376</v>
      </c>
      <c r="D68" s="106">
        <f>'6 - B1'!D68</f>
        <v>3435</v>
      </c>
      <c r="E68" s="106">
        <f>'6 - B1'!E68</f>
        <v>3299</v>
      </c>
      <c r="F68" s="106">
        <f>'6 - B1'!F68</f>
        <v>3199</v>
      </c>
      <c r="G68" s="106">
        <f>'6 - B1'!G68</f>
        <v>3183</v>
      </c>
      <c r="H68" s="106">
        <f>'6 - B1'!H68</f>
        <v>3376</v>
      </c>
      <c r="I68" s="106">
        <f>'6 - B1'!I68</f>
        <v>3435</v>
      </c>
      <c r="J68" s="106">
        <f>'6 - B1'!J68</f>
        <v>3299</v>
      </c>
      <c r="K68" s="106">
        <f>'6 - B1'!K68</f>
        <v>3199</v>
      </c>
      <c r="L68" s="106">
        <f>'6 - B1'!L68</f>
        <v>3183</v>
      </c>
      <c r="M68" s="106">
        <f>'6 - B1'!M68</f>
        <v>3376</v>
      </c>
      <c r="N68" s="106">
        <f>'6 - B1'!N68</f>
        <v>3435</v>
      </c>
      <c r="O68" s="106">
        <f>'6 - B1'!O68</f>
        <v>3299</v>
      </c>
      <c r="P68" s="106">
        <f>'6 - B1'!P68</f>
        <v>3199</v>
      </c>
    </row>
    <row r="69" spans="1:16" x14ac:dyDescent="0.35">
      <c r="A69" s="108">
        <f>'6 - B1'!A69</f>
        <v>20</v>
      </c>
      <c r="B69" s="106">
        <f>'6 - B1'!B69</f>
        <v>2478</v>
      </c>
      <c r="C69" s="106">
        <f>'6 - B1'!C69</f>
        <v>2570</v>
      </c>
      <c r="D69" s="106">
        <f>'6 - B1'!D69</f>
        <v>2635</v>
      </c>
      <c r="E69" s="106">
        <f>'6 - B1'!E69</f>
        <v>2483</v>
      </c>
      <c r="F69" s="106">
        <f>'6 - B1'!F69</f>
        <v>2430</v>
      </c>
      <c r="G69" s="106">
        <f>'6 - B1'!G69</f>
        <v>2478</v>
      </c>
      <c r="H69" s="106">
        <f>'6 - B1'!H69</f>
        <v>2570</v>
      </c>
      <c r="I69" s="106">
        <f>'6 - B1'!I69</f>
        <v>2635</v>
      </c>
      <c r="J69" s="106">
        <f>'6 - B1'!J69</f>
        <v>2483</v>
      </c>
      <c r="K69" s="106">
        <f>'6 - B1'!K69</f>
        <v>2430</v>
      </c>
      <c r="L69" s="106">
        <f>'6 - B1'!L69</f>
        <v>2478</v>
      </c>
      <c r="M69" s="106">
        <f>'6 - B1'!M69</f>
        <v>2570</v>
      </c>
      <c r="N69" s="106">
        <f>'6 - B1'!N69</f>
        <v>2635</v>
      </c>
      <c r="O69" s="106">
        <f>'6 - B1'!O69</f>
        <v>2483</v>
      </c>
      <c r="P69" s="106">
        <f>'6 - B1'!P69</f>
        <v>2430</v>
      </c>
    </row>
    <row r="70" spans="1:16" x14ac:dyDescent="0.35">
      <c r="A70" s="108">
        <f>'6 - B1'!A70</f>
        <v>21</v>
      </c>
      <c r="B70" s="106">
        <f>'6 - B1'!B70</f>
        <v>1917</v>
      </c>
      <c r="C70" s="106">
        <f>'6 - B1'!C70</f>
        <v>1944</v>
      </c>
      <c r="D70" s="106">
        <f>'6 - B1'!D70</f>
        <v>2031</v>
      </c>
      <c r="E70" s="106">
        <f>'6 - B1'!E70</f>
        <v>1916</v>
      </c>
      <c r="F70" s="106">
        <f>'6 - B1'!F70</f>
        <v>1828</v>
      </c>
      <c r="G70" s="106">
        <f>'6 - B1'!G70</f>
        <v>1917</v>
      </c>
      <c r="H70" s="106">
        <f>'6 - B1'!H70</f>
        <v>1944</v>
      </c>
      <c r="I70" s="106">
        <f>'6 - B1'!I70</f>
        <v>2031</v>
      </c>
      <c r="J70" s="106">
        <f>'6 - B1'!J70</f>
        <v>1916</v>
      </c>
      <c r="K70" s="106">
        <f>'6 - B1'!K70</f>
        <v>1828</v>
      </c>
      <c r="L70" s="106">
        <f>'6 - B1'!L70</f>
        <v>1917</v>
      </c>
      <c r="M70" s="106">
        <f>'6 - B1'!M70</f>
        <v>1944</v>
      </c>
      <c r="N70" s="106">
        <f>'6 - B1'!N70</f>
        <v>2031</v>
      </c>
      <c r="O70" s="106">
        <f>'6 - B1'!O70</f>
        <v>1916</v>
      </c>
      <c r="P70" s="106">
        <f>'6 - B1'!P70</f>
        <v>1828</v>
      </c>
    </row>
    <row r="71" spans="1:16" x14ac:dyDescent="0.35">
      <c r="A71" s="108">
        <f>'6 - B1'!A71</f>
        <v>22</v>
      </c>
      <c r="B71" s="106">
        <f>'6 - B1'!B71</f>
        <v>1468</v>
      </c>
      <c r="C71" s="106">
        <f>'6 - B1'!C71</f>
        <v>1488</v>
      </c>
      <c r="D71" s="106">
        <f>'6 - B1'!D71</f>
        <v>1571</v>
      </c>
      <c r="E71" s="106">
        <f>'6 - B1'!E71</f>
        <v>1492</v>
      </c>
      <c r="F71" s="106">
        <f>'6 - B1'!F71</f>
        <v>1409</v>
      </c>
      <c r="G71" s="106">
        <f>'6 - B1'!G71</f>
        <v>1468</v>
      </c>
      <c r="H71" s="106">
        <f>'6 - B1'!H71</f>
        <v>1488</v>
      </c>
      <c r="I71" s="106">
        <f>'6 - B1'!I71</f>
        <v>1571</v>
      </c>
      <c r="J71" s="106">
        <f>'6 - B1'!J71</f>
        <v>1492</v>
      </c>
      <c r="K71" s="106">
        <f>'6 - B1'!K71</f>
        <v>1409</v>
      </c>
      <c r="L71" s="106">
        <f>'6 - B1'!L71</f>
        <v>1468</v>
      </c>
      <c r="M71" s="106">
        <f>'6 - B1'!M71</f>
        <v>1488</v>
      </c>
      <c r="N71" s="106">
        <f>'6 - B1'!N71</f>
        <v>1571</v>
      </c>
      <c r="O71" s="106">
        <f>'6 - B1'!O71</f>
        <v>1492</v>
      </c>
      <c r="P71" s="106">
        <f>'6 - B1'!P71</f>
        <v>1409</v>
      </c>
    </row>
    <row r="72" spans="1:16" x14ac:dyDescent="0.35">
      <c r="A72" s="108">
        <f>'6 - B1'!A72</f>
        <v>23</v>
      </c>
      <c r="B72" s="106">
        <f>'6 - B1'!B72</f>
        <v>1133</v>
      </c>
      <c r="C72" s="106">
        <f>'6 - B1'!C72</f>
        <v>1135</v>
      </c>
      <c r="D72" s="106">
        <f>'6 - B1'!D72</f>
        <v>1188</v>
      </c>
      <c r="E72" s="106">
        <f>'6 - B1'!E72</f>
        <v>1152</v>
      </c>
      <c r="F72" s="106">
        <f>'6 - B1'!F72</f>
        <v>1063</v>
      </c>
      <c r="G72" s="106">
        <f>'6 - B1'!G72</f>
        <v>1133</v>
      </c>
      <c r="H72" s="106">
        <f>'6 - B1'!H72</f>
        <v>1135</v>
      </c>
      <c r="I72" s="106">
        <f>'6 - B1'!I72</f>
        <v>1188</v>
      </c>
      <c r="J72" s="106">
        <f>'6 - B1'!J72</f>
        <v>1152</v>
      </c>
      <c r="K72" s="106">
        <f>'6 - B1'!K72</f>
        <v>1063</v>
      </c>
      <c r="L72" s="106">
        <f>'6 - B1'!L72</f>
        <v>1133</v>
      </c>
      <c r="M72" s="106">
        <f>'6 - B1'!M72</f>
        <v>1135</v>
      </c>
      <c r="N72" s="106">
        <f>'6 - B1'!N72</f>
        <v>1188</v>
      </c>
      <c r="O72" s="106">
        <f>'6 - B1'!O72</f>
        <v>1152</v>
      </c>
      <c r="P72" s="106">
        <f>'6 - B1'!P72</f>
        <v>1063</v>
      </c>
    </row>
    <row r="73" spans="1:16" x14ac:dyDescent="0.35">
      <c r="A73" s="108">
        <f>'6 - B1'!A73</f>
        <v>24</v>
      </c>
      <c r="B73" s="106">
        <f>'6 - B1'!B73</f>
        <v>874</v>
      </c>
      <c r="C73" s="106">
        <f>'6 - B1'!C73</f>
        <v>868</v>
      </c>
      <c r="D73" s="106">
        <f>'6 - B1'!D73</f>
        <v>892</v>
      </c>
      <c r="E73" s="106">
        <f>'6 - B1'!E73</f>
        <v>902</v>
      </c>
      <c r="F73" s="106">
        <f>'6 - B1'!F73</f>
        <v>773</v>
      </c>
      <c r="G73" s="106">
        <f>'6 - B1'!G73</f>
        <v>874</v>
      </c>
      <c r="H73" s="106">
        <f>'6 - B1'!H73</f>
        <v>868</v>
      </c>
      <c r="I73" s="106">
        <f>'6 - B1'!I73</f>
        <v>892</v>
      </c>
      <c r="J73" s="106">
        <f>'6 - B1'!J73</f>
        <v>902</v>
      </c>
      <c r="K73" s="106">
        <f>'6 - B1'!K73</f>
        <v>773</v>
      </c>
      <c r="L73" s="106">
        <f>'6 - B1'!L73</f>
        <v>874</v>
      </c>
      <c r="M73" s="106">
        <f>'6 - B1'!M73</f>
        <v>868</v>
      </c>
      <c r="N73" s="106">
        <f>'6 - B1'!N73</f>
        <v>892</v>
      </c>
      <c r="O73" s="106">
        <f>'6 - B1'!O73</f>
        <v>902</v>
      </c>
      <c r="P73" s="106">
        <f>'6 - B1'!P73</f>
        <v>773</v>
      </c>
    </row>
    <row r="74" spans="1:16" x14ac:dyDescent="0.35">
      <c r="A74" s="108">
        <f>'6 - B1'!A74</f>
        <v>25</v>
      </c>
      <c r="B74" s="106">
        <f>'6 - B1'!B74</f>
        <v>664</v>
      </c>
      <c r="C74" s="106">
        <f>'6 - B1'!C74</f>
        <v>658</v>
      </c>
      <c r="D74" s="106">
        <f>'6 - B1'!D74</f>
        <v>677</v>
      </c>
      <c r="E74" s="106">
        <f>'6 - B1'!E74</f>
        <v>670</v>
      </c>
      <c r="F74" s="106">
        <f>'6 - B1'!F74</f>
        <v>586</v>
      </c>
      <c r="G74" s="106">
        <f>'6 - B1'!G74</f>
        <v>664</v>
      </c>
      <c r="H74" s="106">
        <f>'6 - B1'!H74</f>
        <v>658</v>
      </c>
      <c r="I74" s="106">
        <f>'6 - B1'!I74</f>
        <v>677</v>
      </c>
      <c r="J74" s="106">
        <f>'6 - B1'!J74</f>
        <v>670</v>
      </c>
      <c r="K74" s="106">
        <f>'6 - B1'!K74</f>
        <v>586</v>
      </c>
      <c r="L74" s="106">
        <f>'6 - B1'!L74</f>
        <v>664</v>
      </c>
      <c r="M74" s="106">
        <f>'6 - B1'!M74</f>
        <v>658</v>
      </c>
      <c r="N74" s="106">
        <f>'6 - B1'!N74</f>
        <v>677</v>
      </c>
      <c r="O74" s="106">
        <f>'6 - B1'!O74</f>
        <v>670</v>
      </c>
      <c r="P74" s="106">
        <f>'6 - B1'!P74</f>
        <v>586</v>
      </c>
    </row>
    <row r="75" spans="1:16" x14ac:dyDescent="0.35">
      <c r="A75" s="108">
        <f>'6 - B1'!A75</f>
        <v>26</v>
      </c>
      <c r="B75" s="106">
        <f>'6 - B1'!B75</f>
        <v>496</v>
      </c>
      <c r="C75" s="106">
        <f>'6 - B1'!C75</f>
        <v>507</v>
      </c>
      <c r="D75" s="106">
        <f>'6 - B1'!D75</f>
        <v>514</v>
      </c>
      <c r="E75" s="106">
        <f>'6 - B1'!E75</f>
        <v>489</v>
      </c>
      <c r="F75" s="106">
        <f>'6 - B1'!F75</f>
        <v>433</v>
      </c>
      <c r="G75" s="106">
        <f>'6 - B1'!G75</f>
        <v>496</v>
      </c>
      <c r="H75" s="106">
        <f>'6 - B1'!H75</f>
        <v>507</v>
      </c>
      <c r="I75" s="106">
        <f>'6 - B1'!I75</f>
        <v>514</v>
      </c>
      <c r="J75" s="106">
        <f>'6 - B1'!J75</f>
        <v>489</v>
      </c>
      <c r="K75" s="106">
        <f>'6 - B1'!K75</f>
        <v>433</v>
      </c>
      <c r="L75" s="106">
        <f>'6 - B1'!L75</f>
        <v>496</v>
      </c>
      <c r="M75" s="106">
        <f>'6 - B1'!M75</f>
        <v>507</v>
      </c>
      <c r="N75" s="106">
        <f>'6 - B1'!N75</f>
        <v>514</v>
      </c>
      <c r="O75" s="106">
        <f>'6 - B1'!O75</f>
        <v>489</v>
      </c>
      <c r="P75" s="106">
        <f>'6 - B1'!P75</f>
        <v>433</v>
      </c>
    </row>
    <row r="76" spans="1:16" x14ac:dyDescent="0.35">
      <c r="A76" s="108">
        <f>'6 - B1'!A76</f>
        <v>27</v>
      </c>
      <c r="B76" s="106">
        <f>'6 - B1'!B76</f>
        <v>377</v>
      </c>
      <c r="C76" s="106">
        <f>'6 - B1'!C76</f>
        <v>368</v>
      </c>
      <c r="D76" s="106">
        <f>'6 - B1'!D76</f>
        <v>371</v>
      </c>
      <c r="E76" s="106">
        <f>'6 - B1'!E76</f>
        <v>367</v>
      </c>
      <c r="F76" s="106">
        <f>'6 - B1'!F76</f>
        <v>314</v>
      </c>
      <c r="G76" s="106">
        <f>'6 - B1'!G76</f>
        <v>377</v>
      </c>
      <c r="H76" s="106">
        <f>'6 - B1'!H76</f>
        <v>368</v>
      </c>
      <c r="I76" s="106">
        <f>'6 - B1'!I76</f>
        <v>371</v>
      </c>
      <c r="J76" s="106">
        <f>'6 - B1'!J76</f>
        <v>367</v>
      </c>
      <c r="K76" s="106">
        <f>'6 - B1'!K76</f>
        <v>314</v>
      </c>
      <c r="L76" s="106">
        <f>'6 - B1'!L76</f>
        <v>377</v>
      </c>
      <c r="M76" s="106">
        <f>'6 - B1'!M76</f>
        <v>368</v>
      </c>
      <c r="N76" s="106">
        <f>'6 - B1'!N76</f>
        <v>371</v>
      </c>
      <c r="O76" s="106">
        <f>'6 - B1'!O76</f>
        <v>367</v>
      </c>
      <c r="P76" s="106">
        <f>'6 - B1'!P76</f>
        <v>314</v>
      </c>
    </row>
    <row r="77" spans="1:16" x14ac:dyDescent="0.35">
      <c r="A77" s="108">
        <f>'6 - B1'!A77</f>
        <v>28</v>
      </c>
      <c r="B77" s="106">
        <f>'6 - B1'!B77</f>
        <v>271</v>
      </c>
      <c r="C77" s="106">
        <f>'6 - B1'!C77</f>
        <v>266</v>
      </c>
      <c r="D77" s="106">
        <f>'6 - B1'!D77</f>
        <v>276</v>
      </c>
      <c r="E77" s="106">
        <f>'6 - B1'!E77</f>
        <v>260</v>
      </c>
      <c r="F77" s="106">
        <f>'6 - B1'!F77</f>
        <v>204</v>
      </c>
      <c r="G77" s="106">
        <f>'6 - B1'!G77</f>
        <v>271</v>
      </c>
      <c r="H77" s="106">
        <f>'6 - B1'!H77</f>
        <v>266</v>
      </c>
      <c r="I77" s="106">
        <f>'6 - B1'!I77</f>
        <v>276</v>
      </c>
      <c r="J77" s="106">
        <f>'6 - B1'!J77</f>
        <v>260</v>
      </c>
      <c r="K77" s="106">
        <f>'6 - B1'!K77</f>
        <v>204</v>
      </c>
      <c r="L77" s="106">
        <f>'6 - B1'!L77</f>
        <v>271</v>
      </c>
      <c r="M77" s="106">
        <f>'6 - B1'!M77</f>
        <v>266</v>
      </c>
      <c r="N77" s="106">
        <f>'6 - B1'!N77</f>
        <v>276</v>
      </c>
      <c r="O77" s="106">
        <f>'6 - B1'!O77</f>
        <v>260</v>
      </c>
      <c r="P77" s="106">
        <f>'6 - B1'!P77</f>
        <v>204</v>
      </c>
    </row>
    <row r="78" spans="1:16" x14ac:dyDescent="0.35">
      <c r="A78" s="108">
        <f>'6 - B1'!A78</f>
        <v>29</v>
      </c>
      <c r="B78" s="106">
        <f>'6 - B1'!B78</f>
        <v>205</v>
      </c>
      <c r="C78" s="106">
        <f>'6 - B1'!C78</f>
        <v>190</v>
      </c>
      <c r="D78" s="106">
        <f>'6 - B1'!D78</f>
        <v>204</v>
      </c>
      <c r="E78" s="106">
        <f>'6 - B1'!E78</f>
        <v>187</v>
      </c>
      <c r="F78" s="106">
        <f>'6 - B1'!F78</f>
        <v>143</v>
      </c>
      <c r="G78" s="106">
        <f>'6 - B1'!G78</f>
        <v>205</v>
      </c>
      <c r="H78" s="106">
        <f>'6 - B1'!H78</f>
        <v>190</v>
      </c>
      <c r="I78" s="106">
        <f>'6 - B1'!I78</f>
        <v>204</v>
      </c>
      <c r="J78" s="106">
        <f>'6 - B1'!J78</f>
        <v>187</v>
      </c>
      <c r="K78" s="106">
        <f>'6 - B1'!K78</f>
        <v>143</v>
      </c>
      <c r="L78" s="106">
        <f>'6 - B1'!L78</f>
        <v>205</v>
      </c>
      <c r="M78" s="106">
        <f>'6 - B1'!M78</f>
        <v>190</v>
      </c>
      <c r="N78" s="106">
        <f>'6 - B1'!N78</f>
        <v>204</v>
      </c>
      <c r="O78" s="106">
        <f>'6 - B1'!O78</f>
        <v>187</v>
      </c>
      <c r="P78" s="106">
        <f>'6 - B1'!P78</f>
        <v>143</v>
      </c>
    </row>
    <row r="79" spans="1:16" x14ac:dyDescent="0.35">
      <c r="A79" s="108">
        <f>'6 - B1'!A79</f>
        <v>30</v>
      </c>
      <c r="B79" s="106">
        <f>'6 - B1'!B79</f>
        <v>153</v>
      </c>
      <c r="C79" s="106">
        <f>'6 - B1'!C79</f>
        <v>130</v>
      </c>
      <c r="D79" s="106">
        <f>'6 - B1'!D79</f>
        <v>136</v>
      </c>
      <c r="E79" s="106">
        <f>'6 - B1'!E79</f>
        <v>120</v>
      </c>
      <c r="F79" s="106">
        <f>'6 - B1'!F79</f>
        <v>91</v>
      </c>
      <c r="G79" s="106">
        <f>'6 - B1'!G79</f>
        <v>153</v>
      </c>
      <c r="H79" s="106">
        <f>'6 - B1'!H79</f>
        <v>130</v>
      </c>
      <c r="I79" s="106">
        <f>'6 - B1'!I79</f>
        <v>136</v>
      </c>
      <c r="J79" s="106">
        <f>'6 - B1'!J79</f>
        <v>120</v>
      </c>
      <c r="K79" s="109">
        <f>'6 - B1'!K79</f>
        <v>91</v>
      </c>
      <c r="L79" s="106">
        <f>'6 - B1'!L79</f>
        <v>153</v>
      </c>
      <c r="M79" s="106">
        <f>'6 - B1'!M79</f>
        <v>130</v>
      </c>
      <c r="N79" s="106">
        <f>'6 - B1'!N79</f>
        <v>136</v>
      </c>
      <c r="O79" s="106">
        <f>'6 - B1'!O79</f>
        <v>120</v>
      </c>
      <c r="P79" s="106">
        <f>'6 - B1'!P79</f>
        <v>91</v>
      </c>
    </row>
    <row r="80" spans="1:16" x14ac:dyDescent="0.35">
      <c r="A80" s="108">
        <f>'6 - B1'!A80</f>
        <v>38</v>
      </c>
      <c r="B80" s="106">
        <f>'6 - B1'!B80</f>
        <v>99</v>
      </c>
      <c r="C80" s="106">
        <f>'6 - B1'!C80</f>
        <v>93</v>
      </c>
      <c r="D80" s="106">
        <f>'6 - B1'!D80</f>
        <v>95</v>
      </c>
      <c r="E80" s="106">
        <f>'6 - B1'!E80</f>
        <v>78</v>
      </c>
      <c r="F80" s="106">
        <f>'6 - B1'!F80</f>
        <v>60</v>
      </c>
      <c r="G80" s="106">
        <f>'6 - B1'!G80</f>
        <v>99</v>
      </c>
      <c r="H80" s="106">
        <f>'6 - B1'!H80</f>
        <v>93</v>
      </c>
      <c r="I80" s="106">
        <f>'6 - B1'!I80</f>
        <v>95</v>
      </c>
      <c r="J80" s="106">
        <f>'6 - B1'!J80</f>
        <v>78</v>
      </c>
      <c r="K80" s="106">
        <f>'6 - B1'!K80</f>
        <v>60</v>
      </c>
      <c r="L80" s="106">
        <f>'6 - B1'!L80</f>
        <v>99</v>
      </c>
      <c r="M80" s="106">
        <f>'6 - B1'!M80</f>
        <v>93</v>
      </c>
      <c r="N80" s="106">
        <f>'6 - B1'!N80</f>
        <v>95</v>
      </c>
      <c r="O80" s="106">
        <f>'6 - B1'!O80</f>
        <v>78</v>
      </c>
      <c r="P80" s="106">
        <f>'6 - B1'!P80</f>
        <v>60</v>
      </c>
    </row>
    <row r="81" spans="1:16" x14ac:dyDescent="0.35">
      <c r="A81" s="108">
        <f>'6 - B1'!A81</f>
        <v>50</v>
      </c>
      <c r="B81" s="106">
        <f>'6 - B1'!B81</f>
        <v>64</v>
      </c>
      <c r="C81" s="106">
        <f>'6 - B1'!C81</f>
        <v>49</v>
      </c>
      <c r="D81" s="106">
        <f>'6 - B1'!D81</f>
        <v>47</v>
      </c>
      <c r="E81" s="106">
        <f>'6 - B1'!E81</f>
        <v>39</v>
      </c>
      <c r="F81" s="106">
        <f>'6 - B1'!F81</f>
        <v>34</v>
      </c>
      <c r="G81" s="106">
        <f>'6 - B1'!G81</f>
        <v>64</v>
      </c>
      <c r="H81" s="106">
        <f>'6 - B1'!H81</f>
        <v>49</v>
      </c>
      <c r="I81" s="106">
        <f>'6 - B1'!I81</f>
        <v>47</v>
      </c>
      <c r="J81" s="106">
        <f>'6 - B1'!J81</f>
        <v>39</v>
      </c>
      <c r="K81" s="106">
        <f>'6 - B1'!K81</f>
        <v>34</v>
      </c>
      <c r="L81" s="106">
        <f>'6 - B1'!L81</f>
        <v>64</v>
      </c>
      <c r="M81" s="106">
        <f>'6 - B1'!M81</f>
        <v>49</v>
      </c>
      <c r="N81" s="106">
        <f>'6 - B1'!N81</f>
        <v>47</v>
      </c>
      <c r="O81" s="106">
        <f>'6 - B1'!O81</f>
        <v>39</v>
      </c>
      <c r="P81" s="106">
        <f>'6 - B1'!P81</f>
        <v>34</v>
      </c>
    </row>
    <row r="82" spans="1:16" x14ac:dyDescent="0.35">
      <c r="A82" s="108">
        <f>'6 - B1'!A82</f>
        <v>70</v>
      </c>
      <c r="B82" s="106">
        <f>'6 - B1'!B82</f>
        <v>33</v>
      </c>
      <c r="C82" s="106">
        <f>'6 - B1'!C82</f>
        <v>21</v>
      </c>
      <c r="D82" s="106">
        <f>'6 - B1'!D82</f>
        <v>21</v>
      </c>
      <c r="E82" s="106">
        <f>'6 - B1'!E82</f>
        <v>10</v>
      </c>
      <c r="F82" s="106">
        <f>'6 - B1'!F82</f>
        <v>16</v>
      </c>
      <c r="G82" s="106">
        <f>'6 - B1'!G82</f>
        <v>33</v>
      </c>
      <c r="H82" s="106">
        <f>'6 - B1'!H82</f>
        <v>21</v>
      </c>
      <c r="I82" s="106">
        <f>'6 - B1'!I82</f>
        <v>21</v>
      </c>
      <c r="J82" s="106">
        <f>'6 - B1'!J82</f>
        <v>10</v>
      </c>
      <c r="K82" s="106">
        <f>'6 - B1'!K82</f>
        <v>16</v>
      </c>
      <c r="L82" s="106">
        <f>'6 - B1'!L82</f>
        <v>33</v>
      </c>
      <c r="M82" s="106">
        <f>'6 - B1'!M82</f>
        <v>21</v>
      </c>
      <c r="N82" s="106">
        <f>'6 - B1'!N82</f>
        <v>21</v>
      </c>
      <c r="O82" s="106">
        <f>'6 - B1'!O82</f>
        <v>10</v>
      </c>
      <c r="P82" s="106">
        <f>'6 - B1'!P82</f>
        <v>16</v>
      </c>
    </row>
  </sheetData>
  <conditionalFormatting sqref="H9:H40">
    <cfRule type="cellIs" dxfId="17" priority="2" operator="greaterThan">
      <formula>1000</formula>
    </cfRule>
  </conditionalFormatting>
  <conditionalFormatting sqref="K9:K40">
    <cfRule type="cellIs" dxfId="1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tabSelected="1" zoomScale="95" zoomScaleNormal="95" workbookViewId="0">
      <selection activeCell="M18" sqref="M18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90" t="s">
        <v>201</v>
      </c>
      <c r="O2" s="90"/>
    </row>
    <row r="3" spans="1:49" ht="13.15" x14ac:dyDescent="0.4">
      <c r="A3" t="str">
        <f>'6 - B1'!$A$3</f>
        <v>Serial #</v>
      </c>
      <c r="B3" s="88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89">
        <f>'6 - B1'!$B$4</f>
        <v>45820</v>
      </c>
      <c r="O4" s="90"/>
    </row>
    <row r="5" spans="1:49" ht="13.15" x14ac:dyDescent="0.4">
      <c r="A5" s="8" t="str">
        <f>'6 - B1'!$A$5</f>
        <v>RM</v>
      </c>
      <c r="B5" s="105" t="str">
        <f>'6 - B1'!$B$5</f>
        <v>34D</v>
      </c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7" t="s">
        <v>41</v>
      </c>
      <c r="C7" s="77" t="s">
        <v>42</v>
      </c>
      <c r="D7" s="77" t="s">
        <v>44</v>
      </c>
      <c r="E7" s="77" t="s">
        <v>45</v>
      </c>
      <c r="F7" s="77" t="s">
        <v>47</v>
      </c>
      <c r="G7" s="77" t="s">
        <v>151</v>
      </c>
      <c r="H7" s="77" t="s">
        <v>152</v>
      </c>
      <c r="I7" s="77" t="s">
        <v>153</v>
      </c>
      <c r="J7" s="77" t="s">
        <v>154</v>
      </c>
      <c r="K7" s="77" t="s">
        <v>155</v>
      </c>
      <c r="L7" s="77" t="s">
        <v>156</v>
      </c>
      <c r="O7" s="77"/>
    </row>
    <row r="8" spans="1:49" ht="13.15" x14ac:dyDescent="0.4">
      <c r="A8" s="80" t="s">
        <v>157</v>
      </c>
      <c r="B8" s="49">
        <f>L52</f>
        <v>4.4751469999999998</v>
      </c>
      <c r="C8" s="49">
        <f>M52</f>
        <v>4.7339909999999996</v>
      </c>
      <c r="D8" s="49">
        <f>N52</f>
        <v>4.7205320000000004</v>
      </c>
      <c r="E8" s="49">
        <f>O52</f>
        <v>4.7539819999999997</v>
      </c>
      <c r="F8" s="49">
        <f>P52</f>
        <v>4.7760610000000003</v>
      </c>
      <c r="G8" s="93">
        <f>AVERAGE(B$8:F$8)*5</f>
        <v>23.459713000000001</v>
      </c>
      <c r="I8" s="94"/>
      <c r="K8" s="94"/>
    </row>
    <row r="9" spans="1:49" x14ac:dyDescent="0.35">
      <c r="A9" s="80" t="s">
        <v>158</v>
      </c>
      <c r="B9" s="45">
        <f t="shared" ref="B9:B38" si="0">L53/B$8</f>
        <v>14502.093450784969</v>
      </c>
      <c r="C9" s="45">
        <f t="shared" ref="C9:C38" si="1">M53/C$8</f>
        <v>14559.385516364524</v>
      </c>
      <c r="D9" s="45">
        <f t="shared" ref="D9:D38" si="2">N53/D$8</f>
        <v>14539.886606001186</v>
      </c>
      <c r="E9" s="45">
        <f t="shared" ref="E9:E38" si="3">O53/E$8</f>
        <v>14410.025111580146</v>
      </c>
      <c r="F9" s="45">
        <f t="shared" ref="F9:F38" si="4">P53/F$8</f>
        <v>14278.083969195535</v>
      </c>
      <c r="G9" s="46">
        <f t="shared" ref="G9:G38" si="5">AVERAGE(B9:F9)</f>
        <v>14457.894930785271</v>
      </c>
      <c r="H9" s="96">
        <f t="shared" ref="H9:H38" si="6">G9*G$8</f>
        <v>339178.06566037732</v>
      </c>
      <c r="I9" s="94">
        <f t="shared" ref="I9:I38" si="7">STDEVP(B9:F9)/G9</f>
        <v>7.1613065599438188E-3</v>
      </c>
      <c r="J9" s="94">
        <f t="shared" ref="J9:J38" si="8">IF(H9&gt;$A$43, $C$43, IF(H9&gt;$A$44, $C$44, IF(H9&gt;$A$45,$C$45,IF(H9&gt;$A$46,$C$46, IF(H9&gt;$A$47,$C$47,IF(H9&gt;$A$48,$C$48,$C$49))))))/100</f>
        <v>0.11</v>
      </c>
      <c r="K9" s="94">
        <f t="shared" ref="K9:K38" si="9">(MAX(B9:F9)-MIN(B9:F9))/G9</f>
        <v>1.9456604748870586E-2</v>
      </c>
      <c r="L9">
        <f t="shared" ref="L9:L38" si="10">COUNTA(B9:F9)</f>
        <v>5</v>
      </c>
      <c r="O9" s="45"/>
    </row>
    <row r="10" spans="1:49" x14ac:dyDescent="0.35">
      <c r="A10" s="80" t="s">
        <v>159</v>
      </c>
      <c r="B10" s="45">
        <f t="shared" si="0"/>
        <v>12570.983701764435</v>
      </c>
      <c r="C10" s="45">
        <f t="shared" si="1"/>
        <v>12651.270355182342</v>
      </c>
      <c r="D10" s="45">
        <f t="shared" si="2"/>
        <v>12567.651273203952</v>
      </c>
      <c r="E10" s="45">
        <f t="shared" si="3"/>
        <v>12472.701831853803</v>
      </c>
      <c r="F10" s="45">
        <f t="shared" si="4"/>
        <v>12367.094976383258</v>
      </c>
      <c r="G10" s="46">
        <f t="shared" si="5"/>
        <v>12525.940427677557</v>
      </c>
      <c r="H10" s="96">
        <f t="shared" si="6"/>
        <v>293854.96748841275</v>
      </c>
      <c r="I10" s="94">
        <f t="shared" si="7"/>
        <v>7.7847684104743152E-3</v>
      </c>
      <c r="J10" s="94">
        <f t="shared" si="8"/>
        <v>0.11</v>
      </c>
      <c r="K10" s="94">
        <f t="shared" si="9"/>
        <v>2.2686949569963182E-2</v>
      </c>
      <c r="L10">
        <f t="shared" si="10"/>
        <v>5</v>
      </c>
      <c r="O10" s="45"/>
    </row>
    <row r="11" spans="1:49" x14ac:dyDescent="0.35">
      <c r="A11" s="80" t="s">
        <v>160</v>
      </c>
      <c r="B11" s="45">
        <f t="shared" si="0"/>
        <v>10856.179696443493</v>
      </c>
      <c r="C11" s="45">
        <f t="shared" si="1"/>
        <v>10911.300845312127</v>
      </c>
      <c r="D11" s="45">
        <f t="shared" si="2"/>
        <v>10867.41918071946</v>
      </c>
      <c r="E11" s="45">
        <f t="shared" si="3"/>
        <v>10744.676778330251</v>
      </c>
      <c r="F11" s="45">
        <f t="shared" si="4"/>
        <v>10661.505370220355</v>
      </c>
      <c r="G11" s="46">
        <f t="shared" si="5"/>
        <v>10808.216374205138</v>
      </c>
      <c r="H11" s="96">
        <f t="shared" si="6"/>
        <v>253557.65418075316</v>
      </c>
      <c r="I11" s="94">
        <f t="shared" si="7"/>
        <v>8.4791196028538973E-3</v>
      </c>
      <c r="J11" s="94">
        <f t="shared" si="8"/>
        <v>0.11</v>
      </c>
      <c r="K11" s="94">
        <f t="shared" si="9"/>
        <v>2.3111627898931938E-2</v>
      </c>
      <c r="L11">
        <f t="shared" si="10"/>
        <v>5</v>
      </c>
      <c r="O11" s="45"/>
    </row>
    <row r="12" spans="1:49" x14ac:dyDescent="0.35">
      <c r="A12" s="80" t="s">
        <v>161</v>
      </c>
      <c r="B12" s="45">
        <f t="shared" si="0"/>
        <v>9464.9404812847497</v>
      </c>
      <c r="C12" s="45">
        <f t="shared" si="1"/>
        <v>9504.4540642345964</v>
      </c>
      <c r="D12" s="45">
        <f t="shared" si="2"/>
        <v>9477.957145508175</v>
      </c>
      <c r="E12" s="45">
        <f t="shared" si="3"/>
        <v>9379.2950835741503</v>
      </c>
      <c r="F12" s="45">
        <f t="shared" si="4"/>
        <v>9285.8947990823399</v>
      </c>
      <c r="G12" s="46">
        <f t="shared" si="5"/>
        <v>9422.5083147368023</v>
      </c>
      <c r="H12" s="96">
        <f t="shared" si="6"/>
        <v>221049.34080383906</v>
      </c>
      <c r="I12" s="94">
        <f t="shared" si="7"/>
        <v>8.5063190608294283E-3</v>
      </c>
      <c r="J12" s="94">
        <f t="shared" si="8"/>
        <v>0.11</v>
      </c>
      <c r="K12" s="94">
        <f t="shared" si="9"/>
        <v>2.3195444127168334E-2</v>
      </c>
      <c r="L12">
        <f t="shared" si="10"/>
        <v>5</v>
      </c>
      <c r="O12" s="45"/>
    </row>
    <row r="13" spans="1:49" x14ac:dyDescent="0.35">
      <c r="A13" s="80" t="s">
        <v>162</v>
      </c>
      <c r="B13" s="45">
        <f t="shared" si="0"/>
        <v>8066.3272066817026</v>
      </c>
      <c r="C13" s="45">
        <f t="shared" si="1"/>
        <v>8095.7061388583124</v>
      </c>
      <c r="D13" s="45">
        <f t="shared" si="2"/>
        <v>8100.3581799678504</v>
      </c>
      <c r="E13" s="45">
        <f t="shared" si="3"/>
        <v>8025.2722875265417</v>
      </c>
      <c r="F13" s="45">
        <f t="shared" si="4"/>
        <v>7902.9560133340001</v>
      </c>
      <c r="G13" s="46">
        <f t="shared" si="5"/>
        <v>8038.1239652736813</v>
      </c>
      <c r="H13" s="96">
        <f t="shared" si="6"/>
        <v>188572.08128374253</v>
      </c>
      <c r="I13" s="94">
        <f t="shared" si="7"/>
        <v>9.0432554113133445E-3</v>
      </c>
      <c r="J13" s="94">
        <f t="shared" si="8"/>
        <v>0.11</v>
      </c>
      <c r="K13" s="94">
        <f t="shared" si="9"/>
        <v>2.4558238649549022E-2</v>
      </c>
      <c r="L13">
        <f t="shared" si="10"/>
        <v>5</v>
      </c>
      <c r="O13" s="45"/>
    </row>
    <row r="14" spans="1:49" x14ac:dyDescent="0.35">
      <c r="A14" s="80" t="s">
        <v>163</v>
      </c>
      <c r="B14" s="45">
        <f t="shared" si="0"/>
        <v>6870.8357513172195</v>
      </c>
      <c r="C14" s="45">
        <f t="shared" si="1"/>
        <v>6927.9810629128788</v>
      </c>
      <c r="D14" s="45">
        <f t="shared" si="2"/>
        <v>6964.8929400330298</v>
      </c>
      <c r="E14" s="45">
        <f t="shared" si="3"/>
        <v>6884.9650671794725</v>
      </c>
      <c r="F14" s="45">
        <f t="shared" si="4"/>
        <v>6773.1546979822906</v>
      </c>
      <c r="G14" s="46">
        <f t="shared" si="5"/>
        <v>6884.3659038849783</v>
      </c>
      <c r="H14" s="96">
        <f t="shared" si="6"/>
        <v>161505.24829212719</v>
      </c>
      <c r="I14" s="94">
        <f t="shared" si="7"/>
        <v>9.399855127696222E-3</v>
      </c>
      <c r="J14" s="94">
        <f t="shared" si="8"/>
        <v>0.11</v>
      </c>
      <c r="K14" s="94">
        <f t="shared" si="9"/>
        <v>2.785125670652365E-2</v>
      </c>
      <c r="L14">
        <f t="shared" si="10"/>
        <v>5</v>
      </c>
      <c r="O14" s="45"/>
    </row>
    <row r="15" spans="1:49" x14ac:dyDescent="0.35">
      <c r="A15" s="80" t="s">
        <v>164</v>
      </c>
      <c r="B15" s="45">
        <f t="shared" si="0"/>
        <v>5810.7588421117789</v>
      </c>
      <c r="C15" s="45">
        <f t="shared" si="1"/>
        <v>5872.845977104731</v>
      </c>
      <c r="D15" s="45">
        <f t="shared" si="2"/>
        <v>5891.9206564005917</v>
      </c>
      <c r="E15" s="45">
        <f t="shared" si="3"/>
        <v>5813.0215890594454</v>
      </c>
      <c r="F15" s="45">
        <f t="shared" si="4"/>
        <v>5742.5983462104023</v>
      </c>
      <c r="G15" s="46">
        <f t="shared" si="5"/>
        <v>5826.2290821773895</v>
      </c>
      <c r="H15" s="96">
        <f t="shared" si="6"/>
        <v>136681.66214013498</v>
      </c>
      <c r="I15" s="94">
        <f t="shared" si="7"/>
        <v>9.0485365428909312E-3</v>
      </c>
      <c r="J15" s="94">
        <f t="shared" si="8"/>
        <v>0.11</v>
      </c>
      <c r="K15" s="94">
        <f t="shared" si="9"/>
        <v>2.5629323544275131E-2</v>
      </c>
      <c r="L15">
        <f t="shared" si="10"/>
        <v>5</v>
      </c>
      <c r="O15" s="45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spans="1:49" ht="13.15" x14ac:dyDescent="0.4">
      <c r="A16" s="80" t="s">
        <v>165</v>
      </c>
      <c r="B16" s="45">
        <f t="shared" si="0"/>
        <v>4868.4434276684096</v>
      </c>
      <c r="C16" s="45">
        <f t="shared" si="1"/>
        <v>4937.2717438626314</v>
      </c>
      <c r="D16" s="45">
        <f t="shared" si="2"/>
        <v>4950.9250228575929</v>
      </c>
      <c r="E16" s="45">
        <f t="shared" si="3"/>
        <v>4874.2296458000892</v>
      </c>
      <c r="F16" s="45">
        <f t="shared" si="4"/>
        <v>4801.0274575638796</v>
      </c>
      <c r="G16" s="46">
        <f t="shared" si="5"/>
        <v>4886.3794595505206</v>
      </c>
      <c r="H16" s="96">
        <f t="shared" si="6"/>
        <v>114633.05973015033</v>
      </c>
      <c r="I16" s="94">
        <f t="shared" si="7"/>
        <v>1.1024732635348049E-2</v>
      </c>
      <c r="J16" s="94">
        <f t="shared" si="8"/>
        <v>0.11</v>
      </c>
      <c r="K16" s="94">
        <f t="shared" si="9"/>
        <v>3.0676611698818381E-2</v>
      </c>
      <c r="L16">
        <f t="shared" si="10"/>
        <v>5</v>
      </c>
      <c r="O16" s="45"/>
      <c r="P16" s="8"/>
      <c r="Q16" s="8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spans="1:49" ht="13.15" x14ac:dyDescent="0.4">
      <c r="A17" s="80" t="s">
        <v>166</v>
      </c>
      <c r="B17" s="45">
        <f t="shared" si="0"/>
        <v>3994.2821989981562</v>
      </c>
      <c r="C17" s="45">
        <f t="shared" si="1"/>
        <v>4088.0939570861037</v>
      </c>
      <c r="D17" s="45">
        <f t="shared" si="2"/>
        <v>4083.0143721089062</v>
      </c>
      <c r="E17" s="45">
        <f t="shared" si="3"/>
        <v>4026.5192421847623</v>
      </c>
      <c r="F17" s="45">
        <f t="shared" si="4"/>
        <v>3979.4299109663798</v>
      </c>
      <c r="G17" s="46">
        <f t="shared" si="5"/>
        <v>4034.2679362688614</v>
      </c>
      <c r="H17" s="96">
        <f t="shared" si="6"/>
        <v>94642.767949969784</v>
      </c>
      <c r="I17" s="94">
        <f t="shared" si="7"/>
        <v>1.1051824248822232E-2</v>
      </c>
      <c r="J17" s="94">
        <f t="shared" si="8"/>
        <v>0.11</v>
      </c>
      <c r="K17" s="94">
        <f t="shared" si="9"/>
        <v>2.693525760716407E-2</v>
      </c>
      <c r="L17">
        <f t="shared" si="10"/>
        <v>5</v>
      </c>
      <c r="O17" s="45"/>
      <c r="P17" s="8"/>
      <c r="Q17" s="8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spans="1:49" ht="13.15" x14ac:dyDescent="0.4">
      <c r="A18" s="80" t="s">
        <v>167</v>
      </c>
      <c r="B18" s="45">
        <f t="shared" si="0"/>
        <v>3249.502195123423</v>
      </c>
      <c r="C18" s="45">
        <f t="shared" si="1"/>
        <v>3331.8610026930769</v>
      </c>
      <c r="D18" s="45">
        <f t="shared" si="2"/>
        <v>3341.5725176738551</v>
      </c>
      <c r="E18" s="45">
        <f t="shared" si="3"/>
        <v>3273.4663278068788</v>
      </c>
      <c r="F18" s="45">
        <f t="shared" si="4"/>
        <v>3259.1711035516505</v>
      </c>
      <c r="G18" s="46">
        <f t="shared" si="5"/>
        <v>3291.114629369777</v>
      </c>
      <c r="H18" s="96">
        <f t="shared" si="6"/>
        <v>77208.604655116345</v>
      </c>
      <c r="I18" s="94">
        <f t="shared" si="7"/>
        <v>1.1585921377314023E-2</v>
      </c>
      <c r="J18" s="94">
        <f t="shared" si="8"/>
        <v>0.11</v>
      </c>
      <c r="K18" s="94">
        <f t="shared" si="9"/>
        <v>2.797542259051089E-2</v>
      </c>
      <c r="L18">
        <f t="shared" si="10"/>
        <v>5</v>
      </c>
      <c r="O18" s="45"/>
      <c r="P18" s="8"/>
      <c r="Q18" s="8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spans="1:49" ht="13.15" x14ac:dyDescent="0.4">
      <c r="A19" s="80" t="s">
        <v>168</v>
      </c>
      <c r="B19" s="45">
        <f t="shared" si="0"/>
        <v>2605.5010036541817</v>
      </c>
      <c r="C19" s="45">
        <f t="shared" si="1"/>
        <v>2669.8403102160528</v>
      </c>
      <c r="D19" s="45">
        <f t="shared" si="2"/>
        <v>2662.1999384815099</v>
      </c>
      <c r="E19" s="45">
        <f t="shared" si="3"/>
        <v>2619.2779021881029</v>
      </c>
      <c r="F19" s="45">
        <f t="shared" si="4"/>
        <v>2596.9098803386305</v>
      </c>
      <c r="G19" s="46">
        <f t="shared" si="5"/>
        <v>2630.7458069756954</v>
      </c>
      <c r="H19" s="96">
        <f t="shared" si="6"/>
        <v>61716.541607603212</v>
      </c>
      <c r="I19" s="94">
        <f t="shared" si="7"/>
        <v>1.1316388122062043E-2</v>
      </c>
      <c r="J19" s="94">
        <f t="shared" si="8"/>
        <v>0.11</v>
      </c>
      <c r="K19" s="94">
        <f t="shared" si="9"/>
        <v>2.772234006190932E-2</v>
      </c>
      <c r="L19">
        <f t="shared" si="10"/>
        <v>5</v>
      </c>
      <c r="O19" s="45"/>
      <c r="P19" s="8"/>
      <c r="Q19" s="8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spans="1:49" ht="13.15" x14ac:dyDescent="0.4">
      <c r="A20" s="80" t="s">
        <v>169</v>
      </c>
      <c r="B20" s="45">
        <f t="shared" si="0"/>
        <v>2036.581144708766</v>
      </c>
      <c r="C20" s="45">
        <f t="shared" si="1"/>
        <v>2099.9194971008606</v>
      </c>
      <c r="D20" s="45">
        <f t="shared" si="2"/>
        <v>2093.4081158649064</v>
      </c>
      <c r="E20" s="45">
        <f t="shared" si="3"/>
        <v>2042.2879177918639</v>
      </c>
      <c r="F20" s="45">
        <f t="shared" si="4"/>
        <v>2031.1717124215959</v>
      </c>
      <c r="G20" s="46">
        <f t="shared" si="5"/>
        <v>2060.6736775775985</v>
      </c>
      <c r="H20" s="96">
        <f t="shared" si="6"/>
        <v>48342.813062624999</v>
      </c>
      <c r="I20" s="94">
        <f t="shared" si="7"/>
        <v>1.4396708269136589E-2</v>
      </c>
      <c r="J20" s="94">
        <f t="shared" si="8"/>
        <v>0.11</v>
      </c>
      <c r="K20" s="94">
        <f t="shared" si="9"/>
        <v>3.336180076802861E-2</v>
      </c>
      <c r="L20">
        <f t="shared" si="10"/>
        <v>5</v>
      </c>
      <c r="O20" s="45"/>
      <c r="P20" s="8"/>
      <c r="Q20" s="8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spans="1:49" ht="13.15" x14ac:dyDescent="0.4">
      <c r="A21" s="80" t="s">
        <v>170</v>
      </c>
      <c r="B21" s="45">
        <f t="shared" si="0"/>
        <v>1578.0487210811177</v>
      </c>
      <c r="C21" s="45">
        <f t="shared" si="1"/>
        <v>1625.2671371787569</v>
      </c>
      <c r="D21" s="45">
        <f t="shared" si="2"/>
        <v>1627.3589502200175</v>
      </c>
      <c r="E21" s="45">
        <f t="shared" si="3"/>
        <v>1562.0589223939007</v>
      </c>
      <c r="F21" s="45">
        <f t="shared" si="4"/>
        <v>1567.1910388079214</v>
      </c>
      <c r="G21" s="46">
        <f t="shared" si="5"/>
        <v>1591.9849539363427</v>
      </c>
      <c r="H21" s="96">
        <f t="shared" si="6"/>
        <v>37347.510119664817</v>
      </c>
      <c r="I21" s="94">
        <f t="shared" si="7"/>
        <v>1.7907242298412555E-2</v>
      </c>
      <c r="J21" s="94">
        <f t="shared" si="8"/>
        <v>0.11</v>
      </c>
      <c r="K21" s="94">
        <f t="shared" si="9"/>
        <v>4.101799308131393E-2</v>
      </c>
      <c r="L21">
        <f t="shared" si="10"/>
        <v>5</v>
      </c>
      <c r="O21" s="45"/>
      <c r="R21" s="77"/>
      <c r="S21" s="77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spans="1:49" x14ac:dyDescent="0.35">
      <c r="A22" s="80" t="s">
        <v>171</v>
      </c>
      <c r="B22" s="45">
        <f t="shared" si="0"/>
        <v>1203.5358838491786</v>
      </c>
      <c r="C22" s="45">
        <f t="shared" si="1"/>
        <v>1248.4180895147456</v>
      </c>
      <c r="D22" s="45">
        <f t="shared" si="2"/>
        <v>1251.7656908162046</v>
      </c>
      <c r="E22" s="45">
        <f t="shared" si="3"/>
        <v>1186.3738651092915</v>
      </c>
      <c r="F22" s="45">
        <f t="shared" si="4"/>
        <v>1193.033338560793</v>
      </c>
      <c r="G22" s="46">
        <f t="shared" si="5"/>
        <v>1216.6253735700425</v>
      </c>
      <c r="H22" s="96">
        <f t="shared" si="6"/>
        <v>28541.682092470983</v>
      </c>
      <c r="I22" s="94">
        <f t="shared" si="7"/>
        <v>2.2922388166784196E-2</v>
      </c>
      <c r="J22" s="94">
        <f t="shared" si="8"/>
        <v>0.11</v>
      </c>
      <c r="K22" s="94">
        <f t="shared" si="9"/>
        <v>5.3748530260410862E-2</v>
      </c>
      <c r="L22">
        <f t="shared" si="10"/>
        <v>5</v>
      </c>
      <c r="O22" s="45"/>
      <c r="P22" s="80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x14ac:dyDescent="0.35">
      <c r="A23" s="80" t="s">
        <v>172</v>
      </c>
      <c r="B23" s="45">
        <f t="shared" si="0"/>
        <v>925.55618843358673</v>
      </c>
      <c r="C23" s="45">
        <f t="shared" si="1"/>
        <v>938.74280707335527</v>
      </c>
      <c r="D23" s="45">
        <f t="shared" si="2"/>
        <v>961.33232440750317</v>
      </c>
      <c r="E23" s="45">
        <f t="shared" si="3"/>
        <v>898.61509782746339</v>
      </c>
      <c r="F23" s="45">
        <f t="shared" si="4"/>
        <v>886.50459028894306</v>
      </c>
      <c r="G23" s="46">
        <f t="shared" si="5"/>
        <v>922.15020160617041</v>
      </c>
      <c r="H23" s="96">
        <f t="shared" si="6"/>
        <v>21633.379072572898</v>
      </c>
      <c r="I23" s="94">
        <f t="shared" si="7"/>
        <v>2.9286080562692839E-2</v>
      </c>
      <c r="J23" s="94">
        <f t="shared" si="8"/>
        <v>0.11</v>
      </c>
      <c r="K23" s="94">
        <f t="shared" si="9"/>
        <v>8.1144843853233076E-2</v>
      </c>
      <c r="L23">
        <f t="shared" si="10"/>
        <v>5</v>
      </c>
      <c r="O23" s="45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</row>
    <row r="24" spans="1:49" x14ac:dyDescent="0.35">
      <c r="A24" s="80" t="s">
        <v>173</v>
      </c>
      <c r="B24" s="45">
        <f t="shared" si="0"/>
        <v>711.26155185516814</v>
      </c>
      <c r="C24" s="45">
        <f t="shared" si="1"/>
        <v>713.14035028794945</v>
      </c>
      <c r="D24" s="45">
        <f t="shared" si="2"/>
        <v>727.67221999554283</v>
      </c>
      <c r="E24" s="45">
        <f t="shared" si="3"/>
        <v>693.94457109850237</v>
      </c>
      <c r="F24" s="45">
        <f t="shared" si="4"/>
        <v>669.79881538363929</v>
      </c>
      <c r="G24" s="46">
        <f t="shared" si="5"/>
        <v>703.16350172416037</v>
      </c>
      <c r="H24" s="96">
        <f t="shared" si="6"/>
        <v>16496.013942523809</v>
      </c>
      <c r="I24" s="94">
        <f t="shared" si="7"/>
        <v>2.8185624980533716E-2</v>
      </c>
      <c r="J24" s="94">
        <f t="shared" si="8"/>
        <v>0.11</v>
      </c>
      <c r="K24" s="94">
        <f t="shared" si="9"/>
        <v>8.2304335293281961E-2</v>
      </c>
      <c r="L24">
        <f t="shared" si="10"/>
        <v>5</v>
      </c>
      <c r="O24" s="45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x14ac:dyDescent="0.35">
      <c r="A25" s="80" t="s">
        <v>174</v>
      </c>
      <c r="B25" s="45">
        <f t="shared" si="0"/>
        <v>553.72482736321285</v>
      </c>
      <c r="C25" s="45">
        <f t="shared" si="1"/>
        <v>542.88231642180983</v>
      </c>
      <c r="D25" s="45">
        <f t="shared" si="2"/>
        <v>558.19979612467398</v>
      </c>
      <c r="E25" s="45">
        <f t="shared" si="3"/>
        <v>522.2989906146048</v>
      </c>
      <c r="F25" s="45">
        <f t="shared" si="4"/>
        <v>508.78747151680011</v>
      </c>
      <c r="G25" s="46">
        <f t="shared" si="5"/>
        <v>537.17868040822032</v>
      </c>
      <c r="H25" s="96">
        <f t="shared" si="6"/>
        <v>12602.057672095572</v>
      </c>
      <c r="I25" s="94">
        <f t="shared" si="7"/>
        <v>3.5081333553290329E-2</v>
      </c>
      <c r="J25" s="94">
        <f t="shared" si="8"/>
        <v>0.11</v>
      </c>
      <c r="K25" s="94">
        <f t="shared" si="9"/>
        <v>9.1984895175519193E-2</v>
      </c>
      <c r="L25">
        <f t="shared" si="10"/>
        <v>5</v>
      </c>
      <c r="O25" s="45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</row>
    <row r="26" spans="1:49" x14ac:dyDescent="0.35">
      <c r="A26" s="80" t="s">
        <v>175</v>
      </c>
      <c r="B26" s="45">
        <f t="shared" si="0"/>
        <v>428.36581681004003</v>
      </c>
      <c r="C26" s="45">
        <f t="shared" si="1"/>
        <v>410.64716853073867</v>
      </c>
      <c r="D26" s="45">
        <f t="shared" si="2"/>
        <v>430.24811610216813</v>
      </c>
      <c r="E26" s="45">
        <f t="shared" si="3"/>
        <v>403.030554175426</v>
      </c>
      <c r="F26" s="45">
        <f t="shared" si="4"/>
        <v>382.74218021922246</v>
      </c>
      <c r="G26" s="46">
        <f t="shared" si="5"/>
        <v>411.00676716751906</v>
      </c>
      <c r="H26" s="96">
        <f t="shared" si="6"/>
        <v>9642.10079880782</v>
      </c>
      <c r="I26" s="94">
        <f t="shared" si="7"/>
        <v>4.2619400482489168E-2</v>
      </c>
      <c r="J26" s="94">
        <f t="shared" si="8"/>
        <v>0.113</v>
      </c>
      <c r="K26" s="94">
        <f t="shared" si="9"/>
        <v>0.1155843155827726</v>
      </c>
      <c r="L26">
        <f t="shared" si="10"/>
        <v>5</v>
      </c>
      <c r="O26" s="45"/>
    </row>
    <row r="27" spans="1:49" x14ac:dyDescent="0.35">
      <c r="A27" s="80" t="s">
        <v>176</v>
      </c>
      <c r="B27" s="45">
        <f t="shared" si="0"/>
        <v>328.03391709814224</v>
      </c>
      <c r="C27" s="45">
        <f t="shared" si="1"/>
        <v>314.3225240605654</v>
      </c>
      <c r="D27" s="45">
        <f t="shared" si="2"/>
        <v>332.80147237641859</v>
      </c>
      <c r="E27" s="45">
        <f t="shared" si="3"/>
        <v>313.84216431614595</v>
      </c>
      <c r="F27" s="45">
        <f t="shared" si="4"/>
        <v>295.01298245562606</v>
      </c>
      <c r="G27" s="46">
        <f t="shared" si="5"/>
        <v>316.80261206137965</v>
      </c>
      <c r="H27" s="96">
        <f t="shared" si="6"/>
        <v>7432.098356610305</v>
      </c>
      <c r="I27" s="94">
        <f t="shared" si="7"/>
        <v>4.1680878681547795E-2</v>
      </c>
      <c r="J27" s="94">
        <f t="shared" si="8"/>
        <v>0.113</v>
      </c>
      <c r="K27" s="94">
        <f t="shared" si="9"/>
        <v>0.11928086600962466</v>
      </c>
      <c r="L27">
        <f t="shared" si="10"/>
        <v>5</v>
      </c>
      <c r="O27" s="45"/>
    </row>
    <row r="28" spans="1:49" x14ac:dyDescent="0.35">
      <c r="A28" s="80" t="s">
        <v>177</v>
      </c>
      <c r="B28" s="45">
        <f t="shared" si="0"/>
        <v>253.17604092111389</v>
      </c>
      <c r="C28" s="45">
        <f t="shared" si="1"/>
        <v>239.75541989834795</v>
      </c>
      <c r="D28" s="45">
        <f t="shared" si="2"/>
        <v>251.66654944824015</v>
      </c>
      <c r="E28" s="45">
        <f t="shared" si="3"/>
        <v>242.32317244785531</v>
      </c>
      <c r="F28" s="45">
        <f t="shared" si="4"/>
        <v>222.56834659356318</v>
      </c>
      <c r="G28" s="46">
        <f t="shared" si="5"/>
        <v>241.89790586182409</v>
      </c>
      <c r="H28" s="96">
        <f t="shared" si="6"/>
        <v>5674.8554468194106</v>
      </c>
      <c r="I28" s="94">
        <f t="shared" si="7"/>
        <v>4.5324122642956571E-2</v>
      </c>
      <c r="J28" s="94">
        <f t="shared" si="8"/>
        <v>0.113</v>
      </c>
      <c r="K28" s="94">
        <f t="shared" si="9"/>
        <v>0.12653145639480781</v>
      </c>
      <c r="L28">
        <f t="shared" si="10"/>
        <v>5</v>
      </c>
      <c r="O28" s="45"/>
    </row>
    <row r="29" spans="1:49" x14ac:dyDescent="0.35">
      <c r="A29" s="80" t="s">
        <v>178</v>
      </c>
      <c r="B29" s="45">
        <f t="shared" si="0"/>
        <v>195.3008471006651</v>
      </c>
      <c r="C29" s="45">
        <f t="shared" si="1"/>
        <v>183.3548057019965</v>
      </c>
      <c r="D29" s="45">
        <f t="shared" si="2"/>
        <v>188.96175261601869</v>
      </c>
      <c r="E29" s="45">
        <f t="shared" si="3"/>
        <v>189.73567842705339</v>
      </c>
      <c r="F29" s="45">
        <f t="shared" si="4"/>
        <v>161.84885410801914</v>
      </c>
      <c r="G29" s="46">
        <f t="shared" si="5"/>
        <v>183.84038759075057</v>
      </c>
      <c r="H29" s="96">
        <f t="shared" si="6"/>
        <v>4312.8427306877702</v>
      </c>
      <c r="I29" s="94">
        <f t="shared" si="7"/>
        <v>6.3256898864058622E-2</v>
      </c>
      <c r="J29" s="94">
        <f t="shared" si="8"/>
        <v>0.11900000000000001</v>
      </c>
      <c r="K29" s="94">
        <f t="shared" si="9"/>
        <v>0.18196215440490621</v>
      </c>
      <c r="L29">
        <f t="shared" si="10"/>
        <v>5</v>
      </c>
      <c r="O29" s="45"/>
    </row>
    <row r="30" spans="1:49" x14ac:dyDescent="0.35">
      <c r="A30" s="80" t="s">
        <v>179</v>
      </c>
      <c r="B30" s="45">
        <f t="shared" si="0"/>
        <v>148.37501427327416</v>
      </c>
      <c r="C30" s="45">
        <f t="shared" si="1"/>
        <v>138.99477206441671</v>
      </c>
      <c r="D30" s="45">
        <f t="shared" si="2"/>
        <v>143.41603870072271</v>
      </c>
      <c r="E30" s="45">
        <f t="shared" si="3"/>
        <v>140.93448397574917</v>
      </c>
      <c r="F30" s="45">
        <f t="shared" si="4"/>
        <v>122.69525033285797</v>
      </c>
      <c r="G30" s="46">
        <f t="shared" si="5"/>
        <v>138.88311186940413</v>
      </c>
      <c r="H30" s="96">
        <f t="shared" si="6"/>
        <v>3258.1579450031145</v>
      </c>
      <c r="I30" s="94">
        <f t="shared" si="7"/>
        <v>6.2515112778032969E-2</v>
      </c>
      <c r="J30" s="94">
        <f t="shared" si="8"/>
        <v>0.11900000000000001</v>
      </c>
      <c r="K30" s="94">
        <f t="shared" si="9"/>
        <v>0.18490199128432283</v>
      </c>
      <c r="L30">
        <f t="shared" si="10"/>
        <v>5</v>
      </c>
      <c r="O30" s="45"/>
    </row>
    <row r="31" spans="1:49" x14ac:dyDescent="0.35">
      <c r="A31" s="80" t="s">
        <v>180</v>
      </c>
      <c r="B31" s="45">
        <f t="shared" si="0"/>
        <v>110.83434801136141</v>
      </c>
      <c r="C31" s="45">
        <f t="shared" si="1"/>
        <v>107.09779549644266</v>
      </c>
      <c r="D31" s="45">
        <f t="shared" si="2"/>
        <v>108.88603233703319</v>
      </c>
      <c r="E31" s="45">
        <f t="shared" si="3"/>
        <v>102.86113830468858</v>
      </c>
      <c r="F31" s="45">
        <f t="shared" si="4"/>
        <v>90.660483607726107</v>
      </c>
      <c r="G31" s="46">
        <f t="shared" si="5"/>
        <v>104.06795955145037</v>
      </c>
      <c r="H31" s="96">
        <f t="shared" si="6"/>
        <v>2441.4044635726345</v>
      </c>
      <c r="I31" s="94">
        <f t="shared" si="7"/>
        <v>6.9211522190839259E-2</v>
      </c>
      <c r="J31" s="94">
        <f t="shared" si="8"/>
        <v>0.11900000000000001</v>
      </c>
      <c r="K31" s="94">
        <f t="shared" si="9"/>
        <v>0.19385279091266808</v>
      </c>
      <c r="L31">
        <f t="shared" si="10"/>
        <v>5</v>
      </c>
      <c r="O31" s="45"/>
    </row>
    <row r="32" spans="1:49" x14ac:dyDescent="0.35">
      <c r="A32" s="80" t="s">
        <v>181</v>
      </c>
      <c r="B32" s="45">
        <f t="shared" si="0"/>
        <v>84.24304274250656</v>
      </c>
      <c r="C32" s="45">
        <f t="shared" si="1"/>
        <v>77.735677993473161</v>
      </c>
      <c r="D32" s="45">
        <f t="shared" si="2"/>
        <v>78.592836570115395</v>
      </c>
      <c r="E32" s="45">
        <f t="shared" si="3"/>
        <v>77.198441222537241</v>
      </c>
      <c r="F32" s="45">
        <f t="shared" si="4"/>
        <v>65.744553932623546</v>
      </c>
      <c r="G32" s="46">
        <f t="shared" si="5"/>
        <v>76.702910492251178</v>
      </c>
      <c r="H32" s="96">
        <f t="shared" si="6"/>
        <v>1799.4282664129014</v>
      </c>
      <c r="I32" s="94">
        <f t="shared" si="7"/>
        <v>7.8619041797561823E-2</v>
      </c>
      <c r="J32" s="94">
        <f t="shared" si="8"/>
        <v>0.13400000000000001</v>
      </c>
      <c r="K32" s="94">
        <f t="shared" si="9"/>
        <v>0.24117062431094843</v>
      </c>
      <c r="L32">
        <f t="shared" si="10"/>
        <v>5</v>
      </c>
      <c r="O32" s="45"/>
    </row>
    <row r="33" spans="1:15" x14ac:dyDescent="0.35">
      <c r="A33" s="80" t="s">
        <v>182</v>
      </c>
      <c r="B33" s="45">
        <f t="shared" si="0"/>
        <v>60.556669982014</v>
      </c>
      <c r="C33" s="45">
        <f t="shared" si="1"/>
        <v>56.189375940934411</v>
      </c>
      <c r="D33" s="45">
        <f t="shared" si="2"/>
        <v>58.467986235449729</v>
      </c>
      <c r="E33" s="45">
        <f t="shared" si="3"/>
        <v>54.690993781634013</v>
      </c>
      <c r="F33" s="45">
        <f t="shared" si="4"/>
        <v>42.713022300175808</v>
      </c>
      <c r="G33" s="46">
        <f t="shared" si="5"/>
        <v>54.523609648041585</v>
      </c>
      <c r="H33" s="96">
        <f t="shared" si="6"/>
        <v>1279.1082340670866</v>
      </c>
      <c r="I33" s="94">
        <f t="shared" si="7"/>
        <v>0.11431663954608912</v>
      </c>
      <c r="J33" s="94">
        <f t="shared" si="8"/>
        <v>0.13400000000000001</v>
      </c>
      <c r="K33" s="94">
        <f t="shared" si="9"/>
        <v>0.32726460696607806</v>
      </c>
      <c r="L33">
        <f t="shared" si="10"/>
        <v>5</v>
      </c>
      <c r="O33" s="45"/>
    </row>
    <row r="34" spans="1:15" x14ac:dyDescent="0.35">
      <c r="A34" s="80" t="s">
        <v>183</v>
      </c>
      <c r="B34" s="45">
        <f t="shared" si="0"/>
        <v>45.808551093405427</v>
      </c>
      <c r="C34" s="45">
        <f t="shared" si="1"/>
        <v>40.135268529238864</v>
      </c>
      <c r="D34" s="45">
        <f t="shared" si="2"/>
        <v>43.215468087071535</v>
      </c>
      <c r="E34" s="45">
        <f t="shared" si="3"/>
        <v>39.335445527559848</v>
      </c>
      <c r="F34" s="45">
        <f t="shared" si="4"/>
        <v>29.940991122182062</v>
      </c>
      <c r="G34" s="46">
        <f t="shared" si="5"/>
        <v>39.687144871891547</v>
      </c>
      <c r="H34" s="96">
        <f t="shared" si="6"/>
        <v>931.04902848399752</v>
      </c>
      <c r="I34" s="94">
        <f t="shared" si="7"/>
        <v>0.13579924189810719</v>
      </c>
      <c r="J34" s="94">
        <f t="shared" si="8"/>
        <v>0.156</v>
      </c>
      <c r="K34" s="94">
        <f t="shared" si="9"/>
        <v>0.39981611230647074</v>
      </c>
      <c r="L34">
        <f t="shared" si="10"/>
        <v>5</v>
      </c>
      <c r="O34" s="45"/>
    </row>
    <row r="35" spans="1:15" x14ac:dyDescent="0.35">
      <c r="A35" s="80" t="s">
        <v>184</v>
      </c>
      <c r="B35" s="45">
        <f t="shared" si="0"/>
        <v>34.188821059956247</v>
      </c>
      <c r="C35" s="45">
        <f t="shared" si="1"/>
        <v>27.460973204216064</v>
      </c>
      <c r="D35" s="45">
        <f t="shared" si="2"/>
        <v>28.810312058047693</v>
      </c>
      <c r="E35" s="45">
        <f t="shared" si="3"/>
        <v>25.241997129984927</v>
      </c>
      <c r="F35" s="45">
        <f t="shared" si="4"/>
        <v>19.053357986843132</v>
      </c>
      <c r="G35" s="46">
        <f t="shared" si="5"/>
        <v>26.951092287809615</v>
      </c>
      <c r="H35" s="96">
        <f t="shared" si="6"/>
        <v>632.26489010852697</v>
      </c>
      <c r="I35" s="94">
        <f t="shared" si="7"/>
        <v>0.18282766066845804</v>
      </c>
      <c r="J35" s="94">
        <f t="shared" si="8"/>
        <v>0.156</v>
      </c>
      <c r="K35" s="94">
        <f t="shared" si="9"/>
        <v>0.56158996865441013</v>
      </c>
      <c r="L35">
        <f t="shared" si="10"/>
        <v>5</v>
      </c>
      <c r="O35" s="45"/>
    </row>
    <row r="36" spans="1:15" x14ac:dyDescent="0.35">
      <c r="A36" s="80" t="s">
        <v>185</v>
      </c>
      <c r="B36" s="45">
        <f t="shared" si="0"/>
        <v>22.122178332912863</v>
      </c>
      <c r="C36" s="45">
        <f t="shared" si="1"/>
        <v>19.645157753785337</v>
      </c>
      <c r="D36" s="45">
        <f t="shared" si="2"/>
        <v>20.124850334665666</v>
      </c>
      <c r="E36" s="45">
        <f t="shared" si="3"/>
        <v>16.407298134490205</v>
      </c>
      <c r="F36" s="45">
        <f t="shared" si="4"/>
        <v>12.562653617698768</v>
      </c>
      <c r="G36" s="46">
        <f t="shared" si="5"/>
        <v>18.172427634710566</v>
      </c>
      <c r="H36" s="96">
        <f t="shared" si="6"/>
        <v>426.3199368235787</v>
      </c>
      <c r="I36" s="94">
        <f t="shared" si="7"/>
        <v>0.18443416381114611</v>
      </c>
      <c r="J36" s="94">
        <f t="shared" si="8"/>
        <v>0.193</v>
      </c>
      <c r="K36" s="94">
        <f t="shared" si="9"/>
        <v>0.52604555139098519</v>
      </c>
      <c r="L36">
        <f t="shared" si="10"/>
        <v>5</v>
      </c>
      <c r="O36" s="45"/>
    </row>
    <row r="37" spans="1:15" x14ac:dyDescent="0.35">
      <c r="A37" s="80" t="s">
        <v>186</v>
      </c>
      <c r="B37" s="45">
        <f t="shared" si="0"/>
        <v>14.301206195014377</v>
      </c>
      <c r="C37" s="45">
        <f t="shared" si="1"/>
        <v>10.350674515435285</v>
      </c>
      <c r="D37" s="45">
        <f t="shared" si="2"/>
        <v>9.9565049024135401</v>
      </c>
      <c r="E37" s="45">
        <f t="shared" si="3"/>
        <v>8.2036490672451023</v>
      </c>
      <c r="F37" s="45">
        <f t="shared" si="4"/>
        <v>7.1188370500293017</v>
      </c>
      <c r="G37" s="46">
        <f t="shared" si="5"/>
        <v>9.9861743460275214</v>
      </c>
      <c r="H37" s="96">
        <f t="shared" si="6"/>
        <v>234.27278412576834</v>
      </c>
      <c r="I37" s="94">
        <f t="shared" si="7"/>
        <v>0.24590977294409661</v>
      </c>
      <c r="J37" s="94">
        <f t="shared" si="8"/>
        <v>0.193</v>
      </c>
      <c r="K37" s="94">
        <f t="shared" si="9"/>
        <v>0.7192312988048527</v>
      </c>
      <c r="L37">
        <f t="shared" si="10"/>
        <v>5</v>
      </c>
    </row>
    <row r="38" spans="1:15" x14ac:dyDescent="0.35">
      <c r="A38" s="80" t="s">
        <v>187</v>
      </c>
      <c r="B38" s="45">
        <f t="shared" si="0"/>
        <v>7.3740594443042884</v>
      </c>
      <c r="C38" s="45">
        <f t="shared" si="1"/>
        <v>4.4360033637579797</v>
      </c>
      <c r="D38" s="45">
        <f t="shared" si="2"/>
        <v>4.4486511266103053</v>
      </c>
      <c r="E38" s="45">
        <f t="shared" si="3"/>
        <v>2.1034997608320771</v>
      </c>
      <c r="F38" s="45">
        <f t="shared" si="4"/>
        <v>3.3500409647196716</v>
      </c>
      <c r="G38" s="46">
        <f t="shared" si="5"/>
        <v>4.3424509320448639</v>
      </c>
      <c r="H38" s="96">
        <f t="shared" si="6"/>
        <v>101.87265258235502</v>
      </c>
      <c r="I38" s="94">
        <f t="shared" si="7"/>
        <v>0.40162681995362798</v>
      </c>
      <c r="J38" s="94">
        <f t="shared" si="8"/>
        <v>0.27500000000000002</v>
      </c>
      <c r="K38" s="94">
        <f t="shared" si="9"/>
        <v>1.2137292432203257</v>
      </c>
      <c r="L38">
        <f t="shared" si="10"/>
        <v>5</v>
      </c>
    </row>
    <row r="40" spans="1:15" x14ac:dyDescent="0.35">
      <c r="A40" t="s">
        <v>188</v>
      </c>
    </row>
    <row r="41" spans="1:15" ht="15" x14ac:dyDescent="0.5">
      <c r="A41" s="38"/>
      <c r="B41" s="98" t="s">
        <v>189</v>
      </c>
      <c r="C41" s="38"/>
      <c r="D41" s="99" t="s">
        <v>190</v>
      </c>
      <c r="E41" s="39"/>
      <c r="F41" s="39"/>
      <c r="G41" s="39"/>
      <c r="H41" s="100"/>
    </row>
    <row r="42" spans="1:15" ht="15" x14ac:dyDescent="0.5">
      <c r="A42" s="101" t="s">
        <v>191</v>
      </c>
      <c r="B42" s="102" t="s">
        <v>192</v>
      </c>
      <c r="C42" s="101" t="s">
        <v>193</v>
      </c>
      <c r="D42" s="101" t="s">
        <v>194</v>
      </c>
      <c r="E42" s="102" t="s">
        <v>195</v>
      </c>
      <c r="F42" s="102" t="s">
        <v>196</v>
      </c>
      <c r="G42" s="102" t="s">
        <v>197</v>
      </c>
      <c r="H42" s="103" t="s">
        <v>198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4">
        <v>5.5</v>
      </c>
    </row>
    <row r="51" spans="1:16" x14ac:dyDescent="0.35">
      <c r="A51" s="106">
        <f>'6 - B1'!A51</f>
        <v>0</v>
      </c>
      <c r="B51" s="107" t="str">
        <f>'6 - B1'!B51</f>
        <v>Portion 1</v>
      </c>
      <c r="C51" s="107" t="str">
        <f>'6 - B1'!C51</f>
        <v>Portion 2</v>
      </c>
      <c r="D51" s="107" t="str">
        <f>'6 - B1'!D51</f>
        <v>Portion 3</v>
      </c>
      <c r="E51" s="107" t="str">
        <f>'6 - B1'!E51</f>
        <v>Portion 4</v>
      </c>
      <c r="F51" s="107" t="str">
        <f>'6 - B1'!F51</f>
        <v>Portion 5</v>
      </c>
      <c r="G51" s="107" t="str">
        <f>'6 - B1'!G51</f>
        <v>Portion 1</v>
      </c>
      <c r="H51" s="107" t="str">
        <f>'6 - B1'!H51</f>
        <v>Portion 2</v>
      </c>
      <c r="I51" s="107" t="str">
        <f>'6 - B1'!I51</f>
        <v>Portion 3</v>
      </c>
      <c r="J51" s="107" t="str">
        <f>'6 - B1'!J51</f>
        <v>Portion 4</v>
      </c>
      <c r="K51" s="107" t="str">
        <f>'6 - B1'!K51</f>
        <v>Portion 5</v>
      </c>
      <c r="L51" s="107" t="str">
        <f>'6 - B1'!L51</f>
        <v>Portion 1</v>
      </c>
      <c r="M51" s="107" t="str">
        <f>'6 - B1'!M51</f>
        <v>Portion 2</v>
      </c>
      <c r="N51" s="107" t="str">
        <f>'6 - B1'!N51</f>
        <v>Portion 3</v>
      </c>
      <c r="O51" s="107" t="str">
        <f>'6 - B1'!O51</f>
        <v>Portion 4</v>
      </c>
      <c r="P51" s="107" t="str">
        <f>'6 - B1'!P51</f>
        <v>Portion 5</v>
      </c>
    </row>
    <row r="52" spans="1:16" x14ac:dyDescent="0.35">
      <c r="A52" s="106" t="str">
        <f>'6 - B1'!A52</f>
        <v>NAME\mL</v>
      </c>
      <c r="B52" s="106">
        <f>'6 - B1'!B52</f>
        <v>4.4751469999999998</v>
      </c>
      <c r="C52" s="106">
        <f>'6 - B1'!C52</f>
        <v>4.7339909999999996</v>
      </c>
      <c r="D52" s="106">
        <f>'6 - B1'!D52</f>
        <v>4.7205320000000004</v>
      </c>
      <c r="E52" s="106">
        <f>'6 - B1'!E52</f>
        <v>4.7539819999999997</v>
      </c>
      <c r="F52" s="106">
        <f>'6 - B1'!F52</f>
        <v>4.7760610000000003</v>
      </c>
      <c r="G52" s="106">
        <f>'6 - B1'!G52</f>
        <v>4.4751469999999998</v>
      </c>
      <c r="H52" s="106">
        <f>'6 - B1'!H52</f>
        <v>4.7339909999999996</v>
      </c>
      <c r="I52" s="106">
        <f>'6 - B1'!I52</f>
        <v>4.7205320000000004</v>
      </c>
      <c r="J52" s="106">
        <f>'6 - B1'!J52</f>
        <v>4.7539819999999997</v>
      </c>
      <c r="K52" s="106">
        <f>'6 - B1'!K52</f>
        <v>4.7760610000000003</v>
      </c>
      <c r="L52" s="106">
        <f>'6 - B1'!L52</f>
        <v>4.4751469999999998</v>
      </c>
      <c r="M52" s="106">
        <f>'6 - B1'!M52</f>
        <v>4.7339909999999996</v>
      </c>
      <c r="N52" s="106">
        <f>'6 - B1'!N52</f>
        <v>4.7205320000000004</v>
      </c>
      <c r="O52" s="106">
        <f>'6 - B1'!O52</f>
        <v>4.7539819999999997</v>
      </c>
      <c r="P52" s="106">
        <f>'6 - B1'!P52</f>
        <v>4.7760610000000003</v>
      </c>
    </row>
    <row r="53" spans="1:16" x14ac:dyDescent="0.35">
      <c r="A53" s="106">
        <f>'6 - B1'!A53</f>
        <v>4</v>
      </c>
      <c r="B53" s="106">
        <f>'6 - B1'!B53</f>
        <v>64899</v>
      </c>
      <c r="C53" s="106">
        <f>'6 - B1'!C53</f>
        <v>68924</v>
      </c>
      <c r="D53" s="106">
        <f>'6 - B1'!D53</f>
        <v>68636</v>
      </c>
      <c r="E53" s="106">
        <f>'6 - B1'!E53</f>
        <v>68505</v>
      </c>
      <c r="F53" s="106">
        <f>'6 - B1'!F53</f>
        <v>68193</v>
      </c>
      <c r="G53" s="106">
        <f>'6 - B1'!G53</f>
        <v>64899</v>
      </c>
      <c r="H53" s="106">
        <f>'6 - B1'!H53</f>
        <v>68924</v>
      </c>
      <c r="I53" s="106">
        <f>'6 - B1'!I53</f>
        <v>68636</v>
      </c>
      <c r="J53" s="106">
        <f>'6 - B1'!J53</f>
        <v>68505</v>
      </c>
      <c r="K53" s="106">
        <f>'6 - B1'!K53</f>
        <v>68193</v>
      </c>
      <c r="L53" s="106">
        <f>'6 - B1'!L53</f>
        <v>64899</v>
      </c>
      <c r="M53" s="106">
        <f>'6 - B1'!M53</f>
        <v>68924</v>
      </c>
      <c r="N53" s="106">
        <f>'6 - B1'!N53</f>
        <v>68636</v>
      </c>
      <c r="O53" s="106">
        <f>'6 - B1'!O53</f>
        <v>68505</v>
      </c>
      <c r="P53" s="106">
        <f>'6 - B1'!P53</f>
        <v>68193</v>
      </c>
    </row>
    <row r="54" spans="1:16" x14ac:dyDescent="0.35">
      <c r="A54" s="106">
        <f>'6 - B1'!A54</f>
        <v>5</v>
      </c>
      <c r="B54" s="106">
        <f>'6 - B1'!B54</f>
        <v>56257</v>
      </c>
      <c r="C54" s="106">
        <f>'6 - B1'!C54</f>
        <v>59891</v>
      </c>
      <c r="D54" s="106">
        <f>'6 - B1'!D54</f>
        <v>59326</v>
      </c>
      <c r="E54" s="106">
        <f>'6 - B1'!E54</f>
        <v>59295</v>
      </c>
      <c r="F54" s="106">
        <f>'6 - B1'!F54</f>
        <v>59066</v>
      </c>
      <c r="G54" s="106">
        <f>'6 - B1'!G54</f>
        <v>56257</v>
      </c>
      <c r="H54" s="106">
        <f>'6 - B1'!H54</f>
        <v>59891</v>
      </c>
      <c r="I54" s="106">
        <f>'6 - B1'!I54</f>
        <v>59326</v>
      </c>
      <c r="J54" s="106">
        <f>'6 - B1'!J54</f>
        <v>59295</v>
      </c>
      <c r="K54" s="106">
        <f>'6 - B1'!K54</f>
        <v>59066</v>
      </c>
      <c r="L54" s="106">
        <f>'6 - B1'!L54</f>
        <v>56257</v>
      </c>
      <c r="M54" s="106">
        <f>'6 - B1'!M54</f>
        <v>59891</v>
      </c>
      <c r="N54" s="106">
        <f>'6 - B1'!N54</f>
        <v>59326</v>
      </c>
      <c r="O54" s="106">
        <f>'6 - B1'!O54</f>
        <v>59295</v>
      </c>
      <c r="P54" s="106">
        <f>'6 - B1'!P54</f>
        <v>59066</v>
      </c>
    </row>
    <row r="55" spans="1:16" x14ac:dyDescent="0.35">
      <c r="A55" s="106">
        <f>'6 - B1'!A55</f>
        <v>6</v>
      </c>
      <c r="B55" s="106">
        <f>'6 - B1'!B55</f>
        <v>48583</v>
      </c>
      <c r="C55" s="106">
        <f>'6 - B1'!C55</f>
        <v>51654</v>
      </c>
      <c r="D55" s="106">
        <f>'6 - B1'!D55</f>
        <v>51300</v>
      </c>
      <c r="E55" s="106">
        <f>'6 - B1'!E55</f>
        <v>51080</v>
      </c>
      <c r="F55" s="106">
        <f>'6 - B1'!F55</f>
        <v>50920</v>
      </c>
      <c r="G55" s="106">
        <f>'6 - B1'!G55</f>
        <v>48583</v>
      </c>
      <c r="H55" s="106">
        <f>'6 - B1'!H55</f>
        <v>51654</v>
      </c>
      <c r="I55" s="106">
        <f>'6 - B1'!I55</f>
        <v>51300</v>
      </c>
      <c r="J55" s="106">
        <f>'6 - B1'!J55</f>
        <v>51080</v>
      </c>
      <c r="K55" s="106">
        <f>'6 - B1'!K55</f>
        <v>50920</v>
      </c>
      <c r="L55" s="106">
        <f>'6 - B1'!L55</f>
        <v>48583</v>
      </c>
      <c r="M55" s="106">
        <f>'6 - B1'!M55</f>
        <v>51654</v>
      </c>
      <c r="N55" s="106">
        <f>'6 - B1'!N55</f>
        <v>51300</v>
      </c>
      <c r="O55" s="106">
        <f>'6 - B1'!O55</f>
        <v>51080</v>
      </c>
      <c r="P55" s="106">
        <f>'6 - B1'!P55</f>
        <v>50920</v>
      </c>
    </row>
    <row r="56" spans="1:16" x14ac:dyDescent="0.35">
      <c r="A56" s="106">
        <f>'6 - B1'!A56</f>
        <v>7</v>
      </c>
      <c r="B56" s="106">
        <f>'6 - B1'!B56</f>
        <v>42357</v>
      </c>
      <c r="C56" s="106">
        <f>'6 - B1'!C56</f>
        <v>44994</v>
      </c>
      <c r="D56" s="106">
        <f>'6 - B1'!D56</f>
        <v>44741</v>
      </c>
      <c r="E56" s="106">
        <f>'6 - B1'!E56</f>
        <v>44589</v>
      </c>
      <c r="F56" s="106">
        <f>'6 - B1'!F56</f>
        <v>44350</v>
      </c>
      <c r="G56" s="106">
        <f>'6 - B1'!G56</f>
        <v>42357</v>
      </c>
      <c r="H56" s="106">
        <f>'6 - B1'!H56</f>
        <v>44994</v>
      </c>
      <c r="I56" s="106">
        <f>'6 - B1'!I56</f>
        <v>44741</v>
      </c>
      <c r="J56" s="106">
        <f>'6 - B1'!J56</f>
        <v>44589</v>
      </c>
      <c r="K56" s="106">
        <f>'6 - B1'!K56</f>
        <v>44350</v>
      </c>
      <c r="L56" s="106">
        <f>'6 - B1'!L56</f>
        <v>42357</v>
      </c>
      <c r="M56" s="106">
        <f>'6 - B1'!M56</f>
        <v>44994</v>
      </c>
      <c r="N56" s="106">
        <f>'6 - B1'!N56</f>
        <v>44741</v>
      </c>
      <c r="O56" s="106">
        <f>'6 - B1'!O56</f>
        <v>44589</v>
      </c>
      <c r="P56" s="106">
        <f>'6 - B1'!P56</f>
        <v>44350</v>
      </c>
    </row>
    <row r="57" spans="1:16" x14ac:dyDescent="0.35">
      <c r="A57" s="106">
        <f>'6 - B1'!A57</f>
        <v>8</v>
      </c>
      <c r="B57" s="106">
        <f>'6 - B1'!B57</f>
        <v>36098</v>
      </c>
      <c r="C57" s="106">
        <f>'6 - B1'!C57</f>
        <v>38325</v>
      </c>
      <c r="D57" s="106">
        <f>'6 - B1'!D57</f>
        <v>38238</v>
      </c>
      <c r="E57" s="106">
        <f>'6 - B1'!E57</f>
        <v>38152</v>
      </c>
      <c r="F57" s="106">
        <f>'6 - B1'!F57</f>
        <v>37745</v>
      </c>
      <c r="G57" s="106">
        <f>'6 - B1'!G57</f>
        <v>36098</v>
      </c>
      <c r="H57" s="106">
        <f>'6 - B1'!H57</f>
        <v>38325</v>
      </c>
      <c r="I57" s="106">
        <f>'6 - B1'!I57</f>
        <v>38238</v>
      </c>
      <c r="J57" s="106">
        <f>'6 - B1'!J57</f>
        <v>38152</v>
      </c>
      <c r="K57" s="106">
        <f>'6 - B1'!K57</f>
        <v>37745</v>
      </c>
      <c r="L57" s="106">
        <f>'6 - B1'!L57</f>
        <v>36098</v>
      </c>
      <c r="M57" s="106">
        <f>'6 - B1'!M57</f>
        <v>38325</v>
      </c>
      <c r="N57" s="106">
        <f>'6 - B1'!N57</f>
        <v>38238</v>
      </c>
      <c r="O57" s="106">
        <f>'6 - B1'!O57</f>
        <v>38152</v>
      </c>
      <c r="P57" s="106">
        <f>'6 - B1'!P57</f>
        <v>37745</v>
      </c>
    </row>
    <row r="58" spans="1:16" x14ac:dyDescent="0.35">
      <c r="A58" s="106">
        <f>'6 - B1'!A58</f>
        <v>9</v>
      </c>
      <c r="B58" s="106">
        <f>'6 - B1'!B58</f>
        <v>30748</v>
      </c>
      <c r="C58" s="106">
        <f>'6 - B1'!C58</f>
        <v>32797</v>
      </c>
      <c r="D58" s="106">
        <f>'6 - B1'!D58</f>
        <v>32878</v>
      </c>
      <c r="E58" s="106">
        <f>'6 - B1'!E58</f>
        <v>32731</v>
      </c>
      <c r="F58" s="106">
        <f>'6 - B1'!F58</f>
        <v>32349</v>
      </c>
      <c r="G58" s="106">
        <f>'6 - B1'!G58</f>
        <v>30748</v>
      </c>
      <c r="H58" s="106">
        <f>'6 - B1'!H58</f>
        <v>32797</v>
      </c>
      <c r="I58" s="106">
        <f>'6 - B1'!I58</f>
        <v>32878</v>
      </c>
      <c r="J58" s="106">
        <f>'6 - B1'!J58</f>
        <v>32731</v>
      </c>
      <c r="K58" s="106">
        <f>'6 - B1'!K58</f>
        <v>32349</v>
      </c>
      <c r="L58" s="106">
        <f>'6 - B1'!L58</f>
        <v>30748</v>
      </c>
      <c r="M58" s="106">
        <f>'6 - B1'!M58</f>
        <v>32797</v>
      </c>
      <c r="N58" s="106">
        <f>'6 - B1'!N58</f>
        <v>32878</v>
      </c>
      <c r="O58" s="106">
        <f>'6 - B1'!O58</f>
        <v>32731</v>
      </c>
      <c r="P58" s="106">
        <f>'6 - B1'!P58</f>
        <v>32349</v>
      </c>
    </row>
    <row r="59" spans="1:16" x14ac:dyDescent="0.35">
      <c r="A59" s="106">
        <f>'6 - B1'!A59</f>
        <v>10</v>
      </c>
      <c r="B59" s="106">
        <f>'6 - B1'!B59</f>
        <v>26004</v>
      </c>
      <c r="C59" s="106">
        <f>'6 - B1'!C59</f>
        <v>27802</v>
      </c>
      <c r="D59" s="106">
        <f>'6 - B1'!D59</f>
        <v>27813</v>
      </c>
      <c r="E59" s="106">
        <f>'6 - B1'!E59</f>
        <v>27635</v>
      </c>
      <c r="F59" s="106">
        <f>'6 - B1'!F59</f>
        <v>27427</v>
      </c>
      <c r="G59" s="106">
        <f>'6 - B1'!G59</f>
        <v>26004</v>
      </c>
      <c r="H59" s="106">
        <f>'6 - B1'!H59</f>
        <v>27802</v>
      </c>
      <c r="I59" s="106">
        <f>'6 - B1'!I59</f>
        <v>27813</v>
      </c>
      <c r="J59" s="106">
        <f>'6 - B1'!J59</f>
        <v>27635</v>
      </c>
      <c r="K59" s="106">
        <f>'6 - B1'!K59</f>
        <v>27427</v>
      </c>
      <c r="L59" s="106">
        <f>'6 - B1'!L59</f>
        <v>26004</v>
      </c>
      <c r="M59" s="106">
        <f>'6 - B1'!M59</f>
        <v>27802</v>
      </c>
      <c r="N59" s="106">
        <f>'6 - B1'!N59</f>
        <v>27813</v>
      </c>
      <c r="O59" s="106">
        <f>'6 - B1'!O59</f>
        <v>27635</v>
      </c>
      <c r="P59" s="106">
        <f>'6 - B1'!P59</f>
        <v>27427</v>
      </c>
    </row>
    <row r="60" spans="1:16" x14ac:dyDescent="0.35">
      <c r="A60" s="106">
        <f>'6 - B1'!A60</f>
        <v>11</v>
      </c>
      <c r="B60" s="106">
        <f>'6 - B1'!B60</f>
        <v>21787</v>
      </c>
      <c r="C60" s="106">
        <f>'6 - B1'!C60</f>
        <v>23373</v>
      </c>
      <c r="D60" s="106">
        <f>'6 - B1'!D60</f>
        <v>23371</v>
      </c>
      <c r="E60" s="106">
        <f>'6 - B1'!E60</f>
        <v>23172</v>
      </c>
      <c r="F60" s="106">
        <f>'6 - B1'!F60</f>
        <v>22930</v>
      </c>
      <c r="G60" s="106">
        <f>'6 - B1'!G60</f>
        <v>21787</v>
      </c>
      <c r="H60" s="106">
        <f>'6 - B1'!H60</f>
        <v>23373</v>
      </c>
      <c r="I60" s="106">
        <f>'6 - B1'!I60</f>
        <v>23371</v>
      </c>
      <c r="J60" s="106">
        <f>'6 - B1'!J60</f>
        <v>23172</v>
      </c>
      <c r="K60" s="106">
        <f>'6 - B1'!K60</f>
        <v>22930</v>
      </c>
      <c r="L60" s="106">
        <f>'6 - B1'!L60</f>
        <v>21787</v>
      </c>
      <c r="M60" s="106">
        <f>'6 - B1'!M60</f>
        <v>23373</v>
      </c>
      <c r="N60" s="106">
        <f>'6 - B1'!N60</f>
        <v>23371</v>
      </c>
      <c r="O60" s="106">
        <f>'6 - B1'!O60</f>
        <v>23172</v>
      </c>
      <c r="P60" s="106">
        <f>'6 - B1'!P60</f>
        <v>22930</v>
      </c>
    </row>
    <row r="61" spans="1:16" x14ac:dyDescent="0.35">
      <c r="A61" s="106">
        <f>'6 - B1'!A61</f>
        <v>12</v>
      </c>
      <c r="B61" s="106">
        <f>'6 - B1'!B61</f>
        <v>17875</v>
      </c>
      <c r="C61" s="106">
        <f>'6 - B1'!C61</f>
        <v>19353</v>
      </c>
      <c r="D61" s="106">
        <f>'6 - B1'!D61</f>
        <v>19274</v>
      </c>
      <c r="E61" s="106">
        <f>'6 - B1'!E61</f>
        <v>19142</v>
      </c>
      <c r="F61" s="106">
        <f>'6 - B1'!F61</f>
        <v>19006</v>
      </c>
      <c r="G61" s="106">
        <f>'6 - B1'!G61</f>
        <v>17875</v>
      </c>
      <c r="H61" s="106">
        <f>'6 - B1'!H61</f>
        <v>19353</v>
      </c>
      <c r="I61" s="106">
        <f>'6 - B1'!I61</f>
        <v>19274</v>
      </c>
      <c r="J61" s="106">
        <f>'6 - B1'!J61</f>
        <v>19142</v>
      </c>
      <c r="K61" s="106">
        <f>'6 - B1'!K61</f>
        <v>19006</v>
      </c>
      <c r="L61" s="106">
        <f>'6 - B1'!L61</f>
        <v>17875</v>
      </c>
      <c r="M61" s="106">
        <f>'6 - B1'!M61</f>
        <v>19353</v>
      </c>
      <c r="N61" s="106">
        <f>'6 - B1'!N61</f>
        <v>19274</v>
      </c>
      <c r="O61" s="106">
        <f>'6 - B1'!O61</f>
        <v>19142</v>
      </c>
      <c r="P61" s="106">
        <f>'6 - B1'!P61</f>
        <v>19006</v>
      </c>
    </row>
    <row r="62" spans="1:16" x14ac:dyDescent="0.35">
      <c r="A62" s="106">
        <f>'6 - B1'!A62</f>
        <v>13</v>
      </c>
      <c r="B62" s="106">
        <f>'6 - B1'!B62</f>
        <v>14542</v>
      </c>
      <c r="C62" s="106">
        <f>'6 - B1'!C62</f>
        <v>15773</v>
      </c>
      <c r="D62" s="106">
        <f>'6 - B1'!D62</f>
        <v>15774</v>
      </c>
      <c r="E62" s="106">
        <f>'6 - B1'!E62</f>
        <v>15562</v>
      </c>
      <c r="F62" s="106">
        <f>'6 - B1'!F62</f>
        <v>15566</v>
      </c>
      <c r="G62" s="106">
        <f>'6 - B1'!G62</f>
        <v>14542</v>
      </c>
      <c r="H62" s="106">
        <f>'6 - B1'!H62</f>
        <v>15773</v>
      </c>
      <c r="I62" s="106">
        <f>'6 - B1'!I62</f>
        <v>15774</v>
      </c>
      <c r="J62" s="106">
        <f>'6 - B1'!J62</f>
        <v>15562</v>
      </c>
      <c r="K62" s="106">
        <f>'6 - B1'!K62</f>
        <v>15566</v>
      </c>
      <c r="L62" s="106">
        <f>'6 - B1'!L62</f>
        <v>14542</v>
      </c>
      <c r="M62" s="106">
        <f>'6 - B1'!M62</f>
        <v>15773</v>
      </c>
      <c r="N62" s="106">
        <f>'6 - B1'!N62</f>
        <v>15774</v>
      </c>
      <c r="O62" s="106">
        <f>'6 - B1'!O62</f>
        <v>15562</v>
      </c>
      <c r="P62" s="106">
        <f>'6 - B1'!P62</f>
        <v>15566</v>
      </c>
    </row>
    <row r="63" spans="1:16" x14ac:dyDescent="0.35">
      <c r="A63" s="106">
        <f>'6 - B1'!A63</f>
        <v>14</v>
      </c>
      <c r="B63" s="106">
        <f>'6 - B1'!B63</f>
        <v>11660</v>
      </c>
      <c r="C63" s="106">
        <f>'6 - B1'!C63</f>
        <v>12639</v>
      </c>
      <c r="D63" s="106">
        <f>'6 - B1'!D63</f>
        <v>12567</v>
      </c>
      <c r="E63" s="106">
        <f>'6 - B1'!E63</f>
        <v>12452</v>
      </c>
      <c r="F63" s="106">
        <f>'6 - B1'!F63</f>
        <v>12403</v>
      </c>
      <c r="G63" s="106">
        <f>'6 - B1'!G63</f>
        <v>11660</v>
      </c>
      <c r="H63" s="106">
        <f>'6 - B1'!H63</f>
        <v>12639</v>
      </c>
      <c r="I63" s="106">
        <f>'6 - B1'!I63</f>
        <v>12567</v>
      </c>
      <c r="J63" s="106">
        <f>'6 - B1'!J63</f>
        <v>12452</v>
      </c>
      <c r="K63" s="106">
        <f>'6 - B1'!K63</f>
        <v>12403</v>
      </c>
      <c r="L63" s="106">
        <f>'6 - B1'!L63</f>
        <v>11660</v>
      </c>
      <c r="M63" s="106">
        <f>'6 - B1'!M63</f>
        <v>12639</v>
      </c>
      <c r="N63" s="106">
        <f>'6 - B1'!N63</f>
        <v>12567</v>
      </c>
      <c r="O63" s="106">
        <f>'6 - B1'!O63</f>
        <v>12452</v>
      </c>
      <c r="P63" s="106">
        <f>'6 - B1'!P63</f>
        <v>12403</v>
      </c>
    </row>
    <row r="64" spans="1:16" x14ac:dyDescent="0.35">
      <c r="A64" s="106">
        <f>'6 - B1'!A64</f>
        <v>15</v>
      </c>
      <c r="B64" s="106">
        <f>'6 - B1'!B64</f>
        <v>9114</v>
      </c>
      <c r="C64" s="106">
        <f>'6 - B1'!C64</f>
        <v>9941</v>
      </c>
      <c r="D64" s="106">
        <f>'6 - B1'!D64</f>
        <v>9882</v>
      </c>
      <c r="E64" s="106">
        <f>'6 - B1'!E64</f>
        <v>9709</v>
      </c>
      <c r="F64" s="106">
        <f>'6 - B1'!F64</f>
        <v>9701</v>
      </c>
      <c r="G64" s="106">
        <f>'6 - B1'!G64</f>
        <v>9114</v>
      </c>
      <c r="H64" s="106">
        <f>'6 - B1'!H64</f>
        <v>9941</v>
      </c>
      <c r="I64" s="106">
        <f>'6 - B1'!I64</f>
        <v>9882</v>
      </c>
      <c r="J64" s="106">
        <f>'6 - B1'!J64</f>
        <v>9709</v>
      </c>
      <c r="K64" s="106">
        <f>'6 - B1'!K64</f>
        <v>9701</v>
      </c>
      <c r="L64" s="106">
        <f>'6 - B1'!L64</f>
        <v>9114</v>
      </c>
      <c r="M64" s="106">
        <f>'6 - B1'!M64</f>
        <v>9941</v>
      </c>
      <c r="N64" s="106">
        <f>'6 - B1'!N64</f>
        <v>9882</v>
      </c>
      <c r="O64" s="106">
        <f>'6 - B1'!O64</f>
        <v>9709</v>
      </c>
      <c r="P64" s="106">
        <f>'6 - B1'!P64</f>
        <v>9701</v>
      </c>
    </row>
    <row r="65" spans="1:16" x14ac:dyDescent="0.35">
      <c r="A65" s="106">
        <f>'6 - B1'!A65</f>
        <v>16</v>
      </c>
      <c r="B65" s="106">
        <f>'6 - B1'!B65</f>
        <v>7062</v>
      </c>
      <c r="C65" s="106">
        <f>'6 - B1'!C65</f>
        <v>7694</v>
      </c>
      <c r="D65" s="106">
        <f>'6 - B1'!D65</f>
        <v>7682</v>
      </c>
      <c r="E65" s="106">
        <f>'6 - B1'!E65</f>
        <v>7426</v>
      </c>
      <c r="F65" s="106">
        <f>'6 - B1'!F65</f>
        <v>7485</v>
      </c>
      <c r="G65" s="106">
        <f>'6 - B1'!G65</f>
        <v>7062</v>
      </c>
      <c r="H65" s="106">
        <f>'6 - B1'!H65</f>
        <v>7694</v>
      </c>
      <c r="I65" s="106">
        <f>'6 - B1'!I65</f>
        <v>7682</v>
      </c>
      <c r="J65" s="106">
        <f>'6 - B1'!J65</f>
        <v>7426</v>
      </c>
      <c r="K65" s="106">
        <f>'6 - B1'!K65</f>
        <v>7485</v>
      </c>
      <c r="L65" s="106">
        <f>'6 - B1'!L65</f>
        <v>7062</v>
      </c>
      <c r="M65" s="106">
        <f>'6 - B1'!M65</f>
        <v>7694</v>
      </c>
      <c r="N65" s="106">
        <f>'6 - B1'!N65</f>
        <v>7682</v>
      </c>
      <c r="O65" s="106">
        <f>'6 - B1'!O65</f>
        <v>7426</v>
      </c>
      <c r="P65" s="106">
        <f>'6 - B1'!P65</f>
        <v>7485</v>
      </c>
    </row>
    <row r="66" spans="1:16" x14ac:dyDescent="0.35">
      <c r="A66" s="106">
        <f>'6 - B1'!A66</f>
        <v>17</v>
      </c>
      <c r="B66" s="106">
        <f>'6 - B1'!B66</f>
        <v>5386</v>
      </c>
      <c r="C66" s="106">
        <f>'6 - B1'!C66</f>
        <v>5910</v>
      </c>
      <c r="D66" s="106">
        <f>'6 - B1'!D66</f>
        <v>5909</v>
      </c>
      <c r="E66" s="106">
        <f>'6 - B1'!E66</f>
        <v>5640</v>
      </c>
      <c r="F66" s="106">
        <f>'6 - B1'!F66</f>
        <v>5698</v>
      </c>
      <c r="G66" s="106">
        <f>'6 - B1'!G66</f>
        <v>5386</v>
      </c>
      <c r="H66" s="106">
        <f>'6 - B1'!H66</f>
        <v>5910</v>
      </c>
      <c r="I66" s="106">
        <f>'6 - B1'!I66</f>
        <v>5909</v>
      </c>
      <c r="J66" s="106">
        <f>'6 - B1'!J66</f>
        <v>5640</v>
      </c>
      <c r="K66" s="106">
        <f>'6 - B1'!K66</f>
        <v>5698</v>
      </c>
      <c r="L66" s="106">
        <f>'6 - B1'!L66</f>
        <v>5386</v>
      </c>
      <c r="M66" s="106">
        <f>'6 - B1'!M66</f>
        <v>5910</v>
      </c>
      <c r="N66" s="106">
        <f>'6 - B1'!N66</f>
        <v>5909</v>
      </c>
      <c r="O66" s="106">
        <f>'6 - B1'!O66</f>
        <v>5640</v>
      </c>
      <c r="P66" s="106">
        <f>'6 - B1'!P66</f>
        <v>5698</v>
      </c>
    </row>
    <row r="67" spans="1:16" x14ac:dyDescent="0.35">
      <c r="A67" s="106">
        <f>'6 - B1'!A67</f>
        <v>18</v>
      </c>
      <c r="B67" s="106">
        <f>'6 - B1'!B67</f>
        <v>4142</v>
      </c>
      <c r="C67" s="106">
        <f>'6 - B1'!C67</f>
        <v>4444</v>
      </c>
      <c r="D67" s="106">
        <f>'6 - B1'!D67</f>
        <v>4538</v>
      </c>
      <c r="E67" s="106">
        <f>'6 - B1'!E67</f>
        <v>4272</v>
      </c>
      <c r="F67" s="106">
        <f>'6 - B1'!F67</f>
        <v>4234</v>
      </c>
      <c r="G67" s="106">
        <f>'6 - B1'!G67</f>
        <v>4142</v>
      </c>
      <c r="H67" s="106">
        <f>'6 - B1'!H67</f>
        <v>4444</v>
      </c>
      <c r="I67" s="106">
        <f>'6 - B1'!I67</f>
        <v>4538</v>
      </c>
      <c r="J67" s="106">
        <f>'6 - B1'!J67</f>
        <v>4272</v>
      </c>
      <c r="K67" s="106">
        <f>'6 - B1'!K67</f>
        <v>4234</v>
      </c>
      <c r="L67" s="106">
        <f>'6 - B1'!L67</f>
        <v>4142</v>
      </c>
      <c r="M67" s="106">
        <f>'6 - B1'!M67</f>
        <v>4444</v>
      </c>
      <c r="N67" s="106">
        <f>'6 - B1'!N67</f>
        <v>4538</v>
      </c>
      <c r="O67" s="106">
        <f>'6 - B1'!O67</f>
        <v>4272</v>
      </c>
      <c r="P67" s="106">
        <f>'6 - B1'!P67</f>
        <v>4234</v>
      </c>
    </row>
    <row r="68" spans="1:16" x14ac:dyDescent="0.35">
      <c r="A68" s="106">
        <f>'6 - B1'!A68</f>
        <v>19</v>
      </c>
      <c r="B68" s="106">
        <f>'6 - B1'!B68</f>
        <v>3183</v>
      </c>
      <c r="C68" s="106">
        <f>'6 - B1'!C68</f>
        <v>3376</v>
      </c>
      <c r="D68" s="106">
        <f>'6 - B1'!D68</f>
        <v>3435</v>
      </c>
      <c r="E68" s="106">
        <f>'6 - B1'!E68</f>
        <v>3299</v>
      </c>
      <c r="F68" s="106">
        <f>'6 - B1'!F68</f>
        <v>3199</v>
      </c>
      <c r="G68" s="106">
        <f>'6 - B1'!G68</f>
        <v>3183</v>
      </c>
      <c r="H68" s="106">
        <f>'6 - B1'!H68</f>
        <v>3376</v>
      </c>
      <c r="I68" s="106">
        <f>'6 - B1'!I68</f>
        <v>3435</v>
      </c>
      <c r="J68" s="106">
        <f>'6 - B1'!J68</f>
        <v>3299</v>
      </c>
      <c r="K68" s="106">
        <f>'6 - B1'!K68</f>
        <v>3199</v>
      </c>
      <c r="L68" s="106">
        <f>'6 - B1'!L68</f>
        <v>3183</v>
      </c>
      <c r="M68" s="106">
        <f>'6 - B1'!M68</f>
        <v>3376</v>
      </c>
      <c r="N68" s="106">
        <f>'6 - B1'!N68</f>
        <v>3435</v>
      </c>
      <c r="O68" s="106">
        <f>'6 - B1'!O68</f>
        <v>3299</v>
      </c>
      <c r="P68" s="106">
        <f>'6 - B1'!P68</f>
        <v>3199</v>
      </c>
    </row>
    <row r="69" spans="1:16" x14ac:dyDescent="0.35">
      <c r="A69" s="106">
        <f>'6 - B1'!A69</f>
        <v>20</v>
      </c>
      <c r="B69" s="106">
        <f>'6 - B1'!B69</f>
        <v>2478</v>
      </c>
      <c r="C69" s="106">
        <f>'6 - B1'!C69</f>
        <v>2570</v>
      </c>
      <c r="D69" s="106">
        <f>'6 - B1'!D69</f>
        <v>2635</v>
      </c>
      <c r="E69" s="106">
        <f>'6 - B1'!E69</f>
        <v>2483</v>
      </c>
      <c r="F69" s="106">
        <f>'6 - B1'!F69</f>
        <v>2430</v>
      </c>
      <c r="G69" s="106">
        <f>'6 - B1'!G69</f>
        <v>2478</v>
      </c>
      <c r="H69" s="106">
        <f>'6 - B1'!H69</f>
        <v>2570</v>
      </c>
      <c r="I69" s="106">
        <f>'6 - B1'!I69</f>
        <v>2635</v>
      </c>
      <c r="J69" s="106">
        <f>'6 - B1'!J69</f>
        <v>2483</v>
      </c>
      <c r="K69" s="106">
        <f>'6 - B1'!K69</f>
        <v>2430</v>
      </c>
      <c r="L69" s="106">
        <f>'6 - B1'!L69</f>
        <v>2478</v>
      </c>
      <c r="M69" s="106">
        <f>'6 - B1'!M69</f>
        <v>2570</v>
      </c>
      <c r="N69" s="106">
        <f>'6 - B1'!N69</f>
        <v>2635</v>
      </c>
      <c r="O69" s="106">
        <f>'6 - B1'!O69</f>
        <v>2483</v>
      </c>
      <c r="P69" s="106">
        <f>'6 - B1'!P69</f>
        <v>2430</v>
      </c>
    </row>
    <row r="70" spans="1:16" x14ac:dyDescent="0.35">
      <c r="A70" s="106">
        <f>'6 - B1'!A70</f>
        <v>21</v>
      </c>
      <c r="B70" s="106">
        <f>'6 - B1'!B70</f>
        <v>1917</v>
      </c>
      <c r="C70" s="106">
        <f>'6 - B1'!C70</f>
        <v>1944</v>
      </c>
      <c r="D70" s="106">
        <f>'6 - B1'!D70</f>
        <v>2031</v>
      </c>
      <c r="E70" s="106">
        <f>'6 - B1'!E70</f>
        <v>1916</v>
      </c>
      <c r="F70" s="106">
        <f>'6 - B1'!F70</f>
        <v>1828</v>
      </c>
      <c r="G70" s="106">
        <f>'6 - B1'!G70</f>
        <v>1917</v>
      </c>
      <c r="H70" s="106">
        <f>'6 - B1'!H70</f>
        <v>1944</v>
      </c>
      <c r="I70" s="106">
        <f>'6 - B1'!I70</f>
        <v>2031</v>
      </c>
      <c r="J70" s="106">
        <f>'6 - B1'!J70</f>
        <v>1916</v>
      </c>
      <c r="K70" s="106">
        <f>'6 - B1'!K70</f>
        <v>1828</v>
      </c>
      <c r="L70" s="106">
        <f>'6 - B1'!L70</f>
        <v>1917</v>
      </c>
      <c r="M70" s="106">
        <f>'6 - B1'!M70</f>
        <v>1944</v>
      </c>
      <c r="N70" s="106">
        <f>'6 - B1'!N70</f>
        <v>2031</v>
      </c>
      <c r="O70" s="106">
        <f>'6 - B1'!O70</f>
        <v>1916</v>
      </c>
      <c r="P70" s="106">
        <f>'6 - B1'!P70</f>
        <v>1828</v>
      </c>
    </row>
    <row r="71" spans="1:16" x14ac:dyDescent="0.35">
      <c r="A71" s="106">
        <f>'6 - B1'!A71</f>
        <v>22</v>
      </c>
      <c r="B71" s="106">
        <f>'6 - B1'!B71</f>
        <v>1468</v>
      </c>
      <c r="C71" s="106">
        <f>'6 - B1'!C71</f>
        <v>1488</v>
      </c>
      <c r="D71" s="106">
        <f>'6 - B1'!D71</f>
        <v>1571</v>
      </c>
      <c r="E71" s="106">
        <f>'6 - B1'!E71</f>
        <v>1492</v>
      </c>
      <c r="F71" s="106">
        <f>'6 - B1'!F71</f>
        <v>1409</v>
      </c>
      <c r="G71" s="106">
        <f>'6 - B1'!G71</f>
        <v>1468</v>
      </c>
      <c r="H71" s="106">
        <f>'6 - B1'!H71</f>
        <v>1488</v>
      </c>
      <c r="I71" s="106">
        <f>'6 - B1'!I71</f>
        <v>1571</v>
      </c>
      <c r="J71" s="106">
        <f>'6 - B1'!J71</f>
        <v>1492</v>
      </c>
      <c r="K71" s="106">
        <f>'6 - B1'!K71</f>
        <v>1409</v>
      </c>
      <c r="L71" s="106">
        <f>'6 - B1'!L71</f>
        <v>1468</v>
      </c>
      <c r="M71" s="106">
        <f>'6 - B1'!M71</f>
        <v>1488</v>
      </c>
      <c r="N71" s="106">
        <f>'6 - B1'!N71</f>
        <v>1571</v>
      </c>
      <c r="O71" s="106">
        <f>'6 - B1'!O71</f>
        <v>1492</v>
      </c>
      <c r="P71" s="106">
        <f>'6 - B1'!P71</f>
        <v>1409</v>
      </c>
    </row>
    <row r="72" spans="1:16" x14ac:dyDescent="0.35">
      <c r="A72" s="106">
        <f>'6 - B1'!A72</f>
        <v>23</v>
      </c>
      <c r="B72" s="106">
        <f>'6 - B1'!B72</f>
        <v>1133</v>
      </c>
      <c r="C72" s="106">
        <f>'6 - B1'!C72</f>
        <v>1135</v>
      </c>
      <c r="D72" s="106">
        <f>'6 - B1'!D72</f>
        <v>1188</v>
      </c>
      <c r="E72" s="106">
        <f>'6 - B1'!E72</f>
        <v>1152</v>
      </c>
      <c r="F72" s="106">
        <f>'6 - B1'!F72</f>
        <v>1063</v>
      </c>
      <c r="G72" s="106">
        <f>'6 - B1'!G72</f>
        <v>1133</v>
      </c>
      <c r="H72" s="106">
        <f>'6 - B1'!H72</f>
        <v>1135</v>
      </c>
      <c r="I72" s="106">
        <f>'6 - B1'!I72</f>
        <v>1188</v>
      </c>
      <c r="J72" s="106">
        <f>'6 - B1'!J72</f>
        <v>1152</v>
      </c>
      <c r="K72" s="106">
        <f>'6 - B1'!K72</f>
        <v>1063</v>
      </c>
      <c r="L72" s="106">
        <f>'6 - B1'!L72</f>
        <v>1133</v>
      </c>
      <c r="M72" s="106">
        <f>'6 - B1'!M72</f>
        <v>1135</v>
      </c>
      <c r="N72" s="106">
        <f>'6 - B1'!N72</f>
        <v>1188</v>
      </c>
      <c r="O72" s="106">
        <f>'6 - B1'!O72</f>
        <v>1152</v>
      </c>
      <c r="P72" s="106">
        <f>'6 - B1'!P72</f>
        <v>1063</v>
      </c>
    </row>
    <row r="73" spans="1:16" x14ac:dyDescent="0.35">
      <c r="A73" s="106">
        <f>'6 - B1'!A73</f>
        <v>24</v>
      </c>
      <c r="B73" s="106">
        <f>'6 - B1'!B73</f>
        <v>874</v>
      </c>
      <c r="C73" s="106">
        <f>'6 - B1'!C73</f>
        <v>868</v>
      </c>
      <c r="D73" s="106">
        <f>'6 - B1'!D73</f>
        <v>892</v>
      </c>
      <c r="E73" s="106">
        <f>'6 - B1'!E73</f>
        <v>902</v>
      </c>
      <c r="F73" s="106">
        <f>'6 - B1'!F73</f>
        <v>773</v>
      </c>
      <c r="G73" s="106">
        <f>'6 - B1'!G73</f>
        <v>874</v>
      </c>
      <c r="H73" s="106">
        <f>'6 - B1'!H73</f>
        <v>868</v>
      </c>
      <c r="I73" s="106">
        <f>'6 - B1'!I73</f>
        <v>892</v>
      </c>
      <c r="J73" s="106">
        <f>'6 - B1'!J73</f>
        <v>902</v>
      </c>
      <c r="K73" s="106">
        <f>'6 - B1'!K73</f>
        <v>773</v>
      </c>
      <c r="L73" s="106">
        <f>'6 - B1'!L73</f>
        <v>874</v>
      </c>
      <c r="M73" s="106">
        <f>'6 - B1'!M73</f>
        <v>868</v>
      </c>
      <c r="N73" s="106">
        <f>'6 - B1'!N73</f>
        <v>892</v>
      </c>
      <c r="O73" s="106">
        <f>'6 - B1'!O73</f>
        <v>902</v>
      </c>
      <c r="P73" s="106">
        <f>'6 - B1'!P73</f>
        <v>773</v>
      </c>
    </row>
    <row r="74" spans="1:16" x14ac:dyDescent="0.35">
      <c r="A74" s="106">
        <f>'6 - B1'!A74</f>
        <v>25</v>
      </c>
      <c r="B74" s="106">
        <f>'6 - B1'!B74</f>
        <v>664</v>
      </c>
      <c r="C74" s="106">
        <f>'6 - B1'!C74</f>
        <v>658</v>
      </c>
      <c r="D74" s="106">
        <f>'6 - B1'!D74</f>
        <v>677</v>
      </c>
      <c r="E74" s="106">
        <f>'6 - B1'!E74</f>
        <v>670</v>
      </c>
      <c r="F74" s="106">
        <f>'6 - B1'!F74</f>
        <v>586</v>
      </c>
      <c r="G74" s="106">
        <f>'6 - B1'!G74</f>
        <v>664</v>
      </c>
      <c r="H74" s="106">
        <f>'6 - B1'!H74</f>
        <v>658</v>
      </c>
      <c r="I74" s="106">
        <f>'6 - B1'!I74</f>
        <v>677</v>
      </c>
      <c r="J74" s="106">
        <f>'6 - B1'!J74</f>
        <v>670</v>
      </c>
      <c r="K74" s="106">
        <f>'6 - B1'!K74</f>
        <v>586</v>
      </c>
      <c r="L74" s="106">
        <f>'6 - B1'!L74</f>
        <v>664</v>
      </c>
      <c r="M74" s="106">
        <f>'6 - B1'!M74</f>
        <v>658</v>
      </c>
      <c r="N74" s="106">
        <f>'6 - B1'!N74</f>
        <v>677</v>
      </c>
      <c r="O74" s="106">
        <f>'6 - B1'!O74</f>
        <v>670</v>
      </c>
      <c r="P74" s="106">
        <f>'6 - B1'!P74</f>
        <v>586</v>
      </c>
    </row>
    <row r="75" spans="1:16" x14ac:dyDescent="0.35">
      <c r="A75" s="106">
        <f>'6 - B1'!A75</f>
        <v>26</v>
      </c>
      <c r="B75" s="106">
        <f>'6 - B1'!B75</f>
        <v>496</v>
      </c>
      <c r="C75" s="106">
        <f>'6 - B1'!C75</f>
        <v>507</v>
      </c>
      <c r="D75" s="106">
        <f>'6 - B1'!D75</f>
        <v>514</v>
      </c>
      <c r="E75" s="106">
        <f>'6 - B1'!E75</f>
        <v>489</v>
      </c>
      <c r="F75" s="106">
        <f>'6 - B1'!F75</f>
        <v>433</v>
      </c>
      <c r="G75" s="106">
        <f>'6 - B1'!G75</f>
        <v>496</v>
      </c>
      <c r="H75" s="106">
        <f>'6 - B1'!H75</f>
        <v>507</v>
      </c>
      <c r="I75" s="106">
        <f>'6 - B1'!I75</f>
        <v>514</v>
      </c>
      <c r="J75" s="106">
        <f>'6 - B1'!J75</f>
        <v>489</v>
      </c>
      <c r="K75" s="106">
        <f>'6 - B1'!K75</f>
        <v>433</v>
      </c>
      <c r="L75" s="106">
        <f>'6 - B1'!L75</f>
        <v>496</v>
      </c>
      <c r="M75" s="106">
        <f>'6 - B1'!M75</f>
        <v>507</v>
      </c>
      <c r="N75" s="106">
        <f>'6 - B1'!N75</f>
        <v>514</v>
      </c>
      <c r="O75" s="106">
        <f>'6 - B1'!O75</f>
        <v>489</v>
      </c>
      <c r="P75" s="106">
        <f>'6 - B1'!P75</f>
        <v>433</v>
      </c>
    </row>
    <row r="76" spans="1:16" x14ac:dyDescent="0.35">
      <c r="A76" s="106">
        <f>'6 - B1'!A76</f>
        <v>27</v>
      </c>
      <c r="B76" s="106">
        <f>'6 - B1'!B76</f>
        <v>377</v>
      </c>
      <c r="C76" s="106">
        <f>'6 - B1'!C76</f>
        <v>368</v>
      </c>
      <c r="D76" s="106">
        <f>'6 - B1'!D76</f>
        <v>371</v>
      </c>
      <c r="E76" s="106">
        <f>'6 - B1'!E76</f>
        <v>367</v>
      </c>
      <c r="F76" s="106">
        <f>'6 - B1'!F76</f>
        <v>314</v>
      </c>
      <c r="G76" s="106">
        <f>'6 - B1'!G76</f>
        <v>377</v>
      </c>
      <c r="H76" s="106">
        <f>'6 - B1'!H76</f>
        <v>368</v>
      </c>
      <c r="I76" s="106">
        <f>'6 - B1'!I76</f>
        <v>371</v>
      </c>
      <c r="J76" s="106">
        <f>'6 - B1'!J76</f>
        <v>367</v>
      </c>
      <c r="K76" s="106">
        <f>'6 - B1'!K76</f>
        <v>314</v>
      </c>
      <c r="L76" s="106">
        <f>'6 - B1'!L76</f>
        <v>377</v>
      </c>
      <c r="M76" s="106">
        <f>'6 - B1'!M76</f>
        <v>368</v>
      </c>
      <c r="N76" s="106">
        <f>'6 - B1'!N76</f>
        <v>371</v>
      </c>
      <c r="O76" s="106">
        <f>'6 - B1'!O76</f>
        <v>367</v>
      </c>
      <c r="P76" s="106">
        <f>'6 - B1'!P76</f>
        <v>314</v>
      </c>
    </row>
    <row r="77" spans="1:16" x14ac:dyDescent="0.35">
      <c r="A77" s="106">
        <f>'6 - B1'!A77</f>
        <v>28</v>
      </c>
      <c r="B77" s="106">
        <f>'6 - B1'!B77</f>
        <v>271</v>
      </c>
      <c r="C77" s="106">
        <f>'6 - B1'!C77</f>
        <v>266</v>
      </c>
      <c r="D77" s="106">
        <f>'6 - B1'!D77</f>
        <v>276</v>
      </c>
      <c r="E77" s="106">
        <f>'6 - B1'!E77</f>
        <v>260</v>
      </c>
      <c r="F77" s="106">
        <f>'6 - B1'!F77</f>
        <v>204</v>
      </c>
      <c r="G77" s="106">
        <f>'6 - B1'!G77</f>
        <v>271</v>
      </c>
      <c r="H77" s="106">
        <f>'6 - B1'!H77</f>
        <v>266</v>
      </c>
      <c r="I77" s="106">
        <f>'6 - B1'!I77</f>
        <v>276</v>
      </c>
      <c r="J77" s="106">
        <f>'6 - B1'!J77</f>
        <v>260</v>
      </c>
      <c r="K77" s="106">
        <f>'6 - B1'!K77</f>
        <v>204</v>
      </c>
      <c r="L77" s="106">
        <f>'6 - B1'!L77</f>
        <v>271</v>
      </c>
      <c r="M77" s="106">
        <f>'6 - B1'!M77</f>
        <v>266</v>
      </c>
      <c r="N77" s="106">
        <f>'6 - B1'!N77</f>
        <v>276</v>
      </c>
      <c r="O77" s="106">
        <f>'6 - B1'!O77</f>
        <v>260</v>
      </c>
      <c r="P77" s="106">
        <f>'6 - B1'!P77</f>
        <v>204</v>
      </c>
    </row>
    <row r="78" spans="1:16" x14ac:dyDescent="0.35">
      <c r="A78" s="106">
        <f>'6 - B1'!A78</f>
        <v>29</v>
      </c>
      <c r="B78" s="106">
        <f>'6 - B1'!B78</f>
        <v>205</v>
      </c>
      <c r="C78" s="106">
        <f>'6 - B1'!C78</f>
        <v>190</v>
      </c>
      <c r="D78" s="106">
        <f>'6 - B1'!D78</f>
        <v>204</v>
      </c>
      <c r="E78" s="106">
        <f>'6 - B1'!E78</f>
        <v>187</v>
      </c>
      <c r="F78" s="106">
        <f>'6 - B1'!F78</f>
        <v>143</v>
      </c>
      <c r="G78" s="106">
        <f>'6 - B1'!G78</f>
        <v>205</v>
      </c>
      <c r="H78" s="106">
        <f>'6 - B1'!H78</f>
        <v>190</v>
      </c>
      <c r="I78" s="106">
        <f>'6 - B1'!I78</f>
        <v>204</v>
      </c>
      <c r="J78" s="106">
        <f>'6 - B1'!J78</f>
        <v>187</v>
      </c>
      <c r="K78" s="106">
        <f>'6 - B1'!K78</f>
        <v>143</v>
      </c>
      <c r="L78" s="106">
        <f>'6 - B1'!L78</f>
        <v>205</v>
      </c>
      <c r="M78" s="106">
        <f>'6 - B1'!M78</f>
        <v>190</v>
      </c>
      <c r="N78" s="106">
        <f>'6 - B1'!N78</f>
        <v>204</v>
      </c>
      <c r="O78" s="106">
        <f>'6 - B1'!O78</f>
        <v>187</v>
      </c>
      <c r="P78" s="106">
        <f>'6 - B1'!P78</f>
        <v>143</v>
      </c>
    </row>
    <row r="79" spans="1:16" x14ac:dyDescent="0.35">
      <c r="A79" s="106">
        <f>'6 - B1'!A79</f>
        <v>30</v>
      </c>
      <c r="B79" s="106">
        <f>'6 - B1'!B79</f>
        <v>153</v>
      </c>
      <c r="C79" s="106">
        <f>'6 - B1'!C79</f>
        <v>130</v>
      </c>
      <c r="D79" s="106">
        <f>'6 - B1'!D79</f>
        <v>136</v>
      </c>
      <c r="E79" s="106">
        <f>'6 - B1'!E79</f>
        <v>120</v>
      </c>
      <c r="F79" s="106">
        <f>'6 - B1'!F79</f>
        <v>91</v>
      </c>
      <c r="G79" s="106">
        <f>'6 - B1'!G79</f>
        <v>153</v>
      </c>
      <c r="H79" s="106">
        <f>'6 - B1'!H79</f>
        <v>130</v>
      </c>
      <c r="I79" s="106">
        <f>'6 - B1'!I79</f>
        <v>136</v>
      </c>
      <c r="J79" s="106">
        <f>'6 - B1'!J79</f>
        <v>120</v>
      </c>
      <c r="K79" s="109">
        <f>'6 - B1'!K79</f>
        <v>91</v>
      </c>
      <c r="L79" s="106">
        <f>'6 - B1'!L79</f>
        <v>153</v>
      </c>
      <c r="M79" s="106">
        <f>'6 - B1'!M79</f>
        <v>130</v>
      </c>
      <c r="N79" s="106">
        <f>'6 - B1'!N79</f>
        <v>136</v>
      </c>
      <c r="O79" s="106">
        <f>'6 - B1'!O79</f>
        <v>120</v>
      </c>
      <c r="P79" s="106">
        <f>'6 - B1'!P79</f>
        <v>91</v>
      </c>
    </row>
    <row r="80" spans="1:16" x14ac:dyDescent="0.35">
      <c r="A80" s="106">
        <f>'6 - B1'!A80</f>
        <v>38</v>
      </c>
      <c r="B80" s="106">
        <f>'6 - B1'!B80</f>
        <v>99</v>
      </c>
      <c r="C80" s="106">
        <f>'6 - B1'!C80</f>
        <v>93</v>
      </c>
      <c r="D80" s="106">
        <f>'6 - B1'!D80</f>
        <v>95</v>
      </c>
      <c r="E80" s="106">
        <f>'6 - B1'!E80</f>
        <v>78</v>
      </c>
      <c r="F80" s="106">
        <f>'6 - B1'!F80</f>
        <v>60</v>
      </c>
      <c r="G80" s="106">
        <f>'6 - B1'!G80</f>
        <v>99</v>
      </c>
      <c r="H80" s="106">
        <f>'6 - B1'!H80</f>
        <v>93</v>
      </c>
      <c r="I80" s="106">
        <f>'6 - B1'!I80</f>
        <v>95</v>
      </c>
      <c r="J80" s="106">
        <f>'6 - B1'!J80</f>
        <v>78</v>
      </c>
      <c r="K80" s="106">
        <f>'6 - B1'!K80</f>
        <v>60</v>
      </c>
      <c r="L80" s="106">
        <f>'6 - B1'!L80</f>
        <v>99</v>
      </c>
      <c r="M80" s="106">
        <f>'6 - B1'!M80</f>
        <v>93</v>
      </c>
      <c r="N80" s="106">
        <f>'6 - B1'!N80</f>
        <v>95</v>
      </c>
      <c r="O80" s="106">
        <f>'6 - B1'!O80</f>
        <v>78</v>
      </c>
      <c r="P80" s="106">
        <f>'6 - B1'!P80</f>
        <v>60</v>
      </c>
    </row>
    <row r="81" spans="1:16" x14ac:dyDescent="0.35">
      <c r="A81" s="106">
        <f>'6 - B1'!A81</f>
        <v>50</v>
      </c>
      <c r="B81" s="106">
        <f>'6 - B1'!B81</f>
        <v>64</v>
      </c>
      <c r="C81" s="106">
        <f>'6 - B1'!C81</f>
        <v>49</v>
      </c>
      <c r="D81" s="106">
        <f>'6 - B1'!D81</f>
        <v>47</v>
      </c>
      <c r="E81" s="106">
        <f>'6 - B1'!E81</f>
        <v>39</v>
      </c>
      <c r="F81" s="106">
        <f>'6 - B1'!F81</f>
        <v>34</v>
      </c>
      <c r="G81" s="106">
        <f>'6 - B1'!G81</f>
        <v>64</v>
      </c>
      <c r="H81" s="106">
        <f>'6 - B1'!H81</f>
        <v>49</v>
      </c>
      <c r="I81" s="106">
        <f>'6 - B1'!I81</f>
        <v>47</v>
      </c>
      <c r="J81" s="106">
        <f>'6 - B1'!J81</f>
        <v>39</v>
      </c>
      <c r="K81" s="106">
        <f>'6 - B1'!K81</f>
        <v>34</v>
      </c>
      <c r="L81" s="106">
        <f>'6 - B1'!L81</f>
        <v>64</v>
      </c>
      <c r="M81" s="106">
        <f>'6 - B1'!M81</f>
        <v>49</v>
      </c>
      <c r="N81" s="106">
        <f>'6 - B1'!N81</f>
        <v>47</v>
      </c>
      <c r="O81" s="106">
        <f>'6 - B1'!O81</f>
        <v>39</v>
      </c>
      <c r="P81" s="106">
        <f>'6 - B1'!P81</f>
        <v>34</v>
      </c>
    </row>
    <row r="82" spans="1:16" x14ac:dyDescent="0.35">
      <c r="A82" s="106">
        <f>'6 - B1'!A82</f>
        <v>70</v>
      </c>
      <c r="B82" s="106">
        <f>'6 - B1'!B82</f>
        <v>33</v>
      </c>
      <c r="C82" s="106">
        <f>'6 - B1'!C82</f>
        <v>21</v>
      </c>
      <c r="D82" s="106">
        <f>'6 - B1'!D82</f>
        <v>21</v>
      </c>
      <c r="E82" s="106">
        <f>'6 - B1'!E82</f>
        <v>10</v>
      </c>
      <c r="F82" s="106">
        <f>'6 - B1'!F82</f>
        <v>16</v>
      </c>
      <c r="G82" s="106">
        <f>'6 - B1'!G82</f>
        <v>33</v>
      </c>
      <c r="H82" s="106">
        <f>'6 - B1'!H82</f>
        <v>21</v>
      </c>
      <c r="I82" s="106">
        <f>'6 - B1'!I82</f>
        <v>21</v>
      </c>
      <c r="J82" s="106">
        <f>'6 - B1'!J82</f>
        <v>10</v>
      </c>
      <c r="K82" s="106">
        <f>'6 - B1'!K82</f>
        <v>16</v>
      </c>
      <c r="L82" s="106">
        <f>'6 - B1'!L82</f>
        <v>33</v>
      </c>
      <c r="M82" s="106">
        <f>'6 - B1'!M82</f>
        <v>21</v>
      </c>
      <c r="N82" s="106">
        <f>'6 - B1'!N82</f>
        <v>21</v>
      </c>
      <c r="O82" s="106">
        <f>'6 - B1'!O82</f>
        <v>10</v>
      </c>
      <c r="P82" s="106">
        <f>'6 - B1'!P82</f>
        <v>16</v>
      </c>
    </row>
  </sheetData>
  <conditionalFormatting sqref="H9:H40">
    <cfRule type="cellIs" dxfId="15" priority="2" operator="greaterThan">
      <formula>1000</formula>
    </cfRule>
  </conditionalFormatting>
  <conditionalFormatting sqref="K9:K40">
    <cfRule type="cellIs" dxfId="1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zoomScale="95" zoomScaleNormal="95" workbookViewId="0">
      <selection activeCell="E31" sqref="E31"/>
    </sheetView>
  </sheetViews>
  <sheetFormatPr defaultColWidth="11.53125" defaultRowHeight="12.75" x14ac:dyDescent="0.35"/>
  <cols>
    <col min="11" max="11" width="27.6640625" customWidth="1"/>
  </cols>
  <sheetData>
    <row r="1" spans="1:16" ht="37.25" customHeight="1" x14ac:dyDescent="0.35">
      <c r="K1" s="167" t="s">
        <v>202</v>
      </c>
      <c r="L1" s="167" t="s">
        <v>203</v>
      </c>
      <c r="M1" s="167"/>
      <c r="N1" s="167"/>
      <c r="O1" s="167"/>
    </row>
    <row r="2" spans="1:16" ht="52.15" x14ac:dyDescent="0.5">
      <c r="B2" s="110" t="s">
        <v>204</v>
      </c>
      <c r="C2" s="110" t="s">
        <v>205</v>
      </c>
      <c r="D2" s="110" t="s">
        <v>206</v>
      </c>
      <c r="E2" s="110" t="s">
        <v>207</v>
      </c>
      <c r="F2" s="111" t="s">
        <v>208</v>
      </c>
      <c r="G2" s="77" t="s">
        <v>156</v>
      </c>
      <c r="H2" s="112" t="s">
        <v>209</v>
      </c>
      <c r="K2" s="113" t="s">
        <v>210</v>
      </c>
      <c r="L2" s="111" t="s">
        <v>211</v>
      </c>
      <c r="M2" s="111" t="s">
        <v>212</v>
      </c>
      <c r="O2" s="80" t="s">
        <v>149</v>
      </c>
      <c r="P2" s="80" t="s">
        <v>213</v>
      </c>
    </row>
    <row r="3" spans="1:16" ht="26.25" x14ac:dyDescent="0.45">
      <c r="B3" s="111" t="s">
        <v>214</v>
      </c>
      <c r="C3" s="111" t="s">
        <v>214</v>
      </c>
      <c r="D3" s="111" t="s">
        <v>214</v>
      </c>
      <c r="E3" s="111" t="s">
        <v>214</v>
      </c>
      <c r="F3" s="111" t="s">
        <v>215</v>
      </c>
      <c r="G3" s="80" t="s">
        <v>216</v>
      </c>
      <c r="H3" s="80" t="s">
        <v>39</v>
      </c>
      <c r="K3" s="1" t="s">
        <v>217</v>
      </c>
      <c r="L3" s="111" t="s">
        <v>214</v>
      </c>
      <c r="M3" s="111" t="s">
        <v>215</v>
      </c>
      <c r="O3" s="114" t="s">
        <v>218</v>
      </c>
      <c r="P3" s="115">
        <v>1</v>
      </c>
    </row>
    <row r="4" spans="1:16" ht="13.15" x14ac:dyDescent="0.4">
      <c r="A4">
        <v>28</v>
      </c>
      <c r="B4" s="46">
        <f>'6 - B1'!$G$36</f>
        <v>18.172427634710566</v>
      </c>
      <c r="C4" s="46">
        <f>'6 - B2'!$G$36</f>
        <v>18.172427634710566</v>
      </c>
      <c r="D4" s="46">
        <f>'6 - B3'!$G$36</f>
        <v>18.172427634710566</v>
      </c>
      <c r="E4" s="116">
        <f t="shared" ref="E4:E31" si="0">AVERAGE(B4:D4)</f>
        <v>18.172427634710566</v>
      </c>
      <c r="F4" s="45">
        <v>5000.00000000001</v>
      </c>
      <c r="G4">
        <f>'6 - B1'!$L36+'6 - B2'!$L36+'6 - B3'!$L36</f>
        <v>15</v>
      </c>
      <c r="H4" s="46">
        <f>STDEVP('6 - B1'!$B36:F36,'6 - B2'!B36:F36,'6 - B3'!B36:F36)/SQRT(G4)</f>
        <v>0.86538365792573202</v>
      </c>
      <c r="K4" s="117">
        <v>4</v>
      </c>
      <c r="L4">
        <f>P4</f>
        <v>10750.3</v>
      </c>
      <c r="M4" s="67">
        <f>CubicSpline(L4,$E$4:$E$31,$F$4:$F$31)</f>
        <v>75.995129221123477</v>
      </c>
      <c r="O4">
        <v>10750.3</v>
      </c>
      <c r="P4">
        <f t="shared" ref="P4:P30" si="1">O4*P$3</f>
        <v>10750.3</v>
      </c>
    </row>
    <row r="5" spans="1:16" ht="13.15" x14ac:dyDescent="0.4">
      <c r="A5">
        <v>27</v>
      </c>
      <c r="B5" s="46">
        <f>'6 - B1'!$G$35</f>
        <v>28.925525863051234</v>
      </c>
      <c r="C5" s="46">
        <f>'6 - B2'!$G$35</f>
        <v>26.951092287809615</v>
      </c>
      <c r="D5" s="46">
        <f>'6 - B3'!$G$35</f>
        <v>26.951092287809615</v>
      </c>
      <c r="E5" s="116">
        <f t="shared" si="0"/>
        <v>27.609236812890156</v>
      </c>
      <c r="F5" s="45">
        <v>4227.9889844540903</v>
      </c>
      <c r="G5">
        <f>'6 - B1'!$L35+'6 - B2'!$L35+'6 - B3'!$L35</f>
        <v>14</v>
      </c>
      <c r="H5" s="46">
        <f>STDEVP('6 - B1'!$B35:F35,'6 - B2'!B35:F35,'6 - B3'!B35:F35)/SQRT(G5)</f>
        <v>1.2317241853763476</v>
      </c>
      <c r="K5" s="117">
        <v>5</v>
      </c>
      <c r="L5">
        <f t="shared" ref="L5:L30" si="2">P5</f>
        <v>7121.1</v>
      </c>
      <c r="M5" s="67">
        <f t="shared" ref="M5:M30" si="3">CubicSpline(L5,$E$4:$E$31,$F$4:$F$31)</f>
        <v>120.51857422238072</v>
      </c>
      <c r="O5">
        <v>7121.1</v>
      </c>
      <c r="P5">
        <f t="shared" si="1"/>
        <v>7121.1</v>
      </c>
    </row>
    <row r="6" spans="1:16" ht="13.15" x14ac:dyDescent="0.4">
      <c r="A6">
        <v>26</v>
      </c>
      <c r="B6" s="46">
        <f>'6 - B1'!$G$34</f>
        <v>42.12368330931892</v>
      </c>
      <c r="C6" s="46">
        <f>'6 - B2'!$G$34</f>
        <v>39.687144871891547</v>
      </c>
      <c r="D6" s="46">
        <f>'6 - B3'!$G$34</f>
        <v>39.687144871891547</v>
      </c>
      <c r="E6" s="116">
        <f t="shared" si="0"/>
        <v>40.499324351034005</v>
      </c>
      <c r="F6" s="45">
        <v>3575.17817053302</v>
      </c>
      <c r="G6">
        <f>'6 - B1'!$L34+'6 - B2'!$L34+'6 - B3'!$L34</f>
        <v>14</v>
      </c>
      <c r="H6" s="46">
        <f>STDEVP('6 - B1'!$B34:F34,'6 - B2'!B34:F34,'6 - B3'!B34:F34)/SQRT(G6)</f>
        <v>1.3052596928975091</v>
      </c>
      <c r="K6" s="117">
        <v>6</v>
      </c>
      <c r="L6">
        <f t="shared" si="2"/>
        <v>4729.1000000000004</v>
      </c>
      <c r="M6" s="67">
        <f t="shared" si="3"/>
        <v>179.91780655046503</v>
      </c>
      <c r="O6">
        <v>4729.1000000000004</v>
      </c>
      <c r="P6">
        <f t="shared" si="1"/>
        <v>4729.1000000000004</v>
      </c>
    </row>
    <row r="7" spans="1:16" ht="13.15" x14ac:dyDescent="0.4">
      <c r="A7">
        <v>25</v>
      </c>
      <c r="B7" s="46">
        <f>'6 - B1'!$G$33</f>
        <v>57.476256485008037</v>
      </c>
      <c r="C7" s="46">
        <f>'6 - B2'!$G$33</f>
        <v>54.523609648041585</v>
      </c>
      <c r="D7" s="46">
        <f>'6 - B3'!$G$33</f>
        <v>54.523609648041585</v>
      </c>
      <c r="E7" s="116">
        <f t="shared" si="0"/>
        <v>55.507825260363738</v>
      </c>
      <c r="F7" s="45">
        <v>3023.1627844948598</v>
      </c>
      <c r="G7">
        <f>'6 - B1'!$L33+'6 - B2'!$L33+'6 - B3'!$L33</f>
        <v>14</v>
      </c>
      <c r="H7" s="46">
        <f>STDEVP('6 - B1'!$B33:F33,'6 - B2'!B33:F33,'6 - B3'!B33:F33)/SQRT(G7)</f>
        <v>1.4868342839075976</v>
      </c>
      <c r="K7" s="117">
        <v>7</v>
      </c>
      <c r="L7">
        <f t="shared" si="2"/>
        <v>3199.3</v>
      </c>
      <c r="M7" s="67">
        <f t="shared" si="3"/>
        <v>249.73118272528453</v>
      </c>
      <c r="O7">
        <v>3199.3</v>
      </c>
      <c r="P7">
        <f t="shared" si="1"/>
        <v>3199.3</v>
      </c>
    </row>
    <row r="8" spans="1:16" ht="13.15" x14ac:dyDescent="0.4">
      <c r="A8">
        <v>24</v>
      </c>
      <c r="B8" s="46">
        <f>'6 - B1'!$G$32</f>
        <v>79.442499632158089</v>
      </c>
      <c r="C8" s="46">
        <f>'6 - B2'!$G$32</f>
        <v>76.702910492251178</v>
      </c>
      <c r="D8" s="46">
        <f>'6 - B3'!$G$32</f>
        <v>76.702910492251178</v>
      </c>
      <c r="E8" s="116">
        <f t="shared" si="0"/>
        <v>77.616106872220143</v>
      </c>
      <c r="F8" s="45">
        <v>2556.3797902111601</v>
      </c>
      <c r="G8">
        <f>'6 - B1'!$L32+'6 - B2'!$L32+'6 - B3'!$L32</f>
        <v>14</v>
      </c>
      <c r="H8" s="46">
        <f>STDEVP('6 - B1'!$B32:F32,'6 - B2'!B32:F32,'6 - B3'!B32:F32)/SQRT(G8)</f>
        <v>1.4582739634711381</v>
      </c>
      <c r="K8" s="117">
        <v>8</v>
      </c>
      <c r="L8">
        <f t="shared" si="2"/>
        <v>2280.6</v>
      </c>
      <c r="M8" s="67">
        <f t="shared" si="3"/>
        <v>319.17351214117207</v>
      </c>
      <c r="O8">
        <v>2280.6</v>
      </c>
      <c r="P8">
        <f t="shared" si="1"/>
        <v>2280.6</v>
      </c>
    </row>
    <row r="9" spans="1:16" ht="13.15" x14ac:dyDescent="0.4">
      <c r="A9">
        <v>23</v>
      </c>
      <c r="B9" s="46">
        <f>'6 - B1'!$G$31</f>
        <v>107.41982853738145</v>
      </c>
      <c r="C9" s="46">
        <f>'6 - B2'!$G$31</f>
        <v>104.06795955145037</v>
      </c>
      <c r="D9" s="46">
        <f>'6 - B3'!$G$31</f>
        <v>104.06795955145037</v>
      </c>
      <c r="E9" s="116">
        <f t="shared" si="0"/>
        <v>105.18524921342741</v>
      </c>
      <c r="F9" s="45">
        <v>2161.66911861877</v>
      </c>
      <c r="G9">
        <f>'6 - B1'!$L31+'6 - B2'!$L31+'6 - B3'!$L31</f>
        <v>14</v>
      </c>
      <c r="H9" s="46">
        <f>STDEVP('6 - B1'!$B31:F31,'6 - B2'!B31:F31,'6 - B3'!B31:F31)/SQRT(G9)</f>
        <v>1.7284877157878191</v>
      </c>
      <c r="K9" s="117">
        <v>9</v>
      </c>
      <c r="L9">
        <f t="shared" si="2"/>
        <v>1615</v>
      </c>
      <c r="M9" s="67">
        <f t="shared" si="3"/>
        <v>400.42081720928735</v>
      </c>
      <c r="O9">
        <v>1615</v>
      </c>
      <c r="P9">
        <f t="shared" si="1"/>
        <v>1615</v>
      </c>
    </row>
    <row r="10" spans="1:16" ht="13.15" x14ac:dyDescent="0.4">
      <c r="A10">
        <v>22</v>
      </c>
      <c r="B10" s="46">
        <f>'6 - B1'!$G$30</f>
        <v>142.93007725354067</v>
      </c>
      <c r="C10" s="46">
        <f>'6 - B2'!$G$30</f>
        <v>138.88311186940413</v>
      </c>
      <c r="D10" s="46">
        <f>'6 - B3'!$G$30</f>
        <v>138.88311186940413</v>
      </c>
      <c r="E10" s="116">
        <f t="shared" si="0"/>
        <v>140.23210033078297</v>
      </c>
      <c r="F10" s="45">
        <v>1827.9026443109401</v>
      </c>
      <c r="G10">
        <f>'6 - B1'!$L30+'6 - B2'!$L30+'6 - B3'!$L30</f>
        <v>14</v>
      </c>
      <c r="H10" s="46">
        <f>STDEVP('6 - B1'!$B30:F30,'6 - B2'!B30:F30,'6 - B3'!B30:F30)/SQRT(G10)</f>
        <v>2.0824445831085407</v>
      </c>
      <c r="K10" s="117">
        <v>10</v>
      </c>
      <c r="L10">
        <f t="shared" si="2"/>
        <v>1130.5</v>
      </c>
      <c r="M10" s="67">
        <f t="shared" si="3"/>
        <v>499.54849545669555</v>
      </c>
      <c r="O10">
        <v>1130.5</v>
      </c>
      <c r="P10">
        <f t="shared" si="1"/>
        <v>1130.5</v>
      </c>
    </row>
    <row r="11" spans="1:16" ht="13.15" x14ac:dyDescent="0.4">
      <c r="A11">
        <v>21</v>
      </c>
      <c r="B11" s="46">
        <f>'6 - B1'!$G$29</f>
        <v>189.33827096143341</v>
      </c>
      <c r="C11" s="46">
        <f>'6 - B2'!$G$29</f>
        <v>183.84038759075057</v>
      </c>
      <c r="D11" s="46">
        <f>'6 - B3'!$G$29</f>
        <v>183.84038759075057</v>
      </c>
      <c r="E11" s="116">
        <f t="shared" si="0"/>
        <v>185.67301538097817</v>
      </c>
      <c r="F11" s="45">
        <v>1545.67044896023</v>
      </c>
      <c r="G11">
        <f>'6 - B1'!$L29+'6 - B2'!$L29+'6 - B3'!$L29</f>
        <v>14</v>
      </c>
      <c r="H11" s="46">
        <f>STDEVP('6 - B1'!$B29:F29,'6 - B2'!B29:F29,'6 - B3'!B29:F29)/SQRT(G11)</f>
        <v>2.7759834921600475</v>
      </c>
      <c r="K11" s="117">
        <v>11</v>
      </c>
      <c r="L11">
        <f t="shared" si="2"/>
        <v>816.2</v>
      </c>
      <c r="M11" s="67">
        <f t="shared" si="3"/>
        <v>609.22803397294706</v>
      </c>
      <c r="O11">
        <v>816.2</v>
      </c>
      <c r="P11">
        <f t="shared" si="1"/>
        <v>816.2</v>
      </c>
    </row>
    <row r="12" spans="1:16" ht="13.15" x14ac:dyDescent="0.4">
      <c r="A12">
        <v>20</v>
      </c>
      <c r="B12" s="46">
        <f>'6 - B1'!$G$28</f>
        <v>246.73029567888932</v>
      </c>
      <c r="C12" s="46">
        <f>'6 - B2'!$G$28</f>
        <v>241.89790586182409</v>
      </c>
      <c r="D12" s="46">
        <f>'6 - B3'!$G$28</f>
        <v>241.89790586182409</v>
      </c>
      <c r="E12" s="116">
        <f t="shared" si="0"/>
        <v>243.50870246751251</v>
      </c>
      <c r="F12" s="45">
        <v>1307.01552636001</v>
      </c>
      <c r="G12">
        <f>'6 - B1'!$L28+'6 - B2'!$L28+'6 - B3'!$L28</f>
        <v>14</v>
      </c>
      <c r="H12" s="46">
        <f>STDEVP('6 - B1'!$B28:F28,'6 - B2'!B28:F28,'6 - B3'!B28:F28)/SQRT(G12)</f>
        <v>2.6752428938204313</v>
      </c>
      <c r="K12" s="117">
        <v>12</v>
      </c>
      <c r="L12">
        <f t="shared" si="2"/>
        <v>618.6</v>
      </c>
      <c r="M12" s="67">
        <f t="shared" si="3"/>
        <v>723.61930022988224</v>
      </c>
      <c r="O12">
        <v>618.6</v>
      </c>
      <c r="P12">
        <f t="shared" si="1"/>
        <v>618.6</v>
      </c>
    </row>
    <row r="13" spans="1:16" ht="13.15" x14ac:dyDescent="0.4">
      <c r="A13">
        <v>19</v>
      </c>
      <c r="B13" s="46">
        <f>'6 - B1'!$G$27</f>
        <v>322.25001946281805</v>
      </c>
      <c r="C13" s="46">
        <f>'6 - B2'!$G$27</f>
        <v>316.80261206137965</v>
      </c>
      <c r="D13" s="46">
        <f>'6 - B3'!$G$27</f>
        <v>316.80261206137965</v>
      </c>
      <c r="E13" s="116">
        <f t="shared" si="0"/>
        <v>318.61841452852582</v>
      </c>
      <c r="F13" s="45">
        <v>1105.2094495921201</v>
      </c>
      <c r="G13">
        <f>'6 - B1'!$L27+'6 - B2'!$L27+'6 - B3'!$L27</f>
        <v>14</v>
      </c>
      <c r="H13" s="46">
        <f>STDEVP('6 - B1'!$B27:F27,'6 - B2'!B27:F27,'6 - B3'!B27:F27)/SQRT(G13)</f>
        <v>3.2785052792688356</v>
      </c>
      <c r="K13" s="117">
        <v>13</v>
      </c>
      <c r="L13">
        <f t="shared" si="2"/>
        <v>481.9</v>
      </c>
      <c r="M13" s="67">
        <f t="shared" si="3"/>
        <v>846.80601571380691</v>
      </c>
      <c r="O13">
        <v>481.9</v>
      </c>
      <c r="P13">
        <f t="shared" si="1"/>
        <v>481.9</v>
      </c>
    </row>
    <row r="14" spans="1:16" ht="13.15" x14ac:dyDescent="0.4">
      <c r="A14">
        <v>18</v>
      </c>
      <c r="B14" s="46">
        <f>'6 - B1'!$G$26</f>
        <v>418.07291390459318</v>
      </c>
      <c r="C14" s="46">
        <f>'6 - B2'!$G$26</f>
        <v>411.00676716751906</v>
      </c>
      <c r="D14" s="46">
        <f>'6 - B3'!$G$26</f>
        <v>411.00676716751906</v>
      </c>
      <c r="E14" s="116">
        <f t="shared" si="0"/>
        <v>413.36214941321037</v>
      </c>
      <c r="F14" s="45">
        <v>934.56267567800705</v>
      </c>
      <c r="G14">
        <f>'6 - B1'!$L26+'6 - B2'!$L26+'6 - B3'!$L26</f>
        <v>14</v>
      </c>
      <c r="H14" s="46">
        <f>STDEVP('6 - B1'!$B26:F26,'6 - B2'!B26:F26,'6 - B3'!B26:F26)/SQRT(G14)</f>
        <v>4.3721384793834721</v>
      </c>
      <c r="K14" s="117">
        <v>14</v>
      </c>
      <c r="L14">
        <f t="shared" si="2"/>
        <v>384.7</v>
      </c>
      <c r="M14" s="67">
        <f t="shared" si="3"/>
        <v>978.65576811997187</v>
      </c>
      <c r="O14">
        <v>384.7</v>
      </c>
      <c r="P14">
        <f t="shared" si="1"/>
        <v>384.7</v>
      </c>
    </row>
    <row r="15" spans="1:16" ht="13.15" x14ac:dyDescent="0.4">
      <c r="A15">
        <v>17</v>
      </c>
      <c r="B15" s="46">
        <f>'6 - B1'!$G$25</f>
        <v>537.17868040822032</v>
      </c>
      <c r="C15" s="46">
        <f>'6 - B2'!$G$25</f>
        <v>537.17868040822032</v>
      </c>
      <c r="D15" s="46">
        <f>'6 - B3'!$G$25</f>
        <v>537.17868040822032</v>
      </c>
      <c r="E15" s="116">
        <f t="shared" si="0"/>
        <v>537.17868040822032</v>
      </c>
      <c r="F15" s="45">
        <v>790.26413960970899</v>
      </c>
      <c r="G15">
        <f>'6 - B1'!$L25+'6 - B2'!$L25+'6 - B3'!$L25</f>
        <v>15</v>
      </c>
      <c r="H15" s="46">
        <f>STDEVP('6 - B1'!$B25:F25,'6 - B2'!B25:F25,'6 - B3'!B25:F25)/SQRT(G15)</f>
        <v>4.8657437382401501</v>
      </c>
      <c r="K15" s="117">
        <v>15</v>
      </c>
      <c r="L15">
        <f t="shared" si="2"/>
        <v>314.60000000000002</v>
      </c>
      <c r="M15" s="67">
        <f t="shared" si="3"/>
        <v>1113.9818751608998</v>
      </c>
      <c r="O15">
        <v>314.60000000000002</v>
      </c>
      <c r="P15">
        <f t="shared" si="1"/>
        <v>314.60000000000002</v>
      </c>
    </row>
    <row r="16" spans="1:16" ht="13.15" x14ac:dyDescent="0.4">
      <c r="A16">
        <v>16</v>
      </c>
      <c r="B16" s="46">
        <f>'6 - B1'!$G$24</f>
        <v>703.16350172416037</v>
      </c>
      <c r="C16" s="46">
        <f>'6 - B2'!$G$24</f>
        <v>703.16350172416037</v>
      </c>
      <c r="D16" s="46">
        <f>'6 - B3'!$G$24</f>
        <v>703.16350172416037</v>
      </c>
      <c r="E16" s="116">
        <f t="shared" si="0"/>
        <v>703.16350172416026</v>
      </c>
      <c r="F16" s="45">
        <v>668.24561541578703</v>
      </c>
      <c r="G16">
        <f>'6 - B1'!$L24+'6 - B2'!$L24+'6 - B3'!$L24</f>
        <v>15</v>
      </c>
      <c r="H16" s="46">
        <f>STDEVP('6 - B1'!$B24:F24,'6 - B2'!B24:F24,'6 - B3'!B24:F24)/SQRT(G16)</f>
        <v>5.1172703283125989</v>
      </c>
      <c r="K16" s="117">
        <v>16</v>
      </c>
      <c r="L16">
        <f t="shared" si="2"/>
        <v>261.8</v>
      </c>
      <c r="M16" s="67">
        <f t="shared" si="3"/>
        <v>1250.1410778468601</v>
      </c>
      <c r="O16">
        <v>261.8</v>
      </c>
      <c r="P16">
        <f t="shared" si="1"/>
        <v>261.8</v>
      </c>
    </row>
    <row r="17" spans="1:16" ht="13.15" x14ac:dyDescent="0.4">
      <c r="A17">
        <v>15</v>
      </c>
      <c r="B17" s="46">
        <f>'6 - B1'!$G$23</f>
        <v>922.15020160617041</v>
      </c>
      <c r="C17" s="46">
        <f>'6 - B2'!$G$23</f>
        <v>922.15020160617041</v>
      </c>
      <c r="D17" s="46">
        <f>'6 - B3'!$G$23</f>
        <v>922.15020160617041</v>
      </c>
      <c r="E17" s="116">
        <f t="shared" si="0"/>
        <v>922.15020160617041</v>
      </c>
      <c r="F17" s="45">
        <v>565.06702017753798</v>
      </c>
      <c r="G17">
        <f>'6 - B1'!$L23+'6 - B2'!$L23+'6 - B3'!$L23</f>
        <v>15</v>
      </c>
      <c r="H17" s="46">
        <f>STDEVP('6 - B1'!$B23:F23,'6 - B2'!B23:F23,'6 - B3'!B23:F23)/SQRT(G17)</f>
        <v>6.9729618438941356</v>
      </c>
      <c r="K17" s="117">
        <v>17</v>
      </c>
      <c r="L17">
        <f t="shared" si="2"/>
        <v>221.2</v>
      </c>
      <c r="M17" s="67">
        <f t="shared" si="3"/>
        <v>1387.3330107901506</v>
      </c>
      <c r="O17">
        <v>221.2</v>
      </c>
      <c r="P17">
        <f t="shared" si="1"/>
        <v>221.2</v>
      </c>
    </row>
    <row r="18" spans="1:16" ht="13.15" x14ac:dyDescent="0.4">
      <c r="A18">
        <v>14</v>
      </c>
      <c r="B18" s="46">
        <f>'6 - B1'!$G$22</f>
        <v>1216.6253735700425</v>
      </c>
      <c r="C18" s="46">
        <f>'6 - B2'!$G$22</f>
        <v>1216.6253735700425</v>
      </c>
      <c r="D18" s="46">
        <f>'6 - B3'!$G$22</f>
        <v>1216.6253735700425</v>
      </c>
      <c r="E18" s="116">
        <f t="shared" si="0"/>
        <v>1216.6253735700425</v>
      </c>
      <c r="F18" s="45">
        <v>477.81942735778398</v>
      </c>
      <c r="G18">
        <f>'6 - B1'!$L22+'6 - B2'!$L22+'6 - B3'!$L22</f>
        <v>15</v>
      </c>
      <c r="H18" s="46">
        <f>STDEVP('6 - B1'!$B22:F22,'6 - B2'!B22:F22,'6 - B3'!B22:F22)/SQRT(G18)</f>
        <v>7.2006400682926683</v>
      </c>
      <c r="K18" s="117">
        <v>18</v>
      </c>
      <c r="L18">
        <f t="shared" si="2"/>
        <v>188.7</v>
      </c>
      <c r="M18" s="67">
        <f t="shared" si="3"/>
        <v>1530.7869155651779</v>
      </c>
      <c r="O18">
        <v>188.7</v>
      </c>
      <c r="P18">
        <f t="shared" si="1"/>
        <v>188.7</v>
      </c>
    </row>
    <row r="19" spans="1:16" ht="13.15" x14ac:dyDescent="0.4">
      <c r="A19">
        <v>13</v>
      </c>
      <c r="B19" s="46">
        <f>'6 - B1'!$G$21</f>
        <v>1591.9849539363427</v>
      </c>
      <c r="C19" s="46">
        <f>'6 - B2'!$G$21</f>
        <v>1591.9849539363427</v>
      </c>
      <c r="D19" s="46">
        <f>'6 - B3'!$G$21</f>
        <v>1591.9849539363427</v>
      </c>
      <c r="E19" s="116">
        <f t="shared" si="0"/>
        <v>1591.9849539363429</v>
      </c>
      <c r="F19" s="45">
        <v>404.04305508537402</v>
      </c>
      <c r="G19">
        <f>'6 - B1'!$L21+'6 - B2'!$L21+'6 - B3'!$L21</f>
        <v>15</v>
      </c>
      <c r="H19" s="46">
        <f>STDEVP('6 - B1'!$B21:F21,'6 - B2'!B21:F21,'6 - B3'!B21:F21)/SQRT(G19)</f>
        <v>7.3607495197420585</v>
      </c>
      <c r="K19" s="117">
        <v>19</v>
      </c>
      <c r="L19">
        <f t="shared" si="2"/>
        <v>161</v>
      </c>
      <c r="M19" s="67">
        <f t="shared" si="3"/>
        <v>1684.4534147738379</v>
      </c>
      <c r="O19">
        <v>161</v>
      </c>
      <c r="P19">
        <f t="shared" si="1"/>
        <v>161</v>
      </c>
    </row>
    <row r="20" spans="1:16" ht="13.15" x14ac:dyDescent="0.4">
      <c r="A20">
        <v>12</v>
      </c>
      <c r="B20" s="46">
        <f>'6 - B1'!$G$20</f>
        <v>2060.6736775775985</v>
      </c>
      <c r="C20" s="46">
        <f>'6 - B2'!$G$20</f>
        <v>2060.6736775775985</v>
      </c>
      <c r="D20" s="46">
        <f>'6 - B3'!$G$20</f>
        <v>2060.6736775775985</v>
      </c>
      <c r="E20" s="116">
        <f t="shared" si="0"/>
        <v>2060.6736775775985</v>
      </c>
      <c r="F20" s="45">
        <v>341.657917229227</v>
      </c>
      <c r="G20">
        <f>'6 - B1'!$L20+'6 - B2'!$L20+'6 - B3'!$L20</f>
        <v>15</v>
      </c>
      <c r="H20" s="46">
        <f>STDEVP('6 - B1'!$B20:F20,'6 - B2'!B20:F20,'6 - B3'!B20:F20)/SQRT(G20)</f>
        <v>7.6599652314602826</v>
      </c>
      <c r="K20" s="117">
        <v>20</v>
      </c>
      <c r="L20">
        <f t="shared" si="2"/>
        <v>136.4</v>
      </c>
      <c r="M20" s="67">
        <f t="shared" si="3"/>
        <v>1857.5880640673872</v>
      </c>
      <c r="O20">
        <v>136.4</v>
      </c>
      <c r="P20">
        <f t="shared" si="1"/>
        <v>136.4</v>
      </c>
    </row>
    <row r="21" spans="1:16" ht="13.15" x14ac:dyDescent="0.4">
      <c r="A21">
        <v>11</v>
      </c>
      <c r="B21" s="46">
        <f>'6 - B1'!$G$19</f>
        <v>2630.7458069756954</v>
      </c>
      <c r="C21" s="46">
        <f>'6 - B2'!$G$19</f>
        <v>2630.7458069756954</v>
      </c>
      <c r="D21" s="46">
        <f>'6 - B3'!$G$19</f>
        <v>2630.7458069756954</v>
      </c>
      <c r="E21" s="116">
        <f t="shared" si="0"/>
        <v>2630.7458069756954</v>
      </c>
      <c r="F21" s="45">
        <v>288.90518209933998</v>
      </c>
      <c r="G21">
        <f>'6 - B1'!$L19+'6 - B2'!$L19+'6 - B3'!$L19</f>
        <v>15</v>
      </c>
      <c r="H21" s="46">
        <f>STDEVP('6 - B1'!$B19:F19,'6 - B2'!B19:F19,'6 - B3'!B19:F19)/SQRT(G21)</f>
        <v>7.6867205306670909</v>
      </c>
      <c r="K21" s="117">
        <v>21</v>
      </c>
      <c r="L21">
        <f t="shared" si="2"/>
        <v>114.4</v>
      </c>
      <c r="M21" s="67">
        <f t="shared" si="3"/>
        <v>2060.746374841026</v>
      </c>
      <c r="O21">
        <v>114.4</v>
      </c>
      <c r="P21">
        <f t="shared" si="1"/>
        <v>114.4</v>
      </c>
    </row>
    <row r="22" spans="1:16" ht="13.15" x14ac:dyDescent="0.4">
      <c r="A22">
        <v>10</v>
      </c>
      <c r="B22" s="46">
        <f>'6 - B1'!$G$18</f>
        <v>3291.114629369777</v>
      </c>
      <c r="C22" s="46">
        <f>'6 - B2'!$G$18</f>
        <v>3291.114629369777</v>
      </c>
      <c r="D22" s="46">
        <f>'6 - B3'!$G$18</f>
        <v>3291.114629369777</v>
      </c>
      <c r="E22" s="116">
        <f t="shared" si="0"/>
        <v>3291.114629369777</v>
      </c>
      <c r="F22" s="45">
        <v>244.29758549354199</v>
      </c>
      <c r="G22">
        <f>'6 - B1'!$L18+'6 - B2'!$L18+'6 - B3'!$L18</f>
        <v>15</v>
      </c>
      <c r="H22" s="46">
        <f>STDEVP('6 - B1'!$B18:F18,'6 - B2'!B18:F18,'6 - B3'!B18:F18)/SQRT(G22)</f>
        <v>9.8452773820846016</v>
      </c>
      <c r="K22" s="117">
        <v>22</v>
      </c>
      <c r="L22">
        <f t="shared" si="2"/>
        <v>95.3</v>
      </c>
      <c r="M22" s="67">
        <f t="shared" si="3"/>
        <v>2285.2448226752181</v>
      </c>
      <c r="O22">
        <v>95.3</v>
      </c>
      <c r="P22">
        <f t="shared" si="1"/>
        <v>95.3</v>
      </c>
    </row>
    <row r="23" spans="1:16" ht="13.15" x14ac:dyDescent="0.4">
      <c r="A23">
        <v>9</v>
      </c>
      <c r="B23" s="46">
        <f>'6 - B1'!$G$17</f>
        <v>4034.2679362688614</v>
      </c>
      <c r="C23" s="46">
        <f>'6 - B2'!$G$17</f>
        <v>4034.2679362688614</v>
      </c>
      <c r="D23" s="46">
        <f>'6 - B3'!$G$17</f>
        <v>4034.2679362688614</v>
      </c>
      <c r="E23" s="116">
        <f t="shared" si="0"/>
        <v>4034.2679362688614</v>
      </c>
      <c r="F23" s="45">
        <v>206.57750007908501</v>
      </c>
      <c r="G23">
        <f>'6 - B1'!$L17+'6 - B2'!$L17+'6 - B3'!$L17</f>
        <v>15</v>
      </c>
      <c r="H23" s="46">
        <f>STDEVP('6 - B1'!$B17:F17,'6 - B2'!B17:F17,'6 - B3'!B17:F17)/SQRT(G23)</f>
        <v>11.512060914995329</v>
      </c>
      <c r="K23" s="117">
        <v>23</v>
      </c>
      <c r="L23">
        <f t="shared" si="2"/>
        <v>79</v>
      </c>
      <c r="M23" s="67">
        <f t="shared" si="3"/>
        <v>2532.9478317563803</v>
      </c>
      <c r="O23">
        <v>79</v>
      </c>
      <c r="P23">
        <f t="shared" si="1"/>
        <v>79</v>
      </c>
    </row>
    <row r="24" spans="1:16" ht="13.15" x14ac:dyDescent="0.4">
      <c r="A24">
        <v>8</v>
      </c>
      <c r="B24" s="46">
        <f>'6 - B1'!$G$16</f>
        <v>4886.3794595505206</v>
      </c>
      <c r="C24" s="46">
        <f>'6 - B2'!$G$16</f>
        <v>4886.3794595505206</v>
      </c>
      <c r="D24" s="46">
        <f>'6 - B3'!$G$16</f>
        <v>4886.3794595505206</v>
      </c>
      <c r="E24" s="116">
        <f t="shared" si="0"/>
        <v>4886.3794595505206</v>
      </c>
      <c r="F24" s="45">
        <v>174.681478954087</v>
      </c>
      <c r="G24">
        <f>'6 - B1'!$L16+'6 - B2'!$L16+'6 - B3'!$L16</f>
        <v>15</v>
      </c>
      <c r="H24" s="46">
        <f>STDEVP('6 - B1'!$B16:F16,'6 - B2'!B16:F16,'6 - B3'!B16:F16)/SQRT(G24)</f>
        <v>13.909439385829968</v>
      </c>
      <c r="K24" s="117">
        <v>24</v>
      </c>
      <c r="L24">
        <f t="shared" si="2"/>
        <v>65.3</v>
      </c>
      <c r="M24" s="67">
        <f t="shared" si="3"/>
        <v>2789.2674546648223</v>
      </c>
      <c r="O24">
        <v>65.3</v>
      </c>
      <c r="P24">
        <f t="shared" si="1"/>
        <v>65.3</v>
      </c>
    </row>
    <row r="25" spans="1:16" ht="13.15" x14ac:dyDescent="0.4">
      <c r="A25">
        <v>7</v>
      </c>
      <c r="B25" s="46">
        <f>'6 - B1'!$G$15</f>
        <v>5826.2290821773895</v>
      </c>
      <c r="C25" s="46">
        <f>'6 - B2'!$G$15</f>
        <v>5826.2290821773895</v>
      </c>
      <c r="D25" s="46">
        <f>'6 - B3'!$G$15</f>
        <v>5826.2290821773895</v>
      </c>
      <c r="E25" s="116">
        <f t="shared" si="0"/>
        <v>5826.2290821773895</v>
      </c>
      <c r="F25" s="45">
        <v>147.710273761205</v>
      </c>
      <c r="G25">
        <f>'6 - B1'!$L15+'6 - B2'!$L15+'6 - B3'!$L15</f>
        <v>15</v>
      </c>
      <c r="H25" s="46">
        <f>STDEVP('6 - B1'!$B15:F15,'6 - B2'!B15:F15,'6 - B3'!B15:F15)/SQRT(G25)</f>
        <v>13.611947701494879</v>
      </c>
      <c r="K25" s="117">
        <v>25</v>
      </c>
      <c r="L25">
        <f t="shared" si="2"/>
        <v>53.8</v>
      </c>
      <c r="M25" s="67">
        <f t="shared" si="3"/>
        <v>3071.6225341151739</v>
      </c>
      <c r="O25">
        <v>53.8</v>
      </c>
      <c r="P25">
        <f t="shared" si="1"/>
        <v>53.8</v>
      </c>
    </row>
    <row r="26" spans="1:16" ht="13.15" x14ac:dyDescent="0.4">
      <c r="A26">
        <v>6</v>
      </c>
      <c r="B26" s="46">
        <f>'6 - B1'!$G$14</f>
        <v>6884.3659038849783</v>
      </c>
      <c r="C26" s="46">
        <f>'6 - B2'!$G$14</f>
        <v>6884.3659038849783</v>
      </c>
      <c r="D26" s="46">
        <f>'6 - B3'!$G$14</f>
        <v>6884.3659038849783</v>
      </c>
      <c r="E26" s="116">
        <f t="shared" si="0"/>
        <v>6884.3659038849773</v>
      </c>
      <c r="F26" s="45">
        <v>124.903482070615</v>
      </c>
      <c r="G26">
        <f>'6 - B1'!$L14+'6 - B2'!$L14+'6 - B3'!$L14</f>
        <v>15</v>
      </c>
      <c r="H26" s="46">
        <f>STDEVP('6 - B1'!$B14:F14,'6 - B2'!B14:F14,'6 - B3'!B14:F14)/SQRT(G26)</f>
        <v>16.708577434483139</v>
      </c>
      <c r="K26" s="117">
        <v>26</v>
      </c>
      <c r="L26">
        <f t="shared" si="2"/>
        <v>44.6</v>
      </c>
      <c r="M26" s="67">
        <f t="shared" si="3"/>
        <v>3403.616153298156</v>
      </c>
      <c r="O26">
        <v>44.6</v>
      </c>
      <c r="P26">
        <f t="shared" si="1"/>
        <v>44.6</v>
      </c>
    </row>
    <row r="27" spans="1:16" ht="13.15" x14ac:dyDescent="0.4">
      <c r="A27">
        <v>5</v>
      </c>
      <c r="B27" s="46">
        <f>'6 - B1'!$G$13</f>
        <v>8038.1239652736813</v>
      </c>
      <c r="C27" s="46">
        <f>'6 - B2'!$G$13</f>
        <v>8038.1239652736813</v>
      </c>
      <c r="D27" s="46">
        <f>'6 - B3'!$G$13</f>
        <v>8038.1239652736813</v>
      </c>
      <c r="E27" s="116">
        <f t="shared" si="0"/>
        <v>8038.1239652736813</v>
      </c>
      <c r="F27" s="45">
        <v>105.618109262903</v>
      </c>
      <c r="G27">
        <f>'6 - B1'!$L13+'6 - B2'!$L13+'6 - B3'!$L13</f>
        <v>15</v>
      </c>
      <c r="H27" s="46">
        <f>STDEVP('6 - B1'!$B13:F13,'6 - B2'!B13:F13,'6 - B3'!B13:F13)/SQRT(G27)</f>
        <v>18.768685932241482</v>
      </c>
      <c r="K27" s="117">
        <v>27</v>
      </c>
      <c r="L27">
        <f t="shared" si="2"/>
        <v>37</v>
      </c>
      <c r="M27" s="67">
        <f t="shared" si="3"/>
        <v>3729.236113090612</v>
      </c>
      <c r="O27">
        <v>37</v>
      </c>
      <c r="P27">
        <f t="shared" si="1"/>
        <v>37</v>
      </c>
    </row>
    <row r="28" spans="1:16" ht="13.15" x14ac:dyDescent="0.4">
      <c r="A28">
        <v>4</v>
      </c>
      <c r="B28" s="46">
        <f>'6 - B1'!$G$12</f>
        <v>9422.5083147368023</v>
      </c>
      <c r="C28" s="46">
        <f>'6 - B2'!$G$12</f>
        <v>9422.5083147368023</v>
      </c>
      <c r="D28" s="46">
        <f>'6 - B3'!$G$12</f>
        <v>9422.5083147368023</v>
      </c>
      <c r="E28" s="116">
        <f t="shared" si="0"/>
        <v>9422.5083147368023</v>
      </c>
      <c r="F28" s="45">
        <v>89.310440504484603</v>
      </c>
      <c r="G28">
        <f>'6 - B1'!$L12+'6 - B2'!$L12+'6 - B3'!$L12</f>
        <v>15</v>
      </c>
      <c r="H28" s="46">
        <f>STDEVP('6 - B1'!$B12:F12,'6 - B2'!B12:F12,'6 - B3'!B12:F12)/SQRT(G28)</f>
        <v>20.694863600938646</v>
      </c>
      <c r="K28" s="117">
        <v>28</v>
      </c>
      <c r="L28">
        <f t="shared" si="2"/>
        <v>30.7</v>
      </c>
      <c r="M28" s="67">
        <f t="shared" si="3"/>
        <v>4045.649370403652</v>
      </c>
      <c r="O28">
        <v>30.7</v>
      </c>
      <c r="P28">
        <f t="shared" si="1"/>
        <v>30.7</v>
      </c>
    </row>
    <row r="29" spans="1:16" ht="13.15" x14ac:dyDescent="0.4">
      <c r="A29">
        <v>3</v>
      </c>
      <c r="B29" s="46">
        <f>'6 - B1'!$G$11</f>
        <v>10808.216374205138</v>
      </c>
      <c r="C29" s="46">
        <f>'6 - B2'!$G$11</f>
        <v>10808.216374205138</v>
      </c>
      <c r="D29" s="46">
        <f>'6 - B3'!$G$11</f>
        <v>10808.216374205138</v>
      </c>
      <c r="E29" s="116">
        <f t="shared" si="0"/>
        <v>10808.216374205138</v>
      </c>
      <c r="F29" s="45">
        <v>75.520711729940501</v>
      </c>
      <c r="G29">
        <f>'6 - B1'!$L11+'6 - B2'!$L11+'6 - B3'!$L11</f>
        <v>15</v>
      </c>
      <c r="H29" s="46">
        <f>STDEVP('6 - B1'!$B11:F11,'6 - B2'!B11:F11,'6 - B3'!B11:F11)/SQRT(G29)</f>
        <v>23.662420190923608</v>
      </c>
      <c r="K29" s="117">
        <v>29</v>
      </c>
      <c r="L29">
        <f t="shared" si="2"/>
        <v>25.2</v>
      </c>
      <c r="M29" s="67">
        <f t="shared" si="3"/>
        <v>4394.9590162182021</v>
      </c>
      <c r="O29">
        <v>25.2</v>
      </c>
      <c r="P29">
        <f t="shared" si="1"/>
        <v>25.2</v>
      </c>
    </row>
    <row r="30" spans="1:16" ht="13.15" x14ac:dyDescent="0.4">
      <c r="A30">
        <v>2</v>
      </c>
      <c r="B30" s="46">
        <f>'6 - B1'!$G$10</f>
        <v>12525.940427677557</v>
      </c>
      <c r="C30" s="46">
        <f>'6 - B2'!$G$10</f>
        <v>12525.940427677557</v>
      </c>
      <c r="D30" s="46">
        <f>'6 - B3'!$G$10</f>
        <v>12525.940427677557</v>
      </c>
      <c r="E30" s="116">
        <f t="shared" si="0"/>
        <v>12525.940427677555</v>
      </c>
      <c r="F30" s="45">
        <v>63.860147458464198</v>
      </c>
      <c r="G30">
        <f>'6 - B1'!$L10+'6 - B2'!$L10+'6 - B3'!$L10</f>
        <v>15</v>
      </c>
      <c r="H30" s="46">
        <f>STDEVP('6 - B1'!$B10:F10,'6 - B2'!B10:F10,'6 - B3'!B10:F10)/SQRT(G30)</f>
        <v>25.177372747640305</v>
      </c>
      <c r="K30" s="117">
        <v>30</v>
      </c>
      <c r="L30">
        <f t="shared" si="2"/>
        <v>20.100000000000001</v>
      </c>
      <c r="M30" s="67">
        <f t="shared" si="3"/>
        <v>4824.5310451997693</v>
      </c>
      <c r="O30">
        <v>20.100000000000001</v>
      </c>
      <c r="P30">
        <f t="shared" si="1"/>
        <v>20.100000000000001</v>
      </c>
    </row>
    <row r="31" spans="1:16" x14ac:dyDescent="0.35">
      <c r="A31">
        <v>1</v>
      </c>
      <c r="B31" s="46">
        <f>'6 - B1'!$G$9</f>
        <v>14457.894930785271</v>
      </c>
      <c r="C31" s="46">
        <f>'6 - B2'!$G$9</f>
        <v>14457.894930785271</v>
      </c>
      <c r="D31" s="46">
        <f>'6 - B3'!$G$9</f>
        <v>14457.894930785271</v>
      </c>
      <c r="E31" s="116">
        <f t="shared" si="0"/>
        <v>14457.894930785269</v>
      </c>
      <c r="F31" s="45">
        <v>54</v>
      </c>
      <c r="G31">
        <f>'6 - B1'!$L9+'6 - B2'!$L9+'6 - B3'!$L9</f>
        <v>15</v>
      </c>
      <c r="H31" s="46">
        <f>STDEVP('6 - B1'!$B9:F9,'6 - B2'!B9:F9,'6 - B3'!B9:F9)/SQRT(G31)</f>
        <v>26.733246326039357</v>
      </c>
      <c r="K31" s="117"/>
    </row>
    <row r="32" spans="1:16" x14ac:dyDescent="0.35">
      <c r="B32" s="46"/>
    </row>
    <row r="33" spans="2:40" x14ac:dyDescent="0.35">
      <c r="B33" s="46"/>
    </row>
    <row r="42" spans="2:40" x14ac:dyDescent="0.35"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</row>
    <row r="45" spans="2:40" x14ac:dyDescent="0.35">
      <c r="M45" s="118"/>
    </row>
    <row r="46" spans="2:40" x14ac:dyDescent="0.35">
      <c r="M46" s="118"/>
    </row>
    <row r="47" spans="2:40" x14ac:dyDescent="0.35">
      <c r="M47" s="118"/>
    </row>
    <row r="48" spans="2:40" x14ac:dyDescent="0.35">
      <c r="M48" s="118"/>
    </row>
    <row r="49" spans="13:13" x14ac:dyDescent="0.35">
      <c r="M49" s="118"/>
    </row>
    <row r="50" spans="13:13" x14ac:dyDescent="0.35">
      <c r="M50" s="118"/>
    </row>
    <row r="51" spans="13:13" x14ac:dyDescent="0.35">
      <c r="M51" s="118"/>
    </row>
    <row r="52" spans="13:13" x14ac:dyDescent="0.35">
      <c r="M52" s="118"/>
    </row>
    <row r="53" spans="13:13" x14ac:dyDescent="0.35">
      <c r="M53" s="118"/>
    </row>
    <row r="54" spans="13:13" x14ac:dyDescent="0.35">
      <c r="M54" s="118"/>
    </row>
    <row r="55" spans="13:13" x14ac:dyDescent="0.35">
      <c r="M55" s="118"/>
    </row>
    <row r="56" spans="13:13" x14ac:dyDescent="0.35">
      <c r="M56" s="118"/>
    </row>
    <row r="57" spans="13:13" x14ac:dyDescent="0.35">
      <c r="M57" s="118"/>
    </row>
    <row r="58" spans="13:13" x14ac:dyDescent="0.35">
      <c r="M58" s="118"/>
    </row>
    <row r="59" spans="13:13" x14ac:dyDescent="0.35">
      <c r="M59" s="118"/>
    </row>
    <row r="60" spans="13:13" x14ac:dyDescent="0.35">
      <c r="M60" s="118"/>
    </row>
    <row r="61" spans="13:13" x14ac:dyDescent="0.35">
      <c r="M61" s="118"/>
    </row>
    <row r="62" spans="13:13" x14ac:dyDescent="0.35">
      <c r="M62" s="118"/>
    </row>
    <row r="63" spans="13:13" x14ac:dyDescent="0.35">
      <c r="M63" s="118"/>
    </row>
    <row r="64" spans="13:13" x14ac:dyDescent="0.35">
      <c r="M64" s="118"/>
    </row>
    <row r="65" spans="13:13" x14ac:dyDescent="0.35">
      <c r="M65" s="118"/>
    </row>
    <row r="66" spans="13:13" x14ac:dyDescent="0.35">
      <c r="M66" s="118"/>
    </row>
    <row r="67" spans="13:13" x14ac:dyDescent="0.35">
      <c r="M67" s="118"/>
    </row>
    <row r="68" spans="13:13" x14ac:dyDescent="0.35">
      <c r="M68" s="118"/>
    </row>
    <row r="69" spans="13:13" x14ac:dyDescent="0.35">
      <c r="M69" s="118"/>
    </row>
    <row r="70" spans="13:13" x14ac:dyDescent="0.35">
      <c r="M70" s="118"/>
    </row>
    <row r="71" spans="13:13" x14ac:dyDescent="0.35">
      <c r="M71" s="118"/>
    </row>
    <row r="72" spans="13:13" x14ac:dyDescent="0.35">
      <c r="M72" s="118"/>
    </row>
  </sheetData>
  <sortState xmlns:xlrd2="http://schemas.microsoft.com/office/spreadsheetml/2017/richdata2" ref="A4:H31">
    <sortCondition descending="1" ref="A4:A31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6"/>
  <sheetViews>
    <sheetView zoomScale="95" zoomScaleNormal="95" workbookViewId="0">
      <selection activeCell="A51" sqref="A51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10" t="s">
        <v>22</v>
      </c>
      <c r="B1" s="10"/>
      <c r="C1" s="79"/>
      <c r="D1" s="15" t="s">
        <v>23</v>
      </c>
    </row>
    <row r="2" spans="1:17" ht="13.15" x14ac:dyDescent="0.4">
      <c r="A2" s="10" t="s">
        <v>24</v>
      </c>
      <c r="B2" s="10"/>
      <c r="C2" s="10"/>
      <c r="D2" s="10" t="s">
        <v>25</v>
      </c>
    </row>
    <row r="3" spans="1:17" ht="13.15" x14ac:dyDescent="0.4">
      <c r="A3" s="10" t="s">
        <v>28</v>
      </c>
      <c r="B3" s="10"/>
      <c r="C3" s="10"/>
      <c r="D3" s="119"/>
    </row>
    <row r="4" spans="1:17" ht="13.15" x14ac:dyDescent="0.4">
      <c r="A4" s="10" t="s">
        <v>27</v>
      </c>
      <c r="B4" s="10"/>
      <c r="C4" s="10"/>
      <c r="D4" s="10" t="s">
        <v>25</v>
      </c>
    </row>
    <row r="5" spans="1:17" ht="13.15" x14ac:dyDescent="0.4">
      <c r="A5" s="10" t="s">
        <v>26</v>
      </c>
      <c r="B5" s="10"/>
      <c r="C5" s="10"/>
      <c r="D5" s="15" t="s">
        <v>23</v>
      </c>
    </row>
    <row r="6" spans="1:17" ht="13.15" x14ac:dyDescent="0.4">
      <c r="A6" s="79" t="s">
        <v>132</v>
      </c>
      <c r="B6" s="10"/>
      <c r="C6" s="10"/>
      <c r="D6" s="12" t="s">
        <v>219</v>
      </c>
    </row>
    <row r="7" spans="1:17" ht="13.15" x14ac:dyDescent="0.4">
      <c r="A7" s="10" t="s">
        <v>29</v>
      </c>
      <c r="B7" s="10"/>
      <c r="C7" s="10"/>
      <c r="D7" s="14" t="s">
        <v>30</v>
      </c>
    </row>
    <row r="10" spans="1:17" x14ac:dyDescent="0.35">
      <c r="A10" s="29" t="s">
        <v>220</v>
      </c>
      <c r="B10" s="29"/>
      <c r="C10" s="29"/>
      <c r="D10" s="29"/>
    </row>
    <row r="11" spans="1:17" ht="13.15" x14ac:dyDescent="0.4">
      <c r="A11" s="29"/>
      <c r="B11" s="29"/>
      <c r="C11" s="29"/>
      <c r="D11" s="29"/>
      <c r="H11" s="8"/>
    </row>
    <row r="12" spans="1:17" ht="13.15" x14ac:dyDescent="0.4">
      <c r="A12" s="120">
        <v>49.4</v>
      </c>
      <c r="B12" s="121" t="s">
        <v>221</v>
      </c>
      <c r="C12" s="121" t="s">
        <v>222</v>
      </c>
      <c r="D12" s="122"/>
      <c r="F12" s="123">
        <v>39</v>
      </c>
      <c r="G12" s="121" t="s">
        <v>221</v>
      </c>
      <c r="H12" s="121" t="s">
        <v>222</v>
      </c>
      <c r="I12" s="39"/>
      <c r="J12" s="100"/>
      <c r="M12" s="120">
        <v>69.7</v>
      </c>
      <c r="N12" s="121" t="s">
        <v>221</v>
      </c>
      <c r="O12" s="121" t="s">
        <v>222</v>
      </c>
      <c r="P12" s="39"/>
      <c r="Q12" s="100"/>
    </row>
    <row r="13" spans="1:17" x14ac:dyDescent="0.35">
      <c r="A13" s="124">
        <f>(4/3)*(3.1415936)*((A12*0.000001/2)^3)</f>
        <v>6.3121832711697054E-14</v>
      </c>
      <c r="B13" s="29" t="s">
        <v>223</v>
      </c>
      <c r="C13" s="29" t="s">
        <v>224</v>
      </c>
      <c r="D13" s="125"/>
      <c r="F13" s="124">
        <f>(4/3)*(3.1415936)*((F12*0.000001/2)^3)</f>
        <v>3.1059365126399994E-14</v>
      </c>
      <c r="G13" s="29" t="s">
        <v>223</v>
      </c>
      <c r="H13" s="29" t="s">
        <v>224</v>
      </c>
      <c r="J13" s="48"/>
      <c r="M13" s="124">
        <f>(4/3)*(3.1415936)*((M12*0.000001/2)^3)</f>
        <v>1.7729524472000214E-13</v>
      </c>
      <c r="N13" s="29" t="s">
        <v>223</v>
      </c>
      <c r="O13" s="29" t="s">
        <v>224</v>
      </c>
      <c r="Q13" s="48"/>
    </row>
    <row r="14" spans="1:17" x14ac:dyDescent="0.35">
      <c r="A14" s="124">
        <f>A13*1.05*1000</f>
        <v>6.6277924347281912E-11</v>
      </c>
      <c r="B14" s="29" t="s">
        <v>225</v>
      </c>
      <c r="C14" s="29" t="s">
        <v>226</v>
      </c>
      <c r="D14" s="125"/>
      <c r="F14" s="124">
        <f>F13*1.05*1000</f>
        <v>3.2612333382719997E-11</v>
      </c>
      <c r="G14" s="29" t="s">
        <v>225</v>
      </c>
      <c r="H14" s="29" t="s">
        <v>226</v>
      </c>
      <c r="J14" s="48"/>
      <c r="M14" s="124">
        <f>M13*1.05*1000</f>
        <v>1.8616000695600225E-10</v>
      </c>
      <c r="N14" s="29" t="s">
        <v>225</v>
      </c>
      <c r="O14" s="29" t="s">
        <v>226</v>
      </c>
      <c r="Q14" s="48"/>
    </row>
    <row r="15" spans="1:17" x14ac:dyDescent="0.35">
      <c r="A15" s="124">
        <f>0.000001/A14</f>
        <v>15087.980045364991</v>
      </c>
      <c r="B15" s="29" t="s">
        <v>227</v>
      </c>
      <c r="C15" s="29" t="s">
        <v>228</v>
      </c>
      <c r="D15" s="125"/>
      <c r="F15" s="124">
        <f>0.000001/F14</f>
        <v>30663.245964787693</v>
      </c>
      <c r="G15" s="29" t="s">
        <v>227</v>
      </c>
      <c r="H15" s="29" t="s">
        <v>228</v>
      </c>
      <c r="J15" s="48"/>
      <c r="M15" s="124">
        <f>0.000001/M14</f>
        <v>5371.7230480999269</v>
      </c>
      <c r="N15" s="29" t="s">
        <v>227</v>
      </c>
      <c r="O15" s="29" t="s">
        <v>228</v>
      </c>
      <c r="Q15" s="48"/>
    </row>
    <row r="16" spans="1:17" ht="13.15" x14ac:dyDescent="0.4">
      <c r="A16" s="126">
        <v>5000</v>
      </c>
      <c r="B16" s="29"/>
      <c r="C16" s="29" t="s">
        <v>229</v>
      </c>
      <c r="D16" s="125"/>
      <c r="F16" s="126">
        <v>3000</v>
      </c>
      <c r="G16" s="29"/>
      <c r="H16" s="29" t="s">
        <v>229</v>
      </c>
      <c r="J16" s="48"/>
      <c r="M16" s="126">
        <v>2000</v>
      </c>
      <c r="N16" s="29"/>
      <c r="O16" s="29" t="s">
        <v>229</v>
      </c>
      <c r="Q16" s="48"/>
    </row>
    <row r="17" spans="1:17" x14ac:dyDescent="0.35">
      <c r="A17" s="127">
        <f>A16/A15*1000</f>
        <v>331.38962173640959</v>
      </c>
      <c r="B17" s="29" t="s">
        <v>81</v>
      </c>
      <c r="C17" s="29" t="s">
        <v>230</v>
      </c>
      <c r="D17" s="125"/>
      <c r="F17" s="127">
        <f>F16/F15*1000</f>
        <v>97.837000148159987</v>
      </c>
      <c r="G17" s="29" t="s">
        <v>81</v>
      </c>
      <c r="H17" s="29" t="s">
        <v>230</v>
      </c>
      <c r="J17" s="48"/>
      <c r="M17" s="127">
        <f>M16/M15*1000</f>
        <v>372.32001391200447</v>
      </c>
      <c r="N17" s="29" t="s">
        <v>81</v>
      </c>
      <c r="O17" s="29" t="s">
        <v>230</v>
      </c>
      <c r="Q17" s="48"/>
    </row>
    <row r="18" spans="1:17" ht="13.15" x14ac:dyDescent="0.4">
      <c r="A18" s="126">
        <v>0.20280000000000001</v>
      </c>
      <c r="B18" s="29" t="s">
        <v>231</v>
      </c>
      <c r="C18" s="29" t="s">
        <v>232</v>
      </c>
      <c r="D18" s="125"/>
      <c r="F18" s="126">
        <v>0.1</v>
      </c>
      <c r="G18" s="29" t="s">
        <v>231</v>
      </c>
      <c r="H18" s="29" t="s">
        <v>232</v>
      </c>
      <c r="J18" s="48"/>
      <c r="M18" s="126">
        <v>0.2</v>
      </c>
      <c r="N18" s="29" t="s">
        <v>231</v>
      </c>
      <c r="O18" s="29" t="s">
        <v>232</v>
      </c>
      <c r="Q18" s="48"/>
    </row>
    <row r="19" spans="1:17" x14ac:dyDescent="0.35">
      <c r="A19" s="127">
        <f>A18*A17</f>
        <v>67.205815288143867</v>
      </c>
      <c r="B19" s="29" t="s">
        <v>77</v>
      </c>
      <c r="C19" s="29" t="s">
        <v>233</v>
      </c>
      <c r="D19" s="125"/>
      <c r="F19" s="127">
        <f>F18*F17</f>
        <v>9.7837000148159987</v>
      </c>
      <c r="G19" s="29" t="s">
        <v>77</v>
      </c>
      <c r="H19" s="29" t="s">
        <v>233</v>
      </c>
      <c r="J19" s="48"/>
      <c r="M19" s="127">
        <f>M18*M17</f>
        <v>74.464002782400897</v>
      </c>
      <c r="N19" s="29" t="s">
        <v>77</v>
      </c>
      <c r="O19" s="29" t="s">
        <v>233</v>
      </c>
      <c r="Q19" s="48"/>
    </row>
    <row r="20" spans="1:17" ht="13.15" x14ac:dyDescent="0.4">
      <c r="A20" s="126">
        <v>67.2</v>
      </c>
      <c r="B20" s="29" t="s">
        <v>77</v>
      </c>
      <c r="C20" s="29" t="s">
        <v>234</v>
      </c>
      <c r="D20" s="125"/>
      <c r="F20" s="126">
        <v>13.46</v>
      </c>
      <c r="G20" s="29" t="s">
        <v>77</v>
      </c>
      <c r="H20" s="29" t="s">
        <v>234</v>
      </c>
      <c r="J20" s="48"/>
      <c r="M20" s="126">
        <v>77.569999999999993</v>
      </c>
      <c r="N20" s="29" t="s">
        <v>77</v>
      </c>
      <c r="O20" s="29" t="s">
        <v>234</v>
      </c>
      <c r="Q20" s="48"/>
    </row>
    <row r="21" spans="1:17" ht="13.15" x14ac:dyDescent="0.4">
      <c r="A21" s="128">
        <f>A20/A19*A16</f>
        <v>4999.5673523102923</v>
      </c>
      <c r="B21" s="29" t="s">
        <v>235</v>
      </c>
      <c r="C21" s="29" t="s">
        <v>236</v>
      </c>
      <c r="D21" s="125"/>
      <c r="F21" s="128">
        <f>F20/F19*F16</f>
        <v>4127.272906860424</v>
      </c>
      <c r="G21" s="29" t="s">
        <v>235</v>
      </c>
      <c r="H21" s="29" t="s">
        <v>236</v>
      </c>
      <c r="J21" s="48"/>
      <c r="M21" s="128">
        <f>M20/M19*M16</f>
        <v>2083.4227842055566</v>
      </c>
      <c r="N21" s="29" t="s">
        <v>235</v>
      </c>
      <c r="O21" s="29" t="s">
        <v>236</v>
      </c>
      <c r="Q21" s="48"/>
    </row>
    <row r="22" spans="1:17" x14ac:dyDescent="0.35">
      <c r="A22" s="41"/>
      <c r="D22" s="48"/>
      <c r="F22" s="129">
        <f>F20*F15</f>
        <v>412727.2906860424</v>
      </c>
      <c r="H22" t="s">
        <v>237</v>
      </c>
      <c r="J22" s="48"/>
      <c r="M22" s="129">
        <f>M20*M15</f>
        <v>416684.55684111128</v>
      </c>
      <c r="O22" t="s">
        <v>237</v>
      </c>
      <c r="Q22" s="48"/>
    </row>
    <row r="23" spans="1:17" x14ac:dyDescent="0.35">
      <c r="A23" s="41"/>
      <c r="D23" s="48"/>
      <c r="F23" s="129">
        <f>F21/F16*F18*1000</f>
        <v>137.57576356201415</v>
      </c>
      <c r="G23" t="s">
        <v>55</v>
      </c>
      <c r="H23" t="s">
        <v>238</v>
      </c>
      <c r="J23" s="48"/>
      <c r="M23" s="129">
        <f>M21/M16*M18*1000</f>
        <v>208.34227842055566</v>
      </c>
      <c r="N23" t="s">
        <v>55</v>
      </c>
      <c r="O23" t="s">
        <v>238</v>
      </c>
      <c r="Q23" s="48"/>
    </row>
    <row r="24" spans="1:17" x14ac:dyDescent="0.35">
      <c r="A24" s="41"/>
      <c r="D24" s="48"/>
      <c r="F24" s="129">
        <f>F23-F18*1000</f>
        <v>37.575763562014146</v>
      </c>
      <c r="G24" t="s">
        <v>55</v>
      </c>
      <c r="H24" t="s">
        <v>239</v>
      </c>
      <c r="J24" s="48"/>
      <c r="M24" s="129">
        <f>M23-M18*1000</f>
        <v>8.3422784205556582</v>
      </c>
      <c r="N24" t="s">
        <v>55</v>
      </c>
      <c r="O24" t="s">
        <v>239</v>
      </c>
      <c r="Q24" s="48"/>
    </row>
    <row r="25" spans="1:17" x14ac:dyDescent="0.35">
      <c r="A25" s="41"/>
      <c r="D25" s="48"/>
      <c r="F25" s="41"/>
      <c r="J25" s="48"/>
      <c r="M25" s="41"/>
      <c r="Q25" s="48"/>
    </row>
    <row r="26" spans="1:17" x14ac:dyDescent="0.35">
      <c r="A26" s="41"/>
      <c r="D26" s="48"/>
      <c r="F26" s="41"/>
      <c r="J26" s="48"/>
      <c r="M26" s="41"/>
      <c r="Q26" s="48"/>
    </row>
    <row r="27" spans="1:17" x14ac:dyDescent="0.35">
      <c r="A27" s="41" t="s">
        <v>213</v>
      </c>
      <c r="D27" s="48"/>
      <c r="F27" s="41" t="s">
        <v>213</v>
      </c>
      <c r="J27" s="48"/>
      <c r="M27" s="41" t="s">
        <v>213</v>
      </c>
      <c r="Q27" s="48"/>
    </row>
    <row r="28" spans="1:17" x14ac:dyDescent="0.35">
      <c r="A28" s="41">
        <v>100</v>
      </c>
      <c r="B28" t="s">
        <v>55</v>
      </c>
      <c r="C28" t="s">
        <v>240</v>
      </c>
      <c r="D28" s="48"/>
      <c r="F28" s="41">
        <v>100</v>
      </c>
      <c r="G28" t="s">
        <v>55</v>
      </c>
      <c r="H28" t="s">
        <v>240</v>
      </c>
      <c r="J28" s="48"/>
      <c r="M28" s="41">
        <v>100</v>
      </c>
      <c r="N28" t="s">
        <v>55</v>
      </c>
      <c r="O28" t="s">
        <v>240</v>
      </c>
      <c r="Q28" s="48"/>
    </row>
    <row r="29" spans="1:17" x14ac:dyDescent="0.35">
      <c r="A29" s="41">
        <v>300</v>
      </c>
      <c r="B29" t="s">
        <v>39</v>
      </c>
      <c r="C29" t="s">
        <v>241</v>
      </c>
      <c r="D29" s="48"/>
      <c r="F29" s="41">
        <v>300</v>
      </c>
      <c r="G29" t="s">
        <v>39</v>
      </c>
      <c r="H29" t="s">
        <v>242</v>
      </c>
      <c r="J29" s="48"/>
      <c r="M29" s="41">
        <v>300</v>
      </c>
      <c r="N29" t="s">
        <v>39</v>
      </c>
      <c r="O29" t="s">
        <v>242</v>
      </c>
      <c r="Q29" s="48"/>
    </row>
    <row r="30" spans="1:17" x14ac:dyDescent="0.35">
      <c r="A30" s="41">
        <f>A28*A29</f>
        <v>30000</v>
      </c>
      <c r="B30" t="s">
        <v>243</v>
      </c>
      <c r="C30" t="s">
        <v>244</v>
      </c>
      <c r="D30" s="48"/>
      <c r="F30" s="41">
        <f>F28*F29</f>
        <v>30000</v>
      </c>
      <c r="G30" t="s">
        <v>243</v>
      </c>
      <c r="H30" t="s">
        <v>244</v>
      </c>
      <c r="J30" s="48"/>
      <c r="M30" s="41">
        <f>M28*M29</f>
        <v>30000</v>
      </c>
      <c r="N30" t="s">
        <v>243</v>
      </c>
      <c r="O30" t="s">
        <v>244</v>
      </c>
      <c r="Q30" s="48"/>
    </row>
    <row r="31" spans="1:17" x14ac:dyDescent="0.35">
      <c r="A31" s="129">
        <f>A30/A21</f>
        <v>6.0005192221557024</v>
      </c>
      <c r="B31" t="s">
        <v>55</v>
      </c>
      <c r="C31" t="s">
        <v>245</v>
      </c>
      <c r="D31" s="48"/>
      <c r="F31" s="129">
        <f>F30/F21</f>
        <v>7.2687221506805342</v>
      </c>
      <c r="G31" t="s">
        <v>55</v>
      </c>
      <c r="H31" t="s">
        <v>245</v>
      </c>
      <c r="J31" s="48"/>
      <c r="M31" s="129">
        <f>M30/M21</f>
        <v>14.399381742116972</v>
      </c>
      <c r="N31" t="s">
        <v>55</v>
      </c>
      <c r="O31" t="s">
        <v>245</v>
      </c>
      <c r="Q31" s="48"/>
    </row>
    <row r="32" spans="1:17" x14ac:dyDescent="0.35">
      <c r="A32" s="129">
        <f>A28-A31</f>
        <v>93.999480777844298</v>
      </c>
      <c r="B32" t="s">
        <v>55</v>
      </c>
      <c r="C32" t="s">
        <v>246</v>
      </c>
      <c r="D32" s="48"/>
      <c r="F32" s="129">
        <f>F28-F31</f>
        <v>92.731277849319468</v>
      </c>
      <c r="G32" t="s">
        <v>55</v>
      </c>
      <c r="H32" t="s">
        <v>246</v>
      </c>
      <c r="J32" s="48"/>
      <c r="M32" s="129">
        <f>M28-M31</f>
        <v>85.600618257883028</v>
      </c>
      <c r="N32" t="s">
        <v>55</v>
      </c>
      <c r="O32" t="s">
        <v>246</v>
      </c>
      <c r="Q32" s="48"/>
    </row>
    <row r="33" spans="1:17" x14ac:dyDescent="0.35">
      <c r="A33" s="41"/>
      <c r="D33" s="48"/>
      <c r="F33" s="41"/>
      <c r="J33" s="48"/>
      <c r="M33" s="41"/>
      <c r="Q33" s="48"/>
    </row>
    <row r="34" spans="1:17" x14ac:dyDescent="0.35">
      <c r="A34" s="50"/>
      <c r="B34" s="51"/>
      <c r="C34" s="51"/>
      <c r="D34" s="104"/>
      <c r="F34" s="50"/>
      <c r="G34" s="51"/>
      <c r="H34" s="51"/>
      <c r="I34" s="51"/>
      <c r="J34" s="104"/>
      <c r="M34" s="50"/>
      <c r="N34" s="51"/>
      <c r="O34" s="51"/>
      <c r="P34" s="51"/>
      <c r="Q34" s="104"/>
    </row>
    <row r="37" spans="1:17" ht="13.15" x14ac:dyDescent="0.4">
      <c r="A37" s="8" t="s">
        <v>247</v>
      </c>
    </row>
    <row r="39" spans="1:17" x14ac:dyDescent="0.35">
      <c r="F39" s="32"/>
    </row>
    <row r="40" spans="1:17" ht="13.15" x14ac:dyDescent="0.4">
      <c r="A40" t="s">
        <v>248</v>
      </c>
      <c r="C40" s="8">
        <f>A12</f>
        <v>49.4</v>
      </c>
      <c r="D40" t="s">
        <v>249</v>
      </c>
      <c r="G40" s="8">
        <f>F12</f>
        <v>39</v>
      </c>
      <c r="H40" t="s">
        <v>249</v>
      </c>
      <c r="N40" s="8">
        <v>70</v>
      </c>
    </row>
    <row r="42" spans="1:17" ht="13.15" x14ac:dyDescent="0.4">
      <c r="A42" t="s">
        <v>250</v>
      </c>
      <c r="B42" s="130">
        <f>0.56*C42</f>
        <v>8736</v>
      </c>
      <c r="C42" s="131">
        <v>15600</v>
      </c>
      <c r="D42" s="132">
        <f>1.56*C42</f>
        <v>24336</v>
      </c>
      <c r="F42" s="130">
        <f>0.56*G42</f>
        <v>5600.0000000000009</v>
      </c>
      <c r="G42" s="131">
        <v>10000</v>
      </c>
      <c r="H42" s="132">
        <f>1.56*G42</f>
        <v>15600</v>
      </c>
      <c r="M42" s="130">
        <f>0.56*N42</f>
        <v>14000.000000000002</v>
      </c>
      <c r="N42" s="131">
        <v>25000</v>
      </c>
      <c r="O42" s="132">
        <f>1.56*N42</f>
        <v>39000</v>
      </c>
    </row>
    <row r="43" spans="1:17" x14ac:dyDescent="0.35">
      <c r="A43" t="s">
        <v>251</v>
      </c>
      <c r="B43" s="50">
        <v>41252</v>
      </c>
      <c r="C43" s="51">
        <v>20600</v>
      </c>
      <c r="D43" s="104">
        <v>92</v>
      </c>
      <c r="F43" s="50">
        <v>43502</v>
      </c>
      <c r="G43" s="51">
        <v>21877</v>
      </c>
      <c r="H43" s="104">
        <v>134</v>
      </c>
      <c r="M43" s="50">
        <v>20135</v>
      </c>
      <c r="N43" s="51">
        <v>10070</v>
      </c>
      <c r="O43" s="104">
        <v>0</v>
      </c>
    </row>
    <row r="44" spans="1:17" x14ac:dyDescent="0.35">
      <c r="A44" t="s">
        <v>252</v>
      </c>
      <c r="B44" s="133">
        <v>13047</v>
      </c>
      <c r="C44" s="133">
        <v>13354</v>
      </c>
      <c r="D44" s="133">
        <f>D43-L43</f>
        <v>92</v>
      </c>
      <c r="F44" s="133">
        <f>F43-G43</f>
        <v>21625</v>
      </c>
      <c r="G44" s="133">
        <f>G43-H43</f>
        <v>21743</v>
      </c>
      <c r="H44" s="133">
        <f>H43-P43</f>
        <v>134</v>
      </c>
      <c r="M44" s="133">
        <f>M43-N43</f>
        <v>10065</v>
      </c>
      <c r="N44" s="133">
        <f>N43-O43</f>
        <v>10070</v>
      </c>
      <c r="O44" s="133">
        <f>O43-B43</f>
        <v>-41252</v>
      </c>
    </row>
    <row r="46" spans="1:17" ht="13.15" x14ac:dyDescent="0.4">
      <c r="A46" t="s">
        <v>253</v>
      </c>
      <c r="B46" s="134">
        <f>(1-B44/C44)</f>
        <v>2.2989366481952933E-2</v>
      </c>
      <c r="F46" s="134">
        <f>(1-F44/G44)</f>
        <v>5.4270339879501917E-3</v>
      </c>
      <c r="M46" s="134">
        <f>(1-M44/N44)</f>
        <v>4.9652432969216065E-4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zoomScale="85" zoomScaleNormal="85" workbookViewId="0">
      <selection activeCell="Q44" sqref="Q44"/>
    </sheetView>
  </sheetViews>
  <sheetFormatPr defaultColWidth="11.53125" defaultRowHeight="12.75" x14ac:dyDescent="0.35"/>
  <sheetData>
    <row r="1" spans="1:4" ht="14.25" x14ac:dyDescent="0.45">
      <c r="A1" s="168" t="s">
        <v>254</v>
      </c>
      <c r="B1" s="168"/>
      <c r="C1" s="168" t="s">
        <v>255</v>
      </c>
      <c r="D1" s="168"/>
    </row>
    <row r="2" spans="1:4" ht="92.85" customHeight="1" x14ac:dyDescent="0.45">
      <c r="A2" s="169" t="s">
        <v>256</v>
      </c>
      <c r="B2" s="169"/>
      <c r="C2" s="169" t="s">
        <v>257</v>
      </c>
      <c r="D2" s="169"/>
    </row>
    <row r="3" spans="1:4" ht="57" x14ac:dyDescent="0.45">
      <c r="A3" s="135" t="s">
        <v>258</v>
      </c>
      <c r="B3" s="136" t="s">
        <v>259</v>
      </c>
      <c r="C3" s="135" t="s">
        <v>210</v>
      </c>
      <c r="D3" s="137" t="s">
        <v>212</v>
      </c>
    </row>
    <row r="4" spans="1:4" ht="14.25" x14ac:dyDescent="0.45">
      <c r="A4" s="1" t="s">
        <v>217</v>
      </c>
      <c r="B4" s="137" t="s">
        <v>215</v>
      </c>
      <c r="C4" s="1" t="s">
        <v>217</v>
      </c>
      <c r="D4" s="137" t="s">
        <v>215</v>
      </c>
    </row>
    <row r="5" spans="1:4" ht="13.15" x14ac:dyDescent="0.4">
      <c r="A5">
        <v>4</v>
      </c>
      <c r="B5" s="45">
        <f>'6 - Interpolated Thresholds'!$M4</f>
        <v>75.995129221123477</v>
      </c>
      <c r="C5" s="8">
        <v>4</v>
      </c>
      <c r="D5" s="67">
        <f>CubicSpline(C5,$A$5:$A$107,$B$5:$B$107)</f>
        <v>75.995129221123477</v>
      </c>
    </row>
    <row r="6" spans="1:4" ht="13.15" x14ac:dyDescent="0.4">
      <c r="A6">
        <v>5</v>
      </c>
      <c r="B6" s="45">
        <f>'6 - Interpolated Thresholds'!$M5</f>
        <v>120.51857422238072</v>
      </c>
      <c r="C6">
        <v>5</v>
      </c>
      <c r="D6" s="67">
        <f t="shared" ref="D6:D34" si="0">CubicSpline(C6,$A$5:$A$107,$B$5:$B$107)</f>
        <v>120.51857422238072</v>
      </c>
    </row>
    <row r="7" spans="1:4" ht="13.15" x14ac:dyDescent="0.4">
      <c r="A7">
        <v>6</v>
      </c>
      <c r="B7" s="45">
        <f>'6 - Interpolated Thresholds'!$M6</f>
        <v>179.91780655046503</v>
      </c>
      <c r="C7" s="8">
        <v>6</v>
      </c>
      <c r="D7" s="67">
        <f t="shared" si="0"/>
        <v>179.91780655046506</v>
      </c>
    </row>
    <row r="8" spans="1:4" ht="13.15" x14ac:dyDescent="0.4">
      <c r="A8">
        <v>7</v>
      </c>
      <c r="B8" s="45">
        <f>'6 - Interpolated Thresholds'!$M7</f>
        <v>249.73118272528453</v>
      </c>
      <c r="C8">
        <v>7</v>
      </c>
      <c r="D8" s="67">
        <f t="shared" si="0"/>
        <v>249.73118272528444</v>
      </c>
    </row>
    <row r="9" spans="1:4" ht="13.15" x14ac:dyDescent="0.4">
      <c r="A9">
        <v>8</v>
      </c>
      <c r="B9" s="45">
        <f>'6 - Interpolated Thresholds'!$M8</f>
        <v>319.17351214117207</v>
      </c>
      <c r="C9">
        <v>8</v>
      </c>
      <c r="D9" s="67">
        <f t="shared" si="0"/>
        <v>319.17351214117207</v>
      </c>
    </row>
    <row r="10" spans="1:4" ht="13.15" x14ac:dyDescent="0.4">
      <c r="A10">
        <v>9</v>
      </c>
      <c r="B10" s="45">
        <f>'6 - Interpolated Thresholds'!$M9</f>
        <v>400.42081720928735</v>
      </c>
      <c r="C10">
        <v>9</v>
      </c>
      <c r="D10" s="67">
        <f t="shared" si="0"/>
        <v>400.42081720928729</v>
      </c>
    </row>
    <row r="11" spans="1:4" ht="13.15" x14ac:dyDescent="0.4">
      <c r="A11">
        <v>10</v>
      </c>
      <c r="B11" s="45">
        <f>'6 - Interpolated Thresholds'!$M10</f>
        <v>499.54849545669555</v>
      </c>
      <c r="C11">
        <v>10</v>
      </c>
      <c r="D11" s="67">
        <f t="shared" si="0"/>
        <v>499.54849545669538</v>
      </c>
    </row>
    <row r="12" spans="1:4" ht="13.15" x14ac:dyDescent="0.4">
      <c r="A12">
        <v>11</v>
      </c>
      <c r="B12" s="45">
        <f>'6 - Interpolated Thresholds'!$M11</f>
        <v>609.22803397294706</v>
      </c>
      <c r="C12">
        <v>11</v>
      </c>
      <c r="D12" s="67">
        <f t="shared" si="0"/>
        <v>609.22803397294706</v>
      </c>
    </row>
    <row r="13" spans="1:4" ht="13.15" x14ac:dyDescent="0.4">
      <c r="A13">
        <v>12</v>
      </c>
      <c r="B13" s="45">
        <f>'6 - Interpolated Thresholds'!$M12</f>
        <v>723.61930022988224</v>
      </c>
      <c r="C13">
        <v>12</v>
      </c>
      <c r="D13" s="67">
        <f t="shared" si="0"/>
        <v>723.61930022988236</v>
      </c>
    </row>
    <row r="14" spans="1:4" ht="13.15" x14ac:dyDescent="0.4">
      <c r="A14">
        <v>13</v>
      </c>
      <c r="B14" s="45">
        <f>'6 - Interpolated Thresholds'!$M13</f>
        <v>846.80601571380691</v>
      </c>
      <c r="C14">
        <v>13</v>
      </c>
      <c r="D14" s="67">
        <f t="shared" si="0"/>
        <v>846.80601571380691</v>
      </c>
    </row>
    <row r="15" spans="1:4" ht="13.15" x14ac:dyDescent="0.4">
      <c r="A15">
        <v>14</v>
      </c>
      <c r="B15" s="45">
        <f>'6 - Interpolated Thresholds'!$M14</f>
        <v>978.65576811997187</v>
      </c>
      <c r="C15" s="8">
        <v>14</v>
      </c>
      <c r="D15" s="67">
        <f t="shared" si="0"/>
        <v>978.65576811997187</v>
      </c>
    </row>
    <row r="16" spans="1:4" ht="13.15" x14ac:dyDescent="0.4">
      <c r="A16">
        <v>15</v>
      </c>
      <c r="B16" s="45">
        <f>'6 - Interpolated Thresholds'!$M15</f>
        <v>1113.9818751608998</v>
      </c>
      <c r="C16">
        <v>15</v>
      </c>
      <c r="D16" s="67">
        <f t="shared" si="0"/>
        <v>1113.9818751608996</v>
      </c>
    </row>
    <row r="17" spans="1:36" ht="13.15" x14ac:dyDescent="0.4">
      <c r="A17">
        <v>16</v>
      </c>
      <c r="B17" s="45">
        <f>'6 - Interpolated Thresholds'!$M16</f>
        <v>1250.1410778468601</v>
      </c>
      <c r="C17">
        <v>16</v>
      </c>
      <c r="D17" s="67">
        <f t="shared" si="0"/>
        <v>1250.1410778468601</v>
      </c>
    </row>
    <row r="18" spans="1:36" ht="13.15" x14ac:dyDescent="0.4">
      <c r="A18">
        <v>17</v>
      </c>
      <c r="B18" s="45">
        <f>'6 - Interpolated Thresholds'!$M17</f>
        <v>1387.3330107901506</v>
      </c>
      <c r="C18">
        <v>17</v>
      </c>
      <c r="D18" s="67">
        <f t="shared" si="0"/>
        <v>1387.3330107901504</v>
      </c>
    </row>
    <row r="19" spans="1:36" ht="13.15" x14ac:dyDescent="0.4">
      <c r="A19">
        <v>18</v>
      </c>
      <c r="B19" s="45">
        <f>'6 - Interpolated Thresholds'!$M18</f>
        <v>1530.7869155651779</v>
      </c>
      <c r="C19">
        <v>18</v>
      </c>
      <c r="D19" s="67">
        <f t="shared" si="0"/>
        <v>1530.7869155651774</v>
      </c>
    </row>
    <row r="20" spans="1:36" ht="13.15" x14ac:dyDescent="0.4">
      <c r="A20">
        <v>19</v>
      </c>
      <c r="B20" s="45">
        <f>'6 - Interpolated Thresholds'!$M19</f>
        <v>1684.4534147738379</v>
      </c>
      <c r="C20">
        <v>19</v>
      </c>
      <c r="D20" s="67">
        <f t="shared" si="0"/>
        <v>1684.4534147738382</v>
      </c>
    </row>
    <row r="21" spans="1:36" ht="13.15" x14ac:dyDescent="0.4">
      <c r="A21">
        <v>20</v>
      </c>
      <c r="B21" s="45">
        <f>'6 - Interpolated Thresholds'!$M20</f>
        <v>1857.5880640673872</v>
      </c>
      <c r="C21">
        <v>20</v>
      </c>
      <c r="D21" s="67">
        <f t="shared" si="0"/>
        <v>1857.5880640673872</v>
      </c>
      <c r="F21" t="s">
        <v>320</v>
      </c>
    </row>
    <row r="22" spans="1:36" ht="13.15" x14ac:dyDescent="0.4">
      <c r="A22">
        <v>21</v>
      </c>
      <c r="B22" s="45">
        <f>'6 - Interpolated Thresholds'!$M21</f>
        <v>2060.746374841026</v>
      </c>
      <c r="C22" s="8">
        <v>21</v>
      </c>
      <c r="D22" s="67">
        <f t="shared" si="0"/>
        <v>2060.7463748410291</v>
      </c>
      <c r="G22" s="45">
        <f>'6 - Calibration Curve'!$D$5</f>
        <v>75.995129221123477</v>
      </c>
      <c r="H22" s="45">
        <f>'6 - Calibration Curve'!$D$6</f>
        <v>120.51857422238072</v>
      </c>
      <c r="I22" s="45">
        <f>'6 - Calibration Curve'!$D$7</f>
        <v>179.91780655046506</v>
      </c>
      <c r="J22" s="45">
        <f>'6 - Calibration Curve'!$D$8</f>
        <v>249.73118272528444</v>
      </c>
      <c r="K22" s="45">
        <f>'6 - Calibration Curve'!$D$9</f>
        <v>319.17351214117207</v>
      </c>
      <c r="L22" s="45">
        <f>'6 - Calibration Curve'!$D$10</f>
        <v>400.42081720928729</v>
      </c>
      <c r="M22" s="45">
        <f>'6 - Calibration Curve'!$D$11</f>
        <v>499.54849545669538</v>
      </c>
      <c r="N22" s="45">
        <f>'6 - Calibration Curve'!$D$12</f>
        <v>609.22803397294706</v>
      </c>
      <c r="O22" s="45">
        <f>'6 - Calibration Curve'!$D$13</f>
        <v>723.61930022988236</v>
      </c>
      <c r="P22" s="45">
        <f>'6 - Calibration Curve'!$D$14</f>
        <v>846.80601571380691</v>
      </c>
      <c r="Q22" s="45">
        <f>'6 - Calibration Curve'!$D$15</f>
        <v>978.65576811997187</v>
      </c>
      <c r="R22" s="45">
        <f>'6 - Calibration Curve'!$D$16</f>
        <v>1113.9818751608996</v>
      </c>
      <c r="S22" s="45">
        <f>'6 - Calibration Curve'!$D$17</f>
        <v>1250.1410778468601</v>
      </c>
      <c r="T22" s="45">
        <f>'6 - Calibration Curve'!$D$18</f>
        <v>1387.3330107901504</v>
      </c>
      <c r="U22" s="45">
        <f>'6 - Calibration Curve'!$D$19</f>
        <v>1530.7869155651774</v>
      </c>
      <c r="V22" s="45">
        <f>'6 - Calibration Curve'!$D$20</f>
        <v>1684.4534147738382</v>
      </c>
      <c r="W22" s="45">
        <f>'6 - Calibration Curve'!$D$21</f>
        <v>1857.5880640673872</v>
      </c>
      <c r="X22" s="45">
        <f>'6 - Calibration Curve'!$D$22</f>
        <v>2060.7463748410291</v>
      </c>
      <c r="Y22" s="45">
        <f>'6 - Calibration Curve'!$D$23</f>
        <v>2285.2448226752185</v>
      </c>
      <c r="Z22" s="45">
        <f>'6 - Calibration Curve'!$D$24</f>
        <v>2532.9478317563871</v>
      </c>
      <c r="AA22" s="45">
        <f>'6 - Calibration Curve'!$D$25</f>
        <v>2789.2674546648195</v>
      </c>
      <c r="AB22" s="45">
        <f>'6 - Calibration Curve'!$D$26</f>
        <v>3071.6225341151703</v>
      </c>
      <c r="AC22" s="45">
        <f>'6 - Calibration Curve'!$D$27</f>
        <v>3403.6161532981732</v>
      </c>
      <c r="AD22" s="45">
        <f>'6 - Calibration Curve'!$D$28</f>
        <v>3729.2361130906124</v>
      </c>
      <c r="AE22" s="45">
        <f>'6 - Calibration Curve'!$D$29</f>
        <v>4045.6493704036366</v>
      </c>
      <c r="AF22" s="45">
        <f>'6 - Calibration Curve'!$D$30</f>
        <v>4394.9590162181921</v>
      </c>
      <c r="AG22" s="45">
        <f>'6 - Calibration Curve'!$D$31</f>
        <v>4824.5310451997566</v>
      </c>
      <c r="AH22" s="45">
        <f>'6 - Calibration Curve'!$D$32</f>
        <v>9431.6538934267683</v>
      </c>
      <c r="AI22" s="45">
        <f>'6 - Calibration Curve'!$D$33</f>
        <v>15895.418171796442</v>
      </c>
      <c r="AJ22" s="45">
        <f>'6 - Calibration Curve'!$D$34</f>
        <v>24999.999999999996</v>
      </c>
    </row>
    <row r="23" spans="1:36" ht="13.15" x14ac:dyDescent="0.4">
      <c r="A23">
        <v>22</v>
      </c>
      <c r="B23" s="45">
        <f>'6 - Interpolated Thresholds'!$M22</f>
        <v>2285.2448226752181</v>
      </c>
      <c r="C23">
        <v>22</v>
      </c>
      <c r="D23" s="67">
        <f t="shared" si="0"/>
        <v>2285.2448226752185</v>
      </c>
      <c r="F23" s="161" t="s">
        <v>260</v>
      </c>
      <c r="G23" s="161">
        <f t="shared" ref="G23:AJ23" si="1">INT(G22+0.5)</f>
        <v>76</v>
      </c>
      <c r="H23" s="161">
        <f t="shared" si="1"/>
        <v>121</v>
      </c>
      <c r="I23" s="161">
        <f t="shared" si="1"/>
        <v>180</v>
      </c>
      <c r="J23" s="161">
        <f t="shared" si="1"/>
        <v>250</v>
      </c>
      <c r="K23" s="161">
        <f t="shared" si="1"/>
        <v>319</v>
      </c>
      <c r="L23" s="161">
        <f t="shared" si="1"/>
        <v>400</v>
      </c>
      <c r="M23" s="161">
        <f t="shared" si="1"/>
        <v>500</v>
      </c>
      <c r="N23" s="161">
        <f t="shared" si="1"/>
        <v>609</v>
      </c>
      <c r="O23" s="161">
        <f t="shared" si="1"/>
        <v>724</v>
      </c>
      <c r="P23" s="161">
        <f t="shared" si="1"/>
        <v>847</v>
      </c>
      <c r="Q23" s="161">
        <f t="shared" si="1"/>
        <v>979</v>
      </c>
      <c r="R23" s="161">
        <f t="shared" si="1"/>
        <v>1114</v>
      </c>
      <c r="S23" s="161">
        <f t="shared" si="1"/>
        <v>1250</v>
      </c>
      <c r="T23" s="161">
        <f t="shared" si="1"/>
        <v>1387</v>
      </c>
      <c r="U23" s="161">
        <f t="shared" si="1"/>
        <v>1531</v>
      </c>
      <c r="V23" s="161">
        <f t="shared" si="1"/>
        <v>1684</v>
      </c>
      <c r="W23" s="161">
        <f t="shared" si="1"/>
        <v>1858</v>
      </c>
      <c r="X23" s="161">
        <f t="shared" si="1"/>
        <v>2061</v>
      </c>
      <c r="Y23" s="161">
        <f t="shared" si="1"/>
        <v>2285</v>
      </c>
      <c r="Z23" s="161">
        <f t="shared" si="1"/>
        <v>2533</v>
      </c>
      <c r="AA23" s="161">
        <f t="shared" si="1"/>
        <v>2789</v>
      </c>
      <c r="AB23" s="161">
        <f t="shared" si="1"/>
        <v>3072</v>
      </c>
      <c r="AC23" s="161">
        <f t="shared" si="1"/>
        <v>3404</v>
      </c>
      <c r="AD23" s="161">
        <f t="shared" si="1"/>
        <v>3729</v>
      </c>
      <c r="AE23" s="161">
        <f t="shared" si="1"/>
        <v>4046</v>
      </c>
      <c r="AF23" s="161">
        <f t="shared" si="1"/>
        <v>4395</v>
      </c>
      <c r="AG23" s="161">
        <f t="shared" si="1"/>
        <v>4825</v>
      </c>
      <c r="AH23" s="161">
        <f t="shared" si="1"/>
        <v>9432</v>
      </c>
      <c r="AI23" s="161">
        <f t="shared" si="1"/>
        <v>15895</v>
      </c>
      <c r="AJ23" s="161">
        <f t="shared" si="1"/>
        <v>25000</v>
      </c>
    </row>
    <row r="24" spans="1:36" ht="13.15" x14ac:dyDescent="0.4">
      <c r="A24">
        <v>23</v>
      </c>
      <c r="B24" s="45">
        <f>'6 - Interpolated Thresholds'!$M23</f>
        <v>2532.9478317563803</v>
      </c>
      <c r="C24">
        <v>23</v>
      </c>
      <c r="D24" s="67">
        <f t="shared" si="0"/>
        <v>2532.9478317563871</v>
      </c>
    </row>
    <row r="25" spans="1:36" ht="13.15" x14ac:dyDescent="0.4">
      <c r="A25">
        <v>24</v>
      </c>
      <c r="B25" s="45">
        <f>'6 - Interpolated Thresholds'!$M24</f>
        <v>2789.2674546648223</v>
      </c>
      <c r="C25">
        <v>24</v>
      </c>
      <c r="D25" s="67">
        <f t="shared" si="0"/>
        <v>2789.2674546648195</v>
      </c>
    </row>
    <row r="26" spans="1:36" ht="13.15" x14ac:dyDescent="0.4">
      <c r="A26">
        <v>25</v>
      </c>
      <c r="B26" s="45">
        <f>'6 - Interpolated Thresholds'!$M25</f>
        <v>3071.6225341151739</v>
      </c>
      <c r="C26" s="8">
        <v>25</v>
      </c>
      <c r="D26" s="67">
        <f t="shared" si="0"/>
        <v>3071.6225341151703</v>
      </c>
    </row>
    <row r="27" spans="1:36" ht="13.15" x14ac:dyDescent="0.4">
      <c r="A27">
        <v>26</v>
      </c>
      <c r="B27" s="45">
        <f>'6 - Interpolated Thresholds'!$M26</f>
        <v>3403.616153298156</v>
      </c>
      <c r="C27">
        <v>26</v>
      </c>
      <c r="D27" s="67">
        <f t="shared" si="0"/>
        <v>3403.6161532981732</v>
      </c>
    </row>
    <row r="28" spans="1:36" ht="13.15" x14ac:dyDescent="0.4">
      <c r="A28">
        <v>27</v>
      </c>
      <c r="B28" s="45">
        <f>'6 - Interpolated Thresholds'!$M27</f>
        <v>3729.236113090612</v>
      </c>
      <c r="C28">
        <v>27</v>
      </c>
      <c r="D28" s="67">
        <f t="shared" si="0"/>
        <v>3729.2361130906124</v>
      </c>
    </row>
    <row r="29" spans="1:36" ht="13.15" x14ac:dyDescent="0.4">
      <c r="A29">
        <v>28</v>
      </c>
      <c r="B29" s="45">
        <f>'6 - Interpolated Thresholds'!$M28</f>
        <v>4045.649370403652</v>
      </c>
      <c r="C29">
        <v>28</v>
      </c>
      <c r="D29" s="67">
        <f t="shared" si="0"/>
        <v>4045.6493704036366</v>
      </c>
    </row>
    <row r="30" spans="1:36" ht="13.15" x14ac:dyDescent="0.4">
      <c r="A30">
        <v>29</v>
      </c>
      <c r="B30" s="45">
        <f>'6 - Interpolated Thresholds'!$M29</f>
        <v>4394.9590162182021</v>
      </c>
      <c r="C30">
        <v>29</v>
      </c>
      <c r="D30" s="67">
        <f t="shared" si="0"/>
        <v>4394.9590162181921</v>
      </c>
    </row>
    <row r="31" spans="1:36" ht="13.15" x14ac:dyDescent="0.4">
      <c r="A31">
        <v>30</v>
      </c>
      <c r="B31" s="45">
        <f>'6 - Interpolated Thresholds'!$M30</f>
        <v>4824.5310451997693</v>
      </c>
      <c r="C31">
        <v>30</v>
      </c>
      <c r="D31" s="67">
        <f t="shared" si="0"/>
        <v>4824.5310451997566</v>
      </c>
    </row>
    <row r="32" spans="1:36" ht="13.15" x14ac:dyDescent="0.4">
      <c r="A32">
        <f>'Clause 6 - Spheres'!$G$40</f>
        <v>39</v>
      </c>
      <c r="B32">
        <f>'Clause 6 - Spheres'!$G$42</f>
        <v>10000</v>
      </c>
      <c r="C32" s="8">
        <v>38</v>
      </c>
      <c r="D32" s="67">
        <f t="shared" si="0"/>
        <v>9431.6538934267683</v>
      </c>
    </row>
    <row r="33" spans="1:4" ht="13.15" x14ac:dyDescent="0.4">
      <c r="A33">
        <f>'Clause 6 - Spheres'!$C$40</f>
        <v>49.4</v>
      </c>
      <c r="B33">
        <f>'Clause 6 - Spheres'!$C$42</f>
        <v>15600</v>
      </c>
      <c r="C33" s="8">
        <v>50</v>
      </c>
      <c r="D33" s="67">
        <f t="shared" si="0"/>
        <v>15895.418171796442</v>
      </c>
    </row>
    <row r="34" spans="1:4" ht="13.15" x14ac:dyDescent="0.4">
      <c r="A34">
        <f>'Clause 6 - Spheres'!$N$40</f>
        <v>70</v>
      </c>
      <c r="B34">
        <f>'Clause 6 - Spheres'!$N$42</f>
        <v>25000</v>
      </c>
      <c r="C34" s="8">
        <v>70</v>
      </c>
      <c r="D34" s="67">
        <f t="shared" si="0"/>
        <v>24999.999999999996</v>
      </c>
    </row>
    <row r="36" spans="1:4" ht="40.15" x14ac:dyDescent="0.35">
      <c r="A36" s="138" t="s">
        <v>261</v>
      </c>
    </row>
    <row r="39" spans="1:4" ht="13.15" x14ac:dyDescent="0.4">
      <c r="A39" t="s">
        <v>262</v>
      </c>
    </row>
    <row r="40" spans="1:4" ht="13.15" x14ac:dyDescent="0.4">
      <c r="A40" t="s">
        <v>263</v>
      </c>
    </row>
    <row r="41" spans="1:4" x14ac:dyDescent="0.35">
      <c r="A41" t="s">
        <v>264</v>
      </c>
    </row>
    <row r="42" spans="1:4" x14ac:dyDescent="0.35">
      <c r="A42" t="s">
        <v>265</v>
      </c>
    </row>
    <row r="44" spans="1:4" x14ac:dyDescent="0.35">
      <c r="A44" t="s">
        <v>266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="95" zoomScaleNormal="95" workbookViewId="0">
      <selection sqref="A1:E1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170" t="s">
        <v>327</v>
      </c>
      <c r="B1" s="170"/>
      <c r="C1" s="170"/>
      <c r="D1" s="170"/>
      <c r="E1" s="17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267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132</v>
      </c>
      <c r="B5" s="10"/>
      <c r="C5" s="12" t="s">
        <v>268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119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4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5">
        <v>36</v>
      </c>
      <c r="E12" s="10"/>
      <c r="F12" s="49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3"/>
      <c r="K13" s="10"/>
      <c r="L13" s="10"/>
      <c r="M13" s="10"/>
      <c r="N13" s="10"/>
      <c r="O13" s="10"/>
    </row>
    <row r="14" spans="1:15" ht="13.15" x14ac:dyDescent="0.4">
      <c r="A14" s="8" t="s">
        <v>269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3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9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9"/>
      <c r="O17" s="10"/>
    </row>
    <row r="18" spans="1:15" ht="13.15" x14ac:dyDescent="0.4">
      <c r="A18" s="10"/>
      <c r="B18" s="12" t="s">
        <v>270</v>
      </c>
      <c r="C18" s="12" t="s">
        <v>40</v>
      </c>
      <c r="E18" s="10"/>
      <c r="I18" s="10"/>
      <c r="M18" s="10"/>
      <c r="N18" s="19"/>
      <c r="O18" s="10"/>
    </row>
    <row r="19" spans="1:15" ht="13.15" x14ac:dyDescent="0.4">
      <c r="A19" s="10"/>
      <c r="B19" s="10"/>
      <c r="C19" s="10"/>
      <c r="F19" s="10"/>
      <c r="G19" s="10"/>
      <c r="H19" s="30"/>
      <c r="I19" s="29"/>
      <c r="J19" s="29"/>
    </row>
    <row r="20" spans="1:15" ht="13.15" x14ac:dyDescent="0.4">
      <c r="A20" s="10" t="s">
        <v>271</v>
      </c>
      <c r="B20" s="20">
        <v>9105</v>
      </c>
      <c r="C20" s="21">
        <f>(B20-$B$26)/$B$26</f>
        <v>-2.9347992728705483E-3</v>
      </c>
      <c r="F20" s="10"/>
      <c r="G20" s="10"/>
      <c r="H20" s="31"/>
      <c r="I20" s="29"/>
      <c r="J20" s="29"/>
    </row>
    <row r="21" spans="1:15" ht="13.15" x14ac:dyDescent="0.4">
      <c r="A21" s="10" t="s">
        <v>272</v>
      </c>
      <c r="B21" s="22">
        <v>9129</v>
      </c>
      <c r="C21" s="21">
        <f>(B21-$B$26)/$B$26</f>
        <v>-3.0662081955356804E-4</v>
      </c>
      <c r="E21" s="10"/>
      <c r="F21" s="10"/>
      <c r="G21" s="10"/>
      <c r="H21" s="30"/>
      <c r="I21" s="29"/>
      <c r="J21" s="29"/>
    </row>
    <row r="22" spans="1:15" ht="13.15" x14ac:dyDescent="0.4">
      <c r="A22" s="10" t="s">
        <v>273</v>
      </c>
      <c r="B22" s="22">
        <v>9164</v>
      </c>
      <c r="C22" s="21">
        <f>(B22-$B$26)/$B$26</f>
        <v>3.5261394248670285E-3</v>
      </c>
      <c r="E22" s="10"/>
      <c r="F22" s="10"/>
      <c r="G22" s="10"/>
      <c r="H22" s="31"/>
      <c r="I22" s="29"/>
      <c r="J22" s="29"/>
    </row>
    <row r="23" spans="1:15" ht="13.15" x14ac:dyDescent="0.4">
      <c r="A23" s="10" t="s">
        <v>274</v>
      </c>
      <c r="B23" s="22">
        <v>9170</v>
      </c>
      <c r="C23" s="21">
        <f>(B23-$B$26)/$B$26</f>
        <v>4.1831840381962738E-3</v>
      </c>
      <c r="E23" s="10"/>
      <c r="F23" s="10"/>
      <c r="G23" s="10"/>
      <c r="H23" s="30"/>
      <c r="I23" s="29"/>
      <c r="J23" s="29"/>
    </row>
    <row r="24" spans="1:15" ht="13.15" x14ac:dyDescent="0.4">
      <c r="A24" s="10" t="s">
        <v>275</v>
      </c>
      <c r="B24" s="23">
        <v>9091</v>
      </c>
      <c r="C24" s="21">
        <f>(B24-$B$26)/$B$26</f>
        <v>-4.4679033706387867E-3</v>
      </c>
      <c r="E24" s="33"/>
      <c r="F24" s="10"/>
      <c r="G24" s="10"/>
      <c r="H24" s="34"/>
      <c r="I24" s="29"/>
      <c r="J24" s="29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51</v>
      </c>
      <c r="B26" s="24">
        <f>AVERAGE(B20:B24)</f>
        <v>9131.7999999999993</v>
      </c>
      <c r="C26" s="10"/>
      <c r="E26" s="10"/>
      <c r="F26" s="10"/>
      <c r="G26" s="10"/>
      <c r="H26" s="10"/>
      <c r="I26" s="21"/>
    </row>
    <row r="27" spans="1:15" ht="13.15" x14ac:dyDescent="0.4">
      <c r="A27" s="10" t="s">
        <v>53</v>
      </c>
      <c r="B27" s="24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4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21"/>
      <c r="C30" s="10"/>
      <c r="E30" s="10"/>
      <c r="F30" s="10"/>
      <c r="G30" s="10"/>
      <c r="H30" s="10"/>
      <c r="I30" s="21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62</v>
      </c>
      <c r="B34" s="21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13" priority="2" operator="lessThan">
      <formula>0.03</formula>
    </cfRule>
    <cfRule type="cellIs" dxfId="12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MJ1021"/>
  <sheetViews>
    <sheetView zoomScale="70" zoomScaleNormal="70" workbookViewId="0"/>
  </sheetViews>
  <sheetFormatPr defaultColWidth="11.53125" defaultRowHeight="12.75" x14ac:dyDescent="0.35"/>
  <cols>
    <col min="1" max="1" width="23.06640625" customWidth="1"/>
    <col min="2" max="2" width="15.73046875" customWidth="1"/>
    <col min="12" max="12" width="5.3984375" customWidth="1"/>
    <col min="13" max="13" width="9.796875" customWidth="1"/>
  </cols>
  <sheetData>
    <row r="1" spans="1:1024" ht="44.75" customHeight="1" x14ac:dyDescent="0.35">
      <c r="A1" s="139" t="s">
        <v>328</v>
      </c>
      <c r="B1" s="9"/>
      <c r="C1" s="171"/>
      <c r="D1" s="171"/>
      <c r="E1" s="171"/>
      <c r="F1" s="171"/>
      <c r="G1" s="171"/>
      <c r="H1" s="171"/>
      <c r="I1" s="9"/>
      <c r="J1" s="9"/>
      <c r="K1" s="9"/>
      <c r="L1" t="s">
        <v>276</v>
      </c>
      <c r="M1" t="s">
        <v>326</v>
      </c>
      <c r="N1" s="9" t="s">
        <v>277</v>
      </c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B2" s="32"/>
      <c r="L2">
        <v>0</v>
      </c>
      <c r="M2">
        <v>0</v>
      </c>
      <c r="N2">
        <v>0</v>
      </c>
    </row>
    <row r="3" spans="1:1024" x14ac:dyDescent="0.35">
      <c r="A3" t="s">
        <v>321</v>
      </c>
      <c r="B3" s="80">
        <v>304</v>
      </c>
      <c r="D3" t="s">
        <v>278</v>
      </c>
      <c r="L3">
        <v>1</v>
      </c>
      <c r="M3">
        <v>0</v>
      </c>
      <c r="N3">
        <v>0</v>
      </c>
    </row>
    <row r="4" spans="1:1024" x14ac:dyDescent="0.35">
      <c r="A4" t="s">
        <v>22</v>
      </c>
      <c r="B4" t="s">
        <v>23</v>
      </c>
      <c r="D4" t="s">
        <v>279</v>
      </c>
      <c r="L4">
        <v>2</v>
      </c>
      <c r="M4">
        <v>0</v>
      </c>
      <c r="N4">
        <v>0</v>
      </c>
    </row>
    <row r="5" spans="1:1024" x14ac:dyDescent="0.35">
      <c r="A5" t="s">
        <v>24</v>
      </c>
      <c r="B5" t="s">
        <v>66</v>
      </c>
      <c r="D5">
        <v>6.9000000000000006E-2</v>
      </c>
      <c r="L5">
        <v>3</v>
      </c>
      <c r="M5">
        <v>0</v>
      </c>
      <c r="N5">
        <v>0</v>
      </c>
    </row>
    <row r="6" spans="1:1024" x14ac:dyDescent="0.35">
      <c r="A6" s="29" t="s">
        <v>26</v>
      </c>
      <c r="B6" s="162" t="s">
        <v>23</v>
      </c>
      <c r="C6" s="29"/>
      <c r="D6" t="s">
        <v>280</v>
      </c>
      <c r="L6">
        <v>4</v>
      </c>
      <c r="M6">
        <v>0</v>
      </c>
      <c r="N6">
        <v>0</v>
      </c>
    </row>
    <row r="7" spans="1:1024" x14ac:dyDescent="0.35">
      <c r="A7" s="29" t="s">
        <v>27</v>
      </c>
      <c r="B7" s="29" t="s">
        <v>66</v>
      </c>
      <c r="C7" s="29"/>
      <c r="L7">
        <v>5</v>
      </c>
      <c r="M7">
        <v>0</v>
      </c>
      <c r="N7">
        <v>0</v>
      </c>
    </row>
    <row r="8" spans="1:1024" x14ac:dyDescent="0.35">
      <c r="A8" s="29" t="s">
        <v>28</v>
      </c>
      <c r="B8" s="29">
        <v>45791</v>
      </c>
      <c r="C8" s="29"/>
      <c r="L8">
        <v>6</v>
      </c>
      <c r="M8">
        <v>0</v>
      </c>
      <c r="N8">
        <v>0</v>
      </c>
    </row>
    <row r="9" spans="1:1024" x14ac:dyDescent="0.35">
      <c r="A9" s="140" t="s">
        <v>29</v>
      </c>
      <c r="B9" s="29" t="s">
        <v>30</v>
      </c>
      <c r="C9" s="29"/>
      <c r="F9" s="80"/>
      <c r="L9">
        <v>7</v>
      </c>
      <c r="M9">
        <v>0</v>
      </c>
      <c r="N9">
        <v>0</v>
      </c>
    </row>
    <row r="10" spans="1:1024" x14ac:dyDescent="0.35">
      <c r="A10" s="140" t="s">
        <v>31</v>
      </c>
      <c r="B10" s="29">
        <v>38</v>
      </c>
      <c r="C10" s="29"/>
      <c r="F10" s="97"/>
      <c r="L10">
        <v>8</v>
      </c>
      <c r="M10">
        <v>0</v>
      </c>
      <c r="N10">
        <v>0</v>
      </c>
    </row>
    <row r="11" spans="1:1024" x14ac:dyDescent="0.35">
      <c r="A11" s="140"/>
      <c r="B11" s="29"/>
      <c r="C11" s="29"/>
      <c r="L11">
        <v>9</v>
      </c>
      <c r="M11">
        <v>0</v>
      </c>
      <c r="N11">
        <v>0</v>
      </c>
    </row>
    <row r="12" spans="1:1024" ht="13.15" x14ac:dyDescent="0.4">
      <c r="A12" s="163">
        <v>10.199999999999999</v>
      </c>
      <c r="B12" s="29" t="s">
        <v>221</v>
      </c>
      <c r="C12" s="29" t="s">
        <v>222</v>
      </c>
      <c r="L12">
        <v>10</v>
      </c>
      <c r="M12">
        <v>0</v>
      </c>
      <c r="N12">
        <v>0</v>
      </c>
    </row>
    <row r="13" spans="1:1024" x14ac:dyDescent="0.35">
      <c r="A13" s="31">
        <v>5.5564737684479998E-16</v>
      </c>
      <c r="B13" s="29" t="s">
        <v>223</v>
      </c>
      <c r="C13" s="29" t="s">
        <v>224</v>
      </c>
      <c r="L13">
        <v>11</v>
      </c>
      <c r="M13">
        <v>0</v>
      </c>
      <c r="N13">
        <v>0</v>
      </c>
    </row>
    <row r="14" spans="1:1024" ht="13.15" x14ac:dyDescent="0.4">
      <c r="A14" s="30">
        <v>5.8342974568704002E-13</v>
      </c>
      <c r="B14" s="29" t="s">
        <v>225</v>
      </c>
      <c r="C14" s="29" t="s">
        <v>226</v>
      </c>
      <c r="L14">
        <v>12</v>
      </c>
      <c r="M14">
        <v>0</v>
      </c>
      <c r="N14">
        <v>0</v>
      </c>
    </row>
    <row r="15" spans="1:1024" x14ac:dyDescent="0.35">
      <c r="A15" s="31">
        <v>1714002.4268430299</v>
      </c>
      <c r="B15" s="29" t="s">
        <v>227</v>
      </c>
      <c r="C15" s="29" t="s">
        <v>228</v>
      </c>
      <c r="L15">
        <v>13</v>
      </c>
      <c r="M15">
        <v>0</v>
      </c>
      <c r="N15">
        <v>0</v>
      </c>
    </row>
    <row r="16" spans="1:1024" ht="13.15" x14ac:dyDescent="0.4">
      <c r="A16" s="30">
        <v>200000</v>
      </c>
      <c r="B16" s="29"/>
      <c r="C16" s="29" t="s">
        <v>322</v>
      </c>
      <c r="L16">
        <v>14</v>
      </c>
      <c r="M16">
        <v>0</v>
      </c>
      <c r="N16">
        <v>0</v>
      </c>
    </row>
    <row r="17" spans="1:14" x14ac:dyDescent="0.35">
      <c r="A17" s="162">
        <v>1.16685949137408</v>
      </c>
      <c r="B17" s="29" t="s">
        <v>81</v>
      </c>
      <c r="C17" s="29" t="s">
        <v>230</v>
      </c>
      <c r="L17">
        <v>15</v>
      </c>
      <c r="M17">
        <v>0</v>
      </c>
      <c r="N17">
        <v>0</v>
      </c>
    </row>
    <row r="18" spans="1:14" x14ac:dyDescent="0.35">
      <c r="A18" s="29">
        <v>11.8</v>
      </c>
      <c r="B18" s="29" t="s">
        <v>231</v>
      </c>
      <c r="C18" s="29" t="s">
        <v>281</v>
      </c>
      <c r="L18">
        <v>16</v>
      </c>
      <c r="M18">
        <v>0</v>
      </c>
      <c r="N18">
        <v>17.5</v>
      </c>
    </row>
    <row r="19" spans="1:14" x14ac:dyDescent="0.35">
      <c r="A19" s="29">
        <v>13.7689419982141</v>
      </c>
      <c r="B19" s="29" t="s">
        <v>77</v>
      </c>
      <c r="C19" s="29" t="s">
        <v>233</v>
      </c>
      <c r="L19">
        <v>17</v>
      </c>
      <c r="M19">
        <v>0</v>
      </c>
      <c r="N19">
        <v>33.125</v>
      </c>
    </row>
    <row r="20" spans="1:14" x14ac:dyDescent="0.35">
      <c r="A20" s="29">
        <v>13.84</v>
      </c>
      <c r="B20" s="29" t="s">
        <v>77</v>
      </c>
      <c r="C20" s="29" t="s">
        <v>234</v>
      </c>
      <c r="L20">
        <v>18</v>
      </c>
      <c r="M20">
        <v>0</v>
      </c>
      <c r="N20">
        <v>50.75</v>
      </c>
    </row>
    <row r="21" spans="1:14" x14ac:dyDescent="0.35">
      <c r="A21">
        <v>201032.14904667399</v>
      </c>
      <c r="B21" t="s">
        <v>323</v>
      </c>
      <c r="C21" t="s">
        <v>236</v>
      </c>
      <c r="L21">
        <v>19</v>
      </c>
      <c r="M21">
        <v>0</v>
      </c>
      <c r="N21">
        <v>67.75</v>
      </c>
    </row>
    <row r="22" spans="1:14" x14ac:dyDescent="0.35">
      <c r="A22">
        <v>50583</v>
      </c>
      <c r="B22" t="s">
        <v>324</v>
      </c>
      <c r="C22" t="s">
        <v>282</v>
      </c>
      <c r="L22">
        <v>20</v>
      </c>
      <c r="M22">
        <v>140</v>
      </c>
      <c r="N22">
        <v>78.25</v>
      </c>
    </row>
    <row r="23" spans="1:14" x14ac:dyDescent="0.35">
      <c r="A23">
        <v>16.701000000000001</v>
      </c>
      <c r="B23" t="s">
        <v>55</v>
      </c>
      <c r="C23" t="s">
        <v>325</v>
      </c>
      <c r="L23">
        <v>21</v>
      </c>
      <c r="M23">
        <v>125</v>
      </c>
      <c r="N23">
        <v>92.5</v>
      </c>
    </row>
    <row r="24" spans="1:14" x14ac:dyDescent="0.35">
      <c r="A24">
        <v>1.5065952427645</v>
      </c>
      <c r="C24" t="s">
        <v>293</v>
      </c>
      <c r="L24">
        <v>22</v>
      </c>
      <c r="M24">
        <v>141</v>
      </c>
      <c r="N24">
        <v>106.625</v>
      </c>
    </row>
    <row r="25" spans="1:14" x14ac:dyDescent="0.35">
      <c r="L25">
        <v>23</v>
      </c>
      <c r="M25">
        <v>136</v>
      </c>
      <c r="N25">
        <v>119.875</v>
      </c>
    </row>
    <row r="26" spans="1:14" x14ac:dyDescent="0.35">
      <c r="L26">
        <v>24</v>
      </c>
      <c r="M26">
        <v>84</v>
      </c>
      <c r="N26">
        <v>114.25</v>
      </c>
    </row>
    <row r="27" spans="1:14" x14ac:dyDescent="0.35">
      <c r="A27" s="53">
        <f>MAX($N$2:$N$1000)</f>
        <v>811</v>
      </c>
      <c r="B27" t="s">
        <v>283</v>
      </c>
      <c r="L27">
        <v>25</v>
      </c>
      <c r="M27">
        <v>114</v>
      </c>
      <c r="N27">
        <v>108.25</v>
      </c>
    </row>
    <row r="28" spans="1:14" x14ac:dyDescent="0.35">
      <c r="A28" s="53">
        <f>MATCH(A27, N3:N1000, 0)</f>
        <v>206</v>
      </c>
      <c r="B28" t="s">
        <v>284</v>
      </c>
      <c r="L28">
        <v>26</v>
      </c>
      <c r="M28">
        <v>113</v>
      </c>
      <c r="N28">
        <v>100.5</v>
      </c>
    </row>
    <row r="29" spans="1:14" x14ac:dyDescent="0.35">
      <c r="A29" s="53">
        <f>MAX($A$27)/2</f>
        <v>405.5</v>
      </c>
      <c r="B29" t="s">
        <v>285</v>
      </c>
      <c r="L29">
        <v>27</v>
      </c>
      <c r="M29">
        <v>106</v>
      </c>
      <c r="N29">
        <v>94.375</v>
      </c>
    </row>
    <row r="30" spans="1:14" x14ac:dyDescent="0.35">
      <c r="A30" s="53">
        <f t="array" ref="A30">MATCH(TRUE, IF(N2:N1000 &gt; A29, TRUE), 0)</f>
        <v>182</v>
      </c>
      <c r="B30" t="s">
        <v>286</v>
      </c>
      <c r="L30">
        <v>28</v>
      </c>
      <c r="M30">
        <v>95</v>
      </c>
      <c r="N30">
        <v>91.625</v>
      </c>
    </row>
    <row r="31" spans="1:14" x14ac:dyDescent="0.35">
      <c r="A31" s="53">
        <f>INDEX(L2:L1000,A30)</f>
        <v>181</v>
      </c>
      <c r="B31" t="s">
        <v>287</v>
      </c>
      <c r="L31">
        <v>29</v>
      </c>
      <c r="M31">
        <v>77</v>
      </c>
      <c r="N31">
        <v>86.125</v>
      </c>
    </row>
    <row r="32" spans="1:14" x14ac:dyDescent="0.35">
      <c r="A32" s="53">
        <f>A28-A31</f>
        <v>25</v>
      </c>
      <c r="B32" t="s">
        <v>288</v>
      </c>
      <c r="L32">
        <v>30</v>
      </c>
      <c r="M32">
        <v>79</v>
      </c>
      <c r="N32">
        <v>81.875</v>
      </c>
    </row>
    <row r="33" spans="1:14" x14ac:dyDescent="0.35">
      <c r="A33" s="53">
        <f>A32*2</f>
        <v>50</v>
      </c>
      <c r="B33" t="s">
        <v>289</v>
      </c>
      <c r="L33">
        <v>31</v>
      </c>
      <c r="M33">
        <v>87</v>
      </c>
      <c r="N33">
        <v>76</v>
      </c>
    </row>
    <row r="34" spans="1:14" x14ac:dyDescent="0.35">
      <c r="A34" s="53">
        <f>A33 / (2 * SQRT(2 * LN(2)))</f>
        <v>21.233045007200477</v>
      </c>
      <c r="B34" t="s">
        <v>290</v>
      </c>
      <c r="L34">
        <v>32</v>
      </c>
      <c r="M34">
        <v>62</v>
      </c>
      <c r="N34">
        <v>71.125</v>
      </c>
    </row>
    <row r="35" spans="1:14" ht="15" x14ac:dyDescent="0.5">
      <c r="A35" s="97">
        <f>A34/A28</f>
        <v>0.1030730340155363</v>
      </c>
      <c r="B35" s="141" t="s">
        <v>291</v>
      </c>
      <c r="L35">
        <v>33</v>
      </c>
      <c r="M35">
        <v>70</v>
      </c>
      <c r="N35">
        <v>70.25</v>
      </c>
    </row>
    <row r="36" spans="1:14" x14ac:dyDescent="0.35">
      <c r="A36" s="53"/>
      <c r="L36">
        <v>34</v>
      </c>
      <c r="M36">
        <v>79</v>
      </c>
      <c r="N36">
        <v>66.5</v>
      </c>
    </row>
    <row r="37" spans="1:14" ht="15" x14ac:dyDescent="0.5">
      <c r="A37" s="97">
        <f>A35/2</f>
        <v>5.1536517007768151E-2</v>
      </c>
      <c r="B37" s="141" t="s">
        <v>292</v>
      </c>
      <c r="L37">
        <v>35</v>
      </c>
      <c r="M37">
        <v>59</v>
      </c>
      <c r="N37">
        <v>62</v>
      </c>
    </row>
    <row r="38" spans="1:14" x14ac:dyDescent="0.35">
      <c r="L38">
        <v>36</v>
      </c>
      <c r="M38">
        <v>56</v>
      </c>
      <c r="N38">
        <v>59.75</v>
      </c>
    </row>
    <row r="39" spans="1:14" x14ac:dyDescent="0.35">
      <c r="L39">
        <v>37</v>
      </c>
      <c r="M39">
        <v>70</v>
      </c>
      <c r="N39">
        <v>57</v>
      </c>
    </row>
    <row r="40" spans="1:14" x14ac:dyDescent="0.35">
      <c r="L40">
        <v>38</v>
      </c>
      <c r="M40">
        <v>49</v>
      </c>
      <c r="N40">
        <v>52.625</v>
      </c>
    </row>
    <row r="41" spans="1:14" x14ac:dyDescent="0.35">
      <c r="L41">
        <v>39</v>
      </c>
      <c r="M41">
        <v>51</v>
      </c>
      <c r="N41">
        <v>49.625</v>
      </c>
    </row>
    <row r="42" spans="1:14" x14ac:dyDescent="0.35">
      <c r="L42">
        <v>40</v>
      </c>
      <c r="M42">
        <v>44</v>
      </c>
      <c r="N42">
        <v>48</v>
      </c>
    </row>
    <row r="43" spans="1:14" x14ac:dyDescent="0.35">
      <c r="L43">
        <v>41</v>
      </c>
      <c r="M43">
        <v>48</v>
      </c>
      <c r="N43">
        <v>44.875</v>
      </c>
    </row>
    <row r="44" spans="1:14" x14ac:dyDescent="0.35">
      <c r="L44">
        <v>42</v>
      </c>
      <c r="M44">
        <v>44</v>
      </c>
      <c r="N44">
        <v>44.125</v>
      </c>
    </row>
    <row r="45" spans="1:14" x14ac:dyDescent="0.35">
      <c r="L45">
        <v>43</v>
      </c>
      <c r="M45">
        <v>35</v>
      </c>
      <c r="N45">
        <v>43.75</v>
      </c>
    </row>
    <row r="46" spans="1:14" x14ac:dyDescent="0.35">
      <c r="L46">
        <v>44</v>
      </c>
      <c r="M46">
        <v>43</v>
      </c>
      <c r="N46">
        <v>43.875</v>
      </c>
    </row>
    <row r="47" spans="1:14" x14ac:dyDescent="0.35">
      <c r="L47">
        <v>45</v>
      </c>
      <c r="M47">
        <v>45</v>
      </c>
      <c r="N47">
        <v>44.75</v>
      </c>
    </row>
    <row r="48" spans="1:14" x14ac:dyDescent="0.35">
      <c r="L48">
        <v>46</v>
      </c>
      <c r="M48">
        <v>43</v>
      </c>
      <c r="N48">
        <v>45.375</v>
      </c>
    </row>
    <row r="49" spans="2:14" x14ac:dyDescent="0.35">
      <c r="L49">
        <v>47</v>
      </c>
      <c r="M49">
        <v>48</v>
      </c>
      <c r="N49">
        <v>45.25</v>
      </c>
    </row>
    <row r="50" spans="2:14" x14ac:dyDescent="0.35">
      <c r="L50">
        <v>48</v>
      </c>
      <c r="M50">
        <v>45</v>
      </c>
      <c r="N50">
        <v>44.875</v>
      </c>
    </row>
    <row r="51" spans="2:14" x14ac:dyDescent="0.35">
      <c r="L51">
        <v>49</v>
      </c>
      <c r="M51">
        <v>55</v>
      </c>
      <c r="N51">
        <v>43.375</v>
      </c>
    </row>
    <row r="52" spans="2:14" x14ac:dyDescent="0.35">
      <c r="L52">
        <v>50</v>
      </c>
      <c r="M52">
        <v>49</v>
      </c>
      <c r="N52">
        <v>42.125</v>
      </c>
    </row>
    <row r="53" spans="2:14" x14ac:dyDescent="0.35">
      <c r="B53" s="97"/>
      <c r="L53">
        <v>51</v>
      </c>
      <c r="M53">
        <v>34</v>
      </c>
      <c r="N53">
        <v>41.25</v>
      </c>
    </row>
    <row r="54" spans="2:14" x14ac:dyDescent="0.35">
      <c r="L54">
        <v>52</v>
      </c>
      <c r="M54">
        <v>40</v>
      </c>
      <c r="N54">
        <v>39.75</v>
      </c>
    </row>
    <row r="55" spans="2:14" x14ac:dyDescent="0.35">
      <c r="L55">
        <v>53</v>
      </c>
      <c r="M55">
        <v>33</v>
      </c>
      <c r="N55">
        <v>37.625</v>
      </c>
    </row>
    <row r="56" spans="2:14" x14ac:dyDescent="0.35">
      <c r="L56">
        <v>54</v>
      </c>
      <c r="M56">
        <v>33</v>
      </c>
      <c r="N56">
        <v>35.875</v>
      </c>
    </row>
    <row r="57" spans="2:14" x14ac:dyDescent="0.35">
      <c r="L57">
        <v>55</v>
      </c>
      <c r="M57">
        <v>41</v>
      </c>
      <c r="N57">
        <v>36.25</v>
      </c>
    </row>
    <row r="58" spans="2:14" x14ac:dyDescent="0.35">
      <c r="L58">
        <v>56</v>
      </c>
      <c r="M58">
        <v>33</v>
      </c>
      <c r="N58">
        <v>35.125</v>
      </c>
    </row>
    <row r="59" spans="2:14" x14ac:dyDescent="0.35">
      <c r="L59">
        <v>57</v>
      </c>
      <c r="M59">
        <v>38</v>
      </c>
      <c r="N59">
        <v>34.625</v>
      </c>
    </row>
    <row r="60" spans="2:14" x14ac:dyDescent="0.35">
      <c r="L60">
        <v>58</v>
      </c>
      <c r="M60">
        <v>35</v>
      </c>
      <c r="N60">
        <v>35.875</v>
      </c>
    </row>
    <row r="61" spans="2:14" x14ac:dyDescent="0.35">
      <c r="L61">
        <v>59</v>
      </c>
      <c r="M61">
        <v>37</v>
      </c>
      <c r="N61">
        <v>35.75</v>
      </c>
    </row>
    <row r="62" spans="2:14" x14ac:dyDescent="0.35">
      <c r="L62">
        <v>60</v>
      </c>
      <c r="M62">
        <v>31</v>
      </c>
      <c r="N62">
        <v>37.625</v>
      </c>
    </row>
    <row r="63" spans="2:14" x14ac:dyDescent="0.35">
      <c r="L63">
        <v>61</v>
      </c>
      <c r="M63">
        <v>29</v>
      </c>
      <c r="N63">
        <v>37.125</v>
      </c>
    </row>
    <row r="64" spans="2:14" x14ac:dyDescent="0.35">
      <c r="L64">
        <v>62</v>
      </c>
      <c r="M64">
        <v>43</v>
      </c>
      <c r="N64">
        <v>36.875</v>
      </c>
    </row>
    <row r="65" spans="12:14" x14ac:dyDescent="0.35">
      <c r="L65">
        <v>63</v>
      </c>
      <c r="M65">
        <v>40</v>
      </c>
      <c r="N65">
        <v>36.375</v>
      </c>
    </row>
    <row r="66" spans="12:14" x14ac:dyDescent="0.35">
      <c r="L66">
        <v>64</v>
      </c>
      <c r="M66">
        <v>48</v>
      </c>
      <c r="N66">
        <v>36.875</v>
      </c>
    </row>
    <row r="67" spans="12:14" x14ac:dyDescent="0.35">
      <c r="L67">
        <v>65</v>
      </c>
      <c r="M67">
        <v>34</v>
      </c>
      <c r="N67">
        <v>38.5</v>
      </c>
    </row>
    <row r="68" spans="12:14" x14ac:dyDescent="0.35">
      <c r="L68">
        <v>66</v>
      </c>
      <c r="M68">
        <v>33</v>
      </c>
      <c r="N68">
        <v>36.625</v>
      </c>
    </row>
    <row r="69" spans="12:14" x14ac:dyDescent="0.35">
      <c r="L69">
        <v>67</v>
      </c>
      <c r="M69">
        <v>33</v>
      </c>
      <c r="N69">
        <v>34.125</v>
      </c>
    </row>
    <row r="70" spans="12:14" x14ac:dyDescent="0.35">
      <c r="L70">
        <v>68</v>
      </c>
      <c r="M70">
        <v>35</v>
      </c>
      <c r="N70">
        <v>32.75</v>
      </c>
    </row>
    <row r="71" spans="12:14" x14ac:dyDescent="0.35">
      <c r="L71">
        <v>69</v>
      </c>
      <c r="M71">
        <v>42</v>
      </c>
      <c r="N71">
        <v>33.25</v>
      </c>
    </row>
    <row r="72" spans="12:14" x14ac:dyDescent="0.35">
      <c r="L72">
        <v>70</v>
      </c>
      <c r="M72">
        <v>28</v>
      </c>
      <c r="N72">
        <v>32.5</v>
      </c>
    </row>
    <row r="73" spans="12:14" x14ac:dyDescent="0.35">
      <c r="L73">
        <v>71</v>
      </c>
      <c r="M73">
        <v>20</v>
      </c>
      <c r="N73">
        <v>31.75</v>
      </c>
    </row>
    <row r="74" spans="12:14" x14ac:dyDescent="0.35">
      <c r="L74">
        <v>72</v>
      </c>
      <c r="M74">
        <v>37</v>
      </c>
      <c r="N74">
        <v>32</v>
      </c>
    </row>
    <row r="75" spans="12:14" x14ac:dyDescent="0.35">
      <c r="L75">
        <v>73</v>
      </c>
      <c r="M75">
        <v>38</v>
      </c>
      <c r="N75">
        <v>30.125</v>
      </c>
    </row>
    <row r="76" spans="12:14" x14ac:dyDescent="0.35">
      <c r="L76">
        <v>74</v>
      </c>
      <c r="M76">
        <v>27</v>
      </c>
      <c r="N76">
        <v>31.25</v>
      </c>
    </row>
    <row r="77" spans="12:14" x14ac:dyDescent="0.35">
      <c r="L77">
        <v>75</v>
      </c>
      <c r="M77">
        <v>27</v>
      </c>
      <c r="N77">
        <v>32.125</v>
      </c>
    </row>
    <row r="78" spans="12:14" x14ac:dyDescent="0.35">
      <c r="L78">
        <v>76</v>
      </c>
      <c r="M78">
        <v>37</v>
      </c>
      <c r="N78">
        <v>31.25</v>
      </c>
    </row>
    <row r="79" spans="12:14" x14ac:dyDescent="0.35">
      <c r="L79">
        <v>77</v>
      </c>
      <c r="M79">
        <v>27</v>
      </c>
      <c r="N79">
        <v>30.75</v>
      </c>
    </row>
    <row r="80" spans="12:14" x14ac:dyDescent="0.35">
      <c r="L80">
        <v>78</v>
      </c>
      <c r="M80">
        <v>37</v>
      </c>
      <c r="N80">
        <v>32</v>
      </c>
    </row>
    <row r="81" spans="12:14" x14ac:dyDescent="0.35">
      <c r="L81">
        <v>79</v>
      </c>
      <c r="M81">
        <v>27</v>
      </c>
      <c r="N81">
        <v>32.625</v>
      </c>
    </row>
    <row r="82" spans="12:14" x14ac:dyDescent="0.35">
      <c r="L82">
        <v>80</v>
      </c>
      <c r="M82">
        <v>30</v>
      </c>
      <c r="N82">
        <v>32.25</v>
      </c>
    </row>
    <row r="83" spans="12:14" x14ac:dyDescent="0.35">
      <c r="L83">
        <v>81</v>
      </c>
      <c r="M83">
        <v>34</v>
      </c>
      <c r="N83">
        <v>32.75</v>
      </c>
    </row>
    <row r="84" spans="12:14" x14ac:dyDescent="0.35">
      <c r="L84">
        <v>82</v>
      </c>
      <c r="M84">
        <v>37</v>
      </c>
      <c r="N84">
        <v>32.375</v>
      </c>
    </row>
    <row r="85" spans="12:14" x14ac:dyDescent="0.35">
      <c r="L85">
        <v>83</v>
      </c>
      <c r="M85">
        <v>32</v>
      </c>
      <c r="N85">
        <v>33.875</v>
      </c>
    </row>
    <row r="86" spans="12:14" x14ac:dyDescent="0.35">
      <c r="L86">
        <v>84</v>
      </c>
      <c r="M86">
        <v>34</v>
      </c>
      <c r="N86">
        <v>34.625</v>
      </c>
    </row>
    <row r="87" spans="12:14" x14ac:dyDescent="0.35">
      <c r="L87">
        <v>85</v>
      </c>
      <c r="M87">
        <v>31</v>
      </c>
      <c r="N87">
        <v>35.75</v>
      </c>
    </row>
    <row r="88" spans="12:14" x14ac:dyDescent="0.35">
      <c r="L88">
        <v>86</v>
      </c>
      <c r="M88">
        <v>34</v>
      </c>
      <c r="N88">
        <v>36.625</v>
      </c>
    </row>
    <row r="89" spans="12:14" x14ac:dyDescent="0.35">
      <c r="L89">
        <v>87</v>
      </c>
      <c r="M89">
        <v>39</v>
      </c>
      <c r="N89">
        <v>36.875</v>
      </c>
    </row>
    <row r="90" spans="12:14" x14ac:dyDescent="0.35">
      <c r="L90">
        <v>88</v>
      </c>
      <c r="M90">
        <v>36</v>
      </c>
      <c r="N90">
        <v>37.125</v>
      </c>
    </row>
    <row r="91" spans="12:14" x14ac:dyDescent="0.35">
      <c r="L91">
        <v>89</v>
      </c>
      <c r="M91">
        <v>43</v>
      </c>
      <c r="N91">
        <v>39</v>
      </c>
    </row>
    <row r="92" spans="12:14" x14ac:dyDescent="0.35">
      <c r="L92">
        <v>90</v>
      </c>
      <c r="M92">
        <v>44</v>
      </c>
      <c r="N92">
        <v>39.125</v>
      </c>
    </row>
    <row r="93" spans="12:14" x14ac:dyDescent="0.35">
      <c r="L93">
        <v>91</v>
      </c>
      <c r="M93">
        <v>34</v>
      </c>
      <c r="N93">
        <v>38.5</v>
      </c>
    </row>
    <row r="94" spans="12:14" x14ac:dyDescent="0.35">
      <c r="L94">
        <v>92</v>
      </c>
      <c r="M94">
        <v>36</v>
      </c>
      <c r="N94">
        <v>37.625</v>
      </c>
    </row>
    <row r="95" spans="12:14" x14ac:dyDescent="0.35">
      <c r="L95">
        <v>93</v>
      </c>
      <c r="M95">
        <v>46</v>
      </c>
      <c r="N95">
        <v>36.625</v>
      </c>
    </row>
    <row r="96" spans="12:14" x14ac:dyDescent="0.35">
      <c r="L96">
        <v>94</v>
      </c>
      <c r="M96">
        <v>35</v>
      </c>
      <c r="N96">
        <v>35.5</v>
      </c>
    </row>
    <row r="97" spans="12:14" x14ac:dyDescent="0.35">
      <c r="L97">
        <v>95</v>
      </c>
      <c r="M97">
        <v>34</v>
      </c>
      <c r="N97">
        <v>36</v>
      </c>
    </row>
    <row r="98" spans="12:14" x14ac:dyDescent="0.35">
      <c r="L98">
        <v>96</v>
      </c>
      <c r="M98">
        <v>29</v>
      </c>
      <c r="N98">
        <v>37</v>
      </c>
    </row>
    <row r="99" spans="12:14" x14ac:dyDescent="0.35">
      <c r="L99">
        <v>97</v>
      </c>
      <c r="M99">
        <v>35</v>
      </c>
      <c r="N99">
        <v>35.5</v>
      </c>
    </row>
    <row r="100" spans="12:14" x14ac:dyDescent="0.35">
      <c r="L100">
        <v>98</v>
      </c>
      <c r="M100">
        <v>35</v>
      </c>
      <c r="N100">
        <v>36.125</v>
      </c>
    </row>
    <row r="101" spans="12:14" x14ac:dyDescent="0.35">
      <c r="L101">
        <v>99</v>
      </c>
      <c r="M101">
        <v>38</v>
      </c>
      <c r="N101">
        <v>37.5</v>
      </c>
    </row>
    <row r="102" spans="12:14" x14ac:dyDescent="0.35">
      <c r="L102">
        <v>100</v>
      </c>
      <c r="M102">
        <v>44</v>
      </c>
      <c r="N102">
        <v>38.875</v>
      </c>
    </row>
    <row r="103" spans="12:14" x14ac:dyDescent="0.35">
      <c r="L103">
        <v>101</v>
      </c>
      <c r="M103">
        <v>34</v>
      </c>
      <c r="N103">
        <v>40.125</v>
      </c>
    </row>
    <row r="104" spans="12:14" x14ac:dyDescent="0.35">
      <c r="L104">
        <v>102</v>
      </c>
      <c r="M104">
        <v>40</v>
      </c>
      <c r="N104">
        <v>39.625</v>
      </c>
    </row>
    <row r="105" spans="12:14" x14ac:dyDescent="0.35">
      <c r="L105">
        <v>103</v>
      </c>
      <c r="M105">
        <v>45</v>
      </c>
      <c r="N105">
        <v>39.125</v>
      </c>
    </row>
    <row r="106" spans="12:14" x14ac:dyDescent="0.35">
      <c r="L106">
        <v>104</v>
      </c>
      <c r="M106">
        <v>40</v>
      </c>
      <c r="N106">
        <v>37.5</v>
      </c>
    </row>
    <row r="107" spans="12:14" x14ac:dyDescent="0.35">
      <c r="L107">
        <v>105</v>
      </c>
      <c r="M107">
        <v>45</v>
      </c>
      <c r="N107">
        <v>37.125</v>
      </c>
    </row>
    <row r="108" spans="12:14" x14ac:dyDescent="0.35">
      <c r="L108">
        <v>106</v>
      </c>
      <c r="M108">
        <v>31</v>
      </c>
      <c r="N108">
        <v>36.25</v>
      </c>
    </row>
    <row r="109" spans="12:14" x14ac:dyDescent="0.35">
      <c r="L109">
        <v>107</v>
      </c>
      <c r="M109">
        <v>34</v>
      </c>
      <c r="N109">
        <v>35.125</v>
      </c>
    </row>
    <row r="110" spans="12:14" x14ac:dyDescent="0.35">
      <c r="L110">
        <v>108</v>
      </c>
      <c r="M110">
        <v>31</v>
      </c>
      <c r="N110">
        <v>33</v>
      </c>
    </row>
    <row r="111" spans="12:14" x14ac:dyDescent="0.35">
      <c r="L111">
        <v>109</v>
      </c>
      <c r="M111">
        <v>31</v>
      </c>
      <c r="N111">
        <v>31.875</v>
      </c>
    </row>
    <row r="112" spans="12:14" x14ac:dyDescent="0.35">
      <c r="L112">
        <v>110</v>
      </c>
      <c r="M112">
        <v>33</v>
      </c>
      <c r="N112">
        <v>32.5</v>
      </c>
    </row>
    <row r="113" spans="12:14" x14ac:dyDescent="0.35">
      <c r="L113">
        <v>111</v>
      </c>
      <c r="M113">
        <v>36</v>
      </c>
      <c r="N113">
        <v>32.875</v>
      </c>
    </row>
    <row r="114" spans="12:14" x14ac:dyDescent="0.35">
      <c r="L114">
        <v>112</v>
      </c>
      <c r="M114">
        <v>23</v>
      </c>
      <c r="N114">
        <v>32.625</v>
      </c>
    </row>
    <row r="115" spans="12:14" x14ac:dyDescent="0.35">
      <c r="L115">
        <v>113</v>
      </c>
      <c r="M115">
        <v>36</v>
      </c>
      <c r="N115">
        <v>33.375</v>
      </c>
    </row>
    <row r="116" spans="12:14" x14ac:dyDescent="0.35">
      <c r="L116">
        <v>114</v>
      </c>
      <c r="M116">
        <v>36</v>
      </c>
      <c r="N116">
        <v>33.75</v>
      </c>
    </row>
    <row r="117" spans="12:14" x14ac:dyDescent="0.35">
      <c r="L117">
        <v>115</v>
      </c>
      <c r="M117">
        <v>37</v>
      </c>
      <c r="N117">
        <v>33.375</v>
      </c>
    </row>
    <row r="118" spans="12:14" x14ac:dyDescent="0.35">
      <c r="L118">
        <v>116</v>
      </c>
      <c r="M118">
        <v>29</v>
      </c>
      <c r="N118">
        <v>34.25</v>
      </c>
    </row>
    <row r="119" spans="12:14" x14ac:dyDescent="0.35">
      <c r="L119">
        <v>117</v>
      </c>
      <c r="M119">
        <v>37</v>
      </c>
      <c r="N119">
        <v>32.5</v>
      </c>
    </row>
    <row r="120" spans="12:14" x14ac:dyDescent="0.35">
      <c r="L120">
        <v>118</v>
      </c>
      <c r="M120">
        <v>36</v>
      </c>
      <c r="N120">
        <v>31</v>
      </c>
    </row>
    <row r="121" spans="12:14" x14ac:dyDescent="0.35">
      <c r="L121">
        <v>119</v>
      </c>
      <c r="M121">
        <v>33</v>
      </c>
      <c r="N121">
        <v>30</v>
      </c>
    </row>
    <row r="122" spans="12:14" x14ac:dyDescent="0.35">
      <c r="L122">
        <v>120</v>
      </c>
      <c r="M122">
        <v>30</v>
      </c>
      <c r="N122">
        <v>31.25</v>
      </c>
    </row>
    <row r="123" spans="12:14" x14ac:dyDescent="0.35">
      <c r="L123">
        <v>121</v>
      </c>
      <c r="M123">
        <v>22</v>
      </c>
      <c r="N123">
        <v>32.125</v>
      </c>
    </row>
    <row r="124" spans="12:14" x14ac:dyDescent="0.35">
      <c r="L124">
        <v>122</v>
      </c>
      <c r="M124">
        <v>24</v>
      </c>
      <c r="N124">
        <v>31.125</v>
      </c>
    </row>
    <row r="125" spans="12:14" x14ac:dyDescent="0.35">
      <c r="L125">
        <v>123</v>
      </c>
      <c r="M125">
        <v>29</v>
      </c>
      <c r="N125">
        <v>29.875</v>
      </c>
    </row>
    <row r="126" spans="12:14" x14ac:dyDescent="0.35">
      <c r="L126">
        <v>124</v>
      </c>
      <c r="M126">
        <v>39</v>
      </c>
      <c r="N126">
        <v>30.25</v>
      </c>
    </row>
    <row r="127" spans="12:14" x14ac:dyDescent="0.35">
      <c r="L127">
        <v>125</v>
      </c>
      <c r="M127">
        <v>44</v>
      </c>
      <c r="N127">
        <v>31.375</v>
      </c>
    </row>
    <row r="128" spans="12:14" x14ac:dyDescent="0.35">
      <c r="L128">
        <v>126</v>
      </c>
      <c r="M128">
        <v>28</v>
      </c>
      <c r="N128">
        <v>32.25</v>
      </c>
    </row>
    <row r="129" spans="12:14" x14ac:dyDescent="0.35">
      <c r="L129">
        <v>127</v>
      </c>
      <c r="M129">
        <v>23</v>
      </c>
      <c r="N129">
        <v>32.375</v>
      </c>
    </row>
    <row r="130" spans="12:14" x14ac:dyDescent="0.35">
      <c r="L130">
        <v>128</v>
      </c>
      <c r="M130">
        <v>33</v>
      </c>
      <c r="N130">
        <v>30.125</v>
      </c>
    </row>
    <row r="131" spans="12:14" x14ac:dyDescent="0.35">
      <c r="L131">
        <v>129</v>
      </c>
      <c r="M131">
        <v>31</v>
      </c>
      <c r="N131">
        <v>28.75</v>
      </c>
    </row>
    <row r="132" spans="12:14" x14ac:dyDescent="0.35">
      <c r="L132">
        <v>130</v>
      </c>
      <c r="M132">
        <v>31</v>
      </c>
      <c r="N132">
        <v>30.375</v>
      </c>
    </row>
    <row r="133" spans="12:14" x14ac:dyDescent="0.35">
      <c r="L133">
        <v>131</v>
      </c>
      <c r="M133">
        <v>30</v>
      </c>
      <c r="N133">
        <v>31.25</v>
      </c>
    </row>
    <row r="134" spans="12:14" x14ac:dyDescent="0.35">
      <c r="L134">
        <v>132</v>
      </c>
      <c r="M134">
        <v>21</v>
      </c>
      <c r="N134">
        <v>31.125</v>
      </c>
    </row>
    <row r="135" spans="12:14" x14ac:dyDescent="0.35">
      <c r="L135">
        <v>133</v>
      </c>
      <c r="M135">
        <v>33</v>
      </c>
      <c r="N135">
        <v>31.75</v>
      </c>
    </row>
    <row r="136" spans="12:14" x14ac:dyDescent="0.35">
      <c r="L136">
        <v>134</v>
      </c>
      <c r="M136">
        <v>41</v>
      </c>
      <c r="N136">
        <v>31.5</v>
      </c>
    </row>
    <row r="137" spans="12:14" x14ac:dyDescent="0.35">
      <c r="L137">
        <v>135</v>
      </c>
      <c r="M137">
        <v>30</v>
      </c>
      <c r="N137">
        <v>31.875</v>
      </c>
    </row>
    <row r="138" spans="12:14" x14ac:dyDescent="0.35">
      <c r="L138">
        <v>136</v>
      </c>
      <c r="M138">
        <v>32</v>
      </c>
      <c r="N138">
        <v>34.125</v>
      </c>
    </row>
    <row r="139" spans="12:14" x14ac:dyDescent="0.35">
      <c r="L139">
        <v>137</v>
      </c>
      <c r="M139">
        <v>36</v>
      </c>
      <c r="N139">
        <v>35.875</v>
      </c>
    </row>
    <row r="140" spans="12:14" x14ac:dyDescent="0.35">
      <c r="L140">
        <v>138</v>
      </c>
      <c r="M140">
        <v>29</v>
      </c>
      <c r="N140">
        <v>34</v>
      </c>
    </row>
    <row r="141" spans="12:14" x14ac:dyDescent="0.35">
      <c r="L141">
        <v>139</v>
      </c>
      <c r="M141">
        <v>33</v>
      </c>
      <c r="N141">
        <v>34.625</v>
      </c>
    </row>
    <row r="142" spans="12:14" x14ac:dyDescent="0.35">
      <c r="L142">
        <v>140</v>
      </c>
      <c r="M142">
        <v>39</v>
      </c>
      <c r="N142">
        <v>36.375</v>
      </c>
    </row>
    <row r="143" spans="12:14" x14ac:dyDescent="0.35">
      <c r="L143">
        <v>141</v>
      </c>
      <c r="M143">
        <v>47</v>
      </c>
      <c r="N143">
        <v>38</v>
      </c>
    </row>
    <row r="144" spans="12:14" x14ac:dyDescent="0.35">
      <c r="L144">
        <v>142</v>
      </c>
      <c r="M144">
        <v>26</v>
      </c>
      <c r="N144">
        <v>39.625</v>
      </c>
    </row>
    <row r="145" spans="12:14" x14ac:dyDescent="0.35">
      <c r="L145">
        <v>143</v>
      </c>
      <c r="M145">
        <v>35</v>
      </c>
      <c r="N145">
        <v>41.375</v>
      </c>
    </row>
    <row r="146" spans="12:14" x14ac:dyDescent="0.35">
      <c r="L146">
        <v>144</v>
      </c>
      <c r="M146">
        <v>46</v>
      </c>
      <c r="N146">
        <v>41.125</v>
      </c>
    </row>
    <row r="147" spans="12:14" x14ac:dyDescent="0.35">
      <c r="L147">
        <v>145</v>
      </c>
      <c r="M147">
        <v>49</v>
      </c>
      <c r="N147">
        <v>41.125</v>
      </c>
    </row>
    <row r="148" spans="12:14" x14ac:dyDescent="0.35">
      <c r="L148">
        <v>146</v>
      </c>
      <c r="M148">
        <v>42</v>
      </c>
      <c r="N148">
        <v>43.75</v>
      </c>
    </row>
    <row r="149" spans="12:14" x14ac:dyDescent="0.35">
      <c r="L149">
        <v>147</v>
      </c>
      <c r="M149">
        <v>47</v>
      </c>
      <c r="N149">
        <v>44.125</v>
      </c>
    </row>
    <row r="150" spans="12:14" x14ac:dyDescent="0.35">
      <c r="L150">
        <v>148</v>
      </c>
      <c r="M150">
        <v>37</v>
      </c>
      <c r="N150">
        <v>43.875</v>
      </c>
    </row>
    <row r="151" spans="12:14" x14ac:dyDescent="0.35">
      <c r="L151">
        <v>149</v>
      </c>
      <c r="M151">
        <v>47</v>
      </c>
      <c r="N151">
        <v>44.125</v>
      </c>
    </row>
    <row r="152" spans="12:14" x14ac:dyDescent="0.35">
      <c r="L152">
        <v>150</v>
      </c>
      <c r="M152">
        <v>47</v>
      </c>
      <c r="N152">
        <v>47.125</v>
      </c>
    </row>
    <row r="153" spans="12:14" x14ac:dyDescent="0.35">
      <c r="L153">
        <v>151</v>
      </c>
      <c r="M153">
        <v>38</v>
      </c>
      <c r="N153">
        <v>49.25</v>
      </c>
    </row>
    <row r="154" spans="12:14" x14ac:dyDescent="0.35">
      <c r="L154">
        <v>152</v>
      </c>
      <c r="M154">
        <v>44</v>
      </c>
      <c r="N154">
        <v>52.5</v>
      </c>
    </row>
    <row r="155" spans="12:14" x14ac:dyDescent="0.35">
      <c r="L155">
        <v>153</v>
      </c>
      <c r="M155">
        <v>51</v>
      </c>
      <c r="N155">
        <v>55.375</v>
      </c>
    </row>
    <row r="156" spans="12:14" x14ac:dyDescent="0.35">
      <c r="L156">
        <v>154</v>
      </c>
      <c r="M156">
        <v>66</v>
      </c>
      <c r="N156">
        <v>59.5</v>
      </c>
    </row>
    <row r="157" spans="12:14" x14ac:dyDescent="0.35">
      <c r="L157">
        <v>155</v>
      </c>
      <c r="M157">
        <v>64</v>
      </c>
      <c r="N157">
        <v>64.375</v>
      </c>
    </row>
    <row r="158" spans="12:14" x14ac:dyDescent="0.35">
      <c r="L158">
        <v>156</v>
      </c>
      <c r="M158">
        <v>63</v>
      </c>
      <c r="N158">
        <v>69.375</v>
      </c>
    </row>
    <row r="159" spans="12:14" x14ac:dyDescent="0.35">
      <c r="L159">
        <v>157</v>
      </c>
      <c r="M159">
        <v>70</v>
      </c>
      <c r="N159">
        <v>72.375</v>
      </c>
    </row>
    <row r="160" spans="12:14" x14ac:dyDescent="0.35">
      <c r="L160">
        <v>158</v>
      </c>
      <c r="M160">
        <v>80</v>
      </c>
      <c r="N160">
        <v>76.25</v>
      </c>
    </row>
    <row r="161" spans="12:14" x14ac:dyDescent="0.35">
      <c r="L161">
        <v>159</v>
      </c>
      <c r="M161">
        <v>77</v>
      </c>
      <c r="N161">
        <v>80.875</v>
      </c>
    </row>
    <row r="162" spans="12:14" x14ac:dyDescent="0.35">
      <c r="L162">
        <v>160</v>
      </c>
      <c r="M162">
        <v>84</v>
      </c>
      <c r="N162">
        <v>87.25</v>
      </c>
    </row>
    <row r="163" spans="12:14" x14ac:dyDescent="0.35">
      <c r="L163">
        <v>161</v>
      </c>
      <c r="M163">
        <v>75</v>
      </c>
      <c r="N163">
        <v>93.375</v>
      </c>
    </row>
    <row r="164" spans="12:14" x14ac:dyDescent="0.35">
      <c r="L164">
        <v>162</v>
      </c>
      <c r="M164">
        <v>97</v>
      </c>
      <c r="N164">
        <v>101.875</v>
      </c>
    </row>
    <row r="165" spans="12:14" x14ac:dyDescent="0.35">
      <c r="L165">
        <v>163</v>
      </c>
      <c r="M165">
        <v>101</v>
      </c>
      <c r="N165">
        <v>108.5</v>
      </c>
    </row>
    <row r="166" spans="12:14" x14ac:dyDescent="0.35">
      <c r="L166">
        <v>164</v>
      </c>
      <c r="M166">
        <v>114</v>
      </c>
      <c r="N166">
        <v>119.125</v>
      </c>
    </row>
    <row r="167" spans="12:14" x14ac:dyDescent="0.35">
      <c r="L167">
        <v>165</v>
      </c>
      <c r="M167">
        <v>119</v>
      </c>
      <c r="N167">
        <v>132</v>
      </c>
    </row>
    <row r="168" spans="12:14" x14ac:dyDescent="0.35">
      <c r="L168">
        <v>166</v>
      </c>
      <c r="M168">
        <v>148</v>
      </c>
      <c r="N168">
        <v>144.5</v>
      </c>
    </row>
    <row r="169" spans="12:14" x14ac:dyDescent="0.35">
      <c r="L169">
        <v>167</v>
      </c>
      <c r="M169">
        <v>130</v>
      </c>
      <c r="N169">
        <v>156.75</v>
      </c>
    </row>
    <row r="170" spans="12:14" x14ac:dyDescent="0.35">
      <c r="L170">
        <v>168</v>
      </c>
      <c r="M170">
        <v>169</v>
      </c>
      <c r="N170">
        <v>168</v>
      </c>
    </row>
    <row r="171" spans="12:14" x14ac:dyDescent="0.35">
      <c r="L171">
        <v>169</v>
      </c>
      <c r="M171">
        <v>178</v>
      </c>
      <c r="N171">
        <v>182.125</v>
      </c>
    </row>
    <row r="172" spans="12:14" x14ac:dyDescent="0.35">
      <c r="L172">
        <v>170</v>
      </c>
      <c r="M172">
        <v>197</v>
      </c>
      <c r="N172">
        <v>196.875</v>
      </c>
    </row>
    <row r="173" spans="12:14" x14ac:dyDescent="0.35">
      <c r="L173">
        <v>171</v>
      </c>
      <c r="M173">
        <v>199</v>
      </c>
      <c r="N173">
        <v>215.5</v>
      </c>
    </row>
    <row r="174" spans="12:14" x14ac:dyDescent="0.35">
      <c r="L174">
        <v>172</v>
      </c>
      <c r="M174">
        <v>204</v>
      </c>
      <c r="N174">
        <v>232</v>
      </c>
    </row>
    <row r="175" spans="12:14" x14ac:dyDescent="0.35">
      <c r="L175">
        <v>173</v>
      </c>
      <c r="M175">
        <v>232</v>
      </c>
      <c r="N175">
        <v>250.25</v>
      </c>
    </row>
    <row r="176" spans="12:14" x14ac:dyDescent="0.35">
      <c r="L176">
        <v>174</v>
      </c>
      <c r="M176">
        <v>266</v>
      </c>
      <c r="N176">
        <v>267.375</v>
      </c>
    </row>
    <row r="177" spans="12:14" x14ac:dyDescent="0.35">
      <c r="L177">
        <v>175</v>
      </c>
      <c r="M177">
        <v>279</v>
      </c>
      <c r="N177">
        <v>294.75</v>
      </c>
    </row>
    <row r="178" spans="12:14" x14ac:dyDescent="0.35">
      <c r="L178">
        <v>176</v>
      </c>
      <c r="M178">
        <v>301</v>
      </c>
      <c r="N178">
        <v>316.375</v>
      </c>
    </row>
    <row r="179" spans="12:14" x14ac:dyDescent="0.35">
      <c r="L179">
        <v>177</v>
      </c>
      <c r="M179">
        <v>324</v>
      </c>
      <c r="N179">
        <v>336.25</v>
      </c>
    </row>
    <row r="180" spans="12:14" x14ac:dyDescent="0.35">
      <c r="L180">
        <v>178</v>
      </c>
      <c r="M180">
        <v>334</v>
      </c>
      <c r="N180">
        <v>353.75</v>
      </c>
    </row>
    <row r="181" spans="12:14" x14ac:dyDescent="0.35">
      <c r="L181">
        <v>179</v>
      </c>
      <c r="M181">
        <v>418</v>
      </c>
      <c r="N181">
        <v>381.625</v>
      </c>
    </row>
    <row r="182" spans="12:14" x14ac:dyDescent="0.35">
      <c r="L182">
        <v>180</v>
      </c>
      <c r="M182">
        <v>377</v>
      </c>
      <c r="N182">
        <v>400.375</v>
      </c>
    </row>
    <row r="183" spans="12:14" x14ac:dyDescent="0.35">
      <c r="L183">
        <v>181</v>
      </c>
      <c r="M183">
        <v>391</v>
      </c>
      <c r="N183">
        <v>428.125</v>
      </c>
    </row>
    <row r="184" spans="12:14" x14ac:dyDescent="0.35">
      <c r="L184">
        <v>182</v>
      </c>
      <c r="M184">
        <v>406</v>
      </c>
      <c r="N184">
        <v>456.25</v>
      </c>
    </row>
    <row r="185" spans="12:14" x14ac:dyDescent="0.35">
      <c r="L185">
        <v>183</v>
      </c>
      <c r="M185">
        <v>502</v>
      </c>
      <c r="N185">
        <v>475.75</v>
      </c>
    </row>
    <row r="186" spans="12:14" x14ac:dyDescent="0.35">
      <c r="L186">
        <v>184</v>
      </c>
      <c r="M186">
        <v>451</v>
      </c>
      <c r="N186">
        <v>502.375</v>
      </c>
    </row>
    <row r="187" spans="12:14" x14ac:dyDescent="0.35">
      <c r="L187">
        <v>185</v>
      </c>
      <c r="M187">
        <v>546</v>
      </c>
      <c r="N187">
        <v>527.125</v>
      </c>
    </row>
    <row r="188" spans="12:14" x14ac:dyDescent="0.35">
      <c r="L188">
        <v>186</v>
      </c>
      <c r="M188">
        <v>559</v>
      </c>
      <c r="N188">
        <v>554.125</v>
      </c>
    </row>
    <row r="189" spans="12:14" x14ac:dyDescent="0.35">
      <c r="L189">
        <v>187</v>
      </c>
      <c r="M189">
        <v>574</v>
      </c>
      <c r="N189">
        <v>575.25</v>
      </c>
    </row>
    <row r="190" spans="12:14" x14ac:dyDescent="0.35">
      <c r="L190">
        <v>188</v>
      </c>
      <c r="M190">
        <v>590</v>
      </c>
      <c r="N190">
        <v>599.875</v>
      </c>
    </row>
    <row r="191" spans="12:14" x14ac:dyDescent="0.35">
      <c r="L191">
        <v>189</v>
      </c>
      <c r="M191">
        <v>589</v>
      </c>
      <c r="N191">
        <v>624.5</v>
      </c>
    </row>
    <row r="192" spans="12:14" x14ac:dyDescent="0.35">
      <c r="L192">
        <v>190</v>
      </c>
      <c r="M192">
        <v>622</v>
      </c>
      <c r="N192">
        <v>643.5</v>
      </c>
    </row>
    <row r="193" spans="12:17" x14ac:dyDescent="0.35">
      <c r="L193">
        <v>191</v>
      </c>
      <c r="M193">
        <v>671</v>
      </c>
      <c r="N193">
        <v>665.75</v>
      </c>
    </row>
    <row r="194" spans="12:17" x14ac:dyDescent="0.35">
      <c r="L194">
        <v>192</v>
      </c>
      <c r="M194">
        <v>648</v>
      </c>
      <c r="N194">
        <v>690.625</v>
      </c>
    </row>
    <row r="195" spans="12:17" x14ac:dyDescent="0.35">
      <c r="L195">
        <v>193</v>
      </c>
      <c r="M195">
        <v>743</v>
      </c>
      <c r="N195">
        <v>716.25</v>
      </c>
    </row>
    <row r="196" spans="12:17" x14ac:dyDescent="0.35">
      <c r="L196">
        <v>194</v>
      </c>
      <c r="M196">
        <v>711</v>
      </c>
      <c r="N196">
        <v>736.625</v>
      </c>
    </row>
    <row r="197" spans="12:17" x14ac:dyDescent="0.35">
      <c r="L197">
        <v>195</v>
      </c>
      <c r="M197">
        <v>752</v>
      </c>
      <c r="N197">
        <v>746.125</v>
      </c>
    </row>
    <row r="198" spans="12:17" x14ac:dyDescent="0.35">
      <c r="L198">
        <v>196</v>
      </c>
      <c r="M198">
        <v>789</v>
      </c>
      <c r="N198">
        <v>762.875</v>
      </c>
    </row>
    <row r="199" spans="12:17" x14ac:dyDescent="0.35">
      <c r="L199">
        <v>197</v>
      </c>
      <c r="M199">
        <v>794</v>
      </c>
      <c r="N199">
        <v>773</v>
      </c>
    </row>
    <row r="200" spans="12:17" x14ac:dyDescent="0.35">
      <c r="L200">
        <v>198</v>
      </c>
      <c r="M200">
        <v>785</v>
      </c>
      <c r="N200">
        <v>782.875</v>
      </c>
    </row>
    <row r="201" spans="12:17" x14ac:dyDescent="0.35">
      <c r="L201">
        <v>199</v>
      </c>
      <c r="M201">
        <v>747</v>
      </c>
      <c r="N201">
        <v>793.125</v>
      </c>
    </row>
    <row r="202" spans="12:17" x14ac:dyDescent="0.35">
      <c r="L202">
        <v>200</v>
      </c>
      <c r="M202">
        <v>782</v>
      </c>
      <c r="N202">
        <v>801.25</v>
      </c>
      <c r="Q202">
        <v>2</v>
      </c>
    </row>
    <row r="203" spans="12:17" x14ac:dyDescent="0.35">
      <c r="L203">
        <v>201</v>
      </c>
      <c r="M203">
        <v>824</v>
      </c>
      <c r="N203">
        <v>797.75</v>
      </c>
      <c r="Q203">
        <v>2</v>
      </c>
    </row>
    <row r="204" spans="12:17" x14ac:dyDescent="0.35">
      <c r="L204">
        <v>202</v>
      </c>
      <c r="M204">
        <v>790</v>
      </c>
      <c r="N204">
        <v>804.25</v>
      </c>
      <c r="Q204">
        <v>7</v>
      </c>
    </row>
    <row r="205" spans="12:17" x14ac:dyDescent="0.35">
      <c r="L205">
        <v>203</v>
      </c>
      <c r="M205">
        <v>834</v>
      </c>
      <c r="N205">
        <v>807.5</v>
      </c>
      <c r="Q205">
        <v>12</v>
      </c>
    </row>
    <row r="206" spans="12:17" x14ac:dyDescent="0.35">
      <c r="L206">
        <v>204</v>
      </c>
      <c r="M206">
        <v>854</v>
      </c>
      <c r="N206">
        <v>808.125</v>
      </c>
      <c r="Q206">
        <v>9</v>
      </c>
    </row>
    <row r="207" spans="12:17" x14ac:dyDescent="0.35">
      <c r="L207">
        <v>205</v>
      </c>
      <c r="M207">
        <v>766</v>
      </c>
      <c r="N207">
        <v>809.75</v>
      </c>
      <c r="Q207">
        <v>2</v>
      </c>
    </row>
    <row r="208" spans="12:17" x14ac:dyDescent="0.35">
      <c r="L208">
        <v>206</v>
      </c>
      <c r="M208">
        <v>837</v>
      </c>
      <c r="N208">
        <v>811</v>
      </c>
      <c r="Q208">
        <v>9</v>
      </c>
    </row>
    <row r="209" spans="12:17" x14ac:dyDescent="0.35">
      <c r="L209">
        <v>207</v>
      </c>
      <c r="M209">
        <v>773</v>
      </c>
      <c r="N209">
        <v>798.25</v>
      </c>
      <c r="Q209">
        <v>8</v>
      </c>
    </row>
    <row r="210" spans="12:17" x14ac:dyDescent="0.35">
      <c r="L210">
        <v>208</v>
      </c>
      <c r="M210">
        <v>787</v>
      </c>
      <c r="N210">
        <v>790.875</v>
      </c>
      <c r="Q210">
        <v>6</v>
      </c>
    </row>
    <row r="211" spans="12:17" x14ac:dyDescent="0.35">
      <c r="L211">
        <v>209</v>
      </c>
      <c r="M211">
        <v>837</v>
      </c>
      <c r="N211">
        <v>789.25</v>
      </c>
      <c r="Q211">
        <v>7</v>
      </c>
    </row>
    <row r="212" spans="12:17" x14ac:dyDescent="0.35">
      <c r="L212">
        <v>210</v>
      </c>
      <c r="M212">
        <v>800</v>
      </c>
      <c r="N212">
        <v>776.875</v>
      </c>
      <c r="Q212">
        <v>15</v>
      </c>
    </row>
    <row r="213" spans="12:17" x14ac:dyDescent="0.35">
      <c r="L213">
        <v>211</v>
      </c>
      <c r="M213">
        <v>732</v>
      </c>
      <c r="N213">
        <v>769.625</v>
      </c>
      <c r="Q213">
        <v>6</v>
      </c>
    </row>
    <row r="214" spans="12:17" x14ac:dyDescent="0.35">
      <c r="L214">
        <v>212</v>
      </c>
      <c r="M214">
        <v>795</v>
      </c>
      <c r="N214">
        <v>760.75</v>
      </c>
      <c r="Q214">
        <v>6</v>
      </c>
    </row>
    <row r="215" spans="12:17" x14ac:dyDescent="0.35">
      <c r="L215">
        <v>213</v>
      </c>
      <c r="M215">
        <v>753</v>
      </c>
      <c r="N215">
        <v>742.5</v>
      </c>
      <c r="Q215">
        <v>3</v>
      </c>
    </row>
    <row r="216" spans="12:17" x14ac:dyDescent="0.35">
      <c r="L216">
        <v>214</v>
      </c>
      <c r="M216">
        <v>738</v>
      </c>
      <c r="N216">
        <v>728.875</v>
      </c>
      <c r="Q216">
        <v>8</v>
      </c>
    </row>
    <row r="217" spans="12:17" x14ac:dyDescent="0.35">
      <c r="L217">
        <v>215</v>
      </c>
      <c r="M217">
        <v>715</v>
      </c>
      <c r="N217">
        <v>723.625</v>
      </c>
      <c r="Q217">
        <v>9</v>
      </c>
    </row>
    <row r="218" spans="12:17" x14ac:dyDescent="0.35">
      <c r="L218">
        <v>216</v>
      </c>
      <c r="M218">
        <v>716</v>
      </c>
      <c r="N218">
        <v>707.25</v>
      </c>
      <c r="Q218">
        <v>8</v>
      </c>
    </row>
    <row r="219" spans="12:17" x14ac:dyDescent="0.35">
      <c r="L219">
        <v>217</v>
      </c>
      <c r="M219">
        <v>691</v>
      </c>
      <c r="N219">
        <v>688.125</v>
      </c>
      <c r="Q219">
        <v>6</v>
      </c>
    </row>
    <row r="220" spans="12:17" x14ac:dyDescent="0.35">
      <c r="L220">
        <v>218</v>
      </c>
      <c r="M220">
        <v>691</v>
      </c>
      <c r="N220">
        <v>670.75</v>
      </c>
      <c r="Q220">
        <v>10</v>
      </c>
    </row>
    <row r="221" spans="12:17" x14ac:dyDescent="0.35">
      <c r="L221">
        <v>219</v>
      </c>
      <c r="M221">
        <v>690</v>
      </c>
      <c r="N221">
        <v>659.125</v>
      </c>
      <c r="Q221">
        <v>8</v>
      </c>
    </row>
    <row r="222" spans="12:17" x14ac:dyDescent="0.35">
      <c r="L222">
        <v>220</v>
      </c>
      <c r="M222">
        <v>664</v>
      </c>
      <c r="N222">
        <v>635.375</v>
      </c>
      <c r="Q222">
        <v>7</v>
      </c>
    </row>
    <row r="223" spans="12:17" x14ac:dyDescent="0.35">
      <c r="L223">
        <v>221</v>
      </c>
      <c r="M223">
        <v>600</v>
      </c>
      <c r="N223">
        <v>615.5</v>
      </c>
      <c r="Q223">
        <v>9</v>
      </c>
    </row>
    <row r="224" spans="12:17" x14ac:dyDescent="0.35">
      <c r="L224">
        <v>222</v>
      </c>
      <c r="M224">
        <v>599</v>
      </c>
      <c r="N224">
        <v>592.125</v>
      </c>
      <c r="Q224">
        <v>7</v>
      </c>
    </row>
    <row r="225" spans="12:17" x14ac:dyDescent="0.35">
      <c r="L225">
        <v>223</v>
      </c>
      <c r="M225">
        <v>622</v>
      </c>
      <c r="N225">
        <v>570.375</v>
      </c>
      <c r="Q225">
        <v>7</v>
      </c>
    </row>
    <row r="226" spans="12:17" x14ac:dyDescent="0.35">
      <c r="L226">
        <v>224</v>
      </c>
      <c r="M226">
        <v>526</v>
      </c>
      <c r="N226">
        <v>546</v>
      </c>
      <c r="Q226">
        <v>6</v>
      </c>
    </row>
    <row r="227" spans="12:17" x14ac:dyDescent="0.35">
      <c r="L227">
        <v>225</v>
      </c>
      <c r="M227">
        <v>532</v>
      </c>
      <c r="N227">
        <v>527.375</v>
      </c>
      <c r="Q227">
        <v>5</v>
      </c>
    </row>
    <row r="228" spans="12:17" x14ac:dyDescent="0.35">
      <c r="L228">
        <v>226</v>
      </c>
      <c r="M228">
        <v>504</v>
      </c>
      <c r="N228">
        <v>506.875</v>
      </c>
      <c r="Q228">
        <v>6</v>
      </c>
    </row>
    <row r="229" spans="12:17" x14ac:dyDescent="0.35">
      <c r="L229">
        <v>227</v>
      </c>
      <c r="M229">
        <v>516</v>
      </c>
      <c r="N229">
        <v>480.25</v>
      </c>
      <c r="Q229">
        <v>6</v>
      </c>
    </row>
    <row r="230" spans="12:17" x14ac:dyDescent="0.35">
      <c r="L230">
        <v>228</v>
      </c>
      <c r="M230">
        <v>469</v>
      </c>
      <c r="N230">
        <v>460</v>
      </c>
      <c r="Q230">
        <v>8</v>
      </c>
    </row>
    <row r="231" spans="12:17" x14ac:dyDescent="0.35">
      <c r="L231">
        <v>229</v>
      </c>
      <c r="M231">
        <v>451</v>
      </c>
      <c r="N231">
        <v>437.625</v>
      </c>
      <c r="Q231">
        <v>8</v>
      </c>
    </row>
    <row r="232" spans="12:17" x14ac:dyDescent="0.35">
      <c r="L232">
        <v>230</v>
      </c>
      <c r="M232">
        <v>435</v>
      </c>
      <c r="N232">
        <v>420.125</v>
      </c>
      <c r="Q232">
        <v>7</v>
      </c>
    </row>
    <row r="233" spans="12:17" x14ac:dyDescent="0.35">
      <c r="L233">
        <v>231</v>
      </c>
      <c r="M233">
        <v>409</v>
      </c>
      <c r="N233">
        <v>398</v>
      </c>
      <c r="Q233">
        <v>3</v>
      </c>
    </row>
    <row r="234" spans="12:17" x14ac:dyDescent="0.35">
      <c r="L234">
        <v>232</v>
      </c>
      <c r="M234">
        <v>364</v>
      </c>
      <c r="N234">
        <v>379.75</v>
      </c>
      <c r="Q234">
        <v>6</v>
      </c>
    </row>
    <row r="235" spans="12:17" x14ac:dyDescent="0.35">
      <c r="L235">
        <v>233</v>
      </c>
      <c r="M235">
        <v>353</v>
      </c>
      <c r="N235">
        <v>359.625</v>
      </c>
      <c r="Q235">
        <v>2</v>
      </c>
    </row>
    <row r="236" spans="12:17" x14ac:dyDescent="0.35">
      <c r="L236">
        <v>234</v>
      </c>
      <c r="M236">
        <v>364</v>
      </c>
      <c r="N236">
        <v>339.625</v>
      </c>
      <c r="Q236">
        <v>4</v>
      </c>
    </row>
    <row r="237" spans="12:17" x14ac:dyDescent="0.35">
      <c r="L237">
        <v>235</v>
      </c>
      <c r="M237">
        <v>339</v>
      </c>
      <c r="N237">
        <v>318.375</v>
      </c>
      <c r="Q237">
        <v>5</v>
      </c>
    </row>
    <row r="238" spans="12:17" x14ac:dyDescent="0.35">
      <c r="L238">
        <v>236</v>
      </c>
      <c r="M238">
        <v>323</v>
      </c>
      <c r="N238">
        <v>304.875</v>
      </c>
      <c r="Q238">
        <v>5</v>
      </c>
    </row>
    <row r="239" spans="12:17" x14ac:dyDescent="0.35">
      <c r="L239">
        <v>237</v>
      </c>
      <c r="M239">
        <v>290</v>
      </c>
      <c r="N239">
        <v>286.75</v>
      </c>
      <c r="Q239">
        <v>3</v>
      </c>
    </row>
    <row r="240" spans="12:17" x14ac:dyDescent="0.35">
      <c r="L240">
        <v>238</v>
      </c>
      <c r="M240">
        <v>275</v>
      </c>
      <c r="N240">
        <v>266.625</v>
      </c>
      <c r="Q240">
        <v>7</v>
      </c>
    </row>
    <row r="241" spans="12:17" x14ac:dyDescent="0.35">
      <c r="L241">
        <v>239</v>
      </c>
      <c r="M241">
        <v>239</v>
      </c>
      <c r="N241">
        <v>247.75</v>
      </c>
      <c r="Q241">
        <v>12</v>
      </c>
    </row>
    <row r="242" spans="12:17" x14ac:dyDescent="0.35">
      <c r="L242">
        <v>240</v>
      </c>
      <c r="M242">
        <v>256</v>
      </c>
      <c r="N242">
        <v>229.25</v>
      </c>
      <c r="Q242">
        <v>9</v>
      </c>
    </row>
    <row r="243" spans="12:17" x14ac:dyDescent="0.35">
      <c r="L243">
        <v>241</v>
      </c>
      <c r="M243">
        <v>208</v>
      </c>
      <c r="N243">
        <v>213.375</v>
      </c>
      <c r="Q243">
        <v>6</v>
      </c>
    </row>
    <row r="244" spans="12:17" x14ac:dyDescent="0.35">
      <c r="L244">
        <v>242</v>
      </c>
      <c r="M244">
        <v>203</v>
      </c>
      <c r="N244">
        <v>196.875</v>
      </c>
      <c r="Q244">
        <v>12</v>
      </c>
    </row>
    <row r="245" spans="12:17" x14ac:dyDescent="0.35">
      <c r="L245">
        <v>243</v>
      </c>
      <c r="M245">
        <v>188</v>
      </c>
      <c r="N245">
        <v>183.25</v>
      </c>
      <c r="Q245">
        <v>8</v>
      </c>
    </row>
    <row r="246" spans="12:17" x14ac:dyDescent="0.35">
      <c r="L246">
        <v>244</v>
      </c>
      <c r="M246">
        <v>175</v>
      </c>
      <c r="N246">
        <v>166.25</v>
      </c>
      <c r="Q246">
        <v>6</v>
      </c>
    </row>
    <row r="247" spans="12:17" x14ac:dyDescent="0.35">
      <c r="L247">
        <v>245</v>
      </c>
      <c r="M247">
        <v>163</v>
      </c>
      <c r="N247">
        <v>155.625</v>
      </c>
      <c r="Q247">
        <v>8</v>
      </c>
    </row>
    <row r="248" spans="12:17" x14ac:dyDescent="0.35">
      <c r="L248">
        <v>246</v>
      </c>
      <c r="M248">
        <v>143</v>
      </c>
      <c r="N248">
        <v>145.5</v>
      </c>
      <c r="Q248">
        <v>6</v>
      </c>
    </row>
    <row r="249" spans="12:17" x14ac:dyDescent="0.35">
      <c r="L249">
        <v>247</v>
      </c>
      <c r="M249">
        <v>130</v>
      </c>
      <c r="N249">
        <v>134.625</v>
      </c>
      <c r="Q249">
        <v>9</v>
      </c>
    </row>
    <row r="250" spans="12:17" x14ac:dyDescent="0.35">
      <c r="L250">
        <v>248</v>
      </c>
      <c r="M250">
        <v>120</v>
      </c>
      <c r="N250">
        <v>123.5</v>
      </c>
      <c r="Q250">
        <v>6</v>
      </c>
    </row>
    <row r="251" spans="12:17" x14ac:dyDescent="0.35">
      <c r="L251">
        <v>249</v>
      </c>
      <c r="M251">
        <v>123</v>
      </c>
      <c r="N251">
        <v>113.625</v>
      </c>
      <c r="Q251">
        <v>9</v>
      </c>
    </row>
    <row r="252" spans="12:17" x14ac:dyDescent="0.35">
      <c r="L252">
        <v>250</v>
      </c>
      <c r="M252">
        <v>122</v>
      </c>
      <c r="N252">
        <v>106.25</v>
      </c>
      <c r="Q252">
        <v>5</v>
      </c>
    </row>
    <row r="253" spans="12:17" x14ac:dyDescent="0.35">
      <c r="L253">
        <v>251</v>
      </c>
      <c r="M253">
        <v>101</v>
      </c>
      <c r="N253">
        <v>98.125</v>
      </c>
      <c r="Q253">
        <v>8</v>
      </c>
    </row>
    <row r="254" spans="12:17" x14ac:dyDescent="0.35">
      <c r="L254">
        <v>252</v>
      </c>
      <c r="M254">
        <v>86</v>
      </c>
      <c r="N254">
        <v>90.75</v>
      </c>
      <c r="Q254">
        <v>3</v>
      </c>
    </row>
    <row r="255" spans="12:17" x14ac:dyDescent="0.35">
      <c r="L255">
        <v>253</v>
      </c>
      <c r="M255">
        <v>84</v>
      </c>
      <c r="N255">
        <v>81</v>
      </c>
      <c r="Q255">
        <v>4</v>
      </c>
    </row>
    <row r="256" spans="12:17" x14ac:dyDescent="0.35">
      <c r="L256">
        <v>254</v>
      </c>
      <c r="M256">
        <v>84</v>
      </c>
      <c r="N256">
        <v>71.25</v>
      </c>
      <c r="Q256">
        <v>8</v>
      </c>
    </row>
    <row r="257" spans="12:17" x14ac:dyDescent="0.35">
      <c r="L257">
        <v>255</v>
      </c>
      <c r="M257">
        <v>65</v>
      </c>
      <c r="N257">
        <v>66.25</v>
      </c>
      <c r="Q257">
        <v>4</v>
      </c>
    </row>
    <row r="258" spans="12:17" x14ac:dyDescent="0.35">
      <c r="L258">
        <v>256</v>
      </c>
      <c r="M258">
        <v>61</v>
      </c>
      <c r="N258">
        <v>61.25</v>
      </c>
      <c r="Q258">
        <v>5</v>
      </c>
    </row>
    <row r="259" spans="12:17" x14ac:dyDescent="0.35">
      <c r="L259">
        <v>257</v>
      </c>
      <c r="M259">
        <v>45</v>
      </c>
      <c r="N259">
        <v>55.75</v>
      </c>
      <c r="Q259">
        <v>4</v>
      </c>
    </row>
    <row r="260" spans="12:17" x14ac:dyDescent="0.35">
      <c r="L260">
        <v>258</v>
      </c>
      <c r="M260">
        <v>44</v>
      </c>
      <c r="N260">
        <v>51</v>
      </c>
      <c r="Q260">
        <v>6</v>
      </c>
    </row>
    <row r="261" spans="12:17" x14ac:dyDescent="0.35">
      <c r="L261">
        <v>259</v>
      </c>
      <c r="M261">
        <v>61</v>
      </c>
      <c r="N261">
        <v>46.5</v>
      </c>
      <c r="Q261">
        <v>5</v>
      </c>
    </row>
    <row r="262" spans="12:17" x14ac:dyDescent="0.35">
      <c r="L262">
        <v>260</v>
      </c>
      <c r="M262">
        <v>46</v>
      </c>
      <c r="N262">
        <v>42.5</v>
      </c>
      <c r="Q262">
        <v>10</v>
      </c>
    </row>
    <row r="263" spans="12:17" x14ac:dyDescent="0.35">
      <c r="L263">
        <v>261</v>
      </c>
      <c r="M263">
        <v>40</v>
      </c>
      <c r="N263">
        <v>41.625</v>
      </c>
      <c r="Q263">
        <v>15</v>
      </c>
    </row>
    <row r="264" spans="12:17" x14ac:dyDescent="0.35">
      <c r="L264">
        <v>262</v>
      </c>
      <c r="M264">
        <v>46</v>
      </c>
      <c r="N264">
        <v>39.5</v>
      </c>
      <c r="Q264">
        <v>6</v>
      </c>
    </row>
    <row r="265" spans="12:17" x14ac:dyDescent="0.35">
      <c r="L265">
        <v>263</v>
      </c>
      <c r="M265">
        <v>29</v>
      </c>
      <c r="N265">
        <v>34.125</v>
      </c>
      <c r="Q265">
        <v>4</v>
      </c>
    </row>
    <row r="266" spans="12:17" x14ac:dyDescent="0.35">
      <c r="L266">
        <v>264</v>
      </c>
      <c r="M266">
        <v>29</v>
      </c>
      <c r="N266">
        <v>30.75</v>
      </c>
      <c r="Q266">
        <v>5</v>
      </c>
    </row>
    <row r="267" spans="12:17" x14ac:dyDescent="0.35">
      <c r="L267">
        <v>265</v>
      </c>
      <c r="M267">
        <v>38</v>
      </c>
      <c r="N267">
        <v>28.125</v>
      </c>
      <c r="Q267">
        <v>6</v>
      </c>
    </row>
    <row r="268" spans="12:17" x14ac:dyDescent="0.35">
      <c r="L268">
        <v>266</v>
      </c>
      <c r="M268">
        <v>27</v>
      </c>
      <c r="N268">
        <v>24.625</v>
      </c>
      <c r="Q268">
        <v>8</v>
      </c>
    </row>
    <row r="269" spans="12:17" x14ac:dyDescent="0.35">
      <c r="L269">
        <v>267</v>
      </c>
      <c r="M269">
        <v>18</v>
      </c>
      <c r="N269">
        <v>22.625</v>
      </c>
      <c r="Q269">
        <v>9</v>
      </c>
    </row>
    <row r="270" spans="12:17" x14ac:dyDescent="0.35">
      <c r="L270">
        <v>268</v>
      </c>
      <c r="M270">
        <v>19</v>
      </c>
      <c r="N270">
        <v>21.875</v>
      </c>
      <c r="Q270">
        <v>8</v>
      </c>
    </row>
    <row r="271" spans="12:17" x14ac:dyDescent="0.35">
      <c r="L271">
        <v>269</v>
      </c>
      <c r="M271">
        <v>19</v>
      </c>
      <c r="N271">
        <v>18.75</v>
      </c>
      <c r="Q271">
        <v>4</v>
      </c>
    </row>
    <row r="272" spans="12:17" x14ac:dyDescent="0.35">
      <c r="L272">
        <v>270</v>
      </c>
      <c r="M272">
        <v>18</v>
      </c>
      <c r="N272">
        <v>17.375</v>
      </c>
      <c r="Q272">
        <v>9</v>
      </c>
    </row>
    <row r="273" spans="12:17" x14ac:dyDescent="0.35">
      <c r="L273">
        <v>271</v>
      </c>
      <c r="M273">
        <v>13</v>
      </c>
      <c r="N273">
        <v>16.25</v>
      </c>
      <c r="Q273">
        <v>5</v>
      </c>
    </row>
    <row r="274" spans="12:17" x14ac:dyDescent="0.35">
      <c r="L274">
        <v>272</v>
      </c>
      <c r="M274">
        <v>23</v>
      </c>
      <c r="N274">
        <v>15.625</v>
      </c>
      <c r="Q274">
        <v>10</v>
      </c>
    </row>
    <row r="275" spans="12:17" x14ac:dyDescent="0.35">
      <c r="L275">
        <v>273</v>
      </c>
      <c r="M275">
        <v>13</v>
      </c>
      <c r="N275">
        <v>15.125</v>
      </c>
      <c r="Q275">
        <v>10</v>
      </c>
    </row>
    <row r="276" spans="12:17" x14ac:dyDescent="0.35">
      <c r="L276">
        <v>274</v>
      </c>
      <c r="M276">
        <v>16</v>
      </c>
      <c r="N276">
        <v>13.875</v>
      </c>
      <c r="Q276">
        <v>5</v>
      </c>
    </row>
    <row r="277" spans="12:17" x14ac:dyDescent="0.35">
      <c r="L277">
        <v>275</v>
      </c>
      <c r="M277">
        <v>9</v>
      </c>
      <c r="N277">
        <v>13</v>
      </c>
      <c r="Q277">
        <v>8</v>
      </c>
    </row>
    <row r="278" spans="12:17" x14ac:dyDescent="0.35">
      <c r="L278">
        <v>276</v>
      </c>
      <c r="M278">
        <v>14</v>
      </c>
      <c r="N278">
        <v>11.625</v>
      </c>
      <c r="Q278">
        <v>3</v>
      </c>
    </row>
    <row r="279" spans="12:17" x14ac:dyDescent="0.35">
      <c r="L279">
        <v>277</v>
      </c>
      <c r="M279">
        <v>15</v>
      </c>
      <c r="N279">
        <v>10.75</v>
      </c>
      <c r="Q279">
        <v>9</v>
      </c>
    </row>
    <row r="280" spans="12:17" x14ac:dyDescent="0.35">
      <c r="L280">
        <v>278</v>
      </c>
      <c r="M280">
        <v>8</v>
      </c>
      <c r="N280">
        <v>9.75</v>
      </c>
      <c r="Q280">
        <v>5</v>
      </c>
    </row>
    <row r="281" spans="12:17" x14ac:dyDescent="0.35">
      <c r="L281">
        <v>279</v>
      </c>
      <c r="M281">
        <v>6</v>
      </c>
      <c r="N281">
        <v>9.375</v>
      </c>
      <c r="Q281">
        <v>9</v>
      </c>
    </row>
    <row r="282" spans="12:17" x14ac:dyDescent="0.35">
      <c r="L282">
        <v>280</v>
      </c>
      <c r="M282">
        <v>12</v>
      </c>
      <c r="N282">
        <v>9</v>
      </c>
      <c r="Q282">
        <v>3</v>
      </c>
    </row>
    <row r="283" spans="12:17" x14ac:dyDescent="0.35">
      <c r="L283">
        <v>281</v>
      </c>
      <c r="M283">
        <v>6</v>
      </c>
      <c r="N283">
        <v>8.125</v>
      </c>
      <c r="Q283">
        <v>7</v>
      </c>
    </row>
    <row r="284" spans="12:17" x14ac:dyDescent="0.35">
      <c r="L284">
        <v>282</v>
      </c>
      <c r="M284">
        <v>8</v>
      </c>
      <c r="N284">
        <v>7.875</v>
      </c>
      <c r="Q284">
        <v>5</v>
      </c>
    </row>
    <row r="285" spans="12:17" x14ac:dyDescent="0.35">
      <c r="L285">
        <v>283</v>
      </c>
      <c r="M285">
        <v>6</v>
      </c>
      <c r="N285">
        <v>8</v>
      </c>
      <c r="Q285">
        <v>5</v>
      </c>
    </row>
    <row r="286" spans="12:17" x14ac:dyDescent="0.35">
      <c r="L286">
        <v>284</v>
      </c>
      <c r="M286">
        <v>11</v>
      </c>
      <c r="N286">
        <v>7.625</v>
      </c>
      <c r="Q286">
        <v>10</v>
      </c>
    </row>
    <row r="287" spans="12:17" x14ac:dyDescent="0.35">
      <c r="L287">
        <v>285</v>
      </c>
      <c r="M287">
        <v>8</v>
      </c>
      <c r="N287">
        <v>7.375</v>
      </c>
      <c r="Q287">
        <v>6</v>
      </c>
    </row>
    <row r="288" spans="12:17" x14ac:dyDescent="0.35">
      <c r="L288">
        <v>286</v>
      </c>
      <c r="M288">
        <v>6</v>
      </c>
      <c r="N288">
        <v>6.875</v>
      </c>
      <c r="Q288">
        <v>7</v>
      </c>
    </row>
    <row r="289" spans="12:17" x14ac:dyDescent="0.35">
      <c r="L289">
        <v>287</v>
      </c>
      <c r="M289">
        <v>7</v>
      </c>
      <c r="N289">
        <v>6.875</v>
      </c>
      <c r="Q289">
        <v>10</v>
      </c>
    </row>
    <row r="290" spans="12:17" x14ac:dyDescent="0.35">
      <c r="L290">
        <v>288</v>
      </c>
      <c r="M290">
        <v>9</v>
      </c>
      <c r="N290">
        <v>6.125</v>
      </c>
      <c r="Q290">
        <v>5</v>
      </c>
    </row>
    <row r="291" spans="12:17" x14ac:dyDescent="0.35">
      <c r="L291">
        <v>289</v>
      </c>
      <c r="M291">
        <v>4</v>
      </c>
      <c r="N291">
        <v>5.25</v>
      </c>
      <c r="Q291">
        <v>6</v>
      </c>
    </row>
    <row r="292" spans="12:17" x14ac:dyDescent="0.35">
      <c r="L292">
        <v>290</v>
      </c>
      <c r="M292">
        <v>4</v>
      </c>
      <c r="N292">
        <v>5.5</v>
      </c>
      <c r="Q292">
        <v>6</v>
      </c>
    </row>
    <row r="293" spans="12:17" x14ac:dyDescent="0.35">
      <c r="L293">
        <v>291</v>
      </c>
      <c r="M293">
        <v>6</v>
      </c>
      <c r="N293">
        <v>4.875</v>
      </c>
      <c r="Q293">
        <v>6</v>
      </c>
    </row>
    <row r="294" spans="12:17" x14ac:dyDescent="0.35">
      <c r="L294">
        <v>292</v>
      </c>
      <c r="M294">
        <v>5</v>
      </c>
      <c r="N294">
        <v>4.25</v>
      </c>
      <c r="Q294">
        <v>7</v>
      </c>
    </row>
    <row r="295" spans="12:17" x14ac:dyDescent="0.35">
      <c r="L295">
        <v>293</v>
      </c>
      <c r="M295">
        <v>1</v>
      </c>
      <c r="N295">
        <v>4.25</v>
      </c>
      <c r="Q295">
        <v>6</v>
      </c>
    </row>
    <row r="296" spans="12:17" x14ac:dyDescent="0.35">
      <c r="L296">
        <v>294</v>
      </c>
      <c r="M296">
        <v>8</v>
      </c>
      <c r="N296">
        <v>3.75</v>
      </c>
      <c r="Q296">
        <v>9</v>
      </c>
    </row>
    <row r="297" spans="12:17" x14ac:dyDescent="0.35">
      <c r="L297">
        <v>295</v>
      </c>
      <c r="M297">
        <v>2</v>
      </c>
      <c r="N297">
        <v>3.625</v>
      </c>
      <c r="Q297">
        <v>8</v>
      </c>
    </row>
    <row r="298" spans="12:17" x14ac:dyDescent="0.35">
      <c r="L298">
        <v>296</v>
      </c>
      <c r="M298">
        <v>4</v>
      </c>
      <c r="N298">
        <v>3.375</v>
      </c>
      <c r="Q298">
        <v>10</v>
      </c>
    </row>
    <row r="299" spans="12:17" x14ac:dyDescent="0.35">
      <c r="L299">
        <v>297</v>
      </c>
      <c r="M299">
        <v>4</v>
      </c>
      <c r="N299">
        <v>3.5</v>
      </c>
      <c r="Q299">
        <v>8</v>
      </c>
    </row>
    <row r="300" spans="12:17" x14ac:dyDescent="0.35">
      <c r="L300">
        <v>298</v>
      </c>
      <c r="M300">
        <v>0</v>
      </c>
      <c r="N300">
        <v>3.25</v>
      </c>
      <c r="Q300">
        <v>8</v>
      </c>
    </row>
    <row r="301" spans="12:17" x14ac:dyDescent="0.35">
      <c r="L301">
        <v>299</v>
      </c>
      <c r="M301">
        <v>5</v>
      </c>
      <c r="N301">
        <v>3.25</v>
      </c>
      <c r="Q301">
        <v>8</v>
      </c>
    </row>
    <row r="302" spans="12:17" x14ac:dyDescent="0.35">
      <c r="L302">
        <v>300</v>
      </c>
      <c r="M302">
        <v>3</v>
      </c>
      <c r="N302">
        <v>3</v>
      </c>
      <c r="Q302">
        <v>12</v>
      </c>
    </row>
    <row r="303" spans="12:17" x14ac:dyDescent="0.35">
      <c r="L303">
        <v>301</v>
      </c>
      <c r="M303">
        <v>2</v>
      </c>
      <c r="N303">
        <v>2.75</v>
      </c>
      <c r="Q303">
        <v>8</v>
      </c>
    </row>
    <row r="304" spans="12:17" x14ac:dyDescent="0.35">
      <c r="L304">
        <v>302</v>
      </c>
      <c r="M304">
        <v>6</v>
      </c>
      <c r="N304">
        <v>2.875</v>
      </c>
      <c r="Q304">
        <v>11</v>
      </c>
    </row>
    <row r="305" spans="12:17" x14ac:dyDescent="0.35">
      <c r="L305">
        <v>303</v>
      </c>
      <c r="M305">
        <v>2</v>
      </c>
      <c r="N305">
        <v>2.5</v>
      </c>
      <c r="Q305">
        <v>10</v>
      </c>
    </row>
    <row r="306" spans="12:17" x14ac:dyDescent="0.35">
      <c r="L306">
        <v>304</v>
      </c>
      <c r="M306">
        <v>2</v>
      </c>
      <c r="N306">
        <v>2.625</v>
      </c>
      <c r="Q306">
        <v>15</v>
      </c>
    </row>
    <row r="307" spans="12:17" x14ac:dyDescent="0.35">
      <c r="L307">
        <v>305</v>
      </c>
      <c r="M307">
        <v>2</v>
      </c>
      <c r="N307">
        <v>2.625</v>
      </c>
      <c r="Q307">
        <v>10</v>
      </c>
    </row>
    <row r="308" spans="12:17" x14ac:dyDescent="0.35">
      <c r="L308">
        <v>306</v>
      </c>
      <c r="M308">
        <v>1</v>
      </c>
      <c r="N308">
        <v>2</v>
      </c>
      <c r="Q308">
        <v>16</v>
      </c>
    </row>
    <row r="309" spans="12:17" x14ac:dyDescent="0.35">
      <c r="L309">
        <v>307</v>
      </c>
      <c r="M309">
        <v>2</v>
      </c>
      <c r="N309">
        <v>2</v>
      </c>
      <c r="Q309">
        <v>11</v>
      </c>
    </row>
    <row r="310" spans="12:17" x14ac:dyDescent="0.35">
      <c r="L310">
        <v>308</v>
      </c>
      <c r="M310">
        <v>4</v>
      </c>
      <c r="N310">
        <v>2</v>
      </c>
      <c r="Q310">
        <v>12</v>
      </c>
    </row>
    <row r="311" spans="12:17" x14ac:dyDescent="0.35">
      <c r="L311">
        <v>309</v>
      </c>
      <c r="M311">
        <v>2</v>
      </c>
      <c r="N311">
        <v>2</v>
      </c>
      <c r="Q311">
        <v>13</v>
      </c>
    </row>
    <row r="312" spans="12:17" x14ac:dyDescent="0.35">
      <c r="L312">
        <v>310</v>
      </c>
      <c r="M312">
        <v>1</v>
      </c>
      <c r="N312">
        <v>2.375</v>
      </c>
      <c r="Q312">
        <v>16</v>
      </c>
    </row>
    <row r="313" spans="12:17" x14ac:dyDescent="0.35">
      <c r="L313">
        <v>311</v>
      </c>
      <c r="M313">
        <v>2</v>
      </c>
      <c r="N313">
        <v>2.5</v>
      </c>
      <c r="Q313">
        <v>11</v>
      </c>
    </row>
    <row r="314" spans="12:17" x14ac:dyDescent="0.35">
      <c r="L314">
        <v>312</v>
      </c>
      <c r="M314">
        <v>2</v>
      </c>
      <c r="N314">
        <v>2.25</v>
      </c>
      <c r="Q314">
        <v>18</v>
      </c>
    </row>
    <row r="315" spans="12:17" x14ac:dyDescent="0.35">
      <c r="L315">
        <v>313</v>
      </c>
      <c r="M315">
        <v>2</v>
      </c>
      <c r="N315">
        <v>2.375</v>
      </c>
      <c r="Q315">
        <v>11</v>
      </c>
    </row>
    <row r="316" spans="12:17" x14ac:dyDescent="0.35">
      <c r="L316">
        <v>314</v>
      </c>
      <c r="M316">
        <v>4</v>
      </c>
      <c r="N316">
        <v>2.625</v>
      </c>
      <c r="Q316">
        <v>10</v>
      </c>
    </row>
    <row r="317" spans="12:17" x14ac:dyDescent="0.35">
      <c r="L317">
        <v>315</v>
      </c>
      <c r="M317">
        <v>3</v>
      </c>
      <c r="N317">
        <v>3.125</v>
      </c>
      <c r="Q317">
        <v>16</v>
      </c>
    </row>
    <row r="318" spans="12:17" x14ac:dyDescent="0.35">
      <c r="L318">
        <v>316</v>
      </c>
      <c r="M318">
        <v>2</v>
      </c>
      <c r="N318">
        <v>3.625</v>
      </c>
      <c r="Q318">
        <v>13</v>
      </c>
    </row>
    <row r="319" spans="12:17" x14ac:dyDescent="0.35">
      <c r="L319">
        <v>317</v>
      </c>
      <c r="M319">
        <v>3</v>
      </c>
      <c r="N319">
        <v>3.75</v>
      </c>
      <c r="Q319">
        <v>11</v>
      </c>
    </row>
    <row r="320" spans="12:17" x14ac:dyDescent="0.35">
      <c r="L320">
        <v>318</v>
      </c>
      <c r="M320">
        <v>3</v>
      </c>
      <c r="N320">
        <v>3.625</v>
      </c>
      <c r="Q320">
        <v>16</v>
      </c>
    </row>
    <row r="321" spans="12:17" x14ac:dyDescent="0.35">
      <c r="L321">
        <v>319</v>
      </c>
      <c r="M321">
        <v>6</v>
      </c>
      <c r="N321">
        <v>3.75</v>
      </c>
      <c r="Q321">
        <v>15</v>
      </c>
    </row>
    <row r="322" spans="12:17" x14ac:dyDescent="0.35">
      <c r="L322">
        <v>320</v>
      </c>
      <c r="M322">
        <v>6</v>
      </c>
      <c r="N322">
        <v>3.875</v>
      </c>
      <c r="Q322">
        <v>17</v>
      </c>
    </row>
    <row r="323" spans="12:17" x14ac:dyDescent="0.35">
      <c r="L323">
        <v>321</v>
      </c>
      <c r="M323">
        <v>3</v>
      </c>
      <c r="N323">
        <v>3.75</v>
      </c>
      <c r="Q323">
        <v>17</v>
      </c>
    </row>
    <row r="324" spans="12:17" x14ac:dyDescent="0.35">
      <c r="L324">
        <v>322</v>
      </c>
      <c r="M324">
        <v>3</v>
      </c>
      <c r="N324">
        <v>3.75</v>
      </c>
      <c r="Q324">
        <v>16</v>
      </c>
    </row>
    <row r="325" spans="12:17" x14ac:dyDescent="0.35">
      <c r="L325">
        <v>323</v>
      </c>
      <c r="M325">
        <v>4</v>
      </c>
      <c r="N325">
        <v>3.75</v>
      </c>
      <c r="Q325">
        <v>22</v>
      </c>
    </row>
    <row r="326" spans="12:17" x14ac:dyDescent="0.35">
      <c r="L326">
        <v>324</v>
      </c>
      <c r="M326">
        <v>3</v>
      </c>
      <c r="N326">
        <v>3.375</v>
      </c>
      <c r="Q326">
        <v>17</v>
      </c>
    </row>
    <row r="327" spans="12:17" x14ac:dyDescent="0.35">
      <c r="L327">
        <v>325</v>
      </c>
      <c r="M327">
        <v>2</v>
      </c>
      <c r="N327">
        <v>3.5</v>
      </c>
      <c r="Q327">
        <v>25</v>
      </c>
    </row>
    <row r="328" spans="12:17" x14ac:dyDescent="0.35">
      <c r="L328">
        <v>326</v>
      </c>
      <c r="M328">
        <v>3</v>
      </c>
      <c r="N328">
        <v>3.75</v>
      </c>
      <c r="Q328">
        <v>16</v>
      </c>
    </row>
    <row r="329" spans="12:17" x14ac:dyDescent="0.35">
      <c r="L329">
        <v>327</v>
      </c>
      <c r="M329">
        <v>6</v>
      </c>
      <c r="N329">
        <v>4.125</v>
      </c>
      <c r="Q329">
        <v>20</v>
      </c>
    </row>
    <row r="330" spans="12:17" x14ac:dyDescent="0.35">
      <c r="L330">
        <v>328</v>
      </c>
      <c r="M330">
        <v>3</v>
      </c>
      <c r="N330">
        <v>4.125</v>
      </c>
      <c r="Q330">
        <v>20</v>
      </c>
    </row>
    <row r="331" spans="12:17" x14ac:dyDescent="0.35">
      <c r="L331">
        <v>329</v>
      </c>
      <c r="M331">
        <v>4</v>
      </c>
      <c r="N331">
        <v>4.75</v>
      </c>
      <c r="Q331">
        <v>31</v>
      </c>
    </row>
    <row r="332" spans="12:17" x14ac:dyDescent="0.35">
      <c r="L332">
        <v>330</v>
      </c>
      <c r="M332">
        <v>5</v>
      </c>
      <c r="N332">
        <v>5.125</v>
      </c>
      <c r="Q332">
        <v>27</v>
      </c>
    </row>
    <row r="333" spans="12:17" x14ac:dyDescent="0.35">
      <c r="L333">
        <v>331</v>
      </c>
      <c r="M333">
        <v>7</v>
      </c>
      <c r="N333">
        <v>4.875</v>
      </c>
      <c r="Q333">
        <v>21</v>
      </c>
    </row>
    <row r="334" spans="12:17" x14ac:dyDescent="0.35">
      <c r="L334">
        <v>332</v>
      </c>
      <c r="M334">
        <v>3</v>
      </c>
      <c r="N334">
        <v>5</v>
      </c>
      <c r="Q334">
        <v>19</v>
      </c>
    </row>
    <row r="335" spans="12:17" x14ac:dyDescent="0.35">
      <c r="L335">
        <v>333</v>
      </c>
      <c r="M335">
        <v>7</v>
      </c>
      <c r="N335">
        <v>5.125</v>
      </c>
      <c r="Q335">
        <v>27</v>
      </c>
    </row>
    <row r="336" spans="12:17" x14ac:dyDescent="0.35">
      <c r="L336">
        <v>334</v>
      </c>
      <c r="M336">
        <v>6</v>
      </c>
      <c r="N336">
        <v>4.625</v>
      </c>
      <c r="Q336">
        <v>33</v>
      </c>
    </row>
    <row r="337" spans="12:17" x14ac:dyDescent="0.35">
      <c r="L337">
        <v>335</v>
      </c>
      <c r="M337">
        <v>4</v>
      </c>
      <c r="N337">
        <v>4.125</v>
      </c>
      <c r="Q337">
        <v>32</v>
      </c>
    </row>
    <row r="338" spans="12:17" x14ac:dyDescent="0.35">
      <c r="L338">
        <v>336</v>
      </c>
      <c r="M338">
        <v>4</v>
      </c>
      <c r="N338">
        <v>4.125</v>
      </c>
      <c r="Q338">
        <v>26</v>
      </c>
    </row>
    <row r="339" spans="12:17" x14ac:dyDescent="0.35">
      <c r="L339">
        <v>337</v>
      </c>
      <c r="M339">
        <v>5</v>
      </c>
      <c r="N339">
        <v>3.375</v>
      </c>
      <c r="Q339">
        <v>29</v>
      </c>
    </row>
    <row r="340" spans="12:17" x14ac:dyDescent="0.35">
      <c r="L340">
        <v>338</v>
      </c>
      <c r="M340">
        <v>1</v>
      </c>
      <c r="N340">
        <v>2.875</v>
      </c>
      <c r="Q340">
        <v>30</v>
      </c>
    </row>
    <row r="341" spans="12:17" x14ac:dyDescent="0.35">
      <c r="L341">
        <v>339</v>
      </c>
      <c r="M341">
        <v>3</v>
      </c>
      <c r="N341">
        <v>2.625</v>
      </c>
      <c r="Q341">
        <v>38</v>
      </c>
    </row>
    <row r="342" spans="12:17" x14ac:dyDescent="0.35">
      <c r="L342">
        <v>340</v>
      </c>
      <c r="M342">
        <v>3</v>
      </c>
      <c r="N342">
        <v>3.25</v>
      </c>
      <c r="Q342">
        <v>35</v>
      </c>
    </row>
    <row r="343" spans="12:17" x14ac:dyDescent="0.35">
      <c r="L343">
        <v>341</v>
      </c>
      <c r="M343">
        <v>1</v>
      </c>
      <c r="N343">
        <v>3.375</v>
      </c>
      <c r="Q343">
        <v>45</v>
      </c>
    </row>
    <row r="344" spans="12:17" x14ac:dyDescent="0.35">
      <c r="L344">
        <v>342</v>
      </c>
      <c r="M344">
        <v>2</v>
      </c>
      <c r="N344">
        <v>3.375</v>
      </c>
      <c r="Q344">
        <v>46</v>
      </c>
    </row>
    <row r="345" spans="12:17" x14ac:dyDescent="0.35">
      <c r="L345">
        <v>343</v>
      </c>
      <c r="M345">
        <v>2</v>
      </c>
      <c r="N345">
        <v>3.625</v>
      </c>
      <c r="Q345">
        <v>28</v>
      </c>
    </row>
    <row r="346" spans="12:17" x14ac:dyDescent="0.35">
      <c r="L346">
        <v>344</v>
      </c>
      <c r="M346">
        <v>9</v>
      </c>
      <c r="N346">
        <v>3.5</v>
      </c>
      <c r="Q346">
        <v>52</v>
      </c>
    </row>
    <row r="347" spans="12:17" x14ac:dyDescent="0.35">
      <c r="L347">
        <v>345</v>
      </c>
      <c r="M347">
        <v>6</v>
      </c>
      <c r="N347">
        <v>4</v>
      </c>
      <c r="Q347">
        <v>39</v>
      </c>
    </row>
    <row r="348" spans="12:17" x14ac:dyDescent="0.35">
      <c r="L348">
        <v>346</v>
      </c>
      <c r="M348">
        <v>1</v>
      </c>
      <c r="N348">
        <v>4.875</v>
      </c>
      <c r="Q348">
        <v>47</v>
      </c>
    </row>
    <row r="349" spans="12:17" x14ac:dyDescent="0.35">
      <c r="L349">
        <v>347</v>
      </c>
      <c r="M349">
        <v>5</v>
      </c>
      <c r="N349">
        <v>5</v>
      </c>
      <c r="Q349">
        <v>62</v>
      </c>
    </row>
    <row r="350" spans="12:17" x14ac:dyDescent="0.35">
      <c r="L350">
        <v>348</v>
      </c>
      <c r="M350">
        <v>2</v>
      </c>
      <c r="N350">
        <v>4.375</v>
      </c>
      <c r="Q350">
        <v>59</v>
      </c>
    </row>
    <row r="351" spans="12:17" x14ac:dyDescent="0.35">
      <c r="L351">
        <v>349</v>
      </c>
      <c r="M351">
        <v>5</v>
      </c>
      <c r="N351">
        <v>4.75</v>
      </c>
      <c r="Q351">
        <v>51</v>
      </c>
    </row>
    <row r="352" spans="12:17" x14ac:dyDescent="0.35">
      <c r="L352">
        <v>350</v>
      </c>
      <c r="M352">
        <v>9</v>
      </c>
      <c r="N352">
        <v>5</v>
      </c>
      <c r="Q352">
        <v>48</v>
      </c>
    </row>
    <row r="353" spans="12:17" x14ac:dyDescent="0.35">
      <c r="L353">
        <v>351</v>
      </c>
      <c r="M353">
        <v>3</v>
      </c>
      <c r="N353">
        <v>4.875</v>
      </c>
      <c r="Q353">
        <v>62</v>
      </c>
    </row>
    <row r="354" spans="12:17" x14ac:dyDescent="0.35">
      <c r="L354">
        <v>352</v>
      </c>
      <c r="M354">
        <v>4</v>
      </c>
      <c r="N354">
        <v>5.375</v>
      </c>
      <c r="Q354">
        <v>58</v>
      </c>
    </row>
    <row r="355" spans="12:17" x14ac:dyDescent="0.35">
      <c r="L355">
        <v>353</v>
      </c>
      <c r="M355">
        <v>9</v>
      </c>
      <c r="N355">
        <v>5.125</v>
      </c>
      <c r="Q355">
        <v>57</v>
      </c>
    </row>
    <row r="356" spans="12:17" x14ac:dyDescent="0.35">
      <c r="L356">
        <v>354</v>
      </c>
      <c r="M356">
        <v>3</v>
      </c>
      <c r="N356">
        <v>4.875</v>
      </c>
      <c r="Q356">
        <v>77</v>
      </c>
    </row>
    <row r="357" spans="12:17" x14ac:dyDescent="0.35">
      <c r="L357">
        <v>355</v>
      </c>
      <c r="M357">
        <v>4</v>
      </c>
      <c r="N357">
        <v>4.75</v>
      </c>
      <c r="Q357">
        <v>65</v>
      </c>
    </row>
    <row r="358" spans="12:17" x14ac:dyDescent="0.35">
      <c r="L358">
        <v>356</v>
      </c>
      <c r="M358">
        <v>6</v>
      </c>
      <c r="N358">
        <v>5</v>
      </c>
      <c r="Q358">
        <v>77</v>
      </c>
    </row>
    <row r="359" spans="12:17" x14ac:dyDescent="0.35">
      <c r="L359">
        <v>357</v>
      </c>
      <c r="M359">
        <v>3</v>
      </c>
      <c r="N359">
        <v>4</v>
      </c>
      <c r="Q359">
        <v>67</v>
      </c>
    </row>
    <row r="360" spans="12:17" x14ac:dyDescent="0.35">
      <c r="L360">
        <v>358</v>
      </c>
      <c r="M360">
        <v>7</v>
      </c>
      <c r="N360">
        <v>4.75</v>
      </c>
      <c r="Q360">
        <v>81</v>
      </c>
    </row>
    <row r="361" spans="12:17" x14ac:dyDescent="0.35">
      <c r="L361">
        <v>359</v>
      </c>
      <c r="M361">
        <v>2</v>
      </c>
      <c r="N361">
        <v>5.125</v>
      </c>
      <c r="Q361">
        <v>80</v>
      </c>
    </row>
    <row r="362" spans="12:17" x14ac:dyDescent="0.35">
      <c r="L362">
        <v>360</v>
      </c>
      <c r="M362">
        <v>6</v>
      </c>
      <c r="N362">
        <v>4.875</v>
      </c>
      <c r="Q362">
        <v>62</v>
      </c>
    </row>
    <row r="363" spans="12:17" x14ac:dyDescent="0.35">
      <c r="L363">
        <v>361</v>
      </c>
      <c r="M363">
        <v>1</v>
      </c>
      <c r="N363">
        <v>5.75</v>
      </c>
      <c r="Q363">
        <v>86</v>
      </c>
    </row>
    <row r="364" spans="12:17" x14ac:dyDescent="0.35">
      <c r="L364">
        <v>362</v>
      </c>
      <c r="M364">
        <v>9</v>
      </c>
      <c r="N364">
        <v>6.125</v>
      </c>
      <c r="Q364">
        <v>100</v>
      </c>
    </row>
    <row r="365" spans="12:17" x14ac:dyDescent="0.35">
      <c r="L365">
        <v>363</v>
      </c>
      <c r="M365">
        <v>7</v>
      </c>
      <c r="N365">
        <v>6.875</v>
      </c>
      <c r="Q365">
        <v>77</v>
      </c>
    </row>
    <row r="366" spans="12:17" x14ac:dyDescent="0.35">
      <c r="L366">
        <v>364</v>
      </c>
      <c r="M366">
        <v>4</v>
      </c>
      <c r="N366">
        <v>6.625</v>
      </c>
      <c r="Q366">
        <v>91</v>
      </c>
    </row>
    <row r="367" spans="12:17" x14ac:dyDescent="0.35">
      <c r="L367">
        <v>365</v>
      </c>
      <c r="M367">
        <v>10</v>
      </c>
      <c r="N367">
        <v>7.375</v>
      </c>
      <c r="Q367">
        <v>96</v>
      </c>
    </row>
    <row r="368" spans="12:17" x14ac:dyDescent="0.35">
      <c r="L368">
        <v>366</v>
      </c>
      <c r="M368">
        <v>10</v>
      </c>
      <c r="N368">
        <v>6.875</v>
      </c>
      <c r="Q368">
        <v>98</v>
      </c>
    </row>
    <row r="369" spans="12:17" x14ac:dyDescent="0.35">
      <c r="L369">
        <v>367</v>
      </c>
      <c r="M369">
        <v>8</v>
      </c>
      <c r="N369">
        <v>6.75</v>
      </c>
      <c r="Q369">
        <v>97</v>
      </c>
    </row>
    <row r="370" spans="12:17" x14ac:dyDescent="0.35">
      <c r="L370">
        <v>368</v>
      </c>
      <c r="M370">
        <v>4</v>
      </c>
      <c r="N370">
        <v>6.75</v>
      </c>
      <c r="Q370">
        <v>115</v>
      </c>
    </row>
    <row r="371" spans="12:17" x14ac:dyDescent="0.35">
      <c r="L371">
        <v>369</v>
      </c>
      <c r="M371">
        <v>7</v>
      </c>
      <c r="N371">
        <v>6.25</v>
      </c>
      <c r="Q371">
        <v>106</v>
      </c>
    </row>
    <row r="372" spans="12:17" x14ac:dyDescent="0.35">
      <c r="L372">
        <v>370</v>
      </c>
      <c r="M372">
        <v>5</v>
      </c>
      <c r="N372">
        <v>6.125</v>
      </c>
      <c r="Q372">
        <v>118</v>
      </c>
    </row>
    <row r="373" spans="12:17" x14ac:dyDescent="0.35">
      <c r="L373">
        <v>371</v>
      </c>
      <c r="M373">
        <v>6</v>
      </c>
      <c r="N373">
        <v>5.875</v>
      </c>
      <c r="Q373">
        <v>114</v>
      </c>
    </row>
    <row r="374" spans="12:17" x14ac:dyDescent="0.35">
      <c r="L374">
        <v>372</v>
      </c>
      <c r="M374">
        <v>4</v>
      </c>
      <c r="N374">
        <v>5.375</v>
      </c>
      <c r="Q374">
        <v>127</v>
      </c>
    </row>
    <row r="375" spans="12:17" x14ac:dyDescent="0.35">
      <c r="L375">
        <v>373</v>
      </c>
      <c r="M375">
        <v>6</v>
      </c>
      <c r="N375">
        <v>4.875</v>
      </c>
      <c r="Q375">
        <v>142</v>
      </c>
    </row>
    <row r="376" spans="12:17" x14ac:dyDescent="0.35">
      <c r="L376">
        <v>374</v>
      </c>
      <c r="M376">
        <v>9</v>
      </c>
      <c r="N376">
        <v>5.125</v>
      </c>
      <c r="Q376">
        <v>117</v>
      </c>
    </row>
    <row r="377" spans="12:17" x14ac:dyDescent="0.35">
      <c r="L377">
        <v>375</v>
      </c>
      <c r="M377">
        <v>6</v>
      </c>
      <c r="N377">
        <v>4.75</v>
      </c>
      <c r="Q377">
        <v>148</v>
      </c>
    </row>
    <row r="378" spans="12:17" x14ac:dyDescent="0.35">
      <c r="L378">
        <v>376</v>
      </c>
      <c r="M378">
        <v>0</v>
      </c>
      <c r="N378">
        <v>4.875</v>
      </c>
      <c r="Q378">
        <v>143</v>
      </c>
    </row>
    <row r="379" spans="12:17" x14ac:dyDescent="0.35">
      <c r="L379">
        <v>377</v>
      </c>
      <c r="M379">
        <v>3</v>
      </c>
      <c r="N379">
        <v>5</v>
      </c>
      <c r="Q379">
        <v>148</v>
      </c>
    </row>
    <row r="380" spans="12:17" x14ac:dyDescent="0.35">
      <c r="L380">
        <v>378</v>
      </c>
      <c r="M380">
        <v>7</v>
      </c>
      <c r="N380">
        <v>4.625</v>
      </c>
      <c r="Q380">
        <v>174</v>
      </c>
    </row>
    <row r="381" spans="12:17" x14ac:dyDescent="0.35">
      <c r="L381">
        <v>379</v>
      </c>
      <c r="M381">
        <v>3</v>
      </c>
      <c r="N381">
        <v>4.875</v>
      </c>
      <c r="Q381">
        <v>181</v>
      </c>
    </row>
    <row r="382" spans="12:17" x14ac:dyDescent="0.35">
      <c r="L382">
        <v>380</v>
      </c>
      <c r="M382">
        <v>5</v>
      </c>
      <c r="N382">
        <v>5.5</v>
      </c>
      <c r="Q382">
        <v>181</v>
      </c>
    </row>
    <row r="383" spans="12:17" x14ac:dyDescent="0.35">
      <c r="L383">
        <v>381</v>
      </c>
      <c r="M383">
        <v>7</v>
      </c>
      <c r="N383">
        <v>5.875</v>
      </c>
      <c r="Q383">
        <v>178</v>
      </c>
    </row>
    <row r="384" spans="12:17" x14ac:dyDescent="0.35">
      <c r="L384">
        <v>382</v>
      </c>
      <c r="M384">
        <v>6</v>
      </c>
      <c r="N384">
        <v>6</v>
      </c>
      <c r="Q384">
        <v>192</v>
      </c>
    </row>
    <row r="385" spans="12:17" x14ac:dyDescent="0.35">
      <c r="L385">
        <v>383</v>
      </c>
      <c r="M385">
        <v>8</v>
      </c>
      <c r="N385">
        <v>6.25</v>
      </c>
      <c r="Q385">
        <v>210</v>
      </c>
    </row>
    <row r="386" spans="12:17" x14ac:dyDescent="0.35">
      <c r="L386">
        <v>384</v>
      </c>
      <c r="M386">
        <v>5</v>
      </c>
      <c r="N386">
        <v>5.875</v>
      </c>
      <c r="Q386">
        <v>218</v>
      </c>
    </row>
    <row r="387" spans="12:17" x14ac:dyDescent="0.35">
      <c r="L387">
        <v>385</v>
      </c>
      <c r="M387">
        <v>6</v>
      </c>
      <c r="N387">
        <v>6.25</v>
      </c>
      <c r="Q387">
        <v>193</v>
      </c>
    </row>
    <row r="388" spans="12:17" x14ac:dyDescent="0.35">
      <c r="L388">
        <v>386</v>
      </c>
      <c r="M388">
        <v>8</v>
      </c>
      <c r="N388">
        <v>6.375</v>
      </c>
      <c r="Q388">
        <v>221</v>
      </c>
    </row>
    <row r="389" spans="12:17" x14ac:dyDescent="0.35">
      <c r="L389">
        <v>387</v>
      </c>
      <c r="M389">
        <v>5</v>
      </c>
      <c r="N389">
        <v>5.625</v>
      </c>
      <c r="Q389">
        <v>226</v>
      </c>
    </row>
    <row r="390" spans="12:17" x14ac:dyDescent="0.35">
      <c r="L390">
        <v>388</v>
      </c>
      <c r="M390">
        <v>2</v>
      </c>
      <c r="N390">
        <v>5.375</v>
      </c>
      <c r="Q390">
        <v>271</v>
      </c>
    </row>
    <row r="391" spans="12:17" x14ac:dyDescent="0.35">
      <c r="L391">
        <v>389</v>
      </c>
      <c r="M391">
        <v>10</v>
      </c>
      <c r="N391">
        <v>5.125</v>
      </c>
      <c r="Q391">
        <v>233</v>
      </c>
    </row>
    <row r="392" spans="12:17" x14ac:dyDescent="0.35">
      <c r="L392">
        <v>390</v>
      </c>
      <c r="M392">
        <v>7</v>
      </c>
      <c r="N392">
        <v>4.75</v>
      </c>
      <c r="Q392">
        <v>260</v>
      </c>
    </row>
    <row r="393" spans="12:17" x14ac:dyDescent="0.35">
      <c r="L393">
        <v>391</v>
      </c>
      <c r="M393">
        <v>2</v>
      </c>
      <c r="N393">
        <v>4.75</v>
      </c>
      <c r="Q393">
        <v>241</v>
      </c>
    </row>
    <row r="394" spans="12:17" x14ac:dyDescent="0.35">
      <c r="L394">
        <v>392</v>
      </c>
      <c r="M394">
        <v>3</v>
      </c>
      <c r="N394">
        <v>4.875</v>
      </c>
      <c r="Q394">
        <v>280</v>
      </c>
    </row>
    <row r="395" spans="12:17" x14ac:dyDescent="0.35">
      <c r="L395">
        <v>393</v>
      </c>
      <c r="M395">
        <v>4</v>
      </c>
      <c r="N395">
        <v>4.25</v>
      </c>
      <c r="Q395">
        <v>278</v>
      </c>
    </row>
    <row r="396" spans="12:17" x14ac:dyDescent="0.35">
      <c r="L396">
        <v>394</v>
      </c>
      <c r="M396">
        <v>5</v>
      </c>
      <c r="N396">
        <v>3.625</v>
      </c>
      <c r="Q396">
        <v>276</v>
      </c>
    </row>
    <row r="397" spans="12:17" x14ac:dyDescent="0.35">
      <c r="L397">
        <v>395</v>
      </c>
      <c r="M397">
        <v>5</v>
      </c>
      <c r="N397">
        <v>4.5</v>
      </c>
      <c r="Q397">
        <v>277</v>
      </c>
    </row>
    <row r="398" spans="12:17" x14ac:dyDescent="0.35">
      <c r="L398">
        <v>396</v>
      </c>
      <c r="M398">
        <v>3</v>
      </c>
      <c r="N398">
        <v>5.125</v>
      </c>
      <c r="Q398">
        <v>300</v>
      </c>
    </row>
    <row r="399" spans="12:17" x14ac:dyDescent="0.35">
      <c r="L399">
        <v>397</v>
      </c>
      <c r="M399">
        <v>5</v>
      </c>
      <c r="N399">
        <v>5.25</v>
      </c>
      <c r="Q399">
        <v>320</v>
      </c>
    </row>
    <row r="400" spans="12:17" x14ac:dyDescent="0.35">
      <c r="L400">
        <v>398</v>
      </c>
      <c r="M400">
        <v>2</v>
      </c>
      <c r="N400">
        <v>5.5</v>
      </c>
      <c r="Q400">
        <v>320</v>
      </c>
    </row>
    <row r="401" spans="12:17" x14ac:dyDescent="0.35">
      <c r="L401">
        <v>399</v>
      </c>
      <c r="M401">
        <v>9</v>
      </c>
      <c r="N401">
        <v>5.75</v>
      </c>
      <c r="Q401">
        <v>324</v>
      </c>
    </row>
    <row r="402" spans="12:17" x14ac:dyDescent="0.35">
      <c r="L402">
        <v>400</v>
      </c>
      <c r="M402">
        <v>8</v>
      </c>
      <c r="N402">
        <v>6.125</v>
      </c>
      <c r="Q402">
        <v>322</v>
      </c>
    </row>
    <row r="403" spans="12:17" x14ac:dyDescent="0.35">
      <c r="L403">
        <v>401</v>
      </c>
      <c r="M403">
        <v>5</v>
      </c>
      <c r="N403">
        <v>6</v>
      </c>
      <c r="Q403">
        <v>323</v>
      </c>
    </row>
    <row r="404" spans="12:17" x14ac:dyDescent="0.35">
      <c r="L404">
        <v>402</v>
      </c>
      <c r="M404">
        <v>7</v>
      </c>
      <c r="N404">
        <v>6.25</v>
      </c>
      <c r="Q404">
        <v>373</v>
      </c>
    </row>
    <row r="405" spans="12:17" x14ac:dyDescent="0.35">
      <c r="L405">
        <v>403</v>
      </c>
      <c r="M405">
        <v>7</v>
      </c>
      <c r="N405">
        <v>5.75</v>
      </c>
      <c r="Q405">
        <v>356</v>
      </c>
    </row>
    <row r="406" spans="12:17" x14ac:dyDescent="0.35">
      <c r="L406">
        <v>404</v>
      </c>
      <c r="M406">
        <v>6</v>
      </c>
      <c r="N406">
        <v>5.625</v>
      </c>
      <c r="Q406">
        <v>388</v>
      </c>
    </row>
    <row r="407" spans="12:17" x14ac:dyDescent="0.35">
      <c r="L407">
        <v>405</v>
      </c>
      <c r="M407">
        <v>4</v>
      </c>
      <c r="N407">
        <v>5.75</v>
      </c>
      <c r="Q407">
        <v>399</v>
      </c>
    </row>
    <row r="408" spans="12:17" x14ac:dyDescent="0.35">
      <c r="L408">
        <v>406</v>
      </c>
      <c r="M408">
        <v>4</v>
      </c>
      <c r="N408">
        <v>5.375</v>
      </c>
      <c r="Q408">
        <v>404</v>
      </c>
    </row>
    <row r="409" spans="12:17" x14ac:dyDescent="0.35">
      <c r="L409">
        <v>407</v>
      </c>
      <c r="M409">
        <v>5</v>
      </c>
      <c r="N409">
        <v>5.875</v>
      </c>
      <c r="Q409">
        <v>408</v>
      </c>
    </row>
    <row r="410" spans="12:17" x14ac:dyDescent="0.35">
      <c r="L410">
        <v>408</v>
      </c>
      <c r="M410">
        <v>7</v>
      </c>
      <c r="N410">
        <v>5.875</v>
      </c>
      <c r="Q410">
        <v>403</v>
      </c>
    </row>
    <row r="411" spans="12:17" x14ac:dyDescent="0.35">
      <c r="L411">
        <v>409</v>
      </c>
      <c r="M411">
        <v>6</v>
      </c>
      <c r="N411">
        <v>6</v>
      </c>
      <c r="Q411">
        <v>406</v>
      </c>
    </row>
    <row r="412" spans="12:17" x14ac:dyDescent="0.35">
      <c r="L412">
        <v>410</v>
      </c>
      <c r="M412">
        <v>4</v>
      </c>
      <c r="N412">
        <v>6</v>
      </c>
      <c r="Q412">
        <v>390</v>
      </c>
    </row>
    <row r="413" spans="12:17" x14ac:dyDescent="0.35">
      <c r="L413">
        <v>411</v>
      </c>
      <c r="M413">
        <v>11</v>
      </c>
      <c r="N413">
        <v>6</v>
      </c>
      <c r="Q413">
        <v>452</v>
      </c>
    </row>
    <row r="414" spans="12:17" x14ac:dyDescent="0.35">
      <c r="L414">
        <v>412</v>
      </c>
      <c r="M414">
        <v>6</v>
      </c>
      <c r="N414">
        <v>5.375</v>
      </c>
      <c r="Q414">
        <v>440</v>
      </c>
    </row>
    <row r="415" spans="12:17" x14ac:dyDescent="0.35">
      <c r="L415">
        <v>413</v>
      </c>
      <c r="M415">
        <v>5</v>
      </c>
      <c r="N415">
        <v>5.25</v>
      </c>
      <c r="Q415">
        <v>496</v>
      </c>
    </row>
    <row r="416" spans="12:17" x14ac:dyDescent="0.35">
      <c r="L416">
        <v>414</v>
      </c>
      <c r="M416">
        <v>4</v>
      </c>
      <c r="N416">
        <v>5</v>
      </c>
      <c r="Q416">
        <v>476</v>
      </c>
    </row>
    <row r="417" spans="12:17" x14ac:dyDescent="0.35">
      <c r="L417">
        <v>415</v>
      </c>
      <c r="M417">
        <v>5</v>
      </c>
      <c r="N417">
        <v>4</v>
      </c>
      <c r="Q417">
        <v>503</v>
      </c>
    </row>
    <row r="418" spans="12:17" x14ac:dyDescent="0.35">
      <c r="L418">
        <v>416</v>
      </c>
      <c r="M418">
        <v>2</v>
      </c>
      <c r="N418">
        <v>4.25</v>
      </c>
      <c r="Q418">
        <v>499</v>
      </c>
    </row>
    <row r="419" spans="12:17" x14ac:dyDescent="0.35">
      <c r="L419">
        <v>417</v>
      </c>
      <c r="M419">
        <v>5</v>
      </c>
      <c r="N419">
        <v>4.375</v>
      </c>
      <c r="Q419">
        <v>532</v>
      </c>
    </row>
    <row r="420" spans="12:17" x14ac:dyDescent="0.35">
      <c r="L420">
        <v>418</v>
      </c>
      <c r="M420">
        <v>2</v>
      </c>
      <c r="N420">
        <v>4.125</v>
      </c>
      <c r="Q420">
        <v>495</v>
      </c>
    </row>
    <row r="421" spans="12:17" x14ac:dyDescent="0.35">
      <c r="L421">
        <v>419</v>
      </c>
      <c r="M421">
        <v>3</v>
      </c>
      <c r="N421">
        <v>3.875</v>
      </c>
      <c r="Q421">
        <v>521</v>
      </c>
    </row>
    <row r="422" spans="12:17" x14ac:dyDescent="0.35">
      <c r="L422">
        <v>420</v>
      </c>
      <c r="M422">
        <v>8</v>
      </c>
      <c r="N422">
        <v>4</v>
      </c>
      <c r="Q422">
        <v>548</v>
      </c>
    </row>
    <row r="423" spans="12:17" x14ac:dyDescent="0.35">
      <c r="L423">
        <v>421</v>
      </c>
      <c r="M423">
        <v>6</v>
      </c>
      <c r="N423">
        <v>3.625</v>
      </c>
      <c r="Q423">
        <v>568</v>
      </c>
    </row>
    <row r="424" spans="12:17" x14ac:dyDescent="0.35">
      <c r="L424">
        <v>422</v>
      </c>
      <c r="M424">
        <v>2</v>
      </c>
      <c r="N424">
        <v>4.25</v>
      </c>
      <c r="Q424">
        <v>568</v>
      </c>
    </row>
    <row r="425" spans="12:17" x14ac:dyDescent="0.35">
      <c r="L425">
        <v>423</v>
      </c>
      <c r="M425">
        <v>3</v>
      </c>
      <c r="N425">
        <v>4.25</v>
      </c>
      <c r="Q425">
        <v>563</v>
      </c>
    </row>
    <row r="426" spans="12:17" x14ac:dyDescent="0.35">
      <c r="L426">
        <v>424</v>
      </c>
      <c r="M426">
        <v>3</v>
      </c>
      <c r="N426">
        <v>3.75</v>
      </c>
      <c r="Q426">
        <v>589</v>
      </c>
    </row>
    <row r="427" spans="12:17" x14ac:dyDescent="0.35">
      <c r="L427">
        <v>425</v>
      </c>
      <c r="M427">
        <v>2</v>
      </c>
      <c r="N427">
        <v>3.25</v>
      </c>
      <c r="Q427">
        <v>567</v>
      </c>
    </row>
    <row r="428" spans="12:17" x14ac:dyDescent="0.35">
      <c r="L428">
        <v>426</v>
      </c>
      <c r="M428">
        <v>7</v>
      </c>
      <c r="N428">
        <v>3.75</v>
      </c>
      <c r="Q428">
        <v>651</v>
      </c>
    </row>
    <row r="429" spans="12:17" x14ac:dyDescent="0.35">
      <c r="L429">
        <v>427</v>
      </c>
      <c r="M429">
        <v>3</v>
      </c>
      <c r="N429">
        <v>4</v>
      </c>
      <c r="Q429">
        <v>603</v>
      </c>
    </row>
    <row r="430" spans="12:17" x14ac:dyDescent="0.35">
      <c r="L430">
        <v>428</v>
      </c>
      <c r="M430">
        <v>4</v>
      </c>
      <c r="N430">
        <v>3.625</v>
      </c>
      <c r="Q430">
        <v>604</v>
      </c>
    </row>
    <row r="431" spans="12:17" x14ac:dyDescent="0.35">
      <c r="L431">
        <v>429</v>
      </c>
      <c r="M431">
        <v>2</v>
      </c>
      <c r="N431">
        <v>3.75</v>
      </c>
      <c r="Q431">
        <v>652</v>
      </c>
    </row>
    <row r="432" spans="12:17" x14ac:dyDescent="0.35">
      <c r="L432">
        <v>430</v>
      </c>
      <c r="M432">
        <v>6</v>
      </c>
      <c r="N432">
        <v>3.25</v>
      </c>
      <c r="Q432">
        <v>662</v>
      </c>
    </row>
    <row r="433" spans="12:17" x14ac:dyDescent="0.35">
      <c r="L433">
        <v>431</v>
      </c>
      <c r="M433">
        <v>5</v>
      </c>
      <c r="N433">
        <v>2.875</v>
      </c>
      <c r="Q433">
        <v>653</v>
      </c>
    </row>
    <row r="434" spans="12:17" x14ac:dyDescent="0.35">
      <c r="L434">
        <v>432</v>
      </c>
      <c r="M434">
        <v>0</v>
      </c>
      <c r="N434">
        <v>2.625</v>
      </c>
      <c r="Q434">
        <v>667</v>
      </c>
    </row>
    <row r="435" spans="12:17" x14ac:dyDescent="0.35">
      <c r="L435">
        <v>433</v>
      </c>
      <c r="M435">
        <v>3</v>
      </c>
      <c r="N435">
        <v>2.5</v>
      </c>
      <c r="Q435">
        <v>676</v>
      </c>
    </row>
    <row r="436" spans="12:17" x14ac:dyDescent="0.35">
      <c r="L436">
        <v>434</v>
      </c>
      <c r="M436">
        <v>3</v>
      </c>
      <c r="N436">
        <v>2.25</v>
      </c>
      <c r="Q436">
        <v>704</v>
      </c>
    </row>
    <row r="437" spans="12:17" x14ac:dyDescent="0.35">
      <c r="L437">
        <v>435</v>
      </c>
      <c r="M437">
        <v>0</v>
      </c>
      <c r="N437">
        <v>2.125</v>
      </c>
      <c r="Q437">
        <v>760</v>
      </c>
    </row>
    <row r="438" spans="12:17" x14ac:dyDescent="0.35">
      <c r="L438">
        <v>436</v>
      </c>
      <c r="M438">
        <v>2</v>
      </c>
      <c r="N438">
        <v>2.625</v>
      </c>
      <c r="Q438">
        <v>713</v>
      </c>
    </row>
    <row r="439" spans="12:17" x14ac:dyDescent="0.35">
      <c r="L439">
        <v>437</v>
      </c>
      <c r="M439">
        <v>1</v>
      </c>
      <c r="N439">
        <v>2.625</v>
      </c>
      <c r="Q439">
        <v>672</v>
      </c>
    </row>
    <row r="440" spans="12:17" x14ac:dyDescent="0.35">
      <c r="L440">
        <v>438</v>
      </c>
      <c r="M440">
        <v>4</v>
      </c>
      <c r="N440">
        <v>2.5</v>
      </c>
      <c r="Q440">
        <v>739</v>
      </c>
    </row>
    <row r="441" spans="12:17" x14ac:dyDescent="0.35">
      <c r="L441">
        <v>439</v>
      </c>
      <c r="M441">
        <v>4</v>
      </c>
      <c r="N441">
        <v>2.625</v>
      </c>
      <c r="Q441">
        <v>805</v>
      </c>
    </row>
    <row r="442" spans="12:17" x14ac:dyDescent="0.35">
      <c r="L442">
        <v>440</v>
      </c>
      <c r="M442">
        <v>4</v>
      </c>
      <c r="N442">
        <v>2.75</v>
      </c>
      <c r="Q442">
        <v>798</v>
      </c>
    </row>
    <row r="443" spans="12:17" x14ac:dyDescent="0.35">
      <c r="L443">
        <v>441</v>
      </c>
      <c r="M443">
        <v>3</v>
      </c>
      <c r="N443">
        <v>3</v>
      </c>
      <c r="Q443">
        <v>792</v>
      </c>
    </row>
    <row r="444" spans="12:17" x14ac:dyDescent="0.35">
      <c r="L444">
        <v>442</v>
      </c>
      <c r="M444">
        <v>2</v>
      </c>
      <c r="N444">
        <v>2.75</v>
      </c>
      <c r="Q444">
        <v>736</v>
      </c>
    </row>
    <row r="445" spans="12:17" x14ac:dyDescent="0.35">
      <c r="L445">
        <v>443</v>
      </c>
      <c r="M445">
        <v>1</v>
      </c>
      <c r="N445">
        <v>2.75</v>
      </c>
      <c r="Q445">
        <v>792</v>
      </c>
    </row>
    <row r="446" spans="12:17" x14ac:dyDescent="0.35">
      <c r="L446">
        <v>444</v>
      </c>
      <c r="M446">
        <v>3</v>
      </c>
      <c r="N446">
        <v>2.375</v>
      </c>
      <c r="Q446">
        <v>803</v>
      </c>
    </row>
    <row r="447" spans="12:17" x14ac:dyDescent="0.35">
      <c r="L447">
        <v>445</v>
      </c>
      <c r="M447">
        <v>3</v>
      </c>
      <c r="N447">
        <v>2</v>
      </c>
      <c r="Q447">
        <v>822</v>
      </c>
    </row>
    <row r="448" spans="12:17" x14ac:dyDescent="0.35">
      <c r="L448">
        <v>446</v>
      </c>
      <c r="M448">
        <v>2</v>
      </c>
      <c r="N448">
        <v>2</v>
      </c>
      <c r="Q448">
        <v>861</v>
      </c>
    </row>
    <row r="449" spans="12:17" x14ac:dyDescent="0.35">
      <c r="L449">
        <v>447</v>
      </c>
      <c r="M449">
        <v>4</v>
      </c>
      <c r="N449">
        <v>1.875</v>
      </c>
      <c r="Q449">
        <v>851</v>
      </c>
    </row>
    <row r="450" spans="12:17" x14ac:dyDescent="0.35">
      <c r="L450">
        <v>448</v>
      </c>
      <c r="M450">
        <v>1</v>
      </c>
      <c r="N450">
        <v>1.5</v>
      </c>
      <c r="Q450">
        <v>849</v>
      </c>
    </row>
    <row r="451" spans="12:17" x14ac:dyDescent="0.35">
      <c r="L451">
        <v>449</v>
      </c>
      <c r="M451">
        <v>0</v>
      </c>
      <c r="N451">
        <v>1.25</v>
      </c>
      <c r="Q451">
        <v>821</v>
      </c>
    </row>
    <row r="452" spans="12:17" x14ac:dyDescent="0.35">
      <c r="L452">
        <v>450</v>
      </c>
      <c r="M452">
        <v>2</v>
      </c>
      <c r="N452">
        <v>1.5</v>
      </c>
      <c r="Q452">
        <v>837</v>
      </c>
    </row>
    <row r="453" spans="12:17" x14ac:dyDescent="0.35">
      <c r="L453">
        <v>451</v>
      </c>
      <c r="M453">
        <v>0</v>
      </c>
      <c r="N453">
        <v>1.25</v>
      </c>
      <c r="Q453">
        <v>888</v>
      </c>
    </row>
    <row r="454" spans="12:17" x14ac:dyDescent="0.35">
      <c r="L454">
        <v>452</v>
      </c>
      <c r="M454">
        <v>0</v>
      </c>
      <c r="N454">
        <v>1.625</v>
      </c>
      <c r="Q454">
        <v>886</v>
      </c>
    </row>
    <row r="455" spans="12:17" x14ac:dyDescent="0.35">
      <c r="L455">
        <v>453</v>
      </c>
      <c r="M455">
        <v>1</v>
      </c>
      <c r="N455">
        <v>1.75</v>
      </c>
      <c r="Q455">
        <v>890</v>
      </c>
    </row>
    <row r="456" spans="12:17" x14ac:dyDescent="0.35">
      <c r="L456">
        <v>454</v>
      </c>
      <c r="M456">
        <v>4</v>
      </c>
      <c r="N456">
        <v>1.625</v>
      </c>
      <c r="Q456">
        <v>856</v>
      </c>
    </row>
    <row r="457" spans="12:17" x14ac:dyDescent="0.35">
      <c r="L457">
        <v>455</v>
      </c>
      <c r="M457">
        <v>2</v>
      </c>
      <c r="N457">
        <v>1.625</v>
      </c>
      <c r="Q457">
        <v>896</v>
      </c>
    </row>
    <row r="458" spans="12:17" x14ac:dyDescent="0.35">
      <c r="L458">
        <v>456</v>
      </c>
      <c r="M458">
        <v>4</v>
      </c>
      <c r="N458">
        <v>2</v>
      </c>
      <c r="Q458">
        <v>884</v>
      </c>
    </row>
    <row r="459" spans="12:17" x14ac:dyDescent="0.35">
      <c r="L459">
        <v>457</v>
      </c>
      <c r="M459">
        <v>1</v>
      </c>
      <c r="N459">
        <v>1.875</v>
      </c>
      <c r="Q459">
        <v>882</v>
      </c>
    </row>
    <row r="460" spans="12:17" x14ac:dyDescent="0.35">
      <c r="L460">
        <v>458</v>
      </c>
      <c r="M460">
        <v>1</v>
      </c>
      <c r="N460">
        <v>1.5</v>
      </c>
      <c r="Q460">
        <v>891</v>
      </c>
    </row>
    <row r="461" spans="12:17" x14ac:dyDescent="0.35">
      <c r="L461">
        <v>459</v>
      </c>
      <c r="M461">
        <v>0</v>
      </c>
      <c r="N461">
        <v>1.25</v>
      </c>
      <c r="Q461">
        <v>951</v>
      </c>
    </row>
    <row r="462" spans="12:17" x14ac:dyDescent="0.35">
      <c r="L462">
        <v>460</v>
      </c>
      <c r="M462">
        <v>3</v>
      </c>
      <c r="N462">
        <v>0.875</v>
      </c>
      <c r="Q462">
        <v>890</v>
      </c>
    </row>
    <row r="463" spans="12:17" x14ac:dyDescent="0.35">
      <c r="L463">
        <v>461</v>
      </c>
      <c r="M463">
        <v>0</v>
      </c>
      <c r="N463">
        <v>1</v>
      </c>
      <c r="Q463">
        <v>889</v>
      </c>
    </row>
    <row r="464" spans="12:17" x14ac:dyDescent="0.35">
      <c r="L464">
        <v>462</v>
      </c>
      <c r="M464">
        <v>1</v>
      </c>
      <c r="N464">
        <v>1.125</v>
      </c>
      <c r="Q464">
        <v>911</v>
      </c>
    </row>
    <row r="465" spans="12:17" x14ac:dyDescent="0.35">
      <c r="L465">
        <v>463</v>
      </c>
      <c r="M465">
        <v>0</v>
      </c>
      <c r="N465">
        <v>1.125</v>
      </c>
      <c r="Q465">
        <v>974</v>
      </c>
    </row>
    <row r="466" spans="12:17" x14ac:dyDescent="0.35">
      <c r="L466">
        <v>464</v>
      </c>
      <c r="M466">
        <v>1</v>
      </c>
      <c r="N466">
        <v>0.75</v>
      </c>
      <c r="Q466">
        <v>856</v>
      </c>
    </row>
    <row r="467" spans="12:17" x14ac:dyDescent="0.35">
      <c r="L467">
        <v>465</v>
      </c>
      <c r="M467">
        <v>2</v>
      </c>
      <c r="N467">
        <v>0.75</v>
      </c>
      <c r="Q467">
        <v>932</v>
      </c>
    </row>
    <row r="468" spans="12:17" x14ac:dyDescent="0.35">
      <c r="L468">
        <v>466</v>
      </c>
      <c r="M468">
        <v>2</v>
      </c>
      <c r="N468">
        <v>0.625</v>
      </c>
      <c r="Q468">
        <v>924</v>
      </c>
    </row>
    <row r="469" spans="12:17" x14ac:dyDescent="0.35">
      <c r="L469">
        <v>467</v>
      </c>
      <c r="M469">
        <v>0</v>
      </c>
      <c r="N469">
        <v>0.625</v>
      </c>
      <c r="Q469">
        <v>910</v>
      </c>
    </row>
    <row r="470" spans="12:17" x14ac:dyDescent="0.35">
      <c r="L470">
        <v>468</v>
      </c>
      <c r="M470">
        <v>0</v>
      </c>
      <c r="N470">
        <v>0.5</v>
      </c>
      <c r="Q470">
        <v>927</v>
      </c>
    </row>
    <row r="471" spans="12:17" x14ac:dyDescent="0.35">
      <c r="L471">
        <v>469</v>
      </c>
      <c r="M471">
        <v>0</v>
      </c>
      <c r="N471">
        <v>0.25</v>
      </c>
      <c r="Q471">
        <v>997</v>
      </c>
    </row>
    <row r="472" spans="12:17" x14ac:dyDescent="0.35">
      <c r="L472">
        <v>470</v>
      </c>
      <c r="M472">
        <v>0</v>
      </c>
      <c r="N472">
        <v>0.125</v>
      </c>
      <c r="Q472">
        <v>987</v>
      </c>
    </row>
    <row r="473" spans="12:17" x14ac:dyDescent="0.35">
      <c r="L473">
        <v>471</v>
      </c>
      <c r="M473">
        <v>0</v>
      </c>
      <c r="N473">
        <v>0.125</v>
      </c>
      <c r="Q473">
        <v>946</v>
      </c>
    </row>
    <row r="474" spans="12:17" x14ac:dyDescent="0.35">
      <c r="L474">
        <v>472</v>
      </c>
      <c r="M474">
        <v>0</v>
      </c>
      <c r="N474">
        <v>0.125</v>
      </c>
      <c r="Q474">
        <v>976</v>
      </c>
    </row>
    <row r="475" spans="12:17" x14ac:dyDescent="0.35">
      <c r="L475">
        <v>473</v>
      </c>
      <c r="M475">
        <v>0</v>
      </c>
      <c r="N475">
        <v>0.125</v>
      </c>
      <c r="Q475">
        <v>891</v>
      </c>
    </row>
    <row r="476" spans="12:17" x14ac:dyDescent="0.35">
      <c r="L476">
        <v>474</v>
      </c>
      <c r="M476">
        <v>1</v>
      </c>
      <c r="N476">
        <v>0.375</v>
      </c>
      <c r="Q476">
        <v>984</v>
      </c>
    </row>
    <row r="477" spans="12:17" x14ac:dyDescent="0.35">
      <c r="L477">
        <v>475</v>
      </c>
      <c r="M477">
        <v>0</v>
      </c>
      <c r="N477">
        <v>0.5</v>
      </c>
      <c r="Q477">
        <v>951</v>
      </c>
    </row>
    <row r="478" spans="12:17" x14ac:dyDescent="0.35">
      <c r="L478">
        <v>476</v>
      </c>
      <c r="M478">
        <v>0</v>
      </c>
      <c r="N478">
        <v>0.625</v>
      </c>
      <c r="Q478">
        <v>984</v>
      </c>
    </row>
    <row r="479" spans="12:17" x14ac:dyDescent="0.35">
      <c r="L479">
        <v>477</v>
      </c>
      <c r="M479">
        <v>0</v>
      </c>
      <c r="N479">
        <v>0.625</v>
      </c>
      <c r="Q479">
        <v>973</v>
      </c>
    </row>
    <row r="480" spans="12:17" x14ac:dyDescent="0.35">
      <c r="L480">
        <v>478</v>
      </c>
      <c r="M480">
        <v>2</v>
      </c>
      <c r="N480">
        <v>0.5</v>
      </c>
      <c r="Q480">
        <v>940</v>
      </c>
    </row>
    <row r="481" spans="12:17" x14ac:dyDescent="0.35">
      <c r="L481">
        <v>479</v>
      </c>
      <c r="M481">
        <v>1</v>
      </c>
      <c r="N481">
        <v>0.625</v>
      </c>
      <c r="Q481">
        <v>990</v>
      </c>
    </row>
    <row r="482" spans="12:17" x14ac:dyDescent="0.35">
      <c r="L482">
        <v>480</v>
      </c>
      <c r="M482">
        <v>1</v>
      </c>
      <c r="N482">
        <v>0.75</v>
      </c>
      <c r="Q482">
        <v>994</v>
      </c>
    </row>
    <row r="483" spans="12:17" x14ac:dyDescent="0.35">
      <c r="L483">
        <v>481</v>
      </c>
      <c r="M483">
        <v>0</v>
      </c>
      <c r="N483">
        <v>0.75</v>
      </c>
      <c r="Q483">
        <v>958</v>
      </c>
    </row>
    <row r="484" spans="12:17" x14ac:dyDescent="0.35">
      <c r="L484">
        <v>482</v>
      </c>
      <c r="M484">
        <v>0</v>
      </c>
      <c r="N484">
        <v>0.5</v>
      </c>
      <c r="Q484">
        <v>981</v>
      </c>
    </row>
    <row r="485" spans="12:17" x14ac:dyDescent="0.35">
      <c r="L485">
        <v>483</v>
      </c>
      <c r="M485">
        <v>1</v>
      </c>
      <c r="N485">
        <v>0.375</v>
      </c>
      <c r="Q485">
        <v>976</v>
      </c>
    </row>
    <row r="486" spans="12:17" x14ac:dyDescent="0.35">
      <c r="L486">
        <v>484</v>
      </c>
      <c r="M486">
        <v>1</v>
      </c>
      <c r="N486">
        <v>0.25</v>
      </c>
      <c r="Q486">
        <v>955</v>
      </c>
    </row>
    <row r="487" spans="12:17" x14ac:dyDescent="0.35">
      <c r="L487">
        <v>485</v>
      </c>
      <c r="M487">
        <v>0</v>
      </c>
      <c r="N487">
        <v>0.375</v>
      </c>
      <c r="Q487">
        <v>906</v>
      </c>
    </row>
    <row r="488" spans="12:17" x14ac:dyDescent="0.35">
      <c r="L488">
        <v>486</v>
      </c>
      <c r="M488">
        <v>0</v>
      </c>
      <c r="N488">
        <v>0.5</v>
      </c>
      <c r="Q488">
        <v>976</v>
      </c>
    </row>
    <row r="489" spans="12:17" x14ac:dyDescent="0.35">
      <c r="L489">
        <v>487</v>
      </c>
      <c r="M489">
        <v>0</v>
      </c>
      <c r="N489">
        <v>0.375</v>
      </c>
      <c r="Q489">
        <v>936</v>
      </c>
    </row>
    <row r="490" spans="12:17" x14ac:dyDescent="0.35">
      <c r="L490">
        <v>488</v>
      </c>
      <c r="M490">
        <v>0</v>
      </c>
      <c r="N490">
        <v>0.25</v>
      </c>
      <c r="Q490">
        <v>963</v>
      </c>
    </row>
    <row r="491" spans="12:17" x14ac:dyDescent="0.35">
      <c r="L491">
        <v>489</v>
      </c>
      <c r="M491">
        <v>1</v>
      </c>
      <c r="N491">
        <v>0.375</v>
      </c>
      <c r="Q491">
        <v>932</v>
      </c>
    </row>
    <row r="492" spans="12:17" x14ac:dyDescent="0.35">
      <c r="L492">
        <v>490</v>
      </c>
      <c r="M492">
        <v>1</v>
      </c>
      <c r="N492">
        <v>0.625</v>
      </c>
      <c r="Q492">
        <v>918</v>
      </c>
    </row>
    <row r="493" spans="12:17" x14ac:dyDescent="0.35">
      <c r="L493">
        <v>491</v>
      </c>
      <c r="M493">
        <v>0</v>
      </c>
      <c r="N493">
        <v>0.625</v>
      </c>
      <c r="Q493">
        <v>935</v>
      </c>
    </row>
    <row r="494" spans="12:17" x14ac:dyDescent="0.35">
      <c r="L494">
        <v>492</v>
      </c>
      <c r="M494">
        <v>0</v>
      </c>
      <c r="N494">
        <v>0.875</v>
      </c>
      <c r="Q494">
        <v>901</v>
      </c>
    </row>
    <row r="495" spans="12:17" x14ac:dyDescent="0.35">
      <c r="L495">
        <v>493</v>
      </c>
      <c r="M495">
        <v>1</v>
      </c>
      <c r="N495">
        <v>0.75</v>
      </c>
      <c r="Q495">
        <v>910</v>
      </c>
    </row>
    <row r="496" spans="12:17" x14ac:dyDescent="0.35">
      <c r="L496">
        <v>494</v>
      </c>
      <c r="M496">
        <v>2</v>
      </c>
      <c r="N496">
        <v>0.625</v>
      </c>
      <c r="Q496">
        <v>953</v>
      </c>
    </row>
    <row r="497" spans="12:17" x14ac:dyDescent="0.35">
      <c r="L497">
        <v>495</v>
      </c>
      <c r="M497">
        <v>0</v>
      </c>
      <c r="N497">
        <v>0.875</v>
      </c>
      <c r="Q497">
        <v>982</v>
      </c>
    </row>
    <row r="498" spans="12:17" x14ac:dyDescent="0.35">
      <c r="L498">
        <v>496</v>
      </c>
      <c r="M498">
        <v>2</v>
      </c>
      <c r="N498">
        <v>0.875</v>
      </c>
      <c r="Q498">
        <v>932</v>
      </c>
    </row>
    <row r="499" spans="12:17" x14ac:dyDescent="0.35">
      <c r="L499">
        <v>497</v>
      </c>
      <c r="M499">
        <v>0</v>
      </c>
      <c r="N499">
        <v>0.75</v>
      </c>
      <c r="Q499">
        <v>915</v>
      </c>
    </row>
    <row r="500" spans="12:17" x14ac:dyDescent="0.35">
      <c r="L500">
        <v>498</v>
      </c>
      <c r="M500">
        <v>0</v>
      </c>
      <c r="N500">
        <v>0.5</v>
      </c>
      <c r="Q500">
        <v>954</v>
      </c>
    </row>
    <row r="501" spans="12:17" x14ac:dyDescent="0.35">
      <c r="L501">
        <v>499</v>
      </c>
      <c r="M501">
        <v>2</v>
      </c>
      <c r="N501">
        <v>0.5</v>
      </c>
      <c r="Q501">
        <v>960</v>
      </c>
    </row>
    <row r="502" spans="12:17" x14ac:dyDescent="0.35">
      <c r="L502">
        <v>500</v>
      </c>
      <c r="M502">
        <v>0</v>
      </c>
      <c r="N502">
        <v>0.25</v>
      </c>
      <c r="Q502">
        <v>948</v>
      </c>
    </row>
    <row r="503" spans="12:17" x14ac:dyDescent="0.35">
      <c r="L503">
        <v>501</v>
      </c>
      <c r="M503">
        <v>0</v>
      </c>
      <c r="N503">
        <v>0.25</v>
      </c>
      <c r="Q503">
        <v>942</v>
      </c>
    </row>
    <row r="504" spans="12:17" x14ac:dyDescent="0.35">
      <c r="L504">
        <v>502</v>
      </c>
      <c r="M504">
        <v>0</v>
      </c>
      <c r="N504">
        <v>0.25</v>
      </c>
      <c r="Q504">
        <v>909</v>
      </c>
    </row>
    <row r="505" spans="12:17" x14ac:dyDescent="0.35">
      <c r="L505">
        <v>503</v>
      </c>
      <c r="M505">
        <v>0</v>
      </c>
      <c r="N505">
        <v>0</v>
      </c>
      <c r="Q505">
        <v>988</v>
      </c>
    </row>
    <row r="506" spans="12:17" x14ac:dyDescent="0.35">
      <c r="L506">
        <v>504</v>
      </c>
      <c r="M506">
        <v>0</v>
      </c>
      <c r="N506">
        <v>0</v>
      </c>
      <c r="Q506">
        <v>908</v>
      </c>
    </row>
    <row r="507" spans="12:17" x14ac:dyDescent="0.35">
      <c r="L507">
        <v>505</v>
      </c>
      <c r="M507">
        <v>0</v>
      </c>
      <c r="N507">
        <v>0</v>
      </c>
      <c r="Q507">
        <v>941</v>
      </c>
    </row>
    <row r="508" spans="12:17" x14ac:dyDescent="0.35">
      <c r="L508">
        <v>506</v>
      </c>
      <c r="M508">
        <v>0</v>
      </c>
      <c r="N508">
        <v>0</v>
      </c>
      <c r="Q508">
        <v>924</v>
      </c>
    </row>
    <row r="509" spans="12:17" x14ac:dyDescent="0.35">
      <c r="L509">
        <v>507</v>
      </c>
      <c r="M509">
        <v>0</v>
      </c>
      <c r="N509">
        <v>0</v>
      </c>
      <c r="Q509">
        <v>893</v>
      </c>
    </row>
    <row r="510" spans="12:17" x14ac:dyDescent="0.35">
      <c r="L510">
        <v>508</v>
      </c>
      <c r="M510">
        <v>0</v>
      </c>
      <c r="N510">
        <v>0</v>
      </c>
      <c r="Q510">
        <v>904</v>
      </c>
    </row>
    <row r="511" spans="12:17" x14ac:dyDescent="0.35">
      <c r="L511">
        <v>509</v>
      </c>
      <c r="M511">
        <v>0</v>
      </c>
      <c r="N511">
        <v>0</v>
      </c>
      <c r="Q511">
        <v>901</v>
      </c>
    </row>
    <row r="512" spans="12:17" x14ac:dyDescent="0.35">
      <c r="L512">
        <v>510</v>
      </c>
      <c r="M512">
        <v>0</v>
      </c>
      <c r="N512">
        <v>0</v>
      </c>
      <c r="Q512">
        <v>847</v>
      </c>
    </row>
    <row r="513" spans="12:17" x14ac:dyDescent="0.35">
      <c r="L513">
        <v>511</v>
      </c>
      <c r="M513">
        <v>0</v>
      </c>
      <c r="N513">
        <v>0</v>
      </c>
      <c r="Q513">
        <v>875</v>
      </c>
    </row>
    <row r="514" spans="12:17" x14ac:dyDescent="0.35">
      <c r="L514">
        <v>512</v>
      </c>
      <c r="M514">
        <v>0</v>
      </c>
      <c r="N514">
        <v>0</v>
      </c>
      <c r="Q514">
        <v>838</v>
      </c>
    </row>
    <row r="515" spans="12:17" x14ac:dyDescent="0.35">
      <c r="L515">
        <v>513</v>
      </c>
      <c r="M515">
        <v>0</v>
      </c>
      <c r="N515">
        <v>0</v>
      </c>
      <c r="Q515">
        <v>837</v>
      </c>
    </row>
    <row r="516" spans="12:17" x14ac:dyDescent="0.35">
      <c r="L516">
        <v>514</v>
      </c>
      <c r="M516">
        <v>0</v>
      </c>
      <c r="N516">
        <v>0</v>
      </c>
      <c r="Q516">
        <v>856</v>
      </c>
    </row>
    <row r="517" spans="12:17" x14ac:dyDescent="0.35">
      <c r="L517">
        <v>515</v>
      </c>
      <c r="M517">
        <v>0</v>
      </c>
      <c r="N517">
        <v>0</v>
      </c>
      <c r="Q517">
        <v>810</v>
      </c>
    </row>
    <row r="518" spans="12:17" x14ac:dyDescent="0.35">
      <c r="L518">
        <v>516</v>
      </c>
      <c r="M518">
        <v>0</v>
      </c>
      <c r="N518">
        <v>0</v>
      </c>
      <c r="Q518">
        <v>872</v>
      </c>
    </row>
    <row r="519" spans="12:17" x14ac:dyDescent="0.35">
      <c r="L519">
        <v>517</v>
      </c>
      <c r="M519">
        <v>0</v>
      </c>
      <c r="N519">
        <v>0.375</v>
      </c>
      <c r="Q519">
        <v>817</v>
      </c>
    </row>
    <row r="520" spans="12:17" x14ac:dyDescent="0.35">
      <c r="L520">
        <v>518</v>
      </c>
      <c r="M520">
        <v>0</v>
      </c>
      <c r="N520">
        <v>0.375</v>
      </c>
      <c r="Q520">
        <v>857</v>
      </c>
    </row>
    <row r="521" spans="12:17" x14ac:dyDescent="0.35">
      <c r="L521">
        <v>519</v>
      </c>
      <c r="M521">
        <v>0</v>
      </c>
      <c r="N521">
        <v>0.375</v>
      </c>
      <c r="Q521">
        <v>786</v>
      </c>
    </row>
    <row r="522" spans="12:17" x14ac:dyDescent="0.35">
      <c r="L522">
        <v>520</v>
      </c>
      <c r="M522">
        <v>0</v>
      </c>
      <c r="N522">
        <v>0.375</v>
      </c>
      <c r="Q522">
        <v>826</v>
      </c>
    </row>
    <row r="523" spans="12:17" x14ac:dyDescent="0.35">
      <c r="L523">
        <v>521</v>
      </c>
      <c r="M523">
        <v>3</v>
      </c>
      <c r="N523">
        <v>0.375</v>
      </c>
      <c r="Q523">
        <v>799</v>
      </c>
    </row>
    <row r="524" spans="12:17" x14ac:dyDescent="0.35">
      <c r="L524">
        <v>522</v>
      </c>
      <c r="M524">
        <v>0</v>
      </c>
      <c r="N524">
        <v>0.375</v>
      </c>
      <c r="Q524">
        <v>811</v>
      </c>
    </row>
    <row r="525" spans="12:17" x14ac:dyDescent="0.35">
      <c r="L525">
        <v>523</v>
      </c>
      <c r="M525">
        <v>0</v>
      </c>
      <c r="N525">
        <v>0.375</v>
      </c>
      <c r="Q525">
        <v>837</v>
      </c>
    </row>
    <row r="526" spans="12:17" x14ac:dyDescent="0.35">
      <c r="L526">
        <v>524</v>
      </c>
      <c r="M526">
        <v>0</v>
      </c>
      <c r="N526">
        <v>0.375</v>
      </c>
      <c r="Q526">
        <v>821</v>
      </c>
    </row>
    <row r="527" spans="12:17" x14ac:dyDescent="0.35">
      <c r="L527">
        <v>525</v>
      </c>
      <c r="M527">
        <v>0</v>
      </c>
      <c r="N527">
        <v>0</v>
      </c>
      <c r="Q527">
        <v>757</v>
      </c>
    </row>
    <row r="528" spans="12:17" x14ac:dyDescent="0.35">
      <c r="L528">
        <v>526</v>
      </c>
      <c r="M528">
        <v>0</v>
      </c>
      <c r="N528">
        <v>0.125</v>
      </c>
      <c r="Q528">
        <v>824</v>
      </c>
    </row>
    <row r="529" spans="12:17" x14ac:dyDescent="0.35">
      <c r="L529">
        <v>527</v>
      </c>
      <c r="M529">
        <v>0</v>
      </c>
      <c r="N529">
        <v>0.125</v>
      </c>
      <c r="Q529">
        <v>806</v>
      </c>
    </row>
    <row r="530" spans="12:17" x14ac:dyDescent="0.35">
      <c r="L530">
        <v>528</v>
      </c>
      <c r="M530">
        <v>0</v>
      </c>
      <c r="N530">
        <v>0.25</v>
      </c>
      <c r="Q530">
        <v>739</v>
      </c>
    </row>
    <row r="531" spans="12:17" x14ac:dyDescent="0.35">
      <c r="L531">
        <v>529</v>
      </c>
      <c r="M531">
        <v>0</v>
      </c>
      <c r="N531">
        <v>0.375</v>
      </c>
      <c r="Q531">
        <v>777</v>
      </c>
    </row>
    <row r="532" spans="12:17" x14ac:dyDescent="0.35">
      <c r="L532">
        <v>530</v>
      </c>
      <c r="M532">
        <v>1</v>
      </c>
      <c r="N532">
        <v>0.375</v>
      </c>
      <c r="Q532">
        <v>729</v>
      </c>
    </row>
    <row r="533" spans="12:17" x14ac:dyDescent="0.35">
      <c r="L533">
        <v>531</v>
      </c>
      <c r="M533">
        <v>0</v>
      </c>
      <c r="N533">
        <v>0.375</v>
      </c>
      <c r="Q533">
        <v>767</v>
      </c>
    </row>
    <row r="534" spans="12:17" x14ac:dyDescent="0.35">
      <c r="L534">
        <v>532</v>
      </c>
      <c r="M534">
        <v>1</v>
      </c>
      <c r="N534">
        <v>0.375</v>
      </c>
      <c r="Q534">
        <v>708</v>
      </c>
    </row>
    <row r="535" spans="12:17" x14ac:dyDescent="0.35">
      <c r="L535">
        <v>533</v>
      </c>
      <c r="M535">
        <v>1</v>
      </c>
      <c r="N535">
        <v>0.375</v>
      </c>
      <c r="Q535">
        <v>722</v>
      </c>
    </row>
    <row r="536" spans="12:17" x14ac:dyDescent="0.35">
      <c r="L536">
        <v>534</v>
      </c>
      <c r="M536">
        <v>0</v>
      </c>
      <c r="N536">
        <v>0.25</v>
      </c>
      <c r="Q536">
        <v>706</v>
      </c>
    </row>
    <row r="537" spans="12:17" x14ac:dyDescent="0.35">
      <c r="L537">
        <v>535</v>
      </c>
      <c r="M537">
        <v>0</v>
      </c>
      <c r="N537">
        <v>0.25</v>
      </c>
      <c r="Q537">
        <v>706</v>
      </c>
    </row>
    <row r="538" spans="12:17" x14ac:dyDescent="0.35">
      <c r="L538">
        <v>536</v>
      </c>
      <c r="M538">
        <v>0</v>
      </c>
      <c r="N538">
        <v>0.125</v>
      </c>
      <c r="Q538">
        <v>715</v>
      </c>
    </row>
    <row r="539" spans="12:17" x14ac:dyDescent="0.35">
      <c r="L539">
        <v>537</v>
      </c>
      <c r="M539">
        <v>0</v>
      </c>
      <c r="N539">
        <v>0</v>
      </c>
      <c r="Q539">
        <v>687</v>
      </c>
    </row>
    <row r="540" spans="12:17" x14ac:dyDescent="0.35">
      <c r="L540">
        <v>538</v>
      </c>
      <c r="M540">
        <v>0</v>
      </c>
      <c r="N540">
        <v>0</v>
      </c>
      <c r="Q540">
        <v>695</v>
      </c>
    </row>
    <row r="541" spans="12:17" x14ac:dyDescent="0.35">
      <c r="L541">
        <v>539</v>
      </c>
      <c r="M541">
        <v>0</v>
      </c>
      <c r="N541">
        <v>0</v>
      </c>
      <c r="Q541">
        <v>679</v>
      </c>
    </row>
    <row r="542" spans="12:17" x14ac:dyDescent="0.35">
      <c r="L542">
        <v>540</v>
      </c>
      <c r="M542">
        <v>0</v>
      </c>
      <c r="N542">
        <v>0</v>
      </c>
      <c r="Q542">
        <v>643</v>
      </c>
    </row>
    <row r="543" spans="12:17" x14ac:dyDescent="0.35">
      <c r="L543">
        <v>541</v>
      </c>
      <c r="M543">
        <v>0</v>
      </c>
      <c r="N543">
        <v>0</v>
      </c>
      <c r="Q543">
        <v>646</v>
      </c>
    </row>
    <row r="544" spans="12:17" x14ac:dyDescent="0.35">
      <c r="L544">
        <v>542</v>
      </c>
      <c r="M544">
        <v>0</v>
      </c>
      <c r="N544">
        <v>0</v>
      </c>
      <c r="Q544">
        <v>627</v>
      </c>
    </row>
    <row r="545" spans="12:17" x14ac:dyDescent="0.35">
      <c r="L545">
        <v>543</v>
      </c>
      <c r="M545">
        <v>0</v>
      </c>
      <c r="N545">
        <v>0</v>
      </c>
      <c r="Q545">
        <v>672</v>
      </c>
    </row>
    <row r="546" spans="12:17" x14ac:dyDescent="0.35">
      <c r="L546">
        <v>544</v>
      </c>
      <c r="M546">
        <v>0</v>
      </c>
      <c r="N546">
        <v>0.125</v>
      </c>
      <c r="Q546">
        <v>660</v>
      </c>
    </row>
    <row r="547" spans="12:17" x14ac:dyDescent="0.35">
      <c r="L547">
        <v>545</v>
      </c>
      <c r="M547">
        <v>0</v>
      </c>
      <c r="N547">
        <v>0.125</v>
      </c>
      <c r="Q547">
        <v>633</v>
      </c>
    </row>
    <row r="548" spans="12:17" x14ac:dyDescent="0.35">
      <c r="L548">
        <v>546</v>
      </c>
      <c r="M548">
        <v>0</v>
      </c>
      <c r="N548">
        <v>0.125</v>
      </c>
      <c r="Q548">
        <v>616</v>
      </c>
    </row>
    <row r="549" spans="12:17" x14ac:dyDescent="0.35">
      <c r="L549">
        <v>547</v>
      </c>
      <c r="M549">
        <v>0</v>
      </c>
      <c r="N549">
        <v>0.125</v>
      </c>
      <c r="Q549">
        <v>626</v>
      </c>
    </row>
    <row r="550" spans="12:17" x14ac:dyDescent="0.35">
      <c r="L550">
        <v>548</v>
      </c>
      <c r="M550">
        <v>1</v>
      </c>
      <c r="N550">
        <v>0.25</v>
      </c>
      <c r="Q550">
        <v>552</v>
      </c>
    </row>
    <row r="551" spans="12:17" x14ac:dyDescent="0.35">
      <c r="L551">
        <v>549</v>
      </c>
      <c r="M551">
        <v>0</v>
      </c>
      <c r="N551">
        <v>0.25</v>
      </c>
      <c r="Q551">
        <v>611</v>
      </c>
    </row>
    <row r="552" spans="12:17" x14ac:dyDescent="0.35">
      <c r="L552">
        <v>550</v>
      </c>
      <c r="M552">
        <v>0</v>
      </c>
      <c r="N552">
        <v>0.25</v>
      </c>
      <c r="Q552">
        <v>589</v>
      </c>
    </row>
    <row r="553" spans="12:17" x14ac:dyDescent="0.35">
      <c r="L553">
        <v>551</v>
      </c>
      <c r="M553">
        <v>0</v>
      </c>
      <c r="N553">
        <v>0.25</v>
      </c>
      <c r="Q553">
        <v>551</v>
      </c>
    </row>
    <row r="554" spans="12:17" x14ac:dyDescent="0.35">
      <c r="L554">
        <v>552</v>
      </c>
      <c r="M554">
        <v>1</v>
      </c>
      <c r="N554">
        <v>0.125</v>
      </c>
      <c r="Q554">
        <v>607</v>
      </c>
    </row>
    <row r="555" spans="12:17" x14ac:dyDescent="0.35">
      <c r="L555">
        <v>553</v>
      </c>
      <c r="M555">
        <v>0</v>
      </c>
      <c r="N555">
        <v>0.125</v>
      </c>
      <c r="Q555">
        <v>537</v>
      </c>
    </row>
    <row r="556" spans="12:17" x14ac:dyDescent="0.35">
      <c r="L556">
        <v>554</v>
      </c>
      <c r="M556">
        <v>0</v>
      </c>
      <c r="N556">
        <v>0.125</v>
      </c>
      <c r="Q556">
        <v>612</v>
      </c>
    </row>
    <row r="557" spans="12:17" x14ac:dyDescent="0.35">
      <c r="L557">
        <v>555</v>
      </c>
      <c r="M557">
        <v>0</v>
      </c>
      <c r="N557">
        <v>0.25</v>
      </c>
      <c r="Q557">
        <v>557</v>
      </c>
    </row>
    <row r="558" spans="12:17" x14ac:dyDescent="0.35">
      <c r="L558">
        <v>556</v>
      </c>
      <c r="M558">
        <v>0</v>
      </c>
      <c r="N558">
        <v>0.125</v>
      </c>
      <c r="Q558">
        <v>557</v>
      </c>
    </row>
    <row r="559" spans="12:17" x14ac:dyDescent="0.35">
      <c r="L559">
        <v>557</v>
      </c>
      <c r="M559">
        <v>0</v>
      </c>
      <c r="N559">
        <v>0.25</v>
      </c>
      <c r="Q559">
        <v>525</v>
      </c>
    </row>
    <row r="560" spans="12:17" x14ac:dyDescent="0.35">
      <c r="L560">
        <v>558</v>
      </c>
      <c r="M560">
        <v>0</v>
      </c>
      <c r="N560">
        <v>0.25</v>
      </c>
      <c r="Q560">
        <v>500</v>
      </c>
    </row>
    <row r="561" spans="12:17" x14ac:dyDescent="0.35">
      <c r="L561">
        <v>559</v>
      </c>
      <c r="M561">
        <v>1</v>
      </c>
      <c r="N561">
        <v>0.25</v>
      </c>
      <c r="Q561">
        <v>507</v>
      </c>
    </row>
    <row r="562" spans="12:17" x14ac:dyDescent="0.35">
      <c r="L562">
        <v>560</v>
      </c>
      <c r="M562">
        <v>0</v>
      </c>
      <c r="N562">
        <v>0.25</v>
      </c>
      <c r="Q562">
        <v>475</v>
      </c>
    </row>
    <row r="563" spans="12:17" x14ac:dyDescent="0.35">
      <c r="L563">
        <v>561</v>
      </c>
      <c r="M563">
        <v>1</v>
      </c>
      <c r="N563">
        <v>0.25</v>
      </c>
      <c r="Q563">
        <v>523</v>
      </c>
    </row>
    <row r="564" spans="12:17" x14ac:dyDescent="0.35">
      <c r="L564">
        <v>562</v>
      </c>
      <c r="M564">
        <v>0</v>
      </c>
      <c r="N564">
        <v>0.25</v>
      </c>
      <c r="Q564">
        <v>442</v>
      </c>
    </row>
    <row r="565" spans="12:17" x14ac:dyDescent="0.35">
      <c r="L565">
        <v>563</v>
      </c>
      <c r="M565">
        <v>0</v>
      </c>
      <c r="N565">
        <v>0.125</v>
      </c>
      <c r="Q565">
        <v>486</v>
      </c>
    </row>
    <row r="566" spans="12:17" x14ac:dyDescent="0.35">
      <c r="L566">
        <v>564</v>
      </c>
      <c r="M566">
        <v>0</v>
      </c>
      <c r="N566">
        <v>0.125</v>
      </c>
      <c r="Q566">
        <v>447</v>
      </c>
    </row>
    <row r="567" spans="12:17" x14ac:dyDescent="0.35">
      <c r="L567">
        <v>565</v>
      </c>
      <c r="M567">
        <v>0</v>
      </c>
      <c r="N567">
        <v>0</v>
      </c>
      <c r="Q567">
        <v>479</v>
      </c>
    </row>
    <row r="568" spans="12:17" x14ac:dyDescent="0.35">
      <c r="L568">
        <v>566</v>
      </c>
      <c r="M568">
        <v>0</v>
      </c>
      <c r="N568">
        <v>0</v>
      </c>
      <c r="Q568">
        <v>450</v>
      </c>
    </row>
    <row r="569" spans="12:17" x14ac:dyDescent="0.35">
      <c r="L569">
        <v>567</v>
      </c>
      <c r="M569">
        <v>0</v>
      </c>
      <c r="N569">
        <v>0</v>
      </c>
      <c r="Q569">
        <v>437</v>
      </c>
    </row>
    <row r="570" spans="12:17" x14ac:dyDescent="0.35">
      <c r="L570">
        <v>568</v>
      </c>
      <c r="M570">
        <v>0</v>
      </c>
      <c r="N570">
        <v>0</v>
      </c>
      <c r="Q570">
        <v>420</v>
      </c>
    </row>
    <row r="571" spans="12:17" x14ac:dyDescent="0.35">
      <c r="L571">
        <v>569</v>
      </c>
      <c r="M571">
        <v>0</v>
      </c>
      <c r="N571">
        <v>0</v>
      </c>
      <c r="Q571">
        <v>389</v>
      </c>
    </row>
    <row r="572" spans="12:17" x14ac:dyDescent="0.35">
      <c r="L572">
        <v>570</v>
      </c>
      <c r="M572">
        <v>0</v>
      </c>
      <c r="N572">
        <v>0</v>
      </c>
      <c r="Q572">
        <v>442</v>
      </c>
    </row>
    <row r="573" spans="12:17" x14ac:dyDescent="0.35">
      <c r="L573">
        <v>571</v>
      </c>
      <c r="M573">
        <v>0</v>
      </c>
      <c r="N573">
        <v>0</v>
      </c>
      <c r="Q573">
        <v>402</v>
      </c>
    </row>
    <row r="574" spans="12:17" x14ac:dyDescent="0.35">
      <c r="L574">
        <v>572</v>
      </c>
      <c r="M574">
        <v>0</v>
      </c>
      <c r="N574">
        <v>0</v>
      </c>
      <c r="Q574">
        <v>429</v>
      </c>
    </row>
    <row r="575" spans="12:17" x14ac:dyDescent="0.35">
      <c r="L575">
        <v>573</v>
      </c>
      <c r="M575">
        <v>0</v>
      </c>
      <c r="N575">
        <v>0</v>
      </c>
      <c r="Q575">
        <v>385</v>
      </c>
    </row>
    <row r="576" spans="12:17" x14ac:dyDescent="0.35">
      <c r="L576">
        <v>574</v>
      </c>
      <c r="M576">
        <v>0</v>
      </c>
      <c r="N576">
        <v>0</v>
      </c>
      <c r="Q576">
        <v>424</v>
      </c>
    </row>
    <row r="577" spans="12:17" x14ac:dyDescent="0.35">
      <c r="L577">
        <v>575</v>
      </c>
      <c r="M577">
        <v>0</v>
      </c>
      <c r="N577">
        <v>0</v>
      </c>
      <c r="Q577">
        <v>402</v>
      </c>
    </row>
    <row r="578" spans="12:17" x14ac:dyDescent="0.35">
      <c r="L578">
        <v>576</v>
      </c>
      <c r="M578">
        <v>0</v>
      </c>
      <c r="N578">
        <v>0</v>
      </c>
      <c r="Q578">
        <v>380</v>
      </c>
    </row>
    <row r="579" spans="12:17" x14ac:dyDescent="0.35">
      <c r="L579">
        <v>577</v>
      </c>
      <c r="M579">
        <v>0</v>
      </c>
      <c r="N579">
        <v>0</v>
      </c>
      <c r="Q579">
        <v>385</v>
      </c>
    </row>
    <row r="580" spans="12:17" x14ac:dyDescent="0.35">
      <c r="L580">
        <v>578</v>
      </c>
      <c r="M580">
        <v>0</v>
      </c>
      <c r="N580">
        <v>0</v>
      </c>
      <c r="Q580">
        <v>391</v>
      </c>
    </row>
    <row r="581" spans="12:17" x14ac:dyDescent="0.35">
      <c r="L581">
        <v>579</v>
      </c>
      <c r="M581">
        <v>0</v>
      </c>
      <c r="N581">
        <v>0</v>
      </c>
      <c r="Q581">
        <v>363</v>
      </c>
    </row>
    <row r="582" spans="12:17" x14ac:dyDescent="0.35">
      <c r="L582">
        <v>580</v>
      </c>
      <c r="M582">
        <v>0</v>
      </c>
      <c r="N582">
        <v>0</v>
      </c>
      <c r="Q582">
        <v>341</v>
      </c>
    </row>
    <row r="583" spans="12:17" x14ac:dyDescent="0.35">
      <c r="L583">
        <v>581</v>
      </c>
      <c r="M583">
        <v>0</v>
      </c>
      <c r="N583">
        <v>0.125</v>
      </c>
      <c r="Q583">
        <v>340</v>
      </c>
    </row>
    <row r="584" spans="12:17" x14ac:dyDescent="0.35">
      <c r="L584">
        <v>582</v>
      </c>
      <c r="M584">
        <v>0</v>
      </c>
      <c r="N584">
        <v>0.125</v>
      </c>
      <c r="Q584">
        <v>345</v>
      </c>
    </row>
    <row r="585" spans="12:17" x14ac:dyDescent="0.35">
      <c r="L585">
        <v>583</v>
      </c>
      <c r="M585">
        <v>0</v>
      </c>
      <c r="N585">
        <v>0.125</v>
      </c>
      <c r="Q585">
        <v>289</v>
      </c>
    </row>
    <row r="586" spans="12:17" x14ac:dyDescent="0.35">
      <c r="L586">
        <v>584</v>
      </c>
      <c r="M586">
        <v>0</v>
      </c>
      <c r="N586">
        <v>0.125</v>
      </c>
      <c r="Q586">
        <v>318</v>
      </c>
    </row>
    <row r="587" spans="12:17" x14ac:dyDescent="0.35">
      <c r="L587">
        <v>585</v>
      </c>
      <c r="M587">
        <v>1</v>
      </c>
      <c r="N587">
        <v>0.125</v>
      </c>
      <c r="Q587">
        <v>311</v>
      </c>
    </row>
    <row r="588" spans="12:17" x14ac:dyDescent="0.35">
      <c r="L588">
        <v>586</v>
      </c>
      <c r="M588">
        <v>0</v>
      </c>
      <c r="N588">
        <v>0.125</v>
      </c>
      <c r="Q588">
        <v>327</v>
      </c>
    </row>
    <row r="589" spans="12:17" x14ac:dyDescent="0.35">
      <c r="L589">
        <v>587</v>
      </c>
      <c r="M589">
        <v>0</v>
      </c>
      <c r="N589">
        <v>0.125</v>
      </c>
      <c r="Q589">
        <v>282</v>
      </c>
    </row>
    <row r="590" spans="12:17" x14ac:dyDescent="0.35">
      <c r="L590">
        <v>588</v>
      </c>
      <c r="M590">
        <v>0</v>
      </c>
      <c r="N590">
        <v>0.125</v>
      </c>
      <c r="Q590">
        <v>295</v>
      </c>
    </row>
    <row r="591" spans="12:17" x14ac:dyDescent="0.35">
      <c r="L591">
        <v>589</v>
      </c>
      <c r="M591">
        <v>0</v>
      </c>
      <c r="N591">
        <v>0</v>
      </c>
      <c r="Q591">
        <v>269</v>
      </c>
    </row>
    <row r="592" spans="12:17" x14ac:dyDescent="0.35">
      <c r="L592">
        <v>590</v>
      </c>
      <c r="M592">
        <v>0</v>
      </c>
      <c r="N592">
        <v>0</v>
      </c>
      <c r="Q592">
        <v>287</v>
      </c>
    </row>
    <row r="593" spans="12:17" x14ac:dyDescent="0.35">
      <c r="L593">
        <v>591</v>
      </c>
      <c r="M593">
        <v>0</v>
      </c>
      <c r="N593">
        <v>0</v>
      </c>
      <c r="Q593">
        <v>290</v>
      </c>
    </row>
    <row r="594" spans="12:17" x14ac:dyDescent="0.35">
      <c r="L594">
        <v>592</v>
      </c>
      <c r="M594">
        <v>0</v>
      </c>
      <c r="N594">
        <v>0</v>
      </c>
      <c r="Q594">
        <v>268</v>
      </c>
    </row>
    <row r="595" spans="12:17" x14ac:dyDescent="0.35">
      <c r="L595">
        <v>593</v>
      </c>
      <c r="M595">
        <v>0</v>
      </c>
      <c r="N595">
        <v>0</v>
      </c>
      <c r="Q595">
        <v>280</v>
      </c>
    </row>
    <row r="596" spans="12:17" x14ac:dyDescent="0.35">
      <c r="L596">
        <v>594</v>
      </c>
      <c r="M596">
        <v>0</v>
      </c>
      <c r="N596">
        <v>0</v>
      </c>
      <c r="Q596">
        <v>263</v>
      </c>
    </row>
    <row r="597" spans="12:17" x14ac:dyDescent="0.35">
      <c r="L597">
        <v>595</v>
      </c>
      <c r="M597">
        <v>0</v>
      </c>
      <c r="N597">
        <v>0.125</v>
      </c>
      <c r="Q597">
        <v>237</v>
      </c>
    </row>
    <row r="598" spans="12:17" x14ac:dyDescent="0.35">
      <c r="L598">
        <v>596</v>
      </c>
      <c r="M598">
        <v>0</v>
      </c>
      <c r="N598">
        <v>0.25</v>
      </c>
      <c r="Q598">
        <v>233</v>
      </c>
    </row>
    <row r="599" spans="12:17" x14ac:dyDescent="0.35">
      <c r="L599">
        <v>597</v>
      </c>
      <c r="M599">
        <v>0</v>
      </c>
      <c r="N599">
        <v>0.25</v>
      </c>
      <c r="Q599">
        <v>229</v>
      </c>
    </row>
    <row r="600" spans="12:17" x14ac:dyDescent="0.35">
      <c r="L600">
        <v>598</v>
      </c>
      <c r="M600">
        <v>0</v>
      </c>
      <c r="N600">
        <v>0.25</v>
      </c>
      <c r="Q600">
        <v>230</v>
      </c>
    </row>
    <row r="601" spans="12:17" x14ac:dyDescent="0.35">
      <c r="L601">
        <v>599</v>
      </c>
      <c r="M601">
        <v>1</v>
      </c>
      <c r="N601">
        <v>0.25</v>
      </c>
      <c r="Q601">
        <v>235</v>
      </c>
    </row>
    <row r="602" spans="12:17" x14ac:dyDescent="0.35">
      <c r="L602">
        <v>600</v>
      </c>
      <c r="M602">
        <v>1</v>
      </c>
      <c r="N602">
        <v>0.25</v>
      </c>
      <c r="Q602">
        <v>230</v>
      </c>
    </row>
    <row r="603" spans="12:17" x14ac:dyDescent="0.35">
      <c r="L603">
        <v>601</v>
      </c>
      <c r="M603">
        <v>0</v>
      </c>
      <c r="N603">
        <v>0.375</v>
      </c>
      <c r="Q603">
        <v>227</v>
      </c>
    </row>
    <row r="604" spans="12:17" x14ac:dyDescent="0.35">
      <c r="L604">
        <v>602</v>
      </c>
      <c r="M604">
        <v>0</v>
      </c>
      <c r="N604">
        <v>0.375</v>
      </c>
      <c r="Q604">
        <v>191</v>
      </c>
    </row>
    <row r="605" spans="12:17" x14ac:dyDescent="0.35">
      <c r="L605">
        <v>603</v>
      </c>
      <c r="M605">
        <v>0</v>
      </c>
      <c r="N605">
        <v>0.25</v>
      </c>
      <c r="Q605">
        <v>206</v>
      </c>
    </row>
    <row r="606" spans="12:17" x14ac:dyDescent="0.35">
      <c r="L606">
        <v>604</v>
      </c>
      <c r="M606">
        <v>0</v>
      </c>
      <c r="N606">
        <v>0.125</v>
      </c>
      <c r="Q606">
        <v>190</v>
      </c>
    </row>
    <row r="607" spans="12:17" x14ac:dyDescent="0.35">
      <c r="L607">
        <v>605</v>
      </c>
      <c r="M607">
        <v>1</v>
      </c>
      <c r="N607">
        <v>0.125</v>
      </c>
      <c r="Q607">
        <v>157</v>
      </c>
    </row>
    <row r="608" spans="12:17" x14ac:dyDescent="0.35">
      <c r="L608">
        <v>606</v>
      </c>
      <c r="M608">
        <v>0</v>
      </c>
      <c r="N608">
        <v>0.25</v>
      </c>
      <c r="Q608">
        <v>175</v>
      </c>
    </row>
    <row r="609" spans="12:17" x14ac:dyDescent="0.35">
      <c r="L609">
        <v>607</v>
      </c>
      <c r="M609">
        <v>0</v>
      </c>
      <c r="N609">
        <v>0.25</v>
      </c>
      <c r="Q609">
        <v>190</v>
      </c>
    </row>
    <row r="610" spans="12:17" x14ac:dyDescent="0.35">
      <c r="L610">
        <v>608</v>
      </c>
      <c r="M610">
        <v>0</v>
      </c>
      <c r="N610">
        <v>0.375</v>
      </c>
      <c r="Q610">
        <v>181</v>
      </c>
    </row>
    <row r="611" spans="12:17" x14ac:dyDescent="0.35">
      <c r="L611">
        <v>609</v>
      </c>
      <c r="M611">
        <v>0</v>
      </c>
      <c r="N611">
        <v>0.25</v>
      </c>
      <c r="Q611">
        <v>170</v>
      </c>
    </row>
    <row r="612" spans="12:17" x14ac:dyDescent="0.35">
      <c r="L612">
        <v>610</v>
      </c>
      <c r="M612">
        <v>1</v>
      </c>
      <c r="N612">
        <v>0.25</v>
      </c>
      <c r="Q612">
        <v>155</v>
      </c>
    </row>
    <row r="613" spans="12:17" x14ac:dyDescent="0.35">
      <c r="L613">
        <v>611</v>
      </c>
      <c r="M613">
        <v>0</v>
      </c>
      <c r="N613">
        <v>0.375</v>
      </c>
      <c r="Q613">
        <v>196</v>
      </c>
    </row>
    <row r="614" spans="12:17" x14ac:dyDescent="0.35">
      <c r="L614">
        <v>612</v>
      </c>
      <c r="M614">
        <v>1</v>
      </c>
      <c r="N614">
        <v>0.375</v>
      </c>
      <c r="Q614">
        <v>181</v>
      </c>
    </row>
    <row r="615" spans="12:17" x14ac:dyDescent="0.35">
      <c r="L615">
        <v>613</v>
      </c>
      <c r="M615">
        <v>0</v>
      </c>
      <c r="N615">
        <v>0.375</v>
      </c>
      <c r="Q615">
        <v>173</v>
      </c>
    </row>
    <row r="616" spans="12:17" x14ac:dyDescent="0.35">
      <c r="L616">
        <v>614</v>
      </c>
      <c r="M616">
        <v>0</v>
      </c>
      <c r="N616">
        <v>0.25</v>
      </c>
      <c r="Q616">
        <v>163</v>
      </c>
    </row>
    <row r="617" spans="12:17" x14ac:dyDescent="0.35">
      <c r="L617">
        <v>615</v>
      </c>
      <c r="M617">
        <v>1</v>
      </c>
      <c r="N617">
        <v>0.25</v>
      </c>
      <c r="Q617">
        <v>180</v>
      </c>
    </row>
    <row r="618" spans="12:17" x14ac:dyDescent="0.35">
      <c r="L618">
        <v>616</v>
      </c>
      <c r="M618">
        <v>0</v>
      </c>
      <c r="N618">
        <v>0.125</v>
      </c>
      <c r="Q618">
        <v>142</v>
      </c>
    </row>
    <row r="619" spans="12:17" x14ac:dyDescent="0.35">
      <c r="L619">
        <v>617</v>
      </c>
      <c r="M619">
        <v>0</v>
      </c>
      <c r="N619">
        <v>0.125</v>
      </c>
      <c r="Q619">
        <v>138</v>
      </c>
    </row>
    <row r="620" spans="12:17" x14ac:dyDescent="0.35">
      <c r="L620">
        <v>618</v>
      </c>
      <c r="M620">
        <v>0</v>
      </c>
      <c r="N620">
        <v>0.125</v>
      </c>
      <c r="Q620">
        <v>139</v>
      </c>
    </row>
    <row r="621" spans="12:17" x14ac:dyDescent="0.35">
      <c r="L621">
        <v>619</v>
      </c>
      <c r="M621">
        <v>0</v>
      </c>
      <c r="N621">
        <v>0</v>
      </c>
      <c r="Q621">
        <v>137</v>
      </c>
    </row>
    <row r="622" spans="12:17" x14ac:dyDescent="0.35">
      <c r="L622">
        <v>620</v>
      </c>
      <c r="M622">
        <v>0</v>
      </c>
      <c r="N622">
        <v>0</v>
      </c>
      <c r="Q622">
        <v>139</v>
      </c>
    </row>
    <row r="623" spans="12:17" x14ac:dyDescent="0.35">
      <c r="L623">
        <v>621</v>
      </c>
      <c r="M623">
        <v>0</v>
      </c>
      <c r="N623">
        <v>0</v>
      </c>
      <c r="Q623">
        <v>127</v>
      </c>
    </row>
    <row r="624" spans="12:17" x14ac:dyDescent="0.35">
      <c r="L624">
        <v>622</v>
      </c>
      <c r="M624">
        <v>0</v>
      </c>
      <c r="N624">
        <v>0</v>
      </c>
      <c r="Q624">
        <v>125</v>
      </c>
    </row>
    <row r="625" spans="12:17" x14ac:dyDescent="0.35">
      <c r="L625">
        <v>623</v>
      </c>
      <c r="M625">
        <v>0</v>
      </c>
      <c r="N625">
        <v>0</v>
      </c>
      <c r="Q625">
        <v>140</v>
      </c>
    </row>
    <row r="626" spans="12:17" x14ac:dyDescent="0.35">
      <c r="L626">
        <v>624</v>
      </c>
      <c r="M626">
        <v>0</v>
      </c>
      <c r="N626">
        <v>0</v>
      </c>
      <c r="Q626">
        <v>140</v>
      </c>
    </row>
    <row r="627" spans="12:17" x14ac:dyDescent="0.35">
      <c r="L627">
        <v>625</v>
      </c>
      <c r="M627">
        <v>0</v>
      </c>
      <c r="N627">
        <v>0</v>
      </c>
      <c r="Q627">
        <v>110</v>
      </c>
    </row>
    <row r="628" spans="12:17" x14ac:dyDescent="0.35">
      <c r="L628">
        <v>626</v>
      </c>
      <c r="M628">
        <v>0</v>
      </c>
      <c r="N628">
        <v>0</v>
      </c>
      <c r="Q628">
        <v>120</v>
      </c>
    </row>
    <row r="629" spans="12:17" x14ac:dyDescent="0.35">
      <c r="L629">
        <v>627</v>
      </c>
      <c r="M629">
        <v>0</v>
      </c>
      <c r="N629">
        <v>0.125</v>
      </c>
      <c r="Q629">
        <v>123</v>
      </c>
    </row>
    <row r="630" spans="12:17" x14ac:dyDescent="0.35">
      <c r="L630">
        <v>628</v>
      </c>
      <c r="M630">
        <v>0</v>
      </c>
      <c r="N630">
        <v>0.125</v>
      </c>
      <c r="Q630">
        <v>87</v>
      </c>
    </row>
    <row r="631" spans="12:17" x14ac:dyDescent="0.35">
      <c r="L631">
        <v>629</v>
      </c>
      <c r="M631">
        <v>0</v>
      </c>
      <c r="N631">
        <v>0.25</v>
      </c>
      <c r="Q631">
        <v>105</v>
      </c>
    </row>
    <row r="632" spans="12:17" x14ac:dyDescent="0.35">
      <c r="L632">
        <v>630</v>
      </c>
      <c r="M632">
        <v>0</v>
      </c>
      <c r="N632">
        <v>0.25</v>
      </c>
      <c r="Q632">
        <v>100</v>
      </c>
    </row>
    <row r="633" spans="12:17" x14ac:dyDescent="0.35">
      <c r="L633">
        <v>631</v>
      </c>
      <c r="M633">
        <v>1</v>
      </c>
      <c r="N633">
        <v>0.25</v>
      </c>
      <c r="Q633">
        <v>93</v>
      </c>
    </row>
    <row r="634" spans="12:17" x14ac:dyDescent="0.35">
      <c r="L634">
        <v>632</v>
      </c>
      <c r="M634">
        <v>0</v>
      </c>
      <c r="N634">
        <v>0.25</v>
      </c>
      <c r="Q634">
        <v>114</v>
      </c>
    </row>
    <row r="635" spans="12:17" x14ac:dyDescent="0.35">
      <c r="L635">
        <v>633</v>
      </c>
      <c r="M635">
        <v>1</v>
      </c>
      <c r="N635">
        <v>0.25</v>
      </c>
      <c r="Q635">
        <v>88</v>
      </c>
    </row>
    <row r="636" spans="12:17" x14ac:dyDescent="0.35">
      <c r="L636">
        <v>634</v>
      </c>
      <c r="M636">
        <v>0</v>
      </c>
      <c r="N636">
        <v>0.25</v>
      </c>
      <c r="Q636">
        <v>92</v>
      </c>
    </row>
    <row r="637" spans="12:17" x14ac:dyDescent="0.35">
      <c r="L637">
        <v>635</v>
      </c>
      <c r="M637">
        <v>0</v>
      </c>
      <c r="N637">
        <v>0.125</v>
      </c>
      <c r="Q637">
        <v>94</v>
      </c>
    </row>
    <row r="638" spans="12:17" x14ac:dyDescent="0.35">
      <c r="L638">
        <v>636</v>
      </c>
      <c r="M638">
        <v>0</v>
      </c>
      <c r="N638">
        <v>0.125</v>
      </c>
      <c r="Q638">
        <v>100</v>
      </c>
    </row>
    <row r="639" spans="12:17" x14ac:dyDescent="0.35">
      <c r="L639">
        <v>637</v>
      </c>
      <c r="M639">
        <v>0</v>
      </c>
      <c r="N639">
        <v>0</v>
      </c>
      <c r="Q639">
        <v>92</v>
      </c>
    </row>
    <row r="640" spans="12:17" x14ac:dyDescent="0.35">
      <c r="L640">
        <v>638</v>
      </c>
      <c r="M640">
        <v>0</v>
      </c>
      <c r="N640">
        <v>0</v>
      </c>
      <c r="Q640">
        <v>76</v>
      </c>
    </row>
    <row r="641" spans="12:17" x14ac:dyDescent="0.35">
      <c r="L641">
        <v>639</v>
      </c>
      <c r="M641">
        <v>0</v>
      </c>
      <c r="N641">
        <v>0</v>
      </c>
      <c r="Q641">
        <v>81</v>
      </c>
    </row>
    <row r="642" spans="12:17" x14ac:dyDescent="0.35">
      <c r="L642">
        <v>640</v>
      </c>
      <c r="M642">
        <v>0</v>
      </c>
      <c r="N642">
        <v>0</v>
      </c>
      <c r="Q642">
        <v>73</v>
      </c>
    </row>
    <row r="643" spans="12:17" x14ac:dyDescent="0.35">
      <c r="L643">
        <v>641</v>
      </c>
      <c r="M643">
        <v>0</v>
      </c>
      <c r="N643">
        <v>0</v>
      </c>
      <c r="Q643">
        <v>76</v>
      </c>
    </row>
    <row r="644" spans="12:17" x14ac:dyDescent="0.35">
      <c r="L644">
        <v>642</v>
      </c>
      <c r="M644">
        <v>0</v>
      </c>
      <c r="N644">
        <v>0</v>
      </c>
      <c r="Q644">
        <v>64</v>
      </c>
    </row>
    <row r="645" spans="12:17" x14ac:dyDescent="0.35">
      <c r="L645">
        <v>643</v>
      </c>
      <c r="M645">
        <v>0</v>
      </c>
      <c r="N645">
        <v>0</v>
      </c>
      <c r="Q645">
        <v>73</v>
      </c>
    </row>
    <row r="646" spans="12:17" x14ac:dyDescent="0.35">
      <c r="L646">
        <v>644</v>
      </c>
      <c r="M646">
        <v>0</v>
      </c>
      <c r="N646">
        <v>0</v>
      </c>
      <c r="Q646">
        <v>67</v>
      </c>
    </row>
    <row r="647" spans="12:17" x14ac:dyDescent="0.35">
      <c r="L647">
        <v>645</v>
      </c>
      <c r="M647">
        <v>0</v>
      </c>
      <c r="N647">
        <v>0</v>
      </c>
      <c r="Q647">
        <v>56</v>
      </c>
    </row>
    <row r="648" spans="12:17" x14ac:dyDescent="0.35">
      <c r="L648">
        <v>646</v>
      </c>
      <c r="M648">
        <v>0</v>
      </c>
      <c r="N648">
        <v>0</v>
      </c>
      <c r="Q648">
        <v>68</v>
      </c>
    </row>
    <row r="649" spans="12:17" x14ac:dyDescent="0.35">
      <c r="L649">
        <v>647</v>
      </c>
      <c r="M649">
        <v>0</v>
      </c>
      <c r="N649">
        <v>0</v>
      </c>
      <c r="Q649">
        <v>66</v>
      </c>
    </row>
    <row r="650" spans="12:17" x14ac:dyDescent="0.35">
      <c r="L650">
        <v>648</v>
      </c>
      <c r="M650">
        <v>0</v>
      </c>
      <c r="N650">
        <v>0</v>
      </c>
      <c r="Q650">
        <v>63</v>
      </c>
    </row>
    <row r="651" spans="12:17" x14ac:dyDescent="0.35">
      <c r="L651">
        <v>649</v>
      </c>
      <c r="M651">
        <v>0</v>
      </c>
      <c r="N651">
        <v>0</v>
      </c>
      <c r="Q651">
        <v>62</v>
      </c>
    </row>
    <row r="652" spans="12:17" x14ac:dyDescent="0.35">
      <c r="L652">
        <v>650</v>
      </c>
      <c r="M652">
        <v>0</v>
      </c>
      <c r="N652">
        <v>0</v>
      </c>
      <c r="Q652">
        <v>54</v>
      </c>
    </row>
    <row r="653" spans="12:17" x14ac:dyDescent="0.35">
      <c r="L653">
        <v>651</v>
      </c>
      <c r="M653">
        <v>0</v>
      </c>
      <c r="N653">
        <v>0</v>
      </c>
      <c r="Q653">
        <v>59</v>
      </c>
    </row>
    <row r="654" spans="12:17" x14ac:dyDescent="0.35">
      <c r="L654">
        <v>652</v>
      </c>
      <c r="M654">
        <v>0</v>
      </c>
      <c r="N654">
        <v>0.125</v>
      </c>
      <c r="Q654">
        <v>43</v>
      </c>
    </row>
    <row r="655" spans="12:17" x14ac:dyDescent="0.35">
      <c r="L655">
        <v>653</v>
      </c>
      <c r="M655">
        <v>0</v>
      </c>
      <c r="N655">
        <v>0.125</v>
      </c>
      <c r="Q655">
        <v>51</v>
      </c>
    </row>
    <row r="656" spans="12:17" x14ac:dyDescent="0.35">
      <c r="L656">
        <v>654</v>
      </c>
      <c r="M656">
        <v>0</v>
      </c>
      <c r="N656">
        <v>0.125</v>
      </c>
      <c r="Q656">
        <v>55</v>
      </c>
    </row>
    <row r="657" spans="12:17" x14ac:dyDescent="0.35">
      <c r="L657">
        <v>655</v>
      </c>
      <c r="M657">
        <v>0</v>
      </c>
      <c r="N657">
        <v>0.125</v>
      </c>
      <c r="Q657">
        <v>53</v>
      </c>
    </row>
    <row r="658" spans="12:17" x14ac:dyDescent="0.35">
      <c r="L658">
        <v>656</v>
      </c>
      <c r="M658">
        <v>1</v>
      </c>
      <c r="N658">
        <v>0.125</v>
      </c>
      <c r="Q658">
        <v>46</v>
      </c>
    </row>
    <row r="659" spans="12:17" x14ac:dyDescent="0.35">
      <c r="L659">
        <v>657</v>
      </c>
      <c r="M659">
        <v>0</v>
      </c>
      <c r="N659">
        <v>0.125</v>
      </c>
      <c r="Q659">
        <v>43</v>
      </c>
    </row>
    <row r="660" spans="12:17" x14ac:dyDescent="0.35">
      <c r="L660">
        <v>658</v>
      </c>
      <c r="M660">
        <v>0</v>
      </c>
      <c r="N660">
        <v>0.125</v>
      </c>
      <c r="Q660">
        <v>36</v>
      </c>
    </row>
    <row r="661" spans="12:17" x14ac:dyDescent="0.35">
      <c r="L661">
        <v>659</v>
      </c>
      <c r="M661">
        <v>0</v>
      </c>
      <c r="N661">
        <v>0.125</v>
      </c>
      <c r="Q661">
        <v>54</v>
      </c>
    </row>
    <row r="662" spans="12:17" x14ac:dyDescent="0.35">
      <c r="L662">
        <v>660</v>
      </c>
      <c r="M662">
        <v>0</v>
      </c>
      <c r="N662">
        <v>0</v>
      </c>
      <c r="Q662">
        <v>37</v>
      </c>
    </row>
    <row r="663" spans="12:17" x14ac:dyDescent="0.35">
      <c r="L663">
        <v>661</v>
      </c>
      <c r="M663">
        <v>0</v>
      </c>
      <c r="N663">
        <v>0</v>
      </c>
      <c r="Q663">
        <v>43</v>
      </c>
    </row>
    <row r="664" spans="12:17" x14ac:dyDescent="0.35">
      <c r="L664">
        <v>662</v>
      </c>
      <c r="M664">
        <v>0</v>
      </c>
      <c r="N664">
        <v>0</v>
      </c>
      <c r="Q664">
        <v>40</v>
      </c>
    </row>
    <row r="665" spans="12:17" x14ac:dyDescent="0.35">
      <c r="L665">
        <v>663</v>
      </c>
      <c r="M665">
        <v>0</v>
      </c>
      <c r="N665">
        <v>0</v>
      </c>
      <c r="Q665">
        <v>43</v>
      </c>
    </row>
    <row r="666" spans="12:17" x14ac:dyDescent="0.35">
      <c r="L666">
        <v>664</v>
      </c>
      <c r="M666">
        <v>0</v>
      </c>
      <c r="N666">
        <v>0</v>
      </c>
      <c r="Q666">
        <v>40</v>
      </c>
    </row>
    <row r="667" spans="12:17" x14ac:dyDescent="0.35">
      <c r="L667">
        <v>665</v>
      </c>
      <c r="M667">
        <v>0</v>
      </c>
      <c r="N667">
        <v>0</v>
      </c>
      <c r="Q667">
        <v>38</v>
      </c>
    </row>
    <row r="668" spans="12:17" x14ac:dyDescent="0.35">
      <c r="L668">
        <v>666</v>
      </c>
      <c r="M668">
        <v>0</v>
      </c>
      <c r="N668">
        <v>0</v>
      </c>
      <c r="Q668">
        <v>36</v>
      </c>
    </row>
    <row r="669" spans="12:17" x14ac:dyDescent="0.35">
      <c r="L669">
        <v>667</v>
      </c>
      <c r="M669">
        <v>0</v>
      </c>
      <c r="N669">
        <v>0</v>
      </c>
      <c r="Q669">
        <v>32</v>
      </c>
    </row>
    <row r="670" spans="12:17" x14ac:dyDescent="0.35">
      <c r="L670">
        <v>668</v>
      </c>
      <c r="M670">
        <v>0</v>
      </c>
      <c r="N670">
        <v>0</v>
      </c>
      <c r="Q670">
        <v>31</v>
      </c>
    </row>
    <row r="671" spans="12:17" x14ac:dyDescent="0.35">
      <c r="L671">
        <v>669</v>
      </c>
      <c r="M671">
        <v>0</v>
      </c>
      <c r="N671">
        <v>0</v>
      </c>
      <c r="Q671">
        <v>35</v>
      </c>
    </row>
    <row r="672" spans="12:17" x14ac:dyDescent="0.35">
      <c r="L672">
        <v>670</v>
      </c>
      <c r="M672">
        <v>0</v>
      </c>
      <c r="N672">
        <v>0</v>
      </c>
      <c r="Q672">
        <v>25</v>
      </c>
    </row>
    <row r="673" spans="12:17" x14ac:dyDescent="0.35">
      <c r="L673">
        <v>671</v>
      </c>
      <c r="M673">
        <v>0</v>
      </c>
      <c r="N673">
        <v>0</v>
      </c>
      <c r="Q673">
        <v>30</v>
      </c>
    </row>
    <row r="674" spans="12:17" x14ac:dyDescent="0.35">
      <c r="L674">
        <v>672</v>
      </c>
      <c r="M674">
        <v>0</v>
      </c>
      <c r="N674">
        <v>0</v>
      </c>
      <c r="Q674">
        <v>28</v>
      </c>
    </row>
    <row r="675" spans="12:17" x14ac:dyDescent="0.35">
      <c r="L675">
        <v>673</v>
      </c>
      <c r="M675">
        <v>0</v>
      </c>
      <c r="N675">
        <v>0.125</v>
      </c>
      <c r="Q675">
        <v>23</v>
      </c>
    </row>
    <row r="676" spans="12:17" x14ac:dyDescent="0.35">
      <c r="L676">
        <v>674</v>
      </c>
      <c r="M676">
        <v>0</v>
      </c>
      <c r="N676">
        <v>0.125</v>
      </c>
      <c r="Q676">
        <v>32</v>
      </c>
    </row>
    <row r="677" spans="12:17" x14ac:dyDescent="0.35">
      <c r="L677">
        <v>675</v>
      </c>
      <c r="M677">
        <v>0</v>
      </c>
      <c r="N677">
        <v>0.125</v>
      </c>
      <c r="Q677">
        <v>28</v>
      </c>
    </row>
    <row r="678" spans="12:17" x14ac:dyDescent="0.35">
      <c r="L678">
        <v>676</v>
      </c>
      <c r="M678">
        <v>0</v>
      </c>
      <c r="N678">
        <v>0.125</v>
      </c>
      <c r="Q678">
        <v>26</v>
      </c>
    </row>
    <row r="679" spans="12:17" x14ac:dyDescent="0.35">
      <c r="L679">
        <v>677</v>
      </c>
      <c r="M679">
        <v>1</v>
      </c>
      <c r="N679">
        <v>0.125</v>
      </c>
      <c r="Q679">
        <v>18</v>
      </c>
    </row>
    <row r="680" spans="12:17" x14ac:dyDescent="0.35">
      <c r="L680">
        <v>678</v>
      </c>
      <c r="M680">
        <v>0</v>
      </c>
      <c r="N680">
        <v>0.125</v>
      </c>
      <c r="Q680">
        <v>17</v>
      </c>
    </row>
    <row r="681" spans="12:17" x14ac:dyDescent="0.35">
      <c r="L681">
        <v>679</v>
      </c>
      <c r="M681">
        <v>0</v>
      </c>
      <c r="N681">
        <v>0.125</v>
      </c>
      <c r="Q681">
        <v>28</v>
      </c>
    </row>
    <row r="682" spans="12:17" x14ac:dyDescent="0.35">
      <c r="L682">
        <v>680</v>
      </c>
      <c r="M682">
        <v>0</v>
      </c>
      <c r="N682">
        <v>0.125</v>
      </c>
      <c r="Q682">
        <v>16</v>
      </c>
    </row>
    <row r="683" spans="12:17" x14ac:dyDescent="0.35">
      <c r="L683">
        <v>681</v>
      </c>
      <c r="M683">
        <v>0</v>
      </c>
      <c r="N683">
        <v>0</v>
      </c>
      <c r="Q683">
        <v>27</v>
      </c>
    </row>
    <row r="684" spans="12:17" x14ac:dyDescent="0.35">
      <c r="L684">
        <v>682</v>
      </c>
      <c r="M684">
        <v>0</v>
      </c>
      <c r="N684">
        <v>0</v>
      </c>
      <c r="Q684">
        <v>22</v>
      </c>
    </row>
    <row r="685" spans="12:17" x14ac:dyDescent="0.35">
      <c r="L685">
        <v>683</v>
      </c>
      <c r="M685">
        <v>0</v>
      </c>
      <c r="N685">
        <v>0.125</v>
      </c>
      <c r="Q685">
        <v>17</v>
      </c>
    </row>
    <row r="686" spans="12:17" x14ac:dyDescent="0.35">
      <c r="L686">
        <v>684</v>
      </c>
      <c r="M686">
        <v>0</v>
      </c>
      <c r="Q686">
        <v>23</v>
      </c>
    </row>
    <row r="687" spans="12:17" x14ac:dyDescent="0.35">
      <c r="L687">
        <v>685</v>
      </c>
      <c r="M687">
        <v>0</v>
      </c>
      <c r="Q687">
        <v>34</v>
      </c>
    </row>
    <row r="688" spans="12:17" x14ac:dyDescent="0.35">
      <c r="L688">
        <v>686</v>
      </c>
      <c r="M688">
        <v>0</v>
      </c>
      <c r="Q688">
        <v>23</v>
      </c>
    </row>
    <row r="689" spans="12:17" x14ac:dyDescent="0.35">
      <c r="L689">
        <v>687</v>
      </c>
      <c r="M689">
        <v>1</v>
      </c>
      <c r="Q689">
        <v>26</v>
      </c>
    </row>
    <row r="690" spans="12:17" x14ac:dyDescent="0.35">
      <c r="L690">
        <v>688</v>
      </c>
      <c r="M690">
        <v>0</v>
      </c>
      <c r="Q690">
        <v>27</v>
      </c>
    </row>
    <row r="691" spans="12:17" x14ac:dyDescent="0.35">
      <c r="L691">
        <v>689</v>
      </c>
      <c r="M691">
        <v>0</v>
      </c>
      <c r="Q691">
        <v>27</v>
      </c>
    </row>
    <row r="692" spans="12:17" x14ac:dyDescent="0.35">
      <c r="L692">
        <v>690</v>
      </c>
      <c r="M692">
        <v>0</v>
      </c>
      <c r="Q692">
        <v>22</v>
      </c>
    </row>
    <row r="693" spans="12:17" x14ac:dyDescent="0.35">
      <c r="L693">
        <v>691</v>
      </c>
      <c r="M693">
        <v>0</v>
      </c>
      <c r="Q693">
        <v>16</v>
      </c>
    </row>
    <row r="694" spans="12:17" x14ac:dyDescent="0.35">
      <c r="L694">
        <v>692</v>
      </c>
      <c r="M694">
        <v>0</v>
      </c>
      <c r="Q694">
        <v>28</v>
      </c>
    </row>
    <row r="695" spans="12:17" x14ac:dyDescent="0.35">
      <c r="L695">
        <v>693</v>
      </c>
      <c r="M695">
        <v>0</v>
      </c>
      <c r="Q695">
        <v>23</v>
      </c>
    </row>
    <row r="696" spans="12:17" x14ac:dyDescent="0.35">
      <c r="L696">
        <v>694</v>
      </c>
      <c r="M696">
        <v>0</v>
      </c>
      <c r="Q696">
        <v>17</v>
      </c>
    </row>
    <row r="697" spans="12:17" x14ac:dyDescent="0.35">
      <c r="L697">
        <v>695</v>
      </c>
      <c r="M697">
        <v>0</v>
      </c>
      <c r="Q697">
        <v>18</v>
      </c>
    </row>
    <row r="698" spans="12:17" x14ac:dyDescent="0.35">
      <c r="L698">
        <v>696</v>
      </c>
      <c r="M698">
        <v>0</v>
      </c>
      <c r="Q698">
        <v>27</v>
      </c>
    </row>
    <row r="699" spans="12:17" x14ac:dyDescent="0.35">
      <c r="L699">
        <v>697</v>
      </c>
      <c r="M699">
        <v>0</v>
      </c>
      <c r="Q699">
        <v>25</v>
      </c>
    </row>
    <row r="700" spans="12:17" x14ac:dyDescent="0.35">
      <c r="L700">
        <v>698</v>
      </c>
      <c r="M700">
        <v>0</v>
      </c>
      <c r="Q700">
        <v>9</v>
      </c>
    </row>
    <row r="701" spans="12:17" x14ac:dyDescent="0.35">
      <c r="L701">
        <v>699</v>
      </c>
      <c r="M701">
        <v>0</v>
      </c>
      <c r="Q701">
        <v>20</v>
      </c>
    </row>
    <row r="702" spans="12:17" x14ac:dyDescent="0.35">
      <c r="L702">
        <v>700</v>
      </c>
      <c r="M702">
        <v>0</v>
      </c>
      <c r="Q702">
        <v>14</v>
      </c>
    </row>
    <row r="703" spans="12:17" x14ac:dyDescent="0.35">
      <c r="L703">
        <v>701</v>
      </c>
      <c r="M703">
        <v>0</v>
      </c>
      <c r="Q703">
        <v>14</v>
      </c>
    </row>
    <row r="704" spans="12:17" x14ac:dyDescent="0.35">
      <c r="L704">
        <v>702</v>
      </c>
      <c r="M704">
        <v>0</v>
      </c>
      <c r="Q704">
        <v>14</v>
      </c>
    </row>
    <row r="705" spans="12:17" x14ac:dyDescent="0.35">
      <c r="L705">
        <v>703</v>
      </c>
      <c r="M705">
        <v>0</v>
      </c>
      <c r="Q705">
        <v>11</v>
      </c>
    </row>
    <row r="706" spans="12:17" x14ac:dyDescent="0.35">
      <c r="L706">
        <v>704</v>
      </c>
      <c r="M706">
        <v>0</v>
      </c>
      <c r="Q706">
        <v>12</v>
      </c>
    </row>
    <row r="707" spans="12:17" x14ac:dyDescent="0.35">
      <c r="L707">
        <v>705</v>
      </c>
      <c r="M707">
        <v>0</v>
      </c>
      <c r="Q707">
        <v>12</v>
      </c>
    </row>
    <row r="708" spans="12:17" x14ac:dyDescent="0.35">
      <c r="L708">
        <v>706</v>
      </c>
      <c r="M708">
        <v>0</v>
      </c>
      <c r="Q708">
        <v>22</v>
      </c>
    </row>
    <row r="709" spans="12:17" x14ac:dyDescent="0.35">
      <c r="L709">
        <v>707</v>
      </c>
      <c r="M709">
        <v>0</v>
      </c>
      <c r="Q709">
        <v>21</v>
      </c>
    </row>
    <row r="710" spans="12:17" x14ac:dyDescent="0.35">
      <c r="L710">
        <v>708</v>
      </c>
      <c r="M710">
        <v>0</v>
      </c>
      <c r="Q710">
        <v>13</v>
      </c>
    </row>
    <row r="711" spans="12:17" x14ac:dyDescent="0.35">
      <c r="L711">
        <v>709</v>
      </c>
      <c r="M711">
        <v>0</v>
      </c>
      <c r="Q711">
        <v>14</v>
      </c>
    </row>
    <row r="712" spans="12:17" x14ac:dyDescent="0.35">
      <c r="L712">
        <v>710</v>
      </c>
      <c r="M712">
        <v>0</v>
      </c>
      <c r="Q712">
        <v>22</v>
      </c>
    </row>
    <row r="713" spans="12:17" x14ac:dyDescent="0.35">
      <c r="L713">
        <v>711</v>
      </c>
      <c r="M713">
        <v>0</v>
      </c>
      <c r="Q713">
        <v>21</v>
      </c>
    </row>
    <row r="714" spans="12:17" x14ac:dyDescent="0.35">
      <c r="L714">
        <v>712</v>
      </c>
      <c r="M714">
        <v>0</v>
      </c>
      <c r="Q714">
        <v>14</v>
      </c>
    </row>
    <row r="715" spans="12:17" x14ac:dyDescent="0.35">
      <c r="L715">
        <v>713</v>
      </c>
      <c r="M715">
        <v>0</v>
      </c>
      <c r="Q715">
        <v>12</v>
      </c>
    </row>
    <row r="716" spans="12:17" x14ac:dyDescent="0.35">
      <c r="L716">
        <v>714</v>
      </c>
      <c r="M716">
        <v>0</v>
      </c>
      <c r="Q716">
        <v>17</v>
      </c>
    </row>
    <row r="717" spans="12:17" x14ac:dyDescent="0.35">
      <c r="L717">
        <v>715</v>
      </c>
      <c r="M717">
        <v>0</v>
      </c>
      <c r="Q717">
        <v>13</v>
      </c>
    </row>
    <row r="718" spans="12:17" x14ac:dyDescent="0.35">
      <c r="L718">
        <v>716</v>
      </c>
      <c r="M718">
        <v>0</v>
      </c>
      <c r="Q718">
        <v>20</v>
      </c>
    </row>
    <row r="719" spans="12:17" x14ac:dyDescent="0.35">
      <c r="L719">
        <v>717</v>
      </c>
      <c r="M719">
        <v>0</v>
      </c>
      <c r="Q719">
        <v>10</v>
      </c>
    </row>
    <row r="720" spans="12:17" x14ac:dyDescent="0.35">
      <c r="L720">
        <v>718</v>
      </c>
      <c r="M720">
        <v>0</v>
      </c>
      <c r="Q720">
        <v>8</v>
      </c>
    </row>
    <row r="721" spans="12:17" x14ac:dyDescent="0.35">
      <c r="L721">
        <v>719</v>
      </c>
      <c r="M721">
        <v>0</v>
      </c>
      <c r="Q721">
        <v>12</v>
      </c>
    </row>
    <row r="722" spans="12:17" x14ac:dyDescent="0.35">
      <c r="L722">
        <v>720</v>
      </c>
      <c r="M722">
        <v>0</v>
      </c>
      <c r="Q722">
        <v>8</v>
      </c>
    </row>
    <row r="723" spans="12:17" x14ac:dyDescent="0.35">
      <c r="L723">
        <v>721</v>
      </c>
      <c r="M723">
        <v>0</v>
      </c>
      <c r="Q723">
        <v>16</v>
      </c>
    </row>
    <row r="724" spans="12:17" x14ac:dyDescent="0.35">
      <c r="L724">
        <v>722</v>
      </c>
      <c r="M724">
        <v>0</v>
      </c>
      <c r="Q724">
        <v>19</v>
      </c>
    </row>
    <row r="725" spans="12:17" x14ac:dyDescent="0.35">
      <c r="L725">
        <v>723</v>
      </c>
      <c r="M725">
        <v>0</v>
      </c>
      <c r="Q725">
        <v>12</v>
      </c>
    </row>
    <row r="726" spans="12:17" x14ac:dyDescent="0.35">
      <c r="L726">
        <v>724</v>
      </c>
      <c r="M726">
        <v>1</v>
      </c>
      <c r="Q726">
        <v>13</v>
      </c>
    </row>
    <row r="727" spans="12:17" x14ac:dyDescent="0.35">
      <c r="L727">
        <v>725</v>
      </c>
      <c r="M727">
        <v>0</v>
      </c>
      <c r="Q727">
        <v>8</v>
      </c>
    </row>
    <row r="728" spans="12:17" x14ac:dyDescent="0.35">
      <c r="L728">
        <v>726</v>
      </c>
      <c r="M728">
        <v>0</v>
      </c>
      <c r="Q728">
        <v>8</v>
      </c>
    </row>
    <row r="729" spans="12:17" x14ac:dyDescent="0.35">
      <c r="L729">
        <v>727</v>
      </c>
      <c r="M729">
        <v>0</v>
      </c>
      <c r="Q729">
        <v>18</v>
      </c>
    </row>
    <row r="730" spans="12:17" x14ac:dyDescent="0.35">
      <c r="L730">
        <v>728</v>
      </c>
      <c r="M730">
        <v>0</v>
      </c>
      <c r="Q730">
        <v>21</v>
      </c>
    </row>
    <row r="731" spans="12:17" x14ac:dyDescent="0.35">
      <c r="L731">
        <v>729</v>
      </c>
      <c r="M731">
        <v>0</v>
      </c>
      <c r="Q731">
        <v>15</v>
      </c>
    </row>
    <row r="732" spans="12:17" x14ac:dyDescent="0.35">
      <c r="L732">
        <v>730</v>
      </c>
      <c r="M732">
        <v>0</v>
      </c>
      <c r="Q732">
        <v>13</v>
      </c>
    </row>
    <row r="733" spans="12:17" x14ac:dyDescent="0.35">
      <c r="L733">
        <v>731</v>
      </c>
      <c r="M733">
        <v>1</v>
      </c>
      <c r="Q733">
        <v>19</v>
      </c>
    </row>
    <row r="734" spans="12:17" x14ac:dyDescent="0.35">
      <c r="L734">
        <v>732</v>
      </c>
      <c r="M734">
        <v>0</v>
      </c>
      <c r="Q734">
        <v>5</v>
      </c>
    </row>
    <row r="735" spans="12:17" x14ac:dyDescent="0.35">
      <c r="L735">
        <v>733</v>
      </c>
      <c r="M735">
        <v>0</v>
      </c>
      <c r="Q735">
        <v>12</v>
      </c>
    </row>
    <row r="736" spans="12:17" x14ac:dyDescent="0.35">
      <c r="L736">
        <v>734</v>
      </c>
      <c r="M736">
        <v>0</v>
      </c>
      <c r="Q736">
        <v>15</v>
      </c>
    </row>
    <row r="737" spans="12:17" x14ac:dyDescent="0.35">
      <c r="L737">
        <v>735</v>
      </c>
      <c r="M737">
        <v>0</v>
      </c>
      <c r="Q737">
        <v>8</v>
      </c>
    </row>
    <row r="738" spans="12:17" x14ac:dyDescent="0.35">
      <c r="L738">
        <v>736</v>
      </c>
      <c r="M738">
        <v>0</v>
      </c>
      <c r="Q738">
        <v>11</v>
      </c>
    </row>
    <row r="739" spans="12:17" x14ac:dyDescent="0.35">
      <c r="L739">
        <v>737</v>
      </c>
      <c r="M739">
        <v>0</v>
      </c>
      <c r="Q739">
        <v>14</v>
      </c>
    </row>
    <row r="740" spans="12:17" x14ac:dyDescent="0.35">
      <c r="L740">
        <v>738</v>
      </c>
      <c r="M740">
        <v>0</v>
      </c>
      <c r="Q740">
        <v>13</v>
      </c>
    </row>
    <row r="741" spans="12:17" x14ac:dyDescent="0.35">
      <c r="L741">
        <v>739</v>
      </c>
      <c r="M741">
        <v>0</v>
      </c>
      <c r="Q741">
        <v>15</v>
      </c>
    </row>
    <row r="742" spans="12:17" x14ac:dyDescent="0.35">
      <c r="L742">
        <v>740</v>
      </c>
      <c r="M742">
        <v>0</v>
      </c>
      <c r="Q742">
        <v>9</v>
      </c>
    </row>
    <row r="743" spans="12:17" x14ac:dyDescent="0.35">
      <c r="L743">
        <v>741</v>
      </c>
      <c r="M743">
        <v>0</v>
      </c>
      <c r="Q743">
        <v>14</v>
      </c>
    </row>
    <row r="744" spans="12:17" x14ac:dyDescent="0.35">
      <c r="L744">
        <v>742</v>
      </c>
      <c r="M744">
        <v>0</v>
      </c>
      <c r="Q744">
        <v>8</v>
      </c>
    </row>
    <row r="745" spans="12:17" x14ac:dyDescent="0.35">
      <c r="L745">
        <v>743</v>
      </c>
      <c r="M745">
        <v>0</v>
      </c>
      <c r="Q745">
        <v>10</v>
      </c>
    </row>
    <row r="746" spans="12:17" x14ac:dyDescent="0.35">
      <c r="L746">
        <v>744</v>
      </c>
      <c r="M746">
        <v>0</v>
      </c>
      <c r="Q746">
        <v>8</v>
      </c>
    </row>
    <row r="747" spans="12:17" x14ac:dyDescent="0.35">
      <c r="L747">
        <v>745</v>
      </c>
      <c r="M747">
        <v>0</v>
      </c>
      <c r="Q747">
        <v>14</v>
      </c>
    </row>
    <row r="748" spans="12:17" x14ac:dyDescent="0.35">
      <c r="L748">
        <v>746</v>
      </c>
      <c r="M748">
        <v>0</v>
      </c>
      <c r="Q748">
        <v>12</v>
      </c>
    </row>
    <row r="749" spans="12:17" x14ac:dyDescent="0.35">
      <c r="L749">
        <v>747</v>
      </c>
      <c r="M749">
        <v>0</v>
      </c>
      <c r="Q749">
        <v>14</v>
      </c>
    </row>
    <row r="750" spans="12:17" x14ac:dyDescent="0.35">
      <c r="L750">
        <v>748</v>
      </c>
      <c r="M750">
        <v>0</v>
      </c>
      <c r="Q750">
        <v>13</v>
      </c>
    </row>
    <row r="751" spans="12:17" x14ac:dyDescent="0.35">
      <c r="L751">
        <v>749</v>
      </c>
      <c r="M751">
        <v>0</v>
      </c>
      <c r="Q751">
        <v>15</v>
      </c>
    </row>
    <row r="752" spans="12:17" x14ac:dyDescent="0.35">
      <c r="L752">
        <v>750</v>
      </c>
      <c r="M752">
        <v>0</v>
      </c>
      <c r="Q752">
        <v>13</v>
      </c>
    </row>
    <row r="753" spans="12:17" x14ac:dyDescent="0.35">
      <c r="L753">
        <v>751</v>
      </c>
      <c r="M753">
        <v>0</v>
      </c>
      <c r="Q753">
        <v>13</v>
      </c>
    </row>
    <row r="754" spans="12:17" x14ac:dyDescent="0.35">
      <c r="L754">
        <v>752</v>
      </c>
      <c r="M754">
        <v>0</v>
      </c>
      <c r="Q754">
        <v>10</v>
      </c>
    </row>
    <row r="755" spans="12:17" x14ac:dyDescent="0.35">
      <c r="L755">
        <v>753</v>
      </c>
      <c r="M755">
        <v>0</v>
      </c>
      <c r="Q755">
        <v>9</v>
      </c>
    </row>
    <row r="756" spans="12:17" x14ac:dyDescent="0.35">
      <c r="L756">
        <v>754</v>
      </c>
      <c r="M756">
        <v>0</v>
      </c>
      <c r="Q756">
        <v>13</v>
      </c>
    </row>
    <row r="757" spans="12:17" x14ac:dyDescent="0.35">
      <c r="L757">
        <v>755</v>
      </c>
      <c r="M757">
        <v>0</v>
      </c>
      <c r="Q757">
        <v>7</v>
      </c>
    </row>
    <row r="758" spans="12:17" x14ac:dyDescent="0.35">
      <c r="L758">
        <v>756</v>
      </c>
      <c r="M758">
        <v>0</v>
      </c>
      <c r="Q758">
        <v>7</v>
      </c>
    </row>
    <row r="759" spans="12:17" x14ac:dyDescent="0.35">
      <c r="L759">
        <v>757</v>
      </c>
      <c r="M759">
        <v>0</v>
      </c>
      <c r="Q759">
        <v>19</v>
      </c>
    </row>
    <row r="760" spans="12:17" x14ac:dyDescent="0.35">
      <c r="L760">
        <v>758</v>
      </c>
      <c r="M760">
        <v>0</v>
      </c>
      <c r="Q760">
        <v>19</v>
      </c>
    </row>
    <row r="761" spans="12:17" x14ac:dyDescent="0.35">
      <c r="L761">
        <v>759</v>
      </c>
      <c r="M761">
        <v>0</v>
      </c>
      <c r="Q761">
        <v>12</v>
      </c>
    </row>
    <row r="762" spans="12:17" x14ac:dyDescent="0.35">
      <c r="L762">
        <v>760</v>
      </c>
      <c r="M762">
        <v>0</v>
      </c>
      <c r="Q762">
        <v>14</v>
      </c>
    </row>
    <row r="763" spans="12:17" x14ac:dyDescent="0.35">
      <c r="L763">
        <v>761</v>
      </c>
      <c r="M763">
        <v>1</v>
      </c>
      <c r="Q763">
        <v>12</v>
      </c>
    </row>
    <row r="764" spans="12:17" x14ac:dyDescent="0.35">
      <c r="L764">
        <v>762</v>
      </c>
      <c r="M764">
        <v>0</v>
      </c>
      <c r="Q764">
        <v>15</v>
      </c>
    </row>
    <row r="765" spans="12:17" x14ac:dyDescent="0.35">
      <c r="L765">
        <v>763</v>
      </c>
      <c r="M765">
        <v>0</v>
      </c>
      <c r="Q765">
        <v>10</v>
      </c>
    </row>
    <row r="766" spans="12:17" x14ac:dyDescent="0.35">
      <c r="L766">
        <v>764</v>
      </c>
      <c r="M766">
        <v>0</v>
      </c>
      <c r="Q766">
        <v>11</v>
      </c>
    </row>
    <row r="767" spans="12:17" x14ac:dyDescent="0.35">
      <c r="L767">
        <v>765</v>
      </c>
      <c r="M767">
        <v>0</v>
      </c>
      <c r="Q767">
        <v>6</v>
      </c>
    </row>
    <row r="768" spans="12:17" x14ac:dyDescent="0.35">
      <c r="L768">
        <v>766</v>
      </c>
      <c r="M768">
        <v>0</v>
      </c>
      <c r="Q768">
        <v>17</v>
      </c>
    </row>
    <row r="769" spans="12:17" x14ac:dyDescent="0.35">
      <c r="L769">
        <v>767</v>
      </c>
      <c r="M769">
        <v>0</v>
      </c>
      <c r="Q769">
        <v>12</v>
      </c>
    </row>
    <row r="770" spans="12:17" x14ac:dyDescent="0.35">
      <c r="L770">
        <v>768</v>
      </c>
      <c r="M770">
        <v>0</v>
      </c>
      <c r="Q770">
        <v>14</v>
      </c>
    </row>
    <row r="771" spans="12:17" x14ac:dyDescent="0.35">
      <c r="L771">
        <v>769</v>
      </c>
      <c r="M771">
        <v>0</v>
      </c>
      <c r="Q771">
        <v>10</v>
      </c>
    </row>
    <row r="772" spans="12:17" x14ac:dyDescent="0.35">
      <c r="L772">
        <v>770</v>
      </c>
      <c r="M772">
        <v>0</v>
      </c>
      <c r="Q772">
        <v>9</v>
      </c>
    </row>
    <row r="773" spans="12:17" x14ac:dyDescent="0.35">
      <c r="L773">
        <v>771</v>
      </c>
      <c r="M773">
        <v>0</v>
      </c>
      <c r="Q773">
        <v>11</v>
      </c>
    </row>
    <row r="774" spans="12:17" x14ac:dyDescent="0.35">
      <c r="L774">
        <v>772</v>
      </c>
      <c r="M774">
        <v>0</v>
      </c>
      <c r="Q774">
        <v>11</v>
      </c>
    </row>
    <row r="775" spans="12:17" x14ac:dyDescent="0.35">
      <c r="L775">
        <v>773</v>
      </c>
      <c r="M775">
        <v>0</v>
      </c>
      <c r="Q775">
        <v>14</v>
      </c>
    </row>
    <row r="776" spans="12:17" x14ac:dyDescent="0.35">
      <c r="L776">
        <v>774</v>
      </c>
      <c r="M776">
        <v>0</v>
      </c>
      <c r="Q776">
        <v>14</v>
      </c>
    </row>
    <row r="777" spans="12:17" x14ac:dyDescent="0.35">
      <c r="L777">
        <v>775</v>
      </c>
      <c r="M777">
        <v>0</v>
      </c>
      <c r="Q777">
        <v>10</v>
      </c>
    </row>
    <row r="778" spans="12:17" x14ac:dyDescent="0.35">
      <c r="L778">
        <v>776</v>
      </c>
      <c r="M778">
        <v>0</v>
      </c>
      <c r="Q778">
        <v>14</v>
      </c>
    </row>
    <row r="779" spans="12:17" x14ac:dyDescent="0.35">
      <c r="L779">
        <v>777</v>
      </c>
      <c r="M779">
        <v>0</v>
      </c>
      <c r="Q779">
        <v>8</v>
      </c>
    </row>
    <row r="780" spans="12:17" x14ac:dyDescent="0.35">
      <c r="L780">
        <v>778</v>
      </c>
      <c r="M780">
        <v>0</v>
      </c>
      <c r="Q780">
        <v>4</v>
      </c>
    </row>
    <row r="781" spans="12:17" x14ac:dyDescent="0.35">
      <c r="L781">
        <v>779</v>
      </c>
      <c r="M781">
        <v>0</v>
      </c>
      <c r="Q781">
        <v>15</v>
      </c>
    </row>
    <row r="782" spans="12:17" x14ac:dyDescent="0.35">
      <c r="L782">
        <v>780</v>
      </c>
      <c r="M782">
        <v>0</v>
      </c>
      <c r="Q782">
        <v>11</v>
      </c>
    </row>
    <row r="783" spans="12:17" x14ac:dyDescent="0.35">
      <c r="L783">
        <v>781</v>
      </c>
      <c r="M783">
        <v>0</v>
      </c>
      <c r="Q783">
        <v>10</v>
      </c>
    </row>
    <row r="784" spans="12:17" x14ac:dyDescent="0.35">
      <c r="L784">
        <v>782</v>
      </c>
      <c r="M784">
        <v>0</v>
      </c>
      <c r="Q784">
        <v>9</v>
      </c>
    </row>
    <row r="785" spans="12:17" x14ac:dyDescent="0.35">
      <c r="L785">
        <v>783</v>
      </c>
      <c r="M785">
        <v>0</v>
      </c>
      <c r="Q785">
        <v>16</v>
      </c>
    </row>
    <row r="786" spans="12:17" x14ac:dyDescent="0.35">
      <c r="L786">
        <v>784</v>
      </c>
      <c r="M786">
        <v>0</v>
      </c>
      <c r="Q786">
        <v>13</v>
      </c>
    </row>
    <row r="787" spans="12:17" x14ac:dyDescent="0.35">
      <c r="L787">
        <v>785</v>
      </c>
      <c r="M787">
        <v>0</v>
      </c>
      <c r="Q787">
        <v>11</v>
      </c>
    </row>
    <row r="788" spans="12:17" x14ac:dyDescent="0.35">
      <c r="L788">
        <v>786</v>
      </c>
      <c r="M788">
        <v>0</v>
      </c>
      <c r="Q788">
        <v>10</v>
      </c>
    </row>
    <row r="789" spans="12:17" x14ac:dyDescent="0.35">
      <c r="L789">
        <v>787</v>
      </c>
      <c r="M789">
        <v>0</v>
      </c>
      <c r="Q789">
        <v>13</v>
      </c>
    </row>
    <row r="790" spans="12:17" x14ac:dyDescent="0.35">
      <c r="L790">
        <v>788</v>
      </c>
      <c r="M790">
        <v>1</v>
      </c>
      <c r="Q790">
        <v>9</v>
      </c>
    </row>
    <row r="791" spans="12:17" x14ac:dyDescent="0.35">
      <c r="L791">
        <v>789</v>
      </c>
      <c r="M791">
        <v>0</v>
      </c>
      <c r="Q791">
        <v>11</v>
      </c>
    </row>
    <row r="792" spans="12:17" x14ac:dyDescent="0.35">
      <c r="L792">
        <v>790</v>
      </c>
      <c r="M792">
        <v>0</v>
      </c>
      <c r="Q792">
        <v>12</v>
      </c>
    </row>
    <row r="793" spans="12:17" x14ac:dyDescent="0.35">
      <c r="L793">
        <v>791</v>
      </c>
      <c r="M793">
        <v>0</v>
      </c>
      <c r="Q793">
        <v>8</v>
      </c>
    </row>
    <row r="794" spans="12:17" x14ac:dyDescent="0.35">
      <c r="L794">
        <v>792</v>
      </c>
      <c r="M794">
        <v>0</v>
      </c>
      <c r="Q794">
        <v>15</v>
      </c>
    </row>
    <row r="795" spans="12:17" x14ac:dyDescent="0.35">
      <c r="L795">
        <v>793</v>
      </c>
      <c r="M795">
        <v>0</v>
      </c>
      <c r="Q795">
        <v>11</v>
      </c>
    </row>
    <row r="796" spans="12:17" x14ac:dyDescent="0.35">
      <c r="L796">
        <v>794</v>
      </c>
      <c r="M796">
        <v>0</v>
      </c>
      <c r="Q796">
        <v>16</v>
      </c>
    </row>
    <row r="797" spans="12:17" x14ac:dyDescent="0.35">
      <c r="L797">
        <v>795</v>
      </c>
      <c r="M797">
        <v>0</v>
      </c>
      <c r="Q797">
        <v>15</v>
      </c>
    </row>
    <row r="798" spans="12:17" x14ac:dyDescent="0.35">
      <c r="L798">
        <v>796</v>
      </c>
      <c r="M798">
        <v>0</v>
      </c>
      <c r="Q798">
        <v>6</v>
      </c>
    </row>
    <row r="799" spans="12:17" x14ac:dyDescent="0.35">
      <c r="L799">
        <v>797</v>
      </c>
      <c r="M799">
        <v>0</v>
      </c>
      <c r="Q799">
        <v>10</v>
      </c>
    </row>
    <row r="800" spans="12:17" x14ac:dyDescent="0.35">
      <c r="L800">
        <v>798</v>
      </c>
      <c r="M800">
        <v>0</v>
      </c>
      <c r="Q800">
        <v>8</v>
      </c>
    </row>
    <row r="801" spans="12:17" x14ac:dyDescent="0.35">
      <c r="L801">
        <v>799</v>
      </c>
      <c r="M801">
        <v>0</v>
      </c>
      <c r="Q801">
        <v>7</v>
      </c>
    </row>
    <row r="802" spans="12:17" x14ac:dyDescent="0.35">
      <c r="L802">
        <v>800</v>
      </c>
      <c r="M802">
        <v>0</v>
      </c>
      <c r="Q802">
        <v>11</v>
      </c>
    </row>
    <row r="803" spans="12:17" x14ac:dyDescent="0.35">
      <c r="L803">
        <v>801</v>
      </c>
      <c r="M803">
        <v>0</v>
      </c>
      <c r="Q803">
        <v>13</v>
      </c>
    </row>
    <row r="804" spans="12:17" x14ac:dyDescent="0.35">
      <c r="L804">
        <v>802</v>
      </c>
      <c r="M804">
        <v>0</v>
      </c>
      <c r="Q804">
        <v>11</v>
      </c>
    </row>
    <row r="805" spans="12:17" x14ac:dyDescent="0.35">
      <c r="L805">
        <v>803</v>
      </c>
      <c r="M805">
        <v>0</v>
      </c>
      <c r="Q805">
        <v>8</v>
      </c>
    </row>
    <row r="806" spans="12:17" x14ac:dyDescent="0.35">
      <c r="L806">
        <v>804</v>
      </c>
      <c r="M806">
        <v>0</v>
      </c>
      <c r="Q806">
        <v>13</v>
      </c>
    </row>
    <row r="807" spans="12:17" x14ac:dyDescent="0.35">
      <c r="L807">
        <v>805</v>
      </c>
      <c r="M807">
        <v>0</v>
      </c>
      <c r="Q807">
        <v>14</v>
      </c>
    </row>
    <row r="808" spans="12:17" x14ac:dyDescent="0.35">
      <c r="L808">
        <v>806</v>
      </c>
      <c r="M808">
        <v>0</v>
      </c>
      <c r="Q808">
        <v>9</v>
      </c>
    </row>
    <row r="809" spans="12:17" x14ac:dyDescent="0.35">
      <c r="L809">
        <v>807</v>
      </c>
      <c r="M809">
        <v>0</v>
      </c>
      <c r="Q809">
        <v>12</v>
      </c>
    </row>
    <row r="810" spans="12:17" x14ac:dyDescent="0.35">
      <c r="L810">
        <v>808</v>
      </c>
      <c r="M810">
        <v>0</v>
      </c>
      <c r="Q810">
        <v>7</v>
      </c>
    </row>
    <row r="811" spans="12:17" x14ac:dyDescent="0.35">
      <c r="L811">
        <v>809</v>
      </c>
      <c r="M811">
        <v>0</v>
      </c>
      <c r="Q811">
        <v>15</v>
      </c>
    </row>
    <row r="812" spans="12:17" x14ac:dyDescent="0.35">
      <c r="L812">
        <v>810</v>
      </c>
      <c r="M812">
        <v>0</v>
      </c>
      <c r="Q812">
        <v>16</v>
      </c>
    </row>
    <row r="813" spans="12:17" x14ac:dyDescent="0.35">
      <c r="L813">
        <v>811</v>
      </c>
      <c r="M813">
        <v>0</v>
      </c>
      <c r="Q813">
        <v>6</v>
      </c>
    </row>
    <row r="814" spans="12:17" x14ac:dyDescent="0.35">
      <c r="L814">
        <v>812</v>
      </c>
      <c r="M814">
        <v>0</v>
      </c>
      <c r="Q814">
        <v>15</v>
      </c>
    </row>
    <row r="815" spans="12:17" x14ac:dyDescent="0.35">
      <c r="L815">
        <v>813</v>
      </c>
      <c r="M815">
        <v>1</v>
      </c>
      <c r="Q815">
        <v>13</v>
      </c>
    </row>
    <row r="816" spans="12:17" x14ac:dyDescent="0.35">
      <c r="L816">
        <v>814</v>
      </c>
      <c r="M816">
        <v>0</v>
      </c>
      <c r="Q816">
        <v>11</v>
      </c>
    </row>
    <row r="817" spans="12:17" x14ac:dyDescent="0.35">
      <c r="L817">
        <v>815</v>
      </c>
      <c r="M817">
        <v>0</v>
      </c>
      <c r="Q817">
        <v>15</v>
      </c>
    </row>
    <row r="818" spans="12:17" x14ac:dyDescent="0.35">
      <c r="L818">
        <v>816</v>
      </c>
      <c r="M818">
        <v>0</v>
      </c>
      <c r="Q818">
        <v>16</v>
      </c>
    </row>
    <row r="819" spans="12:17" x14ac:dyDescent="0.35">
      <c r="L819">
        <v>817</v>
      </c>
      <c r="M819">
        <v>0</v>
      </c>
      <c r="Q819">
        <v>12</v>
      </c>
    </row>
    <row r="820" spans="12:17" x14ac:dyDescent="0.35">
      <c r="L820">
        <v>818</v>
      </c>
      <c r="M820">
        <v>0</v>
      </c>
      <c r="Q820">
        <v>9</v>
      </c>
    </row>
    <row r="821" spans="12:17" x14ac:dyDescent="0.35">
      <c r="L821">
        <v>819</v>
      </c>
      <c r="M821">
        <v>0</v>
      </c>
      <c r="Q821">
        <v>4</v>
      </c>
    </row>
    <row r="822" spans="12:17" x14ac:dyDescent="0.35">
      <c r="L822">
        <v>820</v>
      </c>
      <c r="M822">
        <v>0</v>
      </c>
      <c r="Q822">
        <v>7</v>
      </c>
    </row>
    <row r="823" spans="12:17" x14ac:dyDescent="0.35">
      <c r="L823">
        <v>821</v>
      </c>
      <c r="M823">
        <v>0</v>
      </c>
      <c r="Q823">
        <v>9</v>
      </c>
    </row>
    <row r="824" spans="12:17" x14ac:dyDescent="0.35">
      <c r="L824">
        <v>822</v>
      </c>
      <c r="M824">
        <v>0</v>
      </c>
      <c r="Q824">
        <v>9</v>
      </c>
    </row>
    <row r="825" spans="12:17" x14ac:dyDescent="0.35">
      <c r="L825">
        <v>823</v>
      </c>
      <c r="M825">
        <v>0</v>
      </c>
      <c r="Q825">
        <v>5</v>
      </c>
    </row>
    <row r="826" spans="12:17" x14ac:dyDescent="0.35">
      <c r="L826">
        <v>824</v>
      </c>
      <c r="M826">
        <v>0</v>
      </c>
      <c r="Q826">
        <v>12</v>
      </c>
    </row>
    <row r="827" spans="12:17" x14ac:dyDescent="0.35">
      <c r="L827">
        <v>825</v>
      </c>
      <c r="M827">
        <v>0</v>
      </c>
      <c r="Q827">
        <v>17</v>
      </c>
    </row>
    <row r="828" spans="12:17" x14ac:dyDescent="0.35">
      <c r="L828">
        <v>826</v>
      </c>
      <c r="M828">
        <v>0</v>
      </c>
      <c r="Q828">
        <v>17</v>
      </c>
    </row>
    <row r="829" spans="12:17" x14ac:dyDescent="0.35">
      <c r="L829">
        <v>827</v>
      </c>
      <c r="M829">
        <v>0</v>
      </c>
      <c r="Q829">
        <v>10</v>
      </c>
    </row>
    <row r="830" spans="12:17" x14ac:dyDescent="0.35">
      <c r="L830">
        <v>828</v>
      </c>
      <c r="M830">
        <v>0</v>
      </c>
      <c r="Q830">
        <v>13</v>
      </c>
    </row>
    <row r="831" spans="12:17" x14ac:dyDescent="0.35">
      <c r="L831">
        <v>829</v>
      </c>
      <c r="M831">
        <v>0</v>
      </c>
      <c r="Q831">
        <v>13</v>
      </c>
    </row>
    <row r="832" spans="12:17" x14ac:dyDescent="0.35">
      <c r="L832">
        <v>830</v>
      </c>
      <c r="M832">
        <v>0</v>
      </c>
      <c r="Q832">
        <v>13</v>
      </c>
    </row>
    <row r="833" spans="12:17" x14ac:dyDescent="0.35">
      <c r="L833">
        <v>831</v>
      </c>
      <c r="M833">
        <v>0</v>
      </c>
      <c r="Q833">
        <v>12</v>
      </c>
    </row>
    <row r="834" spans="12:17" x14ac:dyDescent="0.35">
      <c r="L834">
        <v>832</v>
      </c>
      <c r="M834">
        <v>0</v>
      </c>
      <c r="Q834">
        <v>16</v>
      </c>
    </row>
    <row r="835" spans="12:17" x14ac:dyDescent="0.35">
      <c r="L835">
        <v>833</v>
      </c>
      <c r="M835">
        <v>0</v>
      </c>
      <c r="Q835">
        <v>13</v>
      </c>
    </row>
    <row r="836" spans="12:17" x14ac:dyDescent="0.35">
      <c r="L836">
        <v>834</v>
      </c>
      <c r="M836">
        <v>0</v>
      </c>
      <c r="Q836">
        <v>18</v>
      </c>
    </row>
    <row r="837" spans="12:17" x14ac:dyDescent="0.35">
      <c r="L837">
        <v>835</v>
      </c>
      <c r="M837">
        <v>0</v>
      </c>
      <c r="Q837">
        <v>18</v>
      </c>
    </row>
    <row r="838" spans="12:17" x14ac:dyDescent="0.35">
      <c r="L838">
        <v>836</v>
      </c>
      <c r="M838">
        <v>0</v>
      </c>
      <c r="Q838">
        <v>16</v>
      </c>
    </row>
    <row r="839" spans="12:17" x14ac:dyDescent="0.35">
      <c r="L839">
        <v>837</v>
      </c>
      <c r="M839">
        <v>0</v>
      </c>
      <c r="Q839">
        <v>8</v>
      </c>
    </row>
    <row r="840" spans="12:17" x14ac:dyDescent="0.35">
      <c r="L840">
        <v>838</v>
      </c>
      <c r="M840">
        <v>0</v>
      </c>
      <c r="Q840">
        <v>17</v>
      </c>
    </row>
    <row r="841" spans="12:17" x14ac:dyDescent="0.35">
      <c r="L841">
        <v>839</v>
      </c>
      <c r="M841">
        <v>0</v>
      </c>
      <c r="Q841">
        <v>9</v>
      </c>
    </row>
    <row r="842" spans="12:17" x14ac:dyDescent="0.35">
      <c r="L842">
        <v>840</v>
      </c>
      <c r="M842">
        <v>0</v>
      </c>
      <c r="Q842">
        <v>10</v>
      </c>
    </row>
    <row r="843" spans="12:17" x14ac:dyDescent="0.35">
      <c r="L843">
        <v>841</v>
      </c>
      <c r="M843">
        <v>0</v>
      </c>
      <c r="Q843">
        <v>14</v>
      </c>
    </row>
    <row r="844" spans="12:17" x14ac:dyDescent="0.35">
      <c r="L844">
        <v>842</v>
      </c>
      <c r="M844">
        <v>0</v>
      </c>
      <c r="Q844">
        <v>17</v>
      </c>
    </row>
    <row r="845" spans="12:17" x14ac:dyDescent="0.35">
      <c r="L845">
        <v>843</v>
      </c>
      <c r="M845">
        <v>0</v>
      </c>
      <c r="Q845">
        <v>9</v>
      </c>
    </row>
    <row r="846" spans="12:17" x14ac:dyDescent="0.35">
      <c r="L846">
        <v>844</v>
      </c>
      <c r="M846">
        <v>0</v>
      </c>
      <c r="Q846">
        <v>9</v>
      </c>
    </row>
    <row r="847" spans="12:17" x14ac:dyDescent="0.35">
      <c r="L847">
        <v>845</v>
      </c>
      <c r="M847">
        <v>0</v>
      </c>
      <c r="Q847">
        <v>13</v>
      </c>
    </row>
    <row r="848" spans="12:17" x14ac:dyDescent="0.35">
      <c r="L848">
        <v>846</v>
      </c>
      <c r="M848">
        <v>0</v>
      </c>
      <c r="Q848">
        <v>13</v>
      </c>
    </row>
    <row r="849" spans="12:17" x14ac:dyDescent="0.35">
      <c r="L849">
        <v>847</v>
      </c>
      <c r="M849">
        <v>1</v>
      </c>
      <c r="Q849">
        <v>16</v>
      </c>
    </row>
    <row r="850" spans="12:17" x14ac:dyDescent="0.35">
      <c r="L850">
        <v>848</v>
      </c>
      <c r="M850">
        <v>0</v>
      </c>
      <c r="Q850">
        <v>19</v>
      </c>
    </row>
    <row r="851" spans="12:17" x14ac:dyDescent="0.35">
      <c r="L851">
        <v>849</v>
      </c>
      <c r="M851">
        <v>0</v>
      </c>
      <c r="Q851">
        <v>16</v>
      </c>
    </row>
    <row r="852" spans="12:17" x14ac:dyDescent="0.35">
      <c r="L852">
        <v>850</v>
      </c>
      <c r="M852">
        <v>0</v>
      </c>
      <c r="Q852">
        <v>12</v>
      </c>
    </row>
    <row r="853" spans="12:17" x14ac:dyDescent="0.35">
      <c r="L853">
        <v>851</v>
      </c>
      <c r="M853">
        <v>0</v>
      </c>
      <c r="Q853">
        <v>14</v>
      </c>
    </row>
    <row r="854" spans="12:17" x14ac:dyDescent="0.35">
      <c r="L854">
        <v>852</v>
      </c>
      <c r="M854">
        <v>0</v>
      </c>
      <c r="Q854">
        <v>11</v>
      </c>
    </row>
    <row r="855" spans="12:17" x14ac:dyDescent="0.35">
      <c r="L855">
        <v>853</v>
      </c>
      <c r="M855">
        <v>0</v>
      </c>
      <c r="Q855">
        <v>10</v>
      </c>
    </row>
    <row r="856" spans="12:17" x14ac:dyDescent="0.35">
      <c r="L856">
        <v>854</v>
      </c>
      <c r="M856">
        <v>0</v>
      </c>
      <c r="Q856">
        <v>18</v>
      </c>
    </row>
    <row r="857" spans="12:17" x14ac:dyDescent="0.35">
      <c r="L857">
        <v>855</v>
      </c>
      <c r="M857">
        <v>0</v>
      </c>
      <c r="Q857">
        <v>14</v>
      </c>
    </row>
    <row r="858" spans="12:17" x14ac:dyDescent="0.35">
      <c r="L858">
        <v>856</v>
      </c>
      <c r="M858">
        <v>0</v>
      </c>
      <c r="Q858">
        <v>10</v>
      </c>
    </row>
    <row r="859" spans="12:17" x14ac:dyDescent="0.35">
      <c r="L859">
        <v>857</v>
      </c>
      <c r="M859">
        <v>0</v>
      </c>
      <c r="Q859">
        <v>10</v>
      </c>
    </row>
    <row r="860" spans="12:17" x14ac:dyDescent="0.35">
      <c r="L860">
        <v>858</v>
      </c>
      <c r="M860">
        <v>0</v>
      </c>
      <c r="Q860">
        <v>10</v>
      </c>
    </row>
    <row r="861" spans="12:17" x14ac:dyDescent="0.35">
      <c r="L861">
        <v>859</v>
      </c>
      <c r="M861">
        <v>0</v>
      </c>
      <c r="Q861">
        <v>16</v>
      </c>
    </row>
    <row r="862" spans="12:17" x14ac:dyDescent="0.35">
      <c r="L862">
        <v>860</v>
      </c>
      <c r="M862">
        <v>0</v>
      </c>
      <c r="Q862">
        <v>11</v>
      </c>
    </row>
    <row r="863" spans="12:17" x14ac:dyDescent="0.35">
      <c r="L863">
        <v>861</v>
      </c>
      <c r="M863">
        <v>0</v>
      </c>
      <c r="Q863">
        <v>12</v>
      </c>
    </row>
    <row r="864" spans="12:17" x14ac:dyDescent="0.35">
      <c r="L864">
        <v>862</v>
      </c>
      <c r="M864">
        <v>0</v>
      </c>
      <c r="Q864">
        <v>16</v>
      </c>
    </row>
    <row r="865" spans="12:17" x14ac:dyDescent="0.35">
      <c r="L865">
        <v>863</v>
      </c>
      <c r="M865">
        <v>0</v>
      </c>
      <c r="Q865">
        <v>14</v>
      </c>
    </row>
    <row r="866" spans="12:17" x14ac:dyDescent="0.35">
      <c r="L866">
        <v>864</v>
      </c>
      <c r="M866">
        <v>0</v>
      </c>
      <c r="Q866">
        <v>14</v>
      </c>
    </row>
    <row r="867" spans="12:17" x14ac:dyDescent="0.35">
      <c r="L867">
        <v>865</v>
      </c>
      <c r="M867">
        <v>0</v>
      </c>
      <c r="Q867">
        <v>14</v>
      </c>
    </row>
    <row r="868" spans="12:17" x14ac:dyDescent="0.35">
      <c r="L868">
        <v>866</v>
      </c>
      <c r="M868">
        <v>0</v>
      </c>
      <c r="Q868">
        <v>12</v>
      </c>
    </row>
    <row r="869" spans="12:17" x14ac:dyDescent="0.35">
      <c r="L869">
        <v>867</v>
      </c>
      <c r="M869">
        <v>0</v>
      </c>
      <c r="Q869">
        <v>21</v>
      </c>
    </row>
    <row r="870" spans="12:17" x14ac:dyDescent="0.35">
      <c r="L870">
        <v>868</v>
      </c>
      <c r="M870">
        <v>0</v>
      </c>
      <c r="Q870">
        <v>12</v>
      </c>
    </row>
    <row r="871" spans="12:17" x14ac:dyDescent="0.35">
      <c r="L871">
        <v>869</v>
      </c>
      <c r="M871">
        <v>0</v>
      </c>
      <c r="Q871">
        <v>11</v>
      </c>
    </row>
    <row r="872" spans="12:17" x14ac:dyDescent="0.35">
      <c r="L872">
        <v>870</v>
      </c>
      <c r="M872">
        <v>0</v>
      </c>
      <c r="Q872">
        <v>10</v>
      </c>
    </row>
    <row r="873" spans="12:17" x14ac:dyDescent="0.35">
      <c r="L873">
        <v>871</v>
      </c>
      <c r="M873">
        <v>0</v>
      </c>
      <c r="Q873">
        <v>11</v>
      </c>
    </row>
    <row r="874" spans="12:17" x14ac:dyDescent="0.35">
      <c r="L874">
        <v>872</v>
      </c>
      <c r="M874">
        <v>0</v>
      </c>
      <c r="Q874">
        <v>14</v>
      </c>
    </row>
    <row r="875" spans="12:17" x14ac:dyDescent="0.35">
      <c r="L875">
        <v>873</v>
      </c>
      <c r="M875">
        <v>0</v>
      </c>
      <c r="Q875">
        <v>12</v>
      </c>
    </row>
    <row r="876" spans="12:17" x14ac:dyDescent="0.35">
      <c r="L876">
        <v>874</v>
      </c>
      <c r="M876">
        <v>0</v>
      </c>
      <c r="Q876">
        <v>16</v>
      </c>
    </row>
    <row r="877" spans="12:17" x14ac:dyDescent="0.35">
      <c r="L877">
        <v>875</v>
      </c>
      <c r="M877">
        <v>0</v>
      </c>
      <c r="Q877">
        <v>13</v>
      </c>
    </row>
    <row r="878" spans="12:17" x14ac:dyDescent="0.35">
      <c r="L878">
        <v>876</v>
      </c>
      <c r="M878">
        <v>0</v>
      </c>
      <c r="Q878">
        <v>13</v>
      </c>
    </row>
    <row r="879" spans="12:17" x14ac:dyDescent="0.35">
      <c r="L879">
        <v>877</v>
      </c>
      <c r="M879">
        <v>0</v>
      </c>
      <c r="Q879">
        <v>19</v>
      </c>
    </row>
    <row r="880" spans="12:17" x14ac:dyDescent="0.35">
      <c r="L880">
        <v>878</v>
      </c>
      <c r="M880">
        <v>0</v>
      </c>
      <c r="Q880">
        <v>17</v>
      </c>
    </row>
    <row r="881" spans="12:17" x14ac:dyDescent="0.35">
      <c r="L881">
        <v>879</v>
      </c>
      <c r="M881">
        <v>0</v>
      </c>
      <c r="Q881">
        <v>10</v>
      </c>
    </row>
    <row r="882" spans="12:17" x14ac:dyDescent="0.35">
      <c r="L882">
        <v>880</v>
      </c>
      <c r="M882">
        <v>0</v>
      </c>
      <c r="Q882">
        <v>13</v>
      </c>
    </row>
    <row r="883" spans="12:17" x14ac:dyDescent="0.35">
      <c r="L883">
        <v>881</v>
      </c>
      <c r="M883">
        <v>0</v>
      </c>
      <c r="Q883">
        <v>19</v>
      </c>
    </row>
    <row r="884" spans="12:17" x14ac:dyDescent="0.35">
      <c r="L884">
        <v>882</v>
      </c>
      <c r="M884">
        <v>0</v>
      </c>
      <c r="Q884">
        <v>16</v>
      </c>
    </row>
    <row r="885" spans="12:17" x14ac:dyDescent="0.35">
      <c r="L885">
        <v>883</v>
      </c>
      <c r="M885">
        <v>0</v>
      </c>
      <c r="Q885">
        <v>17</v>
      </c>
    </row>
    <row r="886" spans="12:17" x14ac:dyDescent="0.35">
      <c r="L886">
        <v>884</v>
      </c>
      <c r="M886">
        <v>0</v>
      </c>
      <c r="Q886">
        <v>9</v>
      </c>
    </row>
    <row r="887" spans="12:17" x14ac:dyDescent="0.35">
      <c r="L887">
        <v>885</v>
      </c>
      <c r="M887">
        <v>0</v>
      </c>
      <c r="Q887">
        <v>14</v>
      </c>
    </row>
    <row r="888" spans="12:17" x14ac:dyDescent="0.35">
      <c r="L888">
        <v>886</v>
      </c>
      <c r="M888">
        <v>0</v>
      </c>
      <c r="Q888">
        <v>16</v>
      </c>
    </row>
    <row r="889" spans="12:17" x14ac:dyDescent="0.35">
      <c r="L889">
        <v>887</v>
      </c>
      <c r="M889">
        <v>0</v>
      </c>
      <c r="Q889">
        <v>19</v>
      </c>
    </row>
    <row r="890" spans="12:17" x14ac:dyDescent="0.35">
      <c r="L890">
        <v>888</v>
      </c>
      <c r="M890">
        <v>0</v>
      </c>
      <c r="Q890">
        <v>14</v>
      </c>
    </row>
    <row r="891" spans="12:17" x14ac:dyDescent="0.35">
      <c r="L891">
        <v>889</v>
      </c>
      <c r="M891">
        <v>0</v>
      </c>
      <c r="Q891">
        <v>16</v>
      </c>
    </row>
    <row r="892" spans="12:17" x14ac:dyDescent="0.35">
      <c r="L892">
        <v>890</v>
      </c>
      <c r="M892">
        <v>0</v>
      </c>
      <c r="Q892">
        <v>9</v>
      </c>
    </row>
    <row r="893" spans="12:17" x14ac:dyDescent="0.35">
      <c r="L893">
        <v>891</v>
      </c>
      <c r="M893">
        <v>0</v>
      </c>
      <c r="Q893">
        <v>12</v>
      </c>
    </row>
    <row r="894" spans="12:17" x14ac:dyDescent="0.35">
      <c r="L894">
        <v>892</v>
      </c>
      <c r="M894">
        <v>0</v>
      </c>
      <c r="Q894">
        <v>13</v>
      </c>
    </row>
    <row r="895" spans="12:17" x14ac:dyDescent="0.35">
      <c r="L895">
        <v>893</v>
      </c>
      <c r="M895">
        <v>0</v>
      </c>
      <c r="Q895">
        <v>21</v>
      </c>
    </row>
    <row r="896" spans="12:17" x14ac:dyDescent="0.35">
      <c r="L896">
        <v>894</v>
      </c>
      <c r="M896">
        <v>0</v>
      </c>
      <c r="Q896">
        <v>11</v>
      </c>
    </row>
    <row r="897" spans="12:17" x14ac:dyDescent="0.35">
      <c r="L897">
        <v>895</v>
      </c>
      <c r="M897">
        <v>0</v>
      </c>
      <c r="Q897">
        <v>13</v>
      </c>
    </row>
    <row r="898" spans="12:17" x14ac:dyDescent="0.35">
      <c r="L898">
        <v>896</v>
      </c>
      <c r="M898">
        <v>0</v>
      </c>
      <c r="Q898">
        <v>15</v>
      </c>
    </row>
    <row r="899" spans="12:17" x14ac:dyDescent="0.35">
      <c r="L899">
        <v>897</v>
      </c>
      <c r="M899">
        <v>0</v>
      </c>
      <c r="Q899">
        <v>12</v>
      </c>
    </row>
    <row r="900" spans="12:17" x14ac:dyDescent="0.35">
      <c r="L900">
        <v>898</v>
      </c>
      <c r="M900">
        <v>0</v>
      </c>
      <c r="Q900">
        <v>11</v>
      </c>
    </row>
    <row r="901" spans="12:17" x14ac:dyDescent="0.35">
      <c r="L901">
        <v>899</v>
      </c>
      <c r="M901">
        <v>0</v>
      </c>
      <c r="Q901">
        <v>16</v>
      </c>
    </row>
    <row r="902" spans="12:17" x14ac:dyDescent="0.35">
      <c r="L902">
        <v>900</v>
      </c>
      <c r="M902">
        <v>0</v>
      </c>
      <c r="Q902">
        <v>13</v>
      </c>
    </row>
    <row r="903" spans="12:17" x14ac:dyDescent="0.35">
      <c r="L903">
        <v>901</v>
      </c>
      <c r="M903">
        <v>0</v>
      </c>
      <c r="Q903">
        <v>15</v>
      </c>
    </row>
    <row r="904" spans="12:17" x14ac:dyDescent="0.35">
      <c r="L904">
        <v>902</v>
      </c>
      <c r="M904">
        <v>0</v>
      </c>
      <c r="Q904">
        <v>13</v>
      </c>
    </row>
    <row r="905" spans="12:17" x14ac:dyDescent="0.35">
      <c r="L905">
        <v>903</v>
      </c>
      <c r="M905">
        <v>1</v>
      </c>
      <c r="Q905">
        <v>17</v>
      </c>
    </row>
    <row r="906" spans="12:17" x14ac:dyDescent="0.35">
      <c r="L906">
        <v>904</v>
      </c>
      <c r="M906">
        <v>0</v>
      </c>
      <c r="Q906">
        <v>16</v>
      </c>
    </row>
    <row r="907" spans="12:17" x14ac:dyDescent="0.35">
      <c r="L907">
        <v>905</v>
      </c>
      <c r="M907">
        <v>0</v>
      </c>
      <c r="Q907">
        <v>20</v>
      </c>
    </row>
    <row r="908" spans="12:17" x14ac:dyDescent="0.35">
      <c r="L908">
        <v>906</v>
      </c>
      <c r="M908">
        <v>0</v>
      </c>
      <c r="Q908">
        <v>18</v>
      </c>
    </row>
    <row r="909" spans="12:17" x14ac:dyDescent="0.35">
      <c r="L909">
        <v>907</v>
      </c>
      <c r="M909">
        <v>0</v>
      </c>
      <c r="Q909">
        <v>8</v>
      </c>
    </row>
    <row r="910" spans="12:17" x14ac:dyDescent="0.35">
      <c r="L910">
        <v>908</v>
      </c>
      <c r="M910">
        <v>0</v>
      </c>
      <c r="Q910">
        <v>11</v>
      </c>
    </row>
    <row r="911" spans="12:17" x14ac:dyDescent="0.35">
      <c r="L911">
        <v>909</v>
      </c>
      <c r="M911">
        <v>0</v>
      </c>
      <c r="Q911">
        <v>15</v>
      </c>
    </row>
    <row r="912" spans="12:17" x14ac:dyDescent="0.35">
      <c r="L912">
        <v>910</v>
      </c>
      <c r="M912">
        <v>0</v>
      </c>
      <c r="Q912">
        <v>16</v>
      </c>
    </row>
    <row r="913" spans="12:17" x14ac:dyDescent="0.35">
      <c r="L913">
        <v>911</v>
      </c>
      <c r="M913">
        <v>0</v>
      </c>
      <c r="Q913">
        <v>21</v>
      </c>
    </row>
    <row r="914" spans="12:17" x14ac:dyDescent="0.35">
      <c r="L914">
        <v>912</v>
      </c>
      <c r="M914">
        <v>0</v>
      </c>
      <c r="Q914">
        <v>16</v>
      </c>
    </row>
    <row r="915" spans="12:17" x14ac:dyDescent="0.35">
      <c r="L915">
        <v>913</v>
      </c>
      <c r="M915">
        <v>0</v>
      </c>
      <c r="Q915">
        <v>17</v>
      </c>
    </row>
    <row r="916" spans="12:17" x14ac:dyDescent="0.35">
      <c r="L916">
        <v>914</v>
      </c>
      <c r="M916">
        <v>1</v>
      </c>
      <c r="Q916">
        <v>16</v>
      </c>
    </row>
    <row r="917" spans="12:17" x14ac:dyDescent="0.35">
      <c r="L917">
        <v>915</v>
      </c>
      <c r="M917">
        <v>0</v>
      </c>
      <c r="Q917">
        <v>14</v>
      </c>
    </row>
    <row r="918" spans="12:17" x14ac:dyDescent="0.35">
      <c r="L918">
        <v>916</v>
      </c>
      <c r="M918">
        <v>0</v>
      </c>
      <c r="Q918">
        <v>11</v>
      </c>
    </row>
    <row r="919" spans="12:17" x14ac:dyDescent="0.35">
      <c r="L919">
        <v>917</v>
      </c>
      <c r="M919">
        <v>0</v>
      </c>
      <c r="Q919">
        <v>11</v>
      </c>
    </row>
    <row r="920" spans="12:17" x14ac:dyDescent="0.35">
      <c r="L920">
        <v>918</v>
      </c>
      <c r="M920">
        <v>0</v>
      </c>
      <c r="Q920">
        <v>10</v>
      </c>
    </row>
    <row r="921" spans="12:17" x14ac:dyDescent="0.35">
      <c r="L921">
        <v>919</v>
      </c>
      <c r="M921">
        <v>0</v>
      </c>
      <c r="Q921">
        <v>13</v>
      </c>
    </row>
    <row r="922" spans="12:17" x14ac:dyDescent="0.35">
      <c r="L922">
        <v>920</v>
      </c>
      <c r="M922">
        <v>0</v>
      </c>
      <c r="Q922">
        <v>24</v>
      </c>
    </row>
    <row r="923" spans="12:17" x14ac:dyDescent="0.35">
      <c r="L923">
        <v>921</v>
      </c>
      <c r="M923">
        <v>0</v>
      </c>
      <c r="Q923">
        <v>15</v>
      </c>
    </row>
    <row r="924" spans="12:17" x14ac:dyDescent="0.35">
      <c r="L924">
        <v>922</v>
      </c>
      <c r="M924">
        <v>1</v>
      </c>
      <c r="Q924">
        <v>13</v>
      </c>
    </row>
    <row r="925" spans="12:17" x14ac:dyDescent="0.35">
      <c r="L925">
        <v>923</v>
      </c>
      <c r="M925">
        <v>0</v>
      </c>
      <c r="Q925">
        <v>16</v>
      </c>
    </row>
    <row r="926" spans="12:17" x14ac:dyDescent="0.35">
      <c r="L926">
        <v>924</v>
      </c>
      <c r="M926">
        <v>0</v>
      </c>
      <c r="Q926">
        <v>23</v>
      </c>
    </row>
    <row r="927" spans="12:17" x14ac:dyDescent="0.35">
      <c r="L927">
        <v>925</v>
      </c>
      <c r="M927">
        <v>0</v>
      </c>
      <c r="Q927">
        <v>21</v>
      </c>
    </row>
    <row r="928" spans="12:17" x14ac:dyDescent="0.35">
      <c r="L928">
        <v>926</v>
      </c>
      <c r="M928">
        <v>0</v>
      </c>
      <c r="Q928">
        <v>27</v>
      </c>
    </row>
    <row r="929" spans="12:17" x14ac:dyDescent="0.35">
      <c r="L929">
        <v>927</v>
      </c>
      <c r="M929">
        <v>0</v>
      </c>
      <c r="Q929">
        <v>21</v>
      </c>
    </row>
    <row r="930" spans="12:17" x14ac:dyDescent="0.35">
      <c r="L930">
        <v>928</v>
      </c>
      <c r="M930">
        <v>0</v>
      </c>
      <c r="Q930">
        <v>18</v>
      </c>
    </row>
    <row r="931" spans="12:17" x14ac:dyDescent="0.35">
      <c r="L931">
        <v>929</v>
      </c>
      <c r="M931">
        <v>0</v>
      </c>
      <c r="Q931">
        <v>14</v>
      </c>
    </row>
    <row r="932" spans="12:17" x14ac:dyDescent="0.35">
      <c r="L932">
        <v>930</v>
      </c>
      <c r="M932">
        <v>0</v>
      </c>
      <c r="Q932">
        <v>23</v>
      </c>
    </row>
    <row r="933" spans="12:17" x14ac:dyDescent="0.35">
      <c r="L933">
        <v>931</v>
      </c>
      <c r="M933">
        <v>0</v>
      </c>
      <c r="Q933">
        <v>19</v>
      </c>
    </row>
    <row r="934" spans="12:17" x14ac:dyDescent="0.35">
      <c r="L934">
        <v>932</v>
      </c>
      <c r="M934">
        <v>0</v>
      </c>
      <c r="Q934">
        <v>19</v>
      </c>
    </row>
    <row r="935" spans="12:17" x14ac:dyDescent="0.35">
      <c r="L935">
        <v>933</v>
      </c>
      <c r="M935">
        <v>0</v>
      </c>
      <c r="Q935">
        <v>14</v>
      </c>
    </row>
    <row r="936" spans="12:17" x14ac:dyDescent="0.35">
      <c r="L936">
        <v>934</v>
      </c>
      <c r="M936">
        <v>0</v>
      </c>
      <c r="Q936">
        <v>18</v>
      </c>
    </row>
    <row r="937" spans="12:17" x14ac:dyDescent="0.35">
      <c r="L937">
        <v>935</v>
      </c>
      <c r="M937">
        <v>0</v>
      </c>
      <c r="Q937">
        <v>14</v>
      </c>
    </row>
    <row r="938" spans="12:17" x14ac:dyDescent="0.35">
      <c r="L938">
        <v>936</v>
      </c>
      <c r="M938">
        <v>0</v>
      </c>
      <c r="Q938">
        <v>22</v>
      </c>
    </row>
    <row r="939" spans="12:17" x14ac:dyDescent="0.35">
      <c r="L939">
        <v>937</v>
      </c>
      <c r="M939">
        <v>0</v>
      </c>
      <c r="Q939">
        <v>18</v>
      </c>
    </row>
    <row r="940" spans="12:17" x14ac:dyDescent="0.35">
      <c r="L940">
        <v>938</v>
      </c>
      <c r="M940">
        <v>0</v>
      </c>
      <c r="Q940">
        <v>14</v>
      </c>
    </row>
    <row r="941" spans="12:17" x14ac:dyDescent="0.35">
      <c r="L941">
        <v>939</v>
      </c>
      <c r="M941">
        <v>1</v>
      </c>
      <c r="Q941">
        <v>22</v>
      </c>
    </row>
    <row r="942" spans="12:17" x14ac:dyDescent="0.35">
      <c r="L942">
        <v>940</v>
      </c>
      <c r="M942">
        <v>0</v>
      </c>
      <c r="Q942">
        <v>14</v>
      </c>
    </row>
    <row r="943" spans="12:17" x14ac:dyDescent="0.35">
      <c r="L943">
        <v>941</v>
      </c>
      <c r="M943">
        <v>0</v>
      </c>
      <c r="Q943">
        <v>20</v>
      </c>
    </row>
    <row r="944" spans="12:17" x14ac:dyDescent="0.35">
      <c r="L944">
        <v>942</v>
      </c>
      <c r="M944">
        <v>0</v>
      </c>
      <c r="Q944">
        <v>9</v>
      </c>
    </row>
    <row r="945" spans="12:17" x14ac:dyDescent="0.35">
      <c r="L945">
        <v>943</v>
      </c>
      <c r="M945">
        <v>0</v>
      </c>
      <c r="Q945">
        <v>16</v>
      </c>
    </row>
    <row r="946" spans="12:17" x14ac:dyDescent="0.35">
      <c r="L946">
        <v>944</v>
      </c>
      <c r="M946">
        <v>0</v>
      </c>
      <c r="Q946">
        <v>16</v>
      </c>
    </row>
    <row r="947" spans="12:17" x14ac:dyDescent="0.35">
      <c r="L947">
        <v>945</v>
      </c>
      <c r="M947">
        <v>0</v>
      </c>
      <c r="Q947">
        <v>18</v>
      </c>
    </row>
    <row r="948" spans="12:17" x14ac:dyDescent="0.35">
      <c r="L948">
        <v>946</v>
      </c>
      <c r="M948">
        <v>0</v>
      </c>
      <c r="Q948">
        <v>16</v>
      </c>
    </row>
    <row r="949" spans="12:17" x14ac:dyDescent="0.35">
      <c r="L949">
        <v>947</v>
      </c>
      <c r="M949">
        <v>0</v>
      </c>
      <c r="Q949">
        <v>18</v>
      </c>
    </row>
    <row r="950" spans="12:17" x14ac:dyDescent="0.35">
      <c r="L950">
        <v>948</v>
      </c>
      <c r="M950">
        <v>0</v>
      </c>
      <c r="Q950">
        <v>19</v>
      </c>
    </row>
    <row r="951" spans="12:17" x14ac:dyDescent="0.35">
      <c r="L951">
        <v>949</v>
      </c>
      <c r="M951">
        <v>0</v>
      </c>
      <c r="Q951">
        <v>24</v>
      </c>
    </row>
    <row r="952" spans="12:17" x14ac:dyDescent="0.35">
      <c r="L952">
        <v>950</v>
      </c>
      <c r="M952">
        <v>0</v>
      </c>
      <c r="Q952">
        <v>20</v>
      </c>
    </row>
    <row r="953" spans="12:17" x14ac:dyDescent="0.35">
      <c r="L953">
        <v>951</v>
      </c>
      <c r="M953">
        <v>0</v>
      </c>
      <c r="Q953">
        <v>18</v>
      </c>
    </row>
    <row r="954" spans="12:17" x14ac:dyDescent="0.35">
      <c r="L954">
        <v>952</v>
      </c>
      <c r="M954">
        <v>0</v>
      </c>
      <c r="Q954">
        <v>8</v>
      </c>
    </row>
    <row r="955" spans="12:17" x14ac:dyDescent="0.35">
      <c r="L955">
        <v>953</v>
      </c>
      <c r="M955">
        <v>0</v>
      </c>
      <c r="Q955">
        <v>17</v>
      </c>
    </row>
    <row r="956" spans="12:17" x14ac:dyDescent="0.35">
      <c r="L956">
        <v>954</v>
      </c>
      <c r="M956">
        <v>0</v>
      </c>
      <c r="Q956">
        <v>16</v>
      </c>
    </row>
    <row r="957" spans="12:17" x14ac:dyDescent="0.35">
      <c r="L957">
        <v>955</v>
      </c>
      <c r="M957">
        <v>0</v>
      </c>
      <c r="Q957">
        <v>8</v>
      </c>
    </row>
    <row r="958" spans="12:17" x14ac:dyDescent="0.35">
      <c r="L958">
        <v>956</v>
      </c>
      <c r="M958">
        <v>0</v>
      </c>
      <c r="Q958">
        <v>13</v>
      </c>
    </row>
    <row r="959" spans="12:17" x14ac:dyDescent="0.35">
      <c r="L959">
        <v>957</v>
      </c>
      <c r="M959">
        <v>0</v>
      </c>
      <c r="Q959">
        <v>19</v>
      </c>
    </row>
    <row r="960" spans="12:17" x14ac:dyDescent="0.35">
      <c r="L960">
        <v>958</v>
      </c>
      <c r="M960">
        <v>0</v>
      </c>
      <c r="Q960">
        <v>20</v>
      </c>
    </row>
    <row r="961" spans="12:17" x14ac:dyDescent="0.35">
      <c r="L961">
        <v>959</v>
      </c>
      <c r="M961">
        <v>0</v>
      </c>
      <c r="Q961">
        <v>22</v>
      </c>
    </row>
    <row r="962" spans="12:17" x14ac:dyDescent="0.35">
      <c r="L962">
        <v>960</v>
      </c>
      <c r="M962">
        <v>0</v>
      </c>
      <c r="Q962">
        <v>17</v>
      </c>
    </row>
    <row r="963" spans="12:17" x14ac:dyDescent="0.35">
      <c r="L963">
        <v>961</v>
      </c>
      <c r="M963">
        <v>0</v>
      </c>
      <c r="Q963">
        <v>19</v>
      </c>
    </row>
    <row r="964" spans="12:17" x14ac:dyDescent="0.35">
      <c r="L964">
        <v>962</v>
      </c>
      <c r="M964">
        <v>0</v>
      </c>
      <c r="Q964">
        <v>18</v>
      </c>
    </row>
    <row r="965" spans="12:17" x14ac:dyDescent="0.35">
      <c r="L965">
        <v>963</v>
      </c>
      <c r="M965">
        <v>0</v>
      </c>
      <c r="Q965">
        <v>18</v>
      </c>
    </row>
    <row r="966" spans="12:17" x14ac:dyDescent="0.35">
      <c r="L966">
        <v>964</v>
      </c>
      <c r="M966">
        <v>1</v>
      </c>
      <c r="Q966">
        <v>19</v>
      </c>
    </row>
    <row r="967" spans="12:17" x14ac:dyDescent="0.35">
      <c r="L967">
        <v>965</v>
      </c>
      <c r="M967">
        <v>0</v>
      </c>
      <c r="Q967">
        <v>17</v>
      </c>
    </row>
    <row r="968" spans="12:17" x14ac:dyDescent="0.35">
      <c r="L968">
        <v>966</v>
      </c>
      <c r="M968">
        <v>0</v>
      </c>
      <c r="Q968">
        <v>13</v>
      </c>
    </row>
    <row r="969" spans="12:17" x14ac:dyDescent="0.35">
      <c r="L969">
        <v>967</v>
      </c>
      <c r="M969">
        <v>0</v>
      </c>
      <c r="Q969">
        <v>19</v>
      </c>
    </row>
    <row r="970" spans="12:17" x14ac:dyDescent="0.35">
      <c r="L970">
        <v>968</v>
      </c>
      <c r="M970">
        <v>0</v>
      </c>
      <c r="Q970">
        <v>19</v>
      </c>
    </row>
    <row r="971" spans="12:17" x14ac:dyDescent="0.35">
      <c r="L971">
        <v>969</v>
      </c>
      <c r="M971">
        <v>0</v>
      </c>
      <c r="Q971">
        <v>14</v>
      </c>
    </row>
    <row r="972" spans="12:17" x14ac:dyDescent="0.35">
      <c r="L972">
        <v>970</v>
      </c>
      <c r="M972">
        <v>0</v>
      </c>
      <c r="Q972">
        <v>28</v>
      </c>
    </row>
    <row r="973" spans="12:17" x14ac:dyDescent="0.35">
      <c r="L973">
        <v>971</v>
      </c>
      <c r="M973">
        <v>0</v>
      </c>
      <c r="Q973">
        <v>18</v>
      </c>
    </row>
    <row r="974" spans="12:17" x14ac:dyDescent="0.35">
      <c r="L974">
        <v>972</v>
      </c>
      <c r="M974">
        <v>0</v>
      </c>
      <c r="Q974">
        <v>27</v>
      </c>
    </row>
    <row r="975" spans="12:17" x14ac:dyDescent="0.35">
      <c r="L975">
        <v>973</v>
      </c>
      <c r="M975">
        <v>0</v>
      </c>
      <c r="Q975">
        <v>15</v>
      </c>
    </row>
    <row r="976" spans="12:17" x14ac:dyDescent="0.35">
      <c r="L976">
        <v>974</v>
      </c>
      <c r="M976">
        <v>0</v>
      </c>
      <c r="Q976">
        <v>21</v>
      </c>
    </row>
    <row r="977" spans="12:17" x14ac:dyDescent="0.35">
      <c r="L977">
        <v>975</v>
      </c>
      <c r="M977">
        <v>0</v>
      </c>
      <c r="Q977">
        <v>15</v>
      </c>
    </row>
    <row r="978" spans="12:17" x14ac:dyDescent="0.35">
      <c r="L978">
        <v>976</v>
      </c>
      <c r="M978">
        <v>0</v>
      </c>
      <c r="Q978">
        <v>12</v>
      </c>
    </row>
    <row r="979" spans="12:17" x14ac:dyDescent="0.35">
      <c r="L979">
        <v>977</v>
      </c>
      <c r="M979">
        <v>0</v>
      </c>
      <c r="Q979">
        <v>18</v>
      </c>
    </row>
    <row r="980" spans="12:17" x14ac:dyDescent="0.35">
      <c r="L980">
        <v>978</v>
      </c>
      <c r="M980">
        <v>0</v>
      </c>
      <c r="Q980">
        <v>19</v>
      </c>
    </row>
    <row r="981" spans="12:17" x14ac:dyDescent="0.35">
      <c r="L981">
        <v>979</v>
      </c>
      <c r="M981">
        <v>0</v>
      </c>
      <c r="Q981">
        <v>20</v>
      </c>
    </row>
    <row r="982" spans="12:17" x14ac:dyDescent="0.35">
      <c r="L982">
        <v>980</v>
      </c>
      <c r="M982">
        <v>0</v>
      </c>
      <c r="Q982">
        <v>19</v>
      </c>
    </row>
    <row r="983" spans="12:17" x14ac:dyDescent="0.35">
      <c r="L983">
        <v>981</v>
      </c>
      <c r="M983">
        <v>0</v>
      </c>
      <c r="Q983">
        <v>24</v>
      </c>
    </row>
    <row r="984" spans="12:17" x14ac:dyDescent="0.35">
      <c r="L984">
        <v>982</v>
      </c>
      <c r="M984">
        <v>0</v>
      </c>
      <c r="Q984">
        <v>17</v>
      </c>
    </row>
    <row r="985" spans="12:17" x14ac:dyDescent="0.35">
      <c r="L985">
        <v>983</v>
      </c>
      <c r="M985">
        <v>0</v>
      </c>
      <c r="Q985">
        <v>13</v>
      </c>
    </row>
    <row r="986" spans="12:17" x14ac:dyDescent="0.35">
      <c r="L986">
        <v>984</v>
      </c>
      <c r="M986">
        <v>0</v>
      </c>
      <c r="Q986">
        <v>20</v>
      </c>
    </row>
    <row r="987" spans="12:17" x14ac:dyDescent="0.35">
      <c r="L987">
        <v>985</v>
      </c>
      <c r="M987">
        <v>0</v>
      </c>
      <c r="Q987">
        <v>12</v>
      </c>
    </row>
    <row r="988" spans="12:17" x14ac:dyDescent="0.35">
      <c r="L988">
        <v>986</v>
      </c>
      <c r="M988">
        <v>0</v>
      </c>
      <c r="Q988">
        <v>20</v>
      </c>
    </row>
    <row r="989" spans="12:17" x14ac:dyDescent="0.35">
      <c r="L989">
        <v>987</v>
      </c>
      <c r="M989">
        <v>0</v>
      </c>
      <c r="Q989">
        <v>20</v>
      </c>
    </row>
    <row r="990" spans="12:17" x14ac:dyDescent="0.35">
      <c r="L990">
        <v>988</v>
      </c>
      <c r="M990">
        <v>0</v>
      </c>
      <c r="Q990">
        <v>23</v>
      </c>
    </row>
    <row r="991" spans="12:17" x14ac:dyDescent="0.35">
      <c r="L991">
        <v>989</v>
      </c>
      <c r="M991">
        <v>0</v>
      </c>
      <c r="Q991">
        <v>14</v>
      </c>
    </row>
    <row r="992" spans="12:17" x14ac:dyDescent="0.35">
      <c r="L992">
        <v>990</v>
      </c>
      <c r="M992">
        <v>0</v>
      </c>
      <c r="Q992">
        <v>16</v>
      </c>
    </row>
    <row r="993" spans="12:17" x14ac:dyDescent="0.35">
      <c r="L993">
        <v>991</v>
      </c>
      <c r="M993">
        <v>0</v>
      </c>
      <c r="Q993">
        <v>12</v>
      </c>
    </row>
    <row r="994" spans="12:17" x14ac:dyDescent="0.35">
      <c r="L994">
        <v>992</v>
      </c>
      <c r="M994">
        <v>0</v>
      </c>
      <c r="Q994">
        <v>23</v>
      </c>
    </row>
    <row r="995" spans="12:17" x14ac:dyDescent="0.35">
      <c r="L995">
        <v>993</v>
      </c>
      <c r="M995">
        <v>0</v>
      </c>
      <c r="Q995">
        <v>14</v>
      </c>
    </row>
    <row r="996" spans="12:17" x14ac:dyDescent="0.35">
      <c r="L996">
        <v>994</v>
      </c>
      <c r="M996">
        <v>0</v>
      </c>
      <c r="Q996">
        <v>19</v>
      </c>
    </row>
    <row r="997" spans="12:17" x14ac:dyDescent="0.35">
      <c r="L997">
        <v>995</v>
      </c>
      <c r="M997">
        <v>0</v>
      </c>
      <c r="Q997">
        <v>12</v>
      </c>
    </row>
    <row r="998" spans="12:17" x14ac:dyDescent="0.35">
      <c r="L998">
        <v>996</v>
      </c>
      <c r="M998">
        <v>0</v>
      </c>
      <c r="Q998">
        <v>18</v>
      </c>
    </row>
    <row r="999" spans="12:17" x14ac:dyDescent="0.35">
      <c r="L999">
        <v>997</v>
      </c>
      <c r="M999">
        <v>0</v>
      </c>
      <c r="Q999">
        <v>21</v>
      </c>
    </row>
    <row r="1000" spans="12:17" x14ac:dyDescent="0.35">
      <c r="L1000">
        <v>998</v>
      </c>
      <c r="M1000">
        <v>0</v>
      </c>
      <c r="Q1000">
        <v>21</v>
      </c>
    </row>
    <row r="1001" spans="12:17" x14ac:dyDescent="0.35">
      <c r="L1001">
        <v>999</v>
      </c>
      <c r="M1001">
        <v>0</v>
      </c>
      <c r="Q1001">
        <v>24</v>
      </c>
    </row>
    <row r="1002" spans="12:17" x14ac:dyDescent="0.35">
      <c r="L1002">
        <v>1000</v>
      </c>
      <c r="M1002">
        <v>0</v>
      </c>
    </row>
    <row r="1003" spans="12:17" x14ac:dyDescent="0.35">
      <c r="M1003">
        <v>0</v>
      </c>
    </row>
    <row r="1004" spans="12:17" x14ac:dyDescent="0.35">
      <c r="M1004">
        <v>0</v>
      </c>
    </row>
    <row r="1005" spans="12:17" x14ac:dyDescent="0.35">
      <c r="M1005">
        <v>0</v>
      </c>
    </row>
    <row r="1006" spans="12:17" x14ac:dyDescent="0.35">
      <c r="M1006">
        <v>0</v>
      </c>
    </row>
    <row r="1007" spans="12:17" x14ac:dyDescent="0.35">
      <c r="M1007">
        <v>0</v>
      </c>
    </row>
    <row r="1008" spans="12:17" x14ac:dyDescent="0.35">
      <c r="M1008">
        <v>0</v>
      </c>
    </row>
    <row r="1009" spans="13:13" x14ac:dyDescent="0.35">
      <c r="M1009">
        <v>0</v>
      </c>
    </row>
    <row r="1010" spans="13:13" x14ac:dyDescent="0.35">
      <c r="M1010">
        <v>0</v>
      </c>
    </row>
    <row r="1011" spans="13:13" x14ac:dyDescent="0.35">
      <c r="M1011">
        <v>0</v>
      </c>
    </row>
    <row r="1012" spans="13:13" x14ac:dyDescent="0.35">
      <c r="M1012">
        <v>0</v>
      </c>
    </row>
    <row r="1013" spans="13:13" x14ac:dyDescent="0.35">
      <c r="M1013">
        <v>0</v>
      </c>
    </row>
    <row r="1014" spans="13:13" x14ac:dyDescent="0.35">
      <c r="M1014">
        <v>0</v>
      </c>
    </row>
    <row r="1015" spans="13:13" x14ac:dyDescent="0.35">
      <c r="M1015">
        <v>0</v>
      </c>
    </row>
    <row r="1016" spans="13:13" x14ac:dyDescent="0.35">
      <c r="M1016">
        <v>0</v>
      </c>
    </row>
    <row r="1017" spans="13:13" x14ac:dyDescent="0.35">
      <c r="M1017">
        <v>0</v>
      </c>
    </row>
    <row r="1018" spans="13:13" x14ac:dyDescent="0.35">
      <c r="M1018">
        <v>0</v>
      </c>
    </row>
    <row r="1019" spans="13:13" x14ac:dyDescent="0.35">
      <c r="M1019">
        <v>0</v>
      </c>
    </row>
    <row r="1020" spans="13:13" x14ac:dyDescent="0.35">
      <c r="M1020">
        <v>0</v>
      </c>
    </row>
    <row r="1021" spans="13:13" x14ac:dyDescent="0.35">
      <c r="M1021">
        <v>0</v>
      </c>
    </row>
  </sheetData>
  <mergeCells count="1">
    <mergeCell ref="C1:H1"/>
  </mergeCells>
  <conditionalFormatting sqref="A35">
    <cfRule type="cellIs" dxfId="11" priority="3" operator="lessThan">
      <formula>0.3</formula>
    </cfRule>
  </conditionalFormatting>
  <conditionalFormatting sqref="A37">
    <cfRule type="cellIs" dxfId="10" priority="2" operator="lessThan">
      <formula>0.15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zoomScale="70" zoomScaleNormal="70" workbookViewId="0">
      <selection activeCell="C4" sqref="C4"/>
    </sheetView>
  </sheetViews>
  <sheetFormatPr defaultColWidth="11.53125" defaultRowHeight="12.75" x14ac:dyDescent="0.35"/>
  <sheetData>
    <row r="1" spans="1:49" x14ac:dyDescent="0.35">
      <c r="A1" t="s">
        <v>294</v>
      </c>
    </row>
    <row r="2" spans="1:49" ht="40.15" x14ac:dyDescent="1.05">
      <c r="O2" s="90" t="s">
        <v>295</v>
      </c>
    </row>
    <row r="4" spans="1:49" ht="40.15" x14ac:dyDescent="1.05">
      <c r="A4" s="8" t="s">
        <v>28</v>
      </c>
      <c r="O4" s="90" t="s">
        <v>105</v>
      </c>
    </row>
    <row r="5" spans="1:49" x14ac:dyDescent="0.35">
      <c r="O5" s="32">
        <v>45798</v>
      </c>
    </row>
    <row r="6" spans="1:49" ht="13.15" x14ac:dyDescent="0.4">
      <c r="A6" t="s">
        <v>296</v>
      </c>
      <c r="B6" s="8"/>
      <c r="C6" s="8"/>
      <c r="D6" s="8"/>
      <c r="E6" s="8"/>
      <c r="F6" s="8"/>
      <c r="O6" t="s">
        <v>297</v>
      </c>
    </row>
    <row r="7" spans="1:49" ht="14.65" x14ac:dyDescent="0.5">
      <c r="B7" s="77" t="s">
        <v>41</v>
      </c>
      <c r="C7" s="77" t="s">
        <v>42</v>
      </c>
      <c r="D7" s="77" t="s">
        <v>44</v>
      </c>
      <c r="E7" s="77" t="s">
        <v>45</v>
      </c>
      <c r="F7" s="77" t="s">
        <v>47</v>
      </c>
      <c r="G7" s="77" t="s">
        <v>151</v>
      </c>
      <c r="H7" s="77" t="s">
        <v>152</v>
      </c>
      <c r="I7" s="77" t="s">
        <v>153</v>
      </c>
      <c r="J7" s="77" t="s">
        <v>154</v>
      </c>
      <c r="K7" s="77" t="s">
        <v>155</v>
      </c>
      <c r="M7" s="77"/>
    </row>
    <row r="8" spans="1:49" ht="13.15" x14ac:dyDescent="0.4">
      <c r="A8" s="80" t="s">
        <v>157</v>
      </c>
      <c r="B8">
        <v>4.870482</v>
      </c>
      <c r="C8">
        <v>5.1666970000000001</v>
      </c>
      <c r="D8">
        <v>5.1209540000000002</v>
      </c>
      <c r="E8">
        <v>5.2131850000000002</v>
      </c>
      <c r="F8">
        <v>5.1381139999999998</v>
      </c>
      <c r="G8" s="93">
        <v>25.517626</v>
      </c>
      <c r="H8" s="93">
        <f>AVERAGE(B$8:F$8)*5</f>
        <v>25.509431999999997</v>
      </c>
      <c r="I8" s="94"/>
      <c r="K8" s="94"/>
    </row>
    <row r="9" spans="1:49" ht="13.15" x14ac:dyDescent="0.4">
      <c r="A9" s="98" t="s">
        <v>158</v>
      </c>
      <c r="B9" s="39">
        <v>29462</v>
      </c>
      <c r="C9" s="39">
        <v>30722</v>
      </c>
      <c r="D9" s="39">
        <v>30719</v>
      </c>
      <c r="E9" s="39">
        <v>31067</v>
      </c>
      <c r="F9" s="39">
        <v>30629</v>
      </c>
      <c r="G9" s="142">
        <f t="shared" ref="G9:G38" si="0">AVERAGE(B9:F9)/AVERAGE(B$8:F$8)</f>
        <v>5982.0618506911487</v>
      </c>
      <c r="H9" s="143">
        <f t="shared" ref="H9:H38" si="1">G9*H$8</f>
        <v>152599</v>
      </c>
      <c r="I9" s="144">
        <f t="shared" ref="I9:I38" si="2">STDEVP(B9:F9)/AVERAGE(B9:F9)</f>
        <v>1.8011308036365591E-2</v>
      </c>
      <c r="J9" s="144">
        <f t="shared" ref="J9:J38" si="3">IF(H9&gt;$A$43, $C$43, IF(H9&gt;$A$44, $C$44, IF(H9&gt;$A$45,$C$45,IF(H9&gt;$A$46,$C$46, IF(H9&gt;$A$47,$C$47,IF(H9&gt;$A$48,$C$48,$C$49))))))/100</f>
        <v>0.11</v>
      </c>
      <c r="K9" s="144">
        <f t="shared" ref="K9:K38" si="4">(MAX(B9:F9)-MIN(B9:F9))/H9*5</f>
        <v>5.2588811197976398E-2</v>
      </c>
      <c r="M9" s="45"/>
    </row>
    <row r="10" spans="1:49" ht="13.15" x14ac:dyDescent="0.4">
      <c r="A10" s="80" t="s">
        <v>159</v>
      </c>
      <c r="B10">
        <v>17681</v>
      </c>
      <c r="C10">
        <v>18493</v>
      </c>
      <c r="D10">
        <v>18556</v>
      </c>
      <c r="E10">
        <v>18788</v>
      </c>
      <c r="F10">
        <v>18326</v>
      </c>
      <c r="G10" s="95">
        <f t="shared" si="0"/>
        <v>3600.3937680776271</v>
      </c>
      <c r="H10" s="96">
        <f t="shared" si="1"/>
        <v>91843.999999999985</v>
      </c>
      <c r="I10" s="94">
        <f t="shared" si="2"/>
        <v>2.038561529208132E-2</v>
      </c>
      <c r="J10" s="94">
        <f t="shared" si="3"/>
        <v>0.11</v>
      </c>
      <c r="K10" s="94">
        <f t="shared" si="4"/>
        <v>6.0265232350507389E-2</v>
      </c>
      <c r="M10" s="45"/>
    </row>
    <row r="11" spans="1:49" ht="13.15" x14ac:dyDescent="0.4">
      <c r="A11" s="80" t="s">
        <v>160</v>
      </c>
      <c r="B11">
        <v>9568</v>
      </c>
      <c r="C11">
        <v>9915</v>
      </c>
      <c r="D11">
        <v>9949</v>
      </c>
      <c r="E11">
        <v>9987</v>
      </c>
      <c r="F11">
        <v>9797</v>
      </c>
      <c r="G11" s="95">
        <f t="shared" si="0"/>
        <v>1929.3255921966434</v>
      </c>
      <c r="H11" s="96">
        <f t="shared" si="1"/>
        <v>49216</v>
      </c>
      <c r="I11" s="94">
        <f t="shared" si="2"/>
        <v>1.5400423189906464E-2</v>
      </c>
      <c r="J11" s="94">
        <f t="shared" si="3"/>
        <v>0.11</v>
      </c>
      <c r="K11" s="94">
        <f t="shared" si="4"/>
        <v>4.2567457737321193E-2</v>
      </c>
      <c r="M11" s="45"/>
    </row>
    <row r="12" spans="1:49" ht="13.15" x14ac:dyDescent="0.4">
      <c r="A12" s="80" t="s">
        <v>161</v>
      </c>
      <c r="B12">
        <v>4731</v>
      </c>
      <c r="C12">
        <v>4974</v>
      </c>
      <c r="D12">
        <v>5007</v>
      </c>
      <c r="E12">
        <v>5047</v>
      </c>
      <c r="F12">
        <v>4927</v>
      </c>
      <c r="G12" s="95">
        <f t="shared" si="0"/>
        <v>967.7204886412211</v>
      </c>
      <c r="H12" s="96">
        <f t="shared" si="1"/>
        <v>24686</v>
      </c>
      <c r="I12" s="94">
        <f t="shared" si="2"/>
        <v>2.2354246635164089E-2</v>
      </c>
      <c r="J12" s="94">
        <f t="shared" si="3"/>
        <v>0.11</v>
      </c>
      <c r="K12" s="94">
        <f t="shared" si="4"/>
        <v>6.4003888843879114E-2</v>
      </c>
      <c r="M12" s="45"/>
    </row>
    <row r="13" spans="1:49" ht="13.15" x14ac:dyDescent="0.4">
      <c r="A13" s="80" t="s">
        <v>162</v>
      </c>
      <c r="B13">
        <v>2535</v>
      </c>
      <c r="C13">
        <v>2591</v>
      </c>
      <c r="D13">
        <v>2546</v>
      </c>
      <c r="E13">
        <v>2596</v>
      </c>
      <c r="F13">
        <v>2562</v>
      </c>
      <c r="G13" s="95">
        <f t="shared" si="0"/>
        <v>502.95122212050825</v>
      </c>
      <c r="H13" s="96">
        <f t="shared" si="1"/>
        <v>12830</v>
      </c>
      <c r="I13" s="94">
        <f t="shared" si="2"/>
        <v>9.3887343235560649E-3</v>
      </c>
      <c r="J13" s="94">
        <f t="shared" si="3"/>
        <v>0.11</v>
      </c>
      <c r="K13" s="94">
        <f t="shared" si="4"/>
        <v>2.3772408417770848E-2</v>
      </c>
      <c r="M13" s="45"/>
    </row>
    <row r="14" spans="1:49" ht="13.15" x14ac:dyDescent="0.4">
      <c r="A14" s="102" t="s">
        <v>163</v>
      </c>
      <c r="B14" s="51">
        <v>1205</v>
      </c>
      <c r="C14" s="51">
        <v>1256</v>
      </c>
      <c r="D14" s="51">
        <v>1151</v>
      </c>
      <c r="E14" s="51">
        <v>1220</v>
      </c>
      <c r="F14" s="51">
        <v>1213</v>
      </c>
      <c r="G14" s="145">
        <f t="shared" si="0"/>
        <v>236.97117207470555</v>
      </c>
      <c r="H14" s="146">
        <f t="shared" si="1"/>
        <v>6044.9999999999991</v>
      </c>
      <c r="I14" s="147">
        <f t="shared" si="2"/>
        <v>2.7990739266302932E-2</v>
      </c>
      <c r="J14" s="147">
        <f t="shared" si="3"/>
        <v>0.113</v>
      </c>
      <c r="K14" s="147">
        <f t="shared" si="4"/>
        <v>8.6848635235732025E-2</v>
      </c>
      <c r="M14" s="45"/>
    </row>
    <row r="15" spans="1:49" ht="13.15" x14ac:dyDescent="0.4">
      <c r="A15" s="80" t="s">
        <v>164</v>
      </c>
      <c r="B15">
        <v>583</v>
      </c>
      <c r="C15">
        <v>596</v>
      </c>
      <c r="D15">
        <v>564</v>
      </c>
      <c r="E15">
        <v>560</v>
      </c>
      <c r="F15">
        <v>542</v>
      </c>
      <c r="G15" s="95">
        <f t="shared" si="0"/>
        <v>111.52737544293421</v>
      </c>
      <c r="H15" s="96">
        <f t="shared" si="1"/>
        <v>2845</v>
      </c>
      <c r="I15" s="94">
        <f t="shared" si="2"/>
        <v>3.2973045763257852E-2</v>
      </c>
      <c r="J15" s="94">
        <f t="shared" si="3"/>
        <v>0.11900000000000001</v>
      </c>
      <c r="K15" s="94">
        <f t="shared" si="4"/>
        <v>9.4903339191564143E-2</v>
      </c>
      <c r="M15" s="45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spans="1:49" ht="13.15" x14ac:dyDescent="0.4">
      <c r="A16" s="80" t="s">
        <v>165</v>
      </c>
      <c r="B16">
        <v>264</v>
      </c>
      <c r="C16">
        <v>288</v>
      </c>
      <c r="D16">
        <v>275</v>
      </c>
      <c r="E16">
        <v>277</v>
      </c>
      <c r="F16">
        <v>262</v>
      </c>
      <c r="G16" s="95">
        <f t="shared" si="0"/>
        <v>53.548820687187394</v>
      </c>
      <c r="H16" s="96">
        <f t="shared" si="1"/>
        <v>1366</v>
      </c>
      <c r="I16" s="94">
        <f t="shared" si="2"/>
        <v>3.4601178032493338E-2</v>
      </c>
      <c r="J16" s="94">
        <f t="shared" si="3"/>
        <v>0.13400000000000001</v>
      </c>
      <c r="K16" s="94">
        <f t="shared" si="4"/>
        <v>9.5168374816983897E-2</v>
      </c>
      <c r="M16" s="45"/>
      <c r="P16" s="8"/>
      <c r="Q16" s="8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spans="1:49" ht="13.15" x14ac:dyDescent="0.4">
      <c r="A17" s="80" t="s">
        <v>166</v>
      </c>
      <c r="B17">
        <v>143</v>
      </c>
      <c r="C17">
        <v>152</v>
      </c>
      <c r="D17">
        <v>149</v>
      </c>
      <c r="E17">
        <v>163</v>
      </c>
      <c r="F17">
        <v>161</v>
      </c>
      <c r="G17" s="95">
        <f t="shared" si="0"/>
        <v>30.10651119162512</v>
      </c>
      <c r="H17" s="96">
        <f t="shared" si="1"/>
        <v>767.99999999999989</v>
      </c>
      <c r="I17" s="94">
        <f t="shared" si="2"/>
        <v>4.8649848156951579E-2</v>
      </c>
      <c r="J17" s="94">
        <f t="shared" si="3"/>
        <v>0.156</v>
      </c>
      <c r="K17" s="94">
        <f t="shared" si="4"/>
        <v>0.13020833333333337</v>
      </c>
      <c r="M17" s="45"/>
      <c r="P17" s="8"/>
      <c r="Q17" s="8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spans="1:49" ht="13.15" x14ac:dyDescent="0.4">
      <c r="A18" s="80" t="s">
        <v>167</v>
      </c>
      <c r="B18">
        <v>98</v>
      </c>
      <c r="C18">
        <v>102</v>
      </c>
      <c r="D18">
        <v>91</v>
      </c>
      <c r="E18">
        <v>99</v>
      </c>
      <c r="F18">
        <v>107</v>
      </c>
      <c r="G18" s="95">
        <f t="shared" si="0"/>
        <v>19.482989664371988</v>
      </c>
      <c r="H18" s="96">
        <f t="shared" si="1"/>
        <v>497</v>
      </c>
      <c r="I18" s="94">
        <f t="shared" si="2"/>
        <v>5.269939981371749E-2</v>
      </c>
      <c r="J18" s="94">
        <f t="shared" si="3"/>
        <v>0.193</v>
      </c>
      <c r="K18" s="94">
        <f t="shared" si="4"/>
        <v>0.16096579476861167</v>
      </c>
      <c r="M18" s="45"/>
      <c r="P18" s="8"/>
      <c r="Q18" s="8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spans="1:49" ht="13.15" x14ac:dyDescent="0.4">
      <c r="A19" s="80" t="s">
        <v>168</v>
      </c>
      <c r="B19">
        <v>71</v>
      </c>
      <c r="C19">
        <v>60</v>
      </c>
      <c r="D19">
        <v>57</v>
      </c>
      <c r="E19">
        <v>70</v>
      </c>
      <c r="F19">
        <v>67</v>
      </c>
      <c r="G19" s="95">
        <f t="shared" si="0"/>
        <v>12.740385595414278</v>
      </c>
      <c r="H19" s="96">
        <f t="shared" si="1"/>
        <v>325</v>
      </c>
      <c r="I19" s="94">
        <f t="shared" si="2"/>
        <v>8.5381150310840662E-2</v>
      </c>
      <c r="J19" s="94">
        <f t="shared" si="3"/>
        <v>0.193</v>
      </c>
      <c r="K19" s="94">
        <f t="shared" si="4"/>
        <v>0.21538461538461537</v>
      </c>
      <c r="M19" s="45"/>
      <c r="P19" s="8"/>
      <c r="Q19" s="8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spans="1:49" ht="13.15" x14ac:dyDescent="0.4">
      <c r="A20" s="80" t="s">
        <v>169</v>
      </c>
      <c r="B20">
        <v>51</v>
      </c>
      <c r="C20">
        <v>46</v>
      </c>
      <c r="D20">
        <v>43</v>
      </c>
      <c r="E20">
        <v>48</v>
      </c>
      <c r="F20">
        <v>47</v>
      </c>
      <c r="G20" s="95">
        <f t="shared" si="0"/>
        <v>9.2122788151457087</v>
      </c>
      <c r="H20" s="96">
        <f t="shared" si="1"/>
        <v>235</v>
      </c>
      <c r="I20" s="94">
        <f t="shared" si="2"/>
        <v>5.5482573661299141E-2</v>
      </c>
      <c r="J20" s="94">
        <f t="shared" si="3"/>
        <v>0.193</v>
      </c>
      <c r="K20" s="94">
        <f t="shared" si="4"/>
        <v>0.1702127659574468</v>
      </c>
      <c r="M20" s="45"/>
      <c r="P20" s="8"/>
      <c r="Q20" s="8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spans="1:49" ht="13.15" x14ac:dyDescent="0.4">
      <c r="A21" s="80" t="s">
        <v>170</v>
      </c>
      <c r="B21">
        <v>37</v>
      </c>
      <c r="C21">
        <v>35</v>
      </c>
      <c r="D21">
        <v>29</v>
      </c>
      <c r="E21">
        <v>38</v>
      </c>
      <c r="F21">
        <v>37</v>
      </c>
      <c r="G21" s="95">
        <f t="shared" si="0"/>
        <v>6.8994088147474244</v>
      </c>
      <c r="H21" s="96">
        <f t="shared" si="1"/>
        <v>176</v>
      </c>
      <c r="I21" s="94">
        <f t="shared" si="2"/>
        <v>9.2318618234499536E-2</v>
      </c>
      <c r="J21" s="94">
        <f t="shared" si="3"/>
        <v>0.27500000000000002</v>
      </c>
      <c r="K21" s="94">
        <f t="shared" si="4"/>
        <v>0.25568181818181818</v>
      </c>
      <c r="M21" s="45"/>
      <c r="O21" s="8"/>
      <c r="R21" s="77"/>
      <c r="S21" s="77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spans="1:49" ht="13.15" x14ac:dyDescent="0.4">
      <c r="A22" s="80" t="s">
        <v>171</v>
      </c>
      <c r="B22">
        <v>32</v>
      </c>
      <c r="C22">
        <v>28</v>
      </c>
      <c r="D22">
        <v>27</v>
      </c>
      <c r="E22">
        <v>33</v>
      </c>
      <c r="F22">
        <v>30</v>
      </c>
      <c r="G22" s="95">
        <f t="shared" si="0"/>
        <v>5.8801779671142818</v>
      </c>
      <c r="H22" s="96">
        <f t="shared" si="1"/>
        <v>150</v>
      </c>
      <c r="I22" s="94">
        <f t="shared" si="2"/>
        <v>7.6011695006609203E-2</v>
      </c>
      <c r="J22" s="94">
        <f t="shared" si="3"/>
        <v>0.27500000000000002</v>
      </c>
      <c r="K22" s="94">
        <f t="shared" si="4"/>
        <v>0.2</v>
      </c>
      <c r="M22" s="45"/>
      <c r="O22" s="77"/>
      <c r="P22" s="80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80" t="s">
        <v>172</v>
      </c>
      <c r="B23">
        <v>25</v>
      </c>
      <c r="C23">
        <v>25</v>
      </c>
      <c r="D23">
        <v>22</v>
      </c>
      <c r="E23">
        <v>30</v>
      </c>
      <c r="F23">
        <v>27</v>
      </c>
      <c r="G23" s="95">
        <f t="shared" si="0"/>
        <v>5.0569530517182821</v>
      </c>
      <c r="H23" s="96">
        <f t="shared" si="1"/>
        <v>128.99999999999997</v>
      </c>
      <c r="I23" s="94">
        <f t="shared" si="2"/>
        <v>0.10225508494785207</v>
      </c>
      <c r="J23" s="94">
        <f t="shared" si="3"/>
        <v>0.27500000000000002</v>
      </c>
      <c r="K23" s="94">
        <f t="shared" si="4"/>
        <v>0.31007751937984501</v>
      </c>
      <c r="M23" s="45"/>
      <c r="O23" s="7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</row>
    <row r="24" spans="1:49" ht="13.15" x14ac:dyDescent="0.4">
      <c r="A24" s="80" t="s">
        <v>173</v>
      </c>
      <c r="B24">
        <v>21</v>
      </c>
      <c r="C24">
        <v>22</v>
      </c>
      <c r="D24">
        <v>19</v>
      </c>
      <c r="E24">
        <v>24</v>
      </c>
      <c r="F24">
        <v>23</v>
      </c>
      <c r="G24" s="95">
        <f t="shared" si="0"/>
        <v>4.2729293227697118</v>
      </c>
      <c r="H24" s="96">
        <f t="shared" si="1"/>
        <v>109</v>
      </c>
      <c r="I24" s="94">
        <f t="shared" si="2"/>
        <v>7.8920415293969051E-2</v>
      </c>
      <c r="J24" s="94">
        <f t="shared" si="3"/>
        <v>0.27500000000000002</v>
      </c>
      <c r="K24" s="94">
        <f t="shared" si="4"/>
        <v>0.22935779816513763</v>
      </c>
      <c r="M24" s="45"/>
      <c r="O24" s="77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ht="13.15" x14ac:dyDescent="0.4">
      <c r="A25" s="80" t="s">
        <v>174</v>
      </c>
      <c r="B25">
        <v>19</v>
      </c>
      <c r="C25">
        <v>20</v>
      </c>
      <c r="D25">
        <v>14</v>
      </c>
      <c r="E25">
        <v>19</v>
      </c>
      <c r="F25">
        <v>19</v>
      </c>
      <c r="G25" s="95">
        <f t="shared" si="0"/>
        <v>3.5673079667159975</v>
      </c>
      <c r="H25" s="96">
        <f t="shared" si="1"/>
        <v>90.999999999999986</v>
      </c>
      <c r="I25" s="94">
        <f t="shared" si="2"/>
        <v>0.11733053024210233</v>
      </c>
      <c r="J25" s="94">
        <f t="shared" si="3"/>
        <v>0.27500000000000002</v>
      </c>
      <c r="K25" s="94">
        <f t="shared" si="4"/>
        <v>0.32967032967032972</v>
      </c>
      <c r="M25" s="45"/>
      <c r="O25" s="7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</row>
    <row r="26" spans="1:49" ht="13.15" x14ac:dyDescent="0.4">
      <c r="A26" s="80" t="s">
        <v>175</v>
      </c>
      <c r="B26">
        <v>16</v>
      </c>
      <c r="C26">
        <v>15</v>
      </c>
      <c r="D26">
        <v>12</v>
      </c>
      <c r="E26">
        <v>15</v>
      </c>
      <c r="F26">
        <v>14</v>
      </c>
      <c r="G26" s="95">
        <f t="shared" si="0"/>
        <v>2.8224854242148552</v>
      </c>
      <c r="H26" s="96">
        <f t="shared" si="1"/>
        <v>71.999999999999986</v>
      </c>
      <c r="I26" s="94">
        <f t="shared" si="2"/>
        <v>9.4199027543406505E-2</v>
      </c>
      <c r="J26" s="94">
        <f t="shared" si="3"/>
        <v>0.27500000000000002</v>
      </c>
      <c r="K26" s="94">
        <f t="shared" si="4"/>
        <v>0.27777777777777785</v>
      </c>
      <c r="M26" s="45"/>
    </row>
    <row r="27" spans="1:49" ht="13.15" x14ac:dyDescent="0.4">
      <c r="A27" s="80" t="s">
        <v>176</v>
      </c>
      <c r="B27">
        <v>14</v>
      </c>
      <c r="C27">
        <v>14</v>
      </c>
      <c r="D27">
        <v>10</v>
      </c>
      <c r="E27">
        <v>12</v>
      </c>
      <c r="F27">
        <v>12</v>
      </c>
      <c r="G27" s="95">
        <f t="shared" si="0"/>
        <v>2.43047355974057</v>
      </c>
      <c r="H27" s="96">
        <f t="shared" si="1"/>
        <v>62</v>
      </c>
      <c r="I27" s="94">
        <f t="shared" si="2"/>
        <v>0.12069862537980457</v>
      </c>
      <c r="J27" s="94">
        <f t="shared" si="3"/>
        <v>0.27500000000000002</v>
      </c>
      <c r="K27" s="94">
        <f t="shared" si="4"/>
        <v>0.32258064516129031</v>
      </c>
      <c r="M27" s="45"/>
    </row>
    <row r="28" spans="1:49" ht="13.15" x14ac:dyDescent="0.4">
      <c r="A28" s="80" t="s">
        <v>177</v>
      </c>
      <c r="B28">
        <v>13</v>
      </c>
      <c r="C28">
        <v>12</v>
      </c>
      <c r="D28">
        <v>10</v>
      </c>
      <c r="E28">
        <v>11</v>
      </c>
      <c r="F28">
        <v>9</v>
      </c>
      <c r="G28" s="95">
        <f t="shared" si="0"/>
        <v>2.1560652546085701</v>
      </c>
      <c r="H28" s="96">
        <f t="shared" si="1"/>
        <v>55</v>
      </c>
      <c r="I28" s="94">
        <f t="shared" si="2"/>
        <v>0.12856486930664501</v>
      </c>
      <c r="J28" s="94">
        <f t="shared" si="3"/>
        <v>0.27500000000000002</v>
      </c>
      <c r="K28" s="94">
        <f t="shared" si="4"/>
        <v>0.36363636363636365</v>
      </c>
      <c r="M28" s="45"/>
    </row>
    <row r="29" spans="1:49" ht="13.15" x14ac:dyDescent="0.4">
      <c r="A29" s="80" t="s">
        <v>178</v>
      </c>
      <c r="B29">
        <v>13</v>
      </c>
      <c r="C29">
        <v>10</v>
      </c>
      <c r="D29">
        <v>8</v>
      </c>
      <c r="E29">
        <v>9</v>
      </c>
      <c r="F29">
        <v>9</v>
      </c>
      <c r="G29" s="95">
        <f t="shared" si="0"/>
        <v>1.9208581359239989</v>
      </c>
      <c r="H29" s="96">
        <f t="shared" si="1"/>
        <v>49</v>
      </c>
      <c r="I29" s="94">
        <f t="shared" si="2"/>
        <v>0.17555765851107399</v>
      </c>
      <c r="J29" s="94">
        <f t="shared" si="3"/>
        <v>0.27500000000000002</v>
      </c>
      <c r="K29" s="94">
        <f t="shared" si="4"/>
        <v>0.51020408163265307</v>
      </c>
      <c r="M29" s="45"/>
    </row>
    <row r="30" spans="1:49" ht="13.15" x14ac:dyDescent="0.4">
      <c r="A30" s="80" t="s">
        <v>179</v>
      </c>
      <c r="B30">
        <v>12</v>
      </c>
      <c r="C30">
        <v>7</v>
      </c>
      <c r="D30">
        <v>8</v>
      </c>
      <c r="E30">
        <v>9</v>
      </c>
      <c r="F30">
        <v>7</v>
      </c>
      <c r="G30" s="95">
        <f t="shared" si="0"/>
        <v>1.6856510172394275</v>
      </c>
      <c r="H30" s="96">
        <f t="shared" si="1"/>
        <v>43</v>
      </c>
      <c r="I30" s="94">
        <f t="shared" si="2"/>
        <v>0.21566554640687682</v>
      </c>
      <c r="J30" s="94">
        <f t="shared" si="3"/>
        <v>0.27500000000000002</v>
      </c>
      <c r="K30" s="94">
        <f t="shared" si="4"/>
        <v>0.58139534883720934</v>
      </c>
      <c r="M30" s="45"/>
    </row>
    <row r="31" spans="1:49" ht="13.15" x14ac:dyDescent="0.4">
      <c r="A31" s="80" t="s">
        <v>180</v>
      </c>
      <c r="B31">
        <v>12</v>
      </c>
      <c r="C31">
        <v>6</v>
      </c>
      <c r="D31">
        <v>7</v>
      </c>
      <c r="E31">
        <v>8</v>
      </c>
      <c r="F31">
        <v>7</v>
      </c>
      <c r="G31" s="95">
        <f t="shared" si="0"/>
        <v>1.5680474578971417</v>
      </c>
      <c r="H31" s="96">
        <f t="shared" si="1"/>
        <v>39.999999999999993</v>
      </c>
      <c r="I31" s="94">
        <f t="shared" si="2"/>
        <v>0.26220221204253791</v>
      </c>
      <c r="J31" s="94">
        <f t="shared" si="3"/>
        <v>0.27500000000000002</v>
      </c>
      <c r="K31" s="94">
        <f t="shared" si="4"/>
        <v>0.75000000000000011</v>
      </c>
      <c r="M31" s="45"/>
    </row>
    <row r="32" spans="1:49" ht="13.15" x14ac:dyDescent="0.4">
      <c r="A32" s="80" t="s">
        <v>181</v>
      </c>
      <c r="B32">
        <v>10</v>
      </c>
      <c r="C32">
        <v>6</v>
      </c>
      <c r="D32">
        <v>6</v>
      </c>
      <c r="E32">
        <v>7</v>
      </c>
      <c r="F32">
        <v>7</v>
      </c>
      <c r="G32" s="95">
        <f t="shared" si="0"/>
        <v>1.4112427121074276</v>
      </c>
      <c r="H32" s="96">
        <f t="shared" si="1"/>
        <v>35.999999999999993</v>
      </c>
      <c r="I32" s="94">
        <f t="shared" si="2"/>
        <v>0.20412414523193151</v>
      </c>
      <c r="J32" s="94">
        <f t="shared" si="3"/>
        <v>0.27500000000000002</v>
      </c>
      <c r="K32" s="94">
        <f t="shared" si="4"/>
        <v>0.55555555555555569</v>
      </c>
      <c r="M32" s="45"/>
    </row>
    <row r="33" spans="1:13" ht="13.15" x14ac:dyDescent="0.4">
      <c r="A33" s="80" t="s">
        <v>182</v>
      </c>
      <c r="B33">
        <v>9</v>
      </c>
      <c r="C33">
        <v>5</v>
      </c>
      <c r="D33">
        <v>4</v>
      </c>
      <c r="E33">
        <v>5</v>
      </c>
      <c r="F33">
        <v>7</v>
      </c>
      <c r="G33" s="95">
        <f t="shared" si="0"/>
        <v>1.1760355934228564</v>
      </c>
      <c r="H33" s="96">
        <f t="shared" si="1"/>
        <v>29.999999999999996</v>
      </c>
      <c r="I33" s="94">
        <f t="shared" si="2"/>
        <v>0.29814239699997197</v>
      </c>
      <c r="J33" s="94">
        <f t="shared" si="3"/>
        <v>0.27500000000000002</v>
      </c>
      <c r="K33" s="94">
        <f t="shared" si="4"/>
        <v>0.83333333333333348</v>
      </c>
      <c r="M33" s="45"/>
    </row>
    <row r="34" spans="1:13" ht="13.15" x14ac:dyDescent="0.4">
      <c r="A34" s="80" t="s">
        <v>183</v>
      </c>
      <c r="B34">
        <v>7</v>
      </c>
      <c r="C34">
        <v>4</v>
      </c>
      <c r="D34">
        <v>3</v>
      </c>
      <c r="E34">
        <v>5</v>
      </c>
      <c r="F34">
        <v>7</v>
      </c>
      <c r="G34" s="95">
        <f t="shared" si="0"/>
        <v>1.0192308476331422</v>
      </c>
      <c r="H34" s="96">
        <f t="shared" si="1"/>
        <v>26</v>
      </c>
      <c r="I34" s="94">
        <f t="shared" si="2"/>
        <v>0.30769230769230771</v>
      </c>
      <c r="J34" s="94">
        <f t="shared" si="3"/>
        <v>0.27500000000000002</v>
      </c>
      <c r="K34" s="94">
        <f t="shared" si="4"/>
        <v>0.76923076923076927</v>
      </c>
      <c r="M34" s="45"/>
    </row>
    <row r="35" spans="1:13" ht="13.15" x14ac:dyDescent="0.4">
      <c r="A35" s="80" t="s">
        <v>184</v>
      </c>
      <c r="B35">
        <v>6</v>
      </c>
      <c r="C35">
        <v>4</v>
      </c>
      <c r="D35">
        <v>3</v>
      </c>
      <c r="E35">
        <v>4</v>
      </c>
      <c r="F35">
        <v>6</v>
      </c>
      <c r="G35" s="95">
        <f t="shared" si="0"/>
        <v>0.90162728829085648</v>
      </c>
      <c r="H35" s="96">
        <f t="shared" si="1"/>
        <v>22.999999999999996</v>
      </c>
      <c r="I35" s="94">
        <f t="shared" si="2"/>
        <v>0.2608695652173913</v>
      </c>
      <c r="J35" s="94">
        <f t="shared" si="3"/>
        <v>0.27500000000000002</v>
      </c>
      <c r="K35" s="94">
        <f t="shared" si="4"/>
        <v>0.65217391304347838</v>
      </c>
      <c r="M35" s="45"/>
    </row>
    <row r="36" spans="1:13" ht="13.15" x14ac:dyDescent="0.4">
      <c r="A36" s="80" t="s">
        <v>185</v>
      </c>
      <c r="B36">
        <v>4</v>
      </c>
      <c r="C36">
        <v>0</v>
      </c>
      <c r="D36">
        <v>0</v>
      </c>
      <c r="E36">
        <v>2</v>
      </c>
      <c r="F36">
        <v>4</v>
      </c>
      <c r="G36" s="95">
        <f t="shared" si="0"/>
        <v>0.39201186447428543</v>
      </c>
      <c r="H36" s="96">
        <f t="shared" si="1"/>
        <v>9.9999999999999982</v>
      </c>
      <c r="I36" s="94">
        <f t="shared" si="2"/>
        <v>0.89442719099991586</v>
      </c>
      <c r="J36" s="94">
        <f t="shared" si="3"/>
        <v>0.27500000000000002</v>
      </c>
      <c r="K36" s="94">
        <f t="shared" si="4"/>
        <v>2.0000000000000004</v>
      </c>
      <c r="M36" s="45"/>
    </row>
    <row r="37" spans="1:13" ht="13.15" x14ac:dyDescent="0.4">
      <c r="A37" s="80" t="s">
        <v>186</v>
      </c>
      <c r="B37">
        <v>1</v>
      </c>
      <c r="C37">
        <v>0</v>
      </c>
      <c r="D37">
        <v>0</v>
      </c>
      <c r="E37">
        <v>0</v>
      </c>
      <c r="F37">
        <v>1</v>
      </c>
      <c r="G37" s="95">
        <f t="shared" si="0"/>
        <v>7.8402372894857089E-2</v>
      </c>
      <c r="H37" s="96">
        <f t="shared" si="1"/>
        <v>1.9999999999999998</v>
      </c>
      <c r="I37" s="94">
        <f t="shared" si="2"/>
        <v>1.2247448713915889</v>
      </c>
      <c r="J37" s="94">
        <f t="shared" si="3"/>
        <v>0.27500000000000002</v>
      </c>
      <c r="K37" s="94">
        <f t="shared" si="4"/>
        <v>2.5</v>
      </c>
    </row>
    <row r="38" spans="1:13" ht="13.15" x14ac:dyDescent="0.4">
      <c r="A38" s="80" t="s">
        <v>187</v>
      </c>
      <c r="B38">
        <v>0</v>
      </c>
      <c r="C38">
        <v>0</v>
      </c>
      <c r="D38">
        <v>0</v>
      </c>
      <c r="E38">
        <v>0</v>
      </c>
      <c r="F38">
        <v>0</v>
      </c>
      <c r="G38" s="95">
        <f t="shared" si="0"/>
        <v>0</v>
      </c>
      <c r="H38" s="96">
        <f t="shared" si="1"/>
        <v>0</v>
      </c>
      <c r="I38" s="94" t="e">
        <f t="shared" si="2"/>
        <v>#DIV/0!</v>
      </c>
      <c r="J38" s="94">
        <f t="shared" si="3"/>
        <v>0.27500000000000002</v>
      </c>
      <c r="K38" s="94" t="e">
        <f t="shared" si="4"/>
        <v>#DIV/0!</v>
      </c>
    </row>
    <row r="40" spans="1:13" x14ac:dyDescent="0.35">
      <c r="A40" t="s">
        <v>188</v>
      </c>
    </row>
    <row r="41" spans="1:13" ht="15" x14ac:dyDescent="0.5">
      <c r="A41" s="38"/>
      <c r="B41" s="98" t="s">
        <v>189</v>
      </c>
      <c r="C41" s="38"/>
      <c r="D41" s="99" t="s">
        <v>190</v>
      </c>
      <c r="E41" s="39"/>
      <c r="F41" s="39"/>
      <c r="G41" s="39"/>
      <c r="H41" s="100"/>
    </row>
    <row r="42" spans="1:13" ht="15" x14ac:dyDescent="0.5">
      <c r="A42" s="101" t="s">
        <v>191</v>
      </c>
      <c r="B42" s="102" t="s">
        <v>192</v>
      </c>
      <c r="C42" s="101" t="s">
        <v>193</v>
      </c>
      <c r="D42" s="101" t="s">
        <v>194</v>
      </c>
      <c r="E42" s="102" t="s">
        <v>195</v>
      </c>
      <c r="F42" s="102" t="s">
        <v>196</v>
      </c>
      <c r="G42" s="102" t="s">
        <v>197</v>
      </c>
      <c r="H42" s="103" t="s">
        <v>198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4">
        <v>5.5</v>
      </c>
    </row>
    <row r="52" spans="1:31" x14ac:dyDescent="0.35">
      <c r="A52" t="s">
        <v>298</v>
      </c>
      <c r="B52" t="s">
        <v>158</v>
      </c>
      <c r="C52" t="s">
        <v>159</v>
      </c>
      <c r="D52" t="s">
        <v>160</v>
      </c>
      <c r="E52" t="s">
        <v>161</v>
      </c>
      <c r="F52" t="s">
        <v>162</v>
      </c>
      <c r="G52" t="s">
        <v>163</v>
      </c>
      <c r="H52" t="s">
        <v>164</v>
      </c>
      <c r="I52" t="s">
        <v>165</v>
      </c>
      <c r="J52" t="s">
        <v>166</v>
      </c>
      <c r="K52" t="s">
        <v>167</v>
      </c>
      <c r="L52" t="s">
        <v>168</v>
      </c>
      <c r="M52" t="s">
        <v>169</v>
      </c>
      <c r="N52" t="s">
        <v>170</v>
      </c>
      <c r="O52" t="s">
        <v>171</v>
      </c>
      <c r="P52" t="s">
        <v>172</v>
      </c>
      <c r="Q52" t="s">
        <v>173</v>
      </c>
      <c r="R52" t="s">
        <v>174</v>
      </c>
      <c r="S52" t="s">
        <v>175</v>
      </c>
      <c r="T52" t="s">
        <v>176</v>
      </c>
      <c r="U52" t="s">
        <v>177</v>
      </c>
      <c r="V52" t="s">
        <v>178</v>
      </c>
      <c r="W52" t="s">
        <v>179</v>
      </c>
      <c r="X52" t="s">
        <v>180</v>
      </c>
      <c r="Y52" t="s">
        <v>181</v>
      </c>
      <c r="Z52" t="s">
        <v>182</v>
      </c>
      <c r="AA52" t="s">
        <v>183</v>
      </c>
      <c r="AB52" t="s">
        <v>184</v>
      </c>
      <c r="AC52" t="s">
        <v>185</v>
      </c>
      <c r="AD52" t="s">
        <v>186</v>
      </c>
      <c r="AE52" t="s">
        <v>187</v>
      </c>
    </row>
    <row r="53" spans="1:31" x14ac:dyDescent="0.35">
      <c r="A53">
        <v>4.870482</v>
      </c>
      <c r="B53">
        <v>29462</v>
      </c>
      <c r="C53">
        <v>17681</v>
      </c>
      <c r="D53">
        <v>9568</v>
      </c>
      <c r="E53">
        <v>4731</v>
      </c>
      <c r="F53">
        <v>2535</v>
      </c>
      <c r="G53">
        <v>1205</v>
      </c>
      <c r="H53">
        <v>583</v>
      </c>
      <c r="I53">
        <v>264</v>
      </c>
      <c r="J53">
        <v>143</v>
      </c>
      <c r="K53">
        <v>98</v>
      </c>
      <c r="L53">
        <v>71</v>
      </c>
      <c r="M53">
        <v>51</v>
      </c>
      <c r="N53">
        <v>37</v>
      </c>
      <c r="O53">
        <v>32</v>
      </c>
      <c r="P53">
        <v>25</v>
      </c>
      <c r="Q53">
        <v>21</v>
      </c>
      <c r="R53">
        <v>19</v>
      </c>
      <c r="S53">
        <v>16</v>
      </c>
      <c r="T53">
        <v>14</v>
      </c>
      <c r="U53">
        <v>13</v>
      </c>
      <c r="V53">
        <v>13</v>
      </c>
      <c r="W53">
        <v>12</v>
      </c>
      <c r="X53">
        <v>12</v>
      </c>
      <c r="Y53">
        <v>10</v>
      </c>
      <c r="Z53">
        <v>9</v>
      </c>
      <c r="AA53">
        <v>7</v>
      </c>
      <c r="AB53">
        <v>6</v>
      </c>
      <c r="AC53">
        <v>4</v>
      </c>
      <c r="AD53">
        <v>1</v>
      </c>
      <c r="AE53">
        <v>0</v>
      </c>
    </row>
    <row r="54" spans="1:31" x14ac:dyDescent="0.35">
      <c r="A54">
        <v>5.1666970000000001</v>
      </c>
      <c r="B54">
        <v>30722</v>
      </c>
      <c r="C54">
        <v>18493</v>
      </c>
      <c r="D54">
        <v>9915</v>
      </c>
      <c r="E54">
        <v>4974</v>
      </c>
      <c r="F54">
        <v>2591</v>
      </c>
      <c r="G54">
        <v>1256</v>
      </c>
      <c r="H54">
        <v>596</v>
      </c>
      <c r="I54">
        <v>288</v>
      </c>
      <c r="J54">
        <v>152</v>
      </c>
      <c r="K54">
        <v>102</v>
      </c>
      <c r="L54">
        <v>60</v>
      </c>
      <c r="M54">
        <v>46</v>
      </c>
      <c r="N54">
        <v>35</v>
      </c>
      <c r="O54">
        <v>28</v>
      </c>
      <c r="P54">
        <v>25</v>
      </c>
      <c r="Q54">
        <v>22</v>
      </c>
      <c r="R54">
        <v>20</v>
      </c>
      <c r="S54">
        <v>15</v>
      </c>
      <c r="T54">
        <v>14</v>
      </c>
      <c r="U54">
        <v>12</v>
      </c>
      <c r="V54">
        <v>10</v>
      </c>
      <c r="W54">
        <v>7</v>
      </c>
      <c r="X54">
        <v>6</v>
      </c>
      <c r="Y54">
        <v>6</v>
      </c>
      <c r="Z54">
        <v>5</v>
      </c>
      <c r="AA54">
        <v>4</v>
      </c>
      <c r="AB54">
        <v>4</v>
      </c>
      <c r="AC54">
        <v>0</v>
      </c>
      <c r="AD54">
        <v>0</v>
      </c>
      <c r="AE54">
        <v>0</v>
      </c>
    </row>
    <row r="55" spans="1:31" x14ac:dyDescent="0.35">
      <c r="A55">
        <v>5.1209540000000002</v>
      </c>
      <c r="B55">
        <v>30719</v>
      </c>
      <c r="C55">
        <v>18556</v>
      </c>
      <c r="D55">
        <v>9949</v>
      </c>
      <c r="E55">
        <v>5007</v>
      </c>
      <c r="F55">
        <v>2546</v>
      </c>
      <c r="G55">
        <v>1151</v>
      </c>
      <c r="H55">
        <v>564</v>
      </c>
      <c r="I55">
        <v>275</v>
      </c>
      <c r="J55">
        <v>149</v>
      </c>
      <c r="K55">
        <v>91</v>
      </c>
      <c r="L55">
        <v>57</v>
      </c>
      <c r="M55">
        <v>43</v>
      </c>
      <c r="N55">
        <v>29</v>
      </c>
      <c r="O55">
        <v>27</v>
      </c>
      <c r="P55">
        <v>22</v>
      </c>
      <c r="Q55">
        <v>19</v>
      </c>
      <c r="R55">
        <v>14</v>
      </c>
      <c r="S55">
        <v>12</v>
      </c>
      <c r="T55">
        <v>10</v>
      </c>
      <c r="U55">
        <v>10</v>
      </c>
      <c r="V55">
        <v>8</v>
      </c>
      <c r="W55">
        <v>8</v>
      </c>
      <c r="X55">
        <v>7</v>
      </c>
      <c r="Y55">
        <v>6</v>
      </c>
      <c r="Z55">
        <v>4</v>
      </c>
      <c r="AA55">
        <v>3</v>
      </c>
      <c r="AB55">
        <v>3</v>
      </c>
      <c r="AC55">
        <v>0</v>
      </c>
      <c r="AD55">
        <v>0</v>
      </c>
      <c r="AE55">
        <v>0</v>
      </c>
    </row>
    <row r="56" spans="1:31" x14ac:dyDescent="0.35">
      <c r="A56">
        <v>5.2131850000000002</v>
      </c>
      <c r="B56">
        <v>31067</v>
      </c>
      <c r="C56">
        <v>18788</v>
      </c>
      <c r="D56">
        <v>9987</v>
      </c>
      <c r="E56">
        <v>5047</v>
      </c>
      <c r="F56">
        <v>2596</v>
      </c>
      <c r="G56">
        <v>1220</v>
      </c>
      <c r="H56">
        <v>560</v>
      </c>
      <c r="I56">
        <v>277</v>
      </c>
      <c r="J56">
        <v>163</v>
      </c>
      <c r="K56">
        <v>99</v>
      </c>
      <c r="L56">
        <v>70</v>
      </c>
      <c r="M56">
        <v>48</v>
      </c>
      <c r="N56">
        <v>38</v>
      </c>
      <c r="O56">
        <v>33</v>
      </c>
      <c r="P56">
        <v>30</v>
      </c>
      <c r="Q56">
        <v>24</v>
      </c>
      <c r="R56">
        <v>19</v>
      </c>
      <c r="S56">
        <v>15</v>
      </c>
      <c r="T56">
        <v>12</v>
      </c>
      <c r="U56">
        <v>11</v>
      </c>
      <c r="V56">
        <v>9</v>
      </c>
      <c r="W56">
        <v>9</v>
      </c>
      <c r="X56">
        <v>8</v>
      </c>
      <c r="Y56">
        <v>7</v>
      </c>
      <c r="Z56">
        <v>5</v>
      </c>
      <c r="AA56">
        <v>5</v>
      </c>
      <c r="AB56">
        <v>4</v>
      </c>
      <c r="AC56">
        <v>2</v>
      </c>
      <c r="AD56">
        <v>0</v>
      </c>
      <c r="AE56">
        <v>0</v>
      </c>
    </row>
    <row r="57" spans="1:31" x14ac:dyDescent="0.35">
      <c r="A57">
        <v>5.1381139999999998</v>
      </c>
      <c r="B57">
        <v>30629</v>
      </c>
      <c r="C57">
        <v>18326</v>
      </c>
      <c r="D57">
        <v>9797</v>
      </c>
      <c r="E57">
        <v>4927</v>
      </c>
      <c r="F57">
        <v>2562</v>
      </c>
      <c r="G57">
        <v>1213</v>
      </c>
      <c r="H57">
        <v>542</v>
      </c>
      <c r="I57">
        <v>262</v>
      </c>
      <c r="J57">
        <v>161</v>
      </c>
      <c r="K57">
        <v>107</v>
      </c>
      <c r="L57">
        <v>67</v>
      </c>
      <c r="M57">
        <v>47</v>
      </c>
      <c r="N57">
        <v>37</v>
      </c>
      <c r="O57">
        <v>30</v>
      </c>
      <c r="P57">
        <v>27</v>
      </c>
      <c r="Q57">
        <v>23</v>
      </c>
      <c r="R57">
        <v>19</v>
      </c>
      <c r="S57">
        <v>14</v>
      </c>
      <c r="T57">
        <v>12</v>
      </c>
      <c r="U57">
        <v>9</v>
      </c>
      <c r="V57">
        <v>9</v>
      </c>
      <c r="W57">
        <v>7</v>
      </c>
      <c r="X57">
        <v>7</v>
      </c>
      <c r="Y57">
        <v>7</v>
      </c>
      <c r="Z57">
        <v>7</v>
      </c>
      <c r="AA57">
        <v>7</v>
      </c>
      <c r="AB57">
        <v>6</v>
      </c>
      <c r="AC57">
        <v>4</v>
      </c>
      <c r="AD57">
        <v>1</v>
      </c>
      <c r="AE57">
        <v>0</v>
      </c>
    </row>
    <row r="58" spans="1:31" x14ac:dyDescent="0.35">
      <c r="A58">
        <v>25.509429999999998</v>
      </c>
      <c r="B58">
        <v>152599</v>
      </c>
      <c r="C58">
        <v>91844</v>
      </c>
      <c r="D58">
        <v>49216</v>
      </c>
      <c r="E58">
        <v>24686</v>
      </c>
      <c r="F58">
        <v>12830</v>
      </c>
      <c r="G58">
        <v>6045</v>
      </c>
      <c r="H58">
        <v>2845</v>
      </c>
      <c r="I58">
        <v>1367</v>
      </c>
      <c r="J58">
        <v>767</v>
      </c>
      <c r="K58">
        <v>498</v>
      </c>
      <c r="L58">
        <v>325</v>
      </c>
      <c r="M58">
        <v>235</v>
      </c>
      <c r="N58">
        <v>175</v>
      </c>
      <c r="O58">
        <v>150</v>
      </c>
      <c r="P58">
        <v>128</v>
      </c>
      <c r="Q58">
        <v>109</v>
      </c>
      <c r="R58">
        <v>91</v>
      </c>
      <c r="S58">
        <v>72</v>
      </c>
      <c r="T58">
        <v>62</v>
      </c>
      <c r="U58">
        <v>55</v>
      </c>
      <c r="V58">
        <v>49</v>
      </c>
      <c r="W58">
        <v>43</v>
      </c>
      <c r="X58">
        <v>40</v>
      </c>
      <c r="Y58">
        <v>36</v>
      </c>
      <c r="Z58">
        <v>30</v>
      </c>
      <c r="AA58">
        <v>26</v>
      </c>
      <c r="AB58">
        <v>23</v>
      </c>
      <c r="AC58">
        <v>10</v>
      </c>
      <c r="AD58">
        <v>2</v>
      </c>
      <c r="AE58">
        <v>0</v>
      </c>
    </row>
    <row r="59" spans="1:31" x14ac:dyDescent="0.35">
      <c r="A59">
        <v>4.8771430000000002</v>
      </c>
      <c r="B59">
        <v>28618</v>
      </c>
      <c r="C59">
        <v>17169</v>
      </c>
      <c r="D59">
        <v>9054</v>
      </c>
      <c r="E59">
        <v>4444</v>
      </c>
      <c r="F59">
        <v>2276</v>
      </c>
      <c r="G59">
        <v>1067</v>
      </c>
      <c r="H59">
        <v>487</v>
      </c>
      <c r="I59">
        <v>234</v>
      </c>
      <c r="J59">
        <v>130</v>
      </c>
      <c r="K59">
        <v>84</v>
      </c>
      <c r="L59">
        <v>59</v>
      </c>
      <c r="M59">
        <v>37</v>
      </c>
      <c r="N59">
        <v>32</v>
      </c>
      <c r="O59">
        <v>25</v>
      </c>
      <c r="P59">
        <v>21</v>
      </c>
      <c r="Q59">
        <v>18</v>
      </c>
      <c r="R59">
        <v>12</v>
      </c>
      <c r="S59">
        <v>10</v>
      </c>
      <c r="T59">
        <v>10</v>
      </c>
      <c r="U59">
        <v>10</v>
      </c>
      <c r="V59">
        <v>7</v>
      </c>
      <c r="W59">
        <v>5</v>
      </c>
      <c r="X59">
        <v>5</v>
      </c>
      <c r="Y59">
        <v>5</v>
      </c>
      <c r="Z59">
        <v>4</v>
      </c>
      <c r="AA59">
        <v>4</v>
      </c>
      <c r="AB59">
        <v>4</v>
      </c>
      <c r="AC59">
        <v>0</v>
      </c>
      <c r="AD59">
        <v>0</v>
      </c>
      <c r="AE59">
        <v>0</v>
      </c>
    </row>
    <row r="60" spans="1:31" x14ac:dyDescent="0.35">
      <c r="A60">
        <v>5.1961250000000003</v>
      </c>
      <c r="B60">
        <v>30775</v>
      </c>
      <c r="C60">
        <v>18382</v>
      </c>
      <c r="D60">
        <v>9822</v>
      </c>
      <c r="E60">
        <v>4919</v>
      </c>
      <c r="F60">
        <v>2609</v>
      </c>
      <c r="G60">
        <v>1234</v>
      </c>
      <c r="H60">
        <v>606</v>
      </c>
      <c r="I60">
        <v>304</v>
      </c>
      <c r="J60">
        <v>170</v>
      </c>
      <c r="K60">
        <v>98</v>
      </c>
      <c r="L60">
        <v>62</v>
      </c>
      <c r="M60">
        <v>45</v>
      </c>
      <c r="N60">
        <v>38</v>
      </c>
      <c r="O60">
        <v>35</v>
      </c>
      <c r="P60">
        <v>30</v>
      </c>
      <c r="Q60">
        <v>21</v>
      </c>
      <c r="R60">
        <v>16</v>
      </c>
      <c r="S60">
        <v>13</v>
      </c>
      <c r="T60">
        <v>11</v>
      </c>
      <c r="U60">
        <v>10</v>
      </c>
      <c r="V60">
        <v>8</v>
      </c>
      <c r="W60">
        <v>8</v>
      </c>
      <c r="X60">
        <v>7</v>
      </c>
      <c r="Y60">
        <v>6</v>
      </c>
      <c r="Z60">
        <v>5</v>
      </c>
      <c r="AA60">
        <v>5</v>
      </c>
      <c r="AB60">
        <v>4</v>
      </c>
      <c r="AC60">
        <v>1</v>
      </c>
      <c r="AD60">
        <v>0</v>
      </c>
      <c r="AE60">
        <v>0</v>
      </c>
    </row>
    <row r="61" spans="1:31" x14ac:dyDescent="0.35">
      <c r="A61">
        <v>5.1312490000000004</v>
      </c>
      <c r="B61">
        <v>30220</v>
      </c>
      <c r="C61">
        <v>18044</v>
      </c>
      <c r="D61">
        <v>9679</v>
      </c>
      <c r="E61">
        <v>4826</v>
      </c>
      <c r="F61">
        <v>2452</v>
      </c>
      <c r="G61">
        <v>1174</v>
      </c>
      <c r="H61">
        <v>530</v>
      </c>
      <c r="I61">
        <v>255</v>
      </c>
      <c r="J61">
        <v>137</v>
      </c>
      <c r="K61">
        <v>95</v>
      </c>
      <c r="L61">
        <v>65</v>
      </c>
      <c r="M61">
        <v>44</v>
      </c>
      <c r="N61">
        <v>31</v>
      </c>
      <c r="O61">
        <v>24</v>
      </c>
      <c r="P61">
        <v>19</v>
      </c>
      <c r="Q61">
        <v>15</v>
      </c>
      <c r="R61">
        <v>12</v>
      </c>
      <c r="S61">
        <v>11</v>
      </c>
      <c r="T61">
        <v>9</v>
      </c>
      <c r="U61">
        <v>8</v>
      </c>
      <c r="V61">
        <v>6</v>
      </c>
      <c r="W61">
        <v>6</v>
      </c>
      <c r="X61">
        <v>6</v>
      </c>
      <c r="Y61">
        <v>5</v>
      </c>
      <c r="Z61">
        <v>4</v>
      </c>
      <c r="AA61">
        <v>3</v>
      </c>
      <c r="AB61">
        <v>3</v>
      </c>
      <c r="AC61">
        <v>2</v>
      </c>
      <c r="AD61">
        <v>0</v>
      </c>
      <c r="AE61">
        <v>0</v>
      </c>
    </row>
    <row r="62" spans="1:31" x14ac:dyDescent="0.35">
      <c r="A62">
        <v>5.1936099999999996</v>
      </c>
      <c r="B62">
        <v>30933</v>
      </c>
      <c r="C62">
        <v>18516</v>
      </c>
      <c r="D62">
        <v>9907</v>
      </c>
      <c r="E62">
        <v>4934</v>
      </c>
      <c r="F62">
        <v>2527</v>
      </c>
      <c r="G62">
        <v>1206</v>
      </c>
      <c r="H62">
        <v>579</v>
      </c>
      <c r="I62">
        <v>297</v>
      </c>
      <c r="J62">
        <v>158</v>
      </c>
      <c r="K62">
        <v>99</v>
      </c>
      <c r="L62">
        <v>64</v>
      </c>
      <c r="M62">
        <v>46</v>
      </c>
      <c r="N62">
        <v>36</v>
      </c>
      <c r="O62">
        <v>34</v>
      </c>
      <c r="P62">
        <v>28</v>
      </c>
      <c r="Q62">
        <v>24</v>
      </c>
      <c r="R62">
        <v>20</v>
      </c>
      <c r="S62">
        <v>18</v>
      </c>
      <c r="T62">
        <v>18</v>
      </c>
      <c r="U62">
        <v>15</v>
      </c>
      <c r="V62">
        <v>14</v>
      </c>
      <c r="W62">
        <v>13</v>
      </c>
      <c r="X62">
        <v>7</v>
      </c>
      <c r="Y62">
        <v>5</v>
      </c>
      <c r="Z62">
        <v>5</v>
      </c>
      <c r="AA62">
        <v>5</v>
      </c>
      <c r="AB62">
        <v>5</v>
      </c>
      <c r="AC62">
        <v>0</v>
      </c>
      <c r="AD62">
        <v>0</v>
      </c>
      <c r="AE62">
        <v>0</v>
      </c>
    </row>
    <row r="63" spans="1:31" x14ac:dyDescent="0.35">
      <c r="A63">
        <v>5.140053</v>
      </c>
      <c r="B63">
        <v>31112</v>
      </c>
      <c r="C63">
        <v>18750</v>
      </c>
      <c r="D63">
        <v>9896</v>
      </c>
      <c r="E63">
        <v>4972</v>
      </c>
      <c r="F63">
        <v>2693</v>
      </c>
      <c r="G63">
        <v>1268</v>
      </c>
      <c r="H63">
        <v>596</v>
      </c>
      <c r="I63">
        <v>289</v>
      </c>
      <c r="J63">
        <v>169</v>
      </c>
      <c r="K63">
        <v>114</v>
      </c>
      <c r="L63">
        <v>76</v>
      </c>
      <c r="M63">
        <v>53</v>
      </c>
      <c r="N63">
        <v>40</v>
      </c>
      <c r="O63">
        <v>31</v>
      </c>
      <c r="P63">
        <v>27</v>
      </c>
      <c r="Q63">
        <v>20</v>
      </c>
      <c r="R63">
        <v>15</v>
      </c>
      <c r="S63">
        <v>14</v>
      </c>
      <c r="T63">
        <v>12</v>
      </c>
      <c r="U63">
        <v>11</v>
      </c>
      <c r="V63">
        <v>10</v>
      </c>
      <c r="W63">
        <v>9</v>
      </c>
      <c r="X63">
        <v>7</v>
      </c>
      <c r="Y63">
        <v>7</v>
      </c>
      <c r="Z63">
        <v>6</v>
      </c>
      <c r="AA63">
        <v>5</v>
      </c>
      <c r="AB63">
        <v>5</v>
      </c>
      <c r="AC63">
        <v>1</v>
      </c>
      <c r="AD63">
        <v>0</v>
      </c>
      <c r="AE63">
        <v>0</v>
      </c>
    </row>
    <row r="64" spans="1:31" x14ac:dyDescent="0.35">
      <c r="A64">
        <v>25.538179</v>
      </c>
      <c r="B64">
        <v>151658</v>
      </c>
      <c r="C64">
        <v>90862</v>
      </c>
      <c r="D64">
        <v>48358</v>
      </c>
      <c r="E64">
        <v>24096</v>
      </c>
      <c r="F64">
        <v>12556</v>
      </c>
      <c r="G64">
        <v>5950</v>
      </c>
      <c r="H64">
        <v>2798</v>
      </c>
      <c r="I64">
        <v>1381</v>
      </c>
      <c r="J64">
        <v>763</v>
      </c>
      <c r="K64">
        <v>490</v>
      </c>
      <c r="L64">
        <v>326</v>
      </c>
      <c r="M64">
        <v>225</v>
      </c>
      <c r="N64">
        <v>176</v>
      </c>
      <c r="O64">
        <v>149</v>
      </c>
      <c r="P64">
        <v>125</v>
      </c>
      <c r="Q64">
        <v>98</v>
      </c>
      <c r="R64">
        <v>75</v>
      </c>
      <c r="S64">
        <v>66</v>
      </c>
      <c r="T64">
        <v>60</v>
      </c>
      <c r="U64">
        <v>54</v>
      </c>
      <c r="V64">
        <v>45</v>
      </c>
      <c r="W64">
        <v>41</v>
      </c>
      <c r="X64">
        <v>32</v>
      </c>
      <c r="Y64">
        <v>28</v>
      </c>
      <c r="Z64">
        <v>24</v>
      </c>
      <c r="AA64">
        <v>22</v>
      </c>
      <c r="AB64">
        <v>21</v>
      </c>
      <c r="AC64">
        <v>4</v>
      </c>
      <c r="AD64">
        <v>0</v>
      </c>
      <c r="AE64">
        <v>0</v>
      </c>
    </row>
    <row r="65" spans="1:31" x14ac:dyDescent="0.35">
      <c r="A65">
        <v>4.9231350000000003</v>
      </c>
      <c r="B65">
        <v>29157</v>
      </c>
      <c r="C65">
        <v>17360</v>
      </c>
      <c r="D65">
        <v>9287</v>
      </c>
      <c r="E65">
        <v>4587</v>
      </c>
      <c r="F65">
        <v>2348</v>
      </c>
      <c r="G65">
        <v>1088</v>
      </c>
      <c r="H65">
        <v>532</v>
      </c>
      <c r="I65">
        <v>270</v>
      </c>
      <c r="J65">
        <v>164</v>
      </c>
      <c r="K65">
        <v>115</v>
      </c>
      <c r="L65">
        <v>70</v>
      </c>
      <c r="M65">
        <v>48</v>
      </c>
      <c r="N65">
        <v>40</v>
      </c>
      <c r="O65">
        <v>36</v>
      </c>
      <c r="P65">
        <v>34</v>
      </c>
      <c r="Q65">
        <v>31</v>
      </c>
      <c r="R65">
        <v>23</v>
      </c>
      <c r="S65">
        <v>19</v>
      </c>
      <c r="T65">
        <v>17</v>
      </c>
      <c r="U65">
        <v>14</v>
      </c>
      <c r="V65">
        <v>13</v>
      </c>
      <c r="W65">
        <v>9</v>
      </c>
      <c r="X65">
        <v>8</v>
      </c>
      <c r="Y65">
        <v>7</v>
      </c>
      <c r="Z65">
        <v>6</v>
      </c>
      <c r="AA65">
        <v>5</v>
      </c>
      <c r="AB65">
        <v>5</v>
      </c>
      <c r="AC65">
        <v>4</v>
      </c>
      <c r="AD65">
        <v>1</v>
      </c>
      <c r="AE65">
        <v>1</v>
      </c>
    </row>
    <row r="66" spans="1:31" x14ac:dyDescent="0.35">
      <c r="A66">
        <v>5.2287220000000003</v>
      </c>
      <c r="B66">
        <v>30687</v>
      </c>
      <c r="C66">
        <v>18503</v>
      </c>
      <c r="D66">
        <v>9843</v>
      </c>
      <c r="E66">
        <v>4921</v>
      </c>
      <c r="F66">
        <v>2546</v>
      </c>
      <c r="G66">
        <v>1198</v>
      </c>
      <c r="H66">
        <v>560</v>
      </c>
      <c r="I66">
        <v>276</v>
      </c>
      <c r="J66">
        <v>149</v>
      </c>
      <c r="K66">
        <v>100</v>
      </c>
      <c r="L66">
        <v>66</v>
      </c>
      <c r="M66">
        <v>50</v>
      </c>
      <c r="N66">
        <v>38</v>
      </c>
      <c r="O66">
        <v>33</v>
      </c>
      <c r="P66">
        <v>28</v>
      </c>
      <c r="Q66">
        <v>23</v>
      </c>
      <c r="R66">
        <v>20</v>
      </c>
      <c r="S66">
        <v>15</v>
      </c>
      <c r="T66">
        <v>12</v>
      </c>
      <c r="U66">
        <v>11</v>
      </c>
      <c r="V66">
        <v>10</v>
      </c>
      <c r="W66">
        <v>9</v>
      </c>
      <c r="X66">
        <v>7</v>
      </c>
      <c r="Y66">
        <v>5</v>
      </c>
      <c r="Z66">
        <v>5</v>
      </c>
      <c r="AA66">
        <v>4</v>
      </c>
      <c r="AB66">
        <v>3</v>
      </c>
      <c r="AC66">
        <v>0</v>
      </c>
      <c r="AD66">
        <v>0</v>
      </c>
      <c r="AE66">
        <v>0</v>
      </c>
    </row>
    <row r="67" spans="1:31" x14ac:dyDescent="0.35">
      <c r="A67">
        <v>5.1742039999999996</v>
      </c>
      <c r="B67">
        <v>30764</v>
      </c>
      <c r="C67">
        <v>18397</v>
      </c>
      <c r="D67">
        <v>9784</v>
      </c>
      <c r="E67">
        <v>4957</v>
      </c>
      <c r="F67">
        <v>2570</v>
      </c>
      <c r="G67">
        <v>1203</v>
      </c>
      <c r="H67">
        <v>561</v>
      </c>
      <c r="I67">
        <v>286</v>
      </c>
      <c r="J67">
        <v>163</v>
      </c>
      <c r="K67">
        <v>97</v>
      </c>
      <c r="L67">
        <v>67</v>
      </c>
      <c r="M67">
        <v>51</v>
      </c>
      <c r="N67">
        <v>38</v>
      </c>
      <c r="O67">
        <v>34</v>
      </c>
      <c r="P67">
        <v>28</v>
      </c>
      <c r="Q67">
        <v>26</v>
      </c>
      <c r="R67">
        <v>24</v>
      </c>
      <c r="S67">
        <v>20</v>
      </c>
      <c r="T67">
        <v>17</v>
      </c>
      <c r="U67">
        <v>17</v>
      </c>
      <c r="V67">
        <v>16</v>
      </c>
      <c r="W67">
        <v>14</v>
      </c>
      <c r="X67">
        <v>13</v>
      </c>
      <c r="Y67">
        <v>10</v>
      </c>
      <c r="Z67">
        <v>10</v>
      </c>
      <c r="AA67">
        <v>10</v>
      </c>
      <c r="AB67">
        <v>7</v>
      </c>
      <c r="AC67">
        <v>2</v>
      </c>
      <c r="AD67">
        <v>1</v>
      </c>
      <c r="AE67">
        <v>1</v>
      </c>
    </row>
    <row r="68" spans="1:31" x14ac:dyDescent="0.35">
      <c r="A68">
        <v>5.1799340000000003</v>
      </c>
      <c r="B68">
        <v>30363</v>
      </c>
      <c r="C68">
        <v>18440</v>
      </c>
      <c r="D68">
        <v>9952</v>
      </c>
      <c r="E68">
        <v>5035</v>
      </c>
      <c r="F68">
        <v>2656</v>
      </c>
      <c r="G68">
        <v>1267</v>
      </c>
      <c r="H68">
        <v>572</v>
      </c>
      <c r="I68">
        <v>277</v>
      </c>
      <c r="J68">
        <v>149</v>
      </c>
      <c r="K68">
        <v>98</v>
      </c>
      <c r="L68">
        <v>64</v>
      </c>
      <c r="M68">
        <v>47</v>
      </c>
      <c r="N68">
        <v>32</v>
      </c>
      <c r="O68">
        <v>27</v>
      </c>
      <c r="P68">
        <v>21</v>
      </c>
      <c r="Q68">
        <v>17</v>
      </c>
      <c r="R68">
        <v>17</v>
      </c>
      <c r="S68">
        <v>13</v>
      </c>
      <c r="T68">
        <v>12</v>
      </c>
      <c r="U68">
        <v>11</v>
      </c>
      <c r="V68">
        <v>9</v>
      </c>
      <c r="W68">
        <v>7</v>
      </c>
      <c r="X68">
        <v>7</v>
      </c>
      <c r="Y68">
        <v>5</v>
      </c>
      <c r="Z68">
        <v>5</v>
      </c>
      <c r="AA68">
        <v>5</v>
      </c>
      <c r="AB68">
        <v>5</v>
      </c>
      <c r="AC68">
        <v>3</v>
      </c>
      <c r="AD68">
        <v>1</v>
      </c>
      <c r="AE68">
        <v>1</v>
      </c>
    </row>
    <row r="69" spans="1:31" x14ac:dyDescent="0.35">
      <c r="A69">
        <v>5.2270570000000003</v>
      </c>
      <c r="B69">
        <v>30954</v>
      </c>
      <c r="C69">
        <v>18549</v>
      </c>
      <c r="D69">
        <v>9906</v>
      </c>
      <c r="E69">
        <v>4939</v>
      </c>
      <c r="F69">
        <v>2616</v>
      </c>
      <c r="G69">
        <v>1255</v>
      </c>
      <c r="H69">
        <v>588</v>
      </c>
      <c r="I69">
        <v>317</v>
      </c>
      <c r="J69">
        <v>180</v>
      </c>
      <c r="K69">
        <v>116</v>
      </c>
      <c r="L69">
        <v>81</v>
      </c>
      <c r="M69">
        <v>59</v>
      </c>
      <c r="N69">
        <v>41</v>
      </c>
      <c r="O69">
        <v>32</v>
      </c>
      <c r="P69">
        <v>26</v>
      </c>
      <c r="Q69">
        <v>23</v>
      </c>
      <c r="R69">
        <v>18</v>
      </c>
      <c r="S69">
        <v>18</v>
      </c>
      <c r="T69">
        <v>16</v>
      </c>
      <c r="U69">
        <v>12</v>
      </c>
      <c r="V69">
        <v>11</v>
      </c>
      <c r="W69">
        <v>9</v>
      </c>
      <c r="X69">
        <v>7</v>
      </c>
      <c r="Y69">
        <v>5</v>
      </c>
      <c r="Z69">
        <v>5</v>
      </c>
      <c r="AA69">
        <v>5</v>
      </c>
      <c r="AB69">
        <v>4</v>
      </c>
      <c r="AC69">
        <v>3</v>
      </c>
      <c r="AD69">
        <v>0</v>
      </c>
      <c r="AE69">
        <v>0</v>
      </c>
    </row>
    <row r="70" spans="1:31" x14ac:dyDescent="0.35">
      <c r="A70">
        <v>25.733051</v>
      </c>
      <c r="B70">
        <v>151924</v>
      </c>
      <c r="C70">
        <v>91248</v>
      </c>
      <c r="D70">
        <v>48772</v>
      </c>
      <c r="E70">
        <v>24438</v>
      </c>
      <c r="F70">
        <v>12735</v>
      </c>
      <c r="G70">
        <v>6011</v>
      </c>
      <c r="H70">
        <v>2812</v>
      </c>
      <c r="I70">
        <v>1426</v>
      </c>
      <c r="J70">
        <v>804</v>
      </c>
      <c r="K70">
        <v>526</v>
      </c>
      <c r="L70">
        <v>348</v>
      </c>
      <c r="M70">
        <v>255</v>
      </c>
      <c r="N70">
        <v>189</v>
      </c>
      <c r="O70">
        <v>162</v>
      </c>
      <c r="P70">
        <v>137</v>
      </c>
      <c r="Q70">
        <v>120</v>
      </c>
      <c r="R70">
        <v>102</v>
      </c>
      <c r="S70">
        <v>85</v>
      </c>
      <c r="T70">
        <v>74</v>
      </c>
      <c r="U70">
        <v>65</v>
      </c>
      <c r="V70">
        <v>59</v>
      </c>
      <c r="W70">
        <v>48</v>
      </c>
      <c r="X70">
        <v>42</v>
      </c>
      <c r="Y70">
        <v>32</v>
      </c>
      <c r="Z70">
        <v>31</v>
      </c>
      <c r="AA70">
        <v>29</v>
      </c>
      <c r="AB70">
        <v>24</v>
      </c>
      <c r="AC70">
        <v>12</v>
      </c>
      <c r="AD70">
        <v>3</v>
      </c>
      <c r="AE70">
        <v>3</v>
      </c>
    </row>
    <row r="71" spans="1:31" x14ac:dyDescent="0.35">
      <c r="H71" s="45"/>
      <c r="J71" s="45"/>
    </row>
    <row r="72" spans="1:31" x14ac:dyDescent="0.35">
      <c r="G72" s="45"/>
      <c r="H72" s="45"/>
      <c r="I72" s="45"/>
      <c r="J72" s="45"/>
    </row>
    <row r="73" spans="1:31" ht="13.15" x14ac:dyDescent="0.4">
      <c r="A73" s="8"/>
    </row>
    <row r="77" spans="1:31" x14ac:dyDescent="0.35">
      <c r="H77" s="97"/>
      <c r="J77" s="97"/>
    </row>
    <row r="78" spans="1:31" ht="13.15" x14ac:dyDescent="0.4">
      <c r="A78" s="8"/>
      <c r="H78" s="148"/>
      <c r="J78" s="148"/>
    </row>
    <row r="79" spans="1:31" ht="13.15" x14ac:dyDescent="0.4">
      <c r="K79" s="77"/>
    </row>
  </sheetData>
  <conditionalFormatting sqref="H9:H40">
    <cfRule type="cellIs" dxfId="9" priority="2" operator="greaterThan">
      <formula>1000</formula>
    </cfRule>
  </conditionalFormatting>
  <conditionalFormatting sqref="K9:K38">
    <cfRule type="cellIs" dxfId="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95" zoomScaleNormal="95" workbookViewId="0">
      <selection activeCell="C54" sqref="C54"/>
    </sheetView>
  </sheetViews>
  <sheetFormatPr defaultColWidth="11.53125" defaultRowHeight="12.75" x14ac:dyDescent="0.35"/>
  <sheetData>
    <row r="1" spans="1:49" x14ac:dyDescent="0.35">
      <c r="A1" t="s">
        <v>294</v>
      </c>
    </row>
    <row r="2" spans="1:49" ht="40.15" x14ac:dyDescent="1.05">
      <c r="O2" s="90"/>
    </row>
    <row r="4" spans="1:49" ht="40.15" x14ac:dyDescent="1.05">
      <c r="A4" s="8" t="s">
        <v>28</v>
      </c>
      <c r="O4" s="90" t="s">
        <v>105</v>
      </c>
    </row>
    <row r="5" spans="1:49" x14ac:dyDescent="0.35">
      <c r="O5" s="32">
        <v>45798</v>
      </c>
    </row>
    <row r="6" spans="1:49" ht="13.15" x14ac:dyDescent="0.4">
      <c r="A6" t="s">
        <v>296</v>
      </c>
      <c r="B6" s="8"/>
      <c r="C6" s="8"/>
      <c r="D6" s="8"/>
      <c r="E6" s="8"/>
      <c r="F6" s="8"/>
      <c r="O6" t="s">
        <v>297</v>
      </c>
    </row>
    <row r="7" spans="1:49" ht="14.65" x14ac:dyDescent="0.5">
      <c r="B7" s="77" t="s">
        <v>41</v>
      </c>
      <c r="C7" s="77" t="s">
        <v>42</v>
      </c>
      <c r="D7" s="77" t="s">
        <v>44</v>
      </c>
      <c r="E7" s="77" t="s">
        <v>45</v>
      </c>
      <c r="F7" s="77" t="s">
        <v>47</v>
      </c>
      <c r="G7" s="77" t="s">
        <v>151</v>
      </c>
      <c r="H7" s="77" t="s">
        <v>152</v>
      </c>
      <c r="I7" s="77" t="s">
        <v>153</v>
      </c>
      <c r="J7" s="77" t="s">
        <v>154</v>
      </c>
      <c r="K7" s="77" t="s">
        <v>155</v>
      </c>
      <c r="M7" s="77"/>
    </row>
    <row r="8" spans="1:49" ht="13.15" x14ac:dyDescent="0.4">
      <c r="A8" s="80" t="s">
        <v>157</v>
      </c>
      <c r="B8">
        <v>4.8771430000000002</v>
      </c>
      <c r="C8">
        <v>5.1961250000000003</v>
      </c>
      <c r="D8">
        <v>5.1312490000000004</v>
      </c>
      <c r="E8">
        <v>5.1936099999999996</v>
      </c>
      <c r="F8">
        <v>5.140053</v>
      </c>
      <c r="G8" s="93">
        <v>25.517626</v>
      </c>
      <c r="H8" s="93">
        <f>AVERAGE(B$8:F$8)*5</f>
        <v>25.538180000000004</v>
      </c>
      <c r="I8" s="94"/>
      <c r="K8" s="94"/>
    </row>
    <row r="9" spans="1:49" ht="13.15" x14ac:dyDescent="0.4">
      <c r="A9" s="98" t="s">
        <v>158</v>
      </c>
      <c r="B9" s="39">
        <v>28618</v>
      </c>
      <c r="C9" s="39">
        <v>30775</v>
      </c>
      <c r="D9" s="39">
        <v>30220</v>
      </c>
      <c r="E9" s="39">
        <v>30933</v>
      </c>
      <c r="F9" s="39">
        <v>31112</v>
      </c>
      <c r="G9" s="142">
        <f t="shared" ref="G9:G38" si="0">AVERAGE(B9:F9)/AVERAGE(B$8:F$8)</f>
        <v>5938.4811290389507</v>
      </c>
      <c r="H9" s="143">
        <f t="shared" ref="H9:H38" si="1">G9*H$8</f>
        <v>151657.99999999997</v>
      </c>
      <c r="I9" s="144">
        <f t="shared" ref="I9:I38" si="2">STDEVP(B9:F9)/AVERAGE(B9:F9)</f>
        <v>2.9913507712519268E-2</v>
      </c>
      <c r="J9" s="144">
        <f t="shared" ref="J9:J38" si="3">IF(H9&gt;$A$43, $C$43, IF(H9&gt;$A$44, $C$44, IF(H9&gt;$A$45,$C$45,IF(H9&gt;$A$46,$C$46, IF(H9&gt;$A$47,$C$47,IF(H9&gt;$A$48,$C$48,$C$49))))))/100</f>
        <v>0.11</v>
      </c>
      <c r="K9" s="144">
        <f t="shared" ref="K9:K38" si="4">(MAX(B9:F9)-MIN(B9:F9))/H9*5</f>
        <v>8.2224478761423747E-2</v>
      </c>
      <c r="M9" s="45"/>
    </row>
    <row r="10" spans="1:49" ht="13.15" x14ac:dyDescent="0.4">
      <c r="A10" s="80" t="s">
        <v>159</v>
      </c>
      <c r="B10">
        <v>17169</v>
      </c>
      <c r="C10">
        <v>18382</v>
      </c>
      <c r="D10">
        <v>18044</v>
      </c>
      <c r="E10">
        <v>18516</v>
      </c>
      <c r="F10">
        <v>18750</v>
      </c>
      <c r="G10" s="95">
        <f t="shared" si="0"/>
        <v>3557.8494630392606</v>
      </c>
      <c r="H10" s="96">
        <f t="shared" si="1"/>
        <v>90861</v>
      </c>
      <c r="I10" s="94">
        <f t="shared" si="2"/>
        <v>3.0330104795595534E-2</v>
      </c>
      <c r="J10" s="94">
        <f t="shared" si="3"/>
        <v>0.11</v>
      </c>
      <c r="K10" s="94">
        <f t="shared" si="4"/>
        <v>8.7001023541453421E-2</v>
      </c>
      <c r="M10" s="45"/>
    </row>
    <row r="11" spans="1:49" ht="13.15" x14ac:dyDescent="0.4">
      <c r="A11" s="80" t="s">
        <v>160</v>
      </c>
      <c r="B11">
        <v>9054</v>
      </c>
      <c r="C11">
        <v>9822</v>
      </c>
      <c r="D11">
        <v>9679</v>
      </c>
      <c r="E11">
        <v>9907</v>
      </c>
      <c r="F11">
        <v>9896</v>
      </c>
      <c r="G11" s="95">
        <f t="shared" si="0"/>
        <v>1893.5570193334056</v>
      </c>
      <c r="H11" s="96">
        <f t="shared" si="1"/>
        <v>48358</v>
      </c>
      <c r="I11" s="94">
        <f t="shared" si="2"/>
        <v>3.3017771967955072E-2</v>
      </c>
      <c r="J11" s="94">
        <f t="shared" si="3"/>
        <v>0.11</v>
      </c>
      <c r="K11" s="94">
        <f t="shared" si="4"/>
        <v>8.8196368749741516E-2</v>
      </c>
      <c r="M11" s="45"/>
    </row>
    <row r="12" spans="1:49" ht="13.15" x14ac:dyDescent="0.4">
      <c r="A12" s="80" t="s">
        <v>161</v>
      </c>
      <c r="B12">
        <v>4444</v>
      </c>
      <c r="C12">
        <v>4919</v>
      </c>
      <c r="D12">
        <v>4826</v>
      </c>
      <c r="E12">
        <v>4934</v>
      </c>
      <c r="F12">
        <v>4972</v>
      </c>
      <c r="G12" s="95">
        <f t="shared" si="0"/>
        <v>943.48931677981727</v>
      </c>
      <c r="H12" s="96">
        <f t="shared" si="1"/>
        <v>24094.999999999996</v>
      </c>
      <c r="I12" s="94">
        <f t="shared" si="2"/>
        <v>4.0163933086059422E-2</v>
      </c>
      <c r="J12" s="94">
        <f t="shared" si="3"/>
        <v>0.11</v>
      </c>
      <c r="K12" s="94">
        <f t="shared" si="4"/>
        <v>0.1095663000622536</v>
      </c>
      <c r="M12" s="45"/>
    </row>
    <row r="13" spans="1:49" ht="13.15" x14ac:dyDescent="0.4">
      <c r="A13" s="80" t="s">
        <v>162</v>
      </c>
      <c r="C13">
        <v>2609</v>
      </c>
      <c r="D13">
        <v>2452</v>
      </c>
      <c r="E13">
        <v>2527</v>
      </c>
      <c r="F13">
        <v>2693</v>
      </c>
      <c r="G13" s="95">
        <f t="shared" si="0"/>
        <v>503.21714389983924</v>
      </c>
      <c r="H13" s="96">
        <f t="shared" si="1"/>
        <v>12851.249999999998</v>
      </c>
      <c r="I13" s="94">
        <f t="shared" si="2"/>
        <v>3.5028340308370147E-2</v>
      </c>
      <c r="J13" s="94">
        <f t="shared" si="3"/>
        <v>0.11</v>
      </c>
      <c r="K13" s="94">
        <f t="shared" si="4"/>
        <v>9.3765197937943787E-2</v>
      </c>
      <c r="M13" s="45"/>
    </row>
    <row r="14" spans="1:49" ht="13.15" x14ac:dyDescent="0.4">
      <c r="A14" s="102" t="s">
        <v>163</v>
      </c>
      <c r="B14" s="51"/>
      <c r="C14" s="51">
        <v>1234</v>
      </c>
      <c r="D14" s="51">
        <v>1174</v>
      </c>
      <c r="E14" s="51">
        <v>1206</v>
      </c>
      <c r="F14" s="51">
        <v>1268</v>
      </c>
      <c r="G14" s="145">
        <f t="shared" si="0"/>
        <v>238.95594752640943</v>
      </c>
      <c r="H14" s="146">
        <f t="shared" si="1"/>
        <v>6102.5</v>
      </c>
      <c r="I14" s="147">
        <f t="shared" si="2"/>
        <v>2.8415146470888712E-2</v>
      </c>
      <c r="J14" s="147">
        <f t="shared" si="3"/>
        <v>0.113</v>
      </c>
      <c r="K14" s="147">
        <f t="shared" si="4"/>
        <v>7.7017615731257677E-2</v>
      </c>
      <c r="M14" s="45"/>
    </row>
    <row r="15" spans="1:49" ht="13.15" x14ac:dyDescent="0.4">
      <c r="A15" s="80" t="s">
        <v>164</v>
      </c>
      <c r="B15">
        <v>487</v>
      </c>
      <c r="C15">
        <v>606</v>
      </c>
      <c r="D15">
        <v>530</v>
      </c>
      <c r="E15">
        <v>579</v>
      </c>
      <c r="F15">
        <v>596</v>
      </c>
      <c r="G15" s="95">
        <f t="shared" si="0"/>
        <v>109.56144877982689</v>
      </c>
      <c r="H15" s="96">
        <f t="shared" si="1"/>
        <v>2798</v>
      </c>
      <c r="I15" s="94">
        <f t="shared" si="2"/>
        <v>7.9921448804637557E-2</v>
      </c>
      <c r="J15" s="94">
        <f t="shared" si="3"/>
        <v>0.11900000000000001</v>
      </c>
      <c r="K15" s="94">
        <f t="shared" si="4"/>
        <v>0.21265189421015013</v>
      </c>
      <c r="M15" s="45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spans="1:49" ht="13.15" x14ac:dyDescent="0.4">
      <c r="A16" s="80" t="s">
        <v>165</v>
      </c>
      <c r="B16">
        <v>234</v>
      </c>
      <c r="C16">
        <v>304</v>
      </c>
      <c r="D16">
        <v>255</v>
      </c>
      <c r="E16">
        <v>297</v>
      </c>
      <c r="F16">
        <v>289</v>
      </c>
      <c r="G16" s="95">
        <f t="shared" si="0"/>
        <v>53.997583226369294</v>
      </c>
      <c r="H16" s="96">
        <f t="shared" si="1"/>
        <v>1379</v>
      </c>
      <c r="I16" s="94">
        <f t="shared" si="2"/>
        <v>9.7274630969189105E-2</v>
      </c>
      <c r="J16" s="94">
        <f t="shared" si="3"/>
        <v>0.13400000000000001</v>
      </c>
      <c r="K16" s="94">
        <f t="shared" si="4"/>
        <v>0.25380710659898476</v>
      </c>
      <c r="M16" s="45"/>
      <c r="P16" s="8"/>
      <c r="Q16" s="8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spans="1:49" ht="13.15" x14ac:dyDescent="0.4">
      <c r="A17" s="80" t="s">
        <v>166</v>
      </c>
      <c r="B17">
        <v>130</v>
      </c>
      <c r="C17">
        <v>170</v>
      </c>
      <c r="D17">
        <v>137</v>
      </c>
      <c r="E17">
        <v>158</v>
      </c>
      <c r="F17">
        <v>169</v>
      </c>
      <c r="G17" s="95">
        <f t="shared" si="0"/>
        <v>29.915992447386614</v>
      </c>
      <c r="H17" s="96">
        <f t="shared" si="1"/>
        <v>764</v>
      </c>
      <c r="I17" s="94">
        <f t="shared" si="2"/>
        <v>0.10772815886676572</v>
      </c>
      <c r="J17" s="94">
        <f t="shared" si="3"/>
        <v>0.156</v>
      </c>
      <c r="K17" s="94">
        <f t="shared" si="4"/>
        <v>0.26178010471204188</v>
      </c>
      <c r="M17" s="45"/>
      <c r="P17" s="8"/>
      <c r="Q17" s="8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spans="1:49" ht="13.15" x14ac:dyDescent="0.4">
      <c r="A18" s="80" t="s">
        <v>167</v>
      </c>
      <c r="B18">
        <v>84</v>
      </c>
      <c r="C18">
        <v>98</v>
      </c>
      <c r="D18">
        <v>95</v>
      </c>
      <c r="E18">
        <v>99</v>
      </c>
      <c r="F18">
        <v>114</v>
      </c>
      <c r="G18" s="95">
        <f t="shared" si="0"/>
        <v>19.186958506831729</v>
      </c>
      <c r="H18" s="96">
        <f t="shared" si="1"/>
        <v>490</v>
      </c>
      <c r="I18" s="94">
        <f t="shared" si="2"/>
        <v>9.8086651760799323E-2</v>
      </c>
      <c r="J18" s="94">
        <f t="shared" si="3"/>
        <v>0.193</v>
      </c>
      <c r="K18" s="94">
        <f t="shared" si="4"/>
        <v>0.30612244897959184</v>
      </c>
      <c r="M18" s="45"/>
      <c r="P18" s="8"/>
      <c r="Q18" s="8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spans="1:49" ht="13.15" x14ac:dyDescent="0.4">
      <c r="A19" s="80" t="s">
        <v>168</v>
      </c>
      <c r="B19">
        <v>59</v>
      </c>
      <c r="C19">
        <v>62</v>
      </c>
      <c r="D19">
        <v>65</v>
      </c>
      <c r="E19">
        <v>64</v>
      </c>
      <c r="F19">
        <v>76</v>
      </c>
      <c r="G19" s="95">
        <f t="shared" si="0"/>
        <v>12.765200965769681</v>
      </c>
      <c r="H19" s="96">
        <f t="shared" si="1"/>
        <v>326</v>
      </c>
      <c r="I19" s="94">
        <f t="shared" si="2"/>
        <v>8.8586067964378221E-2</v>
      </c>
      <c r="J19" s="94">
        <f t="shared" si="3"/>
        <v>0.193</v>
      </c>
      <c r="K19" s="94">
        <f t="shared" si="4"/>
        <v>0.2607361963190184</v>
      </c>
      <c r="M19" s="45"/>
      <c r="P19" s="8"/>
      <c r="Q19" s="8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spans="1:49" ht="13.15" x14ac:dyDescent="0.4">
      <c r="A20" s="80" t="s">
        <v>169</v>
      </c>
      <c r="B20">
        <v>37</v>
      </c>
      <c r="C20">
        <v>45</v>
      </c>
      <c r="D20">
        <v>44</v>
      </c>
      <c r="E20">
        <v>46</v>
      </c>
      <c r="F20">
        <v>53</v>
      </c>
      <c r="G20" s="95">
        <f t="shared" si="0"/>
        <v>8.8103380898717116</v>
      </c>
      <c r="H20" s="96">
        <f t="shared" si="1"/>
        <v>224.99999999999997</v>
      </c>
      <c r="I20" s="94">
        <f t="shared" si="2"/>
        <v>0.11331154474650632</v>
      </c>
      <c r="J20" s="94">
        <f t="shared" si="3"/>
        <v>0.193</v>
      </c>
      <c r="K20" s="94">
        <f t="shared" si="4"/>
        <v>0.35555555555555562</v>
      </c>
      <c r="M20" s="45"/>
      <c r="P20" s="8"/>
      <c r="Q20" s="8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spans="1:49" ht="13.15" x14ac:dyDescent="0.4">
      <c r="A21" s="80" t="s">
        <v>170</v>
      </c>
      <c r="B21">
        <v>32</v>
      </c>
      <c r="C21">
        <v>38</v>
      </c>
      <c r="D21">
        <v>31</v>
      </c>
      <c r="E21">
        <v>36</v>
      </c>
      <c r="F21">
        <v>40</v>
      </c>
      <c r="G21" s="95">
        <f t="shared" si="0"/>
        <v>6.9307992973657466</v>
      </c>
      <c r="H21" s="96">
        <f t="shared" si="1"/>
        <v>177</v>
      </c>
      <c r="I21" s="94">
        <f t="shared" si="2"/>
        <v>9.7201415446809339E-2</v>
      </c>
      <c r="J21" s="94">
        <f t="shared" si="3"/>
        <v>0.27500000000000002</v>
      </c>
      <c r="K21" s="94">
        <f t="shared" si="4"/>
        <v>0.25423728813559321</v>
      </c>
      <c r="M21" s="45"/>
      <c r="O21" s="8"/>
      <c r="R21" s="77"/>
      <c r="S21" s="77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spans="1:49" ht="13.15" x14ac:dyDescent="0.4">
      <c r="A22" s="80" t="s">
        <v>171</v>
      </c>
      <c r="B22">
        <v>25</v>
      </c>
      <c r="C22">
        <v>35</v>
      </c>
      <c r="D22">
        <v>24</v>
      </c>
      <c r="E22">
        <v>34</v>
      </c>
      <c r="F22">
        <v>31</v>
      </c>
      <c r="G22" s="95">
        <f t="shared" si="0"/>
        <v>5.8344016684039337</v>
      </c>
      <c r="H22" s="96">
        <f t="shared" si="1"/>
        <v>149</v>
      </c>
      <c r="I22" s="94">
        <f t="shared" si="2"/>
        <v>0.15215817515106891</v>
      </c>
      <c r="J22" s="94">
        <f t="shared" si="3"/>
        <v>0.27500000000000002</v>
      </c>
      <c r="K22" s="94">
        <f t="shared" si="4"/>
        <v>0.36912751677852351</v>
      </c>
      <c r="M22" s="45"/>
      <c r="O22" s="77"/>
      <c r="P22" s="80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80" t="s">
        <v>172</v>
      </c>
      <c r="B23">
        <v>21</v>
      </c>
      <c r="C23">
        <v>30</v>
      </c>
      <c r="D23">
        <v>19</v>
      </c>
      <c r="E23">
        <v>28</v>
      </c>
      <c r="F23">
        <v>27</v>
      </c>
      <c r="G23" s="95">
        <f t="shared" si="0"/>
        <v>4.8946322721509512</v>
      </c>
      <c r="H23" s="96">
        <f t="shared" si="1"/>
        <v>125</v>
      </c>
      <c r="I23" s="94">
        <f t="shared" si="2"/>
        <v>0.16970562748477139</v>
      </c>
      <c r="J23" s="94">
        <f t="shared" si="3"/>
        <v>0.27500000000000002</v>
      </c>
      <c r="K23" s="94">
        <f t="shared" si="4"/>
        <v>0.43999999999999995</v>
      </c>
      <c r="M23" s="45"/>
      <c r="O23" s="7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</row>
    <row r="24" spans="1:49" ht="13.15" x14ac:dyDescent="0.4">
      <c r="A24" s="80" t="s">
        <v>173</v>
      </c>
      <c r="B24">
        <v>18</v>
      </c>
      <c r="C24">
        <v>21</v>
      </c>
      <c r="D24">
        <v>15</v>
      </c>
      <c r="E24">
        <v>24</v>
      </c>
      <c r="F24">
        <v>20</v>
      </c>
      <c r="G24" s="95">
        <f t="shared" si="0"/>
        <v>3.8373917013663457</v>
      </c>
      <c r="H24" s="96">
        <f t="shared" si="1"/>
        <v>98</v>
      </c>
      <c r="I24" s="94">
        <f t="shared" si="2"/>
        <v>0.15340098345278474</v>
      </c>
      <c r="J24" s="94">
        <f t="shared" si="3"/>
        <v>0.27500000000000002</v>
      </c>
      <c r="K24" s="94">
        <f t="shared" si="4"/>
        <v>0.45918367346938777</v>
      </c>
      <c r="M24" s="45"/>
      <c r="O24" s="77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ht="13.15" x14ac:dyDescent="0.4">
      <c r="A25" s="80" t="s">
        <v>174</v>
      </c>
      <c r="B25">
        <v>12</v>
      </c>
      <c r="C25">
        <v>16</v>
      </c>
      <c r="D25">
        <v>12</v>
      </c>
      <c r="E25">
        <v>20</v>
      </c>
      <c r="F25">
        <v>15</v>
      </c>
      <c r="G25" s="95">
        <f t="shared" si="0"/>
        <v>2.9367793632905705</v>
      </c>
      <c r="H25" s="96">
        <f t="shared" si="1"/>
        <v>75</v>
      </c>
      <c r="I25" s="94">
        <f t="shared" si="2"/>
        <v>0.19776529298921769</v>
      </c>
      <c r="J25" s="94">
        <f t="shared" si="3"/>
        <v>0.27500000000000002</v>
      </c>
      <c r="K25" s="94">
        <f t="shared" si="4"/>
        <v>0.53333333333333333</v>
      </c>
      <c r="M25" s="45"/>
      <c r="O25" s="7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</row>
    <row r="26" spans="1:49" ht="13.15" x14ac:dyDescent="0.4">
      <c r="A26" s="80" t="s">
        <v>175</v>
      </c>
      <c r="B26">
        <v>10</v>
      </c>
      <c r="C26">
        <v>13</v>
      </c>
      <c r="D26">
        <v>11</v>
      </c>
      <c r="E26">
        <v>18</v>
      </c>
      <c r="F26">
        <v>14</v>
      </c>
      <c r="G26" s="95">
        <f t="shared" si="0"/>
        <v>2.5843658396957019</v>
      </c>
      <c r="H26" s="96">
        <f t="shared" si="1"/>
        <v>65.999999999999986</v>
      </c>
      <c r="I26" s="94">
        <f t="shared" si="2"/>
        <v>0.21103618601794119</v>
      </c>
      <c r="J26" s="94">
        <f t="shared" si="3"/>
        <v>0.27500000000000002</v>
      </c>
      <c r="K26" s="94">
        <f t="shared" si="4"/>
        <v>0.60606060606060619</v>
      </c>
      <c r="M26" s="45"/>
    </row>
    <row r="27" spans="1:49" ht="13.15" x14ac:dyDescent="0.4">
      <c r="A27" s="80" t="s">
        <v>176</v>
      </c>
      <c r="B27">
        <v>10</v>
      </c>
      <c r="C27">
        <v>11</v>
      </c>
      <c r="D27">
        <v>9</v>
      </c>
      <c r="E27">
        <v>18</v>
      </c>
      <c r="F27">
        <v>12</v>
      </c>
      <c r="G27" s="95">
        <f t="shared" si="0"/>
        <v>2.3494234906324563</v>
      </c>
      <c r="H27" s="96">
        <f t="shared" si="1"/>
        <v>59.999999999999993</v>
      </c>
      <c r="I27" s="94">
        <f t="shared" si="2"/>
        <v>0.26352313834736496</v>
      </c>
      <c r="J27" s="94">
        <f t="shared" si="3"/>
        <v>0.27500000000000002</v>
      </c>
      <c r="K27" s="94">
        <f t="shared" si="4"/>
        <v>0.75000000000000011</v>
      </c>
      <c r="M27" s="45"/>
    </row>
    <row r="28" spans="1:49" ht="13.15" x14ac:dyDescent="0.4">
      <c r="A28" s="80" t="s">
        <v>177</v>
      </c>
      <c r="B28">
        <v>10</v>
      </c>
      <c r="C28">
        <v>10</v>
      </c>
      <c r="D28">
        <v>8</v>
      </c>
      <c r="E28">
        <v>15</v>
      </c>
      <c r="F28">
        <v>11</v>
      </c>
      <c r="G28" s="95">
        <f t="shared" si="0"/>
        <v>2.1144811415692111</v>
      </c>
      <c r="H28" s="96">
        <f t="shared" si="1"/>
        <v>54.000000000000007</v>
      </c>
      <c r="I28" s="94">
        <f t="shared" si="2"/>
        <v>0.21436735005167085</v>
      </c>
      <c r="J28" s="94">
        <f t="shared" si="3"/>
        <v>0.27500000000000002</v>
      </c>
      <c r="K28" s="94">
        <f t="shared" si="4"/>
        <v>0.64814814814814814</v>
      </c>
      <c r="M28" s="45"/>
    </row>
    <row r="29" spans="1:49" ht="13.15" x14ac:dyDescent="0.4">
      <c r="A29" s="80" t="s">
        <v>178</v>
      </c>
      <c r="B29">
        <v>7</v>
      </c>
      <c r="C29">
        <v>8</v>
      </c>
      <c r="D29">
        <v>6</v>
      </c>
      <c r="E29">
        <v>14</v>
      </c>
      <c r="F29">
        <v>10</v>
      </c>
      <c r="G29" s="95">
        <f t="shared" si="0"/>
        <v>1.7620676179743424</v>
      </c>
      <c r="H29" s="96">
        <f t="shared" si="1"/>
        <v>45</v>
      </c>
      <c r="I29" s="94">
        <f t="shared" si="2"/>
        <v>0.31426968052735449</v>
      </c>
      <c r="J29" s="94">
        <f t="shared" si="3"/>
        <v>0.27500000000000002</v>
      </c>
      <c r="K29" s="94">
        <f t="shared" si="4"/>
        <v>0.88888888888888895</v>
      </c>
      <c r="M29" s="45"/>
    </row>
    <row r="30" spans="1:49" ht="13.15" x14ac:dyDescent="0.4">
      <c r="A30" s="80" t="s">
        <v>179</v>
      </c>
      <c r="B30">
        <v>5</v>
      </c>
      <c r="C30">
        <v>8</v>
      </c>
      <c r="D30">
        <v>6</v>
      </c>
      <c r="E30">
        <v>13</v>
      </c>
      <c r="F30">
        <v>9</v>
      </c>
      <c r="G30" s="95">
        <f t="shared" si="0"/>
        <v>1.6054393852655118</v>
      </c>
      <c r="H30" s="96">
        <f t="shared" si="1"/>
        <v>40.999999999999993</v>
      </c>
      <c r="I30" s="94">
        <f t="shared" si="2"/>
        <v>0.33971678724839316</v>
      </c>
      <c r="J30" s="94">
        <f t="shared" si="3"/>
        <v>0.27500000000000002</v>
      </c>
      <c r="K30" s="94">
        <f t="shared" si="4"/>
        <v>0.97560975609756118</v>
      </c>
      <c r="M30" s="45"/>
    </row>
    <row r="31" spans="1:49" ht="13.15" x14ac:dyDescent="0.4">
      <c r="A31" s="80" t="s">
        <v>180</v>
      </c>
      <c r="B31">
        <v>5</v>
      </c>
      <c r="C31">
        <v>7</v>
      </c>
      <c r="D31">
        <v>6</v>
      </c>
      <c r="E31">
        <v>7</v>
      </c>
      <c r="F31">
        <v>7</v>
      </c>
      <c r="G31" s="95">
        <f t="shared" si="0"/>
        <v>1.2530258616706436</v>
      </c>
      <c r="H31" s="96">
        <f t="shared" si="1"/>
        <v>32</v>
      </c>
      <c r="I31" s="94">
        <f t="shared" si="2"/>
        <v>0.125</v>
      </c>
      <c r="J31" s="94">
        <f t="shared" si="3"/>
        <v>0.27500000000000002</v>
      </c>
      <c r="K31" s="94">
        <f t="shared" si="4"/>
        <v>0.3125</v>
      </c>
      <c r="M31" s="45"/>
    </row>
    <row r="32" spans="1:49" ht="13.15" x14ac:dyDescent="0.4">
      <c r="A32" s="80" t="s">
        <v>181</v>
      </c>
      <c r="B32">
        <v>5</v>
      </c>
      <c r="C32">
        <v>6</v>
      </c>
      <c r="D32">
        <v>5</v>
      </c>
      <c r="E32">
        <v>5</v>
      </c>
      <c r="F32">
        <v>7</v>
      </c>
      <c r="G32" s="95">
        <f t="shared" si="0"/>
        <v>1.0963976289618129</v>
      </c>
      <c r="H32" s="96">
        <f t="shared" si="1"/>
        <v>27.999999999999996</v>
      </c>
      <c r="I32" s="94">
        <f t="shared" si="2"/>
        <v>0.14285714285714288</v>
      </c>
      <c r="J32" s="94">
        <f t="shared" si="3"/>
        <v>0.27500000000000002</v>
      </c>
      <c r="K32" s="94">
        <f t="shared" si="4"/>
        <v>0.35714285714285721</v>
      </c>
      <c r="M32" s="45"/>
    </row>
    <row r="33" spans="1:13" ht="13.15" x14ac:dyDescent="0.4">
      <c r="A33" s="80" t="s">
        <v>182</v>
      </c>
      <c r="B33">
        <v>4</v>
      </c>
      <c r="C33">
        <v>5</v>
      </c>
      <c r="D33">
        <v>4</v>
      </c>
      <c r="E33">
        <v>5</v>
      </c>
      <c r="F33">
        <v>6</v>
      </c>
      <c r="G33" s="95">
        <f t="shared" si="0"/>
        <v>0.9397693962529825</v>
      </c>
      <c r="H33" s="96">
        <f t="shared" si="1"/>
        <v>23.999999999999996</v>
      </c>
      <c r="I33" s="94">
        <f t="shared" si="2"/>
        <v>0.15590239111558091</v>
      </c>
      <c r="J33" s="94">
        <f t="shared" si="3"/>
        <v>0.27500000000000002</v>
      </c>
      <c r="K33" s="94">
        <f t="shared" si="4"/>
        <v>0.41666666666666674</v>
      </c>
      <c r="M33" s="45"/>
    </row>
    <row r="34" spans="1:13" ht="13.15" x14ac:dyDescent="0.4">
      <c r="A34" s="80" t="s">
        <v>183</v>
      </c>
      <c r="B34">
        <v>4</v>
      </c>
      <c r="C34">
        <v>5</v>
      </c>
      <c r="D34">
        <v>3</v>
      </c>
      <c r="E34">
        <v>5</v>
      </c>
      <c r="F34">
        <v>5</v>
      </c>
      <c r="G34" s="95">
        <f t="shared" si="0"/>
        <v>0.86145527989856741</v>
      </c>
      <c r="H34" s="96">
        <f t="shared" si="1"/>
        <v>22</v>
      </c>
      <c r="I34" s="94">
        <f t="shared" si="2"/>
        <v>0.18181818181818182</v>
      </c>
      <c r="J34" s="94">
        <f t="shared" si="3"/>
        <v>0.27500000000000002</v>
      </c>
      <c r="K34" s="94">
        <f t="shared" si="4"/>
        <v>0.45454545454545459</v>
      </c>
      <c r="M34" s="45"/>
    </row>
    <row r="35" spans="1:13" ht="13.15" x14ac:dyDescent="0.4">
      <c r="A35" s="80" t="s">
        <v>184</v>
      </c>
      <c r="B35">
        <v>4</v>
      </c>
      <c r="C35">
        <v>4</v>
      </c>
      <c r="D35">
        <v>3</v>
      </c>
      <c r="E35">
        <v>5</v>
      </c>
      <c r="F35">
        <v>5</v>
      </c>
      <c r="G35" s="95">
        <f t="shared" si="0"/>
        <v>0.8222982217213598</v>
      </c>
      <c r="H35" s="96">
        <f t="shared" si="1"/>
        <v>21</v>
      </c>
      <c r="I35" s="94">
        <f t="shared" si="2"/>
        <v>0.17817416127494959</v>
      </c>
      <c r="J35" s="94">
        <f t="shared" si="3"/>
        <v>0.27500000000000002</v>
      </c>
      <c r="K35" s="94">
        <f t="shared" si="4"/>
        <v>0.47619047619047616</v>
      </c>
      <c r="M35" s="45"/>
    </row>
    <row r="36" spans="1:13" ht="13.15" x14ac:dyDescent="0.4">
      <c r="A36" s="80" t="s">
        <v>185</v>
      </c>
      <c r="B36">
        <v>0</v>
      </c>
      <c r="C36">
        <v>1</v>
      </c>
      <c r="D36">
        <v>2</v>
      </c>
      <c r="E36">
        <v>0</v>
      </c>
      <c r="F36">
        <v>1</v>
      </c>
      <c r="G36" s="95">
        <f t="shared" si="0"/>
        <v>0.15662823270883044</v>
      </c>
      <c r="H36" s="96">
        <f t="shared" si="1"/>
        <v>4</v>
      </c>
      <c r="I36" s="94">
        <f t="shared" si="2"/>
        <v>0.93541434669348533</v>
      </c>
      <c r="J36" s="94">
        <f t="shared" si="3"/>
        <v>0.27500000000000002</v>
      </c>
      <c r="K36" s="94">
        <f t="shared" si="4"/>
        <v>2.5</v>
      </c>
      <c r="M36" s="45"/>
    </row>
    <row r="37" spans="1:13" ht="13.15" x14ac:dyDescent="0.4">
      <c r="A37" s="80" t="s">
        <v>186</v>
      </c>
      <c r="B37">
        <v>0</v>
      </c>
      <c r="C37">
        <v>0</v>
      </c>
      <c r="D37">
        <v>0</v>
      </c>
      <c r="E37">
        <v>0</v>
      </c>
      <c r="F37">
        <v>0</v>
      </c>
      <c r="G37" s="95">
        <f t="shared" si="0"/>
        <v>0</v>
      </c>
      <c r="H37" s="96">
        <f t="shared" si="1"/>
        <v>0</v>
      </c>
      <c r="I37" s="94" t="e">
        <f t="shared" si="2"/>
        <v>#DIV/0!</v>
      </c>
      <c r="J37" s="94">
        <f t="shared" si="3"/>
        <v>0.27500000000000002</v>
      </c>
      <c r="K37" s="94" t="e">
        <f t="shared" si="4"/>
        <v>#DIV/0!</v>
      </c>
    </row>
    <row r="38" spans="1:13" ht="13.15" x14ac:dyDescent="0.4">
      <c r="A38" s="80" t="s">
        <v>187</v>
      </c>
      <c r="B38">
        <v>0</v>
      </c>
      <c r="C38">
        <v>0</v>
      </c>
      <c r="D38">
        <v>0</v>
      </c>
      <c r="E38">
        <v>0</v>
      </c>
      <c r="F38">
        <v>0</v>
      </c>
      <c r="G38" s="95">
        <f t="shared" si="0"/>
        <v>0</v>
      </c>
      <c r="H38" s="96">
        <f t="shared" si="1"/>
        <v>0</v>
      </c>
      <c r="I38" s="94" t="e">
        <f t="shared" si="2"/>
        <v>#DIV/0!</v>
      </c>
      <c r="J38" s="94">
        <f t="shared" si="3"/>
        <v>0.27500000000000002</v>
      </c>
      <c r="K38" s="94" t="e">
        <f t="shared" si="4"/>
        <v>#DIV/0!</v>
      </c>
    </row>
    <row r="40" spans="1:13" x14ac:dyDescent="0.35">
      <c r="A40" t="s">
        <v>188</v>
      </c>
    </row>
    <row r="41" spans="1:13" ht="15" x14ac:dyDescent="0.5">
      <c r="A41" s="38"/>
      <c r="B41" s="98" t="s">
        <v>189</v>
      </c>
      <c r="C41" s="38"/>
      <c r="D41" s="99" t="s">
        <v>190</v>
      </c>
      <c r="E41" s="39"/>
      <c r="F41" s="39"/>
      <c r="G41" s="39"/>
      <c r="H41" s="100"/>
    </row>
    <row r="42" spans="1:13" ht="15" x14ac:dyDescent="0.5">
      <c r="A42" s="101" t="s">
        <v>191</v>
      </c>
      <c r="B42" s="102" t="s">
        <v>192</v>
      </c>
      <c r="C42" s="101" t="s">
        <v>193</v>
      </c>
      <c r="D42" s="101" t="s">
        <v>194</v>
      </c>
      <c r="E42" s="102" t="s">
        <v>195</v>
      </c>
      <c r="F42" s="102" t="s">
        <v>196</v>
      </c>
      <c r="G42" s="102" t="s">
        <v>197</v>
      </c>
      <c r="H42" s="103" t="s">
        <v>198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4">
        <v>5.5</v>
      </c>
    </row>
    <row r="52" spans="1:31" x14ac:dyDescent="0.35">
      <c r="A52">
        <v>4.8771430000000002</v>
      </c>
      <c r="B52">
        <v>28618</v>
      </c>
      <c r="C52">
        <v>17169</v>
      </c>
      <c r="D52">
        <v>9054</v>
      </c>
      <c r="E52">
        <v>4444</v>
      </c>
      <c r="F52">
        <v>2276</v>
      </c>
      <c r="G52">
        <v>1067</v>
      </c>
      <c r="H52">
        <v>487</v>
      </c>
      <c r="I52">
        <v>234</v>
      </c>
      <c r="J52">
        <v>130</v>
      </c>
      <c r="K52">
        <v>84</v>
      </c>
      <c r="L52">
        <v>59</v>
      </c>
      <c r="M52">
        <v>37</v>
      </c>
      <c r="N52">
        <v>32</v>
      </c>
      <c r="O52">
        <v>25</v>
      </c>
      <c r="P52">
        <v>21</v>
      </c>
      <c r="Q52">
        <v>18</v>
      </c>
      <c r="R52">
        <v>12</v>
      </c>
      <c r="S52">
        <v>10</v>
      </c>
      <c r="T52">
        <v>10</v>
      </c>
      <c r="U52">
        <v>10</v>
      </c>
      <c r="V52">
        <v>7</v>
      </c>
      <c r="W52">
        <v>5</v>
      </c>
      <c r="X52">
        <v>5</v>
      </c>
      <c r="Y52">
        <v>5</v>
      </c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A53">
        <v>5.1961250000000003</v>
      </c>
      <c r="B53">
        <v>30775</v>
      </c>
      <c r="C53">
        <v>18382</v>
      </c>
      <c r="D53">
        <v>9822</v>
      </c>
      <c r="E53">
        <v>4919</v>
      </c>
      <c r="F53">
        <v>2609</v>
      </c>
      <c r="G53">
        <v>1234</v>
      </c>
      <c r="H53">
        <v>606</v>
      </c>
      <c r="I53">
        <v>304</v>
      </c>
      <c r="J53">
        <v>170</v>
      </c>
      <c r="K53">
        <v>98</v>
      </c>
      <c r="L53">
        <v>62</v>
      </c>
      <c r="M53">
        <v>45</v>
      </c>
      <c r="N53">
        <v>38</v>
      </c>
      <c r="O53">
        <v>35</v>
      </c>
      <c r="P53">
        <v>30</v>
      </c>
      <c r="Q53">
        <v>21</v>
      </c>
      <c r="R53">
        <v>16</v>
      </c>
      <c r="S53">
        <v>13</v>
      </c>
      <c r="T53">
        <v>11</v>
      </c>
      <c r="U53">
        <v>10</v>
      </c>
      <c r="V53">
        <v>8</v>
      </c>
      <c r="W53">
        <v>8</v>
      </c>
      <c r="X53">
        <v>7</v>
      </c>
      <c r="Y53">
        <v>6</v>
      </c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A54">
        <v>5.1312490000000004</v>
      </c>
      <c r="B54">
        <v>30220</v>
      </c>
      <c r="C54">
        <v>18044</v>
      </c>
      <c r="D54">
        <v>9679</v>
      </c>
      <c r="E54">
        <v>4826</v>
      </c>
      <c r="F54">
        <v>2452</v>
      </c>
      <c r="G54">
        <v>1174</v>
      </c>
      <c r="H54">
        <v>530</v>
      </c>
      <c r="I54">
        <v>255</v>
      </c>
      <c r="J54">
        <v>137</v>
      </c>
      <c r="K54">
        <v>95</v>
      </c>
      <c r="L54">
        <v>65</v>
      </c>
      <c r="M54">
        <v>44</v>
      </c>
      <c r="N54">
        <v>31</v>
      </c>
      <c r="O54">
        <v>24</v>
      </c>
      <c r="P54">
        <v>19</v>
      </c>
      <c r="Q54">
        <v>15</v>
      </c>
      <c r="R54">
        <v>12</v>
      </c>
      <c r="S54">
        <v>11</v>
      </c>
      <c r="T54">
        <v>9</v>
      </c>
      <c r="U54">
        <v>8</v>
      </c>
      <c r="V54">
        <v>6</v>
      </c>
      <c r="W54">
        <v>6</v>
      </c>
      <c r="X54">
        <v>6</v>
      </c>
      <c r="Y54">
        <v>5</v>
      </c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A55">
        <v>5.1936099999999996</v>
      </c>
      <c r="B55">
        <v>30933</v>
      </c>
      <c r="C55">
        <v>18516</v>
      </c>
      <c r="D55">
        <v>9907</v>
      </c>
      <c r="E55">
        <v>4934</v>
      </c>
      <c r="F55">
        <v>2527</v>
      </c>
      <c r="G55">
        <v>1206</v>
      </c>
      <c r="H55">
        <v>579</v>
      </c>
      <c r="I55">
        <v>297</v>
      </c>
      <c r="J55">
        <v>158</v>
      </c>
      <c r="K55">
        <v>99</v>
      </c>
      <c r="L55">
        <v>64</v>
      </c>
      <c r="M55">
        <v>46</v>
      </c>
      <c r="N55">
        <v>36</v>
      </c>
      <c r="O55">
        <v>34</v>
      </c>
      <c r="P55">
        <v>28</v>
      </c>
      <c r="Q55">
        <v>24</v>
      </c>
      <c r="R55">
        <v>20</v>
      </c>
      <c r="S55">
        <v>18</v>
      </c>
      <c r="T55">
        <v>18</v>
      </c>
      <c r="U55">
        <v>15</v>
      </c>
      <c r="V55">
        <v>14</v>
      </c>
      <c r="W55">
        <v>13</v>
      </c>
      <c r="X55">
        <v>7</v>
      </c>
      <c r="Y55">
        <v>5</v>
      </c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A56">
        <v>5.140053</v>
      </c>
      <c r="B56">
        <v>31112</v>
      </c>
      <c r="C56">
        <v>18750</v>
      </c>
      <c r="D56">
        <v>9896</v>
      </c>
      <c r="E56">
        <v>4972</v>
      </c>
      <c r="F56">
        <v>2693</v>
      </c>
      <c r="G56">
        <v>1268</v>
      </c>
      <c r="H56">
        <v>596</v>
      </c>
      <c r="I56">
        <v>289</v>
      </c>
      <c r="J56">
        <v>169</v>
      </c>
      <c r="K56">
        <v>114</v>
      </c>
      <c r="L56">
        <v>76</v>
      </c>
      <c r="M56">
        <v>53</v>
      </c>
      <c r="N56">
        <v>40</v>
      </c>
      <c r="O56">
        <v>31</v>
      </c>
      <c r="P56">
        <v>27</v>
      </c>
      <c r="Q56">
        <v>20</v>
      </c>
      <c r="R56">
        <v>15</v>
      </c>
      <c r="S56">
        <v>14</v>
      </c>
      <c r="T56">
        <v>12</v>
      </c>
      <c r="U56">
        <v>11</v>
      </c>
      <c r="V56">
        <v>10</v>
      </c>
      <c r="W56">
        <v>9</v>
      </c>
      <c r="X56">
        <v>7</v>
      </c>
      <c r="Y56">
        <v>7</v>
      </c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7"/>
      <c r="J77" s="97"/>
    </row>
    <row r="78" spans="1:11" ht="13.15" x14ac:dyDescent="0.4">
      <c r="A78" s="8"/>
      <c r="H78" s="148"/>
      <c r="J78" s="148"/>
    </row>
    <row r="79" spans="1:11" ht="13.15" x14ac:dyDescent="0.4">
      <c r="K79" s="77"/>
    </row>
  </sheetData>
  <conditionalFormatting sqref="H9:H40">
    <cfRule type="cellIs" dxfId="7" priority="2" operator="greaterThan">
      <formula>1000</formula>
    </cfRule>
  </conditionalFormatting>
  <conditionalFormatting sqref="K9:K38">
    <cfRule type="cellIs" dxfId="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B54" sqref="B54"/>
    </sheetView>
  </sheetViews>
  <sheetFormatPr defaultColWidth="11.53125" defaultRowHeight="12.75" x14ac:dyDescent="0.35"/>
  <sheetData>
    <row r="1" spans="1:49" x14ac:dyDescent="0.35">
      <c r="A1" t="s">
        <v>294</v>
      </c>
    </row>
    <row r="2" spans="1:49" ht="40.15" x14ac:dyDescent="1.05">
      <c r="O2" s="90"/>
    </row>
    <row r="4" spans="1:49" ht="40.15" x14ac:dyDescent="1.05">
      <c r="A4" s="8" t="s">
        <v>28</v>
      </c>
      <c r="O4" s="90" t="s">
        <v>105</v>
      </c>
    </row>
    <row r="5" spans="1:49" x14ac:dyDescent="0.35">
      <c r="O5" s="32">
        <v>45798</v>
      </c>
    </row>
    <row r="6" spans="1:49" ht="13.15" x14ac:dyDescent="0.4">
      <c r="A6" t="s">
        <v>296</v>
      </c>
      <c r="B6" s="8"/>
      <c r="C6" s="8"/>
      <c r="D6" s="8"/>
      <c r="E6" s="8"/>
      <c r="F6" s="8"/>
      <c r="O6" t="s">
        <v>297</v>
      </c>
    </row>
    <row r="7" spans="1:49" ht="14.65" x14ac:dyDescent="0.5">
      <c r="B7" s="77" t="s">
        <v>41</v>
      </c>
      <c r="C7" s="77" t="s">
        <v>42</v>
      </c>
      <c r="D7" s="77" t="s">
        <v>44</v>
      </c>
      <c r="E7" s="77" t="s">
        <v>45</v>
      </c>
      <c r="F7" s="77" t="s">
        <v>47</v>
      </c>
      <c r="G7" s="77" t="s">
        <v>151</v>
      </c>
      <c r="H7" s="77" t="s">
        <v>152</v>
      </c>
      <c r="I7" s="77" t="s">
        <v>153</v>
      </c>
      <c r="J7" s="77" t="s">
        <v>154</v>
      </c>
      <c r="K7" s="77" t="s">
        <v>155</v>
      </c>
      <c r="M7" s="77"/>
    </row>
    <row r="8" spans="1:49" ht="13.15" x14ac:dyDescent="0.4">
      <c r="A8" s="80" t="s">
        <v>157</v>
      </c>
      <c r="B8">
        <v>4.9231350000000003</v>
      </c>
      <c r="C8">
        <v>5.2287220000000003</v>
      </c>
      <c r="D8">
        <v>5.1742039999999996</v>
      </c>
      <c r="E8">
        <v>5.1799340000000003</v>
      </c>
      <c r="F8">
        <v>5.2270570000000003</v>
      </c>
      <c r="G8" s="93">
        <v>25.517626</v>
      </c>
      <c r="H8" s="93">
        <f>AVERAGE(B$8:F$8)*5</f>
        <v>25.733052000000001</v>
      </c>
      <c r="I8" s="94"/>
      <c r="K8" s="94"/>
    </row>
    <row r="9" spans="1:49" ht="13.15" x14ac:dyDescent="0.4">
      <c r="A9" s="98" t="s">
        <v>158</v>
      </c>
      <c r="B9" s="39">
        <v>29157</v>
      </c>
      <c r="C9" s="39">
        <v>30687</v>
      </c>
      <c r="D9" s="39">
        <v>30764</v>
      </c>
      <c r="E9" s="39">
        <v>30363</v>
      </c>
      <c r="F9" s="39">
        <v>30954</v>
      </c>
      <c r="G9" s="142">
        <f t="shared" ref="G9:G38" si="0">AVERAGE(B9:F9)/AVERAGE(B$8:F$8)</f>
        <v>5903.8857885959269</v>
      </c>
      <c r="H9" s="143">
        <f t="shared" ref="H9:H38" si="1">G9*H$8</f>
        <v>151925</v>
      </c>
      <c r="I9" s="144">
        <f t="shared" ref="I9:I38" si="2">STDEVP(B9:F9)/AVERAGE(B9:F9)</f>
        <v>2.1160882190548538E-2</v>
      </c>
      <c r="J9" s="144">
        <f t="shared" ref="J9:J38" si="3">IF(H9&gt;$A$43, $C$43, IF(H9&gt;$A$44, $C$44, IF(H9&gt;$A$45,$C$45,IF(H9&gt;$A$46,$C$46, IF(H9&gt;$A$47,$C$47,IF(H9&gt;$A$48,$C$48,$C$49))))))/100</f>
        <v>0.11</v>
      </c>
      <c r="K9" s="144">
        <f t="shared" ref="K9:K38" si="4">(MAX(B9:F9)-MIN(B9:F9))/H9*5</f>
        <v>5.9141023531347703E-2</v>
      </c>
      <c r="M9" s="45"/>
    </row>
    <row r="10" spans="1:49" ht="13.15" x14ac:dyDescent="0.4">
      <c r="A10" s="80" t="s">
        <v>159</v>
      </c>
      <c r="B10">
        <v>17360</v>
      </c>
      <c r="C10">
        <v>18503</v>
      </c>
      <c r="D10">
        <v>18397</v>
      </c>
      <c r="E10">
        <v>18440</v>
      </c>
      <c r="F10">
        <v>18549</v>
      </c>
      <c r="G10" s="95">
        <f t="shared" si="0"/>
        <v>3545.9843628342255</v>
      </c>
      <c r="H10" s="96">
        <f t="shared" si="1"/>
        <v>91249</v>
      </c>
      <c r="I10" s="94">
        <f t="shared" si="2"/>
        <v>2.4544529957126273E-2</v>
      </c>
      <c r="J10" s="94">
        <f t="shared" si="3"/>
        <v>0.11</v>
      </c>
      <c r="K10" s="94">
        <f t="shared" si="4"/>
        <v>6.5151398919440204E-2</v>
      </c>
      <c r="M10" s="45"/>
    </row>
    <row r="11" spans="1:49" ht="13.15" x14ac:dyDescent="0.4">
      <c r="A11" s="80" t="s">
        <v>160</v>
      </c>
      <c r="B11">
        <v>9287</v>
      </c>
      <c r="C11">
        <v>9843</v>
      </c>
      <c r="D11">
        <v>9784</v>
      </c>
      <c r="E11">
        <v>9952</v>
      </c>
      <c r="F11">
        <v>9906</v>
      </c>
      <c r="G11" s="95">
        <f t="shared" si="0"/>
        <v>1895.3056947928289</v>
      </c>
      <c r="H11" s="96">
        <f t="shared" si="1"/>
        <v>48772</v>
      </c>
      <c r="I11" s="94">
        <f t="shared" si="2"/>
        <v>2.465621995460433E-2</v>
      </c>
      <c r="J11" s="94">
        <f t="shared" si="3"/>
        <v>0.11</v>
      </c>
      <c r="K11" s="94">
        <f t="shared" si="4"/>
        <v>6.8174362339046987E-2</v>
      </c>
      <c r="M11" s="45"/>
    </row>
    <row r="12" spans="1:49" ht="13.15" x14ac:dyDescent="0.4">
      <c r="A12" s="80" t="s">
        <v>161</v>
      </c>
      <c r="B12">
        <v>4587</v>
      </c>
      <c r="C12">
        <v>4921</v>
      </c>
      <c r="D12">
        <v>4957</v>
      </c>
      <c r="E12">
        <v>5035</v>
      </c>
      <c r="F12">
        <v>4939</v>
      </c>
      <c r="G12" s="95">
        <f t="shared" si="0"/>
        <v>949.71245540560051</v>
      </c>
      <c r="H12" s="96">
        <f t="shared" si="1"/>
        <v>24439</v>
      </c>
      <c r="I12" s="94">
        <f t="shared" si="2"/>
        <v>3.1782252304863992E-2</v>
      </c>
      <c r="J12" s="94">
        <f t="shared" si="3"/>
        <v>0.11</v>
      </c>
      <c r="K12" s="94">
        <f t="shared" si="4"/>
        <v>9.1656778100576958E-2</v>
      </c>
      <c r="M12" s="45"/>
    </row>
    <row r="13" spans="1:49" ht="13.15" x14ac:dyDescent="0.4">
      <c r="A13" s="80" t="s">
        <v>162</v>
      </c>
      <c r="C13">
        <v>2546</v>
      </c>
      <c r="D13">
        <v>2570</v>
      </c>
      <c r="E13">
        <v>2656</v>
      </c>
      <c r="F13">
        <v>2616</v>
      </c>
      <c r="G13" s="95">
        <f t="shared" si="0"/>
        <v>504.60396225057173</v>
      </c>
      <c r="H13" s="96">
        <f t="shared" si="1"/>
        <v>12985</v>
      </c>
      <c r="I13" s="94">
        <f t="shared" si="2"/>
        <v>1.6304902086823357E-2</v>
      </c>
      <c r="J13" s="94">
        <f t="shared" si="3"/>
        <v>0.11</v>
      </c>
      <c r="K13" s="94">
        <f t="shared" si="4"/>
        <v>4.2356565267616483E-2</v>
      </c>
      <c r="M13" s="45"/>
    </row>
    <row r="14" spans="1:49" ht="13.15" x14ac:dyDescent="0.4">
      <c r="A14" s="102" t="s">
        <v>163</v>
      </c>
      <c r="B14" s="51"/>
      <c r="C14" s="51">
        <v>1198</v>
      </c>
      <c r="D14" s="51">
        <v>1203</v>
      </c>
      <c r="E14" s="51">
        <v>1267</v>
      </c>
      <c r="F14" s="51">
        <v>1255</v>
      </c>
      <c r="G14" s="145">
        <f t="shared" si="0"/>
        <v>239.13797710430927</v>
      </c>
      <c r="H14" s="146">
        <f t="shared" si="1"/>
        <v>6153.75</v>
      </c>
      <c r="I14" s="147">
        <f t="shared" si="2"/>
        <v>2.4860598206558882E-2</v>
      </c>
      <c r="J14" s="147">
        <f t="shared" si="3"/>
        <v>0.113</v>
      </c>
      <c r="K14" s="147">
        <f t="shared" si="4"/>
        <v>5.6063375990249846E-2</v>
      </c>
      <c r="M14" s="45"/>
    </row>
    <row r="15" spans="1:49" ht="13.15" x14ac:dyDescent="0.4">
      <c r="A15" s="80" t="s">
        <v>164</v>
      </c>
      <c r="C15">
        <v>560</v>
      </c>
      <c r="D15">
        <v>561</v>
      </c>
      <c r="E15">
        <v>572</v>
      </c>
      <c r="F15">
        <v>588</v>
      </c>
      <c r="G15" s="95">
        <f t="shared" si="0"/>
        <v>110.8010818149359</v>
      </c>
      <c r="H15" s="96">
        <f t="shared" si="1"/>
        <v>2851.25</v>
      </c>
      <c r="I15" s="94">
        <f t="shared" si="2"/>
        <v>1.9776840979640439E-2</v>
      </c>
      <c r="J15" s="94">
        <f t="shared" si="3"/>
        <v>0.11900000000000001</v>
      </c>
      <c r="K15" s="94">
        <f t="shared" si="4"/>
        <v>4.9101271372205171E-2</v>
      </c>
      <c r="M15" s="45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spans="1:49" ht="13.15" x14ac:dyDescent="0.4">
      <c r="A16" s="80" t="s">
        <v>165</v>
      </c>
      <c r="C16">
        <v>276</v>
      </c>
      <c r="D16">
        <v>286</v>
      </c>
      <c r="E16">
        <v>277</v>
      </c>
      <c r="F16">
        <v>317</v>
      </c>
      <c r="G16" s="95">
        <f t="shared" si="0"/>
        <v>56.1534636466751</v>
      </c>
      <c r="H16" s="96">
        <f t="shared" si="1"/>
        <v>1445</v>
      </c>
      <c r="I16" s="94">
        <f t="shared" si="2"/>
        <v>5.7537332693134567E-2</v>
      </c>
      <c r="J16" s="94">
        <f t="shared" si="3"/>
        <v>0.13400000000000001</v>
      </c>
      <c r="K16" s="94">
        <f t="shared" si="4"/>
        <v>0.14186851211072665</v>
      </c>
      <c r="M16" s="45"/>
      <c r="P16" s="8"/>
      <c r="Q16" s="8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spans="1:49" ht="13.15" x14ac:dyDescent="0.4">
      <c r="A17" s="80" t="s">
        <v>166</v>
      </c>
      <c r="B17">
        <v>164</v>
      </c>
      <c r="C17">
        <v>149</v>
      </c>
      <c r="D17">
        <v>163</v>
      </c>
      <c r="E17">
        <v>149</v>
      </c>
      <c r="F17">
        <v>180</v>
      </c>
      <c r="G17" s="95">
        <f t="shared" si="0"/>
        <v>31.282725422542182</v>
      </c>
      <c r="H17" s="96">
        <f t="shared" si="1"/>
        <v>805</v>
      </c>
      <c r="I17" s="94">
        <f t="shared" si="2"/>
        <v>7.1469067645428694E-2</v>
      </c>
      <c r="J17" s="94">
        <f t="shared" si="3"/>
        <v>0.156</v>
      </c>
      <c r="K17" s="94">
        <f t="shared" si="4"/>
        <v>0.19254658385093165</v>
      </c>
      <c r="M17" s="45"/>
      <c r="P17" s="8"/>
      <c r="Q17" s="8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spans="1:49" ht="13.15" x14ac:dyDescent="0.4">
      <c r="A18" s="80" t="s">
        <v>167</v>
      </c>
      <c r="B18">
        <v>115</v>
      </c>
      <c r="C18">
        <v>100</v>
      </c>
      <c r="D18">
        <v>97</v>
      </c>
      <c r="E18">
        <v>98</v>
      </c>
      <c r="F18">
        <v>116</v>
      </c>
      <c r="G18" s="95">
        <f t="shared" si="0"/>
        <v>20.440637977959241</v>
      </c>
      <c r="H18" s="96">
        <f t="shared" si="1"/>
        <v>526</v>
      </c>
      <c r="I18" s="94">
        <f t="shared" si="2"/>
        <v>8.052402503630178E-2</v>
      </c>
      <c r="J18" s="94">
        <f t="shared" si="3"/>
        <v>0.156</v>
      </c>
      <c r="K18" s="94">
        <f t="shared" si="4"/>
        <v>0.1806083650190114</v>
      </c>
      <c r="M18" s="45"/>
      <c r="P18" s="8"/>
      <c r="Q18" s="8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spans="1:49" ht="13.15" x14ac:dyDescent="0.4">
      <c r="A19" s="80" t="s">
        <v>168</v>
      </c>
      <c r="B19">
        <v>70</v>
      </c>
      <c r="C19">
        <v>66</v>
      </c>
      <c r="D19">
        <v>67</v>
      </c>
      <c r="E19">
        <v>64</v>
      </c>
      <c r="F19">
        <v>81</v>
      </c>
      <c r="G19" s="95">
        <f t="shared" si="0"/>
        <v>13.523463909372271</v>
      </c>
      <c r="H19" s="96">
        <f t="shared" si="1"/>
        <v>347.99999999999994</v>
      </c>
      <c r="I19" s="94">
        <f t="shared" si="2"/>
        <v>8.6493775536163275E-2</v>
      </c>
      <c r="J19" s="94">
        <f t="shared" si="3"/>
        <v>0.193</v>
      </c>
      <c r="K19" s="94">
        <f t="shared" si="4"/>
        <v>0.24425287356321845</v>
      </c>
      <c r="M19" s="45"/>
      <c r="P19" s="8"/>
      <c r="Q19" s="8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spans="1:49" ht="13.15" x14ac:dyDescent="0.4">
      <c r="A20" s="80" t="s">
        <v>169</v>
      </c>
      <c r="B20">
        <v>48</v>
      </c>
      <c r="C20">
        <v>50</v>
      </c>
      <c r="D20">
        <v>51</v>
      </c>
      <c r="E20">
        <v>47</v>
      </c>
      <c r="F20">
        <v>59</v>
      </c>
      <c r="G20" s="95">
        <f t="shared" si="0"/>
        <v>9.909434761177959</v>
      </c>
      <c r="H20" s="96">
        <f t="shared" si="1"/>
        <v>255</v>
      </c>
      <c r="I20" s="94">
        <f t="shared" si="2"/>
        <v>8.3189033080770289E-2</v>
      </c>
      <c r="J20" s="94">
        <f t="shared" si="3"/>
        <v>0.193</v>
      </c>
      <c r="K20" s="94">
        <f t="shared" si="4"/>
        <v>0.23529411764705882</v>
      </c>
      <c r="M20" s="45"/>
      <c r="P20" s="8"/>
      <c r="Q20" s="8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spans="1:49" ht="13.15" x14ac:dyDescent="0.4">
      <c r="A21" s="80" t="s">
        <v>170</v>
      </c>
      <c r="B21">
        <v>40</v>
      </c>
      <c r="C21">
        <v>38</v>
      </c>
      <c r="D21">
        <v>38</v>
      </c>
      <c r="E21">
        <v>32</v>
      </c>
      <c r="F21">
        <v>41</v>
      </c>
      <c r="G21" s="95">
        <f t="shared" si="0"/>
        <v>7.3446398818142509</v>
      </c>
      <c r="H21" s="96">
        <f t="shared" si="1"/>
        <v>188.99999999999997</v>
      </c>
      <c r="I21" s="94">
        <f t="shared" si="2"/>
        <v>8.2648144718588945E-2</v>
      </c>
      <c r="J21" s="94">
        <f t="shared" si="3"/>
        <v>0.27500000000000002</v>
      </c>
      <c r="K21" s="94">
        <f t="shared" si="4"/>
        <v>0.23809523809523811</v>
      </c>
      <c r="M21" s="45"/>
      <c r="O21" s="8"/>
      <c r="R21" s="77"/>
      <c r="S21" s="77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spans="1:49" ht="13.15" x14ac:dyDescent="0.4">
      <c r="A22" s="80" t="s">
        <v>171</v>
      </c>
      <c r="B22">
        <v>36</v>
      </c>
      <c r="C22">
        <v>33</v>
      </c>
      <c r="D22">
        <v>34</v>
      </c>
      <c r="E22">
        <v>27</v>
      </c>
      <c r="F22">
        <v>32</v>
      </c>
      <c r="G22" s="95">
        <f t="shared" si="0"/>
        <v>6.295405612983644</v>
      </c>
      <c r="H22" s="96">
        <f t="shared" si="1"/>
        <v>162</v>
      </c>
      <c r="I22" s="94">
        <f t="shared" si="2"/>
        <v>9.2798125792425357E-2</v>
      </c>
      <c r="J22" s="94">
        <f t="shared" si="3"/>
        <v>0.27500000000000002</v>
      </c>
      <c r="K22" s="94">
        <f t="shared" si="4"/>
        <v>0.27777777777777779</v>
      </c>
      <c r="M22" s="45"/>
      <c r="O22" s="77"/>
      <c r="P22" s="80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80" t="s">
        <v>172</v>
      </c>
      <c r="B23">
        <v>34</v>
      </c>
      <c r="C23">
        <v>28</v>
      </c>
      <c r="D23">
        <v>28</v>
      </c>
      <c r="E23">
        <v>21</v>
      </c>
      <c r="F23">
        <v>26</v>
      </c>
      <c r="G23" s="95">
        <f t="shared" si="0"/>
        <v>5.3238924011034516</v>
      </c>
      <c r="H23" s="96">
        <f t="shared" si="1"/>
        <v>136.99999999999997</v>
      </c>
      <c r="I23" s="94">
        <f t="shared" si="2"/>
        <v>0.15241323370672338</v>
      </c>
      <c r="J23" s="94">
        <f t="shared" si="3"/>
        <v>0.27500000000000002</v>
      </c>
      <c r="K23" s="94">
        <f t="shared" si="4"/>
        <v>0.47445255474452563</v>
      </c>
      <c r="M23" s="45"/>
      <c r="O23" s="7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</row>
    <row r="24" spans="1:49" ht="13.15" x14ac:dyDescent="0.4">
      <c r="A24" s="80" t="s">
        <v>173</v>
      </c>
      <c r="B24">
        <v>31</v>
      </c>
      <c r="C24">
        <v>23</v>
      </c>
      <c r="D24">
        <v>26</v>
      </c>
      <c r="E24">
        <v>17</v>
      </c>
      <c r="F24">
        <v>23</v>
      </c>
      <c r="G24" s="95">
        <f t="shared" si="0"/>
        <v>4.6632634170249219</v>
      </c>
      <c r="H24" s="96">
        <f t="shared" si="1"/>
        <v>120</v>
      </c>
      <c r="I24" s="94">
        <f t="shared" si="2"/>
        <v>0.19002923751652301</v>
      </c>
      <c r="J24" s="94">
        <f t="shared" si="3"/>
        <v>0.27500000000000002</v>
      </c>
      <c r="K24" s="94">
        <f t="shared" si="4"/>
        <v>0.58333333333333337</v>
      </c>
      <c r="M24" s="45"/>
      <c r="O24" s="77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ht="13.15" x14ac:dyDescent="0.4">
      <c r="A25" s="80" t="s">
        <v>174</v>
      </c>
      <c r="B25">
        <v>23</v>
      </c>
      <c r="C25">
        <v>20</v>
      </c>
      <c r="D25">
        <v>24</v>
      </c>
      <c r="E25">
        <v>17</v>
      </c>
      <c r="F25">
        <v>18</v>
      </c>
      <c r="G25" s="95">
        <f t="shared" si="0"/>
        <v>3.9637739044711831</v>
      </c>
      <c r="H25" s="96">
        <f t="shared" si="1"/>
        <v>101.99999999999999</v>
      </c>
      <c r="I25" s="94">
        <f t="shared" si="2"/>
        <v>0.13370766369593978</v>
      </c>
      <c r="J25" s="94">
        <f t="shared" si="3"/>
        <v>0.27500000000000002</v>
      </c>
      <c r="K25" s="94">
        <f t="shared" si="4"/>
        <v>0.34313725490196079</v>
      </c>
      <c r="M25" s="45"/>
      <c r="O25" s="7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</row>
    <row r="26" spans="1:49" ht="13.15" x14ac:dyDescent="0.4">
      <c r="A26" s="80" t="s">
        <v>175</v>
      </c>
      <c r="B26">
        <v>19</v>
      </c>
      <c r="C26">
        <v>15</v>
      </c>
      <c r="D26">
        <v>20</v>
      </c>
      <c r="E26">
        <v>13</v>
      </c>
      <c r="F26">
        <v>18</v>
      </c>
      <c r="G26" s="95">
        <f t="shared" si="0"/>
        <v>3.3031449203926528</v>
      </c>
      <c r="H26" s="96">
        <f t="shared" si="1"/>
        <v>85</v>
      </c>
      <c r="I26" s="94">
        <f t="shared" si="2"/>
        <v>0.1533929977694741</v>
      </c>
      <c r="J26" s="94">
        <f t="shared" si="3"/>
        <v>0.27500000000000002</v>
      </c>
      <c r="K26" s="94">
        <f t="shared" si="4"/>
        <v>0.41176470588235292</v>
      </c>
      <c r="M26" s="45"/>
    </row>
    <row r="27" spans="1:49" ht="13.15" x14ac:dyDescent="0.4">
      <c r="A27" s="80" t="s">
        <v>176</v>
      </c>
      <c r="B27">
        <v>17</v>
      </c>
      <c r="C27">
        <v>12</v>
      </c>
      <c r="D27">
        <v>17</v>
      </c>
      <c r="E27">
        <v>12</v>
      </c>
      <c r="F27">
        <v>16</v>
      </c>
      <c r="G27" s="95">
        <f t="shared" si="0"/>
        <v>2.8756791071653685</v>
      </c>
      <c r="H27" s="96">
        <f t="shared" si="1"/>
        <v>74</v>
      </c>
      <c r="I27" s="94">
        <f t="shared" si="2"/>
        <v>0.15643022841608414</v>
      </c>
      <c r="J27" s="94">
        <f t="shared" si="3"/>
        <v>0.27500000000000002</v>
      </c>
      <c r="K27" s="94">
        <f t="shared" si="4"/>
        <v>0.33783783783783783</v>
      </c>
      <c r="M27" s="45"/>
    </row>
    <row r="28" spans="1:49" ht="13.15" x14ac:dyDescent="0.4">
      <c r="A28" s="80" t="s">
        <v>177</v>
      </c>
      <c r="B28">
        <v>14</v>
      </c>
      <c r="C28">
        <v>11</v>
      </c>
      <c r="D28">
        <v>17</v>
      </c>
      <c r="E28">
        <v>11</v>
      </c>
      <c r="F28">
        <v>12</v>
      </c>
      <c r="G28" s="95">
        <f t="shared" si="0"/>
        <v>2.5259343508884995</v>
      </c>
      <c r="H28" s="96">
        <f t="shared" si="1"/>
        <v>65</v>
      </c>
      <c r="I28" s="94">
        <f t="shared" si="2"/>
        <v>0.17541160386140586</v>
      </c>
      <c r="J28" s="94">
        <f t="shared" si="3"/>
        <v>0.27500000000000002</v>
      </c>
      <c r="K28" s="94">
        <f t="shared" si="4"/>
        <v>0.46153846153846156</v>
      </c>
      <c r="M28" s="45"/>
    </row>
    <row r="29" spans="1:49" ht="13.15" x14ac:dyDescent="0.4">
      <c r="A29" s="80" t="s">
        <v>178</v>
      </c>
      <c r="B29">
        <v>13</v>
      </c>
      <c r="C29">
        <v>10</v>
      </c>
      <c r="D29">
        <v>16</v>
      </c>
      <c r="E29">
        <v>9</v>
      </c>
      <c r="F29">
        <v>11</v>
      </c>
      <c r="G29" s="95">
        <f t="shared" si="0"/>
        <v>2.2927711800372532</v>
      </c>
      <c r="H29" s="96">
        <f t="shared" si="1"/>
        <v>59</v>
      </c>
      <c r="I29" s="94">
        <f t="shared" si="2"/>
        <v>0.21033345162696368</v>
      </c>
      <c r="J29" s="94">
        <f t="shared" si="3"/>
        <v>0.27500000000000002</v>
      </c>
      <c r="K29" s="94">
        <f t="shared" si="4"/>
        <v>0.59322033898305082</v>
      </c>
      <c r="M29" s="45"/>
    </row>
    <row r="30" spans="1:49" ht="13.15" x14ac:dyDescent="0.4">
      <c r="A30" s="80" t="s">
        <v>179</v>
      </c>
      <c r="B30">
        <v>9</v>
      </c>
      <c r="C30">
        <v>9</v>
      </c>
      <c r="D30">
        <v>14</v>
      </c>
      <c r="E30">
        <v>7</v>
      </c>
      <c r="F30">
        <v>9</v>
      </c>
      <c r="G30" s="95">
        <f t="shared" si="0"/>
        <v>1.8653053668099686</v>
      </c>
      <c r="H30" s="96">
        <f t="shared" si="1"/>
        <v>48</v>
      </c>
      <c r="I30" s="94">
        <f t="shared" si="2"/>
        <v>0.24295632895188754</v>
      </c>
      <c r="J30" s="94">
        <f t="shared" si="3"/>
        <v>0.27500000000000002</v>
      </c>
      <c r="K30" s="94">
        <f t="shared" si="4"/>
        <v>0.72916666666666674</v>
      </c>
      <c r="M30" s="45"/>
    </row>
    <row r="31" spans="1:49" ht="13.15" x14ac:dyDescent="0.4">
      <c r="A31" s="80" t="s">
        <v>180</v>
      </c>
      <c r="B31">
        <v>8</v>
      </c>
      <c r="C31">
        <v>7</v>
      </c>
      <c r="D31">
        <v>13</v>
      </c>
      <c r="E31">
        <v>7</v>
      </c>
      <c r="F31">
        <v>7</v>
      </c>
      <c r="G31" s="95">
        <f t="shared" si="0"/>
        <v>1.6321421959587228</v>
      </c>
      <c r="H31" s="96">
        <f t="shared" si="1"/>
        <v>42.000000000000007</v>
      </c>
      <c r="I31" s="94">
        <f t="shared" si="2"/>
        <v>0.27766437594501431</v>
      </c>
      <c r="J31" s="94">
        <f t="shared" si="3"/>
        <v>0.27500000000000002</v>
      </c>
      <c r="K31" s="94">
        <f t="shared" si="4"/>
        <v>0.71428571428571408</v>
      </c>
      <c r="M31" s="45"/>
    </row>
    <row r="32" spans="1:49" ht="13.15" x14ac:dyDescent="0.4">
      <c r="A32" s="80" t="s">
        <v>181</v>
      </c>
      <c r="B32">
        <v>7</v>
      </c>
      <c r="C32">
        <v>5</v>
      </c>
      <c r="D32">
        <v>10</v>
      </c>
      <c r="E32">
        <v>5</v>
      </c>
      <c r="F32">
        <v>5</v>
      </c>
      <c r="G32" s="95">
        <f t="shared" si="0"/>
        <v>1.2435369112066459</v>
      </c>
      <c r="H32" s="96">
        <f t="shared" si="1"/>
        <v>32</v>
      </c>
      <c r="I32" s="94">
        <f t="shared" si="2"/>
        <v>0.30618621784789724</v>
      </c>
      <c r="J32" s="94">
        <f t="shared" si="3"/>
        <v>0.27500000000000002</v>
      </c>
      <c r="K32" s="94">
        <f t="shared" si="4"/>
        <v>0.78125</v>
      </c>
      <c r="M32" s="45"/>
    </row>
    <row r="33" spans="1:13" ht="13.15" x14ac:dyDescent="0.4">
      <c r="A33" s="80" t="s">
        <v>182</v>
      </c>
      <c r="B33">
        <v>6</v>
      </c>
      <c r="C33">
        <v>5</v>
      </c>
      <c r="D33">
        <v>10</v>
      </c>
      <c r="E33">
        <v>5</v>
      </c>
      <c r="F33">
        <v>5</v>
      </c>
      <c r="G33" s="95">
        <f t="shared" si="0"/>
        <v>1.2046763827314382</v>
      </c>
      <c r="H33" s="96">
        <f t="shared" si="1"/>
        <v>31</v>
      </c>
      <c r="I33" s="94">
        <f t="shared" si="2"/>
        <v>0.31275353918815024</v>
      </c>
      <c r="J33" s="94">
        <f t="shared" si="3"/>
        <v>0.27500000000000002</v>
      </c>
      <c r="K33" s="94">
        <f t="shared" si="4"/>
        <v>0.80645161290322576</v>
      </c>
      <c r="M33" s="45"/>
    </row>
    <row r="34" spans="1:13" ht="13.15" x14ac:dyDescent="0.4">
      <c r="A34" s="80" t="s">
        <v>183</v>
      </c>
      <c r="B34">
        <v>5</v>
      </c>
      <c r="C34">
        <v>4</v>
      </c>
      <c r="D34">
        <v>10</v>
      </c>
      <c r="E34">
        <v>5</v>
      </c>
      <c r="F34">
        <v>5</v>
      </c>
      <c r="G34" s="95">
        <f t="shared" si="0"/>
        <v>1.1269553257810228</v>
      </c>
      <c r="H34" s="96">
        <f t="shared" si="1"/>
        <v>29</v>
      </c>
      <c r="I34" s="94">
        <f t="shared" si="2"/>
        <v>0.36817511213901072</v>
      </c>
      <c r="J34" s="94">
        <f t="shared" si="3"/>
        <v>0.27500000000000002</v>
      </c>
      <c r="K34" s="94">
        <f t="shared" si="4"/>
        <v>1.0344827586206897</v>
      </c>
      <c r="M34" s="45"/>
    </row>
    <row r="35" spans="1:13" ht="13.15" x14ac:dyDescent="0.4">
      <c r="A35" s="80" t="s">
        <v>184</v>
      </c>
      <c r="B35">
        <v>5</v>
      </c>
      <c r="C35">
        <v>3</v>
      </c>
      <c r="D35">
        <v>7</v>
      </c>
      <c r="E35">
        <v>5</v>
      </c>
      <c r="F35">
        <v>4</v>
      </c>
      <c r="G35" s="95">
        <f t="shared" si="0"/>
        <v>0.93265268340498431</v>
      </c>
      <c r="H35" s="96">
        <f t="shared" si="1"/>
        <v>24</v>
      </c>
      <c r="I35" s="94">
        <f t="shared" si="2"/>
        <v>0.2763853991962833</v>
      </c>
      <c r="J35" s="94">
        <f t="shared" si="3"/>
        <v>0.27500000000000002</v>
      </c>
      <c r="K35" s="94">
        <f t="shared" si="4"/>
        <v>0.83333333333333326</v>
      </c>
      <c r="M35" s="45"/>
    </row>
    <row r="36" spans="1:13" ht="13.15" x14ac:dyDescent="0.4">
      <c r="A36" s="80" t="s">
        <v>185</v>
      </c>
      <c r="B36">
        <v>4</v>
      </c>
      <c r="C36">
        <v>0</v>
      </c>
      <c r="D36">
        <v>2</v>
      </c>
      <c r="E36">
        <v>3</v>
      </c>
      <c r="F36">
        <v>3</v>
      </c>
      <c r="G36" s="95">
        <f t="shared" si="0"/>
        <v>0.46632634170249215</v>
      </c>
      <c r="H36" s="96">
        <f t="shared" si="1"/>
        <v>12</v>
      </c>
      <c r="I36" s="94">
        <f t="shared" si="2"/>
        <v>0.56519416526043909</v>
      </c>
      <c r="J36" s="94">
        <f t="shared" si="3"/>
        <v>0.27500000000000002</v>
      </c>
      <c r="K36" s="94">
        <f t="shared" si="4"/>
        <v>1.6666666666666665</v>
      </c>
      <c r="M36" s="45"/>
    </row>
    <row r="37" spans="1:13" ht="13.15" x14ac:dyDescent="0.4">
      <c r="A37" s="80" t="s">
        <v>186</v>
      </c>
      <c r="B37">
        <v>1</v>
      </c>
      <c r="C37">
        <v>0</v>
      </c>
      <c r="D37">
        <v>1</v>
      </c>
      <c r="E37">
        <v>1</v>
      </c>
      <c r="F37">
        <v>0</v>
      </c>
      <c r="G37" s="95">
        <f t="shared" si="0"/>
        <v>0.11658158542562304</v>
      </c>
      <c r="H37" s="96">
        <f t="shared" si="1"/>
        <v>3</v>
      </c>
      <c r="I37" s="94">
        <f t="shared" si="2"/>
        <v>0.81649658092772603</v>
      </c>
      <c r="J37" s="94">
        <f t="shared" si="3"/>
        <v>0.27500000000000002</v>
      </c>
      <c r="K37" s="94">
        <f t="shared" si="4"/>
        <v>1.6666666666666665</v>
      </c>
    </row>
    <row r="38" spans="1:13" ht="13.15" x14ac:dyDescent="0.4">
      <c r="A38" s="80" t="s">
        <v>187</v>
      </c>
      <c r="B38">
        <v>1</v>
      </c>
      <c r="C38">
        <v>0</v>
      </c>
      <c r="D38">
        <v>1</v>
      </c>
      <c r="E38">
        <v>1</v>
      </c>
      <c r="F38">
        <v>0</v>
      </c>
      <c r="G38" s="95">
        <f t="shared" si="0"/>
        <v>0.11658158542562304</v>
      </c>
      <c r="H38" s="96">
        <f t="shared" si="1"/>
        <v>3</v>
      </c>
      <c r="I38" s="94">
        <f t="shared" si="2"/>
        <v>0.81649658092772603</v>
      </c>
      <c r="J38" s="94">
        <f t="shared" si="3"/>
        <v>0.27500000000000002</v>
      </c>
      <c r="K38" s="94">
        <f t="shared" si="4"/>
        <v>1.6666666666666665</v>
      </c>
    </row>
    <row r="40" spans="1:13" x14ac:dyDescent="0.35">
      <c r="A40" t="s">
        <v>188</v>
      </c>
    </row>
    <row r="41" spans="1:13" ht="15" x14ac:dyDescent="0.5">
      <c r="A41" s="38"/>
      <c r="B41" s="98" t="s">
        <v>189</v>
      </c>
      <c r="C41" s="38"/>
      <c r="D41" s="99" t="s">
        <v>190</v>
      </c>
      <c r="E41" s="39"/>
      <c r="F41" s="39"/>
      <c r="G41" s="39"/>
      <c r="H41" s="100"/>
    </row>
    <row r="42" spans="1:13" ht="15" x14ac:dyDescent="0.5">
      <c r="A42" s="101" t="s">
        <v>191</v>
      </c>
      <c r="B42" s="102" t="s">
        <v>192</v>
      </c>
      <c r="C42" s="101" t="s">
        <v>193</v>
      </c>
      <c r="D42" s="101" t="s">
        <v>194</v>
      </c>
      <c r="E42" s="102" t="s">
        <v>195</v>
      </c>
      <c r="F42" s="102" t="s">
        <v>196</v>
      </c>
      <c r="G42" s="102" t="s">
        <v>197</v>
      </c>
      <c r="H42" s="103" t="s">
        <v>198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4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7"/>
      <c r="J77" s="97"/>
    </row>
    <row r="78" spans="1:11" ht="13.15" x14ac:dyDescent="0.4">
      <c r="A78" s="8"/>
      <c r="H78" s="148"/>
      <c r="J78" s="148"/>
    </row>
    <row r="79" spans="1:11" ht="13.15" x14ac:dyDescent="0.4">
      <c r="K79" s="77"/>
    </row>
  </sheetData>
  <conditionalFormatting sqref="H9:H40">
    <cfRule type="cellIs" dxfId="5" priority="2" operator="greaterThan">
      <formula>1000</formula>
    </cfRule>
  </conditionalFormatting>
  <conditionalFormatting sqref="K9:K38">
    <cfRule type="cellIs" dxfId="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zoomScale="95" zoomScaleNormal="95" workbookViewId="0">
      <selection activeCell="K24" sqref="K24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2" t="s">
        <v>17</v>
      </c>
      <c r="B1" s="2" t="s">
        <v>299</v>
      </c>
      <c r="C1" s="171" t="s">
        <v>19</v>
      </c>
      <c r="D1" s="171"/>
      <c r="E1" s="171"/>
      <c r="F1" s="171"/>
      <c r="G1" s="171"/>
      <c r="H1" s="171"/>
      <c r="I1" s="171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132</v>
      </c>
      <c r="D3" s="80" t="s">
        <v>268</v>
      </c>
    </row>
    <row r="4" spans="1:1024" x14ac:dyDescent="0.35">
      <c r="A4" t="s">
        <v>22</v>
      </c>
      <c r="D4" s="80" t="s">
        <v>64</v>
      </c>
    </row>
    <row r="5" spans="1:1024" x14ac:dyDescent="0.35">
      <c r="A5" t="s">
        <v>24</v>
      </c>
      <c r="D5" s="80" t="s">
        <v>25</v>
      </c>
    </row>
    <row r="6" spans="1:1024" x14ac:dyDescent="0.35">
      <c r="A6" t="s">
        <v>26</v>
      </c>
      <c r="D6" s="80" t="s">
        <v>64</v>
      </c>
    </row>
    <row r="7" spans="1:1024" x14ac:dyDescent="0.35">
      <c r="A7" t="s">
        <v>27</v>
      </c>
      <c r="D7" s="80"/>
    </row>
    <row r="8" spans="1:1024" ht="13.15" x14ac:dyDescent="0.4">
      <c r="A8" t="s">
        <v>28</v>
      </c>
      <c r="D8" s="149">
        <v>45797</v>
      </c>
    </row>
    <row r="9" spans="1:1024" x14ac:dyDescent="0.35">
      <c r="A9" t="s">
        <v>29</v>
      </c>
      <c r="D9" s="75" t="s">
        <v>30</v>
      </c>
    </row>
    <row r="10" spans="1:1024" ht="13.15" x14ac:dyDescent="0.4">
      <c r="A10" t="s">
        <v>31</v>
      </c>
      <c r="D10" s="77">
        <v>36</v>
      </c>
    </row>
    <row r="11" spans="1:1024" x14ac:dyDescent="0.35">
      <c r="A11" t="s">
        <v>300</v>
      </c>
      <c r="D11">
        <v>1</v>
      </c>
    </row>
    <row r="13" spans="1:1024" x14ac:dyDescent="0.35">
      <c r="A13" t="s">
        <v>301</v>
      </c>
      <c r="B13">
        <v>50</v>
      </c>
      <c r="C13" t="s">
        <v>55</v>
      </c>
    </row>
    <row r="14" spans="1:1024" x14ac:dyDescent="0.35">
      <c r="A14" t="s">
        <v>302</v>
      </c>
      <c r="B14">
        <v>5</v>
      </c>
    </row>
    <row r="15" spans="1:1024" x14ac:dyDescent="0.35">
      <c r="A15" t="s">
        <v>303</v>
      </c>
      <c r="B15">
        <f>B13/B14</f>
        <v>10</v>
      </c>
      <c r="C15" t="s">
        <v>55</v>
      </c>
    </row>
    <row r="16" spans="1:1024" x14ac:dyDescent="0.35">
      <c r="A16" t="s">
        <v>293</v>
      </c>
      <c r="B16">
        <v>0.7</v>
      </c>
    </row>
    <row r="17" spans="1:10" x14ac:dyDescent="0.35">
      <c r="D17" s="80"/>
    </row>
    <row r="18" spans="1:10" x14ac:dyDescent="0.35">
      <c r="A18" t="s">
        <v>304</v>
      </c>
      <c r="B18">
        <f>$B$16*$B$15/100</f>
        <v>7.0000000000000007E-2</v>
      </c>
    </row>
    <row r="19" spans="1:10" x14ac:dyDescent="0.35">
      <c r="A19" s="82" t="s">
        <v>305</v>
      </c>
      <c r="B19">
        <f>B16*$B$13</f>
        <v>35</v>
      </c>
      <c r="C19" t="s">
        <v>55</v>
      </c>
    </row>
    <row r="20" spans="1:10" x14ac:dyDescent="0.35">
      <c r="A20" t="s">
        <v>306</v>
      </c>
      <c r="B20">
        <f>B15*B16</f>
        <v>7</v>
      </c>
      <c r="C20" t="s">
        <v>55</v>
      </c>
    </row>
    <row r="22" spans="1:10" x14ac:dyDescent="0.35">
      <c r="A22" s="150" t="s">
        <v>249</v>
      </c>
      <c r="B22" s="150" t="s">
        <v>307</v>
      </c>
      <c r="C22" s="150" t="s">
        <v>308</v>
      </c>
      <c r="D22" s="150" t="s">
        <v>309</v>
      </c>
      <c r="E22" s="150" t="s">
        <v>310</v>
      </c>
      <c r="F22" s="150" t="s">
        <v>311</v>
      </c>
      <c r="G22" s="150" t="s">
        <v>312</v>
      </c>
      <c r="H22" s="150" t="s">
        <v>313</v>
      </c>
      <c r="I22" s="150" t="s">
        <v>40</v>
      </c>
    </row>
    <row r="23" spans="1:10" x14ac:dyDescent="0.35">
      <c r="A23" s="151">
        <v>4</v>
      </c>
      <c r="B23" s="152">
        <f>'ANNEX E - B1'!$G9</f>
        <v>5982.0618506911487</v>
      </c>
      <c r="C23" s="152">
        <f>'ANNEX E - B2'!$G9</f>
        <v>5938.4811290389507</v>
      </c>
      <c r="D23" s="152">
        <f>'ANNEX E - B3'!$G9</f>
        <v>5903.8857885959269</v>
      </c>
      <c r="E23" s="45">
        <f t="shared" ref="E23:E28" si="0">AVERAGE(B23:D23)</f>
        <v>5941.4762561086754</v>
      </c>
      <c r="F23" s="133">
        <v>6300</v>
      </c>
      <c r="G23">
        <v>4553</v>
      </c>
      <c r="H23">
        <v>8713</v>
      </c>
      <c r="I23" s="94">
        <f t="shared" ref="I23:I28" si="1">(E23-F23)/F23</f>
        <v>-5.690853077640072E-2</v>
      </c>
    </row>
    <row r="24" spans="1:10" x14ac:dyDescent="0.35">
      <c r="A24" s="80">
        <v>5</v>
      </c>
      <c r="B24" s="152">
        <f>'ANNEX E - B1'!$G10</f>
        <v>3600.3937680776271</v>
      </c>
      <c r="C24" s="152">
        <f>'ANNEX E - B2'!$G10</f>
        <v>3557.8494630392606</v>
      </c>
      <c r="D24" s="152">
        <f>'ANNEX E - B3'!$G10</f>
        <v>3545.9843628342255</v>
      </c>
      <c r="E24" s="45">
        <f t="shared" si="0"/>
        <v>3568.0758646503709</v>
      </c>
      <c r="F24" s="153">
        <v>3475</v>
      </c>
      <c r="G24">
        <v>2330</v>
      </c>
      <c r="H24">
        <v>5183</v>
      </c>
      <c r="I24" s="94">
        <f t="shared" si="1"/>
        <v>2.678442148212113E-2</v>
      </c>
    </row>
    <row r="25" spans="1:10" x14ac:dyDescent="0.35">
      <c r="A25" s="80">
        <v>6</v>
      </c>
      <c r="B25" s="152">
        <f>'ANNEX E - B1'!$G11</f>
        <v>1929.3255921966434</v>
      </c>
      <c r="C25" s="152">
        <f>'ANNEX E - B2'!$G11</f>
        <v>1893.5570193334056</v>
      </c>
      <c r="D25" s="152">
        <f>'ANNEX E - B3'!$G11</f>
        <v>1895.3056947928289</v>
      </c>
      <c r="E25" s="45">
        <f t="shared" si="0"/>
        <v>1906.0627687742926</v>
      </c>
      <c r="F25" s="153">
        <v>1631</v>
      </c>
      <c r="G25">
        <v>938.2</v>
      </c>
      <c r="H25">
        <v>2834</v>
      </c>
      <c r="I25" s="94">
        <f t="shared" si="1"/>
        <v>0.16864670065867116</v>
      </c>
    </row>
    <row r="26" spans="1:10" x14ac:dyDescent="0.35">
      <c r="A26" s="80">
        <v>7</v>
      </c>
      <c r="B26" s="152">
        <f>'ANNEX E - B1'!$G12</f>
        <v>967.7204886412211</v>
      </c>
      <c r="C26" s="152">
        <f>'ANNEX E - B2'!$G12</f>
        <v>943.48931677981727</v>
      </c>
      <c r="D26" s="152">
        <f>'ANNEX E - B3'!$G12</f>
        <v>949.71245540560051</v>
      </c>
      <c r="E26" s="45">
        <f t="shared" si="0"/>
        <v>953.64075360887955</v>
      </c>
      <c r="F26" s="153">
        <v>769.8</v>
      </c>
      <c r="G26">
        <v>413.6</v>
      </c>
      <c r="H26">
        <v>1433</v>
      </c>
      <c r="I26" s="94">
        <f t="shared" si="1"/>
        <v>0.23881625566235334</v>
      </c>
    </row>
    <row r="27" spans="1:10" x14ac:dyDescent="0.35">
      <c r="A27" s="80">
        <v>8</v>
      </c>
      <c r="B27" s="152">
        <f>'ANNEX E - B1'!$G13</f>
        <v>502.95122212050825</v>
      </c>
      <c r="C27" s="152">
        <f>'ANNEX E - B2'!$G13</f>
        <v>503.21714389983924</v>
      </c>
      <c r="D27" s="152">
        <f>'ANNEX E - B3'!$G13</f>
        <v>504.60396225057173</v>
      </c>
      <c r="E27" s="45">
        <f t="shared" si="0"/>
        <v>503.59077609030646</v>
      </c>
      <c r="F27" s="153">
        <v>379.1</v>
      </c>
      <c r="G27">
        <v>179.7</v>
      </c>
      <c r="H27">
        <v>799.5</v>
      </c>
      <c r="I27" s="94">
        <f t="shared" si="1"/>
        <v>0.32838505958930742</v>
      </c>
    </row>
    <row r="28" spans="1:10" x14ac:dyDescent="0.35">
      <c r="A28" s="102">
        <v>9</v>
      </c>
      <c r="B28" s="154">
        <f>'ANNEX E - B1'!$G14</f>
        <v>236.97117207470555</v>
      </c>
      <c r="C28" s="154">
        <f>'ANNEX E - B2'!$G14</f>
        <v>238.95594752640943</v>
      </c>
      <c r="D28" s="154">
        <f>'ANNEX E - B3'!$G14</f>
        <v>239.13797710430927</v>
      </c>
      <c r="E28" s="155">
        <f t="shared" si="0"/>
        <v>238.35503223514141</v>
      </c>
      <c r="F28" s="156">
        <v>196.2</v>
      </c>
      <c r="G28" s="51">
        <v>76.569999999999993</v>
      </c>
      <c r="H28" s="51">
        <v>502.6</v>
      </c>
      <c r="I28" s="147">
        <f t="shared" si="1"/>
        <v>0.21485745277849858</v>
      </c>
    </row>
    <row r="29" spans="1:10" ht="13.15" x14ac:dyDescent="0.4">
      <c r="A29" s="8"/>
      <c r="B29" s="8"/>
      <c r="C29" s="157"/>
      <c r="D29" s="133"/>
      <c r="E29" s="133"/>
      <c r="J29" s="80"/>
    </row>
    <row r="30" spans="1:10" x14ac:dyDescent="0.35">
      <c r="A30" t="s">
        <v>311</v>
      </c>
      <c r="C30" s="46"/>
    </row>
    <row r="31" spans="1:10" x14ac:dyDescent="0.35">
      <c r="A31" s="150" t="s">
        <v>249</v>
      </c>
      <c r="B31" s="150" t="s">
        <v>314</v>
      </c>
      <c r="C31" s="150" t="s">
        <v>315</v>
      </c>
      <c r="D31" s="150" t="s">
        <v>316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32"/>
    </row>
    <row r="34" spans="1:21" ht="13.15" x14ac:dyDescent="0.4">
      <c r="A34" s="158">
        <v>4</v>
      </c>
      <c r="B34" s="158">
        <v>6300</v>
      </c>
      <c r="C34" s="158">
        <v>4553</v>
      </c>
      <c r="D34" s="158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97"/>
      <c r="F35" s="45"/>
      <c r="G35" s="97"/>
      <c r="H35" s="45"/>
      <c r="I35" s="97"/>
      <c r="J35" s="45"/>
      <c r="K35" s="97"/>
    </row>
    <row r="36" spans="1:21" ht="13.15" x14ac:dyDescent="0.4">
      <c r="A36" s="158">
        <v>6</v>
      </c>
      <c r="B36" s="158">
        <v>1631</v>
      </c>
      <c r="C36" s="158">
        <v>938.2</v>
      </c>
      <c r="D36" s="158">
        <v>2834</v>
      </c>
      <c r="E36" s="97"/>
      <c r="F36" s="45"/>
      <c r="G36" s="97"/>
      <c r="H36" s="45"/>
      <c r="I36" s="97"/>
      <c r="J36" s="45"/>
      <c r="K36" s="97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97"/>
      <c r="F37" s="45"/>
      <c r="G37" s="97"/>
      <c r="H37" s="45"/>
      <c r="I37" s="97"/>
      <c r="J37" s="45"/>
      <c r="K37" s="97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97"/>
      <c r="F38" s="45"/>
      <c r="G38" s="97"/>
      <c r="H38" s="45"/>
      <c r="I38" s="97"/>
      <c r="J38" s="45"/>
      <c r="K38" s="97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97"/>
      <c r="F39" s="45"/>
      <c r="G39" s="97"/>
      <c r="H39" s="45"/>
      <c r="I39" s="97"/>
      <c r="J39" s="45"/>
      <c r="K39" s="97"/>
    </row>
    <row r="40" spans="1:21" x14ac:dyDescent="0.35">
      <c r="A40" s="51">
        <v>10</v>
      </c>
      <c r="B40" s="51">
        <v>88.9</v>
      </c>
      <c r="C40" s="51">
        <v>27.89</v>
      </c>
      <c r="D40" s="51">
        <v>283.39999999999998</v>
      </c>
    </row>
    <row r="42" spans="1:21" x14ac:dyDescent="0.35">
      <c r="A42" t="s">
        <v>188</v>
      </c>
    </row>
    <row r="43" spans="1:21" ht="15" x14ac:dyDescent="0.5">
      <c r="A43" s="38"/>
      <c r="B43" s="98" t="s">
        <v>189</v>
      </c>
      <c r="C43" s="38"/>
      <c r="D43" s="99" t="s">
        <v>190</v>
      </c>
      <c r="E43" s="39"/>
      <c r="F43" s="39"/>
      <c r="G43" s="39"/>
      <c r="H43" s="100"/>
      <c r="U43" s="32"/>
    </row>
    <row r="44" spans="1:21" ht="15" x14ac:dyDescent="0.5">
      <c r="A44" s="101" t="s">
        <v>191</v>
      </c>
      <c r="B44" s="102" t="s">
        <v>192</v>
      </c>
      <c r="C44" s="101" t="s">
        <v>193</v>
      </c>
      <c r="D44" s="101" t="s">
        <v>194</v>
      </c>
      <c r="E44" s="102" t="s">
        <v>195</v>
      </c>
      <c r="F44" s="102" t="s">
        <v>196</v>
      </c>
      <c r="G44" s="102" t="s">
        <v>197</v>
      </c>
      <c r="H44" s="103" t="s">
        <v>198</v>
      </c>
      <c r="I44" s="45"/>
      <c r="J44" s="45"/>
    </row>
    <row r="45" spans="1:21" x14ac:dyDescent="0.35">
      <c r="A45" s="41">
        <v>10000</v>
      </c>
      <c r="C45" s="41">
        <v>11</v>
      </c>
      <c r="D45" s="41">
        <v>7.8</v>
      </c>
      <c r="E45">
        <v>5.3</v>
      </c>
      <c r="F45">
        <v>4</v>
      </c>
      <c r="G45">
        <v>2.7</v>
      </c>
      <c r="H45" s="48">
        <v>1.8</v>
      </c>
      <c r="I45" s="45"/>
      <c r="J45" s="45"/>
    </row>
    <row r="46" spans="1:21" x14ac:dyDescent="0.35">
      <c r="A46" s="41">
        <v>5000</v>
      </c>
      <c r="B46">
        <v>10000</v>
      </c>
      <c r="C46" s="41">
        <v>11.3</v>
      </c>
      <c r="D46" s="41">
        <v>7.8</v>
      </c>
      <c r="E46">
        <v>5.3</v>
      </c>
      <c r="F46">
        <v>4</v>
      </c>
      <c r="G46">
        <v>2.7</v>
      </c>
      <c r="H46" s="48">
        <v>1.9</v>
      </c>
    </row>
    <row r="47" spans="1:21" x14ac:dyDescent="0.35">
      <c r="A47" s="41">
        <v>2000</v>
      </c>
      <c r="B47">
        <v>5000</v>
      </c>
      <c r="C47" s="41">
        <v>11.9</v>
      </c>
      <c r="D47" s="41">
        <v>7.9</v>
      </c>
      <c r="E47">
        <v>5.4</v>
      </c>
      <c r="F47">
        <v>4.0999999999999996</v>
      </c>
      <c r="G47">
        <v>2.9</v>
      </c>
      <c r="H47" s="48">
        <v>2.1</v>
      </c>
      <c r="J47" s="45"/>
    </row>
    <row r="48" spans="1:21" x14ac:dyDescent="0.35">
      <c r="A48" s="41">
        <v>1000</v>
      </c>
      <c r="B48">
        <v>2000</v>
      </c>
      <c r="C48" s="41">
        <v>13.4</v>
      </c>
      <c r="D48" s="41">
        <v>8</v>
      </c>
      <c r="E48">
        <v>5.6</v>
      </c>
      <c r="F48">
        <v>4.3</v>
      </c>
      <c r="G48">
        <v>3.1</v>
      </c>
      <c r="H48" s="48">
        <v>2.4</v>
      </c>
      <c r="J48" s="45"/>
    </row>
    <row r="49" spans="1:12" x14ac:dyDescent="0.35">
      <c r="A49" s="41">
        <v>500</v>
      </c>
      <c r="B49">
        <v>1000</v>
      </c>
      <c r="C49" s="41">
        <v>15.6</v>
      </c>
      <c r="D49" s="41">
        <v>8.1999999999999993</v>
      </c>
      <c r="E49">
        <v>5.9</v>
      </c>
      <c r="F49">
        <v>4.7</v>
      </c>
      <c r="G49">
        <v>3.6</v>
      </c>
      <c r="H49" s="48">
        <v>2.9</v>
      </c>
      <c r="I49" s="45"/>
      <c r="J49" s="45"/>
    </row>
    <row r="50" spans="1:12" x14ac:dyDescent="0.35">
      <c r="A50" s="41">
        <v>200</v>
      </c>
      <c r="B50">
        <v>500</v>
      </c>
      <c r="C50" s="41">
        <v>19.3</v>
      </c>
      <c r="D50" s="41">
        <v>8.9</v>
      </c>
      <c r="E50">
        <v>6.8</v>
      </c>
      <c r="F50">
        <v>5.7</v>
      </c>
      <c r="G50">
        <v>4.7</v>
      </c>
      <c r="H50" s="48">
        <v>4.0999999999999996</v>
      </c>
    </row>
    <row r="51" spans="1:12" x14ac:dyDescent="0.35">
      <c r="A51" s="50">
        <v>100</v>
      </c>
      <c r="B51" s="51">
        <v>200</v>
      </c>
      <c r="C51" s="50">
        <v>27.5</v>
      </c>
      <c r="D51" s="50">
        <v>10</v>
      </c>
      <c r="E51" s="51">
        <v>8</v>
      </c>
      <c r="F51" s="51">
        <v>7</v>
      </c>
      <c r="G51" s="51">
        <v>6.1</v>
      </c>
      <c r="H51" s="104">
        <v>5.5</v>
      </c>
    </row>
    <row r="53" spans="1:12" ht="30" x14ac:dyDescent="1.1000000000000001">
      <c r="A53" s="159" t="s">
        <v>317</v>
      </c>
    </row>
    <row r="54" spans="1:12" x14ac:dyDescent="0.35">
      <c r="B54" s="97"/>
      <c r="D54" s="97"/>
      <c r="F54" s="97"/>
      <c r="H54" s="97"/>
      <c r="J54" s="97"/>
    </row>
    <row r="55" spans="1:12" ht="13.15" x14ac:dyDescent="0.4">
      <c r="A55" s="8"/>
      <c r="B55" s="148"/>
      <c r="D55" s="148"/>
      <c r="F55" s="148"/>
      <c r="H55" s="148"/>
      <c r="J55" s="148"/>
    </row>
    <row r="56" spans="1:12" ht="13.15" x14ac:dyDescent="0.4">
      <c r="B56" s="97"/>
      <c r="D56" s="97"/>
      <c r="K56" s="77"/>
      <c r="L56" s="77"/>
    </row>
  </sheetData>
  <mergeCells count="1">
    <mergeCell ref="C1:I1"/>
  </mergeCells>
  <conditionalFormatting sqref="A29">
    <cfRule type="cellIs" dxfId="3" priority="2" operator="between">
      <formula>$C$34</formula>
      <formula>$D$34</formula>
    </cfRule>
  </conditionalFormatting>
  <conditionalFormatting sqref="B29">
    <cfRule type="cellIs" dxfId="2" priority="3" operator="between">
      <formula>$C$36</formula>
      <formula>$D$36</formula>
    </cfRule>
  </conditionalFormatting>
  <conditionalFormatting sqref="B55 D55">
    <cfRule type="cellIs" dxfId="1" priority="4" operator="lessThan">
      <formula>B56</formula>
    </cfRule>
  </conditionalFormatting>
  <conditionalFormatting sqref="E23:E28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ISO 11171_2020 Summary</vt:lpstr>
      <vt:lpstr>Annex A Preliminary Check</vt:lpstr>
      <vt:lpstr>Annex B Coincidence Limit</vt:lpstr>
      <vt:lpstr>Clause 6 Sizing Calibration</vt:lpstr>
      <vt:lpstr>6 - B1</vt:lpstr>
      <vt:lpstr>6 - B2</vt:lpstr>
      <vt:lpstr>6 - B3</vt:lpstr>
      <vt:lpstr>6 - Interpolated Thresholds</vt:lpstr>
      <vt:lpstr>Clause 6 - Spheres</vt:lpstr>
      <vt:lpstr>6 - Calibration Curve</vt:lpstr>
      <vt:lpstr>Annex C - Flow Rate</vt:lpstr>
      <vt:lpstr>Annex D Resolution</vt:lpstr>
      <vt:lpstr>ANNEX E - B1</vt:lpstr>
      <vt:lpstr>ANNEX E - B2</vt:lpstr>
      <vt:lpstr>ANNEX E - B3</vt:lpstr>
      <vt:lpstr>Annex E Verify Counting Accurac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dcterms:created xsi:type="dcterms:W3CDTF">2021-11-24T13:24:09Z</dcterms:created>
  <dcterms:modified xsi:type="dcterms:W3CDTF">2025-06-20T19:11:01Z</dcterms:modified>
  <dc:language>en-GB</dc:language>
</cp:coreProperties>
</file>