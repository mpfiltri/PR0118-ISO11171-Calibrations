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3C1FC716-85B3-4E68-A452-1D7CBAAD81D1}" xr6:coauthVersionLast="47" xr6:coauthVersionMax="47" xr10:uidLastSave="{00000000-0000-0000-0000-000000000000}"/>
  <bookViews>
    <workbookView xWindow="-98" yWindow="-98" windowWidth="28996" windowHeight="17745" activeTab="3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G9" i="1"/>
  <c r="H9" i="1" s="1"/>
  <c r="I9" i="1"/>
  <c r="G10" i="1"/>
  <c r="H10" i="1" s="1"/>
  <c r="I10" i="1"/>
  <c r="G11" i="1"/>
  <c r="H11" i="1" s="1"/>
  <c r="I11" i="1"/>
  <c r="G12" i="1"/>
  <c r="H12" i="1" s="1"/>
  <c r="I12" i="1"/>
  <c r="K9" i="1" l="1"/>
  <c r="K10" i="1"/>
  <c r="K11" i="1"/>
  <c r="K12" i="1"/>
  <c r="K28" i="4"/>
  <c r="K27" i="4"/>
  <c r="K26" i="4"/>
  <c r="K25" i="4"/>
  <c r="K24" i="4"/>
  <c r="K23" i="4"/>
  <c r="J28" i="4"/>
  <c r="J27" i="4"/>
  <c r="J26" i="4"/>
  <c r="J25" i="4"/>
  <c r="J24" i="4"/>
  <c r="J23" i="4"/>
  <c r="H8" i="2" l="1"/>
  <c r="G9" i="2"/>
  <c r="I9" i="2"/>
  <c r="G10" i="2"/>
  <c r="K10" i="2" s="1"/>
  <c r="I10" i="2"/>
  <c r="G11" i="2"/>
  <c r="K11" i="2" s="1"/>
  <c r="I11" i="2"/>
  <c r="G12" i="2"/>
  <c r="K12" i="2" s="1"/>
  <c r="I12" i="2"/>
  <c r="G12" i="3"/>
  <c r="K12" i="3" s="1"/>
  <c r="G9" i="3"/>
  <c r="K9" i="3" s="1"/>
  <c r="I11" i="3"/>
  <c r="G10" i="3"/>
  <c r="K10" i="3" s="1"/>
  <c r="H8" i="3"/>
  <c r="I10" i="3"/>
  <c r="G11" i="3"/>
  <c r="K11" i="3" s="1"/>
  <c r="M34" i="1"/>
  <c r="M32" i="1"/>
  <c r="M25" i="1"/>
  <c r="M24" i="1"/>
  <c r="R22" i="1"/>
  <c r="H9" i="2" l="1"/>
  <c r="K9" i="2"/>
  <c r="H11" i="3"/>
  <c r="H10" i="2"/>
  <c r="H12" i="2"/>
  <c r="J12" i="2" s="1"/>
  <c r="H11" i="2"/>
  <c r="H9" i="3"/>
  <c r="H10" i="3"/>
  <c r="I9" i="3"/>
  <c r="H12" i="3"/>
  <c r="I12" i="3"/>
  <c r="B25" i="4"/>
  <c r="B23" i="4"/>
  <c r="B20" i="4"/>
  <c r="B19" i="4"/>
  <c r="B15" i="4"/>
  <c r="B18" i="4" s="1"/>
  <c r="I15" i="3"/>
  <c r="G15" i="3"/>
  <c r="K15" i="3" s="1"/>
  <c r="I14" i="3"/>
  <c r="G14" i="3"/>
  <c r="I13" i="3"/>
  <c r="G13" i="3"/>
  <c r="D26" i="4"/>
  <c r="D25" i="4"/>
  <c r="D24" i="4"/>
  <c r="I15" i="2"/>
  <c r="G15" i="2"/>
  <c r="K15" i="2" s="1"/>
  <c r="I14" i="2"/>
  <c r="G14" i="2"/>
  <c r="K14" i="2" s="1"/>
  <c r="I13" i="2"/>
  <c r="G13" i="2"/>
  <c r="K13" i="2" s="1"/>
  <c r="C25" i="4"/>
  <c r="C23" i="4"/>
  <c r="I15" i="1"/>
  <c r="G15" i="1"/>
  <c r="K15" i="1" s="1"/>
  <c r="I14" i="1"/>
  <c r="G14" i="1"/>
  <c r="I13" i="1"/>
  <c r="G13" i="1"/>
  <c r="B24" i="4"/>
  <c r="D27" i="4" l="1"/>
  <c r="K13" i="3"/>
  <c r="D28" i="4"/>
  <c r="K14" i="3"/>
  <c r="H13" i="1"/>
  <c r="J13" i="1" s="1"/>
  <c r="K13" i="1"/>
  <c r="H14" i="1"/>
  <c r="K14" i="1"/>
  <c r="C28" i="4"/>
  <c r="H13" i="2"/>
  <c r="D23" i="4"/>
  <c r="E23" i="4" s="1"/>
  <c r="I23" i="4" s="1"/>
  <c r="H13" i="3"/>
  <c r="H15" i="3"/>
  <c r="J15" i="3" s="1"/>
  <c r="C26" i="4"/>
  <c r="H14" i="2"/>
  <c r="H15" i="2"/>
  <c r="J15" i="2" s="1"/>
  <c r="J11" i="1"/>
  <c r="J9" i="3"/>
  <c r="E25" i="4"/>
  <c r="I25" i="4" s="1"/>
  <c r="J12" i="1"/>
  <c r="J14" i="1"/>
  <c r="B26" i="4"/>
  <c r="H14" i="3"/>
  <c r="B27" i="4"/>
  <c r="C27" i="4"/>
  <c r="C24" i="4"/>
  <c r="E24" i="4" s="1"/>
  <c r="I24" i="4" s="1"/>
  <c r="H15" i="1"/>
  <c r="B28" i="4"/>
  <c r="E28" i="4" s="1"/>
  <c r="I28" i="4" s="1"/>
  <c r="J12" i="3"/>
  <c r="J13" i="2" l="1"/>
  <c r="J10" i="2"/>
  <c r="J9" i="2"/>
  <c r="J11" i="2"/>
  <c r="E26" i="4"/>
  <c r="I26" i="4" s="1"/>
  <c r="J10" i="3"/>
  <c r="J13" i="3"/>
  <c r="E27" i="4"/>
  <c r="I27" i="4" s="1"/>
  <c r="J14" i="2"/>
  <c r="J11" i="3"/>
  <c r="J14" i="3"/>
  <c r="J9" i="1"/>
  <c r="J15" i="1"/>
  <c r="J10" i="1"/>
</calcChain>
</file>

<file path=xl/sharedStrings.xml><?xml version="1.0" encoding="utf-8"?>
<sst xmlns="http://schemas.openxmlformats.org/spreadsheetml/2006/main" count="190" uniqueCount="95">
  <si>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</si>
  <si>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</si>
  <si>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</si>
  <si>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</si>
  <si>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</si>
  <si>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</si>
  <si>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</si>
  <si>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</si>
  <si>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</si>
  <si>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</si>
  <si>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</si>
  <si>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</si>
  <si>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</si>
  <si>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</si>
  <si>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</si>
  <si>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</si>
  <si>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</si>
  <si>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</si>
  <si>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</si>
  <si>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#00001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</si>
  <si>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</si>
  <si>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</si>
  <si>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</si>
  <si>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</si>
  <si>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</si>
  <si>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</si>
  <si>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</si>
  <si>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</si>
  <si>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</si>
  <si>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</si>
  <si>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</si>
  <si>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</si>
  <si>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</si>
  <si>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</si>
  <si>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</si>
  <si>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</si>
  <si>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</si>
  <si>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</si>
  <si>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</si>
  <si>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</si>
  <si>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</si>
  <si>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</si>
  <si>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</si>
  <si>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</si>
  <si>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</si>
  <si>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</si>
  <si>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</si>
  <si>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</si>
  <si>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</si>
  <si>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</si>
  <si>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</si>
  <si>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</si>
  <si>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</si>
  <si>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</si>
  <si>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</si>
  <si>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</si>
  <si>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</si>
  <si>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</si>
  <si>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</si>
  <si>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</si>
  <si>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</si>
  <si>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</si>
  <si>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</si>
  <si>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</si>
  <si>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</si>
  <si>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</si>
  <si>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</si>
  <si>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</si>
  <si>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</si>
  <si>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</si>
  <si>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</si>
  <si>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</si>
  <si>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</si>
  <si>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</si>
  <si>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</si>
  <si>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</si>
  <si>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</si>
  <si>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</si>
  <si>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</si>
  <si>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</si>
  <si>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</si>
  <si>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</si>
  <si>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</si>
  <si>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</si>
  <si>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</si>
  <si>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</si>
  <si>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</si>
  <si>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</si>
  <si>
    <t>Lower Limit</t>
  </si>
  <si>
    <t>Upper Limit</t>
  </si>
  <si>
    <t>portion</t>
  </si>
  <si>
    <t>To make on rig. Measure out slightly more than amount needed to dose rig to 1.0mg/l. Add clean fluid to rig to make 1.0mg/l.</t>
  </si>
  <si>
    <t>E.g. If rig has 10.65l and end up measuring out 10.72mg into an empty bottle. Add 70ml of extra fluid to rig.</t>
  </si>
  <si>
    <t>#00009</t>
  </si>
  <si>
    <t>11171-00009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</si>
</sst>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2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  <font>
      <sz val="10"/>
      <name val="Liberation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0" xfId="1" applyNumberFormat="1" applyFont="1"/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2" fontId="11" fillId="0" borderId="0" xfId="0" applyNumberFormat="1" applyFont="1" applyAlignment="1">
      <alignment horizontal="right" vertical="center" wrapText="1"/>
    </xf>
    <xf numFmtId="2" fontId="0" fillId="0" borderId="0" xfId="0" applyNumberFormat="1"/>
    <xf numFmtId="2" fontId="0" fillId="0" borderId="0" xfId="1" applyNumberFormat="1" applyFont="1"/>
    <xf numFmtId="2" fontId="3" fillId="0" borderId="0" xfId="1" applyNumberFormat="1" applyFont="1"/>
    <xf numFmtId="9" fontId="0" fillId="0" borderId="0" xfId="1" applyFont="1"/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-1.8243206679894035E-2</c:v>
                </c:pt>
                <c:pt idx="1">
                  <c:v>-4.0436219011990557E-2</c:v>
                </c:pt>
                <c:pt idx="2">
                  <c:v>4.9053973840179836E-2</c:v>
                </c:pt>
                <c:pt idx="3">
                  <c:v>0.15394677526630302</c:v>
                </c:pt>
                <c:pt idx="4">
                  <c:v>0.10424586810867836</c:v>
                </c:pt>
                <c:pt idx="5">
                  <c:v>3.9573059463133053E-2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-1.8243206679894035E-2</c:v>
                </c:pt>
                <c:pt idx="1">
                  <c:v>-4.0436219011990557E-2</c:v>
                </c:pt>
                <c:pt idx="2">
                  <c:v>4.9053973840179836E-2</c:v>
                </c:pt>
                <c:pt idx="3">
                  <c:v>0.15394677526630302</c:v>
                </c:pt>
                <c:pt idx="4">
                  <c:v>0.10424586810867836</c:v>
                </c:pt>
                <c:pt idx="5">
                  <c:v>3.9573059463133053E-2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tickLblSkip val="1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595312</xdr:colOff>
      <xdr:row>1</xdr:row>
      <xdr:rowOff>20411</xdr:rowOff>
    </xdr:from>
    <xdr:to>
      <xdr:col>10</xdr:col>
      <xdr:colOff>227920</xdr:colOff>
      <xdr:row>20</xdr:row>
      <xdr:rowOff>13607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0C3DD5-9E5F-578E-E2ED-70813485F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574902</xdr:colOff>
      <xdr:row>1</xdr:row>
      <xdr:rowOff>47625</xdr:rowOff>
    </xdr:from>
    <xdr:to>
      <xdr:col>10</xdr:col>
      <xdr:colOff>207510</xdr:colOff>
      <xdr:row>20</xdr:row>
      <xdr:rowOff>40821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A0232D-BD83-6086-4408-710F8D1A8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1"/>
  <sheetViews>
    <sheetView zoomScale="85" zoomScaleNormal="85" workbookViewId="0"/>
  </sheetViews>
  <sheetFormatPr defaultColWidth="11.53125" defaultRowHeight="12.75" x14ac:dyDescent="0.35"/>
  <sheetData>
    <row r="1" spans="1:49" x14ac:dyDescent="0.35">
      <c r="A1" t="s">
        <v>0</v>
      </c>
    </row>
    <row r="3" spans="1:49" ht="40.15" x14ac:dyDescent="1.05">
      <c r="A3" s="9" t="s">
        <v>13</v>
      </c>
      <c r="D3" s="9" t="s">
        <v>16</v>
      </c>
    </row>
    <row r="4" spans="1:49" x14ac:dyDescent="0.35">
      <c r="A4" s="11">
        <v>46098</v>
      </c>
    </row>
    <row r="5" spans="1:49" x14ac:dyDescent="0.35">
      <c r="A5" t="s">
        <v>93</v>
      </c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11</v>
      </c>
      <c r="B8" s="66">
        <v>4.1271380000000004</v>
      </c>
      <c r="C8" s="66">
        <v>4.6309800000000001</v>
      </c>
      <c r="D8" s="66">
        <v>4.5924880000000003</v>
      </c>
      <c r="E8" s="66">
        <v>4.624009</v>
      </c>
      <c r="F8" s="66">
        <v>4.6334869999999997</v>
      </c>
      <c r="G8" s="4"/>
      <c r="H8" s="4">
        <f>AVERAGE(B$8:F$8)*5</f>
        <v>22.608101999999999</v>
      </c>
      <c r="I8" s="5"/>
      <c r="K8" s="5"/>
    </row>
    <row r="9" spans="1:49" ht="13.15" x14ac:dyDescent="0.4">
      <c r="A9" s="3" t="s">
        <v>12</v>
      </c>
      <c r="B9" s="66">
        <v>6260.5126950000003</v>
      </c>
      <c r="C9" s="66">
        <v>6575.9296880000002</v>
      </c>
      <c r="D9" s="66">
        <v>6608.8354490000002</v>
      </c>
      <c r="E9" s="66">
        <v>6451.7607420000004</v>
      </c>
      <c r="F9" s="66">
        <v>6449.7856449999999</v>
      </c>
      <c r="G9" s="6">
        <f>AVERAGE(B9:F9)</f>
        <v>6469.3648438</v>
      </c>
      <c r="H9" s="7">
        <f t="shared" ref="H9:H15" si="0">G9*H$8</f>
        <v>146260.06026384447</v>
      </c>
      <c r="I9" s="8">
        <f t="shared" ref="I9:I15" si="1">STDEVP(B9:F9)/AVERAGE(B9:F9)</f>
        <v>1.8946667559172129E-2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 t="shared" ref="K9:K15" si="3">(MAX(B9:F9)-MIN(B9:F9))/G9</f>
        <v>5.3841878207536782E-2</v>
      </c>
    </row>
    <row r="10" spans="1:49" ht="13.15" x14ac:dyDescent="0.4">
      <c r="A10" s="3" t="s">
        <v>14</v>
      </c>
      <c r="B10" s="66">
        <v>3344.2060550000001</v>
      </c>
      <c r="C10" s="66">
        <v>3499.2592770000001</v>
      </c>
      <c r="D10" s="66">
        <v>3550.5805660000001</v>
      </c>
      <c r="E10" s="66">
        <v>3493.2890619999998</v>
      </c>
      <c r="F10" s="66">
        <v>3467.366943</v>
      </c>
      <c r="G10" s="6">
        <f t="shared" ref="G10:G15" si="4">AVERAGE(B10:F10)</f>
        <v>3470.9403806</v>
      </c>
      <c r="H10" s="10">
        <f t="shared" si="0"/>
        <v>78471.374160523614</v>
      </c>
      <c r="I10" s="5">
        <f t="shared" si="1"/>
        <v>1.9843121937431044E-2</v>
      </c>
      <c r="J10" s="5">
        <f t="shared" si="2"/>
        <v>0.11</v>
      </c>
      <c r="K10" s="8">
        <f t="shared" si="3"/>
        <v>5.9457809230455669E-2</v>
      </c>
    </row>
    <row r="11" spans="1:49" ht="13.15" x14ac:dyDescent="0.4">
      <c r="A11" s="3" t="s">
        <v>15</v>
      </c>
      <c r="B11" s="66">
        <v>1682.037231</v>
      </c>
      <c r="C11" s="66">
        <v>1778.6732179999999</v>
      </c>
      <c r="D11" s="66">
        <v>1783.3469239999999</v>
      </c>
      <c r="E11" s="66">
        <v>1768.1625979999999</v>
      </c>
      <c r="F11" s="66">
        <v>1781.379639</v>
      </c>
      <c r="G11" s="6">
        <f t="shared" si="4"/>
        <v>1758.7199219999998</v>
      </c>
      <c r="H11" s="10">
        <f t="shared" si="0"/>
        <v>39761.319386008036</v>
      </c>
      <c r="I11" s="5">
        <f t="shared" si="1"/>
        <v>2.2003223223668478E-2</v>
      </c>
      <c r="J11" s="5">
        <f t="shared" si="2"/>
        <v>0.11</v>
      </c>
      <c r="K11" s="8">
        <f t="shared" si="3"/>
        <v>5.7604222100805846E-2</v>
      </c>
    </row>
    <row r="12" spans="1:49" ht="13.15" x14ac:dyDescent="0.4">
      <c r="A12" s="3" t="s">
        <v>17</v>
      </c>
      <c r="B12" s="66">
        <v>857.01031499999999</v>
      </c>
      <c r="C12" s="66">
        <v>897.21832300000005</v>
      </c>
      <c r="D12" s="66">
        <v>898.205872</v>
      </c>
      <c r="E12" s="66">
        <v>885.37884499999996</v>
      </c>
      <c r="F12" s="66">
        <v>915.94079599999998</v>
      </c>
      <c r="G12" s="6">
        <f t="shared" si="4"/>
        <v>890.7508302</v>
      </c>
      <c r="H12" s="10">
        <f t="shared" si="0"/>
        <v>20138.185625746279</v>
      </c>
      <c r="I12" s="5">
        <f t="shared" si="1"/>
        <v>2.1879959962338991E-2</v>
      </c>
      <c r="J12" s="5">
        <f t="shared" si="2"/>
        <v>0.11</v>
      </c>
      <c r="K12" s="8">
        <f t="shared" si="3"/>
        <v>6.6158210581480276E-2</v>
      </c>
    </row>
    <row r="13" spans="1:49" ht="13.15" x14ac:dyDescent="0.4">
      <c r="A13" s="3" t="s">
        <v>18</v>
      </c>
      <c r="B13" s="66">
        <v>385.739441</v>
      </c>
      <c r="C13" s="66">
        <v>408.336884</v>
      </c>
      <c r="D13" s="66">
        <v>405.44470200000001</v>
      </c>
      <c r="E13" s="66">
        <v>408.73620599999998</v>
      </c>
      <c r="F13" s="66">
        <v>426.244843</v>
      </c>
      <c r="G13" s="6">
        <f t="shared" si="4"/>
        <v>406.9004152</v>
      </c>
      <c r="H13" s="10">
        <f t="shared" si="0"/>
        <v>9199.2460906839497</v>
      </c>
      <c r="I13" s="5">
        <f t="shared" si="1"/>
        <v>3.1655356071902493E-2</v>
      </c>
      <c r="J13" s="5">
        <f t="shared" si="2"/>
        <v>0.113</v>
      </c>
      <c r="K13" s="8">
        <f t="shared" si="3"/>
        <v>9.9546229217020485E-2</v>
      </c>
    </row>
    <row r="14" spans="1:49" ht="13.15" x14ac:dyDescent="0.4">
      <c r="A14" s="3" t="s">
        <v>20</v>
      </c>
      <c r="B14" s="66">
        <v>181.96629300000001</v>
      </c>
      <c r="C14" s="66">
        <v>191.96800200000001</v>
      </c>
      <c r="D14" s="66">
        <v>185.30259699999999</v>
      </c>
      <c r="E14" s="66">
        <v>193.55497700000001</v>
      </c>
      <c r="F14" s="66">
        <v>200.281113</v>
      </c>
      <c r="G14" s="6">
        <f t="shared" si="4"/>
        <v>190.61459640000001</v>
      </c>
      <c r="H14" s="12">
        <f t="shared" si="0"/>
        <v>4309.4342381000324</v>
      </c>
      <c r="I14" s="13">
        <f t="shared" si="1"/>
        <v>3.3749716513703981E-2</v>
      </c>
      <c r="J14" s="13">
        <f t="shared" si="2"/>
        <v>0.11900000000000001</v>
      </c>
      <c r="K14" s="8">
        <f t="shared" si="3"/>
        <v>9.6082988112656392E-2</v>
      </c>
      <c r="M14" s="14"/>
    </row>
    <row r="15" spans="1:49" ht="13.15" x14ac:dyDescent="0.4">
      <c r="A15" s="3" t="s">
        <v>21</v>
      </c>
      <c r="B15" s="67">
        <v>91.346587999999997</v>
      </c>
      <c r="C15" s="67">
        <v>87.886368000000004</v>
      </c>
      <c r="D15" s="67">
        <v>95.808623999999995</v>
      </c>
      <c r="E15" s="67">
        <v>98.183197000000007</v>
      </c>
      <c r="F15" s="67">
        <v>105.10442399999999</v>
      </c>
      <c r="G15" s="6">
        <f t="shared" si="4"/>
        <v>95.665840200000005</v>
      </c>
      <c r="H15" s="10">
        <f t="shared" si="0"/>
        <v>2162.8230731573003</v>
      </c>
      <c r="I15" s="5">
        <f t="shared" si="1"/>
        <v>6.1773993283359994E-2</v>
      </c>
      <c r="J15" s="5">
        <f t="shared" si="2"/>
        <v>0.11900000000000001</v>
      </c>
      <c r="K15" s="8">
        <f t="shared" si="3"/>
        <v>0.17998123430478155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5" thickBot="1" x14ac:dyDescent="0.45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48" t="s">
        <v>71</v>
      </c>
      <c r="L19" s="49"/>
      <c r="M19" s="49"/>
      <c r="N19" s="50"/>
      <c r="P19" s="1" t="s">
        <v>72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1" t="s">
        <v>73</v>
      </c>
      <c r="L20" s="52"/>
      <c r="M20" s="53">
        <v>100</v>
      </c>
      <c r="N20" s="54" t="s">
        <v>74</v>
      </c>
      <c r="P20" t="s">
        <v>75</v>
      </c>
      <c r="R20" s="1">
        <v>10.65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9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1" t="s">
        <v>76</v>
      </c>
      <c r="M21" s="53">
        <v>500</v>
      </c>
      <c r="N21" s="54" t="s">
        <v>49</v>
      </c>
      <c r="P21" t="s">
        <v>77</v>
      </c>
      <c r="R21" s="1">
        <v>1</v>
      </c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9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1" t="s">
        <v>78</v>
      </c>
      <c r="M22" s="55">
        <v>1</v>
      </c>
      <c r="N22" s="54" t="s">
        <v>74</v>
      </c>
      <c r="P22" t="s">
        <v>79</v>
      </c>
      <c r="R22" s="1">
        <f>R21*R20/1000</f>
        <v>1.065E-2</v>
      </c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35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1"/>
      <c r="N23" s="54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9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1" t="s">
        <v>80</v>
      </c>
      <c r="M24" s="56">
        <f>M22/M20*M21</f>
        <v>5</v>
      </c>
      <c r="N24" s="54" t="s">
        <v>49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9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1" t="s">
        <v>81</v>
      </c>
      <c r="M25" s="57">
        <f>M21*(1-M22/M20)</f>
        <v>495</v>
      </c>
      <c r="N25" s="54" t="s">
        <v>49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ht="13.15" thickBot="1" x14ac:dyDescent="0.4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8"/>
      <c r="L26" s="59"/>
      <c r="M26" s="59"/>
      <c r="N26" s="60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</row>
    <row r="28" spans="1:49" ht="13.15" x14ac:dyDescent="0.4">
      <c r="A28" s="3"/>
      <c r="G28" s="15"/>
      <c r="H28" s="10"/>
      <c r="I28" s="5"/>
      <c r="J28" s="5"/>
      <c r="K28" s="1" t="s">
        <v>82</v>
      </c>
    </row>
    <row r="29" spans="1:49" ht="13.15" x14ac:dyDescent="0.4">
      <c r="A29" s="3"/>
      <c r="G29" s="15"/>
      <c r="H29" s="10"/>
      <c r="I29" s="5"/>
      <c r="J29" s="5"/>
      <c r="K29" t="s">
        <v>83</v>
      </c>
      <c r="L29" s="52"/>
      <c r="M29" s="2">
        <v>100</v>
      </c>
      <c r="P29" t="s">
        <v>91</v>
      </c>
    </row>
    <row r="30" spans="1:49" ht="13.15" x14ac:dyDescent="0.4">
      <c r="A30" s="3"/>
      <c r="G30" s="15"/>
      <c r="H30" s="10"/>
      <c r="I30" s="5"/>
      <c r="J30" s="5"/>
      <c r="K30" t="s">
        <v>84</v>
      </c>
      <c r="M30" s="2">
        <v>500</v>
      </c>
      <c r="P30" t="s">
        <v>92</v>
      </c>
    </row>
    <row r="31" spans="1:49" ht="13.15" x14ac:dyDescent="0.4">
      <c r="A31" s="3" t="s">
        <v>90</v>
      </c>
      <c r="B31" s="3" t="s">
        <v>11</v>
      </c>
      <c r="C31" s="3" t="s">
        <v>12</v>
      </c>
      <c r="D31" s="3" t="s">
        <v>14</v>
      </c>
      <c r="E31" s="3" t="s">
        <v>15</v>
      </c>
      <c r="F31" s="3" t="s">
        <v>17</v>
      </c>
      <c r="G31" s="3" t="s">
        <v>18</v>
      </c>
      <c r="H31" s="3" t="s">
        <v>20</v>
      </c>
      <c r="I31" s="5" t="s">
        <v>21</v>
      </c>
      <c r="J31" s="5"/>
      <c r="K31" t="s">
        <v>85</v>
      </c>
      <c r="M31" s="61">
        <v>6.5</v>
      </c>
    </row>
    <row r="32" spans="1:49" x14ac:dyDescent="0.35">
      <c r="A32" s="64">
        <v>1</v>
      </c>
      <c r="B32" s="66">
        <v>4.1271380000000004</v>
      </c>
      <c r="C32" s="66">
        <v>6260.5126950000003</v>
      </c>
      <c r="D32" s="66">
        <v>3344.2060550000001</v>
      </c>
      <c r="E32" s="66">
        <v>1682.037231</v>
      </c>
      <c r="F32" s="66">
        <v>857.01031499999999</v>
      </c>
      <c r="G32" s="66">
        <v>385.739441</v>
      </c>
      <c r="H32" s="66">
        <v>181.96629300000001</v>
      </c>
      <c r="I32" s="67">
        <v>91.346587999999997</v>
      </c>
      <c r="J32" s="5"/>
      <c r="K32" t="s">
        <v>80</v>
      </c>
      <c r="M32">
        <f>M31*M30/M29</f>
        <v>32.5</v>
      </c>
    </row>
    <row r="33" spans="1:13" ht="13.15" x14ac:dyDescent="0.4">
      <c r="A33" s="64">
        <v>2</v>
      </c>
      <c r="B33" s="66">
        <v>4.6309800000000001</v>
      </c>
      <c r="C33" s="66">
        <v>6575.9296880000002</v>
      </c>
      <c r="D33" s="66">
        <v>3499.2592770000001</v>
      </c>
      <c r="E33" s="66">
        <v>1778.6732179999999</v>
      </c>
      <c r="F33" s="66">
        <v>897.21832300000005</v>
      </c>
      <c r="G33" s="66">
        <v>408.336884</v>
      </c>
      <c r="H33" s="66">
        <v>191.96800200000001</v>
      </c>
      <c r="I33" s="67">
        <v>87.886368000000004</v>
      </c>
      <c r="J33" s="5"/>
      <c r="K33" t="s">
        <v>86</v>
      </c>
      <c r="M33" s="1">
        <v>3.27</v>
      </c>
    </row>
    <row r="34" spans="1:13" x14ac:dyDescent="0.35">
      <c r="A34" s="64">
        <v>3</v>
      </c>
      <c r="B34" s="66">
        <v>4.5924880000000003</v>
      </c>
      <c r="C34" s="66">
        <v>6608.8354490000002</v>
      </c>
      <c r="D34" s="66">
        <v>3550.5805660000001</v>
      </c>
      <c r="E34" s="66">
        <v>1783.3469239999999</v>
      </c>
      <c r="F34" s="66">
        <v>898.205872</v>
      </c>
      <c r="G34" s="66">
        <v>405.44470200000001</v>
      </c>
      <c r="H34" s="66">
        <v>185.30259699999999</v>
      </c>
      <c r="I34" s="67">
        <v>95.808623999999995</v>
      </c>
      <c r="J34" s="5"/>
      <c r="K34" t="s">
        <v>87</v>
      </c>
      <c r="M34" s="62">
        <f>M33*M29/(M30+M33)</f>
        <v>0.64975063087408347</v>
      </c>
    </row>
    <row r="35" spans="1:13" x14ac:dyDescent="0.35">
      <c r="A35" s="64">
        <v>4</v>
      </c>
      <c r="B35" s="66">
        <v>4.624009</v>
      </c>
      <c r="C35" s="66">
        <v>6451.7607420000004</v>
      </c>
      <c r="D35" s="66">
        <v>3493.2890619999998</v>
      </c>
      <c r="E35" s="66">
        <v>1768.1625979999999</v>
      </c>
      <c r="F35" s="66">
        <v>885.37884499999996</v>
      </c>
      <c r="G35" s="66">
        <v>408.73620599999998</v>
      </c>
      <c r="H35" s="66">
        <v>193.55497700000001</v>
      </c>
      <c r="I35" s="67">
        <v>98.183197000000007</v>
      </c>
      <c r="J35" s="5"/>
      <c r="K35" s="5"/>
      <c r="M35" s="14"/>
    </row>
    <row r="36" spans="1:13" x14ac:dyDescent="0.35">
      <c r="A36" s="64">
        <v>5</v>
      </c>
      <c r="B36" s="66">
        <v>4.6334869999999997</v>
      </c>
      <c r="C36" s="66">
        <v>6449.7856449999999</v>
      </c>
      <c r="D36" s="66">
        <v>3467.366943</v>
      </c>
      <c r="E36" s="66">
        <v>1781.379639</v>
      </c>
      <c r="F36" s="66">
        <v>915.94079599999998</v>
      </c>
      <c r="G36" s="66">
        <v>426.244843</v>
      </c>
      <c r="H36" s="66">
        <v>200.281113</v>
      </c>
      <c r="I36" s="67">
        <v>105.10442399999999</v>
      </c>
      <c r="J36" s="5"/>
      <c r="K36" s="5"/>
      <c r="M36" s="14"/>
    </row>
    <row r="37" spans="1:13" x14ac:dyDescent="0.35">
      <c r="A37">
        <v>1</v>
      </c>
      <c r="B37" s="67">
        <v>4.1133730000000002</v>
      </c>
      <c r="C37" s="67">
        <v>6221.4145509999998</v>
      </c>
      <c r="D37" s="67">
        <v>3326.2238769999999</v>
      </c>
      <c r="E37" s="67">
        <v>1672.5931399999999</v>
      </c>
      <c r="F37" s="67">
        <v>863.76794400000006</v>
      </c>
      <c r="G37" s="67">
        <v>385.32852200000002</v>
      </c>
      <c r="H37" s="67">
        <v>182.81832900000001</v>
      </c>
      <c r="I37" s="67">
        <v>91.652266999999995</v>
      </c>
      <c r="J37" s="5"/>
      <c r="K37" s="5"/>
    </row>
    <row r="38" spans="1:13" x14ac:dyDescent="0.35">
      <c r="A38">
        <v>2</v>
      </c>
      <c r="B38" s="67">
        <v>4.6389480000000001</v>
      </c>
      <c r="C38" s="67">
        <v>6093.4072269999997</v>
      </c>
      <c r="D38" s="67">
        <v>3258.9284670000002</v>
      </c>
      <c r="E38" s="67">
        <v>1644.9849850000001</v>
      </c>
      <c r="F38" s="67">
        <v>834.88757299999997</v>
      </c>
      <c r="G38" s="67">
        <v>372.49826000000002</v>
      </c>
      <c r="H38" s="67">
        <v>169.00382999999999</v>
      </c>
      <c r="I38" s="67">
        <v>84.070785999999998</v>
      </c>
      <c r="J38" s="5"/>
      <c r="K38" s="5"/>
    </row>
    <row r="39" spans="1:13" x14ac:dyDescent="0.35">
      <c r="A39">
        <v>3</v>
      </c>
      <c r="B39" s="67">
        <v>4.5906500000000001</v>
      </c>
      <c r="C39" s="67">
        <v>6618.6708980000003</v>
      </c>
      <c r="D39" s="67">
        <v>3496.890625</v>
      </c>
      <c r="E39" s="67">
        <v>1757.0498050000001</v>
      </c>
      <c r="F39" s="67">
        <v>875.03955099999996</v>
      </c>
      <c r="G39" s="67">
        <v>401.468231</v>
      </c>
      <c r="H39" s="67">
        <v>189.73348999999999</v>
      </c>
      <c r="I39" s="67">
        <v>93.232994000000005</v>
      </c>
    </row>
    <row r="40" spans="1:13" x14ac:dyDescent="0.35">
      <c r="A40">
        <v>4</v>
      </c>
      <c r="B40" s="67">
        <v>4.6388699999999998</v>
      </c>
      <c r="C40" s="67">
        <v>5744.2871089999999</v>
      </c>
      <c r="D40" s="67">
        <v>3092.563721</v>
      </c>
      <c r="E40" s="67">
        <v>1587.240112</v>
      </c>
      <c r="F40" s="67">
        <v>818.30279499999995</v>
      </c>
      <c r="G40" s="67">
        <v>379.40277099999997</v>
      </c>
      <c r="H40" s="67">
        <v>174.18035900000001</v>
      </c>
      <c r="I40" s="67">
        <v>83.425490999999994</v>
      </c>
    </row>
    <row r="41" spans="1:13" x14ac:dyDescent="0.35">
      <c r="A41">
        <v>5</v>
      </c>
      <c r="B41" s="67">
        <v>4.6528229999999997</v>
      </c>
      <c r="C41" s="67">
        <v>5951.0102539999998</v>
      </c>
      <c r="D41" s="67">
        <v>3201.0671390000002</v>
      </c>
      <c r="E41" s="67">
        <v>1627.184082</v>
      </c>
      <c r="F41" s="67">
        <v>838.20074499999998</v>
      </c>
      <c r="G41" s="67">
        <v>380.62908900000002</v>
      </c>
      <c r="H41" s="67">
        <v>180.96539300000001</v>
      </c>
      <c r="I41" s="67">
        <v>90.267769000000001</v>
      </c>
    </row>
    <row r="42" spans="1:13" x14ac:dyDescent="0.35">
      <c r="A42">
        <v>1</v>
      </c>
      <c r="B42" s="67">
        <v>4.0532149999999998</v>
      </c>
      <c r="C42" s="67">
        <v>5444.5673829999996</v>
      </c>
      <c r="D42" s="67">
        <v>2890.2985840000001</v>
      </c>
      <c r="E42" s="67">
        <v>1454.4011230000001</v>
      </c>
      <c r="F42" s="67">
        <v>739.166382</v>
      </c>
      <c r="G42" s="67">
        <v>349.10562099999999</v>
      </c>
      <c r="H42" s="67">
        <v>166.781204</v>
      </c>
      <c r="I42" s="67">
        <v>81.663573999999997</v>
      </c>
    </row>
    <row r="43" spans="1:13" x14ac:dyDescent="0.35">
      <c r="A43">
        <v>2</v>
      </c>
      <c r="B43" s="67">
        <v>4.6561149999999998</v>
      </c>
      <c r="C43" s="67">
        <v>5712.4882809999999</v>
      </c>
      <c r="D43" s="67">
        <v>3037.0815429999998</v>
      </c>
      <c r="E43" s="67">
        <v>1545.2797849999999</v>
      </c>
      <c r="F43" s="67">
        <v>787.13696300000004</v>
      </c>
      <c r="G43" s="67">
        <v>364.68173200000001</v>
      </c>
      <c r="H43" s="67">
        <v>163.44099399999999</v>
      </c>
      <c r="I43" s="67">
        <v>83.975594000000001</v>
      </c>
    </row>
    <row r="44" spans="1:13" ht="13.15" x14ac:dyDescent="0.4">
      <c r="A44" s="1">
        <v>3</v>
      </c>
      <c r="B44" s="67">
        <v>4.6208450000000001</v>
      </c>
      <c r="C44" s="67">
        <v>6021.1928710000002</v>
      </c>
      <c r="D44" s="67">
        <v>3242.4802249999998</v>
      </c>
      <c r="E44" s="67">
        <v>1659.8695070000001</v>
      </c>
      <c r="F44" s="67">
        <v>836.85986300000002</v>
      </c>
      <c r="G44" s="67">
        <v>364.65188599999999</v>
      </c>
      <c r="H44" s="67">
        <v>166.419769</v>
      </c>
      <c r="I44" s="67">
        <v>75.310897999999995</v>
      </c>
    </row>
    <row r="45" spans="1:13" x14ac:dyDescent="0.35">
      <c r="A45">
        <v>4</v>
      </c>
      <c r="B45" s="67">
        <v>4.6467489999999998</v>
      </c>
      <c r="C45" s="67">
        <v>5937.0532229999999</v>
      </c>
      <c r="D45" s="67">
        <v>3200.0864259999998</v>
      </c>
      <c r="E45" s="67">
        <v>1617.044312</v>
      </c>
      <c r="F45" s="67">
        <v>828.53619400000002</v>
      </c>
      <c r="G45" s="67">
        <v>374.88571200000001</v>
      </c>
      <c r="H45" s="67">
        <v>169.36570699999999</v>
      </c>
      <c r="I45" s="67">
        <v>81.347183000000001</v>
      </c>
    </row>
    <row r="46" spans="1:13" x14ac:dyDescent="0.35">
      <c r="A46">
        <v>5</v>
      </c>
      <c r="B46" s="67">
        <v>4.6440890000000001</v>
      </c>
      <c r="C46" s="67">
        <v>6045.7495120000003</v>
      </c>
      <c r="D46" s="67">
        <v>3236.3718260000001</v>
      </c>
      <c r="E46" s="67">
        <v>1624.6457519999999</v>
      </c>
      <c r="F46" s="67">
        <v>823.19695999999999</v>
      </c>
      <c r="G46" s="67">
        <v>374.45446800000002</v>
      </c>
      <c r="H46" s="67">
        <v>170.97001599999999</v>
      </c>
      <c r="I46" s="67">
        <v>76.441254000000001</v>
      </c>
    </row>
    <row r="47" spans="1:13" x14ac:dyDescent="0.35">
      <c r="A47">
        <v>1</v>
      </c>
      <c r="B47" s="67">
        <v>4.1354329999999999</v>
      </c>
      <c r="C47" s="67">
        <v>5889.3466799999997</v>
      </c>
      <c r="D47" s="67">
        <v>3219.0097660000001</v>
      </c>
      <c r="E47" s="67">
        <v>1701.1518550000001</v>
      </c>
      <c r="F47" s="67">
        <v>926.62603799999999</v>
      </c>
      <c r="G47" s="67">
        <v>467.42382800000001</v>
      </c>
      <c r="H47" s="67">
        <v>244.23075900000001</v>
      </c>
      <c r="I47" s="67">
        <v>137.83320599999999</v>
      </c>
    </row>
    <row r="48" spans="1:13" x14ac:dyDescent="0.35">
      <c r="A48">
        <v>2</v>
      </c>
      <c r="B48" s="67">
        <v>4.6484069999999997</v>
      </c>
      <c r="C48" s="67">
        <v>5935.1523440000001</v>
      </c>
      <c r="D48" s="67">
        <v>3246.9191890000002</v>
      </c>
      <c r="E48" s="67">
        <v>1702.9492190000001</v>
      </c>
      <c r="F48" s="67">
        <v>919.885132</v>
      </c>
      <c r="G48" s="67">
        <v>480.16455100000002</v>
      </c>
      <c r="H48" s="68">
        <v>252.12941000000001</v>
      </c>
      <c r="I48" s="67">
        <v>146.50181599999999</v>
      </c>
    </row>
    <row r="49" spans="1:10" ht="13.15" x14ac:dyDescent="0.4">
      <c r="A49" s="1">
        <v>3</v>
      </c>
      <c r="B49" s="67">
        <v>4.5963770000000004</v>
      </c>
      <c r="C49" s="67">
        <v>6113.5107420000004</v>
      </c>
      <c r="D49" s="67">
        <v>3294.5515140000002</v>
      </c>
      <c r="E49" s="67">
        <v>1730.05835</v>
      </c>
      <c r="F49" s="67">
        <v>941.39361599999995</v>
      </c>
      <c r="G49" s="67">
        <v>476.462219</v>
      </c>
      <c r="H49" s="69">
        <v>249.761932</v>
      </c>
      <c r="I49" s="67">
        <v>146.85479699999999</v>
      </c>
    </row>
    <row r="50" spans="1:10" x14ac:dyDescent="0.35">
      <c r="A50">
        <v>4</v>
      </c>
      <c r="B50" s="67">
        <v>4.6201369999999997</v>
      </c>
      <c r="C50" s="67">
        <v>6399.5932620000003</v>
      </c>
      <c r="D50" s="67">
        <v>3491.8876949999999</v>
      </c>
      <c r="E50" s="67">
        <v>1839.772217</v>
      </c>
      <c r="F50" s="67">
        <v>1007.7622679999999</v>
      </c>
      <c r="G50" s="67">
        <v>503.44824199999999</v>
      </c>
      <c r="H50" s="67">
        <v>263.41207900000001</v>
      </c>
      <c r="I50" s="67">
        <v>149.34620699999999</v>
      </c>
    </row>
    <row r="51" spans="1:10" x14ac:dyDescent="0.35">
      <c r="A51">
        <v>5</v>
      </c>
      <c r="B51" s="67">
        <v>4.6290829999999996</v>
      </c>
      <c r="C51" s="67">
        <v>6445.9848629999997</v>
      </c>
      <c r="D51" s="67">
        <v>3515.1669919999999</v>
      </c>
      <c r="E51" s="67">
        <v>1839.025024</v>
      </c>
      <c r="F51" s="67">
        <v>980.53973399999995</v>
      </c>
      <c r="G51" s="67">
        <v>489.51379400000002</v>
      </c>
      <c r="H51" s="67">
        <v>259.87866200000002</v>
      </c>
      <c r="I51" s="67">
        <v>151.00183100000001</v>
      </c>
    </row>
    <row r="52" spans="1:10" x14ac:dyDescent="0.35">
      <c r="A52">
        <v>1</v>
      </c>
      <c r="B52" s="67">
        <v>7.9410809999999996</v>
      </c>
      <c r="C52" s="67">
        <v>6039.2280270000001</v>
      </c>
      <c r="D52" s="67">
        <v>3148.8156739999999</v>
      </c>
      <c r="E52" s="67">
        <v>1553.440918</v>
      </c>
      <c r="F52" s="67">
        <v>810.09118699999999</v>
      </c>
      <c r="G52" s="67">
        <v>413.29385400000001</v>
      </c>
      <c r="H52" s="67">
        <v>226.92124899999999</v>
      </c>
      <c r="I52" s="67">
        <v>142.04615799999999</v>
      </c>
    </row>
    <row r="53" spans="1:10" x14ac:dyDescent="0.35">
      <c r="A53">
        <v>2</v>
      </c>
      <c r="B53" s="67">
        <v>8.5984940000000005</v>
      </c>
      <c r="C53" s="67">
        <v>6091.1831050000001</v>
      </c>
      <c r="D53" s="67">
        <v>3212.423096</v>
      </c>
      <c r="E53" s="67">
        <v>1619.4697269999999</v>
      </c>
      <c r="F53" s="67">
        <v>845.72955300000001</v>
      </c>
      <c r="G53" s="67">
        <v>437.51849399999998</v>
      </c>
      <c r="H53" s="67">
        <v>239.576843</v>
      </c>
      <c r="I53" s="67">
        <v>148.51438899999999</v>
      </c>
    </row>
    <row r="54" spans="1:10" x14ac:dyDescent="0.35">
      <c r="A54">
        <v>3</v>
      </c>
      <c r="B54" s="67">
        <v>8.5434020000000004</v>
      </c>
      <c r="C54" s="67">
        <v>6070.064453</v>
      </c>
      <c r="D54" s="67">
        <v>3222.6040039999998</v>
      </c>
      <c r="E54" s="67">
        <v>1580.5179439999999</v>
      </c>
      <c r="F54" s="67">
        <v>836.08380099999999</v>
      </c>
      <c r="G54" s="67">
        <v>421.14370700000001</v>
      </c>
      <c r="H54" s="67">
        <v>228.01222200000001</v>
      </c>
      <c r="I54" s="67">
        <v>143.15141299999999</v>
      </c>
    </row>
    <row r="55" spans="1:10" x14ac:dyDescent="0.35">
      <c r="A55">
        <v>4</v>
      </c>
      <c r="B55" s="67">
        <v>8.5981009999999998</v>
      </c>
      <c r="C55" s="67">
        <v>5781.5092770000001</v>
      </c>
      <c r="D55" s="67">
        <v>3032.0649410000001</v>
      </c>
      <c r="E55" s="67">
        <v>1529.4075929999999</v>
      </c>
      <c r="F55" s="67">
        <v>813.20288100000005</v>
      </c>
      <c r="G55" s="67">
        <v>415.78949</v>
      </c>
      <c r="H55" s="67">
        <v>230.86494400000001</v>
      </c>
      <c r="I55" s="67">
        <v>144.683121</v>
      </c>
    </row>
    <row r="56" spans="1:10" x14ac:dyDescent="0.35">
      <c r="A56">
        <v>5</v>
      </c>
      <c r="B56" s="67">
        <v>8.6309620000000002</v>
      </c>
      <c r="C56" s="67">
        <v>3820.3156739999999</v>
      </c>
      <c r="D56" s="67">
        <v>2035.6942140000001</v>
      </c>
      <c r="E56" s="67">
        <v>1029.085693</v>
      </c>
      <c r="F56" s="67">
        <v>547.79522699999995</v>
      </c>
      <c r="G56" s="67">
        <v>292.78311200000002</v>
      </c>
      <c r="H56" s="67">
        <v>159.42602500000001</v>
      </c>
      <c r="I56" s="67">
        <v>96.281265000000005</v>
      </c>
    </row>
    <row r="57" spans="1:10" x14ac:dyDescent="0.35">
      <c r="A57">
        <v>1</v>
      </c>
      <c r="B57" s="67">
        <v>7.8957769999999998</v>
      </c>
      <c r="C57" s="67">
        <v>5623.5122069999998</v>
      </c>
      <c r="D57" s="67">
        <v>2951.9577640000002</v>
      </c>
      <c r="E57" s="67">
        <v>1501.4354249999999</v>
      </c>
      <c r="F57" s="67">
        <v>795.99511700000005</v>
      </c>
      <c r="G57" s="67">
        <v>412.24566700000003</v>
      </c>
      <c r="H57" s="67">
        <v>228.223251</v>
      </c>
      <c r="I57" s="67">
        <v>142.10127299999999</v>
      </c>
    </row>
    <row r="58" spans="1:10" x14ac:dyDescent="0.35">
      <c r="A58">
        <v>2</v>
      </c>
      <c r="B58" s="67">
        <v>8.6034609999999994</v>
      </c>
      <c r="C58" s="67">
        <v>5766.3999020000001</v>
      </c>
      <c r="D58" s="67">
        <v>3024.0153810000002</v>
      </c>
      <c r="E58" s="67">
        <v>1517.7612300000001</v>
      </c>
      <c r="F58" s="67">
        <v>799.67816200000004</v>
      </c>
      <c r="G58" s="67">
        <v>414.71679699999999</v>
      </c>
      <c r="H58" s="67">
        <v>230.953552</v>
      </c>
      <c r="I58" s="67">
        <v>144.941666</v>
      </c>
    </row>
    <row r="59" spans="1:10" x14ac:dyDescent="0.35">
      <c r="A59">
        <v>3</v>
      </c>
      <c r="B59" s="67">
        <v>8.5462530000000001</v>
      </c>
      <c r="C59" s="67">
        <v>5736.4321289999998</v>
      </c>
      <c r="D59" s="67">
        <v>3020.5048830000001</v>
      </c>
      <c r="E59" s="67">
        <v>1517.7410890000001</v>
      </c>
      <c r="F59" s="67">
        <v>800.70178199999998</v>
      </c>
      <c r="G59" s="67">
        <v>418.19494600000002</v>
      </c>
      <c r="H59" s="67">
        <v>230.86140399999999</v>
      </c>
      <c r="I59" s="67">
        <v>145.560867</v>
      </c>
    </row>
    <row r="60" spans="1:10" x14ac:dyDescent="0.35">
      <c r="A60">
        <v>4</v>
      </c>
      <c r="B60" s="67">
        <v>8.6071050000000007</v>
      </c>
      <c r="C60" s="67">
        <v>5597.1201170000004</v>
      </c>
      <c r="D60" s="67">
        <v>2966.2702640000002</v>
      </c>
      <c r="E60" s="67">
        <v>1484.5874020000001</v>
      </c>
      <c r="F60" s="67">
        <v>786.675659</v>
      </c>
      <c r="G60" s="67">
        <v>414.19268799999998</v>
      </c>
      <c r="H60" s="67">
        <v>228.18356299999999</v>
      </c>
      <c r="I60" s="67">
        <v>143.253738</v>
      </c>
    </row>
    <row r="61" spans="1:10" x14ac:dyDescent="0.35">
      <c r="A61">
        <v>5</v>
      </c>
      <c r="B61" s="67">
        <v>8.6337879999999991</v>
      </c>
      <c r="C61" s="67">
        <v>4193.0610349999997</v>
      </c>
      <c r="D61" s="67">
        <v>2246.6384280000002</v>
      </c>
      <c r="E61" s="67">
        <v>1163.799683</v>
      </c>
      <c r="F61" s="67">
        <v>614.56219499999997</v>
      </c>
      <c r="G61" s="67">
        <v>315.96792599999998</v>
      </c>
      <c r="H61" s="67">
        <v>173.620193</v>
      </c>
      <c r="I61" s="67">
        <v>102.967552</v>
      </c>
    </row>
    <row r="62" spans="1:10" x14ac:dyDescent="0.35">
      <c r="A62">
        <v>1</v>
      </c>
      <c r="B62" s="67">
        <v>7.9547509999999999</v>
      </c>
      <c r="C62" s="67">
        <v>5650.9624020000001</v>
      </c>
      <c r="D62" s="67">
        <v>2956.094971</v>
      </c>
      <c r="E62" s="67">
        <v>1484.7730710000001</v>
      </c>
      <c r="F62" s="67">
        <v>792.35668899999996</v>
      </c>
      <c r="G62" s="67">
        <v>419.49774200000002</v>
      </c>
      <c r="H62" s="67">
        <v>238.850967</v>
      </c>
      <c r="I62" s="67">
        <v>150.350403</v>
      </c>
    </row>
    <row r="63" spans="1:10" x14ac:dyDescent="0.35">
      <c r="A63">
        <v>2</v>
      </c>
      <c r="B63" s="67">
        <v>8.6228660000000001</v>
      </c>
      <c r="C63" s="67">
        <v>5458.6259769999997</v>
      </c>
      <c r="D63" s="67">
        <v>2841.9785160000001</v>
      </c>
      <c r="E63" s="67">
        <v>1427.1357419999999</v>
      </c>
      <c r="F63" s="67">
        <v>756.59301800000003</v>
      </c>
      <c r="G63" s="67">
        <v>391.98104899999998</v>
      </c>
      <c r="H63" s="67">
        <v>214.54583700000001</v>
      </c>
      <c r="I63" s="67">
        <v>135.91769400000001</v>
      </c>
    </row>
    <row r="64" spans="1:10" x14ac:dyDescent="0.35">
      <c r="A64">
        <v>3</v>
      </c>
      <c r="B64" s="67">
        <v>8.5697240000000008</v>
      </c>
      <c r="C64" s="67">
        <v>5327.0092770000001</v>
      </c>
      <c r="D64" s="67">
        <v>2804.8745119999999</v>
      </c>
      <c r="E64" s="67">
        <v>1403.429077</v>
      </c>
      <c r="F64" s="67">
        <v>741.79748500000005</v>
      </c>
      <c r="G64" s="67">
        <v>381.57586700000002</v>
      </c>
      <c r="H64" s="67">
        <v>209.34162900000001</v>
      </c>
      <c r="I64" s="67">
        <v>137.227295</v>
      </c>
      <c r="J64" s="14"/>
    </row>
    <row r="65" spans="1:11" x14ac:dyDescent="0.35">
      <c r="A65">
        <v>4</v>
      </c>
      <c r="B65" s="67">
        <v>8.6153069999999996</v>
      </c>
      <c r="C65" s="67">
        <v>5529.8090819999998</v>
      </c>
      <c r="D65" s="67">
        <v>2905.0620119999999</v>
      </c>
      <c r="E65" s="67">
        <v>1458.2185059999999</v>
      </c>
      <c r="F65" s="67">
        <v>770.83734100000004</v>
      </c>
      <c r="G65" s="67">
        <v>409.38763399999999</v>
      </c>
      <c r="H65" s="67">
        <v>231.33244300000001</v>
      </c>
      <c r="I65" s="67">
        <v>144.62631200000001</v>
      </c>
    </row>
    <row r="66" spans="1:11" x14ac:dyDescent="0.35">
      <c r="A66">
        <v>5</v>
      </c>
      <c r="B66" s="67">
        <v>8.6371149999999997</v>
      </c>
      <c r="C66" s="67">
        <v>4258.9448240000002</v>
      </c>
      <c r="D66" s="67">
        <v>2280.6225589999999</v>
      </c>
      <c r="E66" s="67">
        <v>1168.214111</v>
      </c>
      <c r="F66" s="67">
        <v>626.82965100000001</v>
      </c>
      <c r="G66" s="67">
        <v>330.20281999999997</v>
      </c>
      <c r="H66" s="67">
        <v>185.13125600000001</v>
      </c>
      <c r="I66" s="67">
        <v>115.895172</v>
      </c>
    </row>
    <row r="69" spans="1:11" x14ac:dyDescent="0.35">
      <c r="J69" s="27"/>
    </row>
    <row r="70" spans="1:11" ht="13.15" x14ac:dyDescent="0.4">
      <c r="J70" s="31"/>
    </row>
    <row r="71" spans="1:11" ht="13.15" x14ac:dyDescent="0.4">
      <c r="K71" s="2"/>
    </row>
  </sheetData>
  <conditionalFormatting sqref="H9:H18 H28:H30">
    <cfRule type="cellIs" dxfId="13" priority="3" operator="greaterThan">
      <formula>1000</formula>
    </cfRule>
  </conditionalFormatting>
  <conditionalFormatting sqref="K9:K15">
    <cfRule type="cellIs" dxfId="12" priority="1" operator="lessThan">
      <formula>"J15"</formula>
    </cfRule>
    <cfRule type="cellIs" dxfId="11" priority="4" operator="lessThan">
      <formula>J11</formula>
    </cfRule>
  </conditionalFormatting>
  <conditionalFormatting sqref="K14">
    <cfRule type="cellIs" dxfId="10" priority="2" operator="lessThan">
      <formula>"J14"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C15" sqref="C15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9"/>
    </row>
    <row r="4" spans="1:49" ht="40.15" x14ac:dyDescent="1.05">
      <c r="A4" s="1" t="s">
        <v>33</v>
      </c>
      <c r="O4" s="9" t="s">
        <v>16</v>
      </c>
    </row>
    <row r="5" spans="1:49" x14ac:dyDescent="0.35">
      <c r="O5" s="11">
        <v>46016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35</v>
      </c>
      <c r="B8" s="67">
        <v>4.0532149999999998</v>
      </c>
      <c r="C8" s="67">
        <v>4.6561149999999998</v>
      </c>
      <c r="D8" s="67">
        <v>4.6208450000000001</v>
      </c>
      <c r="E8" s="67">
        <v>4.6467489999999998</v>
      </c>
      <c r="F8" s="67">
        <v>4.6440890000000001</v>
      </c>
      <c r="G8" s="4"/>
      <c r="H8" s="4">
        <f>AVERAGE(B$8:F$8)*5</f>
        <v>22.621013000000005</v>
      </c>
      <c r="I8" s="5"/>
      <c r="K8" s="5"/>
    </row>
    <row r="9" spans="1:49" ht="13.15" x14ac:dyDescent="0.4">
      <c r="A9" s="17" t="s">
        <v>12</v>
      </c>
      <c r="B9" s="67"/>
      <c r="C9" s="67">
        <v>5712.4882809999999</v>
      </c>
      <c r="D9" s="67">
        <v>6021.1928710000002</v>
      </c>
      <c r="E9" s="67">
        <v>5937.0532229999999</v>
      </c>
      <c r="F9" s="67">
        <v>6045.7495120000003</v>
      </c>
      <c r="G9" s="6">
        <f>AVERAGE(B9:F9)</f>
        <v>5929.1209717500005</v>
      </c>
      <c r="H9" s="7">
        <f t="shared" ref="H9:H15" si="0">G9*H$8</f>
        <v>134122.72258052943</v>
      </c>
      <c r="I9" s="8">
        <f t="shared" ref="I9:I15" si="1">STDEVP(B9:F9)/AVERAGE(B9:F9)</f>
        <v>2.2163125478004427E-2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63">
        <f t="shared" ref="K9:K15" si="3">(MAX(B9:F9)-MIN(B9:F9))/G9</f>
        <v>5.6207527656774593E-2</v>
      </c>
      <c r="M9" s="14"/>
    </row>
    <row r="10" spans="1:49" ht="13.15" x14ac:dyDescent="0.4">
      <c r="A10" s="3" t="s">
        <v>14</v>
      </c>
      <c r="B10" s="67"/>
      <c r="C10" s="67">
        <v>3037.0815429999998</v>
      </c>
      <c r="D10" s="67">
        <v>3242.4802249999998</v>
      </c>
      <c r="E10" s="67">
        <v>3200.0864259999998</v>
      </c>
      <c r="F10" s="67">
        <v>3236.3718260000001</v>
      </c>
      <c r="G10" s="6">
        <f t="shared" ref="G10:G15" si="4">AVERAGE(B10:F10)</f>
        <v>3179.005005</v>
      </c>
      <c r="H10" s="10">
        <f t="shared" si="0"/>
        <v>71912.31354517008</v>
      </c>
      <c r="I10" s="5">
        <f t="shared" si="1"/>
        <v>2.6274437793990496E-2</v>
      </c>
      <c r="J10" s="5">
        <f t="shared" si="2"/>
        <v>0.11</v>
      </c>
      <c r="K10" s="63">
        <f t="shared" si="3"/>
        <v>6.4610996735439241E-2</v>
      </c>
      <c r="M10" s="14"/>
    </row>
    <row r="11" spans="1:49" ht="13.15" x14ac:dyDescent="0.4">
      <c r="A11" s="3" t="s">
        <v>15</v>
      </c>
      <c r="B11" s="67"/>
      <c r="C11" s="67">
        <v>1545.2797849999999</v>
      </c>
      <c r="D11" s="67">
        <v>1659.8695070000001</v>
      </c>
      <c r="E11" s="67">
        <v>1617.044312</v>
      </c>
      <c r="F11" s="67">
        <v>1624.6457519999999</v>
      </c>
      <c r="G11" s="6">
        <f t="shared" si="4"/>
        <v>1611.7098390000001</v>
      </c>
      <c r="H11" s="10">
        <f t="shared" si="0"/>
        <v>36458.509220246917</v>
      </c>
      <c r="I11" s="5">
        <f t="shared" si="1"/>
        <v>2.5822020733819721E-2</v>
      </c>
      <c r="J11" s="5">
        <f t="shared" si="2"/>
        <v>0.11</v>
      </c>
      <c r="K11" s="63">
        <f t="shared" si="3"/>
        <v>7.1098233209954467E-2</v>
      </c>
      <c r="M11" s="14"/>
    </row>
    <row r="12" spans="1:49" ht="13.15" x14ac:dyDescent="0.4">
      <c r="A12" s="3" t="s">
        <v>17</v>
      </c>
      <c r="B12" s="67"/>
      <c r="C12" s="67">
        <v>787.13696300000004</v>
      </c>
      <c r="D12" s="67">
        <v>836.85986300000002</v>
      </c>
      <c r="E12" s="67">
        <v>828.53619400000002</v>
      </c>
      <c r="F12" s="67">
        <v>823.19695999999999</v>
      </c>
      <c r="G12" s="6">
        <f t="shared" si="4"/>
        <v>818.93249500000002</v>
      </c>
      <c r="H12" s="10">
        <f t="shared" si="0"/>
        <v>18525.08261551744</v>
      </c>
      <c r="I12" s="5">
        <f t="shared" si="1"/>
        <v>2.3190996457796362E-2</v>
      </c>
      <c r="J12" s="5">
        <f t="shared" si="2"/>
        <v>0.11</v>
      </c>
      <c r="K12" s="63">
        <f t="shared" si="3"/>
        <v>6.0716726108175717E-2</v>
      </c>
      <c r="M12" s="14"/>
    </row>
    <row r="13" spans="1:49" ht="13.15" x14ac:dyDescent="0.4">
      <c r="A13" s="3" t="s">
        <v>18</v>
      </c>
      <c r="B13" s="67">
        <v>349.10562099999999</v>
      </c>
      <c r="C13" s="67">
        <v>364.68173200000001</v>
      </c>
      <c r="D13" s="67">
        <v>364.65188599999999</v>
      </c>
      <c r="E13" s="67">
        <v>374.88571200000001</v>
      </c>
      <c r="F13" s="67">
        <v>374.45446800000002</v>
      </c>
      <c r="G13" s="6">
        <f t="shared" si="4"/>
        <v>365.5558838</v>
      </c>
      <c r="H13" s="10">
        <f t="shared" si="0"/>
        <v>8269.2443996662914</v>
      </c>
      <c r="I13" s="5">
        <f t="shared" si="1"/>
        <v>2.5615797502787779E-2</v>
      </c>
      <c r="J13" s="5">
        <f t="shared" si="2"/>
        <v>0.113</v>
      </c>
      <c r="K13" s="63">
        <f t="shared" si="3"/>
        <v>7.0522981963831888E-2</v>
      </c>
      <c r="M13" s="14"/>
    </row>
    <row r="14" spans="1:49" ht="13.15" x14ac:dyDescent="0.4">
      <c r="A14" s="22" t="s">
        <v>20</v>
      </c>
      <c r="B14" s="67">
        <v>166.781204</v>
      </c>
      <c r="C14" s="67">
        <v>163.44099399999999</v>
      </c>
      <c r="D14" s="67">
        <v>166.419769</v>
      </c>
      <c r="E14" s="67">
        <v>169.36570699999999</v>
      </c>
      <c r="F14" s="67">
        <v>170.97001599999999</v>
      </c>
      <c r="G14" s="6">
        <f t="shared" si="4"/>
        <v>167.39553799999999</v>
      </c>
      <c r="H14" s="12">
        <f t="shared" si="0"/>
        <v>3786.6566412399948</v>
      </c>
      <c r="I14" s="13">
        <f t="shared" si="1"/>
        <v>1.549213820627611E-2</v>
      </c>
      <c r="J14" s="13">
        <f t="shared" si="2"/>
        <v>0.11900000000000001</v>
      </c>
      <c r="K14" s="63">
        <f t="shared" si="3"/>
        <v>4.4977435420052822E-2</v>
      </c>
      <c r="M14" s="14"/>
    </row>
    <row r="15" spans="1:49" ht="13.15" x14ac:dyDescent="0.4">
      <c r="A15" s="3" t="s">
        <v>21</v>
      </c>
      <c r="B15" s="67">
        <v>81.663573999999997</v>
      </c>
      <c r="C15" s="67">
        <v>83.975594000000001</v>
      </c>
      <c r="D15" s="67">
        <v>75.310897999999995</v>
      </c>
      <c r="E15" s="67">
        <v>81.347183000000001</v>
      </c>
      <c r="F15" s="67">
        <v>76.441254000000001</v>
      </c>
      <c r="G15" s="6">
        <f t="shared" si="4"/>
        <v>79.747700600000002</v>
      </c>
      <c r="H15" s="10">
        <f t="shared" si="0"/>
        <v>1803.9737719927082</v>
      </c>
      <c r="I15" s="5">
        <f t="shared" si="1"/>
        <v>4.1483656615779727E-2</v>
      </c>
      <c r="J15" s="5">
        <f t="shared" si="2"/>
        <v>0.13400000000000001</v>
      </c>
      <c r="K15" s="63">
        <f t="shared" si="3"/>
        <v>0.10865135840668999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ht="13.15" x14ac:dyDescent="0.4">
      <c r="A31" s="3"/>
      <c r="G31" s="15"/>
      <c r="H31" s="10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ht="13.15" x14ac:dyDescent="0.4">
      <c r="A37" s="3"/>
      <c r="G37" s="15"/>
      <c r="H37" s="10"/>
      <c r="I37" s="5"/>
      <c r="J37" s="5"/>
      <c r="K37" s="5"/>
    </row>
    <row r="38" spans="1:13" ht="13.15" x14ac:dyDescent="0.4">
      <c r="A38" s="3"/>
      <c r="G38" s="15"/>
      <c r="H38" s="10"/>
      <c r="I38" s="5"/>
      <c r="J38" s="5"/>
      <c r="K38" s="5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1 H37:H39">
    <cfRule type="cellIs" dxfId="9" priority="10" operator="greaterThan">
      <formula>1000</formula>
    </cfRule>
  </conditionalFormatting>
  <conditionalFormatting sqref="K9:K15">
    <cfRule type="cellIs" dxfId="8" priority="1" operator="lessThan">
      <formula>$J9</formula>
    </cfRule>
  </conditionalFormatting>
  <conditionalFormatting sqref="K16:K38">
    <cfRule type="cellIs" dxfId="7" priority="11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F43" sqref="F43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9"/>
    </row>
    <row r="4" spans="1:49" ht="40.15" x14ac:dyDescent="1.05">
      <c r="A4" s="1" t="s">
        <v>33</v>
      </c>
      <c r="O4" s="9" t="s">
        <v>16</v>
      </c>
    </row>
    <row r="5" spans="1:49" x14ac:dyDescent="0.35">
      <c r="O5" s="11">
        <v>46078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35</v>
      </c>
      <c r="B8" s="67">
        <v>4.1354329999999999</v>
      </c>
      <c r="C8" s="67">
        <v>4.6484069999999997</v>
      </c>
      <c r="D8" s="67">
        <v>4.5963770000000004</v>
      </c>
      <c r="E8" s="67">
        <v>4.6201369999999997</v>
      </c>
      <c r="F8" s="67">
        <v>4.6290829999999996</v>
      </c>
      <c r="G8" s="4"/>
      <c r="H8" s="4">
        <f>AVERAGE(B$8:F$8)*5</f>
        <v>22.629437000000003</v>
      </c>
      <c r="I8" s="5"/>
      <c r="K8" s="5"/>
    </row>
    <row r="9" spans="1:49" ht="13.15" x14ac:dyDescent="0.4">
      <c r="A9" s="17" t="s">
        <v>12</v>
      </c>
      <c r="B9" s="67">
        <v>5889.3466799999997</v>
      </c>
      <c r="C9" s="67">
        <v>5935.1523440000001</v>
      </c>
      <c r="D9" s="67">
        <v>6113.5107420000004</v>
      </c>
      <c r="E9" s="67">
        <v>6399.5932620000003</v>
      </c>
      <c r="F9" s="67">
        <v>6445.9848629999997</v>
      </c>
      <c r="G9" s="6">
        <f>AVERAGE(B9:F9)</f>
        <v>6156.7175782000004</v>
      </c>
      <c r="H9" s="7">
        <f t="shared" ref="H9:H15" si="0">G9*H$8</f>
        <v>139323.0525626695</v>
      </c>
      <c r="I9" s="8">
        <f t="shared" ref="I9:I15" si="1">STDEVP(B9:F9)/AVERAGE(B9:F9)</f>
        <v>3.7400575131919411E-2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>(MAX(B9:F9)-MIN(B9:F9))/G9</f>
        <v>9.0411518139303815E-2</v>
      </c>
      <c r="M9" s="14"/>
    </row>
    <row r="10" spans="1:49" ht="13.15" x14ac:dyDescent="0.4">
      <c r="A10" s="3" t="s">
        <v>14</v>
      </c>
      <c r="B10" s="67">
        <v>3219.0097660000001</v>
      </c>
      <c r="C10" s="67">
        <v>3246.9191890000002</v>
      </c>
      <c r="D10" s="67">
        <v>3294.5515140000002</v>
      </c>
      <c r="E10" s="67">
        <v>3491.8876949999999</v>
      </c>
      <c r="F10" s="67">
        <v>3515.1669919999999</v>
      </c>
      <c r="G10" s="6">
        <f t="shared" ref="G10:G15" si="3">AVERAGE(B10:F10)</f>
        <v>3353.5070311999998</v>
      </c>
      <c r="H10" s="10">
        <f t="shared" si="0"/>
        <v>75887.976091597433</v>
      </c>
      <c r="I10" s="5">
        <f t="shared" si="1"/>
        <v>3.7294536679216957E-2</v>
      </c>
      <c r="J10" s="5">
        <f t="shared" si="2"/>
        <v>0.11</v>
      </c>
      <c r="K10" s="8">
        <f t="shared" ref="K10:K15" si="4">(MAX(B10:F10)-MIN(B10:F10))/G10</f>
        <v>8.8312689743794748E-2</v>
      </c>
      <c r="M10" s="14"/>
    </row>
    <row r="11" spans="1:49" ht="13.15" x14ac:dyDescent="0.4">
      <c r="A11" s="3" t="s">
        <v>15</v>
      </c>
      <c r="B11" s="67">
        <v>1701.1518550000001</v>
      </c>
      <c r="C11" s="67">
        <v>1702.9492190000001</v>
      </c>
      <c r="D11" s="67">
        <v>1730.05835</v>
      </c>
      <c r="E11" s="67">
        <v>1839.772217</v>
      </c>
      <c r="F11" s="67">
        <v>1839.025024</v>
      </c>
      <c r="G11" s="6">
        <f t="shared" si="3"/>
        <v>1762.5913329999998</v>
      </c>
      <c r="H11" s="10">
        <f t="shared" si="0"/>
        <v>39886.449526869525</v>
      </c>
      <c r="I11" s="5">
        <f t="shared" si="1"/>
        <v>3.6051629867365584E-2</v>
      </c>
      <c r="J11" s="5">
        <f t="shared" si="2"/>
        <v>0.11</v>
      </c>
      <c r="K11" s="8">
        <f t="shared" si="4"/>
        <v>7.8645775344907978E-2</v>
      </c>
      <c r="M11" s="14"/>
    </row>
    <row r="12" spans="1:49" ht="13.15" x14ac:dyDescent="0.4">
      <c r="A12" s="3" t="s">
        <v>17</v>
      </c>
      <c r="B12" s="67">
        <v>926.62603799999999</v>
      </c>
      <c r="C12" s="67">
        <v>919.885132</v>
      </c>
      <c r="D12" s="67">
        <v>941.39361599999995</v>
      </c>
      <c r="E12" s="67">
        <v>1007.7622679999999</v>
      </c>
      <c r="F12" s="67">
        <v>980.53973399999995</v>
      </c>
      <c r="G12" s="6">
        <f t="shared" si="3"/>
        <v>955.2413575999999</v>
      </c>
      <c r="H12" s="10">
        <f t="shared" si="0"/>
        <v>21616.574121603673</v>
      </c>
      <c r="I12" s="5">
        <f t="shared" si="1"/>
        <v>3.5218922490929325E-2</v>
      </c>
      <c r="J12" s="5">
        <f t="shared" si="2"/>
        <v>0.11</v>
      </c>
      <c r="K12" s="8">
        <f t="shared" si="4"/>
        <v>9.1994693593237239E-2</v>
      </c>
      <c r="M12" s="14"/>
    </row>
    <row r="13" spans="1:49" ht="13.15" x14ac:dyDescent="0.4">
      <c r="A13" s="3" t="s">
        <v>18</v>
      </c>
      <c r="B13" s="67">
        <v>467.42382800000001</v>
      </c>
      <c r="C13" s="67">
        <v>480.16455100000002</v>
      </c>
      <c r="D13" s="67">
        <v>476.462219</v>
      </c>
      <c r="E13" s="67">
        <v>503.44824199999999</v>
      </c>
      <c r="F13" s="67">
        <v>489.51379400000002</v>
      </c>
      <c r="G13" s="6">
        <f t="shared" si="3"/>
        <v>483.40252680000003</v>
      </c>
      <c r="H13" s="10">
        <f t="shared" si="0"/>
        <v>10939.127025861413</v>
      </c>
      <c r="I13" s="5">
        <f t="shared" si="1"/>
        <v>2.5389062580412059E-2</v>
      </c>
      <c r="J13" s="5">
        <f t="shared" si="2"/>
        <v>0.11</v>
      </c>
      <c r="K13" s="8">
        <f t="shared" si="4"/>
        <v>7.4522601771389779E-2</v>
      </c>
      <c r="M13" s="14"/>
    </row>
    <row r="14" spans="1:49" ht="13.15" x14ac:dyDescent="0.4">
      <c r="A14" s="22" t="s">
        <v>20</v>
      </c>
      <c r="B14" s="67">
        <v>244.23075900000001</v>
      </c>
      <c r="C14" s="68">
        <v>252.12941000000001</v>
      </c>
      <c r="D14" s="69">
        <v>249.761932</v>
      </c>
      <c r="E14" s="67">
        <v>263.41207900000001</v>
      </c>
      <c r="F14" s="67">
        <v>259.87866200000002</v>
      </c>
      <c r="G14" s="6">
        <f t="shared" si="3"/>
        <v>253.88256840000003</v>
      </c>
      <c r="H14" s="12">
        <f t="shared" si="0"/>
        <v>5745.2195870059923</v>
      </c>
      <c r="I14" s="13">
        <f t="shared" si="1"/>
        <v>2.7287605400382876E-2</v>
      </c>
      <c r="J14" s="13">
        <f t="shared" si="2"/>
        <v>0.113</v>
      </c>
      <c r="K14" s="8">
        <f t="shared" si="4"/>
        <v>7.5551937735950508E-2</v>
      </c>
      <c r="M14" s="14"/>
    </row>
    <row r="15" spans="1:49" ht="13.15" x14ac:dyDescent="0.4">
      <c r="A15" s="3" t="s">
        <v>21</v>
      </c>
      <c r="B15" s="67">
        <v>137.83320599999999</v>
      </c>
      <c r="C15" s="67">
        <v>146.50181599999999</v>
      </c>
      <c r="D15" s="67">
        <v>146.85479699999999</v>
      </c>
      <c r="E15" s="67">
        <v>149.34620699999999</v>
      </c>
      <c r="F15" s="67">
        <v>151.00183100000001</v>
      </c>
      <c r="G15" s="6">
        <f t="shared" si="3"/>
        <v>146.3075714</v>
      </c>
      <c r="H15" s="10">
        <f t="shared" si="0"/>
        <v>3310.8579696193024</v>
      </c>
      <c r="I15" s="5">
        <f t="shared" si="1"/>
        <v>3.1085186454570219E-2</v>
      </c>
      <c r="J15" s="5">
        <f t="shared" si="2"/>
        <v>0.11900000000000001</v>
      </c>
      <c r="K15" s="8">
        <f t="shared" si="4"/>
        <v>9.0006449249283485E-2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22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23</v>
      </c>
      <c r="C19" s="16"/>
      <c r="D19" s="18" t="s">
        <v>24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25</v>
      </c>
      <c r="B20" s="22" t="s">
        <v>26</v>
      </c>
      <c r="C20" s="21" t="s">
        <v>27</v>
      </c>
      <c r="D20" s="21" t="s">
        <v>28</v>
      </c>
      <c r="E20" s="22" t="s">
        <v>29</v>
      </c>
      <c r="F20" s="22" t="s">
        <v>30</v>
      </c>
      <c r="G20" s="22" t="s">
        <v>31</v>
      </c>
      <c r="H20" s="23" t="s">
        <v>32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x14ac:dyDescent="0.35">
      <c r="A31" s="3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x14ac:dyDescent="0.35">
      <c r="A37" s="3"/>
      <c r="I37" s="5"/>
      <c r="J37" s="5"/>
      <c r="K37" s="5"/>
    </row>
    <row r="38" spans="1:13" x14ac:dyDescent="0.35">
      <c r="A38" s="3"/>
      <c r="I38" s="5"/>
      <c r="J38" s="5"/>
      <c r="K38" s="5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0 H39">
    <cfRule type="cellIs" dxfId="6" priority="4" operator="greaterThan">
      <formula>1000</formula>
    </cfRule>
  </conditionalFormatting>
  <conditionalFormatting sqref="K9:K15">
    <cfRule type="cellIs" dxfId="5" priority="1" operator="lessThan">
      <formula>"$J9"</formula>
    </cfRule>
  </conditionalFormatting>
  <conditionalFormatting sqref="K16:K38">
    <cfRule type="cellIs" dxfId="4" priority="5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70" zoomScaleNormal="70" workbookViewId="0">
      <selection activeCell="M36" sqref="M36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2" t="s">
        <v>36</v>
      </c>
      <c r="B1" s="32" t="s">
        <v>37</v>
      </c>
      <c r="C1" s="65" t="s">
        <v>38</v>
      </c>
      <c r="D1" s="65"/>
      <c r="E1" s="65"/>
      <c r="F1" s="65"/>
      <c r="G1" s="65"/>
      <c r="H1" s="65"/>
      <c r="I1" s="65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</row>
    <row r="3" spans="1:1024" ht="13.15" x14ac:dyDescent="0.4">
      <c r="A3" s="1" t="s">
        <v>39</v>
      </c>
      <c r="D3" s="3" t="s">
        <v>69</v>
      </c>
    </row>
    <row r="4" spans="1:1024" x14ac:dyDescent="0.35">
      <c r="A4" t="s">
        <v>40</v>
      </c>
      <c r="D4" s="3" t="s">
        <v>70</v>
      </c>
    </row>
    <row r="5" spans="1:1024" x14ac:dyDescent="0.35">
      <c r="A5" t="s">
        <v>41</v>
      </c>
      <c r="D5" s="3" t="s">
        <v>94</v>
      </c>
    </row>
    <row r="6" spans="1:1024" x14ac:dyDescent="0.35">
      <c r="A6" t="s">
        <v>42</v>
      </c>
      <c r="D6" s="3" t="s">
        <v>70</v>
      </c>
    </row>
    <row r="7" spans="1:1024" x14ac:dyDescent="0.35">
      <c r="A7" t="s">
        <v>43</v>
      </c>
      <c r="D7" s="3"/>
    </row>
    <row r="8" spans="1:1024" ht="13.15" x14ac:dyDescent="0.4">
      <c r="A8" t="s">
        <v>33</v>
      </c>
      <c r="D8" s="34">
        <v>46098</v>
      </c>
    </row>
    <row r="9" spans="1:1024" x14ac:dyDescent="0.35">
      <c r="A9" t="s">
        <v>44</v>
      </c>
      <c r="D9" s="35" t="s">
        <v>45</v>
      </c>
    </row>
    <row r="10" spans="1:1024" ht="13.15" x14ac:dyDescent="0.4">
      <c r="A10" t="s">
        <v>46</v>
      </c>
      <c r="D10" s="2">
        <v>35</v>
      </c>
    </row>
    <row r="11" spans="1:1024" x14ac:dyDescent="0.35">
      <c r="A11" t="s">
        <v>47</v>
      </c>
      <c r="D11">
        <v>1</v>
      </c>
    </row>
    <row r="13" spans="1:1024" x14ac:dyDescent="0.35">
      <c r="A13" t="s">
        <v>48</v>
      </c>
      <c r="B13">
        <v>50</v>
      </c>
      <c r="C13" t="s">
        <v>49</v>
      </c>
    </row>
    <row r="14" spans="1:1024" x14ac:dyDescent="0.35">
      <c r="A14" t="s">
        <v>50</v>
      </c>
      <c r="B14">
        <v>5</v>
      </c>
    </row>
    <row r="15" spans="1:1024" x14ac:dyDescent="0.35">
      <c r="A15" t="s">
        <v>51</v>
      </c>
      <c r="B15">
        <f>B13/B14</f>
        <v>10</v>
      </c>
      <c r="C15" t="s">
        <v>49</v>
      </c>
    </row>
    <row r="16" spans="1:1024" x14ac:dyDescent="0.35">
      <c r="A16" t="s">
        <v>52</v>
      </c>
      <c r="B16" s="70">
        <v>0.4612</v>
      </c>
    </row>
    <row r="17" spans="1:11" x14ac:dyDescent="0.35">
      <c r="D17" s="3"/>
    </row>
    <row r="18" spans="1:11" x14ac:dyDescent="0.35">
      <c r="A18" t="s">
        <v>53</v>
      </c>
      <c r="B18">
        <f>$B$16*$B$15/100</f>
        <v>4.6120000000000001E-2</v>
      </c>
    </row>
    <row r="19" spans="1:11" x14ac:dyDescent="0.35">
      <c r="A19" s="36" t="s">
        <v>54</v>
      </c>
      <c r="B19">
        <f>B16*$B$13</f>
        <v>23.06</v>
      </c>
      <c r="C19" t="s">
        <v>49</v>
      </c>
    </row>
    <row r="20" spans="1:11" x14ac:dyDescent="0.35">
      <c r="A20" t="s">
        <v>55</v>
      </c>
      <c r="B20">
        <f>B15*B16</f>
        <v>4.6120000000000001</v>
      </c>
      <c r="C20" t="s">
        <v>49</v>
      </c>
    </row>
    <row r="22" spans="1:11" x14ac:dyDescent="0.35">
      <c r="A22" s="37" t="s">
        <v>56</v>
      </c>
      <c r="B22" s="37" t="s">
        <v>57</v>
      </c>
      <c r="C22" s="37" t="s">
        <v>58</v>
      </c>
      <c r="D22" s="37" t="s">
        <v>59</v>
      </c>
      <c r="E22" s="37" t="s">
        <v>60</v>
      </c>
      <c r="F22" s="37" t="s">
        <v>61</v>
      </c>
      <c r="G22" s="37" t="s">
        <v>62</v>
      </c>
      <c r="H22" s="37" t="s">
        <v>63</v>
      </c>
      <c r="I22" s="37" t="s">
        <v>64</v>
      </c>
      <c r="J22" s="3" t="s">
        <v>88</v>
      </c>
      <c r="K22" s="3" t="s">
        <v>89</v>
      </c>
    </row>
    <row r="23" spans="1:11" x14ac:dyDescent="0.35">
      <c r="A23" s="38">
        <v>4</v>
      </c>
      <c r="B23" s="39">
        <f>'E - B1'!$G9</f>
        <v>6469.3648438</v>
      </c>
      <c r="C23" s="39">
        <f>'E - B2'!$G9</f>
        <v>5929.1209717500005</v>
      </c>
      <c r="D23" s="39">
        <f>'E - B3'!$G9</f>
        <v>6156.7175782000004</v>
      </c>
      <c r="E23" s="14">
        <f t="shared" ref="E23:E28" si="0">AVERAGE(B23:D23)</f>
        <v>6185.0677979166676</v>
      </c>
      <c r="F23" s="40">
        <v>6300</v>
      </c>
      <c r="G23">
        <v>4553</v>
      </c>
      <c r="H23">
        <v>8713</v>
      </c>
      <c r="I23" s="5">
        <f t="shared" ref="I23:I28" si="1">(E23-F23)/F23</f>
        <v>-1.8243206679894035E-2</v>
      </c>
      <c r="J23" s="63">
        <f>(G23-F23)/F23</f>
        <v>-0.27730158730158733</v>
      </c>
      <c r="K23" s="63">
        <f>(H23-F23)/F23</f>
        <v>0.38301587301587303</v>
      </c>
    </row>
    <row r="24" spans="1:11" x14ac:dyDescent="0.35">
      <c r="A24" s="3">
        <v>5</v>
      </c>
      <c r="B24" s="39">
        <f>'E - B1'!$G10</f>
        <v>3470.9403806</v>
      </c>
      <c r="C24" s="39">
        <f>'E - B2'!$G10</f>
        <v>3179.005005</v>
      </c>
      <c r="D24" s="39">
        <f>'E - B3'!$G10</f>
        <v>3353.5070311999998</v>
      </c>
      <c r="E24" s="14">
        <f t="shared" si="0"/>
        <v>3334.4841389333328</v>
      </c>
      <c r="F24" s="41">
        <v>3475</v>
      </c>
      <c r="G24">
        <v>2330</v>
      </c>
      <c r="H24">
        <v>5183</v>
      </c>
      <c r="I24" s="5">
        <f t="shared" si="1"/>
        <v>-4.0436219011990557E-2</v>
      </c>
      <c r="J24" s="63">
        <f t="shared" ref="J24:J28" si="2">(G24-F24)/F24</f>
        <v>-0.32949640287769782</v>
      </c>
      <c r="K24" s="63">
        <f t="shared" ref="K24:K28" si="3">(H24-F24)/F24</f>
        <v>0.49151079136690645</v>
      </c>
    </row>
    <row r="25" spans="1:11" x14ac:dyDescent="0.35">
      <c r="A25" s="3">
        <v>6</v>
      </c>
      <c r="B25" s="39">
        <f>'E - B1'!$G11</f>
        <v>1758.7199219999998</v>
      </c>
      <c r="C25" s="39">
        <f>'E - B2'!$G11</f>
        <v>1611.7098390000001</v>
      </c>
      <c r="D25" s="39">
        <f>'E - B3'!$G11</f>
        <v>1762.5913329999998</v>
      </c>
      <c r="E25" s="14">
        <f t="shared" si="0"/>
        <v>1711.0070313333333</v>
      </c>
      <c r="F25" s="41">
        <v>1631</v>
      </c>
      <c r="G25">
        <v>938.2</v>
      </c>
      <c r="H25">
        <v>2834</v>
      </c>
      <c r="I25" s="5">
        <f t="shared" si="1"/>
        <v>4.9053973840179836E-2</v>
      </c>
      <c r="J25" s="63">
        <f t="shared" si="2"/>
        <v>-0.42477007970570202</v>
      </c>
      <c r="K25" s="63">
        <f t="shared" si="3"/>
        <v>0.73758430410790921</v>
      </c>
    </row>
    <row r="26" spans="1:11" x14ac:dyDescent="0.35">
      <c r="A26" s="3">
        <v>7</v>
      </c>
      <c r="B26" s="39">
        <f>'E - B1'!$G12</f>
        <v>890.7508302</v>
      </c>
      <c r="C26" s="39">
        <f>'E - B2'!$G12</f>
        <v>818.93249500000002</v>
      </c>
      <c r="D26" s="39">
        <f>'E - B3'!$G12</f>
        <v>955.2413575999999</v>
      </c>
      <c r="E26" s="14">
        <f t="shared" si="0"/>
        <v>888.30822760000001</v>
      </c>
      <c r="F26" s="41">
        <v>769.8</v>
      </c>
      <c r="G26">
        <v>413.6</v>
      </c>
      <c r="H26">
        <v>1433</v>
      </c>
      <c r="I26" s="5">
        <f t="shared" si="1"/>
        <v>0.15394677526630302</v>
      </c>
      <c r="J26" s="63">
        <f t="shared" si="2"/>
        <v>-0.46271758898415166</v>
      </c>
      <c r="K26" s="63">
        <f t="shared" si="3"/>
        <v>0.86152247336970655</v>
      </c>
    </row>
    <row r="27" spans="1:11" x14ac:dyDescent="0.35">
      <c r="A27" s="3">
        <v>8</v>
      </c>
      <c r="B27" s="39">
        <f>'E - B1'!$G13</f>
        <v>406.9004152</v>
      </c>
      <c r="C27" s="39">
        <f>'E - B2'!$G13</f>
        <v>365.5558838</v>
      </c>
      <c r="D27" s="39">
        <f>'E - B3'!$G13</f>
        <v>483.40252680000003</v>
      </c>
      <c r="E27" s="14">
        <f t="shared" si="0"/>
        <v>418.61960859999999</v>
      </c>
      <c r="F27" s="41">
        <v>379.1</v>
      </c>
      <c r="G27">
        <v>179.7</v>
      </c>
      <c r="H27">
        <v>799.5</v>
      </c>
      <c r="I27" s="5">
        <f t="shared" si="1"/>
        <v>0.10424586810867836</v>
      </c>
      <c r="J27" s="63">
        <f t="shared" si="2"/>
        <v>-0.52598259034555528</v>
      </c>
      <c r="K27" s="63">
        <f t="shared" si="3"/>
        <v>1.1089422316011606</v>
      </c>
    </row>
    <row r="28" spans="1:11" x14ac:dyDescent="0.35">
      <c r="A28" s="22">
        <v>9</v>
      </c>
      <c r="B28" s="42">
        <f>'E - B1'!$G14</f>
        <v>190.61459640000001</v>
      </c>
      <c r="C28" s="42">
        <f>'E - B2'!$G14</f>
        <v>167.39553799999999</v>
      </c>
      <c r="D28" s="42">
        <f>'E - B3'!$G14</f>
        <v>253.88256840000003</v>
      </c>
      <c r="E28" s="43">
        <f t="shared" si="0"/>
        <v>203.96423426666669</v>
      </c>
      <c r="F28" s="44">
        <v>196.2</v>
      </c>
      <c r="G28" s="29">
        <v>76.569999999999993</v>
      </c>
      <c r="H28" s="29">
        <v>502.6</v>
      </c>
      <c r="I28" s="13">
        <f t="shared" si="1"/>
        <v>3.9573059463133053E-2</v>
      </c>
      <c r="J28" s="63">
        <f t="shared" si="2"/>
        <v>-0.60973496432212027</v>
      </c>
      <c r="K28" s="63">
        <f t="shared" si="3"/>
        <v>1.5616717635066262</v>
      </c>
    </row>
    <row r="29" spans="1:11" ht="13.15" x14ac:dyDescent="0.4">
      <c r="A29" s="1"/>
      <c r="B29" s="1"/>
      <c r="C29" s="45"/>
      <c r="D29" s="40"/>
      <c r="E29" s="40"/>
      <c r="J29" s="3"/>
    </row>
    <row r="30" spans="1:11" x14ac:dyDescent="0.35">
      <c r="A30" t="s">
        <v>61</v>
      </c>
      <c r="C30" s="26"/>
    </row>
    <row r="31" spans="1:11" x14ac:dyDescent="0.35">
      <c r="A31" s="37" t="s">
        <v>56</v>
      </c>
      <c r="B31" s="37" t="s">
        <v>65</v>
      </c>
      <c r="C31" s="37" t="s">
        <v>66</v>
      </c>
      <c r="D31" s="37" t="s">
        <v>67</v>
      </c>
    </row>
    <row r="32" spans="1:11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1"/>
    </row>
    <row r="34" spans="1:21" ht="13.15" x14ac:dyDescent="0.4">
      <c r="A34" s="46">
        <v>4</v>
      </c>
      <c r="B34" s="46">
        <v>6300</v>
      </c>
      <c r="C34" s="46">
        <v>4553</v>
      </c>
      <c r="D34" s="46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7"/>
      <c r="F35" s="14"/>
      <c r="G35" s="27"/>
      <c r="H35" s="14"/>
      <c r="I35" s="27"/>
      <c r="J35" s="14"/>
      <c r="K35" s="27"/>
    </row>
    <row r="36" spans="1:21" ht="13.15" x14ac:dyDescent="0.4">
      <c r="A36" s="46">
        <v>6</v>
      </c>
      <c r="B36" s="46">
        <v>1631</v>
      </c>
      <c r="C36" s="46">
        <v>938.2</v>
      </c>
      <c r="D36" s="46">
        <v>2834</v>
      </c>
      <c r="E36" s="27"/>
      <c r="F36" s="14"/>
      <c r="G36" s="27"/>
      <c r="H36" s="14"/>
      <c r="I36" s="27"/>
      <c r="J36" s="14"/>
      <c r="K36" s="2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7"/>
      <c r="F37" s="14"/>
      <c r="G37" s="27"/>
      <c r="H37" s="14"/>
      <c r="I37" s="27"/>
      <c r="J37" s="14"/>
      <c r="K37" s="2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7"/>
      <c r="F38" s="14"/>
      <c r="G38" s="27"/>
      <c r="H38" s="14"/>
      <c r="I38" s="27"/>
      <c r="J38" s="14"/>
      <c r="K38" s="2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7"/>
      <c r="F39" s="14"/>
      <c r="G39" s="27"/>
      <c r="H39" s="14"/>
      <c r="I39" s="27"/>
      <c r="J39" s="14"/>
      <c r="K39" s="27"/>
    </row>
    <row r="40" spans="1:21" x14ac:dyDescent="0.35">
      <c r="A40" s="29">
        <v>10</v>
      </c>
      <c r="B40" s="29">
        <v>88.9</v>
      </c>
      <c r="C40" s="29">
        <v>27.89</v>
      </c>
      <c r="D40" s="29">
        <v>283.39999999999998</v>
      </c>
    </row>
    <row r="42" spans="1:21" x14ac:dyDescent="0.35">
      <c r="A42" t="s">
        <v>22</v>
      </c>
    </row>
    <row r="43" spans="1:21" ht="15" x14ac:dyDescent="0.5">
      <c r="A43" s="16"/>
      <c r="B43" s="17" t="s">
        <v>23</v>
      </c>
      <c r="C43" s="16"/>
      <c r="D43" s="18" t="s">
        <v>24</v>
      </c>
      <c r="E43" s="19"/>
      <c r="F43" s="19"/>
      <c r="G43" s="19"/>
      <c r="H43" s="20"/>
      <c r="U43" s="11"/>
    </row>
    <row r="44" spans="1:21" ht="15" x14ac:dyDescent="0.5">
      <c r="A44" s="21" t="s">
        <v>25</v>
      </c>
      <c r="B44" s="22" t="s">
        <v>26</v>
      </c>
      <c r="C44" s="21" t="s">
        <v>27</v>
      </c>
      <c r="D44" s="21" t="s">
        <v>28</v>
      </c>
      <c r="E44" s="22" t="s">
        <v>29</v>
      </c>
      <c r="F44" s="22" t="s">
        <v>30</v>
      </c>
      <c r="G44" s="22" t="s">
        <v>31</v>
      </c>
      <c r="H44" s="23" t="s">
        <v>32</v>
      </c>
      <c r="I44" s="14"/>
      <c r="J44" s="14"/>
    </row>
    <row r="45" spans="1:21" x14ac:dyDescent="0.35">
      <c r="A45" s="24">
        <v>10000</v>
      </c>
      <c r="C45" s="24">
        <v>11</v>
      </c>
      <c r="D45" s="24">
        <v>7.8</v>
      </c>
      <c r="E45">
        <v>5.3</v>
      </c>
      <c r="F45">
        <v>4</v>
      </c>
      <c r="G45">
        <v>2.7</v>
      </c>
      <c r="H45" s="25">
        <v>1.8</v>
      </c>
      <c r="I45" s="14"/>
      <c r="J45" s="14"/>
    </row>
    <row r="46" spans="1:21" x14ac:dyDescent="0.35">
      <c r="A46" s="24">
        <v>5000</v>
      </c>
      <c r="B46">
        <v>10000</v>
      </c>
      <c r="C46" s="24">
        <v>11.3</v>
      </c>
      <c r="D46" s="24">
        <v>7.8</v>
      </c>
      <c r="E46">
        <v>5.3</v>
      </c>
      <c r="F46">
        <v>4</v>
      </c>
      <c r="G46">
        <v>2.7</v>
      </c>
      <c r="H46" s="25">
        <v>1.9</v>
      </c>
    </row>
    <row r="47" spans="1:21" x14ac:dyDescent="0.35">
      <c r="A47" s="24">
        <v>2000</v>
      </c>
      <c r="B47">
        <v>5000</v>
      </c>
      <c r="C47" s="24">
        <v>11.9</v>
      </c>
      <c r="D47" s="24">
        <v>7.9</v>
      </c>
      <c r="E47">
        <v>5.4</v>
      </c>
      <c r="F47">
        <v>4.0999999999999996</v>
      </c>
      <c r="G47">
        <v>2.9</v>
      </c>
      <c r="H47" s="25">
        <v>2.1</v>
      </c>
      <c r="J47" s="14"/>
    </row>
    <row r="48" spans="1:21" x14ac:dyDescent="0.35">
      <c r="A48" s="24">
        <v>1000</v>
      </c>
      <c r="B48">
        <v>2000</v>
      </c>
      <c r="C48" s="24">
        <v>13.4</v>
      </c>
      <c r="D48" s="24">
        <v>8</v>
      </c>
      <c r="E48">
        <v>5.6</v>
      </c>
      <c r="F48">
        <v>4.3</v>
      </c>
      <c r="G48">
        <v>3.1</v>
      </c>
      <c r="H48" s="25">
        <v>2.4</v>
      </c>
      <c r="J48" s="14"/>
    </row>
    <row r="49" spans="1:12" x14ac:dyDescent="0.35">
      <c r="A49" s="24">
        <v>500</v>
      </c>
      <c r="B49">
        <v>1000</v>
      </c>
      <c r="C49" s="24">
        <v>15.6</v>
      </c>
      <c r="D49" s="24">
        <v>8.1999999999999993</v>
      </c>
      <c r="E49">
        <v>5.9</v>
      </c>
      <c r="F49">
        <v>4.7</v>
      </c>
      <c r="G49">
        <v>3.6</v>
      </c>
      <c r="H49" s="25">
        <v>2.9</v>
      </c>
      <c r="I49" s="14"/>
      <c r="J49" s="14"/>
    </row>
    <row r="50" spans="1:12" x14ac:dyDescent="0.35">
      <c r="A50" s="24">
        <v>200</v>
      </c>
      <c r="B50">
        <v>500</v>
      </c>
      <c r="C50" s="24">
        <v>19.3</v>
      </c>
      <c r="D50" s="24">
        <v>8.9</v>
      </c>
      <c r="E50">
        <v>6.8</v>
      </c>
      <c r="F50">
        <v>5.7</v>
      </c>
      <c r="G50">
        <v>4.7</v>
      </c>
      <c r="H50" s="25">
        <v>4.0999999999999996</v>
      </c>
    </row>
    <row r="51" spans="1:12" x14ac:dyDescent="0.35">
      <c r="A51" s="28">
        <v>100</v>
      </c>
      <c r="B51" s="29">
        <v>200</v>
      </c>
      <c r="C51" s="28">
        <v>27.5</v>
      </c>
      <c r="D51" s="28">
        <v>10</v>
      </c>
      <c r="E51" s="29">
        <v>8</v>
      </c>
      <c r="F51" s="29">
        <v>7</v>
      </c>
      <c r="G51" s="29">
        <v>6.1</v>
      </c>
      <c r="H51" s="30">
        <v>5.5</v>
      </c>
    </row>
    <row r="53" spans="1:12" ht="30" x14ac:dyDescent="1.1000000000000001">
      <c r="A53" s="47" t="s">
        <v>68</v>
      </c>
    </row>
    <row r="54" spans="1:12" x14ac:dyDescent="0.35">
      <c r="B54" s="27"/>
      <c r="D54" s="27"/>
      <c r="F54" s="27"/>
      <c r="H54" s="27"/>
      <c r="J54" s="27"/>
    </row>
    <row r="55" spans="1:12" ht="13.15" x14ac:dyDescent="0.4">
      <c r="A55" s="1"/>
      <c r="B55" s="31"/>
      <c r="D55" s="31"/>
      <c r="F55" s="31"/>
      <c r="H55" s="31"/>
      <c r="J55" s="31"/>
    </row>
    <row r="56" spans="1:12" ht="13.15" x14ac:dyDescent="0.4">
      <c r="B56" s="27"/>
      <c r="D56" s="27"/>
      <c r="K56" s="2"/>
      <c r="L56" s="2"/>
    </row>
  </sheetData>
  <mergeCells count="1">
    <mergeCell ref="C1:I1"/>
  </mergeCells>
  <conditionalFormatting sqref="A29">
    <cfRule type="cellIs" dxfId="3" priority="1" operator="between">
      <formula>$C$34</formula>
      <formula>$D$34</formula>
    </cfRule>
  </conditionalFormatting>
  <conditionalFormatting sqref="B29">
    <cfRule type="cellIs" dxfId="2" priority="2" operator="between">
      <formula>$C$36</formula>
      <formula>$D$36</formula>
    </cfRule>
  </conditionalFormatting>
  <conditionalFormatting sqref="B55 D55">
    <cfRule type="cellIs" dxfId="1" priority="3" operator="lessThan">
      <formula>B56</formula>
    </cfRule>
  </conditionalFormatting>
  <conditionalFormatting sqref="E23:E28">
    <cfRule type="cellIs" dxfId="0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2026-03-17T13:12:33Z</dcterms:modified>
</cp:coreProperties>
</file>