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ADA96E09-B789-4B0A-B9CA-D8B30FB5C63F}" xr6:coauthVersionLast="47" xr6:coauthVersionMax="47" xr10:uidLastSave="{00000000-0000-0000-0000-000000000000}"/>
  <bookViews>
    <workbookView xWindow="-98" yWindow="-98" windowWidth="28996" windowHeight="17745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G9" i="1"/>
  <c r="H9" i="1" s="1"/>
  <c r="I9" i="1"/>
  <c r="G10" i="1"/>
  <c r="H10" i="1"/>
  <c r="I10" i="1"/>
  <c r="G11" i="1"/>
  <c r="B25" i="4" s="1"/>
  <c r="I11" i="1"/>
  <c r="G12" i="1"/>
  <c r="H12" i="1" s="1"/>
  <c r="I12" i="1"/>
  <c r="B23" i="4"/>
  <c r="B20" i="4"/>
  <c r="B19" i="4"/>
  <c r="B15" i="4"/>
  <c r="B18" i="4" s="1"/>
  <c r="I15" i="3"/>
  <c r="G15" i="3"/>
  <c r="I14" i="3"/>
  <c r="G14" i="3"/>
  <c r="D28" i="4" s="1"/>
  <c r="I13" i="3"/>
  <c r="G13" i="3"/>
  <c r="D27" i="4" s="1"/>
  <c r="I12" i="3"/>
  <c r="G12" i="3"/>
  <c r="D26" i="4" s="1"/>
  <c r="I11" i="3"/>
  <c r="G11" i="3"/>
  <c r="D25" i="4" s="1"/>
  <c r="I10" i="3"/>
  <c r="G10" i="3"/>
  <c r="D24" i="4" s="1"/>
  <c r="I9" i="3"/>
  <c r="G9" i="3"/>
  <c r="H8" i="3"/>
  <c r="I15" i="2"/>
  <c r="G15" i="2"/>
  <c r="I14" i="2"/>
  <c r="G14" i="2"/>
  <c r="C28" i="4" s="1"/>
  <c r="I13" i="2"/>
  <c r="G13" i="2"/>
  <c r="I12" i="2"/>
  <c r="G12" i="2"/>
  <c r="I11" i="2"/>
  <c r="G11" i="2"/>
  <c r="C25" i="4" s="1"/>
  <c r="I10" i="2"/>
  <c r="G10" i="2"/>
  <c r="I9" i="2"/>
  <c r="G9" i="2"/>
  <c r="C23" i="4" s="1"/>
  <c r="H8" i="2"/>
  <c r="I15" i="1"/>
  <c r="G15" i="1"/>
  <c r="I14" i="1"/>
  <c r="G14" i="1"/>
  <c r="H14" i="1" s="1"/>
  <c r="I13" i="1"/>
  <c r="G13" i="1"/>
  <c r="H13" i="1" s="1"/>
  <c r="B24" i="4"/>
  <c r="H9" i="3" l="1"/>
  <c r="H12" i="2"/>
  <c r="H13" i="2"/>
  <c r="D23" i="4"/>
  <c r="H12" i="3"/>
  <c r="K12" i="3" s="1"/>
  <c r="H13" i="3"/>
  <c r="H15" i="3"/>
  <c r="J15" i="3" s="1"/>
  <c r="E23" i="4"/>
  <c r="I23" i="4" s="1"/>
  <c r="H10" i="3"/>
  <c r="C26" i="4"/>
  <c r="H14" i="2"/>
  <c r="H15" i="2"/>
  <c r="J15" i="2" s="1"/>
  <c r="H9" i="2"/>
  <c r="K9" i="2" s="1"/>
  <c r="H10" i="2"/>
  <c r="K10" i="2" s="1"/>
  <c r="H11" i="2"/>
  <c r="K11" i="2" s="1"/>
  <c r="H11" i="1"/>
  <c r="J11" i="1" s="1"/>
  <c r="J10" i="2"/>
  <c r="K9" i="3"/>
  <c r="J9" i="3"/>
  <c r="E25" i="4"/>
  <c r="I25" i="4" s="1"/>
  <c r="K12" i="1"/>
  <c r="J12" i="1"/>
  <c r="K12" i="2"/>
  <c r="J12" i="2"/>
  <c r="K13" i="1"/>
  <c r="J13" i="1"/>
  <c r="J14" i="1"/>
  <c r="K14" i="1"/>
  <c r="K13" i="2"/>
  <c r="J13" i="2"/>
  <c r="B26" i="4"/>
  <c r="H14" i="3"/>
  <c r="H11" i="3"/>
  <c r="B27" i="4"/>
  <c r="C27" i="4"/>
  <c r="C24" i="4"/>
  <c r="E24" i="4" s="1"/>
  <c r="I24" i="4" s="1"/>
  <c r="H15" i="1"/>
  <c r="B28" i="4"/>
  <c r="E28" i="4" s="1"/>
  <c r="I28" i="4" s="1"/>
  <c r="J12" i="3"/>
  <c r="K15" i="3" l="1"/>
  <c r="J9" i="2"/>
  <c r="J11" i="2"/>
  <c r="E26" i="4"/>
  <c r="I26" i="4" s="1"/>
  <c r="K11" i="1"/>
  <c r="J10" i="3"/>
  <c r="K10" i="3"/>
  <c r="K13" i="3"/>
  <c r="J13" i="3"/>
  <c r="K15" i="2"/>
  <c r="E27" i="4"/>
  <c r="I27" i="4" s="1"/>
  <c r="J14" i="2"/>
  <c r="K14" i="2"/>
  <c r="K11" i="3"/>
  <c r="J11" i="3"/>
  <c r="K14" i="3"/>
  <c r="J14" i="3"/>
  <c r="K9" i="1"/>
  <c r="J9" i="1"/>
  <c r="K15" i="1"/>
  <c r="J15" i="1"/>
  <c r="K10" i="1"/>
  <c r="J10" i="1"/>
</calcChain>
</file>

<file path=xl/sharedStrings.xml><?xml version="1.0" encoding="utf-8"?>
<sst xmlns="http://schemas.openxmlformats.org/spreadsheetml/2006/main" count="163" uniqueCount="73">
  <si>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</si>
  <si>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</si>
  <si>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</si>
  <si>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</si>
  <si>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</si>
  <si>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</si>
  <si>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</si>
  <si>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</si>
  <si>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</si>
  <si>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</si>
  <si>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</si>
  <si>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</si>
  <si>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</si>
  <si>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</si>
  <si>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</si>
  <si>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</si>
  <si>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</si>
  <si>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</si>
  <si>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</si>
  <si>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</si>
  <si>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</si>
  <si>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</si>
  <si>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</si>
  <si>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</si>
  <si>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</si>
  <si>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</si>
  <si>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</si>
  <si>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</si>
  <si>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</si>
  <si>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</si>
  <si>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</si>
  <si>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</si>
  <si>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</si>
  <si>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</si>
  <si>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</si>
  <si>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</si>
  <si>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#00009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</si>
  <si>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</si>
  <si>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</si>
  <si>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</si>
  <si>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</si>
  <si>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</si>
  <si>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</si>
  <si>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</si>
  <si>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</si>
  <si>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</si>
  <si>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</si>
  <si>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</si>
  <si>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</si>
  <si>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</si>
  <si>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</si>
  <si>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</si>
  <si>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</si>
  <si>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</si>
  <si>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</si>
  <si>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</si>
  <si>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</si>
  <si>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</si>
  <si>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</si>
  <si>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</si>
  <si>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</si>
  <si>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</si>
  <si>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</si>
  <si>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</si>
  <si>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</si>
  <si>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</si>
  <si>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</si>
  <si>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</si>
  <si>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</si>
  <si>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</si>
  <si>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</si>
  <si>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11171-00001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</si>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</sst>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</fills>
  <borders count="10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2" fillId="0" borderId="0" xfId="0" applyNumberFormat="1" applyFont="1" applyAlignment="1">
      <alignment horizontal="right"/>
    </xf>
    <xf numFmtId="165" fontId="0" fillId="0" borderId="0" xfId="0" applyNumberFormat="1"/>
    <xf numFmtId="164" fontId="2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4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2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" fontId="0" fillId="0" borderId="0" xfId="1" applyNumberFormat="1" applyFont="1"/>
    <xf numFmtId="1" fontId="2" fillId="0" borderId="0" xfId="1" applyNumberFormat="1" applyFont="1"/>
    <xf numFmtId="10" fontId="2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2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6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" fontId="6" fillId="0" borderId="2" xfId="0" applyNumberFormat="1" applyFont="1" applyBorder="1"/>
    <xf numFmtId="1" fontId="0" fillId="0" borderId="2" xfId="0" applyNumberFormat="1" applyBorder="1"/>
    <xf numFmtId="0" fontId="6" fillId="0" borderId="2" xfId="0" applyFont="1" applyBorder="1" applyAlignment="1">
      <alignment horizontal="right"/>
    </xf>
    <xf numFmtId="164" fontId="6" fillId="0" borderId="0" xfId="0" applyNumberFormat="1" applyFont="1"/>
    <xf numFmtId="0" fontId="2" fillId="2" borderId="0" xfId="0" applyFont="1" applyFill="1"/>
    <xf numFmtId="0" fontId="7" fillId="0" borderId="0" xfId="0" applyFont="1"/>
  </cellXfs>
  <cellStyles count="2">
    <cellStyle name="Normal" xfId="0" builtinId="0"/>
    <cellStyle name="Percent" xfId="1" builtinId="5"/>
  </cellStyles>
  <dxfs count="10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>
      <selection activeCell="B8" sqref="B8:F15"/>
    </sheetView>
  </sheetViews>
  <sheetFormatPr defaultColWidth="11.53125" defaultRowHeight="12.75" x14ac:dyDescent="0.35"/>
  <sheetData>
    <row r="1" spans="1:49" x14ac:dyDescent="0.35">
      <c r="A1" t="s">
        <v>0</v>
      </c>
    </row>
    <row r="4" spans="1:49" ht="13.15" x14ac:dyDescent="0.4">
      <c r="A4" s="1"/>
    </row>
    <row r="5" spans="1:49" x14ac:dyDescent="0.35">
      <c r="A5" s="2"/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11</v>
      </c>
      <c r="B8">
        <v>9.8909819999999993</v>
      </c>
      <c r="C8">
        <v>10.706208999999999</v>
      </c>
      <c r="D8">
        <v>10.635595</v>
      </c>
      <c r="E8">
        <v>10.701618</v>
      </c>
      <c r="F8">
        <v>10.700017000000001</v>
      </c>
      <c r="G8" s="5">
        <v>25.517626</v>
      </c>
      <c r="H8" s="5">
        <f>AVERAGE(B$8:F$8)*5</f>
        <v>52.634421000000003</v>
      </c>
      <c r="I8" s="6"/>
      <c r="K8" s="6"/>
    </row>
    <row r="9" spans="1:49" ht="40.15" x14ac:dyDescent="1.05">
      <c r="A9" s="4" t="s">
        <v>12</v>
      </c>
      <c r="B9">
        <v>4799.7255859999996</v>
      </c>
      <c r="C9">
        <v>5075.3725590000004</v>
      </c>
      <c r="D9">
        <v>4934.6557620000003</v>
      </c>
      <c r="E9">
        <v>5082.595703</v>
      </c>
      <c r="F9">
        <v>5021.1137699999999</v>
      </c>
      <c r="G9" s="7">
        <f>AVERAGE(B9:F9)</f>
        <v>4982.6926760000006</v>
      </c>
      <c r="H9" s="8">
        <f t="shared" ref="H9:H15" si="0">G9*H$8</f>
        <v>262261.14402220066</v>
      </c>
      <c r="I9" s="9">
        <f t="shared" ref="I9:I15" si="1">STDEVP(B9:F9)/AVERAGE(B9:F9)</f>
        <v>2.1207430086354211E-2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5.3929093853120535E-3</v>
      </c>
      <c r="M9" s="10" t="s">
        <v>13</v>
      </c>
    </row>
    <row r="10" spans="1:49" ht="13.15" x14ac:dyDescent="0.4">
      <c r="A10" s="4" t="s">
        <v>14</v>
      </c>
      <c r="B10">
        <v>2819.538086</v>
      </c>
      <c r="C10">
        <v>2956.975586</v>
      </c>
      <c r="D10">
        <v>2899.97876</v>
      </c>
      <c r="E10">
        <v>2988.5200199999999</v>
      </c>
      <c r="F10">
        <v>2941.303711</v>
      </c>
      <c r="G10" s="7">
        <f t="shared" ref="G10:G15" si="4">AVERAGE(B10:F10)</f>
        <v>2921.2632325999998</v>
      </c>
      <c r="H10" s="11">
        <f t="shared" si="0"/>
        <v>153758.99883648934</v>
      </c>
      <c r="I10" s="6">
        <f t="shared" si="1"/>
        <v>1.9961260334248686E-2</v>
      </c>
      <c r="J10" s="6">
        <f t="shared" si="2"/>
        <v>0.11</v>
      </c>
      <c r="K10" s="6">
        <f t="shared" si="3"/>
        <v>5.4950258286898378E-3</v>
      </c>
    </row>
    <row r="11" spans="1:49" ht="40.15" x14ac:dyDescent="1.05">
      <c r="A11" s="4" t="s">
        <v>15</v>
      </c>
      <c r="B11">
        <v>1507.4338379999999</v>
      </c>
      <c r="C11">
        <v>1573.759644</v>
      </c>
      <c r="D11">
        <v>1551.770264</v>
      </c>
      <c r="E11">
        <v>1593.1235349999999</v>
      </c>
      <c r="F11">
        <v>1557.287231</v>
      </c>
      <c r="G11" s="7">
        <f t="shared" si="4"/>
        <v>1556.6749023999998</v>
      </c>
      <c r="H11" s="11">
        <f t="shared" si="0"/>
        <v>81934.682173055509</v>
      </c>
      <c r="I11" s="6">
        <f t="shared" si="1"/>
        <v>1.832684966805798E-2</v>
      </c>
      <c r="J11" s="6">
        <f t="shared" si="2"/>
        <v>0.11</v>
      </c>
      <c r="K11" s="6">
        <f t="shared" si="3"/>
        <v>5.2291468476690665E-3</v>
      </c>
      <c r="M11" s="10" t="s">
        <v>16</v>
      </c>
    </row>
    <row r="12" spans="1:49" ht="13.15" x14ac:dyDescent="0.4">
      <c r="A12" s="4" t="s">
        <v>17</v>
      </c>
      <c r="B12">
        <v>800.02172900000005</v>
      </c>
      <c r="C12">
        <v>839.51281700000004</v>
      </c>
      <c r="D12">
        <v>818.85400400000003</v>
      </c>
      <c r="E12">
        <v>841.46154799999999</v>
      </c>
      <c r="F12">
        <v>827.84918200000004</v>
      </c>
      <c r="G12" s="7">
        <f t="shared" si="4"/>
        <v>825.53985599999999</v>
      </c>
      <c r="H12" s="11">
        <f t="shared" si="0"/>
        <v>43451.812332983376</v>
      </c>
      <c r="I12" s="6">
        <f t="shared" si="1"/>
        <v>1.8370326291196545E-2</v>
      </c>
      <c r="J12" s="6">
        <f t="shared" si="2"/>
        <v>0.11</v>
      </c>
      <c r="K12" s="6">
        <f t="shared" si="3"/>
        <v>4.7684799292645186E-3</v>
      </c>
      <c r="M12" s="12">
        <v>46007</v>
      </c>
    </row>
    <row r="13" spans="1:49" ht="13.15" x14ac:dyDescent="0.4">
      <c r="A13" s="4" t="s">
        <v>18</v>
      </c>
      <c r="B13">
        <v>400.16250600000001</v>
      </c>
      <c r="C13">
        <v>411.16326900000001</v>
      </c>
      <c r="D13">
        <v>407.49951199999998</v>
      </c>
      <c r="E13">
        <v>416.852844</v>
      </c>
      <c r="F13">
        <v>410.092804</v>
      </c>
      <c r="G13" s="7">
        <f t="shared" si="4"/>
        <v>409.15418699999998</v>
      </c>
      <c r="H13" s="11">
        <f t="shared" si="0"/>
        <v>21535.593732470727</v>
      </c>
      <c r="I13" s="6">
        <f t="shared" si="1"/>
        <v>1.3287047713815583E-2</v>
      </c>
      <c r="J13" s="6">
        <f t="shared" si="2"/>
        <v>0.11</v>
      </c>
      <c r="K13" s="6">
        <f t="shared" si="3"/>
        <v>3.8750587068409454E-3</v>
      </c>
      <c r="M13" t="s">
        <v>19</v>
      </c>
    </row>
    <row r="14" spans="1:49" ht="13.15" x14ac:dyDescent="0.4">
      <c r="A14" s="4" t="s">
        <v>20</v>
      </c>
      <c r="B14">
        <v>213.73005699999999</v>
      </c>
      <c r="C14">
        <v>213.33415199999999</v>
      </c>
      <c r="D14">
        <v>210.70753500000001</v>
      </c>
      <c r="E14">
        <v>216.60275300000001</v>
      </c>
      <c r="F14">
        <v>209.15855400000001</v>
      </c>
      <c r="G14" s="7">
        <f t="shared" si="4"/>
        <v>212.70661020000003</v>
      </c>
      <c r="H14" s="13">
        <f t="shared" si="0"/>
        <v>11195.689270749697</v>
      </c>
      <c r="I14" s="14">
        <f t="shared" si="1"/>
        <v>1.2115560326990602E-2</v>
      </c>
      <c r="J14" s="14">
        <f t="shared" si="2"/>
        <v>0.11</v>
      </c>
      <c r="K14" s="14">
        <f t="shared" si="3"/>
        <v>3.3245827121377008E-3</v>
      </c>
      <c r="M14" s="15"/>
    </row>
    <row r="15" spans="1:49" ht="13.15" x14ac:dyDescent="0.4">
      <c r="A15" s="4" t="s">
        <v>21</v>
      </c>
      <c r="B15">
        <v>122.535866</v>
      </c>
      <c r="C15">
        <v>124.69399300000001</v>
      </c>
      <c r="D15">
        <v>122.98324599999999</v>
      </c>
      <c r="E15">
        <v>121.00973500000001</v>
      </c>
      <c r="F15">
        <v>118.317566</v>
      </c>
      <c r="G15" s="7">
        <f t="shared" si="4"/>
        <v>121.90808120000001</v>
      </c>
      <c r="H15" s="11">
        <f t="shared" si="0"/>
        <v>6416.5612691829865</v>
      </c>
      <c r="I15" s="6">
        <f t="shared" si="1"/>
        <v>1.7597173482436276E-2</v>
      </c>
      <c r="J15" s="6">
        <f t="shared" si="2"/>
        <v>0.113</v>
      </c>
      <c r="K15" s="6">
        <f t="shared" si="3"/>
        <v>4.9687260298006235E-3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x14ac:dyDescent="0.35">
      <c r="A31" s="4" t="s">
        <v>11</v>
      </c>
      <c r="B31" s="4" t="s">
        <v>12</v>
      </c>
      <c r="C31" s="4" t="s">
        <v>14</v>
      </c>
      <c r="D31" s="4" t="s">
        <v>15</v>
      </c>
      <c r="E31" s="4" t="s">
        <v>17</v>
      </c>
      <c r="F31" s="4" t="s">
        <v>18</v>
      </c>
      <c r="G31" s="4" t="s">
        <v>20</v>
      </c>
      <c r="H31" s="4" t="s">
        <v>21</v>
      </c>
      <c r="I31" s="6"/>
      <c r="J31" s="6"/>
      <c r="K31" s="6"/>
      <c r="M31" s="15"/>
    </row>
    <row r="32" spans="1:49" x14ac:dyDescent="0.35">
      <c r="A32">
        <v>9.8909819999999993</v>
      </c>
      <c r="B32">
        <v>4799.7255859999996</v>
      </c>
      <c r="C32">
        <v>2819.538086</v>
      </c>
      <c r="D32">
        <v>1507.4338379999999</v>
      </c>
      <c r="E32">
        <v>800.02172900000005</v>
      </c>
      <c r="F32">
        <v>400.16250600000001</v>
      </c>
      <c r="G32">
        <v>213.73005699999999</v>
      </c>
      <c r="H32">
        <v>122.535866</v>
      </c>
      <c r="I32" s="6"/>
      <c r="J32" s="6"/>
      <c r="K32" s="6"/>
      <c r="M32" s="15"/>
    </row>
    <row r="33" spans="1:13" x14ac:dyDescent="0.35">
      <c r="A33">
        <v>10.706208999999999</v>
      </c>
      <c r="B33">
        <v>5075.3725590000004</v>
      </c>
      <c r="C33">
        <v>2956.975586</v>
      </c>
      <c r="D33">
        <v>1573.759644</v>
      </c>
      <c r="E33">
        <v>839.51281700000004</v>
      </c>
      <c r="F33">
        <v>411.16326900000001</v>
      </c>
      <c r="G33">
        <v>213.33415199999999</v>
      </c>
      <c r="H33">
        <v>124.69399300000001</v>
      </c>
      <c r="I33" s="6"/>
      <c r="J33" s="6"/>
      <c r="K33" s="6"/>
      <c r="M33" s="15"/>
    </row>
    <row r="34" spans="1:13" x14ac:dyDescent="0.35">
      <c r="A34">
        <v>10.635595</v>
      </c>
      <c r="B34">
        <v>4934.6557620000003</v>
      </c>
      <c r="C34">
        <v>2899.97876</v>
      </c>
      <c r="D34">
        <v>1551.770264</v>
      </c>
      <c r="E34">
        <v>818.85400400000003</v>
      </c>
      <c r="F34">
        <v>407.49951199999998</v>
      </c>
      <c r="G34">
        <v>210.70753500000001</v>
      </c>
      <c r="H34">
        <v>122.98324599999999</v>
      </c>
      <c r="I34" s="6"/>
      <c r="J34" s="6"/>
      <c r="K34" s="6"/>
      <c r="M34" s="15"/>
    </row>
    <row r="35" spans="1:13" x14ac:dyDescent="0.35">
      <c r="A35">
        <v>10.701618</v>
      </c>
      <c r="B35">
        <v>5082.595703</v>
      </c>
      <c r="C35">
        <v>2988.5200199999999</v>
      </c>
      <c r="D35">
        <v>1593.1235349999999</v>
      </c>
      <c r="E35">
        <v>841.46154799999999</v>
      </c>
      <c r="F35">
        <v>416.852844</v>
      </c>
      <c r="G35">
        <v>216.60275300000001</v>
      </c>
      <c r="H35">
        <v>121.00973500000001</v>
      </c>
      <c r="I35" s="6"/>
      <c r="J35" s="6"/>
      <c r="K35" s="6"/>
      <c r="M35" s="15"/>
    </row>
    <row r="36" spans="1:13" x14ac:dyDescent="0.35">
      <c r="A36">
        <v>10.700017000000001</v>
      </c>
      <c r="B36">
        <v>5021.1137699999999</v>
      </c>
      <c r="C36">
        <v>2941.303711</v>
      </c>
      <c r="D36">
        <v>1557.287231</v>
      </c>
      <c r="E36">
        <v>827.84918200000004</v>
      </c>
      <c r="F36">
        <v>410.092804</v>
      </c>
      <c r="G36">
        <v>209.15855400000001</v>
      </c>
      <c r="H36">
        <v>118.317566</v>
      </c>
      <c r="I36" s="6"/>
      <c r="J36" s="6"/>
      <c r="K36" s="6"/>
      <c r="M36" s="15"/>
    </row>
    <row r="37" spans="1:13" x14ac:dyDescent="0.35">
      <c r="I37" s="6"/>
      <c r="J37" s="6"/>
      <c r="K37" s="6"/>
    </row>
    <row r="38" spans="1:13" x14ac:dyDescent="0.35">
      <c r="I38" s="6"/>
      <c r="J38" s="6"/>
      <c r="K38" s="6"/>
    </row>
    <row r="43" spans="1:13" x14ac:dyDescent="0.35">
      <c r="G43" s="15"/>
      <c r="H43" s="15"/>
    </row>
    <row r="44" spans="1:13" ht="13.15" x14ac:dyDescent="0.4">
      <c r="A44" s="1"/>
    </row>
    <row r="48" spans="1:13" x14ac:dyDescent="0.35">
      <c r="H48" s="32"/>
    </row>
    <row r="49" spans="1:10" ht="13.15" x14ac:dyDescent="0.4">
      <c r="A49" s="1"/>
      <c r="H49" s="33"/>
    </row>
    <row r="64" spans="1:10" x14ac:dyDescent="0.35">
      <c r="I64" s="15"/>
      <c r="J64" s="15"/>
    </row>
    <row r="69" spans="10:11" x14ac:dyDescent="0.35">
      <c r="J69" s="28"/>
    </row>
    <row r="70" spans="10:11" ht="13.15" x14ac:dyDescent="0.4">
      <c r="J70" s="34"/>
    </row>
    <row r="71" spans="10:11" ht="13.15" x14ac:dyDescent="0.4">
      <c r="K71" s="3"/>
    </row>
  </sheetData>
  <conditionalFormatting sqref="H28:H30 H9:H18">
    <cfRule type="cellIs" dxfId="9" priority="1" operator="greaterThan">
      <formula>1000</formula>
    </cfRule>
  </conditionalFormatting>
  <conditionalFormatting sqref="K9:K38">
    <cfRule type="cellIs" dxfId="8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B8" sqref="B8:F15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46007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9.8909819999999993</v>
      </c>
      <c r="C8">
        <v>10.706208999999999</v>
      </c>
      <c r="D8">
        <v>10.635595</v>
      </c>
      <c r="E8">
        <v>10.701618</v>
      </c>
      <c r="F8">
        <v>10.700017000000001</v>
      </c>
      <c r="G8" s="5">
        <v>25.517626</v>
      </c>
      <c r="H8" s="5">
        <f>AVERAGE(B$8:F$8)*5</f>
        <v>52.634421000000003</v>
      </c>
      <c r="I8" s="6"/>
      <c r="K8" s="6"/>
    </row>
    <row r="9" spans="1:49" ht="13.15" x14ac:dyDescent="0.4">
      <c r="A9" s="18" t="s">
        <v>12</v>
      </c>
      <c r="B9">
        <v>4799.7255859999996</v>
      </c>
      <c r="C9">
        <v>5075.3725590000004</v>
      </c>
      <c r="D9">
        <v>4934.6557620000003</v>
      </c>
      <c r="E9">
        <v>5082.595703</v>
      </c>
      <c r="F9">
        <v>5021.1137699999999</v>
      </c>
      <c r="G9" s="7">
        <f>AVERAGE(B9:F9)</f>
        <v>4982.6926760000006</v>
      </c>
      <c r="H9" s="8">
        <f t="shared" ref="H9:H15" si="0">G9*H$8</f>
        <v>262261.14402220066</v>
      </c>
      <c r="I9" s="9">
        <f t="shared" ref="I9:I15" si="1">STDEVP(B9:F9)/AVERAGE(B9:F9)</f>
        <v>2.1207430086354211E-2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5.3929093853120535E-3</v>
      </c>
      <c r="M9" s="15"/>
    </row>
    <row r="10" spans="1:49" ht="13.15" x14ac:dyDescent="0.4">
      <c r="A10" s="4" t="s">
        <v>14</v>
      </c>
      <c r="B10">
        <v>2819.538086</v>
      </c>
      <c r="C10">
        <v>2956.975586</v>
      </c>
      <c r="D10">
        <v>2899.97876</v>
      </c>
      <c r="E10">
        <v>2988.5200199999999</v>
      </c>
      <c r="F10">
        <v>2941.303711</v>
      </c>
      <c r="G10" s="7">
        <f t="shared" ref="G10:G15" si="4">AVERAGE(B10:F10)</f>
        <v>2921.2632325999998</v>
      </c>
      <c r="H10" s="11">
        <f t="shared" si="0"/>
        <v>153758.99883648934</v>
      </c>
      <c r="I10" s="6">
        <f t="shared" si="1"/>
        <v>1.9961260334248686E-2</v>
      </c>
      <c r="J10" s="6">
        <f t="shared" si="2"/>
        <v>0.11</v>
      </c>
      <c r="K10" s="6">
        <f t="shared" si="3"/>
        <v>5.4950258286898378E-3</v>
      </c>
      <c r="M10" s="15"/>
    </row>
    <row r="11" spans="1:49" ht="13.15" x14ac:dyDescent="0.4">
      <c r="A11" s="4" t="s">
        <v>15</v>
      </c>
      <c r="B11">
        <v>1507.4338379999999</v>
      </c>
      <c r="C11">
        <v>1573.759644</v>
      </c>
      <c r="D11">
        <v>1551.770264</v>
      </c>
      <c r="E11">
        <v>1593.1235349999999</v>
      </c>
      <c r="F11">
        <v>1557.287231</v>
      </c>
      <c r="G11" s="7">
        <f t="shared" si="4"/>
        <v>1556.6749023999998</v>
      </c>
      <c r="H11" s="11">
        <f t="shared" si="0"/>
        <v>81934.682173055509</v>
      </c>
      <c r="I11" s="6">
        <f t="shared" si="1"/>
        <v>1.832684966805798E-2</v>
      </c>
      <c r="J11" s="6">
        <f t="shared" si="2"/>
        <v>0.11</v>
      </c>
      <c r="K11" s="6">
        <f t="shared" si="3"/>
        <v>5.2291468476690665E-3</v>
      </c>
      <c r="M11" s="15"/>
    </row>
    <row r="12" spans="1:49" ht="13.15" x14ac:dyDescent="0.4">
      <c r="A12" s="4" t="s">
        <v>17</v>
      </c>
      <c r="B12">
        <v>800.02172900000005</v>
      </c>
      <c r="C12">
        <v>839.51281700000004</v>
      </c>
      <c r="D12">
        <v>818.85400400000003</v>
      </c>
      <c r="E12">
        <v>841.46154799999999</v>
      </c>
      <c r="F12">
        <v>827.84918200000004</v>
      </c>
      <c r="G12" s="7">
        <f t="shared" si="4"/>
        <v>825.53985599999999</v>
      </c>
      <c r="H12" s="11">
        <f t="shared" si="0"/>
        <v>43451.812332983376</v>
      </c>
      <c r="I12" s="6">
        <f t="shared" si="1"/>
        <v>1.8370326291196545E-2</v>
      </c>
      <c r="J12" s="6">
        <f t="shared" si="2"/>
        <v>0.11</v>
      </c>
      <c r="K12" s="6">
        <f t="shared" si="3"/>
        <v>4.7684799292645186E-3</v>
      </c>
      <c r="M12" s="15"/>
    </row>
    <row r="13" spans="1:49" ht="13.15" x14ac:dyDescent="0.4">
      <c r="A13" s="4" t="s">
        <v>18</v>
      </c>
      <c r="B13">
        <v>400.16250600000001</v>
      </c>
      <c r="C13">
        <v>411.16326900000001</v>
      </c>
      <c r="D13">
        <v>407.49951199999998</v>
      </c>
      <c r="E13">
        <v>416.852844</v>
      </c>
      <c r="F13">
        <v>410.092804</v>
      </c>
      <c r="G13" s="7">
        <f t="shared" si="4"/>
        <v>409.15418699999998</v>
      </c>
      <c r="H13" s="11">
        <f t="shared" si="0"/>
        <v>21535.593732470727</v>
      </c>
      <c r="I13" s="6">
        <f t="shared" si="1"/>
        <v>1.3287047713815583E-2</v>
      </c>
      <c r="J13" s="6">
        <f t="shared" si="2"/>
        <v>0.11</v>
      </c>
      <c r="K13" s="6">
        <f t="shared" si="3"/>
        <v>3.8750587068409454E-3</v>
      </c>
      <c r="M13" s="15"/>
    </row>
    <row r="14" spans="1:49" ht="13.15" x14ac:dyDescent="0.4">
      <c r="A14" s="23" t="s">
        <v>20</v>
      </c>
      <c r="B14">
        <v>213.73005699999999</v>
      </c>
      <c r="C14">
        <v>213.33415199999999</v>
      </c>
      <c r="D14">
        <v>210.70753500000001</v>
      </c>
      <c r="E14">
        <v>216.60275300000001</v>
      </c>
      <c r="F14">
        <v>209.15855400000001</v>
      </c>
      <c r="G14" s="7">
        <f t="shared" si="4"/>
        <v>212.70661020000003</v>
      </c>
      <c r="H14" s="13">
        <f t="shared" si="0"/>
        <v>11195.689270749697</v>
      </c>
      <c r="I14" s="14">
        <f t="shared" si="1"/>
        <v>1.2115560326990602E-2</v>
      </c>
      <c r="J14" s="14">
        <f t="shared" si="2"/>
        <v>0.11</v>
      </c>
      <c r="K14" s="14">
        <f t="shared" si="3"/>
        <v>3.3245827121377008E-3</v>
      </c>
      <c r="M14" s="15"/>
    </row>
    <row r="15" spans="1:49" ht="13.15" x14ac:dyDescent="0.4">
      <c r="A15" s="4" t="s">
        <v>21</v>
      </c>
      <c r="B15">
        <v>122.535866</v>
      </c>
      <c r="C15">
        <v>124.69399300000001</v>
      </c>
      <c r="D15">
        <v>122.98324599999999</v>
      </c>
      <c r="E15">
        <v>121.00973500000001</v>
      </c>
      <c r="F15">
        <v>118.317566</v>
      </c>
      <c r="G15" s="7">
        <f t="shared" si="4"/>
        <v>121.90808120000001</v>
      </c>
      <c r="H15" s="11">
        <f t="shared" si="0"/>
        <v>6416.5612691829865</v>
      </c>
      <c r="I15" s="6">
        <f t="shared" si="1"/>
        <v>1.7597173482436276E-2</v>
      </c>
      <c r="J15" s="6">
        <f t="shared" si="2"/>
        <v>0.113</v>
      </c>
      <c r="K15" s="6">
        <f t="shared" si="3"/>
        <v>4.9687260298006235E-3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ht="13.15" x14ac:dyDescent="0.4">
      <c r="A31" s="4"/>
      <c r="G31" s="16"/>
      <c r="H31" s="11"/>
      <c r="I31" s="6"/>
      <c r="J31" s="6"/>
      <c r="K31" s="6"/>
      <c r="M31" s="15"/>
    </row>
    <row r="32" spans="1:49" ht="13.15" x14ac:dyDescent="0.4">
      <c r="A32" s="4"/>
      <c r="G32" s="16"/>
      <c r="H32" s="11"/>
      <c r="I32" s="6"/>
      <c r="J32" s="6"/>
      <c r="K32" s="6"/>
      <c r="M32" s="15"/>
    </row>
    <row r="33" spans="1:13" ht="13.15" x14ac:dyDescent="0.4">
      <c r="A33" s="4"/>
      <c r="G33" s="16"/>
      <c r="H33" s="11"/>
      <c r="I33" s="6"/>
      <c r="J33" s="6"/>
      <c r="K33" s="6"/>
      <c r="M33" s="15"/>
    </row>
    <row r="34" spans="1:13" ht="13.15" x14ac:dyDescent="0.4">
      <c r="A34" s="4"/>
      <c r="G34" s="16"/>
      <c r="H34" s="11"/>
      <c r="I34" s="6"/>
      <c r="J34" s="6"/>
      <c r="K34" s="6"/>
      <c r="M34" s="15"/>
    </row>
    <row r="35" spans="1:13" ht="13.15" x14ac:dyDescent="0.4">
      <c r="A35" s="4"/>
      <c r="G35" s="16"/>
      <c r="H35" s="11"/>
      <c r="I35" s="6"/>
      <c r="J35" s="6"/>
      <c r="K35" s="6"/>
      <c r="M35" s="15"/>
    </row>
    <row r="36" spans="1:13" ht="13.15" x14ac:dyDescent="0.4">
      <c r="A36" s="4"/>
      <c r="G36" s="16"/>
      <c r="H36" s="11"/>
      <c r="I36" s="6"/>
      <c r="J36" s="6"/>
      <c r="K36" s="6"/>
      <c r="M36" s="15"/>
    </row>
    <row r="37" spans="1:13" ht="13.15" x14ac:dyDescent="0.4">
      <c r="A37" s="4"/>
      <c r="G37" s="16"/>
      <c r="H37" s="11"/>
      <c r="I37" s="6"/>
      <c r="J37" s="6"/>
      <c r="K37" s="6"/>
    </row>
    <row r="38" spans="1:13" ht="13.15" x14ac:dyDescent="0.4">
      <c r="A38" s="4"/>
      <c r="G38" s="16"/>
      <c r="H38" s="11"/>
      <c r="I38" s="6"/>
      <c r="J38" s="6"/>
      <c r="K38" s="6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28:H39 H9:H18">
    <cfRule type="cellIs" dxfId="7" priority="1" operator="greaterThan">
      <formula>1000</formula>
    </cfRule>
  </conditionalFormatting>
  <conditionalFormatting sqref="K9:K38">
    <cfRule type="cellIs" dxfId="6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B8" sqref="B8:F15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45831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36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9.8909819999999993</v>
      </c>
      <c r="C8">
        <v>10.706208999999999</v>
      </c>
      <c r="D8">
        <v>10.635595</v>
      </c>
      <c r="E8">
        <v>10.701618</v>
      </c>
      <c r="F8">
        <v>10.700017000000001</v>
      </c>
      <c r="G8" s="5">
        <v>25.517626</v>
      </c>
      <c r="H8" s="5">
        <f>AVERAGE(B$8:F$8)*5</f>
        <v>52.634421000000003</v>
      </c>
      <c r="I8" s="6"/>
      <c r="K8" s="6"/>
    </row>
    <row r="9" spans="1:49" ht="13.15" x14ac:dyDescent="0.4">
      <c r="A9" s="18" t="s">
        <v>12</v>
      </c>
      <c r="B9">
        <v>4799.7255859999996</v>
      </c>
      <c r="C9">
        <v>5075.3725590000004</v>
      </c>
      <c r="D9">
        <v>4934.6557620000003</v>
      </c>
      <c r="E9">
        <v>5082.595703</v>
      </c>
      <c r="F9">
        <v>5021.1137699999999</v>
      </c>
      <c r="G9" s="7">
        <f>AVERAGE(B9:F9)</f>
        <v>4982.6926760000006</v>
      </c>
      <c r="H9" s="8">
        <f t="shared" ref="H9:H15" si="0">G9*H$8</f>
        <v>262261.14402220066</v>
      </c>
      <c r="I9" s="9">
        <f t="shared" ref="I9:I15" si="1">STDEVP(B9:F9)/AVERAGE(B9:F9)</f>
        <v>2.1207430086354211E-2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5.3929093853120535E-3</v>
      </c>
      <c r="M9" s="15"/>
    </row>
    <row r="10" spans="1:49" ht="13.15" x14ac:dyDescent="0.4">
      <c r="A10" s="4" t="s">
        <v>14</v>
      </c>
      <c r="B10">
        <v>2819.538086</v>
      </c>
      <c r="C10">
        <v>2956.975586</v>
      </c>
      <c r="D10">
        <v>2899.97876</v>
      </c>
      <c r="E10">
        <v>2988.5200199999999</v>
      </c>
      <c r="F10">
        <v>2941.303711</v>
      </c>
      <c r="G10" s="7">
        <f t="shared" ref="G10:G15" si="4">AVERAGE(B10:F10)</f>
        <v>2921.2632325999998</v>
      </c>
      <c r="H10" s="11">
        <f t="shared" si="0"/>
        <v>153758.99883648934</v>
      </c>
      <c r="I10" s="6">
        <f t="shared" si="1"/>
        <v>1.9961260334248686E-2</v>
      </c>
      <c r="J10" s="6">
        <f t="shared" si="2"/>
        <v>0.11</v>
      </c>
      <c r="K10" s="6">
        <f t="shared" si="3"/>
        <v>5.4950258286898378E-3</v>
      </c>
      <c r="M10" s="15"/>
    </row>
    <row r="11" spans="1:49" ht="13.15" x14ac:dyDescent="0.4">
      <c r="A11" s="4" t="s">
        <v>15</v>
      </c>
      <c r="B11">
        <v>1507.4338379999999</v>
      </c>
      <c r="C11">
        <v>1573.759644</v>
      </c>
      <c r="D11">
        <v>1551.770264</v>
      </c>
      <c r="E11">
        <v>1593.1235349999999</v>
      </c>
      <c r="F11">
        <v>1557.287231</v>
      </c>
      <c r="G11" s="7">
        <f t="shared" si="4"/>
        <v>1556.6749023999998</v>
      </c>
      <c r="H11" s="11">
        <f t="shared" si="0"/>
        <v>81934.682173055509</v>
      </c>
      <c r="I11" s="6">
        <f t="shared" si="1"/>
        <v>1.832684966805798E-2</v>
      </c>
      <c r="J11" s="6">
        <f t="shared" si="2"/>
        <v>0.11</v>
      </c>
      <c r="K11" s="6">
        <f t="shared" si="3"/>
        <v>5.2291468476690665E-3</v>
      </c>
      <c r="M11" s="15"/>
    </row>
    <row r="12" spans="1:49" ht="13.15" x14ac:dyDescent="0.4">
      <c r="A12" s="4" t="s">
        <v>17</v>
      </c>
      <c r="B12">
        <v>800.02172900000005</v>
      </c>
      <c r="C12">
        <v>839.51281700000004</v>
      </c>
      <c r="D12">
        <v>818.85400400000003</v>
      </c>
      <c r="E12">
        <v>841.46154799999999</v>
      </c>
      <c r="F12">
        <v>827.84918200000004</v>
      </c>
      <c r="G12" s="7">
        <f t="shared" si="4"/>
        <v>825.53985599999999</v>
      </c>
      <c r="H12" s="11">
        <f t="shared" si="0"/>
        <v>43451.812332983376</v>
      </c>
      <c r="I12" s="6">
        <f t="shared" si="1"/>
        <v>1.8370326291196545E-2</v>
      </c>
      <c r="J12" s="6">
        <f t="shared" si="2"/>
        <v>0.11</v>
      </c>
      <c r="K12" s="6">
        <f t="shared" si="3"/>
        <v>4.7684799292645186E-3</v>
      </c>
      <c r="M12" s="15"/>
    </row>
    <row r="13" spans="1:49" ht="13.15" x14ac:dyDescent="0.4">
      <c r="A13" s="4" t="s">
        <v>18</v>
      </c>
      <c r="B13">
        <v>400.16250600000001</v>
      </c>
      <c r="C13">
        <v>411.16326900000001</v>
      </c>
      <c r="D13">
        <v>407.49951199999998</v>
      </c>
      <c r="E13">
        <v>416.852844</v>
      </c>
      <c r="F13">
        <v>410.092804</v>
      </c>
      <c r="G13" s="7">
        <f t="shared" si="4"/>
        <v>409.15418699999998</v>
      </c>
      <c r="H13" s="11">
        <f t="shared" si="0"/>
        <v>21535.593732470727</v>
      </c>
      <c r="I13" s="6">
        <f t="shared" si="1"/>
        <v>1.3287047713815583E-2</v>
      </c>
      <c r="J13" s="6">
        <f t="shared" si="2"/>
        <v>0.11</v>
      </c>
      <c r="K13" s="6">
        <f t="shared" si="3"/>
        <v>3.8750587068409454E-3</v>
      </c>
      <c r="M13" s="15"/>
    </row>
    <row r="14" spans="1:49" ht="13.15" x14ac:dyDescent="0.4">
      <c r="A14" s="23" t="s">
        <v>20</v>
      </c>
      <c r="B14">
        <v>213.73005699999999</v>
      </c>
      <c r="C14">
        <v>213.33415199999999</v>
      </c>
      <c r="D14">
        <v>210.70753500000001</v>
      </c>
      <c r="E14">
        <v>216.60275300000001</v>
      </c>
      <c r="F14">
        <v>209.15855400000001</v>
      </c>
      <c r="G14" s="7">
        <f t="shared" si="4"/>
        <v>212.70661020000003</v>
      </c>
      <c r="H14" s="13">
        <f t="shared" si="0"/>
        <v>11195.689270749697</v>
      </c>
      <c r="I14" s="14">
        <f t="shared" si="1"/>
        <v>1.2115560326990602E-2</v>
      </c>
      <c r="J14" s="14">
        <f t="shared" si="2"/>
        <v>0.11</v>
      </c>
      <c r="K14" s="14">
        <f t="shared" si="3"/>
        <v>3.3245827121377008E-3</v>
      </c>
      <c r="M14" s="15"/>
    </row>
    <row r="15" spans="1:49" ht="13.15" x14ac:dyDescent="0.4">
      <c r="A15" s="4" t="s">
        <v>21</v>
      </c>
      <c r="B15">
        <v>122.535866</v>
      </c>
      <c r="C15">
        <v>124.69399300000001</v>
      </c>
      <c r="D15">
        <v>122.98324599999999</v>
      </c>
      <c r="E15">
        <v>121.00973500000001</v>
      </c>
      <c r="F15">
        <v>118.317566</v>
      </c>
      <c r="G15" s="7">
        <f t="shared" si="4"/>
        <v>121.90808120000001</v>
      </c>
      <c r="H15" s="11">
        <f t="shared" si="0"/>
        <v>6416.5612691829865</v>
      </c>
      <c r="I15" s="6">
        <f t="shared" si="1"/>
        <v>1.7597173482436276E-2</v>
      </c>
      <c r="J15" s="6">
        <f t="shared" si="2"/>
        <v>0.113</v>
      </c>
      <c r="K15" s="6">
        <f t="shared" si="3"/>
        <v>4.9687260298006235E-3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ht="13.15" x14ac:dyDescent="0.4">
      <c r="A31" s="4"/>
      <c r="G31" s="16"/>
      <c r="H31" s="11"/>
      <c r="I31" s="6"/>
      <c r="J31" s="6"/>
      <c r="K31" s="6"/>
      <c r="M31" s="15"/>
    </row>
    <row r="32" spans="1:49" ht="13.15" x14ac:dyDescent="0.4">
      <c r="A32" s="4"/>
      <c r="G32" s="16"/>
      <c r="H32" s="11"/>
      <c r="I32" s="6"/>
      <c r="J32" s="6"/>
      <c r="K32" s="6"/>
      <c r="M32" s="15"/>
    </row>
    <row r="33" spans="1:13" ht="13.15" x14ac:dyDescent="0.4">
      <c r="A33" s="4"/>
      <c r="G33" s="16"/>
      <c r="H33" s="11"/>
      <c r="I33" s="6"/>
      <c r="J33" s="6"/>
      <c r="K33" s="6"/>
      <c r="M33" s="15"/>
    </row>
    <row r="34" spans="1:13" ht="13.15" x14ac:dyDescent="0.4">
      <c r="A34" s="4"/>
      <c r="G34" s="16"/>
      <c r="H34" s="11"/>
      <c r="I34" s="6"/>
      <c r="J34" s="6"/>
      <c r="K34" s="6"/>
      <c r="M34" s="15"/>
    </row>
    <row r="35" spans="1:13" ht="13.15" x14ac:dyDescent="0.4">
      <c r="A35" s="4"/>
      <c r="G35" s="16"/>
      <c r="H35" s="11"/>
      <c r="I35" s="6"/>
      <c r="J35" s="6"/>
      <c r="K35" s="6"/>
      <c r="M35" s="15"/>
    </row>
    <row r="36" spans="1:13" ht="13.15" x14ac:dyDescent="0.4">
      <c r="A36" s="4"/>
      <c r="G36" s="16"/>
      <c r="H36" s="11"/>
      <c r="I36" s="6"/>
      <c r="J36" s="6"/>
      <c r="K36" s="6"/>
      <c r="M36" s="15"/>
    </row>
    <row r="37" spans="1:13" ht="13.15" x14ac:dyDescent="0.4">
      <c r="A37" s="4"/>
      <c r="G37" s="16"/>
      <c r="H37" s="11"/>
      <c r="I37" s="6"/>
      <c r="J37" s="6"/>
      <c r="K37" s="6"/>
    </row>
    <row r="38" spans="1:13" ht="13.15" x14ac:dyDescent="0.4">
      <c r="A38" s="4"/>
      <c r="G38" s="16"/>
      <c r="H38" s="11"/>
      <c r="I38" s="6"/>
      <c r="J38" s="6"/>
      <c r="K38" s="6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28:H39 H9:H18">
    <cfRule type="cellIs" dxfId="5" priority="1" operator="greaterThan">
      <formula>1000</formula>
    </cfRule>
  </conditionalFormatting>
  <conditionalFormatting sqref="K9:K38">
    <cfRule type="cellIs" dxfId="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85" zoomScaleNormal="85" workbookViewId="0">
      <selection activeCell="K12" sqref="K12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5" t="s">
        <v>37</v>
      </c>
      <c r="B1" s="35" t="s">
        <v>38</v>
      </c>
      <c r="C1" s="36" t="s">
        <v>39</v>
      </c>
      <c r="D1" s="36"/>
      <c r="E1" s="36"/>
      <c r="F1" s="36"/>
      <c r="G1" s="36"/>
      <c r="H1" s="36"/>
      <c r="I1" s="36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  <c r="AMD1" s="37"/>
      <c r="AME1" s="37"/>
      <c r="AMF1" s="37"/>
      <c r="AMG1" s="37"/>
      <c r="AMH1" s="37"/>
      <c r="AMI1" s="37"/>
      <c r="AMJ1" s="37"/>
    </row>
    <row r="3" spans="1:1024" ht="13.15" x14ac:dyDescent="0.4">
      <c r="A3" s="1" t="s">
        <v>40</v>
      </c>
      <c r="D3" s="4" t="s">
        <v>70</v>
      </c>
    </row>
    <row r="4" spans="1:1024" x14ac:dyDescent="0.35">
      <c r="A4" t="s">
        <v>41</v>
      </c>
      <c r="D4" s="4" t="s">
        <v>72</v>
      </c>
    </row>
    <row r="5" spans="1:1024" x14ac:dyDescent="0.35">
      <c r="A5" t="s">
        <v>42</v>
      </c>
      <c r="D5" s="4" t="s">
        <v>71</v>
      </c>
    </row>
    <row r="6" spans="1:1024" x14ac:dyDescent="0.35">
      <c r="A6" t="s">
        <v>43</v>
      </c>
      <c r="D6" s="4" t="s">
        <v>72</v>
      </c>
    </row>
    <row r="7" spans="1:1024" x14ac:dyDescent="0.35">
      <c r="A7" t="s">
        <v>44</v>
      </c>
      <c r="D7" s="4"/>
    </row>
    <row r="8" spans="1:1024" ht="13.15" x14ac:dyDescent="0.4">
      <c r="A8" t="s">
        <v>33</v>
      </c>
      <c r="D8" s="38">
        <v>46010</v>
      </c>
    </row>
    <row r="9" spans="1:1024" x14ac:dyDescent="0.35">
      <c r="A9" t="s">
        <v>45</v>
      </c>
      <c r="D9" s="39" t="s">
        <v>46</v>
      </c>
    </row>
    <row r="10" spans="1:1024" ht="13.15" x14ac:dyDescent="0.4">
      <c r="A10" t="s">
        <v>47</v>
      </c>
      <c r="D10" s="3">
        <v>99</v>
      </c>
    </row>
    <row r="11" spans="1:1024" x14ac:dyDescent="0.35">
      <c r="A11" t="s">
        <v>48</v>
      </c>
      <c r="D11">
        <v>1</v>
      </c>
    </row>
    <row r="13" spans="1:1024" x14ac:dyDescent="0.35">
      <c r="A13" t="s">
        <v>49</v>
      </c>
      <c r="B13">
        <v>50</v>
      </c>
      <c r="C13" t="s">
        <v>50</v>
      </c>
    </row>
    <row r="14" spans="1:1024" x14ac:dyDescent="0.35">
      <c r="A14" t="s">
        <v>51</v>
      </c>
      <c r="B14">
        <v>5</v>
      </c>
    </row>
    <row r="15" spans="1:1024" x14ac:dyDescent="0.35">
      <c r="A15" t="s">
        <v>52</v>
      </c>
      <c r="B15">
        <f>B13/B14</f>
        <v>10</v>
      </c>
      <c r="C15" t="s">
        <v>50</v>
      </c>
    </row>
    <row r="16" spans="1:1024" x14ac:dyDescent="0.35">
      <c r="A16" t="s">
        <v>53</v>
      </c>
      <c r="B16">
        <v>0.7</v>
      </c>
    </row>
    <row r="17" spans="1:10" x14ac:dyDescent="0.35">
      <c r="D17" s="4"/>
    </row>
    <row r="18" spans="1:10" x14ac:dyDescent="0.35">
      <c r="A18" t="s">
        <v>54</v>
      </c>
      <c r="B18">
        <f>$B$16*$B$15/100</f>
        <v>7.0000000000000007E-2</v>
      </c>
    </row>
    <row r="19" spans="1:10" x14ac:dyDescent="0.35">
      <c r="A19" s="40" t="s">
        <v>55</v>
      </c>
      <c r="B19">
        <f>B16*$B$13</f>
        <v>35</v>
      </c>
      <c r="C19" t="s">
        <v>50</v>
      </c>
    </row>
    <row r="20" spans="1:10" x14ac:dyDescent="0.35">
      <c r="A20" t="s">
        <v>56</v>
      </c>
      <c r="B20">
        <f>B15*B16</f>
        <v>7</v>
      </c>
      <c r="C20" t="s">
        <v>50</v>
      </c>
    </row>
    <row r="22" spans="1:10" x14ac:dyDescent="0.35">
      <c r="A22" s="41" t="s">
        <v>57</v>
      </c>
      <c r="B22" s="41" t="s">
        <v>58</v>
      </c>
      <c r="C22" s="41" t="s">
        <v>59</v>
      </c>
      <c r="D22" s="41" t="s">
        <v>60</v>
      </c>
      <c r="E22" s="41" t="s">
        <v>61</v>
      </c>
      <c r="F22" s="41" t="s">
        <v>62</v>
      </c>
      <c r="G22" s="41" t="s">
        <v>63</v>
      </c>
      <c r="H22" s="41" t="s">
        <v>64</v>
      </c>
      <c r="I22" s="41" t="s">
        <v>65</v>
      </c>
    </row>
    <row r="23" spans="1:10" x14ac:dyDescent="0.35">
      <c r="A23" s="42">
        <v>4</v>
      </c>
      <c r="B23" s="43">
        <f>'E - B1'!$G9</f>
        <v>4982.6926760000006</v>
      </c>
      <c r="C23" s="43">
        <f>'E - B2'!$G9</f>
        <v>4982.6926760000006</v>
      </c>
      <c r="D23" s="43">
        <f>'E - B3'!$G9</f>
        <v>4982.6926760000006</v>
      </c>
      <c r="E23" s="15">
        <f t="shared" ref="E23:E28" si="0">AVERAGE(B23:D23)</f>
        <v>4982.6926760000006</v>
      </c>
      <c r="F23" s="44">
        <v>6300</v>
      </c>
      <c r="G23">
        <v>4553</v>
      </c>
      <c r="H23">
        <v>8713</v>
      </c>
      <c r="I23" s="6">
        <f t="shared" ref="I23:I28" si="1">(E23-F23)/F23</f>
        <v>-0.20909640063492055</v>
      </c>
    </row>
    <row r="24" spans="1:10" x14ac:dyDescent="0.35">
      <c r="A24" s="4">
        <v>5</v>
      </c>
      <c r="B24" s="43">
        <f>'E - B1'!$G10</f>
        <v>2921.2632325999998</v>
      </c>
      <c r="C24" s="43">
        <f>'E - B2'!$G10</f>
        <v>2921.2632325999998</v>
      </c>
      <c r="D24" s="43">
        <f>'E - B3'!$G10</f>
        <v>2921.2632325999998</v>
      </c>
      <c r="E24" s="15">
        <f t="shared" si="0"/>
        <v>2921.2632325999998</v>
      </c>
      <c r="F24" s="45">
        <v>3475</v>
      </c>
      <c r="G24">
        <v>2330</v>
      </c>
      <c r="H24">
        <v>5183</v>
      </c>
      <c r="I24" s="6">
        <f t="shared" si="1"/>
        <v>-0.15934871004316553</v>
      </c>
    </row>
    <row r="25" spans="1:10" x14ac:dyDescent="0.35">
      <c r="A25" s="4">
        <v>6</v>
      </c>
      <c r="B25" s="43">
        <f>'E - B1'!$G11</f>
        <v>1556.6749023999998</v>
      </c>
      <c r="C25" s="43">
        <f>'E - B2'!$G11</f>
        <v>1556.6749023999998</v>
      </c>
      <c r="D25" s="43">
        <f>'E - B3'!$G11</f>
        <v>1556.6749023999998</v>
      </c>
      <c r="E25" s="15">
        <f t="shared" si="0"/>
        <v>1556.6749023999998</v>
      </c>
      <c r="F25" s="45">
        <v>1631</v>
      </c>
      <c r="G25">
        <v>938.2</v>
      </c>
      <c r="H25">
        <v>2834</v>
      </c>
      <c r="I25" s="6">
        <f t="shared" si="1"/>
        <v>-4.5570262170447677E-2</v>
      </c>
    </row>
    <row r="26" spans="1:10" x14ac:dyDescent="0.35">
      <c r="A26" s="4">
        <v>7</v>
      </c>
      <c r="B26" s="43">
        <f>'E - B1'!$G12</f>
        <v>825.53985599999999</v>
      </c>
      <c r="C26" s="43">
        <f>'E - B2'!$G12</f>
        <v>825.53985599999999</v>
      </c>
      <c r="D26" s="43">
        <f>'E - B3'!$G12</f>
        <v>825.53985599999999</v>
      </c>
      <c r="E26" s="15">
        <f t="shared" si="0"/>
        <v>825.53985599999999</v>
      </c>
      <c r="F26" s="45">
        <v>769.8</v>
      </c>
      <c r="G26">
        <v>413.6</v>
      </c>
      <c r="H26">
        <v>1433</v>
      </c>
      <c r="I26" s="6">
        <f t="shared" si="1"/>
        <v>7.2408230709275184E-2</v>
      </c>
    </row>
    <row r="27" spans="1:10" x14ac:dyDescent="0.35">
      <c r="A27" s="4">
        <v>8</v>
      </c>
      <c r="B27" s="43">
        <f>'E - B1'!$G13</f>
        <v>409.15418699999998</v>
      </c>
      <c r="C27" s="43">
        <f>'E - B2'!$G13</f>
        <v>409.15418699999998</v>
      </c>
      <c r="D27" s="43">
        <f>'E - B3'!$G13</f>
        <v>409.15418699999998</v>
      </c>
      <c r="E27" s="15">
        <f t="shared" si="0"/>
        <v>409.15418699999992</v>
      </c>
      <c r="F27" s="45">
        <v>379.1</v>
      </c>
      <c r="G27">
        <v>179.7</v>
      </c>
      <c r="H27">
        <v>799.5</v>
      </c>
      <c r="I27" s="6">
        <f t="shared" si="1"/>
        <v>7.9277728831442615E-2</v>
      </c>
    </row>
    <row r="28" spans="1:10" x14ac:dyDescent="0.35">
      <c r="A28" s="23">
        <v>9</v>
      </c>
      <c r="B28" s="46">
        <f>'E - B1'!$G14</f>
        <v>212.70661020000003</v>
      </c>
      <c r="C28" s="46">
        <f>'E - B2'!$G14</f>
        <v>212.70661020000003</v>
      </c>
      <c r="D28" s="46">
        <f>'E - B3'!$G14</f>
        <v>212.70661020000003</v>
      </c>
      <c r="E28" s="47">
        <f t="shared" si="0"/>
        <v>212.70661020000003</v>
      </c>
      <c r="F28" s="48">
        <v>196.2</v>
      </c>
      <c r="G28" s="30">
        <v>76.569999999999993</v>
      </c>
      <c r="H28" s="30">
        <v>502.6</v>
      </c>
      <c r="I28" s="14">
        <f t="shared" si="1"/>
        <v>8.4131550458715801E-2</v>
      </c>
    </row>
    <row r="29" spans="1:10" ht="13.15" x14ac:dyDescent="0.4">
      <c r="A29" s="1"/>
      <c r="B29" s="1"/>
      <c r="C29" s="49"/>
      <c r="D29" s="44"/>
      <c r="E29" s="44"/>
      <c r="J29" s="4"/>
    </row>
    <row r="30" spans="1:10" x14ac:dyDescent="0.35">
      <c r="A30" t="s">
        <v>62</v>
      </c>
      <c r="C30" s="27"/>
    </row>
    <row r="31" spans="1:10" x14ac:dyDescent="0.35">
      <c r="A31" s="41" t="s">
        <v>57</v>
      </c>
      <c r="B31" s="41" t="s">
        <v>66</v>
      </c>
      <c r="C31" s="41" t="s">
        <v>67</v>
      </c>
      <c r="D31" s="41" t="s">
        <v>68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2"/>
    </row>
    <row r="34" spans="1:21" ht="13.15" x14ac:dyDescent="0.4">
      <c r="A34" s="50">
        <v>4</v>
      </c>
      <c r="B34" s="50">
        <v>6300</v>
      </c>
      <c r="C34" s="50">
        <v>4553</v>
      </c>
      <c r="D34" s="50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8"/>
      <c r="F35" s="15"/>
      <c r="G35" s="28"/>
      <c r="H35" s="15"/>
      <c r="I35" s="28"/>
      <c r="J35" s="15"/>
      <c r="K35" s="28"/>
    </row>
    <row r="36" spans="1:21" ht="13.15" x14ac:dyDescent="0.4">
      <c r="A36" s="50">
        <v>6</v>
      </c>
      <c r="B36" s="50">
        <v>1631</v>
      </c>
      <c r="C36" s="50">
        <v>938.2</v>
      </c>
      <c r="D36" s="50">
        <v>2834</v>
      </c>
      <c r="E36" s="28"/>
      <c r="F36" s="15"/>
      <c r="G36" s="28"/>
      <c r="H36" s="15"/>
      <c r="I36" s="28"/>
      <c r="J36" s="15"/>
      <c r="K36" s="28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8"/>
      <c r="F37" s="15"/>
      <c r="G37" s="28"/>
      <c r="H37" s="15"/>
      <c r="I37" s="28"/>
      <c r="J37" s="15"/>
      <c r="K37" s="28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8"/>
      <c r="F38" s="15"/>
      <c r="G38" s="28"/>
      <c r="H38" s="15"/>
      <c r="I38" s="28"/>
      <c r="J38" s="15"/>
      <c r="K38" s="28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8"/>
      <c r="F39" s="15"/>
      <c r="G39" s="28"/>
      <c r="H39" s="15"/>
      <c r="I39" s="28"/>
      <c r="J39" s="15"/>
      <c r="K39" s="28"/>
    </row>
    <row r="40" spans="1:21" x14ac:dyDescent="0.35">
      <c r="A40" s="30">
        <v>10</v>
      </c>
      <c r="B40" s="30">
        <v>88.9</v>
      </c>
      <c r="C40" s="30">
        <v>27.89</v>
      </c>
      <c r="D40" s="30">
        <v>283.39999999999998</v>
      </c>
    </row>
    <row r="42" spans="1:21" x14ac:dyDescent="0.35">
      <c r="A42" t="s">
        <v>22</v>
      </c>
    </row>
    <row r="43" spans="1:21" ht="15" x14ac:dyDescent="0.5">
      <c r="A43" s="17"/>
      <c r="B43" s="18" t="s">
        <v>23</v>
      </c>
      <c r="C43" s="17"/>
      <c r="D43" s="19" t="s">
        <v>24</v>
      </c>
      <c r="E43" s="20"/>
      <c r="F43" s="20"/>
      <c r="G43" s="20"/>
      <c r="H43" s="21"/>
      <c r="U43" s="12"/>
    </row>
    <row r="44" spans="1:21" ht="15" x14ac:dyDescent="0.5">
      <c r="A44" s="22" t="s">
        <v>25</v>
      </c>
      <c r="B44" s="23" t="s">
        <v>26</v>
      </c>
      <c r="C44" s="22" t="s">
        <v>27</v>
      </c>
      <c r="D44" s="22" t="s">
        <v>28</v>
      </c>
      <c r="E44" s="23" t="s">
        <v>29</v>
      </c>
      <c r="F44" s="23" t="s">
        <v>30</v>
      </c>
      <c r="G44" s="23" t="s">
        <v>31</v>
      </c>
      <c r="H44" s="24" t="s">
        <v>32</v>
      </c>
      <c r="I44" s="15"/>
      <c r="J44" s="15"/>
    </row>
    <row r="45" spans="1:21" x14ac:dyDescent="0.35">
      <c r="A45" s="25">
        <v>10000</v>
      </c>
      <c r="C45" s="25">
        <v>11</v>
      </c>
      <c r="D45" s="25">
        <v>7.8</v>
      </c>
      <c r="E45">
        <v>5.3</v>
      </c>
      <c r="F45">
        <v>4</v>
      </c>
      <c r="G45">
        <v>2.7</v>
      </c>
      <c r="H45" s="26">
        <v>1.8</v>
      </c>
      <c r="I45" s="15"/>
      <c r="J45" s="15"/>
    </row>
    <row r="46" spans="1:21" x14ac:dyDescent="0.35">
      <c r="A46" s="25">
        <v>5000</v>
      </c>
      <c r="B46">
        <v>10000</v>
      </c>
      <c r="C46" s="25">
        <v>11.3</v>
      </c>
      <c r="D46" s="25">
        <v>7.8</v>
      </c>
      <c r="E46">
        <v>5.3</v>
      </c>
      <c r="F46">
        <v>4</v>
      </c>
      <c r="G46">
        <v>2.7</v>
      </c>
      <c r="H46" s="26">
        <v>1.9</v>
      </c>
    </row>
    <row r="47" spans="1:21" x14ac:dyDescent="0.35">
      <c r="A47" s="25">
        <v>2000</v>
      </c>
      <c r="B47">
        <v>5000</v>
      </c>
      <c r="C47" s="25">
        <v>11.9</v>
      </c>
      <c r="D47" s="25">
        <v>7.9</v>
      </c>
      <c r="E47">
        <v>5.4</v>
      </c>
      <c r="F47">
        <v>4.0999999999999996</v>
      </c>
      <c r="G47">
        <v>2.9</v>
      </c>
      <c r="H47" s="26">
        <v>2.1</v>
      </c>
      <c r="J47" s="15"/>
    </row>
    <row r="48" spans="1:21" x14ac:dyDescent="0.35">
      <c r="A48" s="25">
        <v>1000</v>
      </c>
      <c r="B48">
        <v>2000</v>
      </c>
      <c r="C48" s="25">
        <v>13.4</v>
      </c>
      <c r="D48" s="25">
        <v>8</v>
      </c>
      <c r="E48">
        <v>5.6</v>
      </c>
      <c r="F48">
        <v>4.3</v>
      </c>
      <c r="G48">
        <v>3.1</v>
      </c>
      <c r="H48" s="26">
        <v>2.4</v>
      </c>
      <c r="J48" s="15"/>
    </row>
    <row r="49" spans="1:12" x14ac:dyDescent="0.35">
      <c r="A49" s="25">
        <v>500</v>
      </c>
      <c r="B49">
        <v>1000</v>
      </c>
      <c r="C49" s="25">
        <v>15.6</v>
      </c>
      <c r="D49" s="25">
        <v>8.1999999999999993</v>
      </c>
      <c r="E49">
        <v>5.9</v>
      </c>
      <c r="F49">
        <v>4.7</v>
      </c>
      <c r="G49">
        <v>3.6</v>
      </c>
      <c r="H49" s="26">
        <v>2.9</v>
      </c>
      <c r="I49" s="15"/>
      <c r="J49" s="15"/>
    </row>
    <row r="50" spans="1:12" x14ac:dyDescent="0.35">
      <c r="A50" s="25">
        <v>200</v>
      </c>
      <c r="B50">
        <v>500</v>
      </c>
      <c r="C50" s="25">
        <v>19.3</v>
      </c>
      <c r="D50" s="25">
        <v>8.9</v>
      </c>
      <c r="E50">
        <v>6.8</v>
      </c>
      <c r="F50">
        <v>5.7</v>
      </c>
      <c r="G50">
        <v>4.7</v>
      </c>
      <c r="H50" s="26">
        <v>4.0999999999999996</v>
      </c>
    </row>
    <row r="51" spans="1:12" x14ac:dyDescent="0.35">
      <c r="A51" s="29">
        <v>100</v>
      </c>
      <c r="B51" s="30">
        <v>200</v>
      </c>
      <c r="C51" s="29">
        <v>27.5</v>
      </c>
      <c r="D51" s="29">
        <v>10</v>
      </c>
      <c r="E51" s="30">
        <v>8</v>
      </c>
      <c r="F51" s="30">
        <v>7</v>
      </c>
      <c r="G51" s="30">
        <v>6.1</v>
      </c>
      <c r="H51" s="31">
        <v>5.5</v>
      </c>
    </row>
    <row r="53" spans="1:12" ht="30" x14ac:dyDescent="1.1000000000000001">
      <c r="A53" s="51" t="s">
        <v>69</v>
      </c>
    </row>
    <row r="54" spans="1:12" x14ac:dyDescent="0.35">
      <c r="B54" s="28"/>
      <c r="D54" s="28"/>
      <c r="F54" s="28"/>
      <c r="H54" s="28"/>
      <c r="J54" s="28"/>
    </row>
    <row r="55" spans="1:12" ht="13.15" x14ac:dyDescent="0.4">
      <c r="A55" s="1"/>
      <c r="B55" s="34"/>
      <c r="D55" s="34"/>
      <c r="F55" s="34"/>
      <c r="H55" s="34"/>
      <c r="J55" s="34"/>
    </row>
    <row r="56" spans="1:12" ht="13.15" x14ac:dyDescent="0.4">
      <c r="B56" s="28"/>
      <c r="D56" s="28"/>
      <c r="K56" s="3"/>
      <c r="L56" s="3"/>
    </row>
  </sheetData>
  <mergeCells count="1">
    <mergeCell ref="C1:I1"/>
  </mergeCells>
  <conditionalFormatting sqref="A29">
    <cfRule type="cellIs" dxfId="3" priority="1" operator="between">
      <formula>$C$34</formula>
      <formula>$D$34</formula>
    </cfRule>
  </conditionalFormatting>
  <conditionalFormatting sqref="B29">
    <cfRule type="cellIs" dxfId="2" priority="2" operator="between">
      <formula>$C$36</formula>
      <formula>$D$36</formula>
    </cfRule>
  </conditionalFormatting>
  <conditionalFormatting sqref="B55 D55">
    <cfRule type="cellIs" dxfId="1" priority="3" operator="lessThan">
      <formula>B56</formula>
    </cfRule>
  </conditionalFormatting>
  <conditionalFormatting sqref="E23:E28">
    <cfRule type="cellIs" dxfId="0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2025-12-19T14:09:48Z</dcterms:modified>
</cp:coreProperties>
</file>