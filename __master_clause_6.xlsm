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
    </mc:Choice>
  </mc:AlternateContent>
  <xr:revisionPtr revIDLastSave="0" documentId="13_ncr:1_{81B51F66-47D3-4F13-8092-96E93312B6B8}" xr6:coauthVersionLast="47" xr6:coauthVersionMax="47" xr10:uidLastSave="{00000000-0000-0000-0000-000000000000}"/>
  <bookViews>
    <workbookView xWindow="-98" yWindow="-98" windowWidth="28996" windowHeight="17745" activeTab="1" xr2:uid="{E292ACDD-9F35-45EB-94A5-BD6193290DC2}"/>
  </bookViews>
  <sheets>
    <sheet name="Clause 6" sheetId="1" r:id="rId1"/>
    <sheet name="6 - B1" sheetId="2" r:id="rId2"/>
    <sheet name="6 - B2" sheetId="3" r:id="rId3"/>
    <sheet name="6 - B3" sheetId="4" r:id="rId4"/>
    <sheet name="6 - Thresholds" sheetId="5" r:id="rId5"/>
    <sheet name="6 - Spheres" sheetId="6" r:id="rId6"/>
    <sheet name="6 - Curve" sheetId="7" r:id="rId7"/>
  </sheets>
  <functionGroups builtInGroupCount="19"/>
  <definedNames>
    <definedName name="_xlnm._FilterDatabase" localSheetId="4" hidden="1">'6 - Thresholds'!$A$4:$H$33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2" i="2" l="1" a="1"/>
  <c r="B52" i="2" s="1"/>
  <c r="B53" i="2"/>
  <c r="B9" i="2" s="1"/>
  <c r="C54" i="2"/>
  <c r="C10" i="2" s="1"/>
  <c r="D55" i="2"/>
  <c r="E56" i="2"/>
  <c r="E12" i="2" s="1"/>
  <c r="F57" i="2"/>
  <c r="F13" i="2" s="1"/>
  <c r="G58" i="2"/>
  <c r="H59" i="2"/>
  <c r="I60" i="2"/>
  <c r="J61" i="2"/>
  <c r="K62" i="2"/>
  <c r="L63" i="2"/>
  <c r="M64" i="2"/>
  <c r="N65" i="2"/>
  <c r="O66" i="2"/>
  <c r="P67" i="2"/>
  <c r="B69" i="2"/>
  <c r="B25" i="2" s="1"/>
  <c r="C70" i="2"/>
  <c r="C26" i="2" s="1"/>
  <c r="D71" i="2"/>
  <c r="E72" i="2"/>
  <c r="E28" i="2" s="1"/>
  <c r="F73" i="2"/>
  <c r="F29" i="2" s="1"/>
  <c r="G74" i="2"/>
  <c r="H75" i="2"/>
  <c r="I76" i="2"/>
  <c r="J77" i="2"/>
  <c r="K78" i="2"/>
  <c r="L79" i="2"/>
  <c r="M80" i="2"/>
  <c r="M81" i="2"/>
  <c r="N81" i="2"/>
  <c r="N82" i="2"/>
  <c r="O82" i="2"/>
  <c r="D27" i="2"/>
  <c r="D11" i="2"/>
  <c r="L80" i="2" l="1"/>
  <c r="K79" i="2"/>
  <c r="J78" i="2"/>
  <c r="I77" i="2"/>
  <c r="H76" i="2"/>
  <c r="G75" i="2"/>
  <c r="F74" i="2"/>
  <c r="F30" i="2" s="1"/>
  <c r="E73" i="2"/>
  <c r="E29" i="2" s="1"/>
  <c r="D72" i="2"/>
  <c r="D28" i="2" s="1"/>
  <c r="C71" i="2"/>
  <c r="C27" i="2" s="1"/>
  <c r="B70" i="2"/>
  <c r="B26" i="2" s="1"/>
  <c r="P68" i="2"/>
  <c r="O67" i="2"/>
  <c r="O67" i="4" s="1"/>
  <c r="E23" i="4" s="1"/>
  <c r="N66" i="2"/>
  <c r="N66" i="4" s="1"/>
  <c r="D22" i="4" s="1"/>
  <c r="M65" i="2"/>
  <c r="L64" i="2"/>
  <c r="K63" i="2"/>
  <c r="J62" i="2"/>
  <c r="I61" i="2"/>
  <c r="H60" i="2"/>
  <c r="G59" i="2"/>
  <c r="F58" i="2"/>
  <c r="F14" i="2" s="1"/>
  <c r="E57" i="2"/>
  <c r="E13" i="2" s="1"/>
  <c r="D56" i="2"/>
  <c r="D12" i="2" s="1"/>
  <c r="C55" i="2"/>
  <c r="C11" i="2" s="1"/>
  <c r="B54" i="2"/>
  <c r="B10" i="2" s="1"/>
  <c r="P52" i="2"/>
  <c r="M82" i="2"/>
  <c r="L81" i="2"/>
  <c r="L81" i="4" s="1"/>
  <c r="B37" i="4" s="1"/>
  <c r="K80" i="2"/>
  <c r="K80" i="4" s="1"/>
  <c r="J79" i="2"/>
  <c r="J79" i="4" s="1"/>
  <c r="I78" i="2"/>
  <c r="I78" i="4" s="1"/>
  <c r="H77" i="2"/>
  <c r="G76" i="2"/>
  <c r="F75" i="2"/>
  <c r="F31" i="2" s="1"/>
  <c r="E74" i="2"/>
  <c r="E30" i="2" s="1"/>
  <c r="D73" i="2"/>
  <c r="D29" i="2" s="1"/>
  <c r="C72" i="2"/>
  <c r="C28" i="2" s="1"/>
  <c r="B71" i="2"/>
  <c r="B27" i="2" s="1"/>
  <c r="P69" i="2"/>
  <c r="O68" i="2"/>
  <c r="N67" i="2"/>
  <c r="M66" i="2"/>
  <c r="L65" i="2"/>
  <c r="K64" i="2"/>
  <c r="K64" i="4" s="1"/>
  <c r="J63" i="2"/>
  <c r="J63" i="3" s="1"/>
  <c r="E19" i="3" s="1"/>
  <c r="I62" i="2"/>
  <c r="H61" i="2"/>
  <c r="G60" i="2"/>
  <c r="F59" i="2"/>
  <c r="F15" i="2" s="1"/>
  <c r="E58" i="2"/>
  <c r="E14" i="2" s="1"/>
  <c r="D57" i="2"/>
  <c r="D13" i="2" s="1"/>
  <c r="C56" i="2"/>
  <c r="C12" i="2" s="1"/>
  <c r="B55" i="2"/>
  <c r="B11" i="2" s="1"/>
  <c r="P53" i="2"/>
  <c r="O52" i="2"/>
  <c r="J80" i="2"/>
  <c r="E75" i="2"/>
  <c r="E31" i="2" s="1"/>
  <c r="M67" i="2"/>
  <c r="O53" i="2"/>
  <c r="K82" i="2"/>
  <c r="K82" i="4" s="1"/>
  <c r="J81" i="2"/>
  <c r="J81" i="4" s="1"/>
  <c r="I80" i="2"/>
  <c r="H79" i="2"/>
  <c r="H79" i="4" s="1"/>
  <c r="G78" i="2"/>
  <c r="F77" i="2"/>
  <c r="F33" i="2" s="1"/>
  <c r="E76" i="2"/>
  <c r="E32" i="2" s="1"/>
  <c r="D75" i="2"/>
  <c r="D31" i="2" s="1"/>
  <c r="C74" i="2"/>
  <c r="C30" i="2" s="1"/>
  <c r="B73" i="2"/>
  <c r="B29" i="2" s="1"/>
  <c r="P71" i="2"/>
  <c r="O70" i="2"/>
  <c r="N69" i="2"/>
  <c r="M68" i="2"/>
  <c r="L67" i="2"/>
  <c r="K66" i="2"/>
  <c r="J65" i="2"/>
  <c r="J65" i="4" s="1"/>
  <c r="I64" i="2"/>
  <c r="I64" i="4" s="1"/>
  <c r="H63" i="2"/>
  <c r="G62" i="2"/>
  <c r="G62" i="4" s="1"/>
  <c r="F61" i="2"/>
  <c r="F17" i="2" s="1"/>
  <c r="E60" i="2"/>
  <c r="E16" i="2" s="1"/>
  <c r="D59" i="2"/>
  <c r="D15" i="2" s="1"/>
  <c r="C58" i="2"/>
  <c r="C14" i="2" s="1"/>
  <c r="B57" i="2"/>
  <c r="B13" i="2" s="1"/>
  <c r="P55" i="2"/>
  <c r="O54" i="2"/>
  <c r="N53" i="2"/>
  <c r="M52" i="2"/>
  <c r="L82" i="2"/>
  <c r="P70" i="2"/>
  <c r="N52" i="2"/>
  <c r="J82" i="2"/>
  <c r="J82" i="4" s="1"/>
  <c r="I81" i="2"/>
  <c r="I81" i="4" s="1"/>
  <c r="H80" i="2"/>
  <c r="G79" i="2"/>
  <c r="G79" i="4" s="1"/>
  <c r="F78" i="2"/>
  <c r="F34" i="2" s="1"/>
  <c r="E77" i="2"/>
  <c r="E33" i="2" s="1"/>
  <c r="D76" i="2"/>
  <c r="D32" i="2" s="1"/>
  <c r="C75" i="2"/>
  <c r="C31" i="2" s="1"/>
  <c r="B74" i="2"/>
  <c r="B30" i="2" s="1"/>
  <c r="P72" i="2"/>
  <c r="O71" i="2"/>
  <c r="N70" i="2"/>
  <c r="M69" i="2"/>
  <c r="L68" i="2"/>
  <c r="K67" i="2"/>
  <c r="J66" i="2"/>
  <c r="I65" i="2"/>
  <c r="I65" i="4" s="1"/>
  <c r="H64" i="2"/>
  <c r="H64" i="4" s="1"/>
  <c r="G63" i="2"/>
  <c r="F62" i="2"/>
  <c r="F18" i="2" s="1"/>
  <c r="E61" i="2"/>
  <c r="E17" i="2" s="1"/>
  <c r="D60" i="2"/>
  <c r="D16" i="2" s="1"/>
  <c r="C59" i="2"/>
  <c r="C15" i="2" s="1"/>
  <c r="B58" i="2"/>
  <c r="B14" i="2" s="1"/>
  <c r="P56" i="2"/>
  <c r="O55" i="2"/>
  <c r="N54" i="2"/>
  <c r="M53" i="2"/>
  <c r="L52" i="2"/>
  <c r="I79" i="2"/>
  <c r="G61" i="2"/>
  <c r="I82" i="2"/>
  <c r="H81" i="2"/>
  <c r="H81" i="4" s="1"/>
  <c r="G80" i="2"/>
  <c r="G80" i="4" s="1"/>
  <c r="F79" i="2"/>
  <c r="F35" i="2" s="1"/>
  <c r="E78" i="2"/>
  <c r="E34" i="2" s="1"/>
  <c r="D77" i="2"/>
  <c r="D33" i="2" s="1"/>
  <c r="C76" i="2"/>
  <c r="C32" i="2" s="1"/>
  <c r="B75" i="2"/>
  <c r="B31" i="2" s="1"/>
  <c r="P73" i="2"/>
  <c r="O72" i="2"/>
  <c r="N71" i="2"/>
  <c r="M70" i="2"/>
  <c r="L69" i="2"/>
  <c r="K68" i="2"/>
  <c r="J67" i="2"/>
  <c r="I66" i="2"/>
  <c r="H65" i="2"/>
  <c r="G64" i="2"/>
  <c r="G64" i="4" s="1"/>
  <c r="F63" i="2"/>
  <c r="F19" i="2" s="1"/>
  <c r="E62" i="2"/>
  <c r="E18" i="2" s="1"/>
  <c r="D61" i="2"/>
  <c r="D17" i="2" s="1"/>
  <c r="C60" i="2"/>
  <c r="C16" i="2" s="1"/>
  <c r="B59" i="2"/>
  <c r="B15" i="2" s="1"/>
  <c r="P57" i="2"/>
  <c r="O56" i="2"/>
  <c r="N55" i="2"/>
  <c r="M54" i="2"/>
  <c r="L53" i="2"/>
  <c r="K52" i="2"/>
  <c r="B56" i="2"/>
  <c r="B12" i="2" s="1"/>
  <c r="H82" i="2"/>
  <c r="G81" i="2"/>
  <c r="F80" i="2"/>
  <c r="F36" i="2" s="1"/>
  <c r="E79" i="2"/>
  <c r="E35" i="2" s="1"/>
  <c r="D78" i="2"/>
  <c r="D34" i="2" s="1"/>
  <c r="C77" i="2"/>
  <c r="C33" i="2" s="1"/>
  <c r="B76" i="2"/>
  <c r="B32" i="2" s="1"/>
  <c r="P74" i="2"/>
  <c r="O73" i="2"/>
  <c r="O73" i="4" s="1"/>
  <c r="E29" i="4" s="1"/>
  <c r="N72" i="2"/>
  <c r="M71" i="2"/>
  <c r="L70" i="2"/>
  <c r="K69" i="2"/>
  <c r="J68" i="2"/>
  <c r="I67" i="2"/>
  <c r="H66" i="2"/>
  <c r="G65" i="2"/>
  <c r="F64" i="2"/>
  <c r="F20" i="2" s="1"/>
  <c r="E63" i="2"/>
  <c r="E19" i="2" s="1"/>
  <c r="D62" i="2"/>
  <c r="D18" i="2" s="1"/>
  <c r="C61" i="2"/>
  <c r="C17" i="2" s="1"/>
  <c r="B60" i="2"/>
  <c r="B16" i="2" s="1"/>
  <c r="P58" i="2"/>
  <c r="O57" i="2"/>
  <c r="N56" i="2"/>
  <c r="M55" i="2"/>
  <c r="L54" i="2"/>
  <c r="K53" i="2"/>
  <c r="J52" i="2"/>
  <c r="G82" i="2"/>
  <c r="F81" i="2"/>
  <c r="F37" i="2" s="1"/>
  <c r="E80" i="2"/>
  <c r="E36" i="2" s="1"/>
  <c r="D79" i="2"/>
  <c r="D35" i="2" s="1"/>
  <c r="C78" i="2"/>
  <c r="C34" i="2" s="1"/>
  <c r="B77" i="2"/>
  <c r="B33" i="2" s="1"/>
  <c r="P75" i="2"/>
  <c r="P75" i="3" s="1"/>
  <c r="O74" i="2"/>
  <c r="O74" i="4" s="1"/>
  <c r="E30" i="4" s="1"/>
  <c r="N73" i="2"/>
  <c r="M72" i="2"/>
  <c r="M72" i="4" s="1"/>
  <c r="C28" i="4" s="1"/>
  <c r="L71" i="2"/>
  <c r="K70" i="2"/>
  <c r="J69" i="2"/>
  <c r="I68" i="2"/>
  <c r="H67" i="2"/>
  <c r="G66" i="2"/>
  <c r="F65" i="2"/>
  <c r="F21" i="2" s="1"/>
  <c r="E64" i="2"/>
  <c r="E20" i="2" s="1"/>
  <c r="D63" i="2"/>
  <c r="D19" i="2" s="1"/>
  <c r="C62" i="2"/>
  <c r="C18" i="2" s="1"/>
  <c r="B61" i="2"/>
  <c r="B17" i="2" s="1"/>
  <c r="P59" i="2"/>
  <c r="O58" i="2"/>
  <c r="O58" i="4" s="1"/>
  <c r="E14" i="4" s="1"/>
  <c r="N57" i="2"/>
  <c r="N57" i="4" s="1"/>
  <c r="D13" i="4" s="1"/>
  <c r="M56" i="2"/>
  <c r="L55" i="2"/>
  <c r="K54" i="2"/>
  <c r="J53" i="2"/>
  <c r="I52" i="2"/>
  <c r="H78" i="2"/>
  <c r="C73" i="2"/>
  <c r="C29" i="2" s="1"/>
  <c r="K65" i="2"/>
  <c r="P54" i="2"/>
  <c r="F82" i="2"/>
  <c r="F38" i="2" s="1"/>
  <c r="E81" i="2"/>
  <c r="E37" i="2" s="1"/>
  <c r="D80" i="2"/>
  <c r="D36" i="2" s="1"/>
  <c r="C79" i="2"/>
  <c r="C35" i="2" s="1"/>
  <c r="B78" i="2"/>
  <c r="B34" i="2" s="1"/>
  <c r="P76" i="2"/>
  <c r="P76" i="3" s="1"/>
  <c r="O75" i="2"/>
  <c r="O75" i="4" s="1"/>
  <c r="E31" i="4" s="1"/>
  <c r="N74" i="2"/>
  <c r="M73" i="2"/>
  <c r="M73" i="4" s="1"/>
  <c r="C29" i="4" s="1"/>
  <c r="L72" i="2"/>
  <c r="K71" i="2"/>
  <c r="J70" i="2"/>
  <c r="I69" i="2"/>
  <c r="H68" i="2"/>
  <c r="G67" i="2"/>
  <c r="F66" i="2"/>
  <c r="F22" i="2" s="1"/>
  <c r="E65" i="2"/>
  <c r="E21" i="2" s="1"/>
  <c r="D64" i="2"/>
  <c r="D20" i="2" s="1"/>
  <c r="C63" i="2"/>
  <c r="C19" i="2" s="1"/>
  <c r="B62" i="2"/>
  <c r="B18" i="2" s="1"/>
  <c r="P60" i="2"/>
  <c r="O59" i="2"/>
  <c r="O59" i="4" s="1"/>
  <c r="E15" i="4" s="1"/>
  <c r="N58" i="2"/>
  <c r="N58" i="4" s="1"/>
  <c r="D14" i="4" s="1"/>
  <c r="M57" i="2"/>
  <c r="L56" i="2"/>
  <c r="K55" i="2"/>
  <c r="J54" i="2"/>
  <c r="I53" i="2"/>
  <c r="H52" i="2"/>
  <c r="E59" i="2"/>
  <c r="E15" i="2" s="1"/>
  <c r="E82" i="2"/>
  <c r="E38" i="2" s="1"/>
  <c r="D81" i="2"/>
  <c r="D37" i="2" s="1"/>
  <c r="C80" i="2"/>
  <c r="C36" i="2" s="1"/>
  <c r="B79" i="2"/>
  <c r="B35" i="2" s="1"/>
  <c r="P77" i="2"/>
  <c r="O76" i="2"/>
  <c r="N75" i="2"/>
  <c r="M74" i="2"/>
  <c r="M74" i="4" s="1"/>
  <c r="C30" i="4" s="1"/>
  <c r="L73" i="2"/>
  <c r="L73" i="4" s="1"/>
  <c r="B29" i="4" s="1"/>
  <c r="K72" i="2"/>
  <c r="K72" i="4" s="1"/>
  <c r="J71" i="2"/>
  <c r="J71" i="4" s="1"/>
  <c r="I70" i="2"/>
  <c r="H69" i="2"/>
  <c r="G68" i="2"/>
  <c r="F67" i="2"/>
  <c r="F23" i="2" s="1"/>
  <c r="E66" i="2"/>
  <c r="E22" i="2" s="1"/>
  <c r="D65" i="2"/>
  <c r="D21" i="2" s="1"/>
  <c r="C64" i="2"/>
  <c r="C20" i="2" s="1"/>
  <c r="B63" i="2"/>
  <c r="B19" i="2" s="1"/>
  <c r="P61" i="2"/>
  <c r="O60" i="2"/>
  <c r="N59" i="2"/>
  <c r="M58" i="2"/>
  <c r="L57" i="2"/>
  <c r="L57" i="3" s="1"/>
  <c r="K56" i="2"/>
  <c r="K56" i="4" s="1"/>
  <c r="J55" i="2"/>
  <c r="I54" i="2"/>
  <c r="I54" i="4" s="1"/>
  <c r="H53" i="2"/>
  <c r="G52" i="2"/>
  <c r="K81" i="2"/>
  <c r="F76" i="2"/>
  <c r="F32" i="2" s="1"/>
  <c r="B72" i="2"/>
  <c r="B28" i="2" s="1"/>
  <c r="N68" i="2"/>
  <c r="L66" i="2"/>
  <c r="I63" i="2"/>
  <c r="D82" i="2"/>
  <c r="D38" i="2" s="1"/>
  <c r="C81" i="2"/>
  <c r="C37" i="2" s="1"/>
  <c r="B80" i="2"/>
  <c r="B36" i="2" s="1"/>
  <c r="P78" i="2"/>
  <c r="O77" i="2"/>
  <c r="O77" i="4" s="1"/>
  <c r="E33" i="4" s="1"/>
  <c r="N76" i="2"/>
  <c r="N76" i="4" s="1"/>
  <c r="D32" i="4" s="1"/>
  <c r="M75" i="2"/>
  <c r="L74" i="2"/>
  <c r="L74" i="3" s="1"/>
  <c r="K73" i="2"/>
  <c r="J72" i="2"/>
  <c r="J72" i="4" s="1"/>
  <c r="I71" i="2"/>
  <c r="H70" i="2"/>
  <c r="G69" i="2"/>
  <c r="F68" i="2"/>
  <c r="F24" i="2" s="1"/>
  <c r="E67" i="2"/>
  <c r="E23" i="2" s="1"/>
  <c r="D66" i="2"/>
  <c r="D22" i="2" s="1"/>
  <c r="C65" i="2"/>
  <c r="C21" i="2" s="1"/>
  <c r="B64" i="2"/>
  <c r="B20" i="2" s="1"/>
  <c r="P62" i="2"/>
  <c r="O61" i="2"/>
  <c r="N60" i="2"/>
  <c r="N60" i="3" s="1"/>
  <c r="M59" i="2"/>
  <c r="M59" i="4" s="1"/>
  <c r="C15" i="4" s="1"/>
  <c r="L58" i="2"/>
  <c r="K57" i="2"/>
  <c r="K57" i="4" s="1"/>
  <c r="J56" i="2"/>
  <c r="I55" i="2"/>
  <c r="H54" i="2"/>
  <c r="G53" i="2"/>
  <c r="F52" i="2"/>
  <c r="F8" i="2" s="1"/>
  <c r="H62" i="2"/>
  <c r="C82" i="2"/>
  <c r="C38" i="2" s="1"/>
  <c r="B81" i="2"/>
  <c r="B37" i="2" s="1"/>
  <c r="P79" i="2"/>
  <c r="O78" i="2"/>
  <c r="O78" i="4" s="1"/>
  <c r="E34" i="4" s="1"/>
  <c r="N77" i="2"/>
  <c r="M76" i="2"/>
  <c r="L75" i="2"/>
  <c r="L75" i="4" s="1"/>
  <c r="B31" i="4" s="1"/>
  <c r="K74" i="2"/>
  <c r="K74" i="4" s="1"/>
  <c r="J73" i="2"/>
  <c r="J73" i="4" s="1"/>
  <c r="I72" i="2"/>
  <c r="I72" i="4" s="1"/>
  <c r="H71" i="2"/>
  <c r="G70" i="2"/>
  <c r="F69" i="2"/>
  <c r="F25" i="2" s="1"/>
  <c r="E68" i="2"/>
  <c r="E24" i="2" s="1"/>
  <c r="D67" i="2"/>
  <c r="D23" i="2" s="1"/>
  <c r="C66" i="2"/>
  <c r="C22" i="2" s="1"/>
  <c r="B65" i="2"/>
  <c r="B21" i="2" s="1"/>
  <c r="P63" i="2"/>
  <c r="O62" i="2"/>
  <c r="N61" i="2"/>
  <c r="M60" i="2"/>
  <c r="L59" i="2"/>
  <c r="K58" i="2"/>
  <c r="K58" i="4" s="1"/>
  <c r="J57" i="2"/>
  <c r="J57" i="4" s="1"/>
  <c r="I56" i="2"/>
  <c r="H55" i="2"/>
  <c r="H55" i="4" s="1"/>
  <c r="G54" i="2"/>
  <c r="F53" i="2"/>
  <c r="F9" i="2" s="1"/>
  <c r="E52" i="2"/>
  <c r="E8" i="2" s="1"/>
  <c r="G77" i="2"/>
  <c r="D74" i="2"/>
  <c r="D30" i="2" s="1"/>
  <c r="O69" i="2"/>
  <c r="J64" i="2"/>
  <c r="D58" i="2"/>
  <c r="D14" i="2" s="1"/>
  <c r="B82" i="2"/>
  <c r="B38" i="2" s="1"/>
  <c r="P80" i="2"/>
  <c r="O79" i="2"/>
  <c r="N78" i="2"/>
  <c r="M77" i="2"/>
  <c r="M77" i="4" s="1"/>
  <c r="C33" i="4" s="1"/>
  <c r="L76" i="2"/>
  <c r="L76" i="4" s="1"/>
  <c r="B32" i="4" s="1"/>
  <c r="K75" i="2"/>
  <c r="K75" i="4" s="1"/>
  <c r="J74" i="2"/>
  <c r="J74" i="4" s="1"/>
  <c r="I73" i="2"/>
  <c r="H72" i="2"/>
  <c r="G71" i="2"/>
  <c r="F70" i="2"/>
  <c r="F26" i="2" s="1"/>
  <c r="E69" i="2"/>
  <c r="E25" i="2" s="1"/>
  <c r="D68" i="2"/>
  <c r="D24" i="2" s="1"/>
  <c r="C67" i="2"/>
  <c r="C23" i="2" s="1"/>
  <c r="B66" i="2"/>
  <c r="B22" i="2" s="1"/>
  <c r="P64" i="2"/>
  <c r="O63" i="2"/>
  <c r="N62" i="2"/>
  <c r="M61" i="2"/>
  <c r="L60" i="2"/>
  <c r="L60" i="3" s="1"/>
  <c r="K59" i="2"/>
  <c r="K59" i="4" s="1"/>
  <c r="J58" i="2"/>
  <c r="I57" i="2"/>
  <c r="I57" i="4" s="1"/>
  <c r="H56" i="2"/>
  <c r="G55" i="2"/>
  <c r="F54" i="2"/>
  <c r="F10" i="2" s="1"/>
  <c r="E53" i="2"/>
  <c r="E9" i="2" s="1"/>
  <c r="D52" i="2"/>
  <c r="D8" i="2" s="1"/>
  <c r="F60" i="2"/>
  <c r="F16" i="2" s="1"/>
  <c r="P81" i="2"/>
  <c r="O80" i="2"/>
  <c r="O80" i="4" s="1"/>
  <c r="E36" i="4" s="1"/>
  <c r="N79" i="2"/>
  <c r="M78" i="2"/>
  <c r="L77" i="2"/>
  <c r="K76" i="2"/>
  <c r="J75" i="2"/>
  <c r="J75" i="4" s="1"/>
  <c r="I74" i="2"/>
  <c r="I74" i="4" s="1"/>
  <c r="H73" i="2"/>
  <c r="H73" i="4" s="1"/>
  <c r="G72" i="2"/>
  <c r="G72" i="4" s="1"/>
  <c r="F71" i="2"/>
  <c r="F27" i="2" s="1"/>
  <c r="E70" i="2"/>
  <c r="E26" i="2" s="1"/>
  <c r="D69" i="2"/>
  <c r="D25" i="2" s="1"/>
  <c r="C68" i="2"/>
  <c r="C24" i="2" s="1"/>
  <c r="B67" i="2"/>
  <c r="B23" i="2" s="1"/>
  <c r="P65" i="2"/>
  <c r="O64" i="2"/>
  <c r="N63" i="2"/>
  <c r="M62" i="2"/>
  <c r="L61" i="2"/>
  <c r="K60" i="2"/>
  <c r="J59" i="2"/>
  <c r="I58" i="2"/>
  <c r="I58" i="4" s="1"/>
  <c r="H57" i="2"/>
  <c r="H57" i="4" s="1"/>
  <c r="G56" i="2"/>
  <c r="F55" i="2"/>
  <c r="F11" i="2" s="1"/>
  <c r="E54" i="2"/>
  <c r="E10" i="2" s="1"/>
  <c r="D53" i="2"/>
  <c r="D9" i="2" s="1"/>
  <c r="C52" i="2"/>
  <c r="C8" i="2" s="1"/>
  <c r="C57" i="2"/>
  <c r="C13" i="2" s="1"/>
  <c r="P82" i="2"/>
  <c r="O81" i="2"/>
  <c r="N80" i="2"/>
  <c r="M79" i="2"/>
  <c r="L78" i="2"/>
  <c r="K77" i="2"/>
  <c r="J76" i="2"/>
  <c r="I75" i="2"/>
  <c r="H74" i="2"/>
  <c r="H74" i="4" s="1"/>
  <c r="G73" i="2"/>
  <c r="G73" i="4" s="1"/>
  <c r="F72" i="2"/>
  <c r="F28" i="2" s="1"/>
  <c r="E71" i="2"/>
  <c r="E27" i="2" s="1"/>
  <c r="D70" i="2"/>
  <c r="D26" i="2" s="1"/>
  <c r="C69" i="2"/>
  <c r="C25" i="2" s="1"/>
  <c r="B68" i="2"/>
  <c r="B24" i="2" s="1"/>
  <c r="P66" i="2"/>
  <c r="O65" i="2"/>
  <c r="N64" i="2"/>
  <c r="M63" i="2"/>
  <c r="L62" i="2"/>
  <c r="K61" i="2"/>
  <c r="J60" i="2"/>
  <c r="I59" i="2"/>
  <c r="H58" i="2"/>
  <c r="G57" i="2"/>
  <c r="G57" i="4" s="1"/>
  <c r="F56" i="2"/>
  <c r="F12" i="2" s="1"/>
  <c r="E55" i="2"/>
  <c r="E11" i="2" s="1"/>
  <c r="D54" i="2"/>
  <c r="D10" i="2" s="1"/>
  <c r="C53" i="2"/>
  <c r="C9" i="2" s="1"/>
  <c r="I18" i="2"/>
  <c r="G21" i="2"/>
  <c r="L21" i="2" s="1"/>
  <c r="B21" i="5" s="1"/>
  <c r="I14" i="2"/>
  <c r="B34" i="7"/>
  <c r="A34" i="7"/>
  <c r="B33" i="7"/>
  <c r="B32" i="7"/>
  <c r="B46" i="6"/>
  <c r="O44" i="6"/>
  <c r="N44" i="6"/>
  <c r="M44" i="6"/>
  <c r="M46" i="6" s="1"/>
  <c r="H44" i="6"/>
  <c r="G44" i="6"/>
  <c r="F44" i="6"/>
  <c r="F46" i="6" s="1"/>
  <c r="D44" i="6"/>
  <c r="O42" i="6"/>
  <c r="M42" i="6"/>
  <c r="H42" i="6"/>
  <c r="F42" i="6"/>
  <c r="D42" i="6"/>
  <c r="B42" i="6"/>
  <c r="G40" i="6"/>
  <c r="A32" i="7" s="1"/>
  <c r="C40" i="6"/>
  <c r="A33" i="7" s="1"/>
  <c r="M30" i="6"/>
  <c r="F30" i="6"/>
  <c r="A30" i="6"/>
  <c r="M13" i="6"/>
  <c r="M14" i="6" s="1"/>
  <c r="M15" i="6" s="1"/>
  <c r="F13" i="6"/>
  <c r="F14" i="6" s="1"/>
  <c r="F15" i="6" s="1"/>
  <c r="A13" i="6"/>
  <c r="A14" i="6" s="1"/>
  <c r="A15" i="6" s="1"/>
  <c r="A17" i="6" s="1"/>
  <c r="A19" i="6" s="1"/>
  <c r="A21" i="6" s="1"/>
  <c r="L3" i="5"/>
  <c r="P82" i="4"/>
  <c r="F38" i="4" s="1"/>
  <c r="O82" i="4"/>
  <c r="E38" i="4" s="1"/>
  <c r="N82" i="4"/>
  <c r="D38" i="4" s="1"/>
  <c r="M82" i="4"/>
  <c r="C38" i="4" s="1"/>
  <c r="L82" i="4"/>
  <c r="B38" i="4" s="1"/>
  <c r="I82" i="4"/>
  <c r="H82" i="4"/>
  <c r="G82" i="4"/>
  <c r="F82" i="4"/>
  <c r="E82" i="4"/>
  <c r="D82" i="4"/>
  <c r="C82" i="4"/>
  <c r="B82" i="4"/>
  <c r="A82" i="4"/>
  <c r="P81" i="4"/>
  <c r="F37" i="4" s="1"/>
  <c r="O81" i="4"/>
  <c r="E37" i="4" s="1"/>
  <c r="N81" i="4"/>
  <c r="D37" i="4" s="1"/>
  <c r="M81" i="4"/>
  <c r="C37" i="4" s="1"/>
  <c r="K81" i="4"/>
  <c r="G81" i="4"/>
  <c r="F81" i="4"/>
  <c r="E81" i="4"/>
  <c r="D81" i="4"/>
  <c r="C81" i="4"/>
  <c r="B81" i="4"/>
  <c r="A81" i="4"/>
  <c r="P80" i="4"/>
  <c r="F36" i="4" s="1"/>
  <c r="N80" i="4"/>
  <c r="D36" i="4" s="1"/>
  <c r="M80" i="4"/>
  <c r="C36" i="4" s="1"/>
  <c r="L80" i="4"/>
  <c r="B36" i="4" s="1"/>
  <c r="J80" i="4"/>
  <c r="I80" i="4"/>
  <c r="H80" i="4"/>
  <c r="F80" i="4"/>
  <c r="E80" i="4"/>
  <c r="D80" i="4"/>
  <c r="C80" i="4"/>
  <c r="B80" i="4"/>
  <c r="A80" i="4"/>
  <c r="P79" i="4"/>
  <c r="F35" i="4" s="1"/>
  <c r="O79" i="4"/>
  <c r="E35" i="4" s="1"/>
  <c r="N79" i="4"/>
  <c r="D35" i="4" s="1"/>
  <c r="M79" i="4"/>
  <c r="C35" i="4" s="1"/>
  <c r="L79" i="4"/>
  <c r="B35" i="4" s="1"/>
  <c r="K79" i="4"/>
  <c r="I79" i="4"/>
  <c r="F79" i="4"/>
  <c r="D79" i="4"/>
  <c r="C79" i="4"/>
  <c r="B79" i="4"/>
  <c r="A79" i="4"/>
  <c r="P78" i="4"/>
  <c r="F34" i="4" s="1"/>
  <c r="N78" i="4"/>
  <c r="D34" i="4" s="1"/>
  <c r="M78" i="4"/>
  <c r="C34" i="4" s="1"/>
  <c r="L78" i="4"/>
  <c r="B34" i="4" s="1"/>
  <c r="K78" i="4"/>
  <c r="J78" i="4"/>
  <c r="H78" i="4"/>
  <c r="G78" i="4"/>
  <c r="F78" i="4"/>
  <c r="C78" i="4"/>
  <c r="B78" i="4"/>
  <c r="A78" i="4"/>
  <c r="P77" i="4"/>
  <c r="F33" i="4" s="1"/>
  <c r="N77" i="4"/>
  <c r="D33" i="4" s="1"/>
  <c r="L77" i="4"/>
  <c r="B33" i="4" s="1"/>
  <c r="K77" i="4"/>
  <c r="J77" i="4"/>
  <c r="I77" i="4"/>
  <c r="H77" i="4"/>
  <c r="G77" i="4"/>
  <c r="F77" i="4"/>
  <c r="E77" i="4"/>
  <c r="D77" i="4"/>
  <c r="C77" i="4"/>
  <c r="B77" i="4"/>
  <c r="A77" i="4"/>
  <c r="O76" i="4"/>
  <c r="E32" i="4" s="1"/>
  <c r="M76" i="4"/>
  <c r="C32" i="4" s="1"/>
  <c r="K76" i="4"/>
  <c r="J76" i="4"/>
  <c r="I76" i="4"/>
  <c r="H76" i="4"/>
  <c r="G76" i="4"/>
  <c r="F76" i="4"/>
  <c r="E76" i="4"/>
  <c r="D76" i="4"/>
  <c r="C76" i="4"/>
  <c r="B76" i="4"/>
  <c r="A76" i="4"/>
  <c r="N75" i="4"/>
  <c r="D31" i="4" s="1"/>
  <c r="M75" i="4"/>
  <c r="C31" i="4" s="1"/>
  <c r="I75" i="4"/>
  <c r="H75" i="4"/>
  <c r="G75" i="4"/>
  <c r="F75" i="4"/>
  <c r="E75" i="4"/>
  <c r="D75" i="4"/>
  <c r="C75" i="4"/>
  <c r="B75" i="4"/>
  <c r="A75" i="4"/>
  <c r="P74" i="4"/>
  <c r="F30" i="4" s="1"/>
  <c r="N74" i="4"/>
  <c r="D30" i="4" s="1"/>
  <c r="L74" i="4"/>
  <c r="B30" i="4" s="1"/>
  <c r="G74" i="4"/>
  <c r="F74" i="4"/>
  <c r="E74" i="4"/>
  <c r="D74" i="4"/>
  <c r="C74" i="4"/>
  <c r="B74" i="4"/>
  <c r="A74" i="4"/>
  <c r="P73" i="4"/>
  <c r="F29" i="4" s="1"/>
  <c r="N73" i="4"/>
  <c r="D29" i="4" s="1"/>
  <c r="K73" i="4"/>
  <c r="I73" i="4"/>
  <c r="F73" i="4"/>
  <c r="E73" i="4"/>
  <c r="D73" i="4"/>
  <c r="C73" i="4"/>
  <c r="B73" i="4"/>
  <c r="A73" i="4"/>
  <c r="P72" i="4"/>
  <c r="F28" i="4" s="1"/>
  <c r="O72" i="4"/>
  <c r="E28" i="4" s="1"/>
  <c r="N72" i="4"/>
  <c r="D28" i="4" s="1"/>
  <c r="L72" i="4"/>
  <c r="B28" i="4" s="1"/>
  <c r="H72" i="4"/>
  <c r="F72" i="4"/>
  <c r="E72" i="4"/>
  <c r="D72" i="4"/>
  <c r="C72" i="4"/>
  <c r="B72" i="4"/>
  <c r="A72" i="4"/>
  <c r="P71" i="4"/>
  <c r="F27" i="4" s="1"/>
  <c r="O71" i="4"/>
  <c r="E27" i="4" s="1"/>
  <c r="N71" i="4"/>
  <c r="D27" i="4" s="1"/>
  <c r="M71" i="4"/>
  <c r="C27" i="4" s="1"/>
  <c r="L71" i="4"/>
  <c r="B27" i="4" s="1"/>
  <c r="K71" i="4"/>
  <c r="I71" i="4"/>
  <c r="H71" i="4"/>
  <c r="G71" i="4"/>
  <c r="F71" i="4"/>
  <c r="D71" i="4"/>
  <c r="C71" i="4"/>
  <c r="B71" i="4"/>
  <c r="A71" i="4"/>
  <c r="P70" i="4"/>
  <c r="F26" i="4" s="1"/>
  <c r="O70" i="4"/>
  <c r="E26" i="4" s="1"/>
  <c r="N70" i="4"/>
  <c r="D26" i="4" s="1"/>
  <c r="M70" i="4"/>
  <c r="C26" i="4" s="1"/>
  <c r="L70" i="4"/>
  <c r="B26" i="4" s="1"/>
  <c r="K70" i="4"/>
  <c r="J70" i="4"/>
  <c r="I70" i="4"/>
  <c r="H70" i="4"/>
  <c r="G70" i="4"/>
  <c r="F70" i="4"/>
  <c r="E70" i="4"/>
  <c r="D70" i="4"/>
  <c r="C70" i="4"/>
  <c r="B70" i="4"/>
  <c r="A70" i="4"/>
  <c r="P69" i="4"/>
  <c r="F25" i="4" s="1"/>
  <c r="O69" i="4"/>
  <c r="E25" i="4" s="1"/>
  <c r="N69" i="4"/>
  <c r="D25" i="4" s="1"/>
  <c r="M69" i="4"/>
  <c r="C25" i="4" s="1"/>
  <c r="L69" i="4"/>
  <c r="B25" i="4" s="1"/>
  <c r="K69" i="4"/>
  <c r="J69" i="4"/>
  <c r="I69" i="4"/>
  <c r="H69" i="4"/>
  <c r="G69" i="4"/>
  <c r="F69" i="4"/>
  <c r="E69" i="4"/>
  <c r="D69" i="4"/>
  <c r="C69" i="4"/>
  <c r="B69" i="4"/>
  <c r="A69" i="4"/>
  <c r="P68" i="4"/>
  <c r="F24" i="4" s="1"/>
  <c r="O68" i="4"/>
  <c r="E24" i="4" s="1"/>
  <c r="N68" i="4"/>
  <c r="D24" i="4" s="1"/>
  <c r="M68" i="4"/>
  <c r="C24" i="4" s="1"/>
  <c r="L68" i="4"/>
  <c r="B24" i="4" s="1"/>
  <c r="K68" i="4"/>
  <c r="J68" i="4"/>
  <c r="I68" i="4"/>
  <c r="H68" i="4"/>
  <c r="G68" i="4"/>
  <c r="F68" i="4"/>
  <c r="E68" i="4"/>
  <c r="D68" i="4"/>
  <c r="C68" i="4"/>
  <c r="B68" i="4"/>
  <c r="A68" i="4"/>
  <c r="P67" i="4"/>
  <c r="F23" i="4" s="1"/>
  <c r="N67" i="4"/>
  <c r="D23" i="4" s="1"/>
  <c r="M67" i="4"/>
  <c r="C23" i="4" s="1"/>
  <c r="L67" i="4"/>
  <c r="B23" i="4" s="1"/>
  <c r="K67" i="4"/>
  <c r="J67" i="4"/>
  <c r="I67" i="4"/>
  <c r="H67" i="4"/>
  <c r="G67" i="4"/>
  <c r="F67" i="4"/>
  <c r="E67" i="4"/>
  <c r="D67" i="4"/>
  <c r="C67" i="4"/>
  <c r="B67" i="4"/>
  <c r="A67" i="4"/>
  <c r="P66" i="4"/>
  <c r="F22" i="4" s="1"/>
  <c r="O66" i="4"/>
  <c r="E22" i="4" s="1"/>
  <c r="M66" i="4"/>
  <c r="C22" i="4" s="1"/>
  <c r="L66" i="4"/>
  <c r="B22" i="4" s="1"/>
  <c r="K66" i="4"/>
  <c r="J66" i="4"/>
  <c r="I66" i="4"/>
  <c r="H66" i="4"/>
  <c r="G66" i="4"/>
  <c r="F66" i="4"/>
  <c r="E66" i="4"/>
  <c r="D66" i="4"/>
  <c r="C66" i="4"/>
  <c r="B66" i="4"/>
  <c r="A66" i="4"/>
  <c r="P65" i="4"/>
  <c r="F21" i="4" s="1"/>
  <c r="O65" i="4"/>
  <c r="E21" i="4" s="1"/>
  <c r="N65" i="4"/>
  <c r="D21" i="4" s="1"/>
  <c r="M65" i="4"/>
  <c r="C21" i="4" s="1"/>
  <c r="L65" i="4"/>
  <c r="B21" i="4" s="1"/>
  <c r="K65" i="4"/>
  <c r="H65" i="4"/>
  <c r="G65" i="4"/>
  <c r="F65" i="4"/>
  <c r="E65" i="4"/>
  <c r="D65" i="4"/>
  <c r="C65" i="4"/>
  <c r="B65" i="4"/>
  <c r="A65" i="4"/>
  <c r="P64" i="4"/>
  <c r="F20" i="4" s="1"/>
  <c r="O64" i="4"/>
  <c r="E20" i="4" s="1"/>
  <c r="N64" i="4"/>
  <c r="D20" i="4" s="1"/>
  <c r="M64" i="4"/>
  <c r="C20" i="4" s="1"/>
  <c r="L64" i="4"/>
  <c r="B20" i="4" s="1"/>
  <c r="J64" i="4"/>
  <c r="F64" i="4"/>
  <c r="E64" i="4"/>
  <c r="D64" i="4"/>
  <c r="C64" i="4"/>
  <c r="B64" i="4"/>
  <c r="A64" i="4"/>
  <c r="P63" i="4"/>
  <c r="F19" i="4" s="1"/>
  <c r="O63" i="4"/>
  <c r="E19" i="4" s="1"/>
  <c r="N63" i="4"/>
  <c r="D19" i="4" s="1"/>
  <c r="M63" i="4"/>
  <c r="C19" i="4" s="1"/>
  <c r="L63" i="4"/>
  <c r="B19" i="4" s="1"/>
  <c r="K63" i="4"/>
  <c r="I63" i="4"/>
  <c r="H63" i="4"/>
  <c r="G63" i="4"/>
  <c r="E63" i="4"/>
  <c r="D63" i="4"/>
  <c r="C63" i="4"/>
  <c r="B63" i="4"/>
  <c r="A63" i="4"/>
  <c r="P62" i="4"/>
  <c r="F18" i="4" s="1"/>
  <c r="O62" i="4"/>
  <c r="E18" i="4" s="1"/>
  <c r="N62" i="4"/>
  <c r="D18" i="4" s="1"/>
  <c r="M62" i="4"/>
  <c r="C18" i="4" s="1"/>
  <c r="L62" i="4"/>
  <c r="B18" i="4" s="1"/>
  <c r="K62" i="4"/>
  <c r="J62" i="4"/>
  <c r="I62" i="4"/>
  <c r="H62" i="4"/>
  <c r="E62" i="4"/>
  <c r="C62" i="4"/>
  <c r="B62" i="4"/>
  <c r="A62" i="4"/>
  <c r="P61" i="4"/>
  <c r="F17" i="4" s="1"/>
  <c r="O61" i="4"/>
  <c r="E17" i="4" s="1"/>
  <c r="N61" i="4"/>
  <c r="D17" i="4" s="1"/>
  <c r="M61" i="4"/>
  <c r="C17" i="4" s="1"/>
  <c r="L61" i="4"/>
  <c r="B17" i="4" s="1"/>
  <c r="K61" i="4"/>
  <c r="J61" i="4"/>
  <c r="I61" i="4"/>
  <c r="H61" i="4"/>
  <c r="G61" i="4"/>
  <c r="F61" i="4"/>
  <c r="E61" i="4"/>
  <c r="B61" i="4"/>
  <c r="A61" i="4"/>
  <c r="P60" i="4"/>
  <c r="F16" i="4" s="1"/>
  <c r="O60" i="4"/>
  <c r="E16" i="4" s="1"/>
  <c r="N60" i="4"/>
  <c r="D16" i="4" s="1"/>
  <c r="M60" i="4"/>
  <c r="C16" i="4" s="1"/>
  <c r="L60" i="4"/>
  <c r="B16" i="4" s="1"/>
  <c r="K60" i="4"/>
  <c r="J60" i="4"/>
  <c r="I60" i="4"/>
  <c r="H60" i="4"/>
  <c r="G60" i="4"/>
  <c r="F60" i="4"/>
  <c r="E60" i="4"/>
  <c r="D60" i="4"/>
  <c r="C60" i="4"/>
  <c r="B60" i="4"/>
  <c r="A60" i="4"/>
  <c r="P59" i="4"/>
  <c r="F15" i="4" s="1"/>
  <c r="N59" i="4"/>
  <c r="D15" i="4" s="1"/>
  <c r="L59" i="4"/>
  <c r="B15" i="4" s="1"/>
  <c r="J59" i="4"/>
  <c r="I59" i="4"/>
  <c r="H59" i="4"/>
  <c r="G59" i="4"/>
  <c r="F59" i="4"/>
  <c r="E59" i="4"/>
  <c r="D59" i="4"/>
  <c r="C59" i="4"/>
  <c r="B59" i="4"/>
  <c r="A59" i="4"/>
  <c r="P58" i="4"/>
  <c r="F14" i="4" s="1"/>
  <c r="M58" i="4"/>
  <c r="C14" i="4" s="1"/>
  <c r="L58" i="4"/>
  <c r="B14" i="4" s="1"/>
  <c r="J58" i="4"/>
  <c r="H58" i="4"/>
  <c r="G58" i="4"/>
  <c r="F58" i="4"/>
  <c r="E58" i="4"/>
  <c r="D58" i="4"/>
  <c r="C58" i="4"/>
  <c r="B58" i="4"/>
  <c r="A58" i="4"/>
  <c r="P57" i="4"/>
  <c r="F13" i="4" s="1"/>
  <c r="O57" i="4"/>
  <c r="E13" i="4" s="1"/>
  <c r="M57" i="4"/>
  <c r="C13" i="4" s="1"/>
  <c r="L57" i="4"/>
  <c r="B13" i="4" s="1"/>
  <c r="F57" i="4"/>
  <c r="E57" i="4"/>
  <c r="D57" i="4"/>
  <c r="C57" i="4"/>
  <c r="B57" i="4"/>
  <c r="A57" i="4"/>
  <c r="P56" i="4"/>
  <c r="F12" i="4" s="1"/>
  <c r="O56" i="4"/>
  <c r="E12" i="4" s="1"/>
  <c r="N56" i="4"/>
  <c r="D12" i="4" s="1"/>
  <c r="M56" i="4"/>
  <c r="C12" i="4" s="1"/>
  <c r="L56" i="4"/>
  <c r="B12" i="4" s="1"/>
  <c r="J56" i="4"/>
  <c r="I56" i="4"/>
  <c r="H56" i="4"/>
  <c r="G56" i="4"/>
  <c r="E56" i="4"/>
  <c r="D56" i="4"/>
  <c r="C56" i="4"/>
  <c r="B56" i="4"/>
  <c r="A56" i="4"/>
  <c r="P55" i="4"/>
  <c r="F11" i="4" s="1"/>
  <c r="O55" i="4"/>
  <c r="E11" i="4" s="1"/>
  <c r="N55" i="4"/>
  <c r="D11" i="4" s="1"/>
  <c r="M55" i="4"/>
  <c r="C11" i="4" s="1"/>
  <c r="L55" i="4"/>
  <c r="B11" i="4" s="1"/>
  <c r="K55" i="4"/>
  <c r="J55" i="4"/>
  <c r="I55" i="4"/>
  <c r="G55" i="4"/>
  <c r="E55" i="4"/>
  <c r="D55" i="4"/>
  <c r="C55" i="4"/>
  <c r="B55" i="4"/>
  <c r="A55" i="4"/>
  <c r="P54" i="4"/>
  <c r="F10" i="4" s="1"/>
  <c r="O54" i="4"/>
  <c r="E10" i="4" s="1"/>
  <c r="N54" i="4"/>
  <c r="D10" i="4" s="1"/>
  <c r="M54" i="4"/>
  <c r="C10" i="4" s="1"/>
  <c r="L54" i="4"/>
  <c r="B10" i="4" s="1"/>
  <c r="K54" i="4"/>
  <c r="J54" i="4"/>
  <c r="H54" i="4"/>
  <c r="G54" i="4"/>
  <c r="F54" i="4"/>
  <c r="E54" i="4"/>
  <c r="C54" i="4"/>
  <c r="B54" i="4"/>
  <c r="A54" i="4"/>
  <c r="P53" i="4"/>
  <c r="F9" i="4" s="1"/>
  <c r="O53" i="4"/>
  <c r="E9" i="4" s="1"/>
  <c r="N53" i="4"/>
  <c r="D9" i="4" s="1"/>
  <c r="M53" i="4"/>
  <c r="C9" i="4" s="1"/>
  <c r="L53" i="4"/>
  <c r="B9" i="4" s="1"/>
  <c r="K53" i="4"/>
  <c r="J53" i="4"/>
  <c r="I53" i="4"/>
  <c r="H53" i="4"/>
  <c r="G53" i="4"/>
  <c r="F53" i="4"/>
  <c r="E53" i="4"/>
  <c r="D53" i="4"/>
  <c r="C53" i="4"/>
  <c r="B53" i="4"/>
  <c r="A53" i="4"/>
  <c r="P52" i="4"/>
  <c r="F8" i="4" s="1"/>
  <c r="O52" i="4"/>
  <c r="E8" i="4" s="1"/>
  <c r="N52" i="4"/>
  <c r="D8" i="4" s="1"/>
  <c r="M52" i="4"/>
  <c r="C8" i="4" s="1"/>
  <c r="L52" i="4"/>
  <c r="B8" i="4" s="1"/>
  <c r="K52" i="4"/>
  <c r="J52" i="4"/>
  <c r="I52" i="4"/>
  <c r="H52" i="4"/>
  <c r="G52" i="4"/>
  <c r="F52" i="4"/>
  <c r="E52" i="4"/>
  <c r="D52" i="4"/>
  <c r="C52" i="4"/>
  <c r="A52" i="4"/>
  <c r="P51" i="4"/>
  <c r="O51" i="4"/>
  <c r="N51" i="4"/>
  <c r="M51" i="4"/>
  <c r="L51" i="4"/>
  <c r="K51" i="4"/>
  <c r="J51" i="4"/>
  <c r="I51" i="4"/>
  <c r="H51" i="4"/>
  <c r="G51" i="4"/>
  <c r="F51" i="4"/>
  <c r="E51" i="4"/>
  <c r="D51" i="4"/>
  <c r="C51" i="4"/>
  <c r="B51" i="4"/>
  <c r="A51" i="4"/>
  <c r="B5" i="4"/>
  <c r="A5" i="4"/>
  <c r="B4" i="4"/>
  <c r="A4" i="4"/>
  <c r="B3" i="4"/>
  <c r="A3" i="4"/>
  <c r="A1" i="4"/>
  <c r="P82" i="3"/>
  <c r="O82" i="3"/>
  <c r="N82" i="3"/>
  <c r="M82" i="3"/>
  <c r="L82" i="3"/>
  <c r="J82" i="3"/>
  <c r="E38" i="3" s="1"/>
  <c r="I82" i="3"/>
  <c r="D38" i="3" s="1"/>
  <c r="H82" i="3"/>
  <c r="C38" i="3" s="1"/>
  <c r="G82" i="3"/>
  <c r="B38" i="3" s="1"/>
  <c r="F82" i="3"/>
  <c r="E82" i="3"/>
  <c r="D82" i="3"/>
  <c r="C82" i="3"/>
  <c r="B82" i="3"/>
  <c r="A82" i="3"/>
  <c r="P81" i="3"/>
  <c r="O81" i="3"/>
  <c r="N81" i="3"/>
  <c r="M81" i="3"/>
  <c r="K81" i="3"/>
  <c r="F37" i="3" s="1"/>
  <c r="I81" i="3"/>
  <c r="D37" i="3" s="1"/>
  <c r="G81" i="3"/>
  <c r="B37" i="3" s="1"/>
  <c r="F81" i="3"/>
  <c r="E81" i="3"/>
  <c r="D81" i="3"/>
  <c r="C81" i="3"/>
  <c r="B81" i="3"/>
  <c r="A81" i="3"/>
  <c r="P80" i="3"/>
  <c r="O80" i="3"/>
  <c r="N80" i="3"/>
  <c r="M80" i="3"/>
  <c r="L80" i="3"/>
  <c r="J80" i="3"/>
  <c r="E36" i="3" s="1"/>
  <c r="I80" i="3"/>
  <c r="D36" i="3" s="1"/>
  <c r="H80" i="3"/>
  <c r="C36" i="3" s="1"/>
  <c r="F80" i="3"/>
  <c r="E80" i="3"/>
  <c r="D80" i="3"/>
  <c r="C80" i="3"/>
  <c r="B80" i="3"/>
  <c r="A80" i="3"/>
  <c r="P79" i="3"/>
  <c r="O79" i="3"/>
  <c r="N79" i="3"/>
  <c r="M79" i="3"/>
  <c r="L79" i="3"/>
  <c r="K79" i="3"/>
  <c r="F35" i="3" s="1"/>
  <c r="J79" i="3"/>
  <c r="E35" i="3" s="1"/>
  <c r="I79" i="3"/>
  <c r="D35" i="3" s="1"/>
  <c r="G79" i="3"/>
  <c r="B35" i="3" s="1"/>
  <c r="F79" i="3"/>
  <c r="E79" i="3"/>
  <c r="D79" i="3"/>
  <c r="C79" i="3"/>
  <c r="B79" i="3"/>
  <c r="A79" i="3"/>
  <c r="P78" i="3"/>
  <c r="O78" i="3"/>
  <c r="N78" i="3"/>
  <c r="M78" i="3"/>
  <c r="L78" i="3"/>
  <c r="K78" i="3"/>
  <c r="F34" i="3" s="1"/>
  <c r="J78" i="3"/>
  <c r="E34" i="3" s="1"/>
  <c r="I78" i="3"/>
  <c r="D34" i="3" s="1"/>
  <c r="H78" i="3"/>
  <c r="C34" i="3" s="1"/>
  <c r="G78" i="3"/>
  <c r="B34" i="3" s="1"/>
  <c r="F78" i="3"/>
  <c r="E78" i="3"/>
  <c r="C78" i="3"/>
  <c r="B78" i="3"/>
  <c r="A78" i="3"/>
  <c r="P77" i="3"/>
  <c r="N77" i="3"/>
  <c r="L77" i="3"/>
  <c r="K77" i="3"/>
  <c r="F33" i="3" s="1"/>
  <c r="J77" i="3"/>
  <c r="E33" i="3" s="1"/>
  <c r="I77" i="3"/>
  <c r="D33" i="3" s="1"/>
  <c r="H77" i="3"/>
  <c r="C33" i="3" s="1"/>
  <c r="G77" i="3"/>
  <c r="B33" i="3" s="1"/>
  <c r="F77" i="3"/>
  <c r="E77" i="3"/>
  <c r="D77" i="3"/>
  <c r="C77" i="3"/>
  <c r="B77" i="3"/>
  <c r="A77" i="3"/>
  <c r="O76" i="3"/>
  <c r="M76" i="3"/>
  <c r="K76" i="3"/>
  <c r="F32" i="3" s="1"/>
  <c r="J76" i="3"/>
  <c r="E32" i="3" s="1"/>
  <c r="I76" i="3"/>
  <c r="D32" i="3" s="1"/>
  <c r="H76" i="3"/>
  <c r="C32" i="3" s="1"/>
  <c r="G76" i="3"/>
  <c r="B32" i="3" s="1"/>
  <c r="F76" i="3"/>
  <c r="E76" i="3"/>
  <c r="D76" i="3"/>
  <c r="C76" i="3"/>
  <c r="A76" i="3"/>
  <c r="N75" i="3"/>
  <c r="M75" i="3"/>
  <c r="K75" i="3"/>
  <c r="F31" i="3" s="1"/>
  <c r="J75" i="3"/>
  <c r="E31" i="3" s="1"/>
  <c r="I75" i="3"/>
  <c r="D31" i="3" s="1"/>
  <c r="H75" i="3"/>
  <c r="C31" i="3" s="1"/>
  <c r="G75" i="3"/>
  <c r="B31" i="3" s="1"/>
  <c r="F75" i="3"/>
  <c r="E75" i="3"/>
  <c r="D75" i="3"/>
  <c r="C75" i="3"/>
  <c r="B75" i="3"/>
  <c r="A75" i="3"/>
  <c r="P74" i="3"/>
  <c r="N74" i="3"/>
  <c r="J74" i="3"/>
  <c r="E30" i="3" s="1"/>
  <c r="I74" i="3"/>
  <c r="D30" i="3" s="1"/>
  <c r="G74" i="3"/>
  <c r="B30" i="3" s="1"/>
  <c r="F74" i="3"/>
  <c r="E74" i="3"/>
  <c r="D74" i="3"/>
  <c r="C74" i="3"/>
  <c r="B74" i="3"/>
  <c r="A74" i="3"/>
  <c r="P73" i="3"/>
  <c r="O73" i="3"/>
  <c r="N73" i="3"/>
  <c r="M73" i="3"/>
  <c r="K73" i="3"/>
  <c r="F29" i="3" s="1"/>
  <c r="J73" i="3"/>
  <c r="E29" i="3" s="1"/>
  <c r="I73" i="3"/>
  <c r="D29" i="3" s="1"/>
  <c r="H73" i="3"/>
  <c r="C29" i="3" s="1"/>
  <c r="F73" i="3"/>
  <c r="E73" i="3"/>
  <c r="D73" i="3"/>
  <c r="C73" i="3"/>
  <c r="B73" i="3"/>
  <c r="A73" i="3"/>
  <c r="P72" i="3"/>
  <c r="O72" i="3"/>
  <c r="N72" i="3"/>
  <c r="M72" i="3"/>
  <c r="L72" i="3"/>
  <c r="K72" i="3"/>
  <c r="F28" i="3" s="1"/>
  <c r="J72" i="3"/>
  <c r="E28" i="3" s="1"/>
  <c r="I72" i="3"/>
  <c r="D28" i="3" s="1"/>
  <c r="H72" i="3"/>
  <c r="C28" i="3" s="1"/>
  <c r="G72" i="3"/>
  <c r="B28" i="3" s="1"/>
  <c r="F72" i="3"/>
  <c r="E72" i="3"/>
  <c r="D72" i="3"/>
  <c r="C72" i="3"/>
  <c r="B72" i="3"/>
  <c r="A72" i="3"/>
  <c r="P71" i="3"/>
  <c r="O71" i="3"/>
  <c r="N71" i="3"/>
  <c r="M71" i="3"/>
  <c r="L71" i="3"/>
  <c r="K71" i="3"/>
  <c r="F27" i="3" s="1"/>
  <c r="J71" i="3"/>
  <c r="E27" i="3" s="1"/>
  <c r="I71" i="3"/>
  <c r="D27" i="3" s="1"/>
  <c r="H71" i="3"/>
  <c r="C27" i="3" s="1"/>
  <c r="G71" i="3"/>
  <c r="B27" i="3" s="1"/>
  <c r="F71" i="3"/>
  <c r="E71" i="3"/>
  <c r="D71" i="3"/>
  <c r="C71" i="3"/>
  <c r="B71" i="3"/>
  <c r="A71" i="3"/>
  <c r="P70" i="3"/>
  <c r="O70" i="3"/>
  <c r="N70" i="3"/>
  <c r="M70" i="3"/>
  <c r="L70" i="3"/>
  <c r="K70" i="3"/>
  <c r="F26" i="3" s="1"/>
  <c r="J70" i="3"/>
  <c r="E26" i="3" s="1"/>
  <c r="I70" i="3"/>
  <c r="D26" i="3" s="1"/>
  <c r="H70" i="3"/>
  <c r="C26" i="3" s="1"/>
  <c r="G70" i="3"/>
  <c r="B26" i="3" s="1"/>
  <c r="F70" i="3"/>
  <c r="E70" i="3"/>
  <c r="D70" i="3"/>
  <c r="C70" i="3"/>
  <c r="B70" i="3"/>
  <c r="A70" i="3"/>
  <c r="P69" i="3"/>
  <c r="O69" i="3"/>
  <c r="N69" i="3"/>
  <c r="M69" i="3"/>
  <c r="L69" i="3"/>
  <c r="K69" i="3"/>
  <c r="F25" i="3" s="1"/>
  <c r="J69" i="3"/>
  <c r="E25" i="3" s="1"/>
  <c r="I69" i="3"/>
  <c r="D25" i="3" s="1"/>
  <c r="H69" i="3"/>
  <c r="C25" i="3" s="1"/>
  <c r="G69" i="3"/>
  <c r="B25" i="3" s="1"/>
  <c r="F69" i="3"/>
  <c r="E69" i="3"/>
  <c r="D69" i="3"/>
  <c r="C69" i="3"/>
  <c r="B69" i="3"/>
  <c r="A69" i="3"/>
  <c r="P68" i="3"/>
  <c r="O68" i="3"/>
  <c r="N68" i="3"/>
  <c r="M68" i="3"/>
  <c r="L68" i="3"/>
  <c r="K68" i="3"/>
  <c r="F24" i="3" s="1"/>
  <c r="J68" i="3"/>
  <c r="E24" i="3" s="1"/>
  <c r="I68" i="3"/>
  <c r="D24" i="3" s="1"/>
  <c r="H68" i="3"/>
  <c r="C24" i="3" s="1"/>
  <c r="G68" i="3"/>
  <c r="B24" i="3" s="1"/>
  <c r="F68" i="3"/>
  <c r="E68" i="3"/>
  <c r="D68" i="3"/>
  <c r="C68" i="3"/>
  <c r="B68" i="3"/>
  <c r="A68" i="3"/>
  <c r="P67" i="3"/>
  <c r="N67" i="3"/>
  <c r="M67" i="3"/>
  <c r="L67" i="3"/>
  <c r="K67" i="3"/>
  <c r="F23" i="3" s="1"/>
  <c r="J67" i="3"/>
  <c r="E23" i="3" s="1"/>
  <c r="I67" i="3"/>
  <c r="D23" i="3" s="1"/>
  <c r="H67" i="3"/>
  <c r="C23" i="3" s="1"/>
  <c r="G67" i="3"/>
  <c r="B23" i="3" s="1"/>
  <c r="F67" i="3"/>
  <c r="E67" i="3"/>
  <c r="D67" i="3"/>
  <c r="C67" i="3"/>
  <c r="B67" i="3"/>
  <c r="A67" i="3"/>
  <c r="P66" i="3"/>
  <c r="O66" i="3"/>
  <c r="M66" i="3"/>
  <c r="L66" i="3"/>
  <c r="K66" i="3"/>
  <c r="F22" i="3" s="1"/>
  <c r="J66" i="3"/>
  <c r="E22" i="3" s="1"/>
  <c r="I66" i="3"/>
  <c r="D22" i="3" s="1"/>
  <c r="H66" i="3"/>
  <c r="C22" i="3" s="1"/>
  <c r="G66" i="3"/>
  <c r="B22" i="3" s="1"/>
  <c r="F66" i="3"/>
  <c r="E66" i="3"/>
  <c r="D66" i="3"/>
  <c r="C66" i="3"/>
  <c r="B66" i="3"/>
  <c r="A66" i="3"/>
  <c r="P65" i="3"/>
  <c r="O65" i="3"/>
  <c r="N65" i="3"/>
  <c r="M65" i="3"/>
  <c r="L65" i="3"/>
  <c r="K65" i="3"/>
  <c r="F21" i="3" s="1"/>
  <c r="J65" i="3"/>
  <c r="E21" i="3" s="1"/>
  <c r="I65" i="3"/>
  <c r="D21" i="3" s="1"/>
  <c r="H65" i="3"/>
  <c r="C21" i="3" s="1"/>
  <c r="G65" i="3"/>
  <c r="B21" i="3" s="1"/>
  <c r="F65" i="3"/>
  <c r="E65" i="3"/>
  <c r="D65" i="3"/>
  <c r="C65" i="3"/>
  <c r="B65" i="3"/>
  <c r="A65" i="3"/>
  <c r="P64" i="3"/>
  <c r="O64" i="3"/>
  <c r="N64" i="3"/>
  <c r="M64" i="3"/>
  <c r="L64" i="3"/>
  <c r="J64" i="3"/>
  <c r="E20" i="3" s="1"/>
  <c r="I64" i="3"/>
  <c r="D20" i="3" s="1"/>
  <c r="G64" i="3"/>
  <c r="B20" i="3" s="1"/>
  <c r="F64" i="3"/>
  <c r="E64" i="3"/>
  <c r="D64" i="3"/>
  <c r="C64" i="3"/>
  <c r="B64" i="3"/>
  <c r="A64" i="3"/>
  <c r="P63" i="3"/>
  <c r="O63" i="3"/>
  <c r="N63" i="3"/>
  <c r="M63" i="3"/>
  <c r="L63" i="3"/>
  <c r="K63" i="3"/>
  <c r="F19" i="3" s="1"/>
  <c r="I63" i="3"/>
  <c r="D19" i="3" s="1"/>
  <c r="H63" i="3"/>
  <c r="C19" i="3" s="1"/>
  <c r="G63" i="3"/>
  <c r="B19" i="3" s="1"/>
  <c r="E63" i="3"/>
  <c r="D63" i="3"/>
  <c r="C63" i="3"/>
  <c r="B63" i="3"/>
  <c r="A63" i="3"/>
  <c r="P62" i="3"/>
  <c r="O62" i="3"/>
  <c r="N62" i="3"/>
  <c r="M62" i="3"/>
  <c r="L62" i="3"/>
  <c r="K62" i="3"/>
  <c r="F18" i="3" s="1"/>
  <c r="J62" i="3"/>
  <c r="E18" i="3" s="1"/>
  <c r="I62" i="3"/>
  <c r="D18" i="3" s="1"/>
  <c r="H62" i="3"/>
  <c r="C18" i="3" s="1"/>
  <c r="G62" i="3"/>
  <c r="B18" i="3" s="1"/>
  <c r="F62" i="3"/>
  <c r="E62" i="3"/>
  <c r="C62" i="3"/>
  <c r="B62" i="3"/>
  <c r="A62" i="3"/>
  <c r="P61" i="3"/>
  <c r="O61" i="3"/>
  <c r="N61" i="3"/>
  <c r="M61" i="3"/>
  <c r="L61" i="3"/>
  <c r="K61" i="3"/>
  <c r="F17" i="3" s="1"/>
  <c r="J61" i="3"/>
  <c r="E17" i="3" s="1"/>
  <c r="I61" i="3"/>
  <c r="D17" i="3" s="1"/>
  <c r="H61" i="3"/>
  <c r="C17" i="3" s="1"/>
  <c r="G61" i="3"/>
  <c r="B17" i="3" s="1"/>
  <c r="F61" i="3"/>
  <c r="E61" i="3"/>
  <c r="D61" i="3"/>
  <c r="B61" i="3"/>
  <c r="A61" i="3"/>
  <c r="P60" i="3"/>
  <c r="O60" i="3"/>
  <c r="M60" i="3"/>
  <c r="K60" i="3"/>
  <c r="F16" i="3" s="1"/>
  <c r="J60" i="3"/>
  <c r="E16" i="3" s="1"/>
  <c r="I60" i="3"/>
  <c r="D16" i="3" s="1"/>
  <c r="H60" i="3"/>
  <c r="C16" i="3" s="1"/>
  <c r="G60" i="3"/>
  <c r="B16" i="3" s="1"/>
  <c r="F60" i="3"/>
  <c r="E60" i="3"/>
  <c r="D60" i="3"/>
  <c r="C60" i="3"/>
  <c r="B60" i="3"/>
  <c r="A60" i="3"/>
  <c r="P59" i="3"/>
  <c r="N59" i="3"/>
  <c r="L59" i="3"/>
  <c r="J59" i="3"/>
  <c r="E15" i="3" s="1"/>
  <c r="I59" i="3"/>
  <c r="D15" i="3" s="1"/>
  <c r="H59" i="3"/>
  <c r="C15" i="3" s="1"/>
  <c r="G59" i="3"/>
  <c r="B15" i="3" s="1"/>
  <c r="F59" i="3"/>
  <c r="E59" i="3"/>
  <c r="D59" i="3"/>
  <c r="C59" i="3"/>
  <c r="B59" i="3"/>
  <c r="A59" i="3"/>
  <c r="P58" i="3"/>
  <c r="M58" i="3"/>
  <c r="L58" i="3"/>
  <c r="J58" i="3"/>
  <c r="E14" i="3" s="1"/>
  <c r="I58" i="3"/>
  <c r="D14" i="3" s="1"/>
  <c r="H58" i="3"/>
  <c r="C14" i="3" s="1"/>
  <c r="G58" i="3"/>
  <c r="B14" i="3" s="1"/>
  <c r="F58" i="3"/>
  <c r="E58" i="3"/>
  <c r="D58" i="3"/>
  <c r="C58" i="3"/>
  <c r="B58" i="3"/>
  <c r="A58" i="3"/>
  <c r="P57" i="3"/>
  <c r="O57" i="3"/>
  <c r="M57" i="3"/>
  <c r="K57" i="3"/>
  <c r="F13" i="3" s="1"/>
  <c r="I57" i="3"/>
  <c r="D13" i="3" s="1"/>
  <c r="G57" i="3"/>
  <c r="B13" i="3" s="1"/>
  <c r="F57" i="3"/>
  <c r="E57" i="3"/>
  <c r="D57" i="3"/>
  <c r="C57" i="3"/>
  <c r="B57" i="3"/>
  <c r="A57" i="3"/>
  <c r="P56" i="3"/>
  <c r="O56" i="3"/>
  <c r="N56" i="3"/>
  <c r="M56" i="3"/>
  <c r="L56" i="3"/>
  <c r="J56" i="3"/>
  <c r="E12" i="3" s="1"/>
  <c r="I56" i="3"/>
  <c r="D12" i="3" s="1"/>
  <c r="H56" i="3"/>
  <c r="C12" i="3" s="1"/>
  <c r="G56" i="3"/>
  <c r="B12" i="3" s="1"/>
  <c r="E56" i="3"/>
  <c r="D56" i="3"/>
  <c r="C56" i="3"/>
  <c r="B56" i="3"/>
  <c r="A56" i="3"/>
  <c r="P55" i="3"/>
  <c r="O55" i="3"/>
  <c r="N55" i="3"/>
  <c r="M55" i="3"/>
  <c r="L55" i="3"/>
  <c r="K55" i="3"/>
  <c r="F11" i="3" s="1"/>
  <c r="J55" i="3"/>
  <c r="E11" i="3" s="1"/>
  <c r="I55" i="3"/>
  <c r="D11" i="3" s="1"/>
  <c r="H55" i="3"/>
  <c r="C11" i="3" s="1"/>
  <c r="G55" i="3"/>
  <c r="B11" i="3" s="1"/>
  <c r="F55" i="3"/>
  <c r="E55" i="3"/>
  <c r="D55" i="3"/>
  <c r="C55" i="3"/>
  <c r="B55" i="3"/>
  <c r="A55" i="3"/>
  <c r="P54" i="3"/>
  <c r="O54" i="3"/>
  <c r="N54" i="3"/>
  <c r="M54" i="3"/>
  <c r="L54" i="3"/>
  <c r="K54" i="3"/>
  <c r="F10" i="3" s="1"/>
  <c r="J54" i="3"/>
  <c r="E10" i="3" s="1"/>
  <c r="I54" i="3"/>
  <c r="D10" i="3" s="1"/>
  <c r="H54" i="3"/>
  <c r="C10" i="3" s="1"/>
  <c r="G54" i="3"/>
  <c r="B10" i="3" s="1"/>
  <c r="F54" i="3"/>
  <c r="E54" i="3"/>
  <c r="D54" i="3"/>
  <c r="C54" i="3"/>
  <c r="B54" i="3"/>
  <c r="A54" i="3"/>
  <c r="P53" i="3"/>
  <c r="O53" i="3"/>
  <c r="N53" i="3"/>
  <c r="M53" i="3"/>
  <c r="L53" i="3"/>
  <c r="K53" i="3"/>
  <c r="F9" i="3" s="1"/>
  <c r="J53" i="3"/>
  <c r="E9" i="3" s="1"/>
  <c r="I53" i="3"/>
  <c r="D9" i="3" s="1"/>
  <c r="H53" i="3"/>
  <c r="C9" i="3" s="1"/>
  <c r="G53" i="3"/>
  <c r="B9" i="3" s="1"/>
  <c r="F53" i="3"/>
  <c r="E53" i="3"/>
  <c r="D53" i="3"/>
  <c r="C53" i="3"/>
  <c r="B53" i="3"/>
  <c r="A53" i="3"/>
  <c r="P52" i="3"/>
  <c r="O52" i="3"/>
  <c r="N52" i="3"/>
  <c r="M52" i="3"/>
  <c r="L52" i="3"/>
  <c r="K52" i="3"/>
  <c r="F8" i="3" s="1"/>
  <c r="J52" i="3"/>
  <c r="E8" i="3" s="1"/>
  <c r="I52" i="3"/>
  <c r="D8" i="3" s="1"/>
  <c r="H52" i="3"/>
  <c r="C8" i="3" s="1"/>
  <c r="G52" i="3"/>
  <c r="B8" i="3" s="1"/>
  <c r="F52" i="3"/>
  <c r="E52" i="3"/>
  <c r="D52" i="3"/>
  <c r="C52" i="3"/>
  <c r="A52" i="3"/>
  <c r="P51" i="3"/>
  <c r="O51" i="3"/>
  <c r="N51" i="3"/>
  <c r="M51" i="3"/>
  <c r="L51" i="3"/>
  <c r="K51" i="3"/>
  <c r="J51" i="3"/>
  <c r="I51" i="3"/>
  <c r="H51" i="3"/>
  <c r="G51" i="3"/>
  <c r="F51" i="3"/>
  <c r="E51" i="3"/>
  <c r="D51" i="3"/>
  <c r="C51" i="3"/>
  <c r="B51" i="3"/>
  <c r="A51" i="3"/>
  <c r="B5" i="3"/>
  <c r="A5" i="3"/>
  <c r="B4" i="3"/>
  <c r="A4" i="3"/>
  <c r="B3" i="3"/>
  <c r="A3" i="3"/>
  <c r="A1" i="3"/>
  <c r="B6" i="2"/>
  <c r="D48" i="1"/>
  <c r="F33" i="5" s="1"/>
  <c r="P34" i="1"/>
  <c r="Q34" i="1" s="1"/>
  <c r="Q33" i="1"/>
  <c r="P33" i="1"/>
  <c r="P32" i="1"/>
  <c r="Q32" i="1" s="1"/>
  <c r="P31" i="1"/>
  <c r="Q31" i="1" s="1"/>
  <c r="P30" i="1"/>
  <c r="Q30" i="1" s="1"/>
  <c r="P29" i="1"/>
  <c r="Q29" i="1" s="1"/>
  <c r="P28" i="1"/>
  <c r="Q28" i="1" s="1"/>
  <c r="Q27" i="1"/>
  <c r="P27" i="1"/>
  <c r="P26" i="1"/>
  <c r="Q26" i="1" s="1"/>
  <c r="Q25" i="1"/>
  <c r="P25" i="1"/>
  <c r="P24" i="1"/>
  <c r="Q24" i="1" s="1"/>
  <c r="P23" i="1"/>
  <c r="Q23" i="1" s="1"/>
  <c r="Q22" i="1"/>
  <c r="P22" i="1"/>
  <c r="P21" i="1"/>
  <c r="Q21" i="1" s="1"/>
  <c r="P20" i="1"/>
  <c r="Q20" i="1" s="1"/>
  <c r="Q19" i="1"/>
  <c r="P19" i="1"/>
  <c r="B19" i="1"/>
  <c r="C19" i="1" s="1"/>
  <c r="Q18" i="1"/>
  <c r="P18" i="1"/>
  <c r="P17" i="1"/>
  <c r="Q17" i="1" s="1"/>
  <c r="Q16" i="1"/>
  <c r="P16" i="1"/>
  <c r="Q15" i="1"/>
  <c r="P15" i="1"/>
  <c r="P14" i="1"/>
  <c r="Q14" i="1" s="1"/>
  <c r="B14" i="1"/>
  <c r="B16" i="1" s="1"/>
  <c r="P13" i="1"/>
  <c r="Q13" i="1" s="1"/>
  <c r="P12" i="1"/>
  <c r="Q12" i="1" s="1"/>
  <c r="P11" i="1"/>
  <c r="Q11" i="1" s="1"/>
  <c r="I11" i="1"/>
  <c r="H11" i="1"/>
  <c r="G11" i="1"/>
  <c r="E3" i="2" s="1"/>
  <c r="F11" i="1"/>
  <c r="P10" i="1"/>
  <c r="Q10" i="1" s="1"/>
  <c r="P9" i="1"/>
  <c r="Q9" i="1" s="1"/>
  <c r="I9" i="1"/>
  <c r="H9" i="1"/>
  <c r="G9" i="1"/>
  <c r="F9" i="1"/>
  <c r="P8" i="1"/>
  <c r="Q8" i="1" s="1"/>
  <c r="Q7" i="1"/>
  <c r="P7" i="1"/>
  <c r="I7" i="1"/>
  <c r="H7" i="1"/>
  <c r="G7" i="1"/>
  <c r="F7" i="1"/>
  <c r="P6" i="1"/>
  <c r="Q6" i="1" s="1"/>
  <c r="Q5" i="1"/>
  <c r="P5" i="1"/>
  <c r="G73" i="3" l="1"/>
  <c r="B29" i="3" s="1"/>
  <c r="G80" i="3"/>
  <c r="B36" i="3" s="1"/>
  <c r="P75" i="4"/>
  <c r="F31" i="4" s="1"/>
  <c r="P76" i="4"/>
  <c r="F32" i="4" s="1"/>
  <c r="H57" i="3"/>
  <c r="C13" i="3" s="1"/>
  <c r="H64" i="3"/>
  <c r="C20" i="3" s="1"/>
  <c r="H74" i="3"/>
  <c r="C30" i="3" s="1"/>
  <c r="H79" i="3"/>
  <c r="C35" i="3" s="1"/>
  <c r="H81" i="3"/>
  <c r="C37" i="3" s="1"/>
  <c r="K58" i="3"/>
  <c r="F14" i="3" s="1"/>
  <c r="K59" i="3"/>
  <c r="F15" i="3" s="1"/>
  <c r="K64" i="3"/>
  <c r="F20" i="3" s="1"/>
  <c r="K74" i="3"/>
  <c r="F30" i="3" s="1"/>
  <c r="K80" i="3"/>
  <c r="F36" i="3" s="1"/>
  <c r="K82" i="3"/>
  <c r="F38" i="3" s="1"/>
  <c r="D54" i="4"/>
  <c r="D61" i="4"/>
  <c r="D62" i="4"/>
  <c r="D78" i="4"/>
  <c r="K56" i="3"/>
  <c r="F12" i="3" s="1"/>
  <c r="L73" i="3"/>
  <c r="L75" i="3"/>
  <c r="L76" i="3"/>
  <c r="L81" i="3"/>
  <c r="E71" i="4"/>
  <c r="E78" i="4"/>
  <c r="E79" i="4"/>
  <c r="M59" i="3"/>
  <c r="M74" i="3"/>
  <c r="M77" i="3"/>
  <c r="F55" i="4"/>
  <c r="F56" i="4"/>
  <c r="F62" i="4"/>
  <c r="F63" i="4"/>
  <c r="C61" i="4"/>
  <c r="N57" i="3"/>
  <c r="N58" i="3"/>
  <c r="N66" i="3"/>
  <c r="N76" i="3"/>
  <c r="O58" i="3"/>
  <c r="O67" i="3"/>
  <c r="O74" i="3"/>
  <c r="O75" i="3"/>
  <c r="O77" i="3"/>
  <c r="J57" i="3"/>
  <c r="E13" i="3" s="1"/>
  <c r="O59" i="3"/>
  <c r="J81" i="3"/>
  <c r="E37" i="3" s="1"/>
  <c r="J63" i="4"/>
  <c r="B76" i="3"/>
  <c r="C61" i="3"/>
  <c r="D62" i="3"/>
  <c r="D78" i="3"/>
  <c r="F56" i="3"/>
  <c r="F63" i="3"/>
  <c r="M23" i="4"/>
  <c r="G28" i="4"/>
  <c r="I28" i="4" s="1"/>
  <c r="M37" i="4"/>
  <c r="G16" i="2"/>
  <c r="L16" i="2" s="1"/>
  <c r="B26" i="5" s="1"/>
  <c r="M31" i="4"/>
  <c r="M38" i="4"/>
  <c r="G8" i="4"/>
  <c r="G11" i="4"/>
  <c r="G31" i="4"/>
  <c r="P31" i="4" s="1"/>
  <c r="M24" i="4"/>
  <c r="G9" i="4"/>
  <c r="Q9" i="4" s="1"/>
  <c r="G12" i="4"/>
  <c r="O12" i="4" s="1"/>
  <c r="G25" i="4"/>
  <c r="Q25" i="4" s="1"/>
  <c r="M22" i="4"/>
  <c r="M9" i="4"/>
  <c r="G33" i="4"/>
  <c r="R33" i="4" s="1"/>
  <c r="G10" i="4"/>
  <c r="P10" i="4" s="1"/>
  <c r="G26" i="4"/>
  <c r="R26" i="4" s="1"/>
  <c r="M30" i="4"/>
  <c r="D47" i="1"/>
  <c r="F32" i="5" s="1"/>
  <c r="I38" i="2"/>
  <c r="I24" i="2"/>
  <c r="M38" i="2"/>
  <c r="G22" i="4"/>
  <c r="P22" i="4" s="1"/>
  <c r="G13" i="4"/>
  <c r="Q11" i="4"/>
  <c r="G23" i="4"/>
  <c r="L23" i="4" s="1"/>
  <c r="D19" i="5" s="1"/>
  <c r="G30" i="4"/>
  <c r="K30" i="4" s="1"/>
  <c r="G14" i="4"/>
  <c r="S14" i="4" s="1"/>
  <c r="I25" i="2"/>
  <c r="M36" i="2"/>
  <c r="M37" i="2"/>
  <c r="M9" i="2"/>
  <c r="S21" i="2"/>
  <c r="M19" i="2"/>
  <c r="G38" i="2"/>
  <c r="Q38" i="2" s="1"/>
  <c r="G10" i="2"/>
  <c r="R10" i="2" s="1"/>
  <c r="B52" i="1"/>
  <c r="M23" i="2"/>
  <c r="I23" i="2"/>
  <c r="G23" i="2"/>
  <c r="R23" i="2" s="1"/>
  <c r="I13" i="2"/>
  <c r="G13" i="2"/>
  <c r="Q13" i="2" s="1"/>
  <c r="G14" i="2"/>
  <c r="O14" i="2" s="1"/>
  <c r="P21" i="2"/>
  <c r="G8" i="3"/>
  <c r="M9" i="3"/>
  <c r="I9" i="3"/>
  <c r="G9" i="3"/>
  <c r="O9" i="3" s="1"/>
  <c r="M10" i="3"/>
  <c r="I10" i="3"/>
  <c r="G10" i="3"/>
  <c r="R10" i="3" s="1"/>
  <c r="M11" i="3"/>
  <c r="I11" i="3"/>
  <c r="G11" i="3"/>
  <c r="S11" i="3" s="1"/>
  <c r="M12" i="3"/>
  <c r="I12" i="3"/>
  <c r="G12" i="3"/>
  <c r="I13" i="3"/>
  <c r="G13" i="3"/>
  <c r="O13" i="3" s="1"/>
  <c r="M13" i="3"/>
  <c r="I14" i="3"/>
  <c r="G14" i="3"/>
  <c r="O14" i="3" s="1"/>
  <c r="M14" i="3"/>
  <c r="I15" i="3"/>
  <c r="G15" i="3"/>
  <c r="O15" i="3" s="1"/>
  <c r="M15" i="3"/>
  <c r="I16" i="3"/>
  <c r="G16" i="3"/>
  <c r="O16" i="3" s="1"/>
  <c r="M16" i="3"/>
  <c r="G17" i="3"/>
  <c r="O17" i="3" s="1"/>
  <c r="M17" i="3"/>
  <c r="I17" i="3"/>
  <c r="G18" i="3"/>
  <c r="O18" i="3" s="1"/>
  <c r="M18" i="3"/>
  <c r="I18" i="3"/>
  <c r="M19" i="3"/>
  <c r="I19" i="3"/>
  <c r="G19" i="3"/>
  <c r="P19" i="3" s="1"/>
  <c r="M20" i="3"/>
  <c r="I20" i="3"/>
  <c r="G20" i="3"/>
  <c r="R20" i="3" s="1"/>
  <c r="M21" i="3"/>
  <c r="I21" i="3"/>
  <c r="G21" i="3"/>
  <c r="P21" i="3" s="1"/>
  <c r="M23" i="3"/>
  <c r="I23" i="3"/>
  <c r="G23" i="3"/>
  <c r="P23" i="3" s="1"/>
  <c r="M24" i="3"/>
  <c r="I24" i="3"/>
  <c r="G24" i="3"/>
  <c r="O24" i="3" s="1"/>
  <c r="M25" i="3"/>
  <c r="I25" i="3"/>
  <c r="G25" i="3"/>
  <c r="O25" i="3" s="1"/>
  <c r="M26" i="3"/>
  <c r="I26" i="3"/>
  <c r="G26" i="3"/>
  <c r="O26" i="3" s="1"/>
  <c r="M27" i="3"/>
  <c r="I27" i="3"/>
  <c r="G27" i="3"/>
  <c r="S27" i="3" s="1"/>
  <c r="M28" i="3"/>
  <c r="I28" i="3"/>
  <c r="G28" i="3"/>
  <c r="O28" i="3" s="1"/>
  <c r="I29" i="3"/>
  <c r="G29" i="3"/>
  <c r="R29" i="3" s="1"/>
  <c r="M29" i="3"/>
  <c r="I30" i="3"/>
  <c r="G30" i="3"/>
  <c r="O30" i="3" s="1"/>
  <c r="M30" i="3"/>
  <c r="I31" i="3"/>
  <c r="G31" i="3"/>
  <c r="P31" i="3" s="1"/>
  <c r="M31" i="3"/>
  <c r="I32" i="3"/>
  <c r="G32" i="3"/>
  <c r="P32" i="3" s="1"/>
  <c r="M32" i="3"/>
  <c r="I33" i="3"/>
  <c r="G33" i="3"/>
  <c r="M33" i="3"/>
  <c r="I34" i="3"/>
  <c r="G34" i="3"/>
  <c r="P34" i="3" s="1"/>
  <c r="M34" i="3"/>
  <c r="I35" i="3"/>
  <c r="G35" i="3"/>
  <c r="M35" i="3"/>
  <c r="I36" i="3"/>
  <c r="G36" i="3"/>
  <c r="P36" i="3" s="1"/>
  <c r="M36" i="3"/>
  <c r="I37" i="3"/>
  <c r="G37" i="3"/>
  <c r="M37" i="3"/>
  <c r="I38" i="3"/>
  <c r="G38" i="3"/>
  <c r="M38" i="3"/>
  <c r="M16" i="2"/>
  <c r="R21" i="2"/>
  <c r="I11" i="4"/>
  <c r="H11" i="4"/>
  <c r="J11" i="4" s="1"/>
  <c r="S11" i="4"/>
  <c r="R11" i="4"/>
  <c r="L11" i="4"/>
  <c r="D31" i="5" s="1"/>
  <c r="K11" i="4"/>
  <c r="P11" i="4"/>
  <c r="I10" i="2"/>
  <c r="M18" i="2"/>
  <c r="K21" i="2"/>
  <c r="G27" i="4"/>
  <c r="P27" i="4" s="1"/>
  <c r="M10" i="2"/>
  <c r="I16" i="2"/>
  <c r="O21" i="2"/>
  <c r="G9" i="2"/>
  <c r="S9" i="2" s="1"/>
  <c r="I9" i="2"/>
  <c r="M15" i="2"/>
  <c r="I15" i="2"/>
  <c r="G15" i="2"/>
  <c r="Q15" i="2" s="1"/>
  <c r="Q21" i="2"/>
  <c r="L9" i="4"/>
  <c r="D33" i="5" s="1"/>
  <c r="K9" i="4"/>
  <c r="I9" i="4"/>
  <c r="P9" i="4"/>
  <c r="O9" i="4"/>
  <c r="I12" i="4"/>
  <c r="R12" i="4"/>
  <c r="L12" i="4"/>
  <c r="D30" i="5" s="1"/>
  <c r="F22" i="6"/>
  <c r="F25" i="6" s="1"/>
  <c r="F17" i="6"/>
  <c r="F19" i="6" s="1"/>
  <c r="F21" i="6" s="1"/>
  <c r="F23" i="6" s="1"/>
  <c r="F24" i="6" s="1"/>
  <c r="M34" i="4"/>
  <c r="M35" i="4"/>
  <c r="M36" i="4"/>
  <c r="M17" i="6"/>
  <c r="M19" i="6" s="1"/>
  <c r="M21" i="6" s="1"/>
  <c r="M23" i="6" s="1"/>
  <c r="M24" i="6" s="1"/>
  <c r="M22" i="6"/>
  <c r="M13" i="2"/>
  <c r="G18" i="2"/>
  <c r="P18" i="2" s="1"/>
  <c r="G20" i="2"/>
  <c r="R20" i="2" s="1"/>
  <c r="I20" i="2"/>
  <c r="I22" i="2"/>
  <c r="G22" i="2"/>
  <c r="S22" i="2" s="1"/>
  <c r="S28" i="4"/>
  <c r="M32" i="4"/>
  <c r="M33" i="4"/>
  <c r="A31" i="6"/>
  <c r="A32" i="6" s="1"/>
  <c r="M11" i="2"/>
  <c r="I11" i="2"/>
  <c r="G11" i="2"/>
  <c r="Q11" i="2" s="1"/>
  <c r="G12" i="2"/>
  <c r="P12" i="2" s="1"/>
  <c r="I17" i="2"/>
  <c r="G17" i="2"/>
  <c r="R17" i="2" s="1"/>
  <c r="M17" i="2"/>
  <c r="F31" i="6"/>
  <c r="F32" i="6" s="1"/>
  <c r="I12" i="2"/>
  <c r="S9" i="4"/>
  <c r="M14" i="2"/>
  <c r="M20" i="2"/>
  <c r="H10" i="4"/>
  <c r="J10" i="4" s="1"/>
  <c r="O10" i="4"/>
  <c r="L10" i="4"/>
  <c r="D32" i="5" s="1"/>
  <c r="G29" i="4"/>
  <c r="O29" i="4" s="1"/>
  <c r="G32" i="4"/>
  <c r="M12" i="2"/>
  <c r="I19" i="2"/>
  <c r="G19" i="2"/>
  <c r="P19" i="2" s="1"/>
  <c r="B20" i="1"/>
  <c r="M21" i="2"/>
  <c r="M22" i="2"/>
  <c r="Q10" i="4"/>
  <c r="I13" i="4"/>
  <c r="G15" i="4"/>
  <c r="R15" i="4" s="1"/>
  <c r="Q22" i="4"/>
  <c r="M25" i="4"/>
  <c r="I21" i="2"/>
  <c r="M10" i="4"/>
  <c r="G16" i="4"/>
  <c r="S16" i="4" s="1"/>
  <c r="R22" i="4"/>
  <c r="M26" i="4"/>
  <c r="G24" i="2"/>
  <c r="G25" i="2"/>
  <c r="R25" i="2" s="1"/>
  <c r="G26" i="2"/>
  <c r="M11" i="4"/>
  <c r="K13" i="4"/>
  <c r="G17" i="4"/>
  <c r="S17" i="4" s="1"/>
  <c r="S22" i="4"/>
  <c r="M27" i="4"/>
  <c r="G27" i="2"/>
  <c r="P27" i="2" s="1"/>
  <c r="G28" i="2"/>
  <c r="G29" i="2"/>
  <c r="G30" i="2"/>
  <c r="G31" i="2"/>
  <c r="G32" i="2"/>
  <c r="R32" i="2" s="1"/>
  <c r="G33" i="2"/>
  <c r="G22" i="3"/>
  <c r="Q22" i="3" s="1"/>
  <c r="O11" i="4"/>
  <c r="M12" i="4"/>
  <c r="L13" i="4"/>
  <c r="D29" i="5" s="1"/>
  <c r="G18" i="4"/>
  <c r="M28" i="4"/>
  <c r="G34" i="4"/>
  <c r="O34" i="4" s="1"/>
  <c r="G35" i="4"/>
  <c r="G36" i="4"/>
  <c r="G37" i="4"/>
  <c r="S37" i="4" s="1"/>
  <c r="G38" i="4"/>
  <c r="I26" i="2"/>
  <c r="G34" i="2"/>
  <c r="P34" i="2" s="1"/>
  <c r="M13" i="4"/>
  <c r="G19" i="4"/>
  <c r="O19" i="4" s="1"/>
  <c r="M29" i="4"/>
  <c r="I27" i="2"/>
  <c r="I28" i="2"/>
  <c r="I29" i="2"/>
  <c r="I30" i="2"/>
  <c r="I31" i="2"/>
  <c r="I32" i="2"/>
  <c r="I33" i="2"/>
  <c r="G35" i="2"/>
  <c r="O35" i="2" s="1"/>
  <c r="I22" i="3"/>
  <c r="M14" i="4"/>
  <c r="G20" i="4"/>
  <c r="I34" i="2"/>
  <c r="G36" i="2"/>
  <c r="P13" i="4"/>
  <c r="M15" i="4"/>
  <c r="G21" i="4"/>
  <c r="I35" i="2"/>
  <c r="G37" i="2"/>
  <c r="Q13" i="4"/>
  <c r="M16" i="4"/>
  <c r="M24" i="2"/>
  <c r="M25" i="2"/>
  <c r="M26" i="2"/>
  <c r="I36" i="2"/>
  <c r="R13" i="4"/>
  <c r="M17" i="4"/>
  <c r="H22" i="4"/>
  <c r="J22" i="4" s="1"/>
  <c r="M27" i="2"/>
  <c r="M28" i="2"/>
  <c r="M29" i="2"/>
  <c r="M30" i="2"/>
  <c r="M31" i="2"/>
  <c r="M32" i="2"/>
  <c r="M33" i="2"/>
  <c r="I37" i="2"/>
  <c r="M22" i="3"/>
  <c r="S13" i="4"/>
  <c r="M18" i="4"/>
  <c r="I22" i="4"/>
  <c r="G24" i="4"/>
  <c r="S24" i="4" s="1"/>
  <c r="M34" i="2"/>
  <c r="M19" i="4"/>
  <c r="M35" i="2"/>
  <c r="M20" i="4"/>
  <c r="K22" i="4"/>
  <c r="M21" i="4"/>
  <c r="L22" i="4"/>
  <c r="D20" i="5" s="1"/>
  <c r="G18" i="5" l="1"/>
  <c r="H18" i="5" s="1"/>
  <c r="P26" i="4"/>
  <c r="H13" i="4"/>
  <c r="J13" i="4" s="1"/>
  <c r="S26" i="4"/>
  <c r="L31" i="4"/>
  <c r="D11" i="5" s="1"/>
  <c r="Q31" i="4"/>
  <c r="R31" i="4"/>
  <c r="S23" i="4"/>
  <c r="S33" i="4"/>
  <c r="O38" i="4"/>
  <c r="S38" i="4"/>
  <c r="R36" i="4"/>
  <c r="P36" i="4"/>
  <c r="O22" i="4"/>
  <c r="R35" i="4"/>
  <c r="P35" i="4"/>
  <c r="R23" i="4"/>
  <c r="H23" i="4"/>
  <c r="J23" i="4" s="1"/>
  <c r="H28" i="4"/>
  <c r="J28" i="4" s="1"/>
  <c r="P23" i="4"/>
  <c r="K25" i="4"/>
  <c r="H9" i="4"/>
  <c r="J9" i="4" s="1"/>
  <c r="Q23" i="4"/>
  <c r="I23" i="4"/>
  <c r="K28" i="4"/>
  <c r="P16" i="2"/>
  <c r="O23" i="4"/>
  <c r="L26" i="4"/>
  <c r="D16" i="5" s="1"/>
  <c r="P28" i="4"/>
  <c r="K23" i="4"/>
  <c r="L28" i="4"/>
  <c r="D14" i="5" s="1"/>
  <c r="O26" i="4"/>
  <c r="R9" i="4"/>
  <c r="Q28" i="4"/>
  <c r="H26" i="4"/>
  <c r="J26" i="4" s="1"/>
  <c r="R28" i="4"/>
  <c r="I31" i="4"/>
  <c r="O28" i="4"/>
  <c r="Q26" i="4"/>
  <c r="I33" i="4"/>
  <c r="L33" i="4"/>
  <c r="D9" i="5" s="1"/>
  <c r="Q33" i="4"/>
  <c r="O25" i="4"/>
  <c r="P25" i="4"/>
  <c r="H25" i="4"/>
  <c r="J25" i="4" s="1"/>
  <c r="I25" i="4"/>
  <c r="P33" i="4"/>
  <c r="L25" i="4"/>
  <c r="D17" i="5" s="1"/>
  <c r="Q13" i="3"/>
  <c r="Q27" i="4"/>
  <c r="S10" i="4"/>
  <c r="Q11" i="3"/>
  <c r="K12" i="4"/>
  <c r="Q16" i="3"/>
  <c r="I10" i="4"/>
  <c r="Q12" i="4"/>
  <c r="P12" i="4"/>
  <c r="S12" i="4"/>
  <c r="O27" i="4"/>
  <c r="K10" i="4"/>
  <c r="P16" i="3"/>
  <c r="Q16" i="2"/>
  <c r="H12" i="4"/>
  <c r="J12" i="4" s="1"/>
  <c r="S16" i="2"/>
  <c r="S25" i="4"/>
  <c r="H30" i="4"/>
  <c r="J30" i="4" s="1"/>
  <c r="G33" i="5"/>
  <c r="H33" i="5" s="1"/>
  <c r="R16" i="2"/>
  <c r="S30" i="4"/>
  <c r="H31" i="4"/>
  <c r="J31" i="4" s="1"/>
  <c r="I30" i="4"/>
  <c r="H33" i="4"/>
  <c r="J33" i="4" s="1"/>
  <c r="L30" i="4"/>
  <c r="D12" i="5" s="1"/>
  <c r="G8" i="5"/>
  <c r="H8" i="5" s="1"/>
  <c r="P14" i="2"/>
  <c r="K31" i="4"/>
  <c r="O30" i="4"/>
  <c r="K33" i="4"/>
  <c r="P30" i="4"/>
  <c r="O16" i="2"/>
  <c r="O31" i="4"/>
  <c r="Q30" i="4"/>
  <c r="O33" i="4"/>
  <c r="K16" i="2"/>
  <c r="S31" i="4"/>
  <c r="R30" i="4"/>
  <c r="D46" i="1"/>
  <c r="G4" i="5"/>
  <c r="H4" i="5" s="1"/>
  <c r="L38" i="2"/>
  <c r="B4" i="5" s="1"/>
  <c r="H14" i="4"/>
  <c r="J14" i="4" s="1"/>
  <c r="I14" i="4"/>
  <c r="K14" i="4"/>
  <c r="L14" i="4"/>
  <c r="D28" i="5" s="1"/>
  <c r="O13" i="4"/>
  <c r="O14" i="4"/>
  <c r="P14" i="4"/>
  <c r="Q14" i="4"/>
  <c r="R10" i="4"/>
  <c r="R14" i="4"/>
  <c r="R25" i="4"/>
  <c r="I26" i="4"/>
  <c r="K26" i="4"/>
  <c r="S13" i="3"/>
  <c r="G9" i="5"/>
  <c r="H9" i="5" s="1"/>
  <c r="G13" i="5"/>
  <c r="H13" i="5" s="1"/>
  <c r="R13" i="3"/>
  <c r="Q21" i="3"/>
  <c r="S29" i="3"/>
  <c r="O29" i="3"/>
  <c r="O35" i="3"/>
  <c r="Q35" i="3"/>
  <c r="O34" i="3"/>
  <c r="Q34" i="3"/>
  <c r="P33" i="3"/>
  <c r="Q33" i="3"/>
  <c r="O38" i="3"/>
  <c r="S38" i="3"/>
  <c r="Q37" i="3"/>
  <c r="S37" i="3"/>
  <c r="G19" i="5"/>
  <c r="H19" i="5" s="1"/>
  <c r="Q32" i="3"/>
  <c r="S36" i="3"/>
  <c r="Q31" i="3"/>
  <c r="Q20" i="3"/>
  <c r="O33" i="3"/>
  <c r="P15" i="3"/>
  <c r="G11" i="5"/>
  <c r="H11" i="5" s="1"/>
  <c r="O20" i="3"/>
  <c r="P17" i="3"/>
  <c r="O37" i="3"/>
  <c r="S9" i="3"/>
  <c r="P35" i="3"/>
  <c r="G12" i="5"/>
  <c r="H12" i="5" s="1"/>
  <c r="O31" i="3"/>
  <c r="P20" i="3"/>
  <c r="S19" i="3"/>
  <c r="Q19" i="3"/>
  <c r="S20" i="3"/>
  <c r="R19" i="3"/>
  <c r="R30" i="3"/>
  <c r="Q30" i="3"/>
  <c r="O10" i="2"/>
  <c r="P38" i="2"/>
  <c r="R22" i="2"/>
  <c r="P38" i="3"/>
  <c r="O36" i="3"/>
  <c r="O32" i="3"/>
  <c r="O35" i="4"/>
  <c r="P30" i="3"/>
  <c r="G10" i="5"/>
  <c r="H10" i="5" s="1"/>
  <c r="R24" i="4"/>
  <c r="R16" i="4"/>
  <c r="Q15" i="3"/>
  <c r="S18" i="3"/>
  <c r="Q38" i="3"/>
  <c r="P22" i="3"/>
  <c r="R21" i="3"/>
  <c r="R28" i="3"/>
  <c r="S14" i="3"/>
  <c r="Q18" i="3"/>
  <c r="G30" i="5"/>
  <c r="H30" i="5" s="1"/>
  <c r="S35" i="4"/>
  <c r="R18" i="3"/>
  <c r="Q14" i="3"/>
  <c r="R14" i="3"/>
  <c r="G24" i="5"/>
  <c r="H24" i="5" s="1"/>
  <c r="G7" i="5"/>
  <c r="H7" i="5" s="1"/>
  <c r="G14" i="5"/>
  <c r="H14" i="5" s="1"/>
  <c r="P14" i="3"/>
  <c r="S28" i="3"/>
  <c r="O21" i="3"/>
  <c r="R15" i="3"/>
  <c r="G21" i="5"/>
  <c r="H21" i="5" s="1"/>
  <c r="S27" i="4"/>
  <c r="Q16" i="4"/>
  <c r="G5" i="5"/>
  <c r="H5" i="5" s="1"/>
  <c r="G23" i="5"/>
  <c r="H23" i="5" s="1"/>
  <c r="P28" i="2"/>
  <c r="R28" i="2"/>
  <c r="Q22" i="2"/>
  <c r="Q10" i="2"/>
  <c r="O38" i="2"/>
  <c r="P10" i="2"/>
  <c r="S10" i="2"/>
  <c r="L10" i="2"/>
  <c r="B32" i="5" s="1"/>
  <c r="P26" i="2"/>
  <c r="R26" i="2"/>
  <c r="P29" i="2"/>
  <c r="R29" i="2"/>
  <c r="S38" i="2"/>
  <c r="O33" i="2"/>
  <c r="R33" i="2"/>
  <c r="P31" i="2"/>
  <c r="R31" i="2"/>
  <c r="R38" i="2"/>
  <c r="O30" i="2"/>
  <c r="R30" i="2"/>
  <c r="K38" i="2"/>
  <c r="K10" i="2"/>
  <c r="Q12" i="2"/>
  <c r="G6" i="5"/>
  <c r="H6" i="5" s="1"/>
  <c r="P22" i="2"/>
  <c r="P15" i="2"/>
  <c r="O15" i="2"/>
  <c r="Q27" i="2"/>
  <c r="O31" i="2"/>
  <c r="O27" i="2"/>
  <c r="O29" i="2"/>
  <c r="P32" i="4"/>
  <c r="O32" i="4"/>
  <c r="L32" i="4"/>
  <c r="D10" i="5" s="1"/>
  <c r="K32" i="4"/>
  <c r="I32" i="4"/>
  <c r="H32" i="4"/>
  <c r="J32" i="4" s="1"/>
  <c r="L12" i="3"/>
  <c r="C30" i="5" s="1"/>
  <c r="K12" i="3"/>
  <c r="H12" i="3"/>
  <c r="J12" i="3" s="1"/>
  <c r="Q12" i="3"/>
  <c r="H29" i="4"/>
  <c r="J29" i="4" s="1"/>
  <c r="R29" i="4"/>
  <c r="Q29" i="4"/>
  <c r="P29" i="4"/>
  <c r="L29" i="4"/>
  <c r="D13" i="5" s="1"/>
  <c r="K29" i="4"/>
  <c r="I29" i="4"/>
  <c r="Q20" i="2"/>
  <c r="K20" i="2"/>
  <c r="P20" i="2"/>
  <c r="L20" i="2"/>
  <c r="B22" i="5" s="1"/>
  <c r="G27" i="5"/>
  <c r="H27" i="5" s="1"/>
  <c r="O22" i="3"/>
  <c r="H37" i="3"/>
  <c r="J37" i="3" s="1"/>
  <c r="R37" i="3"/>
  <c r="L37" i="3"/>
  <c r="C5" i="5" s="1"/>
  <c r="K37" i="3"/>
  <c r="H33" i="3"/>
  <c r="J33" i="3" s="1"/>
  <c r="S33" i="3"/>
  <c r="R33" i="3"/>
  <c r="L33" i="3"/>
  <c r="C9" i="5" s="1"/>
  <c r="K33" i="3"/>
  <c r="L29" i="3"/>
  <c r="C13" i="5" s="1"/>
  <c r="K29" i="3"/>
  <c r="H29" i="3"/>
  <c r="J29" i="3" s="1"/>
  <c r="P29" i="3"/>
  <c r="H16" i="3"/>
  <c r="J16" i="3" s="1"/>
  <c r="R16" i="3"/>
  <c r="L16" i="3"/>
  <c r="C26" i="5" s="1"/>
  <c r="K16" i="3"/>
  <c r="L14" i="2"/>
  <c r="B28" i="5" s="1"/>
  <c r="R14" i="2"/>
  <c r="K14" i="2"/>
  <c r="S14" i="2"/>
  <c r="Q14" i="2"/>
  <c r="O23" i="2"/>
  <c r="Q21" i="4"/>
  <c r="P21" i="4"/>
  <c r="L21" i="4"/>
  <c r="D21" i="5" s="1"/>
  <c r="K21" i="4"/>
  <c r="I21" i="4"/>
  <c r="H21" i="4"/>
  <c r="J21" i="4" s="1"/>
  <c r="S21" i="4"/>
  <c r="R21" i="4"/>
  <c r="O17" i="4"/>
  <c r="L17" i="4"/>
  <c r="D25" i="5" s="1"/>
  <c r="K17" i="4"/>
  <c r="I17" i="4"/>
  <c r="H17" i="4"/>
  <c r="J17" i="4" s="1"/>
  <c r="Q32" i="4"/>
  <c r="Q19" i="4"/>
  <c r="P19" i="4"/>
  <c r="G31" i="5"/>
  <c r="H31" i="5" s="1"/>
  <c r="S18" i="2"/>
  <c r="L18" i="2"/>
  <c r="B24" i="5" s="1"/>
  <c r="K18" i="2"/>
  <c r="R18" i="2"/>
  <c r="O18" i="2"/>
  <c r="S17" i="3"/>
  <c r="S16" i="3"/>
  <c r="K13" i="2"/>
  <c r="R13" i="2"/>
  <c r="L13" i="2"/>
  <c r="B29" i="5" s="1"/>
  <c r="P37" i="2"/>
  <c r="O37" i="2"/>
  <c r="L37" i="2"/>
  <c r="B5" i="5" s="1"/>
  <c r="K37" i="2"/>
  <c r="S37" i="2"/>
  <c r="Q37" i="2"/>
  <c r="S18" i="4"/>
  <c r="L18" i="4"/>
  <c r="D24" i="5" s="1"/>
  <c r="K18" i="4"/>
  <c r="I18" i="4"/>
  <c r="H18" i="4"/>
  <c r="J18" i="4" s="1"/>
  <c r="S15" i="4"/>
  <c r="G29" i="5"/>
  <c r="H29" i="5" s="1"/>
  <c r="R24" i="3"/>
  <c r="Q24" i="3"/>
  <c r="P24" i="3"/>
  <c r="L24" i="3"/>
  <c r="C18" i="5" s="1"/>
  <c r="K24" i="3"/>
  <c r="H24" i="3"/>
  <c r="J24" i="3" s="1"/>
  <c r="S24" i="3"/>
  <c r="L19" i="3"/>
  <c r="C23" i="5" s="1"/>
  <c r="K19" i="3"/>
  <c r="H19" i="3"/>
  <c r="J19" i="3" s="1"/>
  <c r="L11" i="3"/>
  <c r="C31" i="5" s="1"/>
  <c r="K11" i="3"/>
  <c r="H11" i="3"/>
  <c r="J11" i="3" s="1"/>
  <c r="R11" i="3"/>
  <c r="P11" i="3"/>
  <c r="S12" i="3"/>
  <c r="R12" i="2"/>
  <c r="P12" i="3"/>
  <c r="K9" i="2"/>
  <c r="P9" i="2"/>
  <c r="O9" i="2"/>
  <c r="L9" i="2"/>
  <c r="B33" i="5" s="1"/>
  <c r="L28" i="3"/>
  <c r="C14" i="5" s="1"/>
  <c r="K28" i="3"/>
  <c r="H28" i="3"/>
  <c r="J28" i="3" s="1"/>
  <c r="Q28" i="3"/>
  <c r="P28" i="3"/>
  <c r="O13" i="2"/>
  <c r="Q9" i="2"/>
  <c r="Q36" i="2"/>
  <c r="P36" i="2"/>
  <c r="O36" i="2"/>
  <c r="L36" i="2"/>
  <c r="B6" i="5" s="1"/>
  <c r="K36" i="2"/>
  <c r="R36" i="2"/>
  <c r="S19" i="4"/>
  <c r="R19" i="4"/>
  <c r="L19" i="4"/>
  <c r="D23" i="5" s="1"/>
  <c r="K19" i="4"/>
  <c r="I19" i="4"/>
  <c r="H19" i="4"/>
  <c r="J19" i="4" s="1"/>
  <c r="S26" i="2"/>
  <c r="L26" i="2"/>
  <c r="B16" i="5" s="1"/>
  <c r="K26" i="2"/>
  <c r="S36" i="4"/>
  <c r="P34" i="4"/>
  <c r="Q17" i="4"/>
  <c r="H36" i="3"/>
  <c r="J36" i="3" s="1"/>
  <c r="R36" i="3"/>
  <c r="L36" i="3"/>
  <c r="C6" i="5" s="1"/>
  <c r="K36" i="3"/>
  <c r="H32" i="3"/>
  <c r="J32" i="3" s="1"/>
  <c r="S32" i="3"/>
  <c r="R32" i="3"/>
  <c r="L32" i="3"/>
  <c r="C10" i="5" s="1"/>
  <c r="K32" i="3"/>
  <c r="H15" i="3"/>
  <c r="J15" i="3" s="1"/>
  <c r="S15" i="3"/>
  <c r="L15" i="3"/>
  <c r="C27" i="5" s="1"/>
  <c r="K15" i="3"/>
  <c r="G15" i="5"/>
  <c r="H15" i="5" s="1"/>
  <c r="S25" i="2"/>
  <c r="L25" i="2"/>
  <c r="B17" i="5" s="1"/>
  <c r="K25" i="2"/>
  <c r="R18" i="4"/>
  <c r="M25" i="6"/>
  <c r="M31" i="6" s="1"/>
  <c r="M32" i="6" s="1"/>
  <c r="O20" i="2"/>
  <c r="I27" i="4"/>
  <c r="H27" i="4"/>
  <c r="J27" i="4" s="1"/>
  <c r="R27" i="4"/>
  <c r="L27" i="4"/>
  <c r="D15" i="5" s="1"/>
  <c r="K27" i="4"/>
  <c r="O19" i="3"/>
  <c r="O11" i="3"/>
  <c r="P25" i="2"/>
  <c r="O12" i="2"/>
  <c r="S22" i="3"/>
  <c r="R22" i="3"/>
  <c r="L22" i="3"/>
  <c r="C20" i="5" s="1"/>
  <c r="K22" i="3"/>
  <c r="H22" i="3"/>
  <c r="J22" i="3" s="1"/>
  <c r="S24" i="2"/>
  <c r="L24" i="2"/>
  <c r="B18" i="5" s="1"/>
  <c r="K24" i="2"/>
  <c r="R24" i="2"/>
  <c r="P30" i="2"/>
  <c r="S34" i="4"/>
  <c r="P18" i="4"/>
  <c r="O18" i="4"/>
  <c r="Q18" i="2"/>
  <c r="R17" i="4"/>
  <c r="P37" i="3"/>
  <c r="L27" i="3"/>
  <c r="C15" i="5" s="1"/>
  <c r="K27" i="3"/>
  <c r="H27" i="3"/>
  <c r="J27" i="3" s="1"/>
  <c r="R27" i="3"/>
  <c r="Q27" i="3"/>
  <c r="P27" i="3"/>
  <c r="S23" i="3"/>
  <c r="R23" i="3"/>
  <c r="Q23" i="3"/>
  <c r="L23" i="3"/>
  <c r="C19" i="5" s="1"/>
  <c r="K23" i="3"/>
  <c r="H23" i="3"/>
  <c r="J23" i="3" s="1"/>
  <c r="P10" i="3"/>
  <c r="L10" i="3"/>
  <c r="C32" i="5" s="1"/>
  <c r="K10" i="3"/>
  <c r="H10" i="3"/>
  <c r="J10" i="3" s="1"/>
  <c r="S10" i="3"/>
  <c r="Q10" i="3"/>
  <c r="R32" i="4"/>
  <c r="D45" i="1"/>
  <c r="F31" i="5"/>
  <c r="R20" i="4"/>
  <c r="Q20" i="4"/>
  <c r="L20" i="4"/>
  <c r="D22" i="5" s="1"/>
  <c r="K20" i="4"/>
  <c r="I20" i="4"/>
  <c r="H20" i="4"/>
  <c r="J20" i="4" s="1"/>
  <c r="S20" i="4"/>
  <c r="S34" i="2"/>
  <c r="R34" i="2"/>
  <c r="Q34" i="2"/>
  <c r="L34" i="2"/>
  <c r="B8" i="5" s="1"/>
  <c r="K34" i="2"/>
  <c r="O20" i="4"/>
  <c r="Q15" i="4"/>
  <c r="P15" i="4"/>
  <c r="O15" i="4"/>
  <c r="L15" i="4"/>
  <c r="D27" i="5" s="1"/>
  <c r="K15" i="4"/>
  <c r="I15" i="4"/>
  <c r="H15" i="4"/>
  <c r="J15" i="4" s="1"/>
  <c r="S33" i="2"/>
  <c r="Q33" i="2"/>
  <c r="L33" i="2"/>
  <c r="B9" i="5" s="1"/>
  <c r="K33" i="2"/>
  <c r="R37" i="2"/>
  <c r="C52" i="1"/>
  <c r="C20" i="1"/>
  <c r="B21" i="1"/>
  <c r="G22" i="5"/>
  <c r="H22" i="5" s="1"/>
  <c r="Q24" i="2"/>
  <c r="O24" i="2"/>
  <c r="Q29" i="3"/>
  <c r="H35" i="3"/>
  <c r="J35" i="3" s="1"/>
  <c r="S35" i="3"/>
  <c r="R35" i="3"/>
  <c r="L35" i="3"/>
  <c r="C7" i="5" s="1"/>
  <c r="K35" i="3"/>
  <c r="H31" i="3"/>
  <c r="J31" i="3" s="1"/>
  <c r="S31" i="3"/>
  <c r="R31" i="3"/>
  <c r="L31" i="3"/>
  <c r="C11" i="5" s="1"/>
  <c r="K31" i="3"/>
  <c r="K14" i="3"/>
  <c r="H14" i="3"/>
  <c r="J14" i="3" s="1"/>
  <c r="L14" i="3"/>
  <c r="C28" i="5" s="1"/>
  <c r="S13" i="2"/>
  <c r="L24" i="4"/>
  <c r="D18" i="5" s="1"/>
  <c r="K24" i="4"/>
  <c r="I24" i="4"/>
  <c r="H24" i="4"/>
  <c r="J24" i="4" s="1"/>
  <c r="Q24" i="4"/>
  <c r="P24" i="4"/>
  <c r="O24" i="4"/>
  <c r="R38" i="4"/>
  <c r="Q38" i="4"/>
  <c r="P38" i="4"/>
  <c r="L38" i="4"/>
  <c r="D4" i="5" s="1"/>
  <c r="K38" i="4"/>
  <c r="I38" i="4"/>
  <c r="H38" i="4"/>
  <c r="J38" i="4" s="1"/>
  <c r="S32" i="2"/>
  <c r="Q32" i="2"/>
  <c r="L32" i="2"/>
  <c r="B10" i="5" s="1"/>
  <c r="K32" i="2"/>
  <c r="P16" i="4"/>
  <c r="O16" i="4"/>
  <c r="L16" i="4"/>
  <c r="D26" i="5" s="1"/>
  <c r="K16" i="4"/>
  <c r="I16" i="4"/>
  <c r="H16" i="4"/>
  <c r="J16" i="4" s="1"/>
  <c r="R19" i="2"/>
  <c r="L19" i="2"/>
  <c r="B23" i="5" s="1"/>
  <c r="K19" i="2"/>
  <c r="S19" i="2"/>
  <c r="O19" i="2"/>
  <c r="Q19" i="2"/>
  <c r="G28" i="5"/>
  <c r="H28" i="5" s="1"/>
  <c r="P33" i="2"/>
  <c r="G32" i="5"/>
  <c r="H32" i="5" s="1"/>
  <c r="Q23" i="2"/>
  <c r="P20" i="4"/>
  <c r="O27" i="3"/>
  <c r="O23" i="3"/>
  <c r="P18" i="3"/>
  <c r="L18" i="3"/>
  <c r="C24" i="5" s="1"/>
  <c r="K18" i="3"/>
  <c r="H18" i="3"/>
  <c r="J18" i="3" s="1"/>
  <c r="O10" i="3"/>
  <c r="Q25" i="2"/>
  <c r="Q36" i="3"/>
  <c r="R9" i="2"/>
  <c r="G16" i="5"/>
  <c r="H16" i="5" s="1"/>
  <c r="R35" i="2"/>
  <c r="Q35" i="2"/>
  <c r="P35" i="2"/>
  <c r="L35" i="2"/>
  <c r="B7" i="5" s="1"/>
  <c r="K35" i="2"/>
  <c r="S35" i="2"/>
  <c r="R37" i="4"/>
  <c r="Q37" i="4"/>
  <c r="P37" i="4"/>
  <c r="L37" i="4"/>
  <c r="D5" i="5" s="1"/>
  <c r="K37" i="4"/>
  <c r="I37" i="4"/>
  <c r="H37" i="4"/>
  <c r="J37" i="4" s="1"/>
  <c r="S31" i="2"/>
  <c r="Q31" i="2"/>
  <c r="L31" i="2"/>
  <c r="B11" i="5" s="1"/>
  <c r="K31" i="2"/>
  <c r="O28" i="2"/>
  <c r="O34" i="2"/>
  <c r="S36" i="2"/>
  <c r="S20" i="2"/>
  <c r="S32" i="4"/>
  <c r="Q26" i="2"/>
  <c r="O26" i="2"/>
  <c r="R17" i="3"/>
  <c r="P26" i="3"/>
  <c r="L26" i="3"/>
  <c r="C16" i="5" s="1"/>
  <c r="K26" i="3"/>
  <c r="H26" i="3"/>
  <c r="J26" i="3" s="1"/>
  <c r="S26" i="3"/>
  <c r="R26" i="3"/>
  <c r="Q26" i="3"/>
  <c r="S21" i="3"/>
  <c r="L21" i="3"/>
  <c r="C21" i="5" s="1"/>
  <c r="K21" i="3"/>
  <c r="H21" i="3"/>
  <c r="J21" i="3" s="1"/>
  <c r="Q9" i="3"/>
  <c r="P9" i="3"/>
  <c r="L9" i="3"/>
  <c r="C33" i="5" s="1"/>
  <c r="K9" i="3"/>
  <c r="H9" i="3"/>
  <c r="J9" i="3" s="1"/>
  <c r="R9" i="3"/>
  <c r="P23" i="2"/>
  <c r="G17" i="5"/>
  <c r="H17" i="5" s="1"/>
  <c r="Q36" i="4"/>
  <c r="L36" i="4"/>
  <c r="D6" i="5" s="1"/>
  <c r="K36" i="4"/>
  <c r="I36" i="4"/>
  <c r="H36" i="4"/>
  <c r="J36" i="4" s="1"/>
  <c r="S30" i="2"/>
  <c r="Q30" i="2"/>
  <c r="L30" i="2"/>
  <c r="B12" i="5" s="1"/>
  <c r="K30" i="2"/>
  <c r="O25" i="2"/>
  <c r="G25" i="5"/>
  <c r="H25" i="5" s="1"/>
  <c r="S29" i="4"/>
  <c r="P24" i="2"/>
  <c r="O32" i="2"/>
  <c r="G26" i="5"/>
  <c r="H26" i="5" s="1"/>
  <c r="R12" i="3"/>
  <c r="Q35" i="4"/>
  <c r="L35" i="4"/>
  <c r="D7" i="5" s="1"/>
  <c r="K35" i="4"/>
  <c r="I35" i="4"/>
  <c r="H35" i="4"/>
  <c r="J35" i="4" s="1"/>
  <c r="S29" i="2"/>
  <c r="Q29" i="2"/>
  <c r="L29" i="2"/>
  <c r="B13" i="5" s="1"/>
  <c r="K29" i="2"/>
  <c r="G20" i="5"/>
  <c r="H20" i="5" s="1"/>
  <c r="K17" i="2"/>
  <c r="L17" i="2"/>
  <c r="B25" i="5" s="1"/>
  <c r="S17" i="2"/>
  <c r="Q17" i="2"/>
  <c r="P17" i="2"/>
  <c r="O17" i="2"/>
  <c r="O22" i="2"/>
  <c r="L22" i="2"/>
  <c r="B20" i="5" s="1"/>
  <c r="K22" i="2"/>
  <c r="R34" i="4"/>
  <c r="P32" i="2"/>
  <c r="P13" i="2"/>
  <c r="H38" i="3"/>
  <c r="J38" i="3" s="1"/>
  <c r="R38" i="3"/>
  <c r="L38" i="3"/>
  <c r="C4" i="5" s="1"/>
  <c r="K38" i="3"/>
  <c r="H34" i="3"/>
  <c r="J34" i="3" s="1"/>
  <c r="S34" i="3"/>
  <c r="R34" i="3"/>
  <c r="L34" i="3"/>
  <c r="C8" i="5" s="1"/>
  <c r="K34" i="3"/>
  <c r="K30" i="3"/>
  <c r="H30" i="3"/>
  <c r="J30" i="3" s="1"/>
  <c r="S30" i="3"/>
  <c r="L30" i="3"/>
  <c r="C12" i="5" s="1"/>
  <c r="L13" i="3"/>
  <c r="C29" i="5" s="1"/>
  <c r="K13" i="3"/>
  <c r="H13" i="3"/>
  <c r="J13" i="3" s="1"/>
  <c r="P13" i="3"/>
  <c r="Q34" i="4"/>
  <c r="L34" i="4"/>
  <c r="D8" i="5" s="1"/>
  <c r="K34" i="4"/>
  <c r="I34" i="4"/>
  <c r="H34" i="4"/>
  <c r="J34" i="4" s="1"/>
  <c r="S28" i="2"/>
  <c r="Q28" i="2"/>
  <c r="L28" i="2"/>
  <c r="B14" i="5" s="1"/>
  <c r="K28" i="2"/>
  <c r="H17" i="3"/>
  <c r="J17" i="3" s="1"/>
  <c r="Q17" i="3"/>
  <c r="L17" i="3"/>
  <c r="C25" i="5" s="1"/>
  <c r="K17" i="3"/>
  <c r="K23" i="2"/>
  <c r="S23" i="2"/>
  <c r="L23" i="2"/>
  <c r="B19" i="5" s="1"/>
  <c r="K11" i="2"/>
  <c r="P11" i="2"/>
  <c r="S11" i="2"/>
  <c r="O11" i="2"/>
  <c r="L11" i="2"/>
  <c r="B31" i="5" s="1"/>
  <c r="S27" i="2"/>
  <c r="R27" i="2"/>
  <c r="L27" i="2"/>
  <c r="B15" i="5" s="1"/>
  <c r="K27" i="2"/>
  <c r="O37" i="4"/>
  <c r="R11" i="2"/>
  <c r="O36" i="4"/>
  <c r="L12" i="2"/>
  <c r="B30" i="5" s="1"/>
  <c r="K12" i="2"/>
  <c r="S12" i="2"/>
  <c r="Q18" i="4"/>
  <c r="L15" i="2"/>
  <c r="B27" i="5" s="1"/>
  <c r="K15" i="2"/>
  <c r="R15" i="2"/>
  <c r="S15" i="2"/>
  <c r="O21" i="4"/>
  <c r="P17" i="4"/>
  <c r="Q25" i="3"/>
  <c r="P25" i="3"/>
  <c r="L25" i="3"/>
  <c r="C17" i="5" s="1"/>
  <c r="K25" i="3"/>
  <c r="H25" i="3"/>
  <c r="J25" i="3" s="1"/>
  <c r="S25" i="3"/>
  <c r="R25" i="3"/>
  <c r="L20" i="3"/>
  <c r="C22" i="5" s="1"/>
  <c r="K20" i="3"/>
  <c r="H20" i="3"/>
  <c r="J20" i="3" s="1"/>
  <c r="O12" i="3"/>
  <c r="E4" i="5" l="1"/>
  <c r="I4" i="5" s="1"/>
  <c r="E26" i="5"/>
  <c r="I26" i="5" s="1"/>
  <c r="E31" i="5"/>
  <c r="I31" i="5" s="1"/>
  <c r="E30" i="5"/>
  <c r="I30" i="5" s="1"/>
  <c r="E15" i="5"/>
  <c r="I15" i="5" s="1"/>
  <c r="E20" i="5"/>
  <c r="I20" i="5" s="1"/>
  <c r="E25" i="5"/>
  <c r="I25" i="5" s="1"/>
  <c r="E19" i="5"/>
  <c r="I19" i="5" s="1"/>
  <c r="E32" i="5"/>
  <c r="I32" i="5" s="1"/>
  <c r="E13" i="5"/>
  <c r="I13" i="5" s="1"/>
  <c r="E16" i="5"/>
  <c r="I16" i="5" s="1"/>
  <c r="E12" i="5"/>
  <c r="I12" i="5" s="1"/>
  <c r="E11" i="5"/>
  <c r="I11" i="5" s="1"/>
  <c r="E10" i="5"/>
  <c r="I10" i="5" s="1"/>
  <c r="E27" i="5"/>
  <c r="I27" i="5" s="1"/>
  <c r="E5" i="5"/>
  <c r="I5" i="5" s="1"/>
  <c r="C21" i="1"/>
  <c r="B22" i="1"/>
  <c r="D52" i="1"/>
  <c r="E23" i="5"/>
  <c r="I23" i="5" s="1"/>
  <c r="E17" i="5"/>
  <c r="I17" i="5" s="1"/>
  <c r="E6" i="5"/>
  <c r="I6" i="5" s="1"/>
  <c r="F30" i="5"/>
  <c r="D44" i="1"/>
  <c r="E8" i="5"/>
  <c r="I8" i="5" s="1"/>
  <c r="E29" i="5"/>
  <c r="I29" i="5" s="1"/>
  <c r="E9" i="5"/>
  <c r="I9" i="5" s="1"/>
  <c r="E28" i="5"/>
  <c r="I28" i="5" s="1"/>
  <c r="E21" i="5"/>
  <c r="I21" i="5" s="1"/>
  <c r="E7" i="5"/>
  <c r="I7" i="5" s="1"/>
  <c r="E22" i="5"/>
  <c r="I22" i="5" s="1"/>
  <c r="E14" i="5"/>
  <c r="I14" i="5" s="1"/>
  <c r="E24" i="5"/>
  <c r="I24" i="5" s="1"/>
  <c r="E18" i="5"/>
  <c r="I18" i="5" s="1"/>
  <c r="E33" i="5"/>
  <c r="I33" i="5" s="1"/>
  <c r="F29" i="5" l="1"/>
  <c r="D43" i="1"/>
  <c r="C22" i="1"/>
  <c r="B23" i="1"/>
  <c r="E52" i="1"/>
  <c r="B24" i="1" l="1"/>
  <c r="C23" i="1"/>
  <c r="F52" i="1"/>
  <c r="F28" i="5"/>
  <c r="D42" i="1"/>
  <c r="F27" i="5" l="1"/>
  <c r="D41" i="1"/>
  <c r="C24" i="1"/>
  <c r="B25" i="1"/>
  <c r="G52" i="1"/>
  <c r="H52" i="1" l="1"/>
  <c r="B26" i="1"/>
  <c r="C25" i="1"/>
  <c r="D40" i="1"/>
  <c r="F26" i="5"/>
  <c r="I52" i="1" l="1"/>
  <c r="B27" i="1"/>
  <c r="C26" i="1"/>
  <c r="F25" i="5"/>
  <c r="D39" i="1"/>
  <c r="F24" i="5" l="1"/>
  <c r="D38" i="1"/>
  <c r="C27" i="1"/>
  <c r="B28" i="1"/>
  <c r="J52" i="1"/>
  <c r="K52" i="1" l="1"/>
  <c r="B29" i="1"/>
  <c r="C28" i="1"/>
  <c r="F23" i="5"/>
  <c r="D37" i="1"/>
  <c r="C29" i="1" l="1"/>
  <c r="B30" i="1"/>
  <c r="L52" i="1"/>
  <c r="F22" i="5"/>
  <c r="D36" i="1"/>
  <c r="F21" i="5" l="1"/>
  <c r="D35" i="1"/>
  <c r="B31" i="1"/>
  <c r="C30" i="1"/>
  <c r="M52" i="1"/>
  <c r="F20" i="5" l="1"/>
  <c r="D34" i="1"/>
  <c r="B32" i="1"/>
  <c r="C31" i="1"/>
  <c r="N52" i="1"/>
  <c r="F19" i="5" l="1"/>
  <c r="D33" i="1"/>
  <c r="O52" i="1"/>
  <c r="B33" i="1"/>
  <c r="C32" i="1"/>
  <c r="P52" i="1" l="1"/>
  <c r="B34" i="1"/>
  <c r="C33" i="1"/>
  <c r="F18" i="5"/>
  <c r="D32" i="1"/>
  <c r="F17" i="5" l="1"/>
  <c r="D31" i="1"/>
  <c r="B35" i="1"/>
  <c r="Q52" i="1"/>
  <c r="C34" i="1"/>
  <c r="C35" i="1" l="1"/>
  <c r="R52" i="1"/>
  <c r="B36" i="1"/>
  <c r="D30" i="1"/>
  <c r="F16" i="5"/>
  <c r="F15" i="5" l="1"/>
  <c r="D29" i="1"/>
  <c r="S52" i="1"/>
  <c r="B37" i="1"/>
  <c r="C36" i="1"/>
  <c r="B38" i="1" l="1"/>
  <c r="T52" i="1"/>
  <c r="C37" i="1"/>
  <c r="F14" i="5"/>
  <c r="D28" i="1"/>
  <c r="F13" i="5" l="1"/>
  <c r="D27" i="1"/>
  <c r="U52" i="1"/>
  <c r="B39" i="1"/>
  <c r="C38" i="1"/>
  <c r="B40" i="1" l="1"/>
  <c r="C39" i="1"/>
  <c r="V52" i="1"/>
  <c r="F12" i="5"/>
  <c r="D26" i="1"/>
  <c r="D25" i="1" l="1"/>
  <c r="F11" i="5"/>
  <c r="C40" i="1"/>
  <c r="B41" i="1"/>
  <c r="W52" i="1"/>
  <c r="X52" i="1" l="1"/>
  <c r="B42" i="1"/>
  <c r="C41" i="1"/>
  <c r="F10" i="5"/>
  <c r="D24" i="1"/>
  <c r="F9" i="5" l="1"/>
  <c r="D23" i="1"/>
  <c r="Y52" i="1"/>
  <c r="C42" i="1"/>
  <c r="B43" i="1"/>
  <c r="C43" i="1" l="1"/>
  <c r="B44" i="1"/>
  <c r="Z52" i="1"/>
  <c r="D22" i="1"/>
  <c r="F8" i="5"/>
  <c r="B45" i="1" l="1"/>
  <c r="C44" i="1"/>
  <c r="AA52" i="1"/>
  <c r="F7" i="5"/>
  <c r="D21" i="1"/>
  <c r="F6" i="5" l="1"/>
  <c r="D20" i="1"/>
  <c r="B46" i="1"/>
  <c r="C45" i="1"/>
  <c r="AB52" i="1"/>
  <c r="B47" i="1" l="1"/>
  <c r="C46" i="1"/>
  <c r="AC52" i="1"/>
  <c r="F5" i="5"/>
  <c r="D19" i="1"/>
  <c r="F4" i="5" s="1"/>
  <c r="M16" i="5"/>
  <c r="M25" i="5"/>
  <c r="M11" i="5"/>
  <c r="M26" i="5"/>
  <c r="M18" i="5"/>
  <c r="M10" i="5"/>
  <c r="M23" i="5"/>
  <c r="M15" i="5"/>
  <c r="M7" i="5"/>
  <c r="M9" i="5"/>
  <c r="M22" i="5"/>
  <c r="M20" i="5"/>
  <c r="M14" i="5"/>
  <c r="M30" i="5"/>
  <c r="M29" i="5"/>
  <c r="M6" i="5"/>
  <c r="M21" i="5"/>
  <c r="M24" i="5"/>
  <c r="M13" i="5"/>
  <c r="M12" i="5"/>
  <c r="M19" i="5"/>
  <c r="M5" i="5"/>
  <c r="M8" i="5"/>
  <c r="M4" i="5"/>
  <c r="M28" i="5"/>
  <c r="M17" i="5"/>
  <c r="M27" i="5"/>
  <c r="B13" i="7" l="1"/>
  <c r="B29" i="7"/>
  <c r="B14" i="7"/>
  <c r="B30" i="7"/>
  <c r="B16" i="7"/>
  <c r="B17" i="7"/>
  <c r="B18" i="7"/>
  <c r="B19" i="7"/>
  <c r="B20" i="7"/>
  <c r="B15" i="7"/>
  <c r="B21" i="7"/>
  <c r="B6" i="7"/>
  <c r="B22" i="7"/>
  <c r="B7" i="7"/>
  <c r="B23" i="7"/>
  <c r="B8" i="7"/>
  <c r="B24" i="7"/>
  <c r="B9" i="7"/>
  <c r="B25" i="7"/>
  <c r="B31" i="7"/>
  <c r="B10" i="7"/>
  <c r="B26" i="7"/>
  <c r="B11" i="7"/>
  <c r="B27" i="7"/>
  <c r="B12" i="7"/>
  <c r="B28" i="7"/>
  <c r="B5" i="7"/>
  <c r="B48" i="1"/>
  <c r="C47" i="1"/>
  <c r="AD52" i="1"/>
  <c r="D28" i="7"/>
  <c r="D22" i="7"/>
  <c r="D15" i="7"/>
  <c r="D10" i="7"/>
  <c r="G29" i="7"/>
  <c r="G28" i="7"/>
  <c r="D19" i="7"/>
  <c r="D33" i="7"/>
  <c r="D34" i="7"/>
  <c r="D16" i="7"/>
  <c r="D14" i="7"/>
  <c r="D5" i="7"/>
  <c r="D32" i="7"/>
  <c r="D31" i="7"/>
  <c r="D11" i="7"/>
  <c r="D26" i="7"/>
  <c r="D8" i="7"/>
  <c r="D23" i="7"/>
  <c r="D29" i="7"/>
  <c r="D9" i="7"/>
  <c r="D21" i="7"/>
  <c r="D20" i="7"/>
  <c r="G27" i="7"/>
  <c r="D25" i="7"/>
  <c r="D24" i="7"/>
  <c r="D6" i="7"/>
  <c r="D13" i="7"/>
  <c r="D18" i="7"/>
  <c r="D12" i="7"/>
  <c r="D30" i="7"/>
  <c r="D27" i="7"/>
  <c r="D17" i="7"/>
  <c r="D7" i="7"/>
  <c r="AB22" i="7" l="1"/>
  <c r="AB23" i="7" s="1"/>
  <c r="M22" i="7"/>
  <c r="M23" i="7" s="1"/>
  <c r="P22" i="7"/>
  <c r="P23" i="7" s="1"/>
  <c r="AJ22" i="7"/>
  <c r="AJ23" i="7" s="1"/>
  <c r="AA22" i="7"/>
  <c r="AA23" i="7" s="1"/>
  <c r="L22" i="7"/>
  <c r="L23" i="7" s="1"/>
  <c r="Z22" i="7"/>
  <c r="Z23" i="7" s="1"/>
  <c r="K22" i="7"/>
  <c r="K23" i="7" s="1"/>
  <c r="Y22" i="7"/>
  <c r="Y23" i="7" s="1"/>
  <c r="J22" i="7"/>
  <c r="J23" i="7" s="1"/>
  <c r="AI22" i="7"/>
  <c r="AI23" i="7" s="1"/>
  <c r="I22" i="7"/>
  <c r="I23" i="7" s="1"/>
  <c r="X22" i="7"/>
  <c r="X23" i="7" s="1"/>
  <c r="H22" i="7"/>
  <c r="H23" i="7" s="1"/>
  <c r="AH22" i="7"/>
  <c r="AH23" i="7" s="1"/>
  <c r="W22" i="7"/>
  <c r="W23" i="7" s="1"/>
  <c r="G22" i="7"/>
  <c r="G23" i="7" s="1"/>
  <c r="V22" i="7"/>
  <c r="V23" i="7" s="1"/>
  <c r="AG22" i="7"/>
  <c r="AG23" i="7" s="1"/>
  <c r="U22" i="7"/>
  <c r="U23" i="7" s="1"/>
  <c r="AF22" i="7"/>
  <c r="AF23" i="7" s="1"/>
  <c r="T22" i="7"/>
  <c r="T23" i="7" s="1"/>
  <c r="S22" i="7"/>
  <c r="S23" i="7" s="1"/>
  <c r="AE22" i="7"/>
  <c r="AE23" i="7" s="1"/>
  <c r="R22" i="7"/>
  <c r="R23" i="7" s="1"/>
  <c r="Q22" i="7"/>
  <c r="Q23" i="7" s="1"/>
  <c r="AD22" i="7"/>
  <c r="AD23" i="7" s="1"/>
  <c r="O22" i="7"/>
  <c r="O23" i="7" s="1"/>
  <c r="AC22" i="7"/>
  <c r="AC23" i="7" s="1"/>
  <c r="N22" i="7"/>
  <c r="N23" i="7" s="1"/>
  <c r="C48" i="1"/>
  <c r="AE52" i="1"/>
  <c r="B8" i="2"/>
  <c r="G8" i="2"/>
  <c r="H22" i="2" s="1"/>
  <c r="J22" i="2" s="1"/>
  <c r="B52" i="4"/>
  <c r="B52" i="3"/>
  <c r="H20" i="2" l="1"/>
  <c r="J20" i="2" s="1"/>
  <c r="H24" i="2"/>
  <c r="J24" i="2" s="1"/>
  <c r="H21" i="2"/>
  <c r="J21" i="2" s="1"/>
  <c r="H11" i="2"/>
  <c r="J11" i="2" s="1"/>
  <c r="H26" i="2"/>
  <c r="J26" i="2" s="1"/>
  <c r="H37" i="2"/>
  <c r="J37" i="2" s="1"/>
  <c r="H35" i="2"/>
  <c r="J35" i="2" s="1"/>
  <c r="H33" i="2"/>
  <c r="J33" i="2" s="1"/>
  <c r="H15" i="2"/>
  <c r="J15" i="2" s="1"/>
  <c r="H25" i="2"/>
  <c r="J25" i="2" s="1"/>
  <c r="H10" i="2"/>
  <c r="J10" i="2" s="1"/>
  <c r="H16" i="2"/>
  <c r="J16" i="2" s="1"/>
  <c r="H36" i="2"/>
  <c r="J36" i="2" s="1"/>
  <c r="H17" i="2"/>
  <c r="J17" i="2" s="1"/>
  <c r="H28" i="2"/>
  <c r="J28" i="2" s="1"/>
  <c r="H19" i="2"/>
  <c r="J19" i="2" s="1"/>
  <c r="H18" i="2"/>
  <c r="J18" i="2" s="1"/>
  <c r="H34" i="2"/>
  <c r="J34" i="2" s="1"/>
  <c r="H12" i="2"/>
  <c r="J12" i="2" s="1"/>
  <c r="H13" i="2"/>
  <c r="J13" i="2" s="1"/>
  <c r="H32" i="2"/>
  <c r="J32" i="2" s="1"/>
  <c r="H31" i="2"/>
  <c r="J31" i="2" s="1"/>
  <c r="H38" i="2"/>
  <c r="J38" i="2" s="1"/>
  <c r="H9" i="2"/>
  <c r="J9" i="2" s="1"/>
  <c r="H29" i="2"/>
  <c r="J29" i="2" s="1"/>
  <c r="H14" i="2"/>
  <c r="J14" i="2" s="1"/>
  <c r="H23" i="2"/>
  <c r="J23" i="2" s="1"/>
  <c r="H30" i="2"/>
  <c r="J30" i="2" s="1"/>
  <c r="H27" i="2"/>
  <c r="J27" i="2" s="1"/>
</calcChain>
</file>

<file path=xl/sharedStrings.xml><?xml version="1.0" encoding="utf-8"?>
<sst xmlns="http://schemas.openxmlformats.org/spreadsheetml/2006/main" count="424" uniqueCount="185">
  <si>
    <t>Reference Fluid Dilution Calculator</t>
  </si>
  <si>
    <t>Expected Counts vs Size</t>
  </si>
  <si>
    <t>Dilution to</t>
  </si>
  <si>
    <t>Captured</t>
  </si>
  <si>
    <t>RM</t>
  </si>
  <si>
    <t>37D</t>
  </si>
  <si>
    <t>Target Concentration</t>
  </si>
  <si>
    <t>Information Only</t>
  </si>
  <si>
    <t>ml</t>
  </si>
  <si>
    <t>Date</t>
  </si>
  <si>
    <t>Fluid Density</t>
  </si>
  <si>
    <t>um(c)</t>
  </si>
  <si>
    <t>SRM2806D</t>
  </si>
  <si>
    <t>34D</t>
  </si>
  <si>
    <t>RM USED</t>
  </si>
  <si>
    <t>Diluted</t>
  </si>
  <si>
    <t>Counted</t>
  </si>
  <si>
    <t>Operator</t>
  </si>
  <si>
    <t>JMD</t>
  </si>
  <si>
    <t>APC Model</t>
  </si>
  <si>
    <t>Bottle Number</t>
  </si>
  <si>
    <t>B0</t>
  </si>
  <si>
    <t>B1</t>
  </si>
  <si>
    <t>B2</t>
  </si>
  <si>
    <t>B3</t>
  </si>
  <si>
    <t>APC S/N</t>
  </si>
  <si>
    <t>11171-00009</t>
  </si>
  <si>
    <t>Ref Fluid to Add / g</t>
  </si>
  <si>
    <t>Sensor Model</t>
  </si>
  <si>
    <t>Ref Fluid Added / g</t>
  </si>
  <si>
    <t>Sensor S/N</t>
  </si>
  <si>
    <t>Diluent to add / g</t>
  </si>
  <si>
    <t>Bottle Sampler</t>
  </si>
  <si>
    <t>Diluent Added / g</t>
  </si>
  <si>
    <t>Final Concentration</t>
  </si>
  <si>
    <t>Threshold Noise</t>
  </si>
  <si>
    <t>Lowest threshold J</t>
  </si>
  <si>
    <t>Highest threshold H</t>
  </si>
  <si>
    <t>Threshold Factor K</t>
  </si>
  <si>
    <t>Threshold#</t>
  </si>
  <si>
    <t>Initial Value</t>
  </si>
  <si>
    <t>INT</t>
  </si>
  <si>
    <t>Reversed</t>
  </si>
  <si>
    <t>1.5x noise</t>
  </si>
  <si>
    <t>~30um</t>
  </si>
  <si>
    <t>INITIAL Thresholds to Load into Instrument</t>
  </si>
  <si>
    <t>Number</t>
  </si>
  <si>
    <t>Value</t>
  </si>
  <si>
    <t>ENSURE CALIBRATION THRESHOLDS LOADED INTO INSTRUMENT</t>
  </si>
  <si>
    <t>Data Preprocessing and Quality Assessment per ISO 11171 Clause 6.6</t>
  </si>
  <si>
    <t>BOTTLE 1</t>
  </si>
  <si>
    <t>CHECK CALIBRATION THRESHOLDS ENTERED ON PARTICLE COUNTER</t>
  </si>
  <si>
    <t>Serial #</t>
  </si>
  <si>
    <t>Dilution Ratio</t>
  </si>
  <si>
    <t>BOTTLE</t>
  </si>
  <si>
    <t>Portion 1</t>
  </si>
  <si>
    <t>Portion 2</t>
  </si>
  <si>
    <t>Portion 3</t>
  </si>
  <si>
    <t>Portion 4</t>
  </si>
  <si>
    <t>Portion 5</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</si>
  <si>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</si>
  <si>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</si>
  <si>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</si>
  <si>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</si>
  <si>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</si>
  <si>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t>X̅</t>
    </r>
    <r>
      <rPr>
        <b/>
        <vertAlign val="subscript"/>
        <sz val="10"/>
        <rFont val="Arial"/>
        <family val="2"/>
      </rPr>
      <t>N</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</si>
  <si>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</si>
  <si>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</si>
  <si>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</si>
  <si>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</si>
  <si>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</si>
  <si>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</si>
  <si>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</si>
  <si>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</si>
  <si>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</si>
  <si>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</si>
  <si>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</si>
  <si>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</si>
  <si>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</si>
  <si>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</si>
  <si>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</si>
  <si>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</si>
  <si>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</si>
  <si>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</si>
  <si>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</si>
  <si>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</si>
  <si>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</si>
  <si>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</si>
  <si>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</si>
  <si>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</si>
  <si>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</si>
  <si>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</si>
  <si>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</si>
  <si>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</si>
  <si>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</si>
  <si>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</si>
  <si>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</si>
  <si>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</si>
  <si>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</si>
  <si>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</si>
  <si>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</si>
  <si>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</si>
  <si>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</si>
  <si>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</si>
  <si>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</si>
  <si>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</si>
  <si>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</si>
  <si>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</si>
  <si>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</si>
  <si>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</si>
  <si>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</si>
  <si>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</si>
  <si>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</si>
  <si>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</si>
  <si>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</si>
  <si>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r>
      <t>Mean X̅</t>
    </r>
    <r>
      <rPr>
        <vertAlign val="subscript"/>
        <sz val="11"/>
        <color rgb="FF000000"/>
        <rFont val="Calibri"/>
        <family val="2"/>
      </rPr>
      <t>N</t>
    </r>
    <r>
      <rPr>
        <sz val="11"/>
        <color rgb="FF000000"/>
        <rFont val="Calibri"/>
        <family val="2"/>
      </rPr>
      <t xml:space="preserve"> </t>
    </r>
  </si>
  <si>
    <t>Threshold Voltage Setting</t>
  </si>
  <si>
    <t>Uncertainty
S</t>
  </si>
  <si>
    <t xml:space="preserve"> Particle Size</t>
  </si>
  <si>
    <t>Undiluted Particle Concentration</t>
  </si>
  <si>
    <t>Interpolated Threshold Voltage Setting</t>
  </si>
  <si>
    <t>particles per millilitre</t>
  </si>
  <si>
    <t>samples</t>
  </si>
  <si>
    <t>/ml</t>
  </si>
  <si>
    <t xml:space="preserve">µm(c) </t>
  </si>
  <si>
    <t>4-30um(c) threshold interpolation</t>
  </si>
  <si>
    <t>REF</t>
  </si>
  <si>
    <t>11171-00001</t>
  </si>
  <si>
    <t>BS110-HP BS2044</t>
  </si>
  <si>
    <t>Poly Spheres Concentrate Calculator</t>
  </si>
  <si>
    <t>microns</t>
  </si>
  <si>
    <t>diameter</t>
  </si>
  <si>
    <t>m^3</t>
  </si>
  <si>
    <t>volume of a sphere</t>
  </si>
  <si>
    <t>kg</t>
  </si>
  <si>
    <t>mass of a sphere</t>
  </si>
  <si>
    <t>spheres per mg</t>
  </si>
  <si>
    <t>Target concentration per ml</t>
  </si>
  <si>
    <t>mg/l</t>
  </si>
  <si>
    <t>spheres to add per liter</t>
  </si>
  <si>
    <t>litres</t>
  </si>
  <si>
    <t>Bottle / Rig volume</t>
  </si>
  <si>
    <t>mg</t>
  </si>
  <si>
    <t>Total mass of spheres to add</t>
  </si>
  <si>
    <t>Actual mass added</t>
  </si>
  <si>
    <t>N/ml</t>
  </si>
  <si>
    <t>Concentration expected</t>
  </si>
  <si>
    <t>Spheres added</t>
  </si>
  <si>
    <t>Adjusted volume required</t>
  </si>
  <si>
    <t>Extra volume to add</t>
  </si>
  <si>
    <t>Dilution</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</si>
  <si>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</si>
  <si>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</si>
  <si>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</si>
  <si>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</si>
  <si>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</si>
  <si>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</si>
  <si>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</si>
  <si>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</si>
  <si>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</si>
  <si>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</si>
  <si>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</si>
  <si>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Cumulative Counts / 100ml</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</si>
  <si>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</si>
  <si>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</si>
  <si>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</si>
  <si>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</si>
  <si>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</si>
  <si>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</si>
  <si>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</si>
  <si>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</si>
  <si>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mV</t>
  </si>
  <si>
    <t>Thresholds to load</t>
  </si>
  <si>
    <t>ROUNDED</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</si>
  <si>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</si>
  <si>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</si>
  <si>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</si>
  <si>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</si>
  <si>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</si>
  <si>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</si>
  <si>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OLD</t>
  </si>
  <si>
    <t>Self-priming mode</t>
  </si>
  <si>
    <t>UNKNOWN PARTISTAN DISTRIBUTION Clause 6 - Sizing Calibration - Initial Threshold Setting</t>
  </si>
  <si>
    <t>Portion</t>
  </si>
  <si>
    <t>Scanned Volume (ml)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</si>
</sst>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0.000"/>
    <numFmt numFmtId="166" formatCode="0.0"/>
    <numFmt numFmtId="167" formatCode="0.0%"/>
    <numFmt numFmtId="168" formatCode="0.000E+00"/>
  </numFmts>
  <fonts count="29" x14ac:knownFonts="1">
    <font>
      <sz val="10"/>
      <name val="Arial"/>
      <family val="2"/>
    </font>
    <font>
      <sz val="11"/>
      <color theme="1"/>
      <name val="Arial"/>
      <family val="2"/>
      <scheme val="minor"/>
    </font>
    <font>
      <b/>
      <sz val="11"/>
      <color rgb="FFFA7D00"/>
      <name val="Arial"/>
      <family val="2"/>
      <scheme val="minor"/>
    </font>
    <font>
      <sz val="10"/>
      <name val="Arial"/>
      <family val="2"/>
    </font>
    <font>
      <sz val="24"/>
      <color rgb="FFC00000"/>
      <name val="Arial Black"/>
      <family val="2"/>
    </font>
    <font>
      <sz val="12"/>
      <name val="Arial Black"/>
      <family val="2"/>
    </font>
    <font>
      <b/>
      <sz val="10"/>
      <name val="Arial Black"/>
      <family val="2"/>
    </font>
    <font>
      <b/>
      <sz val="12"/>
      <name val="Calibri"/>
      <family val="2"/>
    </font>
    <font>
      <sz val="10"/>
      <name val="Calibri"/>
      <family val="2"/>
    </font>
    <font>
      <sz val="10"/>
      <color theme="1"/>
      <name val="Arial"/>
      <family val="2"/>
      <scheme val="minor"/>
    </font>
    <font>
      <b/>
      <sz val="10"/>
      <name val="Calibri"/>
      <family val="2"/>
    </font>
    <font>
      <b/>
      <sz val="10"/>
      <name val="Arial"/>
      <family val="2"/>
    </font>
    <font>
      <sz val="10"/>
      <color rgb="FF006600"/>
      <name val="Arial"/>
      <family val="2"/>
    </font>
    <font>
      <sz val="32"/>
      <name val="Arial"/>
      <family val="2"/>
    </font>
    <font>
      <b/>
      <sz val="10"/>
      <color rgb="FFFC5C00"/>
      <name val="Arial"/>
      <family val="2"/>
    </font>
    <font>
      <b/>
      <vertAlign val="subscript"/>
      <sz val="10"/>
      <name val="Arial"/>
      <family val="2"/>
    </font>
    <font>
      <vertAlign val="subscript"/>
      <sz val="10"/>
      <name val="Arial"/>
      <family val="2"/>
    </font>
    <font>
      <i/>
      <sz val="10"/>
      <color theme="2" tint="-0.499984740745262"/>
      <name val="Arial"/>
      <family val="2"/>
    </font>
    <font>
      <b/>
      <i/>
      <sz val="10"/>
      <color theme="2" tint="-0.499984740745262"/>
      <name val="Arial"/>
      <family val="2"/>
    </font>
    <font>
      <b/>
      <sz val="20"/>
      <color rgb="FFFF0000"/>
      <name val="Arial"/>
      <family val="2"/>
    </font>
    <font>
      <vertAlign val="subscript"/>
      <sz val="11"/>
      <color rgb="FF000000"/>
      <name val="Calibri"/>
      <family val="2"/>
    </font>
    <font>
      <sz val="11"/>
      <color rgb="FF000000"/>
      <name val="Calibri"/>
      <family val="2"/>
    </font>
    <font>
      <b/>
      <u/>
      <sz val="10"/>
      <name val="Arial"/>
      <family val="2"/>
    </font>
    <font>
      <b/>
      <u/>
      <sz val="10"/>
      <color theme="4" tint="0.39997558519241921"/>
      <name val="Arial"/>
      <family val="2"/>
    </font>
    <font>
      <i/>
      <sz val="10"/>
      <name val="Arial"/>
      <family val="2"/>
    </font>
    <font>
      <u/>
      <sz val="11"/>
      <color rgb="FF000000"/>
      <name val="Calibri"/>
      <family val="2"/>
    </font>
    <font>
      <b/>
      <sz val="10"/>
      <color rgb="FF006600"/>
      <name val="Arial"/>
      <family val="2"/>
    </font>
    <font>
      <b/>
      <sz val="32"/>
      <color rgb="FFFC5C00"/>
      <name val="Arial"/>
      <family val="2"/>
    </font>
    <font>
      <i/>
      <sz val="10"/>
      <color theme="0" tint="-0.34998626667073579"/>
      <name val="Arial"/>
      <family val="2"/>
    </font>
  </fonts>
  <fills count="11">
    <fill>
      <patternFill patternType="none"/>
    </fill>
    <fill>
      <patternFill patternType="gray125"/>
    </fill>
    <fill>
      <patternFill patternType="solid">
        <fgColor rgb="FFF2F2F2"/>
      </patternFill>
    </fill>
    <fill>
      <patternFill patternType="solid">
        <fgColor theme="5" tint="0.79998168889431442"/>
        <bgColor indexed="65"/>
      </patternFill>
    </fill>
    <fill>
      <patternFill patternType="solid">
        <fgColor rgb="FFCCFFCC"/>
        <bgColor rgb="FFCCF4C6"/>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8" tint="0.79998168889431442"/>
        <bgColor rgb="FFCCFFCC"/>
      </patternFill>
    </fill>
    <fill>
      <patternFill patternType="solid">
        <fgColor theme="5" tint="0.79998168889431442"/>
        <bgColor rgb="FFC0C0C0"/>
      </patternFill>
    </fill>
    <fill>
      <patternFill patternType="solid">
        <fgColor rgb="FFC0C0C0"/>
        <bgColor rgb="FFB3B3B3"/>
      </patternFill>
    </fill>
    <fill>
      <patternFill patternType="solid">
        <fgColor theme="0"/>
        <bgColor indexed="64"/>
      </patternFill>
    </fill>
  </fills>
  <borders count="22">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style="thin">
        <color auto="1"/>
      </bottom>
      <diagonal/>
    </border>
  </borders>
  <cellStyleXfs count="5">
    <xf numFmtId="0" fontId="0" fillId="0" borderId="0"/>
    <xf numFmtId="9" fontId="3" fillId="0" borderId="0" applyFont="0" applyFill="0" applyBorder="0" applyAlignment="0" applyProtection="0"/>
    <xf numFmtId="0" fontId="12" fillId="4" borderId="0" applyBorder="0" applyAlignment="0" applyProtection="0"/>
    <xf numFmtId="0" fontId="2" fillId="2" borderId="1" applyNumberFormat="0" applyAlignment="0" applyProtection="0"/>
    <xf numFmtId="0" fontId="1" fillId="3" borderId="0" applyNumberFormat="0" applyBorder="0" applyAlignment="0" applyProtection="0"/>
  </cellStyleXfs>
  <cellXfs count="125">
    <xf numFmtId="0" fontId="0" fillId="0" borderId="0" xfId="0"/>
    <xf numFmtId="0" fontId="4" fillId="0" borderId="0" xfId="0" applyFont="1" applyAlignment="1">
      <alignment vertical="center"/>
    </xf>
    <xf numFmtId="0" fontId="0" fillId="0" borderId="0" xfId="0" applyAlignment="1">
      <alignment vertical="center"/>
    </xf>
    <xf numFmtId="0" fontId="0" fillId="0" borderId="0" xfId="0" applyAlignment="1">
      <alignment vertical="center" wrapText="1"/>
    </xf>
    <xf numFmtId="0" fontId="5" fillId="0" borderId="0" xfId="0" applyFont="1"/>
    <xf numFmtId="0" fontId="6" fillId="0" borderId="2" xfId="0" applyFont="1" applyBorder="1" applyAlignment="1">
      <alignment horizontal="left"/>
    </xf>
    <xf numFmtId="0" fontId="0" fillId="0" borderId="3" xfId="0" applyBorder="1" applyAlignment="1">
      <alignment horizontal="right"/>
    </xf>
    <xf numFmtId="0" fontId="1" fillId="3" borderId="3" xfId="4" applyBorder="1" applyAlignment="1">
      <alignment horizontal="right"/>
    </xf>
    <xf numFmtId="0" fontId="0" fillId="0" borderId="4" xfId="0" applyBorder="1"/>
    <xf numFmtId="0" fontId="7" fillId="0" borderId="0" xfId="0" applyFont="1"/>
    <xf numFmtId="0" fontId="8" fillId="0" borderId="0" xfId="0" applyFont="1"/>
    <xf numFmtId="0" fontId="0" fillId="0" borderId="0" xfId="0" applyAlignment="1">
      <alignment horizontal="right" vertical="center"/>
    </xf>
    <xf numFmtId="0" fontId="9" fillId="3" borderId="0" xfId="4" applyFont="1"/>
    <xf numFmtId="0" fontId="3" fillId="0" borderId="0" xfId="0" applyFont="1"/>
    <xf numFmtId="0" fontId="0" fillId="0" borderId="5" xfId="0" applyBorder="1" applyAlignment="1">
      <alignment horizontal="left"/>
    </xf>
    <xf numFmtId="0" fontId="0" fillId="0" borderId="0" xfId="0" applyAlignment="1">
      <alignment horizontal="right"/>
    </xf>
    <xf numFmtId="0" fontId="0" fillId="0" borderId="6" xfId="0" applyBorder="1"/>
    <xf numFmtId="164" fontId="10" fillId="0" borderId="0" xfId="0" applyNumberFormat="1" applyFont="1" applyAlignment="1">
      <alignment horizontal="left"/>
    </xf>
    <xf numFmtId="0" fontId="11" fillId="0" borderId="5" xfId="0" applyFont="1" applyBorder="1" applyAlignment="1">
      <alignment horizontal="right"/>
    </xf>
    <xf numFmtId="0" fontId="11" fillId="0" borderId="0" xfId="0" applyFont="1" applyAlignment="1">
      <alignment horizontal="right"/>
    </xf>
    <xf numFmtId="164" fontId="8" fillId="0" borderId="0" xfId="0" applyNumberFormat="1" applyFont="1" applyAlignment="1">
      <alignment horizontal="left"/>
    </xf>
    <xf numFmtId="0" fontId="0" fillId="0" borderId="5" xfId="0" applyBorder="1"/>
    <xf numFmtId="1" fontId="0" fillId="0" borderId="0" xfId="0" applyNumberFormat="1"/>
    <xf numFmtId="0" fontId="10" fillId="0" borderId="0" xfId="0" applyFont="1" applyAlignment="1">
      <alignment horizontal="left"/>
    </xf>
    <xf numFmtId="0" fontId="10" fillId="0" borderId="0" xfId="0" applyFont="1"/>
    <xf numFmtId="0" fontId="8" fillId="0" borderId="0" xfId="0" applyFont="1" applyAlignment="1">
      <alignment horizontal="left"/>
    </xf>
    <xf numFmtId="164" fontId="0" fillId="0" borderId="0" xfId="0" applyNumberFormat="1" applyAlignment="1">
      <alignment horizontal="right" vertical="center"/>
    </xf>
    <xf numFmtId="2" fontId="3" fillId="0" borderId="0" xfId="0" applyNumberFormat="1" applyFont="1"/>
    <xf numFmtId="2" fontId="9" fillId="3" borderId="0" xfId="4" applyNumberFormat="1" applyFont="1"/>
    <xf numFmtId="0" fontId="0" fillId="0" borderId="0" xfId="0" applyAlignment="1">
      <alignment horizontal="left"/>
    </xf>
    <xf numFmtId="165" fontId="12" fillId="4" borderId="0" xfId="2" applyNumberFormat="1"/>
    <xf numFmtId="0" fontId="1" fillId="3" borderId="0" xfId="4" applyAlignment="1">
      <alignment horizontal="left"/>
    </xf>
    <xf numFmtId="0" fontId="0" fillId="0" borderId="5" xfId="0" applyBorder="1" applyAlignment="1">
      <alignment horizontal="right"/>
    </xf>
    <xf numFmtId="165" fontId="0" fillId="0" borderId="0" xfId="0" applyNumberFormat="1" applyAlignment="1">
      <alignment horizontal="left"/>
    </xf>
    <xf numFmtId="166" fontId="0" fillId="0" borderId="0" xfId="0" applyNumberFormat="1"/>
    <xf numFmtId="0" fontId="0" fillId="0" borderId="7" xfId="0" applyBorder="1"/>
    <xf numFmtId="1" fontId="0" fillId="0" borderId="8" xfId="0" applyNumberFormat="1" applyBorder="1"/>
    <xf numFmtId="0" fontId="0" fillId="0" borderId="9" xfId="0" applyBorder="1"/>
    <xf numFmtId="0" fontId="14" fillId="0" borderId="0" xfId="0" applyFont="1"/>
    <xf numFmtId="0" fontId="11" fillId="0" borderId="10" xfId="0" applyFont="1" applyBorder="1"/>
    <xf numFmtId="0" fontId="11" fillId="0" borderId="0" xfId="0" applyFont="1"/>
    <xf numFmtId="164" fontId="11" fillId="0" borderId="11" xfId="0" applyNumberFormat="1" applyFont="1" applyBorder="1"/>
    <xf numFmtId="0" fontId="13" fillId="0" borderId="0" xfId="0" applyFont="1"/>
    <xf numFmtId="0" fontId="11" fillId="0" borderId="11" xfId="0" applyFont="1" applyBorder="1" applyAlignment="1">
      <alignment horizontal="right"/>
    </xf>
    <xf numFmtId="164" fontId="0" fillId="0" borderId="0" xfId="0" applyNumberFormat="1"/>
    <xf numFmtId="0" fontId="11" fillId="0" borderId="12" xfId="0" applyFont="1" applyBorder="1" applyAlignment="1">
      <alignment horizontal="right" wrapText="1"/>
    </xf>
    <xf numFmtId="165" fontId="0" fillId="0" borderId="0" xfId="0" applyNumberFormat="1"/>
    <xf numFmtId="166" fontId="11" fillId="0" borderId="0" xfId="0" applyNumberFormat="1" applyFont="1" applyAlignment="1">
      <alignment horizontal="right"/>
    </xf>
    <xf numFmtId="167" fontId="0" fillId="0" borderId="0" xfId="0" applyNumberFormat="1"/>
    <xf numFmtId="166" fontId="11" fillId="0" borderId="0" xfId="0" applyNumberFormat="1" applyFont="1"/>
    <xf numFmtId="1" fontId="0" fillId="0" borderId="0" xfId="0" applyNumberFormat="1" applyAlignment="1">
      <alignment horizontal="right"/>
    </xf>
    <xf numFmtId="167" fontId="0" fillId="0" borderId="0" xfId="1" applyNumberFormat="1" applyFont="1"/>
    <xf numFmtId="10" fontId="0" fillId="0" borderId="0" xfId="0" applyNumberFormat="1"/>
    <xf numFmtId="0" fontId="0" fillId="0" borderId="13" xfId="0" applyBorder="1"/>
    <xf numFmtId="0" fontId="0" fillId="0" borderId="14" xfId="0" applyBorder="1" applyAlignment="1">
      <alignment horizontal="right"/>
    </xf>
    <xf numFmtId="0" fontId="0" fillId="0" borderId="13" xfId="0" applyBorder="1" applyAlignment="1">
      <alignment horizontal="right"/>
    </xf>
    <xf numFmtId="0" fontId="0" fillId="0" borderId="14" xfId="0" applyBorder="1"/>
    <xf numFmtId="0" fontId="0" fillId="0" borderId="15" xfId="0" applyBorder="1"/>
    <xf numFmtId="0" fontId="0" fillId="0" borderId="16" xfId="0" applyBorder="1" applyAlignment="1">
      <alignment horizontal="right"/>
    </xf>
    <xf numFmtId="0" fontId="0" fillId="0" borderId="17" xfId="0" applyBorder="1" applyAlignment="1">
      <alignment horizontal="right"/>
    </xf>
    <xf numFmtId="0" fontId="0" fillId="0" borderId="18" xfId="0" applyBorder="1" applyAlignment="1">
      <alignment horizontal="right"/>
    </xf>
    <xf numFmtId="0" fontId="0" fillId="0" borderId="19" xfId="0" applyBorder="1"/>
    <xf numFmtId="0" fontId="0" fillId="0" borderId="20" xfId="0" applyBorder="1"/>
    <xf numFmtId="0" fontId="0" fillId="0" borderId="16" xfId="0" applyBorder="1"/>
    <xf numFmtId="0" fontId="0" fillId="0" borderId="17" xfId="0" applyBorder="1"/>
    <xf numFmtId="0" fontId="0" fillId="0" borderId="18" xfId="0" applyBorder="1"/>
    <xf numFmtId="0" fontId="11" fillId="0" borderId="12" xfId="0" applyFont="1" applyBorder="1" applyAlignment="1">
      <alignment horizontal="right"/>
    </xf>
    <xf numFmtId="0" fontId="17" fillId="0" borderId="0" xfId="0" applyFont="1"/>
    <xf numFmtId="0" fontId="18" fillId="0" borderId="0" xfId="0" applyFont="1" applyAlignment="1">
      <alignment horizontal="right"/>
    </xf>
    <xf numFmtId="0" fontId="18" fillId="0" borderId="0" xfId="0" applyFont="1"/>
    <xf numFmtId="0" fontId="19" fillId="0" borderId="0" xfId="0" applyFont="1"/>
    <xf numFmtId="0" fontId="0" fillId="5" borderId="21" xfId="0" applyFill="1" applyBorder="1" applyAlignment="1">
      <alignment horizontal="center" vertical="center" wrapText="1"/>
    </xf>
    <xf numFmtId="0" fontId="0" fillId="5" borderId="21" xfId="0" applyFill="1" applyBorder="1" applyAlignment="1">
      <alignment horizontal="center" wrapText="1"/>
    </xf>
    <xf numFmtId="0" fontId="11" fillId="6" borderId="21" xfId="0" applyFont="1" applyFill="1" applyBorder="1" applyAlignment="1">
      <alignment horizontal="center"/>
    </xf>
    <xf numFmtId="0" fontId="11" fillId="6" borderId="21" xfId="0" applyFont="1" applyFill="1" applyBorder="1" applyAlignment="1">
      <alignment horizontal="center" wrapText="1"/>
    </xf>
    <xf numFmtId="0" fontId="0" fillId="6" borderId="21" xfId="0" applyFill="1" applyBorder="1" applyAlignment="1">
      <alignment horizontal="center" vertical="center"/>
    </xf>
    <xf numFmtId="0" fontId="0" fillId="6" borderId="21" xfId="0" applyFill="1" applyBorder="1" applyAlignment="1">
      <alignment horizontal="center" wrapText="1"/>
    </xf>
    <xf numFmtId="0" fontId="0" fillId="6" borderId="21" xfId="0" applyFill="1" applyBorder="1" applyAlignment="1">
      <alignment horizontal="center"/>
    </xf>
    <xf numFmtId="0" fontId="21" fillId="6" borderId="21" xfId="0" applyFont="1" applyFill="1" applyBorder="1" applyAlignment="1">
      <alignment horizontal="center"/>
    </xf>
    <xf numFmtId="0" fontId="22" fillId="0" borderId="0" xfId="0" applyFont="1" applyAlignment="1">
      <alignment horizontal="right"/>
    </xf>
    <xf numFmtId="10" fontId="23" fillId="0" borderId="0" xfId="0" applyNumberFormat="1" applyFont="1" applyAlignment="1">
      <alignment horizontal="right"/>
    </xf>
    <xf numFmtId="166" fontId="0" fillId="7" borderId="12" xfId="0" applyNumberFormat="1" applyFill="1" applyBorder="1"/>
    <xf numFmtId="0" fontId="0" fillId="8" borderId="21" xfId="0" applyFill="1" applyBorder="1"/>
    <xf numFmtId="0" fontId="0" fillId="0" borderId="21" xfId="0" applyBorder="1"/>
    <xf numFmtId="1" fontId="11" fillId="0" borderId="21" xfId="0" applyNumberFormat="1" applyFont="1" applyBorder="1"/>
    <xf numFmtId="166" fontId="0" fillId="7" borderId="21" xfId="0" applyNumberFormat="1" applyFill="1" applyBorder="1"/>
    <xf numFmtId="3" fontId="0" fillId="0" borderId="0" xfId="0" applyNumberFormat="1"/>
    <xf numFmtId="0" fontId="10" fillId="0" borderId="0" xfId="0" applyFont="1" applyAlignment="1">
      <alignment horizontal="right"/>
    </xf>
    <xf numFmtId="164" fontId="10" fillId="0" borderId="0" xfId="0" applyNumberFormat="1" applyFont="1" applyAlignment="1">
      <alignment horizontal="right"/>
    </xf>
    <xf numFmtId="0" fontId="8" fillId="0" borderId="0" xfId="0" applyFont="1" applyAlignment="1">
      <alignment horizontal="right"/>
    </xf>
    <xf numFmtId="164" fontId="8" fillId="0" borderId="0" xfId="0" applyNumberFormat="1" applyFont="1" applyAlignment="1">
      <alignment horizontal="right"/>
    </xf>
    <xf numFmtId="0" fontId="0" fillId="0" borderId="0" xfId="0" applyProtection="1">
      <protection locked="0"/>
    </xf>
    <xf numFmtId="0" fontId="0" fillId="0" borderId="13" xfId="0" applyBorder="1" applyProtection="1">
      <protection locked="0"/>
    </xf>
    <xf numFmtId="0" fontId="0" fillId="0" borderId="14" xfId="0" applyBorder="1" applyProtection="1">
      <protection locked="0"/>
    </xf>
    <xf numFmtId="0" fontId="0" fillId="0" borderId="15" xfId="0" applyBorder="1" applyProtection="1">
      <protection locked="0"/>
    </xf>
    <xf numFmtId="0" fontId="11" fillId="0" borderId="13" xfId="0" applyFont="1" applyBorder="1" applyProtection="1">
      <protection locked="0"/>
    </xf>
    <xf numFmtId="168" fontId="0" fillId="0" borderId="19" xfId="0" applyNumberFormat="1" applyBorder="1" applyProtection="1">
      <protection locked="0"/>
    </xf>
    <xf numFmtId="0" fontId="0" fillId="0" borderId="20" xfId="0" applyBorder="1" applyProtection="1">
      <protection locked="0"/>
    </xf>
    <xf numFmtId="0" fontId="11" fillId="0" borderId="19" xfId="0" applyFont="1" applyBorder="1" applyProtection="1">
      <protection locked="0"/>
    </xf>
    <xf numFmtId="2" fontId="0" fillId="0" borderId="19" xfId="0" applyNumberFormat="1" applyBorder="1" applyProtection="1">
      <protection locked="0"/>
    </xf>
    <xf numFmtId="1" fontId="11" fillId="0" borderId="19" xfId="0" applyNumberFormat="1" applyFont="1" applyBorder="1" applyProtection="1">
      <protection locked="0"/>
    </xf>
    <xf numFmtId="1" fontId="0" fillId="0" borderId="19" xfId="0" applyNumberFormat="1" applyBorder="1" applyProtection="1">
      <protection locked="0"/>
    </xf>
    <xf numFmtId="166" fontId="0" fillId="0" borderId="19" xfId="0" applyNumberFormat="1" applyBorder="1"/>
    <xf numFmtId="0" fontId="11" fillId="0" borderId="19" xfId="0" applyFont="1" applyBorder="1"/>
    <xf numFmtId="0" fontId="24" fillId="0" borderId="13" xfId="0" applyFont="1" applyBorder="1"/>
    <xf numFmtId="0" fontId="22" fillId="0" borderId="14" xfId="0" applyFont="1" applyBorder="1"/>
    <xf numFmtId="0" fontId="24" fillId="0" borderId="15" xfId="0" applyFont="1" applyBorder="1"/>
    <xf numFmtId="0" fontId="24" fillId="0" borderId="0" xfId="0" applyFont="1"/>
    <xf numFmtId="10" fontId="22" fillId="0" borderId="0" xfId="0" applyNumberFormat="1" applyFont="1"/>
    <xf numFmtId="0" fontId="21" fillId="9" borderId="21" xfId="0" applyFont="1" applyFill="1" applyBorder="1" applyAlignment="1">
      <alignment horizontal="center"/>
    </xf>
    <xf numFmtId="0" fontId="21" fillId="9" borderId="21" xfId="0" applyFont="1" applyFill="1" applyBorder="1" applyAlignment="1">
      <alignment horizontal="center" vertical="center"/>
    </xf>
    <xf numFmtId="0" fontId="21" fillId="9" borderId="21" xfId="0" applyFont="1" applyFill="1" applyBorder="1" applyAlignment="1">
      <alignment horizontal="center" vertical="center" wrapText="1"/>
    </xf>
    <xf numFmtId="0" fontId="21" fillId="9" borderId="21" xfId="0" applyFont="1" applyFill="1" applyBorder="1" applyAlignment="1">
      <alignment horizontal="center" wrapText="1"/>
    </xf>
    <xf numFmtId="1" fontId="11" fillId="0" borderId="0" xfId="0" applyNumberFormat="1" applyFont="1"/>
    <xf numFmtId="0" fontId="12" fillId="4" borderId="0" xfId="2"/>
    <xf numFmtId="0" fontId="26" fillId="4" borderId="0" xfId="2" applyFont="1"/>
    <xf numFmtId="2" fontId="0" fillId="0" borderId="0" xfId="0" applyNumberFormat="1"/>
    <xf numFmtId="0" fontId="27" fillId="0" borderId="0" xfId="0" applyFont="1" applyAlignment="1">
      <alignment vertical="center"/>
    </xf>
    <xf numFmtId="1" fontId="2" fillId="2" borderId="1" xfId="3" applyNumberFormat="1"/>
    <xf numFmtId="0" fontId="0" fillId="5" borderId="11" xfId="0" applyFill="1" applyBorder="1" applyAlignment="1">
      <alignment horizontal="center" wrapText="1"/>
    </xf>
    <xf numFmtId="0" fontId="13" fillId="0" borderId="0" xfId="0" applyFont="1" applyAlignment="1">
      <alignment horizontal="left" vertical="center"/>
    </xf>
    <xf numFmtId="0" fontId="0" fillId="0" borderId="0" xfId="0" applyAlignment="1">
      <alignment vertical="center" wrapText="1"/>
    </xf>
    <xf numFmtId="0" fontId="21" fillId="9" borderId="21" xfId="0" applyFont="1" applyFill="1" applyBorder="1" applyAlignment="1">
      <alignment horizontal="center"/>
    </xf>
    <xf numFmtId="0" fontId="0" fillId="9" borderId="21" xfId="0" applyFill="1" applyBorder="1" applyAlignment="1">
      <alignment wrapText="1"/>
    </xf>
    <xf numFmtId="0" fontId="28" fillId="10" borderId="0" xfId="0" applyFont="1" applyFill="1"/>
  </cellXfs>
  <cellStyles count="5">
    <cellStyle name="20% - Accent2" xfId="4" builtinId="34"/>
    <cellStyle name="Calculation" xfId="3" builtinId="22"/>
    <cellStyle name="Good" xfId="2" builtinId="26"/>
    <cellStyle name="Normal" xfId="0" builtinId="0"/>
    <cellStyle name="Percent" xfId="1" builtinId="5"/>
  </cellStyles>
  <dxfs count="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-4.7588352810178369E-3</c:v>
                </c:pt>
                <c:pt idx="1">
                  <c:v>3.2263148939641884E-3</c:v>
                </c:pt>
                <c:pt idx="2">
                  <c:v>3.7717161311325853E-3</c:v>
                </c:pt>
                <c:pt idx="3">
                  <c:v>-1.6829979359160863E-3</c:v>
                </c:pt>
                <c:pt idx="4">
                  <c:v>-5.5619780816285047E-4</c:v>
                </c:pt>
              </c:numCache>
            </c:numRef>
          </c:val>
          <c:smooth val="0"/>
          <c:extLst>
            <c:ext xmlns:c16="http://schemas.microsoft.com/office/drawing/2014/chart" uri="{C3380CC4-5D6E-409C-BE32-E72D297353CC}">
              <c16:uniqueId val="{00000000-3A04-4B7C-9495-17C2012AC6CD}"/>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-4.1184229857615939E-3</c:v>
                </c:pt>
                <c:pt idx="1">
                  <c:v>1.7664676591899742E-3</c:v>
                </c:pt>
                <c:pt idx="2">
                  <c:v>5.459731351574737E-3</c:v>
                </c:pt>
                <c:pt idx="3">
                  <c:v>-1.6941266567318536E-3</c:v>
                </c:pt>
                <c:pt idx="4">
                  <c:v>-1.4136493682714857E-3</c:v>
                </c:pt>
              </c:numCache>
            </c:numRef>
          </c:val>
          <c:smooth val="0"/>
          <c:extLst>
            <c:ext xmlns:c16="http://schemas.microsoft.com/office/drawing/2014/chart" uri="{C3380CC4-5D6E-409C-BE32-E72D297353CC}">
              <c16:uniqueId val="{00000001-3A04-4B7C-9495-17C2012AC6CD}"/>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-1.7813921596673277E-3</c:v>
                </c:pt>
                <c:pt idx="1">
                  <c:v>-9.7478833469644144E-4</c:v>
                </c:pt>
                <c:pt idx="2">
                  <c:v>4.9197916339740466E-3</c:v>
                </c:pt>
                <c:pt idx="3">
                  <c:v>-2.1074701147837382E-3</c:v>
                </c:pt>
                <c:pt idx="4">
                  <c:v>-5.6141024826650288E-5</c:v>
                </c:pt>
              </c:numCache>
            </c:numRef>
          </c:val>
          <c:smooth val="0"/>
          <c:extLst>
            <c:ext xmlns:c16="http://schemas.microsoft.com/office/drawing/2014/chart" uri="{C3380CC4-5D6E-409C-BE32-E72D297353CC}">
              <c16:uniqueId val="{00000002-3A04-4B7C-9495-17C2012AC6CD}"/>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4.6361154622642786E-4</c:v>
                </c:pt>
                <c:pt idx="1">
                  <c:v>-2.2738008280440702E-3</c:v>
                </c:pt>
                <c:pt idx="2">
                  <c:v>5.9727838984062753E-3</c:v>
                </c:pt>
                <c:pt idx="3">
                  <c:v>-2.7596071827304947E-3</c:v>
                </c:pt>
                <c:pt idx="4">
                  <c:v>-1.4029874338581383E-3</c:v>
                </c:pt>
              </c:numCache>
            </c:numRef>
          </c:val>
          <c:smooth val="0"/>
          <c:extLst>
            <c:ext xmlns:c16="http://schemas.microsoft.com/office/drawing/2014/chart" uri="{C3380CC4-5D6E-409C-BE32-E72D297353CC}">
              <c16:uniqueId val="{00000003-3A04-4B7C-9495-17C2012AC6CD}"/>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-4.758644110471888E-4</c:v>
                </c:pt>
                <c:pt idx="1">
                  <c:v>2.9386303322507246E-3</c:v>
                </c:pt>
                <c:pt idx="2">
                  <c:v>5.491644082835867E-3</c:v>
                </c:pt>
                <c:pt idx="3">
                  <c:v>-5.9596047518997164E-3</c:v>
                </c:pt>
                <c:pt idx="4">
                  <c:v>-1.9948052521396864E-3</c:v>
                </c:pt>
              </c:numCache>
            </c:numRef>
          </c:val>
          <c:smooth val="0"/>
          <c:extLst>
            <c:ext xmlns:c16="http://schemas.microsoft.com/office/drawing/2014/chart" uri="{C3380CC4-5D6E-409C-BE32-E72D297353CC}">
              <c16:uniqueId val="{00000004-3A04-4B7C-9495-17C2012AC6CD}"/>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-4.3851453470034052E-3</c:v>
                </c:pt>
                <c:pt idx="1">
                  <c:v>6.8022996303955807E-3</c:v>
                </c:pt>
                <c:pt idx="2">
                  <c:v>5.9853536400138463E-3</c:v>
                </c:pt>
                <c:pt idx="3">
                  <c:v>-5.6782344859960254E-3</c:v>
                </c:pt>
                <c:pt idx="4">
                  <c:v>-2.7242734374109956E-3</c:v>
                </c:pt>
              </c:numCache>
            </c:numRef>
          </c:val>
          <c:smooth val="0"/>
          <c:extLst>
            <c:ext xmlns:c16="http://schemas.microsoft.com/office/drawing/2014/chart" uri="{C3380CC4-5D6E-409C-BE32-E72D297353CC}">
              <c16:uniqueId val="{00000005-3A04-4B7C-9495-17C2012AC6CD}"/>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-7.6310995684030214E-3</c:v>
                </c:pt>
                <c:pt idx="1">
                  <c:v>7.7612555244574999E-3</c:v>
                </c:pt>
                <c:pt idx="2">
                  <c:v>5.1221708541515643E-3</c:v>
                </c:pt>
                <c:pt idx="3">
                  <c:v>-4.3571012915295526E-3</c:v>
                </c:pt>
                <c:pt idx="4">
                  <c:v>-8.9522551867637912E-4</c:v>
                </c:pt>
              </c:numCache>
            </c:numRef>
          </c:val>
          <c:smooth val="0"/>
          <c:extLst>
            <c:ext xmlns:c16="http://schemas.microsoft.com/office/drawing/2014/chart" uri="{C3380CC4-5D6E-409C-BE32-E72D297353CC}">
              <c16:uniqueId val="{00000006-3A04-4B7C-9495-17C2012AC6CD}"/>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-9.2890899368787139E-3</c:v>
                </c:pt>
                <c:pt idx="1">
                  <c:v>1.017997191727793E-2</c:v>
                </c:pt>
                <c:pt idx="2">
                  <c:v>5.2487262026446047E-3</c:v>
                </c:pt>
                <c:pt idx="3">
                  <c:v>-7.1252521341053088E-3</c:v>
                </c:pt>
                <c:pt idx="4">
                  <c:v>9.8564395106159886E-4</c:v>
                </c:pt>
              </c:numCache>
            </c:numRef>
          </c:val>
          <c:smooth val="0"/>
          <c:extLst>
            <c:ext xmlns:c16="http://schemas.microsoft.com/office/drawing/2014/chart" uri="{C3380CC4-5D6E-409C-BE32-E72D297353CC}">
              <c16:uniqueId val="{00000007-3A04-4B7C-9495-17C2012AC6CD}"/>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-8.4887752061250099E-3</c:v>
                </c:pt>
                <c:pt idx="1">
                  <c:v>1.0335953407687448E-2</c:v>
                </c:pt>
                <c:pt idx="2">
                  <c:v>5.7289640385140839E-3</c:v>
                </c:pt>
                <c:pt idx="3">
                  <c:v>-7.2185283047502269E-3</c:v>
                </c:pt>
                <c:pt idx="4">
                  <c:v>-3.5761393532585117E-4</c:v>
                </c:pt>
              </c:numCache>
            </c:numRef>
          </c:val>
          <c:smooth val="0"/>
          <c:extLst>
            <c:ext xmlns:c16="http://schemas.microsoft.com/office/drawing/2014/chart" uri="{C3380CC4-5D6E-409C-BE32-E72D297353CC}">
              <c16:uniqueId val="{00000008-3A04-4B7C-9495-17C2012AC6CD}"/>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-9.9092121989676762E-3</c:v>
                </c:pt>
                <c:pt idx="1">
                  <c:v>1.2453059357564689E-2</c:v>
                </c:pt>
                <c:pt idx="2">
                  <c:v>7.4882130349318565E-3</c:v>
                </c:pt>
                <c:pt idx="3">
                  <c:v>-8.3536405080036902E-3</c:v>
                </c:pt>
                <c:pt idx="4">
                  <c:v>-1.6784196855252898E-3</c:v>
                </c:pt>
              </c:numCache>
            </c:numRef>
          </c:val>
          <c:smooth val="0"/>
          <c:extLst>
            <c:ext xmlns:c16="http://schemas.microsoft.com/office/drawing/2014/chart" uri="{C3380CC4-5D6E-409C-BE32-E72D297353CC}">
              <c16:uniqueId val="{00000009-3A04-4B7C-9495-17C2012AC6CD}"/>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-1.2479727850078115E-2</c:v>
                </c:pt>
                <c:pt idx="1">
                  <c:v>9.6329406396820083E-3</c:v>
                </c:pt>
                <c:pt idx="2">
                  <c:v>1.001299865790739E-2</c:v>
                </c:pt>
                <c:pt idx="3">
                  <c:v>-6.3717088681330969E-3</c:v>
                </c:pt>
                <c:pt idx="4">
                  <c:v>-7.9450257937763169E-4</c:v>
                </c:pt>
              </c:numCache>
            </c:numRef>
          </c:val>
          <c:smooth val="0"/>
          <c:extLst>
            <c:ext xmlns:c16="http://schemas.microsoft.com/office/drawing/2014/chart" uri="{C3380CC4-5D6E-409C-BE32-E72D297353CC}">
              <c16:uniqueId val="{0000000A-3A04-4B7C-9495-17C2012AC6CD}"/>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-8.5834680041987355E-3</c:v>
                </c:pt>
                <c:pt idx="1">
                  <c:v>6.3973029041242135E-3</c:v>
                </c:pt>
                <c:pt idx="2">
                  <c:v>1.0770590217985543E-2</c:v>
                </c:pt>
                <c:pt idx="3">
                  <c:v>-6.2872077391203929E-3</c:v>
                </c:pt>
                <c:pt idx="4">
                  <c:v>-2.297217378790295E-3</c:v>
                </c:pt>
              </c:numCache>
            </c:numRef>
          </c:val>
          <c:smooth val="0"/>
          <c:extLst>
            <c:ext xmlns:c16="http://schemas.microsoft.com/office/drawing/2014/chart" uri="{C3380CC4-5D6E-409C-BE32-E72D297353CC}">
              <c16:uniqueId val="{0000000B-3A04-4B7C-9495-17C2012AC6CD}"/>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-8.9544356556120475E-3</c:v>
                </c:pt>
                <c:pt idx="1">
                  <c:v>1.3600915299456506E-2</c:v>
                </c:pt>
                <c:pt idx="2">
                  <c:v>9.6355179179761219E-3</c:v>
                </c:pt>
                <c:pt idx="3">
                  <c:v>-3.0691190684384306E-3</c:v>
                </c:pt>
                <c:pt idx="4">
                  <c:v>-1.121287849338215E-2</c:v>
                </c:pt>
              </c:numCache>
            </c:numRef>
          </c:val>
          <c:smooth val="0"/>
          <c:extLst>
            <c:ext xmlns:c16="http://schemas.microsoft.com/office/drawing/2014/chart" uri="{C3380CC4-5D6E-409C-BE32-E72D297353CC}">
              <c16:uniqueId val="{0000000C-3A04-4B7C-9495-17C2012AC6CD}"/>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-8.9155349057812305E-3</c:v>
                </c:pt>
                <c:pt idx="1">
                  <c:v>1.3286544357230978E-2</c:v>
                </c:pt>
                <c:pt idx="2">
                  <c:v>1.2377615208686521E-2</c:v>
                </c:pt>
                <c:pt idx="3">
                  <c:v>-9.6571128314422161E-3</c:v>
                </c:pt>
                <c:pt idx="4">
                  <c:v>-7.0915118286942747E-3</c:v>
                </c:pt>
              </c:numCache>
            </c:numRef>
          </c:val>
          <c:smooth val="0"/>
          <c:extLst>
            <c:ext xmlns:c16="http://schemas.microsoft.com/office/drawing/2014/chart" uri="{C3380CC4-5D6E-409C-BE32-E72D297353CC}">
              <c16:uniqueId val="{0000000D-3A04-4B7C-9495-17C2012AC6CD}"/>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-4.6166396411232435E-3</c:v>
                </c:pt>
                <c:pt idx="1">
                  <c:v>1.3391864303131218E-2</c:v>
                </c:pt>
                <c:pt idx="2">
                  <c:v>3.2963113939912247E-3</c:v>
                </c:pt>
                <c:pt idx="3">
                  <c:v>-4.454150398667589E-3</c:v>
                </c:pt>
                <c:pt idx="4">
                  <c:v>-7.6173856573320542E-3</c:v>
                </c:pt>
              </c:numCache>
            </c:numRef>
          </c:val>
          <c:smooth val="0"/>
          <c:extLst>
            <c:ext xmlns:c16="http://schemas.microsoft.com/office/drawing/2014/chart" uri="{C3380CC4-5D6E-409C-BE32-E72D297353CC}">
              <c16:uniqueId val="{0000000E-3A04-4B7C-9495-17C2012AC6CD}"/>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2.5302346344802107E-3</c:v>
                </c:pt>
                <c:pt idx="1">
                  <c:v>1.7931414727216932E-3</c:v>
                </c:pt>
                <c:pt idx="2">
                  <c:v>4.1341772423848511E-3</c:v>
                </c:pt>
                <c:pt idx="3">
                  <c:v>-6.5033849734941196E-3</c:v>
                </c:pt>
                <c:pt idx="4">
                  <c:v>-1.9541683760927464E-3</c:v>
                </c:pt>
              </c:numCache>
            </c:numRef>
          </c:val>
          <c:smooth val="0"/>
          <c:extLst>
            <c:ext xmlns:c16="http://schemas.microsoft.com/office/drawing/2014/chart" uri="{C3380CC4-5D6E-409C-BE32-E72D297353CC}">
              <c16:uniqueId val="{0000000F-3A04-4B7C-9495-17C2012AC6CD}"/>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4.6636758713896054E-3</c:v>
                </c:pt>
                <c:pt idx="1">
                  <c:v>1.2479538097656118E-2</c:v>
                </c:pt>
                <c:pt idx="2">
                  <c:v>-1.1336171373844683E-3</c:v>
                </c:pt>
                <c:pt idx="3">
                  <c:v>-1.1508998817668536E-2</c:v>
                </c:pt>
                <c:pt idx="4">
                  <c:v>-4.5005980139922741E-3</c:v>
                </c:pt>
              </c:numCache>
            </c:numRef>
          </c:val>
          <c:smooth val="0"/>
          <c:extLst>
            <c:ext xmlns:c16="http://schemas.microsoft.com/office/drawing/2014/chart" uri="{C3380CC4-5D6E-409C-BE32-E72D297353CC}">
              <c16:uniqueId val="{00000010-3A04-4B7C-9495-17C2012AC6CD}"/>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1.7502994064654498E-2</c:v>
                </c:pt>
                <c:pt idx="1">
                  <c:v>5.5596700474660476E-3</c:v>
                </c:pt>
                <c:pt idx="2">
                  <c:v>2.7005488407529921E-3</c:v>
                </c:pt>
                <c:pt idx="3">
                  <c:v>-8.9629415894467712E-3</c:v>
                </c:pt>
                <c:pt idx="4">
                  <c:v>-1.6800271363426544E-2</c:v>
                </c:pt>
              </c:numCache>
            </c:numRef>
          </c:val>
          <c:smooth val="0"/>
          <c:extLst>
            <c:ext xmlns:c16="http://schemas.microsoft.com/office/drawing/2014/chart" uri="{C3380CC4-5D6E-409C-BE32-E72D297353CC}">
              <c16:uniqueId val="{00000011-3A04-4B7C-9495-17C2012AC6CD}"/>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2.8817815371142919E-2</c:v>
                </c:pt>
                <c:pt idx="1">
                  <c:v>5.4650004590262036E-3</c:v>
                </c:pt>
                <c:pt idx="2">
                  <c:v>1.843122556318022E-3</c:v>
                </c:pt>
                <c:pt idx="3">
                  <c:v>-2.6536662159236668E-3</c:v>
                </c:pt>
                <c:pt idx="4">
                  <c:v>-3.3472272170563588E-2</c:v>
                </c:pt>
              </c:numCache>
            </c:numRef>
          </c:val>
          <c:smooth val="0"/>
          <c:extLst>
            <c:ext xmlns:c16="http://schemas.microsoft.com/office/drawing/2014/chart" uri="{C3380CC4-5D6E-409C-BE32-E72D297353CC}">
              <c16:uniqueId val="{00000012-3A04-4B7C-9495-17C2012AC6CD}"/>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3.1366068107511191E-2</c:v>
                </c:pt>
                <c:pt idx="1">
                  <c:v>1.4467558165876637E-2</c:v>
                </c:pt>
                <c:pt idx="2">
                  <c:v>5.9264777548835301E-3</c:v>
                </c:pt>
                <c:pt idx="3">
                  <c:v>-1.2932101603028046E-2</c:v>
                </c:pt>
                <c:pt idx="4">
                  <c:v>-3.8828002425243091E-2</c:v>
                </c:pt>
              </c:numCache>
            </c:numRef>
          </c:val>
          <c:smooth val="0"/>
          <c:extLst>
            <c:ext xmlns:c16="http://schemas.microsoft.com/office/drawing/2014/chart" uri="{C3380CC4-5D6E-409C-BE32-E72D297353CC}">
              <c16:uniqueId val="{00000013-3A04-4B7C-9495-17C2012AC6CD}"/>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3.948477879659773E-2</c:v>
                </c:pt>
                <c:pt idx="1">
                  <c:v>1.9664838448454347E-2</c:v>
                </c:pt>
                <c:pt idx="2">
                  <c:v>9.4506072647015937E-3</c:v>
                </c:pt>
                <c:pt idx="3">
                  <c:v>-2.3185130963368494E-2</c:v>
                </c:pt>
                <c:pt idx="4">
                  <c:v>-4.5415093546385954E-2</c:v>
                </c:pt>
              </c:numCache>
            </c:numRef>
          </c:val>
          <c:smooth val="0"/>
          <c:extLst>
            <c:ext xmlns:c16="http://schemas.microsoft.com/office/drawing/2014/chart" uri="{C3380CC4-5D6E-409C-BE32-E72D297353CC}">
              <c16:uniqueId val="{00000014-3A04-4B7C-9495-17C2012AC6CD}"/>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3.2066166939805019E-2</c:v>
                </c:pt>
                <c:pt idx="1">
                  <c:v>3.4367085933719732E-2</c:v>
                </c:pt>
                <c:pt idx="2">
                  <c:v>1.6255853379817609E-2</c:v>
                </c:pt>
                <c:pt idx="3">
                  <c:v>-5.1168654316824713E-2</c:v>
                </c:pt>
                <c:pt idx="4">
                  <c:v>-3.1520451936517091E-2</c:v>
                </c:pt>
              </c:numCache>
            </c:numRef>
          </c:val>
          <c:smooth val="0"/>
          <c:extLst>
            <c:ext xmlns:c16="http://schemas.microsoft.com/office/drawing/2014/chart" uri="{C3380CC4-5D6E-409C-BE32-E72D297353CC}">
              <c16:uniqueId val="{00000015-3A04-4B7C-9495-17C2012AC6CD}"/>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4.1780378407128893E-2</c:v>
                </c:pt>
                <c:pt idx="1">
                  <c:v>3.4894105705853384E-2</c:v>
                </c:pt>
                <c:pt idx="2">
                  <c:v>2.4717957149062331E-2</c:v>
                </c:pt>
                <c:pt idx="3">
                  <c:v>-5.1144246339773658E-2</c:v>
                </c:pt>
                <c:pt idx="4">
                  <c:v>-5.0248194922270728E-2</c:v>
                </c:pt>
              </c:numCache>
            </c:numRef>
          </c:val>
          <c:smooth val="0"/>
          <c:extLst>
            <c:ext xmlns:c16="http://schemas.microsoft.com/office/drawing/2014/chart" uri="{C3380CC4-5D6E-409C-BE32-E72D297353CC}">
              <c16:uniqueId val="{00000016-3A04-4B7C-9495-17C2012AC6CD}"/>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6.1013986712940005E-2</c:v>
                </c:pt>
                <c:pt idx="1">
                  <c:v>2.4689642099787079E-2</c:v>
                </c:pt>
                <c:pt idx="2">
                  <c:v>2.8580654249763526E-2</c:v>
                </c:pt>
                <c:pt idx="3">
                  <c:v>-5.6633570133583389E-2</c:v>
                </c:pt>
                <c:pt idx="4">
                  <c:v>-5.7650712928908221E-2</c:v>
                </c:pt>
              </c:numCache>
            </c:numRef>
          </c:val>
          <c:smooth val="0"/>
          <c:extLst>
            <c:ext xmlns:c16="http://schemas.microsoft.com/office/drawing/2014/chart" uri="{C3380CC4-5D6E-409C-BE32-E72D297353CC}">
              <c16:uniqueId val="{00000017-3A04-4B7C-9495-17C2012AC6CD}"/>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0.12055629280911107</c:v>
                </c:pt>
                <c:pt idx="1">
                  <c:v>3.5541641965377124E-2</c:v>
                </c:pt>
                <c:pt idx="2">
                  <c:v>-6.7676990817052696E-3</c:v>
                </c:pt>
                <c:pt idx="3">
                  <c:v>-8.6286880801863974E-2</c:v>
                </c:pt>
                <c:pt idx="4">
                  <c:v>-6.3043354890919501E-2</c:v>
                </c:pt>
              </c:numCache>
            </c:numRef>
          </c:val>
          <c:smooth val="0"/>
          <c:extLst>
            <c:ext xmlns:c16="http://schemas.microsoft.com/office/drawing/2014/chart" uri="{C3380CC4-5D6E-409C-BE32-E72D297353CC}">
              <c16:uniqueId val="{00000018-3A04-4B7C-9495-17C2012AC6CD}"/>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8.7898615351063469E-2</c:v>
                </c:pt>
                <c:pt idx="1">
                  <c:v>3.1048618003473916E-2</c:v>
                </c:pt>
                <c:pt idx="2">
                  <c:v>-4.3893992449018926E-3</c:v>
                </c:pt>
                <c:pt idx="3">
                  <c:v>-5.8061038085440275E-2</c:v>
                </c:pt>
                <c:pt idx="4">
                  <c:v>-5.649679602419555E-2</c:v>
                </c:pt>
              </c:numCache>
            </c:numRef>
          </c:val>
          <c:smooth val="0"/>
          <c:extLst>
            <c:ext xmlns:c16="http://schemas.microsoft.com/office/drawing/2014/chart" uri="{C3380CC4-5D6E-409C-BE32-E72D297353CC}">
              <c16:uniqueId val="{00000019-3A04-4B7C-9495-17C2012AC6CD}"/>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9.0977896017997884E-2</c:v>
                </c:pt>
                <c:pt idx="1">
                  <c:v>1.6772089803171797E-2</c:v>
                </c:pt>
                <c:pt idx="2">
                  <c:v>3.0351172149256644E-2</c:v>
                </c:pt>
                <c:pt idx="3">
                  <c:v>-5.1589430610758602E-2</c:v>
                </c:pt>
                <c:pt idx="4">
                  <c:v>-8.6511727359666946E-2</c:v>
                </c:pt>
              </c:numCache>
            </c:numRef>
          </c:val>
          <c:smooth val="0"/>
          <c:extLst>
            <c:ext xmlns:c16="http://schemas.microsoft.com/office/drawing/2014/chart" uri="{C3380CC4-5D6E-409C-BE32-E72D297353CC}">
              <c16:uniqueId val="{0000001A-3A04-4B7C-9495-17C2012AC6CD}"/>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4.1949119901397935E-2</c:v>
                </c:pt>
                <c:pt idx="1">
                  <c:v>3.858375380348944E-2</c:v>
                </c:pt>
                <c:pt idx="2">
                  <c:v>5.7206409120671653E-2</c:v>
                </c:pt>
                <c:pt idx="3">
                  <c:v>1.4626583984901576E-2</c:v>
                </c:pt>
                <c:pt idx="4">
                  <c:v>-0.15236586681046116</c:v>
                </c:pt>
              </c:numCache>
            </c:numRef>
          </c:val>
          <c:smooth val="0"/>
          <c:extLst>
            <c:ext xmlns:c16="http://schemas.microsoft.com/office/drawing/2014/chart" uri="{C3380CC4-5D6E-409C-BE32-E72D297353CC}">
              <c16:uniqueId val="{0000001B-3A04-4B7C-9495-17C2012AC6CD}"/>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0.1285336639887027</c:v>
                </c:pt>
                <c:pt idx="1">
                  <c:v>1.474889422759551E-2</c:v>
                </c:pt>
                <c:pt idx="2">
                  <c:v>9.5145221427156867E-2</c:v>
                </c:pt>
                <c:pt idx="3">
                  <c:v>-5.4862384794445385E-2</c:v>
                </c:pt>
                <c:pt idx="4">
                  <c:v>-0.18356539484900924</c:v>
                </c:pt>
              </c:numCache>
            </c:numRef>
          </c:val>
          <c:smooth val="0"/>
          <c:extLst>
            <c:ext xmlns:c16="http://schemas.microsoft.com/office/drawing/2014/chart" uri="{C3380CC4-5D6E-409C-BE32-E72D297353CC}">
              <c16:uniqueId val="{0000001C-3A04-4B7C-9495-17C2012AC6CD}"/>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0.16384506054009318</c:v>
                </c:pt>
                <c:pt idx="1">
                  <c:v>5.110825252325335E-2</c:v>
                </c:pt>
                <c:pt idx="2">
                  <c:v>-5.867351528344944E-3</c:v>
                </c:pt>
                <c:pt idx="3">
                  <c:v>-7.0983933936635379E-2</c:v>
                </c:pt>
                <c:pt idx="4">
                  <c:v>-0.13810202759836654</c:v>
                </c:pt>
              </c:numCache>
            </c:numRef>
          </c:val>
          <c:smooth val="0"/>
          <c:extLst>
            <c:ext xmlns:c16="http://schemas.microsoft.com/office/drawing/2014/chart" uri="{C3380CC4-5D6E-409C-BE32-E72D297353CC}">
              <c16:uniqueId val="{0000001D-3A04-4B7C-9495-17C2012AC6CD}"/>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2297-43B4-9682-249C2958FBB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2.3854654912147666E-3</c:v>
                </c:pt>
                <c:pt idx="1">
                  <c:v>-3.8623573135898592E-4</c:v>
                </c:pt>
                <c:pt idx="2">
                  <c:v>9.5513567035721003E-4</c:v>
                </c:pt>
                <c:pt idx="3">
                  <c:v>-8.2496274786629797E-3</c:v>
                </c:pt>
                <c:pt idx="4">
                  <c:v>5.2952620484505442E-3</c:v>
                </c:pt>
              </c:numCache>
            </c:numRef>
          </c:val>
          <c:smooth val="0"/>
          <c:extLst>
            <c:ext xmlns:c16="http://schemas.microsoft.com/office/drawing/2014/chart" uri="{C3380CC4-5D6E-409C-BE32-E72D297353CC}">
              <c16:uniqueId val="{00000001-2297-43B4-9682-249C2958FBB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2.6007402108216837E-3</c:v>
                </c:pt>
                <c:pt idx="1">
                  <c:v>2.4400197405527457E-4</c:v>
                </c:pt>
                <c:pt idx="2">
                  <c:v>1.3854354207480934E-3</c:v>
                </c:pt>
                <c:pt idx="3">
                  <c:v>-8.5177603581237937E-3</c:v>
                </c:pt>
                <c:pt idx="4">
                  <c:v>4.2875827524990751E-3</c:v>
                </c:pt>
              </c:numCache>
            </c:numRef>
          </c:val>
          <c:smooth val="0"/>
          <c:extLst>
            <c:ext xmlns:c16="http://schemas.microsoft.com/office/drawing/2014/chart" uri="{C3380CC4-5D6E-409C-BE32-E72D297353CC}">
              <c16:uniqueId val="{00000002-2297-43B4-9682-249C2958FBB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2.9380573578987601E-3</c:v>
                </c:pt>
                <c:pt idx="1">
                  <c:v>1.4687378423081654E-3</c:v>
                </c:pt>
                <c:pt idx="2">
                  <c:v>1.3258346184363834E-3</c:v>
                </c:pt>
                <c:pt idx="3">
                  <c:v>-8.486966219029668E-3</c:v>
                </c:pt>
                <c:pt idx="4">
                  <c:v>2.754336400386137E-3</c:v>
                </c:pt>
              </c:numCache>
            </c:numRef>
          </c:val>
          <c:smooth val="0"/>
          <c:extLst>
            <c:ext xmlns:c16="http://schemas.microsoft.com/office/drawing/2014/chart" uri="{C3380CC4-5D6E-409C-BE32-E72D297353CC}">
              <c16:uniqueId val="{00000003-2297-43B4-9682-249C2958FBB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2.7900002438920879E-3</c:v>
                </c:pt>
                <c:pt idx="1">
                  <c:v>2.7971482956412608E-4</c:v>
                </c:pt>
                <c:pt idx="2">
                  <c:v>2.2910848365369496E-3</c:v>
                </c:pt>
                <c:pt idx="3">
                  <c:v>-8.8344951302931074E-3</c:v>
                </c:pt>
                <c:pt idx="4">
                  <c:v>3.4736952202996108E-3</c:v>
                </c:pt>
              </c:numCache>
            </c:numRef>
          </c:val>
          <c:smooth val="0"/>
          <c:extLst>
            <c:ext xmlns:c16="http://schemas.microsoft.com/office/drawing/2014/chart" uri="{C3380CC4-5D6E-409C-BE32-E72D297353CC}">
              <c16:uniqueId val="{00000004-2297-43B4-9682-249C2958FBB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2.815374416085259E-3</c:v>
                </c:pt>
                <c:pt idx="1">
                  <c:v>-1.1552080230582407E-3</c:v>
                </c:pt>
                <c:pt idx="2">
                  <c:v>2.5977353751884813E-3</c:v>
                </c:pt>
                <c:pt idx="3">
                  <c:v>-7.9305930686176529E-3</c:v>
                </c:pt>
                <c:pt idx="4">
                  <c:v>3.6726913004019313E-3</c:v>
                </c:pt>
              </c:numCache>
            </c:numRef>
          </c:val>
          <c:smooth val="0"/>
          <c:extLst>
            <c:ext xmlns:c16="http://schemas.microsoft.com/office/drawing/2014/chart" uri="{C3380CC4-5D6E-409C-BE32-E72D297353CC}">
              <c16:uniqueId val="{00000005-2297-43B4-9682-249C2958FBB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3.4091787910632831E-3</c:v>
                </c:pt>
                <c:pt idx="1">
                  <c:v>-5.8252378171730346E-4</c:v>
                </c:pt>
                <c:pt idx="2">
                  <c:v>3.25563312033883E-3</c:v>
                </c:pt>
                <c:pt idx="3">
                  <c:v>-9.4394436452949204E-3</c:v>
                </c:pt>
                <c:pt idx="4">
                  <c:v>3.3571555156102217E-3</c:v>
                </c:pt>
              </c:numCache>
            </c:numRef>
          </c:val>
          <c:smooth val="0"/>
          <c:extLst>
            <c:ext xmlns:c16="http://schemas.microsoft.com/office/drawing/2014/chart" uri="{C3380CC4-5D6E-409C-BE32-E72D297353CC}">
              <c16:uniqueId val="{00000006-2297-43B4-9682-249C2958FBB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4.8317581926820008E-3</c:v>
                </c:pt>
                <c:pt idx="1">
                  <c:v>-3.0103266083002511E-3</c:v>
                </c:pt>
                <c:pt idx="2">
                  <c:v>5.2418221317473979E-3</c:v>
                </c:pt>
                <c:pt idx="3">
                  <c:v>-1.0343327960633419E-2</c:v>
                </c:pt>
                <c:pt idx="4">
                  <c:v>3.2800742445044939E-3</c:v>
                </c:pt>
              </c:numCache>
            </c:numRef>
          </c:val>
          <c:smooth val="0"/>
          <c:extLst>
            <c:ext xmlns:c16="http://schemas.microsoft.com/office/drawing/2014/chart" uri="{C3380CC4-5D6E-409C-BE32-E72D297353CC}">
              <c16:uniqueId val="{00000007-2297-43B4-9682-249C2958FBB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4.3212695979502058E-3</c:v>
                </c:pt>
                <c:pt idx="1">
                  <c:v>-2.9133232674922738E-3</c:v>
                </c:pt>
                <c:pt idx="2">
                  <c:v>6.0112847434816707E-3</c:v>
                </c:pt>
                <c:pt idx="3">
                  <c:v>-1.0941127280452934E-2</c:v>
                </c:pt>
                <c:pt idx="4">
                  <c:v>3.5218962065131088E-3</c:v>
                </c:pt>
              </c:numCache>
            </c:numRef>
          </c:val>
          <c:smooth val="0"/>
          <c:extLst>
            <c:ext xmlns:c16="http://schemas.microsoft.com/office/drawing/2014/chart" uri="{C3380CC4-5D6E-409C-BE32-E72D297353CC}">
              <c16:uniqueId val="{00000008-2297-43B4-9682-249C2958FBB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6.2672963286074523E-3</c:v>
                </c:pt>
                <c:pt idx="1">
                  <c:v>-5.6793152903750199E-3</c:v>
                </c:pt>
                <c:pt idx="2">
                  <c:v>8.8275161285586989E-3</c:v>
                </c:pt>
                <c:pt idx="3">
                  <c:v>-1.3763800148700045E-2</c:v>
                </c:pt>
                <c:pt idx="4">
                  <c:v>4.3483029819082475E-3</c:v>
                </c:pt>
              </c:numCache>
            </c:numRef>
          </c:val>
          <c:smooth val="0"/>
          <c:extLst>
            <c:ext xmlns:c16="http://schemas.microsoft.com/office/drawing/2014/chart" uri="{C3380CC4-5D6E-409C-BE32-E72D297353CC}">
              <c16:uniqueId val="{00000009-2297-43B4-9682-249C2958FBB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5.8292236517649698E-3</c:v>
                </c:pt>
                <c:pt idx="1">
                  <c:v>-5.7301518450767475E-3</c:v>
                </c:pt>
                <c:pt idx="2">
                  <c:v>1.1157888814001815E-2</c:v>
                </c:pt>
                <c:pt idx="3">
                  <c:v>-1.3692920192575286E-2</c:v>
                </c:pt>
                <c:pt idx="4">
                  <c:v>2.435959571885471E-3</c:v>
                </c:pt>
              </c:numCache>
            </c:numRef>
          </c:val>
          <c:smooth val="0"/>
          <c:extLst>
            <c:ext xmlns:c16="http://schemas.microsoft.com/office/drawing/2014/chart" uri="{C3380CC4-5D6E-409C-BE32-E72D297353CC}">
              <c16:uniqueId val="{0000000A-2297-43B4-9682-249C2958FBB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7.2691227537529102E-3</c:v>
                </c:pt>
                <c:pt idx="1">
                  <c:v>-7.2589175496582392E-3</c:v>
                </c:pt>
                <c:pt idx="2">
                  <c:v>9.5429475517341267E-3</c:v>
                </c:pt>
                <c:pt idx="3">
                  <c:v>-1.4022284906340166E-2</c:v>
                </c:pt>
                <c:pt idx="4">
                  <c:v>4.4691321505112569E-3</c:v>
                </c:pt>
              </c:numCache>
            </c:numRef>
          </c:val>
          <c:smooth val="0"/>
          <c:extLst>
            <c:ext xmlns:c16="http://schemas.microsoft.com/office/drawing/2014/chart" uri="{C3380CC4-5D6E-409C-BE32-E72D297353CC}">
              <c16:uniqueId val="{0000000B-2297-43B4-9682-249C2958FBB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9.617783728463225E-3</c:v>
                </c:pt>
                <c:pt idx="1">
                  <c:v>-4.0518592819895893E-3</c:v>
                </c:pt>
                <c:pt idx="2">
                  <c:v>8.6779130048897368E-3</c:v>
                </c:pt>
                <c:pt idx="3">
                  <c:v>-1.4181552225669525E-2</c:v>
                </c:pt>
                <c:pt idx="4">
                  <c:v>-6.2285225692848556E-5</c:v>
                </c:pt>
              </c:numCache>
            </c:numRef>
          </c:val>
          <c:smooth val="0"/>
          <c:extLst>
            <c:ext xmlns:c16="http://schemas.microsoft.com/office/drawing/2014/chart" uri="{C3380CC4-5D6E-409C-BE32-E72D297353CC}">
              <c16:uniqueId val="{0000000C-2297-43B4-9682-249C2958FBB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1.7019772242421016E-2</c:v>
                </c:pt>
                <c:pt idx="1">
                  <c:v>-4.5055306570525033E-3</c:v>
                </c:pt>
                <c:pt idx="2">
                  <c:v>6.6785141583536323E-3</c:v>
                </c:pt>
                <c:pt idx="3">
                  <c:v>-1.4458377966626634E-2</c:v>
                </c:pt>
                <c:pt idx="4">
                  <c:v>-4.7343777770955109E-3</c:v>
                </c:pt>
              </c:numCache>
            </c:numRef>
          </c:val>
          <c:smooth val="0"/>
          <c:extLst>
            <c:ext xmlns:c16="http://schemas.microsoft.com/office/drawing/2014/chart" uri="{C3380CC4-5D6E-409C-BE32-E72D297353CC}">
              <c16:uniqueId val="{0000000D-2297-43B4-9682-249C2958FBB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2.0966192223557556E-2</c:v>
                </c:pt>
                <c:pt idx="1">
                  <c:v>-5.8003764346599151E-3</c:v>
                </c:pt>
                <c:pt idx="2">
                  <c:v>3.2233167268564955E-3</c:v>
                </c:pt>
                <c:pt idx="3">
                  <c:v>-1.3815959286552437E-2</c:v>
                </c:pt>
                <c:pt idx="4">
                  <c:v>-4.573173229201366E-3</c:v>
                </c:pt>
              </c:numCache>
            </c:numRef>
          </c:val>
          <c:smooth val="0"/>
          <c:extLst>
            <c:ext xmlns:c16="http://schemas.microsoft.com/office/drawing/2014/chart" uri="{C3380CC4-5D6E-409C-BE32-E72D297353CC}">
              <c16:uniqueId val="{0000000E-2297-43B4-9682-249C2958FBB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2.6389457696736729E-2</c:v>
                </c:pt>
                <c:pt idx="1">
                  <c:v>-1.3361721228679291E-2</c:v>
                </c:pt>
                <c:pt idx="2">
                  <c:v>1.0664592769244363E-2</c:v>
                </c:pt>
                <c:pt idx="3">
                  <c:v>-1.7110236433823589E-2</c:v>
                </c:pt>
                <c:pt idx="4">
                  <c:v>-6.5820928034781012E-3</c:v>
                </c:pt>
              </c:numCache>
            </c:numRef>
          </c:val>
          <c:smooth val="0"/>
          <c:extLst>
            <c:ext xmlns:c16="http://schemas.microsoft.com/office/drawing/2014/chart" uri="{C3380CC4-5D6E-409C-BE32-E72D297353CC}">
              <c16:uniqueId val="{0000000F-2297-43B4-9682-249C2958FBB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3.3736190648280484E-2</c:v>
                </c:pt>
                <c:pt idx="1">
                  <c:v>-1.694795003170968E-2</c:v>
                </c:pt>
                <c:pt idx="2">
                  <c:v>2.0719391191972525E-2</c:v>
                </c:pt>
                <c:pt idx="3">
                  <c:v>-2.0967963392592437E-2</c:v>
                </c:pt>
                <c:pt idx="4">
                  <c:v>-1.6539668415950781E-2</c:v>
                </c:pt>
              </c:numCache>
            </c:numRef>
          </c:val>
          <c:smooth val="0"/>
          <c:extLst>
            <c:ext xmlns:c16="http://schemas.microsoft.com/office/drawing/2014/chart" uri="{C3380CC4-5D6E-409C-BE32-E72D297353CC}">
              <c16:uniqueId val="{00000010-2297-43B4-9682-249C2958FBB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2.4997186018154149E-2</c:v>
                </c:pt>
                <c:pt idx="1">
                  <c:v>-1.6947180866352052E-2</c:v>
                </c:pt>
                <c:pt idx="2">
                  <c:v>2.3579613729903359E-2</c:v>
                </c:pt>
                <c:pt idx="3">
                  <c:v>-1.7298184594828458E-2</c:v>
                </c:pt>
                <c:pt idx="4">
                  <c:v>-1.4331434286877665E-2</c:v>
                </c:pt>
              </c:numCache>
            </c:numRef>
          </c:val>
          <c:smooth val="0"/>
          <c:extLst>
            <c:ext xmlns:c16="http://schemas.microsoft.com/office/drawing/2014/chart" uri="{C3380CC4-5D6E-409C-BE32-E72D297353CC}">
              <c16:uniqueId val="{00000011-2297-43B4-9682-249C2958FBB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1.3411742779340985E-2</c:v>
                </c:pt>
                <c:pt idx="1">
                  <c:v>-1.829637241795723E-2</c:v>
                </c:pt>
                <c:pt idx="2">
                  <c:v>4.3367755561099841E-2</c:v>
                </c:pt>
                <c:pt idx="3">
                  <c:v>-2.2231731863056159E-2</c:v>
                </c:pt>
                <c:pt idx="4">
                  <c:v>-1.6251394059428104E-2</c:v>
                </c:pt>
              </c:numCache>
            </c:numRef>
          </c:val>
          <c:smooth val="0"/>
          <c:extLst>
            <c:ext xmlns:c16="http://schemas.microsoft.com/office/drawing/2014/chart" uri="{C3380CC4-5D6E-409C-BE32-E72D297353CC}">
              <c16:uniqueId val="{00000012-2297-43B4-9682-249C2958FBB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1.996189092018108E-2</c:v>
                </c:pt>
                <c:pt idx="1">
                  <c:v>-2.7427336854779494E-2</c:v>
                </c:pt>
                <c:pt idx="2">
                  <c:v>4.7497860243991274E-2</c:v>
                </c:pt>
                <c:pt idx="3">
                  <c:v>-1.4082748927760291E-2</c:v>
                </c:pt>
                <c:pt idx="4">
                  <c:v>-2.5949665381632125E-2</c:v>
                </c:pt>
              </c:numCache>
            </c:numRef>
          </c:val>
          <c:smooth val="0"/>
          <c:extLst>
            <c:ext xmlns:c16="http://schemas.microsoft.com/office/drawing/2014/chart" uri="{C3380CC4-5D6E-409C-BE32-E72D297353CC}">
              <c16:uniqueId val="{00000013-2297-43B4-9682-249C2958FBB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2.7319646662706143E-2</c:v>
                </c:pt>
                <c:pt idx="1">
                  <c:v>-2.8616088756939329E-2</c:v>
                </c:pt>
                <c:pt idx="2">
                  <c:v>4.0443538341090601E-2</c:v>
                </c:pt>
                <c:pt idx="3">
                  <c:v>-2.1133428541639798E-2</c:v>
                </c:pt>
                <c:pt idx="4">
                  <c:v>-1.8013667705218395E-2</c:v>
                </c:pt>
              </c:numCache>
            </c:numRef>
          </c:val>
          <c:smooth val="0"/>
          <c:extLst>
            <c:ext xmlns:c16="http://schemas.microsoft.com/office/drawing/2014/chart" uri="{C3380CC4-5D6E-409C-BE32-E72D297353CC}">
              <c16:uniqueId val="{00000014-2297-43B4-9682-249C2958FBB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4.3584424917518572E-2</c:v>
                </c:pt>
                <c:pt idx="1">
                  <c:v>-2.3891714592608859E-2</c:v>
                </c:pt>
                <c:pt idx="2">
                  <c:v>5.6047891995134602E-2</c:v>
                </c:pt>
                <c:pt idx="3">
                  <c:v>-4.5410830846564609E-2</c:v>
                </c:pt>
                <c:pt idx="4">
                  <c:v>-3.0329771473480149E-2</c:v>
                </c:pt>
              </c:numCache>
            </c:numRef>
          </c:val>
          <c:smooth val="0"/>
          <c:extLst>
            <c:ext xmlns:c16="http://schemas.microsoft.com/office/drawing/2014/chart" uri="{C3380CC4-5D6E-409C-BE32-E72D297353CC}">
              <c16:uniqueId val="{00000015-2297-43B4-9682-249C2958FBB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6.1388466615529103E-2</c:v>
                </c:pt>
                <c:pt idx="1">
                  <c:v>-1.9930772421020371E-2</c:v>
                </c:pt>
                <c:pt idx="2">
                  <c:v>7.7011569445994743E-2</c:v>
                </c:pt>
                <c:pt idx="3">
                  <c:v>-5.1710618323297486E-2</c:v>
                </c:pt>
                <c:pt idx="4">
                  <c:v>-6.6758645317206544E-2</c:v>
                </c:pt>
              </c:numCache>
            </c:numRef>
          </c:val>
          <c:smooth val="0"/>
          <c:extLst>
            <c:ext xmlns:c16="http://schemas.microsoft.com/office/drawing/2014/chart" uri="{C3380CC4-5D6E-409C-BE32-E72D297353CC}">
              <c16:uniqueId val="{00000016-2297-43B4-9682-249C2958FBB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7.6026942264421971E-2</c:v>
                </c:pt>
                <c:pt idx="1">
                  <c:v>-1.4277431619894809E-2</c:v>
                </c:pt>
                <c:pt idx="2">
                  <c:v>7.0683095997517098E-2</c:v>
                </c:pt>
                <c:pt idx="3">
                  <c:v>-6.3161611664266037E-2</c:v>
                </c:pt>
                <c:pt idx="4">
                  <c:v>-6.9270994977778777E-2</c:v>
                </c:pt>
              </c:numCache>
            </c:numRef>
          </c:val>
          <c:smooth val="0"/>
          <c:extLst>
            <c:ext xmlns:c16="http://schemas.microsoft.com/office/drawing/2014/chart" uri="{C3380CC4-5D6E-409C-BE32-E72D297353CC}">
              <c16:uniqueId val="{00000017-2297-43B4-9682-249C2958FBB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9.1829761737558968E-2</c:v>
                </c:pt>
                <c:pt idx="1">
                  <c:v>1.6167847747308617E-2</c:v>
                </c:pt>
                <c:pt idx="2">
                  <c:v>7.9134271296212644E-2</c:v>
                </c:pt>
                <c:pt idx="3">
                  <c:v>-0.11403566034903367</c:v>
                </c:pt>
                <c:pt idx="4">
                  <c:v>-7.3096220432046666E-2</c:v>
                </c:pt>
              </c:numCache>
            </c:numRef>
          </c:val>
          <c:smooth val="0"/>
          <c:extLst>
            <c:ext xmlns:c16="http://schemas.microsoft.com/office/drawing/2014/chart" uri="{C3380CC4-5D6E-409C-BE32-E72D297353CC}">
              <c16:uniqueId val="{00000018-2297-43B4-9682-249C2958FBB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8.1772983277882405E-2</c:v>
                </c:pt>
                <c:pt idx="1">
                  <c:v>1.1906192667121562E-3</c:v>
                </c:pt>
                <c:pt idx="2">
                  <c:v>8.9762121239413517E-2</c:v>
                </c:pt>
                <c:pt idx="3">
                  <c:v>-0.11787721325402556</c:v>
                </c:pt>
                <c:pt idx="4">
                  <c:v>-5.4848510529981853E-2</c:v>
                </c:pt>
              </c:numCache>
            </c:numRef>
          </c:val>
          <c:smooth val="0"/>
          <c:extLst>
            <c:ext xmlns:c16="http://schemas.microsoft.com/office/drawing/2014/chart" uri="{C3380CC4-5D6E-409C-BE32-E72D297353CC}">
              <c16:uniqueId val="{00000019-2297-43B4-9682-249C2958FBB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7.8826503074482135E-2</c:v>
                </c:pt>
                <c:pt idx="1">
                  <c:v>1.2660470857086992E-2</c:v>
                </c:pt>
                <c:pt idx="2">
                  <c:v>9.1177387128114074E-2</c:v>
                </c:pt>
                <c:pt idx="3">
                  <c:v>-0.10077457803522349</c:v>
                </c:pt>
                <c:pt idx="4">
                  <c:v>-8.1889783024459262E-2</c:v>
                </c:pt>
              </c:numCache>
            </c:numRef>
          </c:val>
          <c:smooth val="0"/>
          <c:extLst>
            <c:ext xmlns:c16="http://schemas.microsoft.com/office/drawing/2014/chart" uri="{C3380CC4-5D6E-409C-BE32-E72D297353CC}">
              <c16:uniqueId val="{0000001A-2297-43B4-9682-249C2958FBB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7.3921860405262274E-2</c:v>
                </c:pt>
                <c:pt idx="1">
                  <c:v>2.1446920072434761E-2</c:v>
                </c:pt>
                <c:pt idx="2">
                  <c:v>0.1349631364021282</c:v>
                </c:pt>
                <c:pt idx="3">
                  <c:v>-8.0097692214994853E-2</c:v>
                </c:pt>
                <c:pt idx="4">
                  <c:v>-0.15023422466483061</c:v>
                </c:pt>
              </c:numCache>
            </c:numRef>
          </c:val>
          <c:smooth val="0"/>
          <c:extLst>
            <c:ext xmlns:c16="http://schemas.microsoft.com/office/drawing/2014/chart" uri="{C3380CC4-5D6E-409C-BE32-E72D297353CC}">
              <c16:uniqueId val="{0000001B-2297-43B4-9682-249C2958FBB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0.12892217199081268</c:v>
                </c:pt>
                <c:pt idx="1">
                  <c:v>6.0622792789684077E-3</c:v>
                </c:pt>
                <c:pt idx="2">
                  <c:v>0.17519642014931369</c:v>
                </c:pt>
                <c:pt idx="3">
                  <c:v>-9.1609053923993322E-2</c:v>
                </c:pt>
                <c:pt idx="4">
                  <c:v>-0.21857181749510146</c:v>
                </c:pt>
              </c:numCache>
            </c:numRef>
          </c:val>
          <c:smooth val="0"/>
          <c:extLst>
            <c:ext xmlns:c16="http://schemas.microsoft.com/office/drawing/2014/chart" uri="{C3380CC4-5D6E-409C-BE32-E72D297353CC}">
              <c16:uniqueId val="{0000001C-2297-43B4-9682-249C2958FBB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0.20787490807629649</c:v>
                </c:pt>
                <c:pt idx="1">
                  <c:v>4.7989542943582819E-3</c:v>
                </c:pt>
                <c:pt idx="2">
                  <c:v>0.18285222759644193</c:v>
                </c:pt>
                <c:pt idx="3">
                  <c:v>-0.10666524839088776</c:v>
                </c:pt>
                <c:pt idx="4">
                  <c:v>-0.28886084157620895</c:v>
                </c:pt>
              </c:numCache>
            </c:numRef>
          </c:val>
          <c:smooth val="0"/>
          <c:extLst>
            <c:ext xmlns:c16="http://schemas.microsoft.com/office/drawing/2014/chart" uri="{C3380CC4-5D6E-409C-BE32-E72D297353CC}">
              <c16:uniqueId val="{0000001D-2297-43B4-9682-249C2958FBB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0.30183385938493346</c:v>
                </c:pt>
                <c:pt idx="1">
                  <c:v>5.0865844912783897E-2</c:v>
                </c:pt>
                <c:pt idx="2">
                  <c:v>0.16845907814427497</c:v>
                </c:pt>
                <c:pt idx="3">
                  <c:v>-0.13522870964618183</c:v>
                </c:pt>
                <c:pt idx="4">
                  <c:v>-0.38593007279581115</c:v>
                </c:pt>
              </c:numCache>
            </c:numRef>
          </c:val>
          <c:smooth val="0"/>
          <c:extLst>
            <c:ext xmlns:c16="http://schemas.microsoft.com/office/drawing/2014/chart" uri="{C3380CC4-5D6E-409C-BE32-E72D297353CC}">
              <c16:uniqueId val="{0000001E-2297-43B4-9682-249C2958FBBD}"/>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BBC6-4DB9-A803-1275A88FB58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6.7210885292134925E-4</c:v>
                </c:pt>
                <c:pt idx="1">
                  <c:v>2.1430846569197026E-3</c:v>
                </c:pt>
                <c:pt idx="2">
                  <c:v>-1.5299066524521177E-3</c:v>
                </c:pt>
                <c:pt idx="3">
                  <c:v>2.1725989773977439E-3</c:v>
                </c:pt>
                <c:pt idx="4">
                  <c:v>-3.457885834786345E-3</c:v>
                </c:pt>
              </c:numCache>
            </c:numRef>
          </c:val>
          <c:smooth val="0"/>
          <c:extLst>
            <c:ext xmlns:c16="http://schemas.microsoft.com/office/drawing/2014/chart" uri="{C3380CC4-5D6E-409C-BE32-E72D297353CC}">
              <c16:uniqueId val="{00000001-BBC6-4DB9-A803-1275A88FB58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3.6275542253856319E-3</c:v>
                </c:pt>
                <c:pt idx="1">
                  <c:v>1.3870481510553923E-3</c:v>
                </c:pt>
                <c:pt idx="2">
                  <c:v>-2.4841602943735941E-3</c:v>
                </c:pt>
                <c:pt idx="3">
                  <c:v>2.0561995728036742E-3</c:v>
                </c:pt>
                <c:pt idx="4">
                  <c:v>-4.5866416548705491E-3</c:v>
                </c:pt>
              </c:numCache>
            </c:numRef>
          </c:val>
          <c:smooth val="0"/>
          <c:extLst>
            <c:ext xmlns:c16="http://schemas.microsoft.com/office/drawing/2014/chart" uri="{C3380CC4-5D6E-409C-BE32-E72D297353CC}">
              <c16:uniqueId val="{00000002-BBC6-4DB9-A803-1275A88FB58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2.6815947195784062E-3</c:v>
                </c:pt>
                <c:pt idx="1">
                  <c:v>4.4480618817255291E-4</c:v>
                </c:pt>
                <c:pt idx="2">
                  <c:v>-1.9124045613361229E-4</c:v>
                </c:pt>
                <c:pt idx="3">
                  <c:v>2.3300713801526207E-3</c:v>
                </c:pt>
                <c:pt idx="4">
                  <c:v>-5.2652318317700786E-3</c:v>
                </c:pt>
              </c:numCache>
            </c:numRef>
          </c:val>
          <c:smooth val="0"/>
          <c:extLst>
            <c:ext xmlns:c16="http://schemas.microsoft.com/office/drawing/2014/chart" uri="{C3380CC4-5D6E-409C-BE32-E72D297353CC}">
              <c16:uniqueId val="{00000003-BBC6-4DB9-A803-1275A88FB58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6.0301683342369738E-3</c:v>
                </c:pt>
                <c:pt idx="1">
                  <c:v>-9.1452730188967823E-4</c:v>
                </c:pt>
                <c:pt idx="2">
                  <c:v>-9.006781456187829E-4</c:v>
                </c:pt>
                <c:pt idx="3">
                  <c:v>1.019524695906826E-3</c:v>
                </c:pt>
                <c:pt idx="4">
                  <c:v>-5.2344875826355608E-3</c:v>
                </c:pt>
              </c:numCache>
            </c:numRef>
          </c:val>
          <c:smooth val="0"/>
          <c:extLst>
            <c:ext xmlns:c16="http://schemas.microsoft.com/office/drawing/2014/chart" uri="{C3380CC4-5D6E-409C-BE32-E72D297353CC}">
              <c16:uniqueId val="{00000004-BBC6-4DB9-A803-1275A88FB58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7.5626915693118857E-3</c:v>
                </c:pt>
                <c:pt idx="1">
                  <c:v>-2.8286281494528387E-3</c:v>
                </c:pt>
                <c:pt idx="2">
                  <c:v>9.7908050474893038E-4</c:v>
                </c:pt>
                <c:pt idx="3">
                  <c:v>6.7375244887157848E-4</c:v>
                </c:pt>
                <c:pt idx="4">
                  <c:v>-6.3868963734786677E-3</c:v>
                </c:pt>
              </c:numCache>
            </c:numRef>
          </c:val>
          <c:smooth val="0"/>
          <c:extLst>
            <c:ext xmlns:c16="http://schemas.microsoft.com/office/drawing/2014/chart" uri="{C3380CC4-5D6E-409C-BE32-E72D297353CC}">
              <c16:uniqueId val="{00000005-BBC6-4DB9-A803-1275A88FB58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8.593813941857098E-3</c:v>
                </c:pt>
                <c:pt idx="1">
                  <c:v>-6.1244106980100632E-3</c:v>
                </c:pt>
                <c:pt idx="2">
                  <c:v>7.0703394965043742E-4</c:v>
                </c:pt>
                <c:pt idx="3">
                  <c:v>1.6593917487086607E-3</c:v>
                </c:pt>
                <c:pt idx="4">
                  <c:v>-4.8358289422051337E-3</c:v>
                </c:pt>
              </c:numCache>
            </c:numRef>
          </c:val>
          <c:smooth val="0"/>
          <c:extLst>
            <c:ext xmlns:c16="http://schemas.microsoft.com/office/drawing/2014/chart" uri="{C3380CC4-5D6E-409C-BE32-E72D297353CC}">
              <c16:uniqueId val="{00000006-BBC6-4DB9-A803-1275A88FB58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1.3772775301735596E-2</c:v>
                </c:pt>
                <c:pt idx="1">
                  <c:v>-5.5662424004413458E-3</c:v>
                </c:pt>
                <c:pt idx="2">
                  <c:v>-4.2977972599911318E-3</c:v>
                </c:pt>
                <c:pt idx="3">
                  <c:v>1.4795221182550833E-4</c:v>
                </c:pt>
                <c:pt idx="4">
                  <c:v>-4.0566878531287376E-3</c:v>
                </c:pt>
              </c:numCache>
            </c:numRef>
          </c:val>
          <c:smooth val="0"/>
          <c:extLst>
            <c:ext xmlns:c16="http://schemas.microsoft.com/office/drawing/2014/chart" uri="{C3380CC4-5D6E-409C-BE32-E72D297353CC}">
              <c16:uniqueId val="{00000007-BBC6-4DB9-A803-1275A88FB58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1.1372095381420033E-2</c:v>
                </c:pt>
                <c:pt idx="1">
                  <c:v>-3.9590989997874138E-3</c:v>
                </c:pt>
                <c:pt idx="2">
                  <c:v>-4.3376521365917631E-3</c:v>
                </c:pt>
                <c:pt idx="3">
                  <c:v>1.145267117108606E-3</c:v>
                </c:pt>
                <c:pt idx="4">
                  <c:v>-4.2206113621490182E-3</c:v>
                </c:pt>
              </c:numCache>
            </c:numRef>
          </c:val>
          <c:smooth val="0"/>
          <c:extLst>
            <c:ext xmlns:c16="http://schemas.microsoft.com/office/drawing/2014/chart" uri="{C3380CC4-5D6E-409C-BE32-E72D297353CC}">
              <c16:uniqueId val="{00000008-BBC6-4DB9-A803-1275A88FB58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1.2421616599737728E-2</c:v>
                </c:pt>
                <c:pt idx="1">
                  <c:v>-2.6915836977181584E-3</c:v>
                </c:pt>
                <c:pt idx="2">
                  <c:v>-5.3422543139216572E-3</c:v>
                </c:pt>
                <c:pt idx="3">
                  <c:v>2.8263227215616915E-3</c:v>
                </c:pt>
                <c:pt idx="4">
                  <c:v>-7.21410130965916E-3</c:v>
                </c:pt>
              </c:numCache>
            </c:numRef>
          </c:val>
          <c:smooth val="0"/>
          <c:extLst>
            <c:ext xmlns:c16="http://schemas.microsoft.com/office/drawing/2014/chart" uri="{C3380CC4-5D6E-409C-BE32-E72D297353CC}">
              <c16:uniqueId val="{00000009-BBC6-4DB9-A803-1275A88FB58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1.1927186403084322E-2</c:v>
                </c:pt>
                <c:pt idx="1">
                  <c:v>-1.2195022518735055E-4</c:v>
                </c:pt>
                <c:pt idx="2">
                  <c:v>-7.4920708135417513E-3</c:v>
                </c:pt>
                <c:pt idx="3">
                  <c:v>4.0870595328719173E-3</c:v>
                </c:pt>
                <c:pt idx="4">
                  <c:v>-8.4002248972274707E-3</c:v>
                </c:pt>
              </c:numCache>
            </c:numRef>
          </c:val>
          <c:smooth val="0"/>
          <c:extLst>
            <c:ext xmlns:c16="http://schemas.microsoft.com/office/drawing/2014/chart" uri="{C3380CC4-5D6E-409C-BE32-E72D297353CC}">
              <c16:uniqueId val="{0000000A-BBC6-4DB9-A803-1275A88FB58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9.3716969818093965E-3</c:v>
                </c:pt>
                <c:pt idx="1">
                  <c:v>-2.6168033614160091E-4</c:v>
                </c:pt>
                <c:pt idx="2">
                  <c:v>-7.1505017455409936E-3</c:v>
                </c:pt>
                <c:pt idx="3">
                  <c:v>4.4013411768661914E-3</c:v>
                </c:pt>
                <c:pt idx="4">
                  <c:v>-6.3608560769931044E-3</c:v>
                </c:pt>
              </c:numCache>
            </c:numRef>
          </c:val>
          <c:smooth val="0"/>
          <c:extLst>
            <c:ext xmlns:c16="http://schemas.microsoft.com/office/drawing/2014/chart" uri="{C3380CC4-5D6E-409C-BE32-E72D297353CC}">
              <c16:uniqueId val="{0000000B-BBC6-4DB9-A803-1275A88FB58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6.5818181034609236E-3</c:v>
                </c:pt>
                <c:pt idx="1">
                  <c:v>4.4792492308176612E-3</c:v>
                </c:pt>
                <c:pt idx="2">
                  <c:v>-7.7751413115190182E-3</c:v>
                </c:pt>
                <c:pt idx="3">
                  <c:v>4.9903912835957964E-3</c:v>
                </c:pt>
                <c:pt idx="4">
                  <c:v>-8.2763173063559181E-3</c:v>
                </c:pt>
              </c:numCache>
            </c:numRef>
          </c:val>
          <c:smooth val="0"/>
          <c:extLst>
            <c:ext xmlns:c16="http://schemas.microsoft.com/office/drawing/2014/chart" uri="{C3380CC4-5D6E-409C-BE32-E72D297353CC}">
              <c16:uniqueId val="{0000000C-BBC6-4DB9-A803-1275A88FB58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7.0497811203684702E-3</c:v>
                </c:pt>
                <c:pt idx="1">
                  <c:v>1.2886318315128431E-3</c:v>
                </c:pt>
                <c:pt idx="2">
                  <c:v>-5.6561167793159894E-3</c:v>
                </c:pt>
                <c:pt idx="3">
                  <c:v>9.0227916291043542E-3</c:v>
                </c:pt>
                <c:pt idx="4">
                  <c:v>-1.17050878016699E-2</c:v>
                </c:pt>
              </c:numCache>
            </c:numRef>
          </c:val>
          <c:smooth val="0"/>
          <c:extLst>
            <c:ext xmlns:c16="http://schemas.microsoft.com/office/drawing/2014/chart" uri="{C3380CC4-5D6E-409C-BE32-E72D297353CC}">
              <c16:uniqueId val="{0000000D-BBC6-4DB9-A803-1275A88FB58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9.4050651429873344E-3</c:v>
                </c:pt>
                <c:pt idx="1">
                  <c:v>-8.6040108309282104E-4</c:v>
                </c:pt>
                <c:pt idx="2">
                  <c:v>-9.9558282985022784E-3</c:v>
                </c:pt>
                <c:pt idx="3">
                  <c:v>9.1080322363166211E-3</c:v>
                </c:pt>
                <c:pt idx="4">
                  <c:v>-7.6968679977089671E-3</c:v>
                </c:pt>
              </c:numCache>
            </c:numRef>
          </c:val>
          <c:smooth val="0"/>
          <c:extLst>
            <c:ext xmlns:c16="http://schemas.microsoft.com/office/drawing/2014/chart" uri="{C3380CC4-5D6E-409C-BE32-E72D297353CC}">
              <c16:uniqueId val="{0000000E-BBC6-4DB9-A803-1275A88FB58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3.9962709202454594E-3</c:v>
                </c:pt>
                <c:pt idx="1">
                  <c:v>2.5697169137022247E-3</c:v>
                </c:pt>
                <c:pt idx="2">
                  <c:v>-1.6104869163303004E-2</c:v>
                </c:pt>
                <c:pt idx="3">
                  <c:v>1.6127513810492378E-2</c:v>
                </c:pt>
                <c:pt idx="4">
                  <c:v>-6.5886324811371688E-3</c:v>
                </c:pt>
              </c:numCache>
            </c:numRef>
          </c:val>
          <c:smooth val="0"/>
          <c:extLst>
            <c:ext xmlns:c16="http://schemas.microsoft.com/office/drawing/2014/chart" uri="{C3380CC4-5D6E-409C-BE32-E72D297353CC}">
              <c16:uniqueId val="{0000000F-BBC6-4DB9-A803-1275A88FB58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1.2384629833775085E-2</c:v>
                </c:pt>
                <c:pt idx="1">
                  <c:v>1.8851646201014649E-3</c:v>
                </c:pt>
                <c:pt idx="2">
                  <c:v>-2.184584178551241E-2</c:v>
                </c:pt>
                <c:pt idx="3">
                  <c:v>1.0034387712475556E-2</c:v>
                </c:pt>
                <c:pt idx="4">
                  <c:v>-2.4583403808402515E-3</c:v>
                </c:pt>
              </c:numCache>
            </c:numRef>
          </c:val>
          <c:smooth val="0"/>
          <c:extLst>
            <c:ext xmlns:c16="http://schemas.microsoft.com/office/drawing/2014/chart" uri="{C3380CC4-5D6E-409C-BE32-E72D297353CC}">
              <c16:uniqueId val="{00000010-BBC6-4DB9-A803-1275A88FB58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2.294343749388994E-2</c:v>
                </c:pt>
                <c:pt idx="1">
                  <c:v>-9.9174684851781603E-3</c:v>
                </c:pt>
                <c:pt idx="2">
                  <c:v>-2.8299625604524259E-2</c:v>
                </c:pt>
                <c:pt idx="3">
                  <c:v>2.413563054252621E-2</c:v>
                </c:pt>
                <c:pt idx="4">
                  <c:v>-8.8619739467133973E-3</c:v>
                </c:pt>
              </c:numCache>
            </c:numRef>
          </c:val>
          <c:smooth val="0"/>
          <c:extLst>
            <c:ext xmlns:c16="http://schemas.microsoft.com/office/drawing/2014/chart" uri="{C3380CC4-5D6E-409C-BE32-E72D297353CC}">
              <c16:uniqueId val="{00000011-BBC6-4DB9-A803-1275A88FB58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3.4008761640868412E-2</c:v>
                </c:pt>
                <c:pt idx="1">
                  <c:v>-1.9305848624185939E-3</c:v>
                </c:pt>
                <c:pt idx="2">
                  <c:v>-3.4953015760385897E-2</c:v>
                </c:pt>
                <c:pt idx="3">
                  <c:v>8.7259595388720079E-3</c:v>
                </c:pt>
                <c:pt idx="4">
                  <c:v>-5.8511205569357072E-3</c:v>
                </c:pt>
              </c:numCache>
            </c:numRef>
          </c:val>
          <c:smooth val="0"/>
          <c:extLst>
            <c:ext xmlns:c16="http://schemas.microsoft.com/office/drawing/2014/chart" uri="{C3380CC4-5D6E-409C-BE32-E72D297353CC}">
              <c16:uniqueId val="{00000012-BBC6-4DB9-A803-1275A88FB58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2.9875063473280727E-2</c:v>
                </c:pt>
                <c:pt idx="1">
                  <c:v>-1.1827140199713981E-2</c:v>
                </c:pt>
                <c:pt idx="2">
                  <c:v>-2.2130864294412245E-2</c:v>
                </c:pt>
                <c:pt idx="3">
                  <c:v>1.5047613278438288E-2</c:v>
                </c:pt>
                <c:pt idx="4">
                  <c:v>-1.0964672257592789E-2</c:v>
                </c:pt>
              </c:numCache>
            </c:numRef>
          </c:val>
          <c:smooth val="0"/>
          <c:extLst>
            <c:ext xmlns:c16="http://schemas.microsoft.com/office/drawing/2014/chart" uri="{C3380CC4-5D6E-409C-BE32-E72D297353CC}">
              <c16:uniqueId val="{00000013-BBC6-4DB9-A803-1275A88FB58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2.4125287774197091E-2</c:v>
                </c:pt>
                <c:pt idx="1">
                  <c:v>-7.4182127005086862E-3</c:v>
                </c:pt>
                <c:pt idx="2">
                  <c:v>-8.1206736202034113E-3</c:v>
                </c:pt>
                <c:pt idx="3">
                  <c:v>-3.6681232024796673E-3</c:v>
                </c:pt>
                <c:pt idx="4">
                  <c:v>-4.918278251006214E-3</c:v>
                </c:pt>
              </c:numCache>
            </c:numRef>
          </c:val>
          <c:smooth val="0"/>
          <c:extLst>
            <c:ext xmlns:c16="http://schemas.microsoft.com/office/drawing/2014/chart" uri="{C3380CC4-5D6E-409C-BE32-E72D297353CC}">
              <c16:uniqueId val="{00000014-BBC6-4DB9-A803-1275A88FB58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5.0288915037650428E-2</c:v>
                </c:pt>
                <c:pt idx="1">
                  <c:v>-1.6036261098589355E-2</c:v>
                </c:pt>
                <c:pt idx="2">
                  <c:v>-2.2909140640375192E-2</c:v>
                </c:pt>
                <c:pt idx="3">
                  <c:v>1.2924898572171717E-2</c:v>
                </c:pt>
                <c:pt idx="4">
                  <c:v>-2.4268411870857598E-2</c:v>
                </c:pt>
              </c:numCache>
            </c:numRef>
          </c:val>
          <c:smooth val="0"/>
          <c:extLst>
            <c:ext xmlns:c16="http://schemas.microsoft.com/office/drawing/2014/chart" uri="{C3380CC4-5D6E-409C-BE32-E72D297353CC}">
              <c16:uniqueId val="{00000015-BBC6-4DB9-A803-1275A88FB58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4.9969307855785905E-2</c:v>
                </c:pt>
                <c:pt idx="1">
                  <c:v>2.2899724793987719E-3</c:v>
                </c:pt>
                <c:pt idx="2">
                  <c:v>-2.8799901764544056E-2</c:v>
                </c:pt>
                <c:pt idx="3">
                  <c:v>-2.1140187736296001E-3</c:v>
                </c:pt>
                <c:pt idx="4">
                  <c:v>-2.134535979701091E-2</c:v>
                </c:pt>
              </c:numCache>
            </c:numRef>
          </c:val>
          <c:smooth val="0"/>
          <c:extLst>
            <c:ext xmlns:c16="http://schemas.microsoft.com/office/drawing/2014/chart" uri="{C3380CC4-5D6E-409C-BE32-E72D297353CC}">
              <c16:uniqueId val="{00000016-BBC6-4DB9-A803-1275A88FB58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4.3147908197882945E-2</c:v>
                </c:pt>
                <c:pt idx="1">
                  <c:v>-1.8008418392348902E-2</c:v>
                </c:pt>
                <c:pt idx="2">
                  <c:v>-1.881685594003335E-2</c:v>
                </c:pt>
                <c:pt idx="3">
                  <c:v>2.6579229540136362E-2</c:v>
                </c:pt>
                <c:pt idx="4">
                  <c:v>-3.2901863405636722E-2</c:v>
                </c:pt>
              </c:numCache>
            </c:numRef>
          </c:val>
          <c:smooth val="0"/>
          <c:extLst>
            <c:ext xmlns:c16="http://schemas.microsoft.com/office/drawing/2014/chart" uri="{C3380CC4-5D6E-409C-BE32-E72D297353CC}">
              <c16:uniqueId val="{00000017-BBC6-4DB9-A803-1275A88FB58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8.1188381396389842E-2</c:v>
                </c:pt>
                <c:pt idx="1">
                  <c:v>-2.5601302426444872E-2</c:v>
                </c:pt>
                <c:pt idx="2">
                  <c:v>-3.4726239255131186E-2</c:v>
                </c:pt>
                <c:pt idx="3">
                  <c:v>3.0935156068479408E-2</c:v>
                </c:pt>
                <c:pt idx="4">
                  <c:v>-5.1795995783293192E-2</c:v>
                </c:pt>
              </c:numCache>
            </c:numRef>
          </c:val>
          <c:smooth val="0"/>
          <c:extLst>
            <c:ext xmlns:c16="http://schemas.microsoft.com/office/drawing/2014/chart" uri="{C3380CC4-5D6E-409C-BE32-E72D297353CC}">
              <c16:uniqueId val="{00000018-BBC6-4DB9-A803-1275A88FB58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0.10725004417256212</c:v>
                </c:pt>
                <c:pt idx="1">
                  <c:v>1.6306074960369621E-2</c:v>
                </c:pt>
                <c:pt idx="2">
                  <c:v>-2.70267401648151E-2</c:v>
                </c:pt>
                <c:pt idx="3">
                  <c:v>2.1463182559736005E-2</c:v>
                </c:pt>
                <c:pt idx="4">
                  <c:v>-0.11799256152785242</c:v>
                </c:pt>
              </c:numCache>
            </c:numRef>
          </c:val>
          <c:smooth val="0"/>
          <c:extLst>
            <c:ext xmlns:c16="http://schemas.microsoft.com/office/drawing/2014/chart" uri="{C3380CC4-5D6E-409C-BE32-E72D297353CC}">
              <c16:uniqueId val="{00000019-BBC6-4DB9-A803-1275A88FB58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0.14417633035501609</c:v>
                </c:pt>
                <c:pt idx="1">
                  <c:v>-1.7194700649635908E-2</c:v>
                </c:pt>
                <c:pt idx="2">
                  <c:v>-3.0218009312976912E-2</c:v>
                </c:pt>
                <c:pt idx="3">
                  <c:v>3.0832027724787547E-3</c:v>
                </c:pt>
                <c:pt idx="4">
                  <c:v>-9.9846823164882692E-2</c:v>
                </c:pt>
              </c:numCache>
            </c:numRef>
          </c:val>
          <c:smooth val="0"/>
          <c:extLst>
            <c:ext xmlns:c16="http://schemas.microsoft.com/office/drawing/2014/chart" uri="{C3380CC4-5D6E-409C-BE32-E72D297353CC}">
              <c16:uniqueId val="{0000001A-BBC6-4DB9-A803-1275A88FB58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0.14747181364131445</c:v>
                </c:pt>
                <c:pt idx="1">
                  <c:v>-6.9889413311614579E-3</c:v>
                </c:pt>
                <c:pt idx="2">
                  <c:v>-3.8490079579240666E-2</c:v>
                </c:pt>
                <c:pt idx="3">
                  <c:v>-3.8370489937298191E-2</c:v>
                </c:pt>
                <c:pt idx="4">
                  <c:v>-6.3622302793614027E-2</c:v>
                </c:pt>
              </c:numCache>
            </c:numRef>
          </c:val>
          <c:smooth val="0"/>
          <c:extLst>
            <c:ext xmlns:c16="http://schemas.microsoft.com/office/drawing/2014/chart" uri="{C3380CC4-5D6E-409C-BE32-E72D297353CC}">
              <c16:uniqueId val="{0000001B-BBC6-4DB9-A803-1275A88FB58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0.13982258407784931</c:v>
                </c:pt>
                <c:pt idx="1">
                  <c:v>-6.0415600646630763E-2</c:v>
                </c:pt>
                <c:pt idx="2">
                  <c:v>-6.0814084596331197E-3</c:v>
                </c:pt>
                <c:pt idx="3">
                  <c:v>-6.106313706489408E-2</c:v>
                </c:pt>
                <c:pt idx="4">
                  <c:v>-1.2262437906691459E-2</c:v>
                </c:pt>
              </c:numCache>
            </c:numRef>
          </c:val>
          <c:smooth val="0"/>
          <c:extLst>
            <c:ext xmlns:c16="http://schemas.microsoft.com/office/drawing/2014/chart" uri="{C3380CC4-5D6E-409C-BE32-E72D297353CC}">
              <c16:uniqueId val="{0000001C-BBC6-4DB9-A803-1275A88FB58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0.15144522660034787</c:v>
                </c:pt>
                <c:pt idx="1">
                  <c:v>-7.4125846891243241E-2</c:v>
                </c:pt>
                <c:pt idx="2">
                  <c:v>-1.8691068818128653E-2</c:v>
                </c:pt>
                <c:pt idx="3">
                  <c:v>2.5268689330178784E-2</c:v>
                </c:pt>
                <c:pt idx="4">
                  <c:v>-8.3897000221154983E-2</c:v>
                </c:pt>
              </c:numCache>
            </c:numRef>
          </c:val>
          <c:smooth val="0"/>
          <c:extLst>
            <c:ext xmlns:c16="http://schemas.microsoft.com/office/drawing/2014/chart" uri="{C3380CC4-5D6E-409C-BE32-E72D297353CC}">
              <c16:uniqueId val="{0000001D-BBC6-4DB9-A803-1275A88FB58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0.20140532799438504</c:v>
                </c:pt>
                <c:pt idx="1">
                  <c:v>-6.3320898777032064E-2</c:v>
                </c:pt>
                <c:pt idx="2">
                  <c:v>-3.3684868179504002E-2</c:v>
                </c:pt>
                <c:pt idx="3">
                  <c:v>-3.1765930127125586E-3</c:v>
                </c:pt>
                <c:pt idx="4">
                  <c:v>-0.10122296802513708</c:v>
                </c:pt>
              </c:numCache>
            </c:numRef>
          </c:val>
          <c:smooth val="0"/>
          <c:extLst>
            <c:ext xmlns:c16="http://schemas.microsoft.com/office/drawing/2014/chart" uri="{C3380CC4-5D6E-409C-BE32-E72D297353CC}">
              <c16:uniqueId val="{0000001E-BBC6-4DB9-A803-1275A88FB58D}"/>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175.87961619200075</c:v>
                </c:pt>
                <c:pt idx="1">
                  <c:v>284.70214717885551</c:v>
                </c:pt>
                <c:pt idx="2">
                  <c:v>428.21111373473616</c:v>
                </c:pt>
                <c:pt idx="3">
                  <c:v>584.27699058925737</c:v>
                </c:pt>
                <c:pt idx="4">
                  <c:v>777.79598736961543</c:v>
                </c:pt>
                <c:pt idx="5">
                  <c:v>999.51139356177782</c:v>
                </c:pt>
                <c:pt idx="6">
                  <c:v>1238.9604700427483</c:v>
                </c:pt>
                <c:pt idx="7">
                  <c:v>1508.4796616181011</c:v>
                </c:pt>
                <c:pt idx="8">
                  <c:v>1810.371065813526</c:v>
                </c:pt>
                <c:pt idx="9">
                  <c:v>2124.2249290281388</c:v>
                </c:pt>
                <c:pt idx="10">
                  <c:v>2443.0207668471403</c:v>
                </c:pt>
                <c:pt idx="11">
                  <c:v>2779.4117328844559</c:v>
                </c:pt>
                <c:pt idx="12">
                  <c:v>3124.0063070618526</c:v>
                </c:pt>
                <c:pt idx="13">
                  <c:v>3470.8049694302613</c:v>
                </c:pt>
                <c:pt idx="14">
                  <c:v>3821.8563152622628</c:v>
                </c:pt>
                <c:pt idx="15">
                  <c:v>4197.4154507012709</c:v>
                </c:pt>
                <c:pt idx="16">
                  <c:v>4620.5116590186817</c:v>
                </c:pt>
                <c:pt idx="17">
                  <c:v>5115.2457938669695</c:v>
                </c:pt>
                <c:pt idx="18">
                  <c:v>5683.7895727299174</c:v>
                </c:pt>
                <c:pt idx="19">
                  <c:v>6299.5724572098361</c:v>
                </c:pt>
                <c:pt idx="20">
                  <c:v>6974.131046705872</c:v>
                </c:pt>
                <c:pt idx="21">
                  <c:v>7686.8041254964737</c:v>
                </c:pt>
                <c:pt idx="22">
                  <c:v>8462.54736857838</c:v>
                </c:pt>
                <c:pt idx="23">
                  <c:v>9325.0063374091787</c:v>
                </c:pt>
                <c:pt idx="24">
                  <c:v>10160.368172154711</c:v>
                </c:pt>
                <c:pt idx="25">
                  <c:v>10960.525899563219</c:v>
                </c:pt>
                <c:pt idx="26">
                  <c:v>11869.245667291703</c:v>
                </c:pt>
                <c:pt idx="27">
                  <c:v>10064.103075010064</c:v>
                </c:pt>
                <c:pt idx="28">
                  <c:v>15895.418171796442</c:v>
                </c:pt>
                <c:pt idx="29">
                  <c:v>24999.999999999996</c:v>
                </c:pt>
              </c:numCache>
            </c:numRef>
          </c:yVal>
          <c:smooth val="1"/>
          <c:extLst>
            <c:ext xmlns:c16="http://schemas.microsoft.com/office/drawing/2014/chart" uri="{C3380CC4-5D6E-409C-BE32-E72D297353CC}">
              <c16:uniqueId val="{00000000-47F6-4963-BC5B-EA0E3B84A074}"/>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19</xdr:col>
      <xdr:colOff>568185</xdr:colOff>
      <xdr:row>70</xdr:row>
      <xdr:rowOff>149652</xdr:rowOff>
    </xdr:from>
    <xdr:to>
      <xdr:col>29</xdr:col>
      <xdr:colOff>555225</xdr:colOff>
      <xdr:row>78</xdr:row>
      <xdr:rowOff>103984</xdr:rowOff>
    </xdr:to>
    <xdr:sp macro="" textlink="">
      <xdr:nvSpPr>
        <xdr:cNvPr id="2" name="Text Frame 1">
          <a:extLst>
            <a:ext uri="{FF2B5EF4-FFF2-40B4-BE49-F238E27FC236}">
              <a16:creationId xmlns:a16="http://schemas.microsoft.com/office/drawing/2014/main" id="{1396723B-533A-4FFD-99B0-0DB6F39B54C1}"/>
            </a:ext>
          </a:extLst>
        </xdr:cNvPr>
        <xdr:cNvSpPr txBox="1"/>
      </xdr:nvSpPr>
      <xdr:spPr>
        <a:xfrm>
          <a:off x="16284435" y="12333828"/>
          <a:ext cx="8226165" cy="1326951"/>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3" name="Chart 2">
          <a:extLst>
            <a:ext uri="{FF2B5EF4-FFF2-40B4-BE49-F238E27FC236}">
              <a16:creationId xmlns:a16="http://schemas.microsoft.com/office/drawing/2014/main" id="{668AC87C-305B-41D2-BC8C-69946CE73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2" name="Chart 1">
          <a:extLst>
            <a:ext uri="{FF2B5EF4-FFF2-40B4-BE49-F238E27FC236}">
              <a16:creationId xmlns:a16="http://schemas.microsoft.com/office/drawing/2014/main" id="{32571181-4161-4FF3-821D-E3ADEAE01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54051337-C623-4342-A74E-FD48B50F7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05EB75E2-DF06-4D6F-A4AF-F0BCDBEF2AA3}"/>
            </a:ext>
          </a:extLst>
        </xdr:cNvPr>
        <xdr:cNvSpPr txBox="1"/>
      </xdr:nvSpPr>
      <xdr:spPr>
        <a:xfrm>
          <a:off x="15507540" y="522474"/>
          <a:ext cx="5139578" cy="76264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17</xdr:row>
      <xdr:rowOff>75050</xdr:rowOff>
    </xdr:to>
    <xdr:graphicFrame macro="">
      <xdr:nvGraphicFramePr>
        <xdr:cNvPr id="2" name="Chart 1">
          <a:extLst>
            <a:ext uri="{FF2B5EF4-FFF2-40B4-BE49-F238E27FC236}">
              <a16:creationId xmlns:a16="http://schemas.microsoft.com/office/drawing/2014/main" id="{2E80EEA8-6592-430A-B70C-3CAC7D8F5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48095-E982-4EC7-9B34-26CA7F285F7D}">
  <sheetPr codeName="Sheet4"/>
  <dimension ref="A1:AMJ128"/>
  <sheetViews>
    <sheetView zoomScale="70" zoomScaleNormal="70" workbookViewId="0">
      <selection activeCell="A2" sqref="A2"/>
    </sheetView>
  </sheetViews>
  <sheetFormatPr defaultColWidth="11.53125" defaultRowHeight="12.75" x14ac:dyDescent="0.35"/>
  <cols>
    <col min="1" max="1" width="22.9296875" customWidth="1"/>
    <col min="2" max="2" width="17.1328125" customWidth="1"/>
  </cols>
  <sheetData>
    <row r="1" spans="1:1024" ht="67.150000000000006" customHeight="1" thickBot="1" x14ac:dyDescent="0.4">
      <c r="A1" s="1" t="s">
        <v>182</v>
      </c>
      <c r="B1" s="2"/>
      <c r="C1" s="3"/>
      <c r="D1" s="3"/>
      <c r="E1" s="3"/>
      <c r="F1" s="3"/>
      <c r="G1" s="3"/>
      <c r="H1" s="2"/>
      <c r="I1" s="2"/>
      <c r="J1" s="2"/>
      <c r="K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row>
    <row r="2" spans="1:1024" ht="18.399999999999999" x14ac:dyDescent="0.7">
      <c r="D2" s="4" t="s">
        <v>0</v>
      </c>
      <c r="L2" s="5" t="s">
        <v>1</v>
      </c>
      <c r="M2" s="6"/>
      <c r="N2" s="6"/>
      <c r="O2" s="6"/>
      <c r="P2" s="6" t="s">
        <v>2</v>
      </c>
      <c r="Q2" s="7">
        <v>0.89</v>
      </c>
      <c r="R2" s="8" t="s">
        <v>3</v>
      </c>
    </row>
    <row r="3" spans="1:1024" ht="15.75" x14ac:dyDescent="0.5">
      <c r="A3" s="9" t="s">
        <v>4</v>
      </c>
      <c r="B3" s="10" t="s">
        <v>5</v>
      </c>
      <c r="C3" s="10"/>
      <c r="E3" s="11" t="s">
        <v>6</v>
      </c>
      <c r="F3" s="12">
        <v>1</v>
      </c>
      <c r="G3" s="13"/>
      <c r="H3" s="13"/>
      <c r="L3" s="14" t="s">
        <v>7</v>
      </c>
      <c r="M3" s="15"/>
      <c r="N3" s="15"/>
      <c r="O3" s="15"/>
      <c r="P3" s="12">
        <v>1</v>
      </c>
      <c r="Q3" s="12">
        <v>90</v>
      </c>
      <c r="R3" s="16" t="s">
        <v>8</v>
      </c>
    </row>
    <row r="4" spans="1:1024" ht="13.15" x14ac:dyDescent="0.4">
      <c r="A4" s="10" t="s">
        <v>9</v>
      </c>
      <c r="B4" s="17">
        <v>46202</v>
      </c>
      <c r="C4" s="10"/>
      <c r="E4" s="11" t="s">
        <v>10</v>
      </c>
      <c r="F4" s="13">
        <v>0.86799999999999999</v>
      </c>
      <c r="G4" s="13"/>
      <c r="H4" s="13"/>
      <c r="L4" s="18" t="s">
        <v>11</v>
      </c>
      <c r="M4" s="19" t="s">
        <v>12</v>
      </c>
      <c r="N4" s="19" t="s">
        <v>13</v>
      </c>
      <c r="O4" s="19" t="s">
        <v>14</v>
      </c>
      <c r="P4" s="19" t="s">
        <v>15</v>
      </c>
      <c r="Q4" s="19" t="s">
        <v>16</v>
      </c>
      <c r="R4" s="16"/>
    </row>
    <row r="5" spans="1:1024" ht="13.15" x14ac:dyDescent="0.4">
      <c r="A5" s="10" t="s">
        <v>17</v>
      </c>
      <c r="B5" s="20" t="s">
        <v>18</v>
      </c>
      <c r="C5" s="10"/>
      <c r="L5" s="21">
        <v>1.5</v>
      </c>
      <c r="M5" s="22">
        <v>67392.070000000007</v>
      </c>
      <c r="N5" s="22"/>
      <c r="O5" s="22">
        <v>67392.070000000007</v>
      </c>
      <c r="P5" s="22">
        <f>O5*P$3</f>
        <v>67392.070000000007</v>
      </c>
      <c r="Q5" s="22">
        <f>P5*Q$2*Q$3</f>
        <v>5398104.807000001</v>
      </c>
      <c r="R5" s="16"/>
    </row>
    <row r="6" spans="1:1024" ht="13.15" x14ac:dyDescent="0.4">
      <c r="A6" s="10" t="s">
        <v>19</v>
      </c>
      <c r="B6" s="23" t="s">
        <v>126</v>
      </c>
      <c r="C6" s="24"/>
      <c r="E6" s="15" t="s">
        <v>20</v>
      </c>
      <c r="F6" s="19" t="s">
        <v>21</v>
      </c>
      <c r="G6" s="19" t="s">
        <v>22</v>
      </c>
      <c r="H6" s="19" t="s">
        <v>23</v>
      </c>
      <c r="I6" s="19" t="s">
        <v>24</v>
      </c>
      <c r="L6" s="21">
        <v>2</v>
      </c>
      <c r="M6" s="22">
        <v>41165</v>
      </c>
      <c r="N6" s="22"/>
      <c r="O6" s="22">
        <v>41165</v>
      </c>
      <c r="P6" s="22">
        <f t="shared" ref="P6:P34" si="0">O6*P$3</f>
        <v>41165</v>
      </c>
      <c r="Q6" s="22">
        <f t="shared" ref="Q6:Q34" si="1">P6*Q$2*Q$3</f>
        <v>3297316.5</v>
      </c>
      <c r="R6" s="16"/>
    </row>
    <row r="7" spans="1:1024" ht="13.15" x14ac:dyDescent="0.4">
      <c r="A7" s="10" t="s">
        <v>25</v>
      </c>
      <c r="B7" s="25" t="s">
        <v>127</v>
      </c>
      <c r="C7" s="10"/>
      <c r="E7" s="11" t="s">
        <v>27</v>
      </c>
      <c r="F7" s="13">
        <f>$F3*$F4*100</f>
        <v>86.8</v>
      </c>
      <c r="G7" s="13">
        <f>$F3*$F4*100</f>
        <v>86.8</v>
      </c>
      <c r="H7" s="13">
        <f>$F3*$F4*100</f>
        <v>86.8</v>
      </c>
      <c r="I7" s="13">
        <f>$F3*$F4*100</f>
        <v>86.8</v>
      </c>
      <c r="L7" s="21">
        <v>3</v>
      </c>
      <c r="M7" s="22">
        <v>17975.47</v>
      </c>
      <c r="N7" s="22">
        <v>17634.099999999999</v>
      </c>
      <c r="O7" s="22">
        <v>17975.47</v>
      </c>
      <c r="P7" s="22">
        <f t="shared" si="0"/>
        <v>17975.47</v>
      </c>
      <c r="Q7" s="22">
        <f t="shared" si="1"/>
        <v>1439835.1470000001</v>
      </c>
      <c r="R7" s="16"/>
    </row>
    <row r="8" spans="1:1024" ht="13.15" x14ac:dyDescent="0.4">
      <c r="A8" s="10" t="s">
        <v>28</v>
      </c>
      <c r="B8" s="23" t="s">
        <v>126</v>
      </c>
      <c r="C8" s="10"/>
      <c r="E8" s="11" t="s">
        <v>29</v>
      </c>
      <c r="F8" s="12">
        <v>26.08</v>
      </c>
      <c r="G8" s="12">
        <v>26.08</v>
      </c>
      <c r="H8" s="12">
        <v>26.11</v>
      </c>
      <c r="I8" s="12">
        <v>26.16</v>
      </c>
      <c r="L8" s="21">
        <v>4</v>
      </c>
      <c r="M8" s="22">
        <v>10898.56</v>
      </c>
      <c r="N8" s="22">
        <v>10750.3</v>
      </c>
      <c r="O8" s="22">
        <v>10898.56</v>
      </c>
      <c r="P8" s="22">
        <f t="shared" si="0"/>
        <v>10898.56</v>
      </c>
      <c r="Q8" s="22">
        <f t="shared" si="1"/>
        <v>872974.65599999996</v>
      </c>
      <c r="R8" s="16"/>
    </row>
    <row r="9" spans="1:1024" ht="13.15" x14ac:dyDescent="0.4">
      <c r="A9" s="10" t="s">
        <v>30</v>
      </c>
      <c r="B9" s="25" t="s">
        <v>127</v>
      </c>
      <c r="C9" s="10"/>
      <c r="E9" s="26" t="s">
        <v>31</v>
      </c>
      <c r="F9" s="27">
        <f>(1/$F$3-1)*F8</f>
        <v>0</v>
      </c>
      <c r="G9" s="27">
        <f>(1/$F$3-1)*G8</f>
        <v>0</v>
      </c>
      <c r="H9" s="27">
        <f>(1/$F$3-1)*H8</f>
        <v>0</v>
      </c>
      <c r="I9" s="27">
        <f>(1/$F$3-1)*I8</f>
        <v>0</v>
      </c>
      <c r="L9" s="21">
        <v>5</v>
      </c>
      <c r="M9" s="22">
        <v>6986.32</v>
      </c>
      <c r="N9" s="22">
        <v>7121.1</v>
      </c>
      <c r="O9" s="22">
        <v>6986.32</v>
      </c>
      <c r="P9" s="22">
        <f t="shared" si="0"/>
        <v>6986.32</v>
      </c>
      <c r="Q9" s="22">
        <f t="shared" si="1"/>
        <v>559604.23199999996</v>
      </c>
      <c r="R9" s="16"/>
    </row>
    <row r="10" spans="1:1024" ht="13.15" x14ac:dyDescent="0.4">
      <c r="A10" s="24" t="s">
        <v>32</v>
      </c>
      <c r="B10" s="25" t="s">
        <v>181</v>
      </c>
      <c r="C10" s="10"/>
      <c r="E10" s="11" t="s">
        <v>33</v>
      </c>
      <c r="F10" s="28">
        <v>61</v>
      </c>
      <c r="G10" s="28">
        <v>61.18</v>
      </c>
      <c r="H10" s="28">
        <v>61.2</v>
      </c>
      <c r="I10" s="28">
        <v>61.09</v>
      </c>
      <c r="L10" s="21">
        <v>6</v>
      </c>
      <c r="M10" s="22">
        <v>4679.6499999999996</v>
      </c>
      <c r="N10" s="22">
        <v>4729.1000000000004</v>
      </c>
      <c r="O10" s="22">
        <v>4679.6499999999996</v>
      </c>
      <c r="P10" s="22">
        <f t="shared" si="0"/>
        <v>4679.6499999999996</v>
      </c>
      <c r="Q10" s="22">
        <f t="shared" si="1"/>
        <v>374839.96500000003</v>
      </c>
      <c r="R10" s="16"/>
    </row>
    <row r="11" spans="1:1024" x14ac:dyDescent="0.35">
      <c r="B11" s="29"/>
      <c r="E11" s="11" t="s">
        <v>34</v>
      </c>
      <c r="F11" s="30">
        <f>IF($F3=1, 1, F8/(F8+F10))</f>
        <v>1</v>
      </c>
      <c r="G11" s="30">
        <f>IF($F3=1, 1, G8/(G8+G10))</f>
        <v>1</v>
      </c>
      <c r="H11" s="30">
        <f>IF($F3=1, 1, H8/(H8+H10))</f>
        <v>1</v>
      </c>
      <c r="I11" s="30">
        <f>IF($F3=1, 1, I8/(I8+I10))</f>
        <v>1</v>
      </c>
      <c r="L11" s="21">
        <v>7</v>
      </c>
      <c r="M11" s="22">
        <v>3163.23</v>
      </c>
      <c r="N11" s="22">
        <v>3199.3</v>
      </c>
      <c r="O11" s="22">
        <v>3163.23</v>
      </c>
      <c r="P11" s="22">
        <f t="shared" si="0"/>
        <v>3163.23</v>
      </c>
      <c r="Q11" s="22">
        <f t="shared" si="1"/>
        <v>253374.723</v>
      </c>
      <c r="R11" s="16"/>
    </row>
    <row r="12" spans="1:1024" ht="13.9" x14ac:dyDescent="0.4">
      <c r="A12" s="10" t="s">
        <v>35</v>
      </c>
      <c r="B12" s="31">
        <v>80</v>
      </c>
      <c r="C12" s="10"/>
      <c r="L12" s="21">
        <v>8</v>
      </c>
      <c r="M12" s="22">
        <v>2175.4699999999998</v>
      </c>
      <c r="N12" s="22">
        <v>2280.6</v>
      </c>
      <c r="O12" s="22">
        <v>2175.4699999999998</v>
      </c>
      <c r="P12" s="22">
        <f t="shared" si="0"/>
        <v>2175.4699999999998</v>
      </c>
      <c r="Q12" s="22">
        <f t="shared" si="1"/>
        <v>174255.147</v>
      </c>
      <c r="R12" s="16"/>
    </row>
    <row r="13" spans="1:1024" hidden="1" x14ac:dyDescent="0.35">
      <c r="B13" s="29"/>
      <c r="L13" s="32">
        <v>9</v>
      </c>
      <c r="M13" s="22">
        <v>1512.11</v>
      </c>
      <c r="N13" s="22">
        <v>1615</v>
      </c>
      <c r="O13" s="22">
        <v>1512.11</v>
      </c>
      <c r="P13" s="22">
        <f t="shared" si="0"/>
        <v>1512.11</v>
      </c>
      <c r="Q13" s="22">
        <f t="shared" si="1"/>
        <v>121120.01099999998</v>
      </c>
      <c r="R13" s="16"/>
    </row>
    <row r="14" spans="1:1024" x14ac:dyDescent="0.35">
      <c r="A14" t="s">
        <v>36</v>
      </c>
      <c r="B14" s="29">
        <f>B12*1.5</f>
        <v>120</v>
      </c>
      <c r="L14" s="21">
        <v>10</v>
      </c>
      <c r="M14" s="22">
        <v>1079.78</v>
      </c>
      <c r="N14" s="22">
        <v>1130.5</v>
      </c>
      <c r="O14" s="22">
        <v>1079.78</v>
      </c>
      <c r="P14" s="22">
        <f t="shared" si="0"/>
        <v>1079.78</v>
      </c>
      <c r="Q14" s="22">
        <f t="shared" si="1"/>
        <v>86490.377999999997</v>
      </c>
      <c r="R14" s="16"/>
    </row>
    <row r="15" spans="1:1024" ht="13.5" x14ac:dyDescent="0.35">
      <c r="A15" t="s">
        <v>37</v>
      </c>
      <c r="B15" s="31">
        <v>16000</v>
      </c>
      <c r="L15" s="21">
        <v>11</v>
      </c>
      <c r="M15" s="22">
        <v>786.62</v>
      </c>
      <c r="N15" s="22">
        <v>816.2</v>
      </c>
      <c r="O15" s="22">
        <v>786.62</v>
      </c>
      <c r="P15" s="22">
        <f t="shared" si="0"/>
        <v>786.62</v>
      </c>
      <c r="Q15" s="22">
        <f t="shared" si="1"/>
        <v>63008.262000000002</v>
      </c>
      <c r="R15" s="16"/>
    </row>
    <row r="16" spans="1:1024" x14ac:dyDescent="0.35">
      <c r="A16" t="s">
        <v>38</v>
      </c>
      <c r="B16" s="33">
        <f>10^((LOG(B15)-LOG(B14))/(30-1))</f>
        <v>1.1837874992800483</v>
      </c>
      <c r="L16" s="21">
        <v>12</v>
      </c>
      <c r="M16" s="22">
        <v>586.05999999999995</v>
      </c>
      <c r="N16" s="22">
        <v>618.6</v>
      </c>
      <c r="O16" s="22">
        <v>586.05999999999995</v>
      </c>
      <c r="P16" s="22">
        <f t="shared" si="0"/>
        <v>586.05999999999995</v>
      </c>
      <c r="Q16" s="22">
        <f t="shared" si="1"/>
        <v>46943.405999999995</v>
      </c>
      <c r="R16" s="16"/>
    </row>
    <row r="17" spans="1:18" x14ac:dyDescent="0.35">
      <c r="L17" s="21">
        <v>13</v>
      </c>
      <c r="M17" s="22">
        <v>449.93</v>
      </c>
      <c r="N17" s="22">
        <v>481.9</v>
      </c>
      <c r="O17" s="22">
        <v>449.93</v>
      </c>
      <c r="P17" s="22">
        <f t="shared" si="0"/>
        <v>449.93</v>
      </c>
      <c r="Q17" s="22">
        <f t="shared" si="1"/>
        <v>36039.393000000004</v>
      </c>
      <c r="R17" s="16"/>
    </row>
    <row r="18" spans="1:18" x14ac:dyDescent="0.35">
      <c r="A18" s="15" t="s">
        <v>39</v>
      </c>
      <c r="B18" s="15" t="s">
        <v>40</v>
      </c>
      <c r="C18" s="15" t="s">
        <v>41</v>
      </c>
      <c r="D18" s="15" t="s">
        <v>42</v>
      </c>
      <c r="L18" s="21">
        <v>14</v>
      </c>
      <c r="M18" s="22">
        <v>352.62</v>
      </c>
      <c r="N18" s="22">
        <v>384.7</v>
      </c>
      <c r="O18" s="22">
        <v>352.62</v>
      </c>
      <c r="P18" s="22">
        <f t="shared" si="0"/>
        <v>352.62</v>
      </c>
      <c r="Q18" s="22">
        <f t="shared" si="1"/>
        <v>28244.861999999997</v>
      </c>
      <c r="R18" s="16"/>
    </row>
    <row r="19" spans="1:18" x14ac:dyDescent="0.35">
      <c r="A19">
        <v>4</v>
      </c>
      <c r="B19" s="34">
        <f>B12*1.5</f>
        <v>120</v>
      </c>
      <c r="C19" s="22">
        <f t="shared" ref="C19:C48" si="2">INT($B19+0.5)</f>
        <v>120</v>
      </c>
      <c r="D19" s="22">
        <f t="shared" ref="D19:D47" si="3">D20*B$16</f>
        <v>16000.000000000053</v>
      </c>
      <c r="E19" s="15" t="s">
        <v>43</v>
      </c>
      <c r="L19" s="21">
        <v>15</v>
      </c>
      <c r="M19" s="22">
        <v>282.04000000000002</v>
      </c>
      <c r="N19" s="22">
        <v>314.60000000000002</v>
      </c>
      <c r="O19" s="22">
        <v>282.04000000000002</v>
      </c>
      <c r="P19" s="22">
        <f t="shared" si="0"/>
        <v>282.04000000000002</v>
      </c>
      <c r="Q19" s="22">
        <f t="shared" si="1"/>
        <v>22591.404000000002</v>
      </c>
      <c r="R19" s="16"/>
    </row>
    <row r="20" spans="1:18" x14ac:dyDescent="0.35">
      <c r="A20">
        <v>5</v>
      </c>
      <c r="B20" s="34">
        <f t="shared" ref="B20:B48" si="4">B19*B$16</f>
        <v>142.05449991360581</v>
      </c>
      <c r="C20" s="22">
        <f t="shared" si="2"/>
        <v>142</v>
      </c>
      <c r="D20" s="22">
        <f t="shared" si="3"/>
        <v>13515.939313205179</v>
      </c>
      <c r="L20" s="21">
        <v>16</v>
      </c>
      <c r="M20" s="22">
        <v>229.42</v>
      </c>
      <c r="N20" s="22">
        <v>261.8</v>
      </c>
      <c r="O20" s="22">
        <v>229.42</v>
      </c>
      <c r="P20" s="22">
        <f t="shared" si="0"/>
        <v>229.42</v>
      </c>
      <c r="Q20" s="22">
        <f t="shared" si="1"/>
        <v>18376.541999999998</v>
      </c>
      <c r="R20" s="16"/>
    </row>
    <row r="21" spans="1:18" x14ac:dyDescent="0.35">
      <c r="A21">
        <v>6</v>
      </c>
      <c r="B21" s="34">
        <f t="shared" si="4"/>
        <v>168.16234121420527</v>
      </c>
      <c r="C21" s="22">
        <f t="shared" si="2"/>
        <v>168</v>
      </c>
      <c r="D21" s="22">
        <f t="shared" si="3"/>
        <v>11417.538469890293</v>
      </c>
      <c r="L21" s="21">
        <v>17</v>
      </c>
      <c r="M21" s="22">
        <v>186.1</v>
      </c>
      <c r="N21" s="22">
        <v>221.2</v>
      </c>
      <c r="O21" s="22">
        <v>186.1</v>
      </c>
      <c r="P21" s="22">
        <f t="shared" si="0"/>
        <v>186.1</v>
      </c>
      <c r="Q21" s="22">
        <f t="shared" si="1"/>
        <v>14906.609999999999</v>
      </c>
      <c r="R21" s="16"/>
    </row>
    <row r="22" spans="1:18" x14ac:dyDescent="0.35">
      <c r="A22">
        <v>7</v>
      </c>
      <c r="B22" s="34">
        <f t="shared" si="4"/>
        <v>199.06847737904226</v>
      </c>
      <c r="C22" s="22">
        <f t="shared" si="2"/>
        <v>199</v>
      </c>
      <c r="D22" s="22">
        <f t="shared" si="3"/>
        <v>9644.9223165763869</v>
      </c>
      <c r="L22" s="21">
        <v>18</v>
      </c>
      <c r="M22" s="22">
        <v>153.87</v>
      </c>
      <c r="N22" s="22">
        <v>188.7</v>
      </c>
      <c r="O22" s="22">
        <v>153.87</v>
      </c>
      <c r="P22" s="22">
        <f t="shared" si="0"/>
        <v>153.87</v>
      </c>
      <c r="Q22" s="22">
        <f t="shared" si="1"/>
        <v>12324.986999999999</v>
      </c>
      <c r="R22" s="16"/>
    </row>
    <row r="23" spans="1:18" x14ac:dyDescent="0.35">
      <c r="A23">
        <v>8</v>
      </c>
      <c r="B23" s="34">
        <f t="shared" si="4"/>
        <v>235.6547750220233</v>
      </c>
      <c r="C23" s="22">
        <f t="shared" si="2"/>
        <v>236</v>
      </c>
      <c r="D23" s="22">
        <f t="shared" si="3"/>
        <v>8147.5115444640205</v>
      </c>
      <c r="L23" s="21">
        <v>19</v>
      </c>
      <c r="M23" s="22">
        <v>128.62</v>
      </c>
      <c r="N23" s="22">
        <v>161</v>
      </c>
      <c r="O23" s="22">
        <v>128.62</v>
      </c>
      <c r="P23" s="22">
        <f t="shared" si="0"/>
        <v>128.62</v>
      </c>
      <c r="Q23" s="22">
        <f t="shared" si="1"/>
        <v>10302.462</v>
      </c>
      <c r="R23" s="16"/>
    </row>
    <row r="24" spans="1:18" x14ac:dyDescent="0.35">
      <c r="A24">
        <v>9</v>
      </c>
      <c r="B24" s="34">
        <f t="shared" si="4"/>
        <v>278.96517681672339</v>
      </c>
      <c r="C24" s="22">
        <f t="shared" si="2"/>
        <v>279</v>
      </c>
      <c r="D24" s="22">
        <f t="shared" si="3"/>
        <v>6882.5794742883709</v>
      </c>
      <c r="L24" s="21">
        <v>20</v>
      </c>
      <c r="M24" s="22">
        <v>107.35</v>
      </c>
      <c r="N24" s="22">
        <v>136.4</v>
      </c>
      <c r="O24" s="22">
        <v>107.35</v>
      </c>
      <c r="P24" s="22">
        <f t="shared" si="0"/>
        <v>107.35</v>
      </c>
      <c r="Q24" s="22">
        <f t="shared" si="1"/>
        <v>8598.7350000000006</v>
      </c>
      <c r="R24" s="16"/>
    </row>
    <row r="25" spans="1:18" x14ac:dyDescent="0.35">
      <c r="A25">
        <v>10</v>
      </c>
      <c r="B25" s="34">
        <f t="shared" si="4"/>
        <v>330.2354890500855</v>
      </c>
      <c r="C25" s="22">
        <f t="shared" si="2"/>
        <v>330</v>
      </c>
      <c r="D25" s="22">
        <f t="shared" si="3"/>
        <v>5814.0329057995577</v>
      </c>
      <c r="E25" s="34"/>
      <c r="F25" s="34"/>
      <c r="L25" s="21">
        <v>21</v>
      </c>
      <c r="M25" s="22">
        <v>88.64</v>
      </c>
      <c r="N25" s="22">
        <v>114.4</v>
      </c>
      <c r="O25" s="22">
        <v>88.64</v>
      </c>
      <c r="P25" s="22">
        <f t="shared" si="0"/>
        <v>88.64</v>
      </c>
      <c r="Q25" s="22">
        <f t="shared" si="1"/>
        <v>7100.0640000000003</v>
      </c>
      <c r="R25" s="16"/>
    </row>
    <row r="26" spans="1:18" x14ac:dyDescent="0.35">
      <c r="A26">
        <v>11</v>
      </c>
      <c r="B26" s="34">
        <f t="shared" si="4"/>
        <v>390.92864375612453</v>
      </c>
      <c r="C26" s="22">
        <f t="shared" si="2"/>
        <v>391</v>
      </c>
      <c r="D26" s="22">
        <f t="shared" si="3"/>
        <v>4911.3822449852833</v>
      </c>
      <c r="E26" s="34"/>
      <c r="F26" s="34"/>
      <c r="L26" s="21">
        <v>22</v>
      </c>
      <c r="M26" s="22">
        <v>75.56</v>
      </c>
      <c r="N26" s="22">
        <v>95.3</v>
      </c>
      <c r="O26" s="22">
        <v>75.56</v>
      </c>
      <c r="P26" s="22">
        <f t="shared" si="0"/>
        <v>75.56</v>
      </c>
      <c r="Q26" s="22">
        <f t="shared" si="1"/>
        <v>6052.3560000000007</v>
      </c>
      <c r="R26" s="16"/>
    </row>
    <row r="27" spans="1:18" x14ac:dyDescent="0.35">
      <c r="A27">
        <v>12</v>
      </c>
      <c r="B27" s="34">
        <f t="shared" si="4"/>
        <v>462.77644158900353</v>
      </c>
      <c r="C27" s="22">
        <f t="shared" si="2"/>
        <v>463</v>
      </c>
      <c r="D27" s="22">
        <f t="shared" si="3"/>
        <v>4148.8715229483923</v>
      </c>
      <c r="E27" s="34"/>
      <c r="F27" s="34"/>
      <c r="L27" s="21">
        <v>23</v>
      </c>
      <c r="M27" s="22">
        <v>61.94</v>
      </c>
      <c r="N27" s="22">
        <v>79</v>
      </c>
      <c r="O27" s="22">
        <v>61.94</v>
      </c>
      <c r="P27" s="22">
        <f t="shared" si="0"/>
        <v>61.94</v>
      </c>
      <c r="Q27" s="22">
        <f t="shared" si="1"/>
        <v>4961.3939999999993</v>
      </c>
      <c r="R27" s="16"/>
    </row>
    <row r="28" spans="1:18" x14ac:dyDescent="0.35">
      <c r="A28">
        <v>13</v>
      </c>
      <c r="B28" s="34">
        <f t="shared" si="4"/>
        <v>547.82896651436579</v>
      </c>
      <c r="C28" s="22">
        <f t="shared" si="2"/>
        <v>548</v>
      </c>
      <c r="D28" s="22">
        <f t="shared" si="3"/>
        <v>3504.7434826534645</v>
      </c>
      <c r="E28" s="34"/>
      <c r="F28" s="34"/>
      <c r="L28" s="21">
        <v>24</v>
      </c>
      <c r="M28" s="22">
        <v>50.86</v>
      </c>
      <c r="N28" s="22">
        <v>65.3</v>
      </c>
      <c r="O28" s="22">
        <v>50.86</v>
      </c>
      <c r="P28" s="22">
        <f t="shared" si="0"/>
        <v>50.86</v>
      </c>
      <c r="Q28" s="22">
        <f t="shared" si="1"/>
        <v>4073.886</v>
      </c>
      <c r="R28" s="16"/>
    </row>
    <row r="29" spans="1:18" x14ac:dyDescent="0.35">
      <c r="A29">
        <v>14</v>
      </c>
      <c r="B29" s="34">
        <f t="shared" si="4"/>
        <v>648.51308230321445</v>
      </c>
      <c r="C29" s="22">
        <f t="shared" si="2"/>
        <v>649</v>
      </c>
      <c r="D29" s="22">
        <f t="shared" si="3"/>
        <v>2960.618763743465</v>
      </c>
      <c r="E29" s="34"/>
      <c r="F29" s="34"/>
      <c r="L29" s="21">
        <v>25</v>
      </c>
      <c r="M29" s="22">
        <v>41.61</v>
      </c>
      <c r="N29" s="22">
        <v>53.8</v>
      </c>
      <c r="O29" s="22">
        <v>41.61</v>
      </c>
      <c r="P29" s="22">
        <f t="shared" si="0"/>
        <v>41.61</v>
      </c>
      <c r="Q29" s="22">
        <f t="shared" si="1"/>
        <v>3332.9609999999998</v>
      </c>
      <c r="R29" s="16"/>
    </row>
    <row r="30" spans="1:18" x14ac:dyDescent="0.35">
      <c r="A30">
        <v>15</v>
      </c>
      <c r="B30" s="34">
        <f t="shared" si="4"/>
        <v>767.70167995011843</v>
      </c>
      <c r="C30" s="22">
        <f t="shared" si="2"/>
        <v>768</v>
      </c>
      <c r="D30" s="22">
        <f t="shared" si="3"/>
        <v>2500.9714712683176</v>
      </c>
      <c r="E30" s="34"/>
      <c r="F30" s="34"/>
      <c r="L30" s="21">
        <v>26</v>
      </c>
      <c r="M30" s="22">
        <v>33.44</v>
      </c>
      <c r="N30" s="22">
        <v>44.6</v>
      </c>
      <c r="O30" s="22">
        <v>33.44</v>
      </c>
      <c r="P30" s="22">
        <f t="shared" si="0"/>
        <v>33.44</v>
      </c>
      <c r="Q30" s="22">
        <f t="shared" si="1"/>
        <v>2678.5439999999999</v>
      </c>
      <c r="R30" s="16"/>
    </row>
    <row r="31" spans="1:18" x14ac:dyDescent="0.35">
      <c r="A31">
        <v>16</v>
      </c>
      <c r="B31" s="34">
        <f t="shared" si="4"/>
        <v>908.79565190124276</v>
      </c>
      <c r="C31" s="22">
        <f t="shared" si="2"/>
        <v>909</v>
      </c>
      <c r="D31" s="22">
        <f t="shared" si="3"/>
        <v>2112.6861643574962</v>
      </c>
      <c r="E31" s="34"/>
      <c r="F31" s="34"/>
      <c r="L31" s="21">
        <v>27</v>
      </c>
      <c r="M31" s="22">
        <v>26.08</v>
      </c>
      <c r="N31" s="22">
        <v>37</v>
      </c>
      <c r="O31" s="22">
        <v>26.08</v>
      </c>
      <c r="P31" s="22">
        <f t="shared" si="0"/>
        <v>26.08</v>
      </c>
      <c r="Q31" s="22">
        <f t="shared" si="1"/>
        <v>2089.0079999999998</v>
      </c>
      <c r="R31" s="16"/>
    </row>
    <row r="32" spans="1:18" x14ac:dyDescent="0.35">
      <c r="A32">
        <v>17</v>
      </c>
      <c r="B32" s="34">
        <f t="shared" si="4"/>
        <v>1075.8209321207535</v>
      </c>
      <c r="C32" s="22">
        <f t="shared" si="2"/>
        <v>1076</v>
      </c>
      <c r="D32" s="22">
        <f t="shared" si="3"/>
        <v>1784.683624081503</v>
      </c>
      <c r="E32" s="34"/>
      <c r="F32" s="34"/>
      <c r="L32" s="21">
        <v>28</v>
      </c>
      <c r="M32" s="22">
        <v>20.41</v>
      </c>
      <c r="N32" s="22">
        <v>30.7</v>
      </c>
      <c r="O32" s="22">
        <v>20.41</v>
      </c>
      <c r="P32" s="22">
        <f t="shared" si="0"/>
        <v>20.41</v>
      </c>
      <c r="Q32" s="22">
        <f t="shared" si="1"/>
        <v>1634.8409999999999</v>
      </c>
      <c r="R32" s="16"/>
    </row>
    <row r="33" spans="1:18" x14ac:dyDescent="0.35">
      <c r="A33">
        <v>18</v>
      </c>
      <c r="B33" s="34">
        <f t="shared" si="4"/>
        <v>1273.5433709083575</v>
      </c>
      <c r="C33" s="22">
        <f t="shared" si="2"/>
        <v>1274</v>
      </c>
      <c r="D33" s="22">
        <f t="shared" si="3"/>
        <v>1507.6047222722875</v>
      </c>
      <c r="E33" s="34"/>
      <c r="F33" s="34"/>
      <c r="L33" s="21">
        <v>29</v>
      </c>
      <c r="M33" s="22">
        <v>16.39</v>
      </c>
      <c r="N33" s="22">
        <v>25.2</v>
      </c>
      <c r="O33" s="22">
        <v>16.39</v>
      </c>
      <c r="P33" s="22">
        <f t="shared" si="0"/>
        <v>16.39</v>
      </c>
      <c r="Q33" s="22">
        <f t="shared" si="1"/>
        <v>1312.8390000000002</v>
      </c>
      <c r="R33" s="16"/>
    </row>
    <row r="34" spans="1:18" ht="13.15" thickBot="1" x14ac:dyDescent="0.4">
      <c r="A34">
        <v>19</v>
      </c>
      <c r="B34" s="34">
        <f t="shared" si="4"/>
        <v>1507.6047222722875</v>
      </c>
      <c r="C34" s="22">
        <f t="shared" si="2"/>
        <v>1508</v>
      </c>
      <c r="D34" s="22">
        <f t="shared" si="3"/>
        <v>1273.5433709083575</v>
      </c>
      <c r="E34" s="34"/>
      <c r="F34" s="34"/>
      <c r="L34" s="35">
        <v>30</v>
      </c>
      <c r="M34" s="36">
        <v>13.94</v>
      </c>
      <c r="N34" s="36">
        <v>20.100000000000001</v>
      </c>
      <c r="O34" s="36">
        <v>13.94</v>
      </c>
      <c r="P34" s="36">
        <f t="shared" si="0"/>
        <v>13.94</v>
      </c>
      <c r="Q34" s="36">
        <f t="shared" si="1"/>
        <v>1116.5939999999998</v>
      </c>
      <c r="R34" s="37"/>
    </row>
    <row r="35" spans="1:18" x14ac:dyDescent="0.35">
      <c r="A35">
        <v>20</v>
      </c>
      <c r="B35" s="34">
        <f t="shared" si="4"/>
        <v>1784.683624081503</v>
      </c>
      <c r="C35" s="22">
        <f t="shared" si="2"/>
        <v>1785</v>
      </c>
      <c r="D35" s="22">
        <f t="shared" si="3"/>
        <v>1075.8209321207535</v>
      </c>
      <c r="E35" s="34"/>
      <c r="F35" s="34"/>
    </row>
    <row r="36" spans="1:18" x14ac:dyDescent="0.35">
      <c r="A36">
        <v>21</v>
      </c>
      <c r="B36" s="34">
        <f t="shared" si="4"/>
        <v>2112.6861643574962</v>
      </c>
      <c r="C36" s="22">
        <f t="shared" si="2"/>
        <v>2113</v>
      </c>
      <c r="D36" s="22">
        <f t="shared" si="3"/>
        <v>908.79565190124276</v>
      </c>
      <c r="E36" s="34"/>
      <c r="F36" s="34"/>
    </row>
    <row r="37" spans="1:18" x14ac:dyDescent="0.35">
      <c r="A37">
        <v>22</v>
      </c>
      <c r="B37" s="34">
        <f t="shared" si="4"/>
        <v>2500.9714712683176</v>
      </c>
      <c r="C37" s="22">
        <f t="shared" si="2"/>
        <v>2501</v>
      </c>
      <c r="D37" s="22">
        <f t="shared" si="3"/>
        <v>767.70167995011843</v>
      </c>
      <c r="E37" s="34"/>
      <c r="F37" s="34"/>
    </row>
    <row r="38" spans="1:18" x14ac:dyDescent="0.35">
      <c r="A38">
        <v>23</v>
      </c>
      <c r="B38" s="34">
        <f t="shared" si="4"/>
        <v>2960.618763743465</v>
      </c>
      <c r="C38" s="22">
        <f t="shared" si="2"/>
        <v>2961</v>
      </c>
      <c r="D38" s="22">
        <f t="shared" si="3"/>
        <v>648.51308230321445</v>
      </c>
      <c r="E38" s="34"/>
      <c r="F38" s="34"/>
    </row>
    <row r="39" spans="1:18" x14ac:dyDescent="0.35">
      <c r="A39">
        <v>24</v>
      </c>
      <c r="B39" s="34">
        <f t="shared" si="4"/>
        <v>3504.7434826534645</v>
      </c>
      <c r="C39" s="22">
        <f t="shared" si="2"/>
        <v>3505</v>
      </c>
      <c r="D39" s="22">
        <f t="shared" si="3"/>
        <v>547.82896651436579</v>
      </c>
    </row>
    <row r="40" spans="1:18" x14ac:dyDescent="0.35">
      <c r="A40">
        <v>25</v>
      </c>
      <c r="B40" s="34">
        <f t="shared" si="4"/>
        <v>4148.8715229483923</v>
      </c>
      <c r="C40" s="22">
        <f t="shared" si="2"/>
        <v>4149</v>
      </c>
      <c r="D40" s="22">
        <f t="shared" si="3"/>
        <v>462.77644158900353</v>
      </c>
    </row>
    <row r="41" spans="1:18" x14ac:dyDescent="0.35">
      <c r="A41">
        <v>26</v>
      </c>
      <c r="B41" s="34">
        <f t="shared" si="4"/>
        <v>4911.3822449852833</v>
      </c>
      <c r="C41" s="22">
        <f t="shared" si="2"/>
        <v>4911</v>
      </c>
      <c r="D41" s="22">
        <f t="shared" si="3"/>
        <v>390.92864375612453</v>
      </c>
    </row>
    <row r="42" spans="1:18" x14ac:dyDescent="0.35">
      <c r="A42">
        <v>27</v>
      </c>
      <c r="B42" s="34">
        <f t="shared" si="4"/>
        <v>5814.0329057995577</v>
      </c>
      <c r="C42" s="22">
        <f t="shared" si="2"/>
        <v>5814</v>
      </c>
      <c r="D42" s="22">
        <f t="shared" si="3"/>
        <v>330.2354890500855</v>
      </c>
    </row>
    <row r="43" spans="1:18" x14ac:dyDescent="0.35">
      <c r="A43">
        <v>28</v>
      </c>
      <c r="B43" s="34">
        <f t="shared" si="4"/>
        <v>6882.5794742883709</v>
      </c>
      <c r="C43" s="22">
        <f t="shared" si="2"/>
        <v>6883</v>
      </c>
      <c r="D43" s="22">
        <f t="shared" si="3"/>
        <v>278.96517681672339</v>
      </c>
    </row>
    <row r="44" spans="1:18" x14ac:dyDescent="0.35">
      <c r="A44">
        <v>29</v>
      </c>
      <c r="B44" s="34">
        <f t="shared" si="4"/>
        <v>8147.5115444640205</v>
      </c>
      <c r="C44" s="22">
        <f t="shared" si="2"/>
        <v>8148</v>
      </c>
      <c r="D44" s="22">
        <f t="shared" si="3"/>
        <v>235.6547750220233</v>
      </c>
    </row>
    <row r="45" spans="1:18" x14ac:dyDescent="0.35">
      <c r="A45">
        <v>30</v>
      </c>
      <c r="B45" s="34">
        <f t="shared" si="4"/>
        <v>9644.9223165763869</v>
      </c>
      <c r="C45" s="22">
        <f t="shared" si="2"/>
        <v>9645</v>
      </c>
      <c r="D45" s="22">
        <f t="shared" si="3"/>
        <v>199.06847737904226</v>
      </c>
    </row>
    <row r="46" spans="1:18" x14ac:dyDescent="0.35">
      <c r="A46">
        <v>38</v>
      </c>
      <c r="B46" s="34">
        <f t="shared" si="4"/>
        <v>11417.538469890293</v>
      </c>
      <c r="C46" s="22">
        <f t="shared" si="2"/>
        <v>11418</v>
      </c>
      <c r="D46" s="22">
        <f t="shared" si="3"/>
        <v>168.16234121420527</v>
      </c>
    </row>
    <row r="47" spans="1:18" x14ac:dyDescent="0.35">
      <c r="A47">
        <v>50</v>
      </c>
      <c r="B47" s="34">
        <f t="shared" si="4"/>
        <v>13515.939313205179</v>
      </c>
      <c r="C47" s="22">
        <f t="shared" si="2"/>
        <v>13516</v>
      </c>
      <c r="D47" s="22">
        <f t="shared" si="3"/>
        <v>142.05449991360581</v>
      </c>
    </row>
    <row r="48" spans="1:18" x14ac:dyDescent="0.35">
      <c r="A48">
        <v>70</v>
      </c>
      <c r="B48" s="34">
        <f t="shared" si="4"/>
        <v>16000.000000000053</v>
      </c>
      <c r="C48" s="22">
        <f t="shared" si="2"/>
        <v>16000</v>
      </c>
      <c r="D48" s="22">
        <f>$B$12*1.5</f>
        <v>120</v>
      </c>
      <c r="E48" s="15" t="s">
        <v>44</v>
      </c>
    </row>
    <row r="49" spans="1:31" x14ac:dyDescent="0.35">
      <c r="C49" s="15"/>
      <c r="E49" s="34"/>
      <c r="F49" s="22"/>
      <c r="G49" s="22"/>
    </row>
    <row r="50" spans="1:31" ht="13.15" x14ac:dyDescent="0.4">
      <c r="B50" s="19" t="s">
        <v>45</v>
      </c>
      <c r="E50" s="22"/>
    </row>
    <row r="51" spans="1:31" x14ac:dyDescent="0.35">
      <c r="A51" s="15" t="s">
        <v>46</v>
      </c>
      <c r="B51" s="22">
        <v>4</v>
      </c>
      <c r="C51" s="22">
        <v>5</v>
      </c>
      <c r="D51" s="22">
        <v>6</v>
      </c>
      <c r="E51" s="22">
        <v>7</v>
      </c>
      <c r="F51" s="22">
        <v>8</v>
      </c>
      <c r="G51" s="22">
        <v>9</v>
      </c>
      <c r="H51" s="22">
        <v>10</v>
      </c>
      <c r="I51" s="22">
        <v>11</v>
      </c>
      <c r="J51" s="22">
        <v>12</v>
      </c>
      <c r="K51" s="22">
        <v>13</v>
      </c>
      <c r="L51" s="22">
        <v>14</v>
      </c>
      <c r="M51" s="22">
        <v>15</v>
      </c>
      <c r="N51" s="22">
        <v>16</v>
      </c>
      <c r="O51" s="22">
        <v>17</v>
      </c>
      <c r="P51" s="22">
        <v>18</v>
      </c>
      <c r="Q51" s="22">
        <v>19</v>
      </c>
      <c r="R51" s="22">
        <v>20</v>
      </c>
      <c r="S51" s="22">
        <v>21</v>
      </c>
      <c r="T51" s="22">
        <v>22</v>
      </c>
      <c r="U51" s="22">
        <v>23</v>
      </c>
      <c r="V51" s="22">
        <v>24</v>
      </c>
      <c r="W51" s="22">
        <v>25</v>
      </c>
      <c r="X51" s="22">
        <v>26</v>
      </c>
      <c r="Y51" s="22">
        <v>27</v>
      </c>
      <c r="Z51" s="22">
        <v>28</v>
      </c>
      <c r="AA51" s="22">
        <v>29</v>
      </c>
      <c r="AB51" s="22">
        <v>30</v>
      </c>
      <c r="AC51" s="22">
        <v>38</v>
      </c>
      <c r="AD51" s="22">
        <v>50</v>
      </c>
      <c r="AE51" s="22">
        <v>70</v>
      </c>
    </row>
    <row r="52" spans="1:31" ht="13.9" x14ac:dyDescent="0.4">
      <c r="A52" s="15" t="s">
        <v>47</v>
      </c>
      <c r="B52" s="118">
        <f>INT($B19+0.5)</f>
        <v>120</v>
      </c>
      <c r="C52" s="118">
        <f>INT($B20+0.5)</f>
        <v>142</v>
      </c>
      <c r="D52" s="118">
        <f>INT($B21+0.5)</f>
        <v>168</v>
      </c>
      <c r="E52" s="118">
        <f>INT($B22+0.5)</f>
        <v>199</v>
      </c>
      <c r="F52" s="118">
        <f>INT($B23+0.5)</f>
        <v>236</v>
      </c>
      <c r="G52" s="118">
        <f>INT($B24+0.5)</f>
        <v>279</v>
      </c>
      <c r="H52" s="118">
        <f>INT($B25+0.5)</f>
        <v>330</v>
      </c>
      <c r="I52" s="118">
        <f>INT($B26+0.5)</f>
        <v>391</v>
      </c>
      <c r="J52" s="118">
        <f>INT($B27+0.5)</f>
        <v>463</v>
      </c>
      <c r="K52" s="118">
        <f>INT($B28+0.5)</f>
        <v>548</v>
      </c>
      <c r="L52" s="118">
        <f>INT($B29+0.5)</f>
        <v>649</v>
      </c>
      <c r="M52" s="118">
        <f>INT($B30+0.5)</f>
        <v>768</v>
      </c>
      <c r="N52" s="118">
        <f>INT($B31+0.5)</f>
        <v>909</v>
      </c>
      <c r="O52" s="118">
        <f>INT($B32+0.5)</f>
        <v>1076</v>
      </c>
      <c r="P52" s="118">
        <f>INT($B33+0.5)</f>
        <v>1274</v>
      </c>
      <c r="Q52" s="118">
        <f>INT($B34+0.5)</f>
        <v>1508</v>
      </c>
      <c r="R52" s="118">
        <f>INT($B35+0.5)</f>
        <v>1785</v>
      </c>
      <c r="S52" s="118">
        <f>INT($B36+0.5)</f>
        <v>2113</v>
      </c>
      <c r="T52" s="118">
        <f>INT($B37+0.5)</f>
        <v>2501</v>
      </c>
      <c r="U52" s="118">
        <f>INT($B38+0.5)</f>
        <v>2961</v>
      </c>
      <c r="V52" s="118">
        <f>INT($B39+0.5)</f>
        <v>3505</v>
      </c>
      <c r="W52" s="118">
        <f>INT($B40+0.5)</f>
        <v>4149</v>
      </c>
      <c r="X52" s="118">
        <f>INT($B41+0.5)</f>
        <v>4911</v>
      </c>
      <c r="Y52" s="118">
        <f>INT($B42+0.5)</f>
        <v>5814</v>
      </c>
      <c r="Z52" s="118">
        <f>INT($B43+0.5)</f>
        <v>6883</v>
      </c>
      <c r="AA52" s="118">
        <f>INT($B44+0.5)</f>
        <v>8148</v>
      </c>
      <c r="AB52" s="118">
        <f>INT($B45+0.5)</f>
        <v>9645</v>
      </c>
      <c r="AC52" s="118">
        <f>INT($B46+0.5)</f>
        <v>11418</v>
      </c>
      <c r="AD52" s="118">
        <f>INT($B47+0.5)</f>
        <v>13516</v>
      </c>
      <c r="AE52" s="118">
        <f>INT($B48+0.5)</f>
        <v>16000</v>
      </c>
    </row>
    <row r="54" spans="1:31" ht="36.4" x14ac:dyDescent="0.35">
      <c r="B54" s="1" t="s">
        <v>48</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6"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1D5CF-FEC8-4B7E-8030-3ADC17EE5D96}">
  <sheetPr codeName="Sheet5"/>
  <dimension ref="A1:AW100"/>
  <sheetViews>
    <sheetView tabSelected="1" zoomScale="40" zoomScaleNormal="40" workbookViewId="0"/>
  </sheetViews>
  <sheetFormatPr defaultColWidth="11.53125" defaultRowHeight="12.75" x14ac:dyDescent="0.35"/>
  <cols>
    <col min="12" max="12" width="12.3984375" customWidth="1"/>
  </cols>
  <sheetData>
    <row r="1" spans="1:49" x14ac:dyDescent="0.35">
      <c r="A1" t="s">
        <v>49</v>
      </c>
    </row>
    <row r="2" spans="1:49" ht="40.15" x14ac:dyDescent="0.4">
      <c r="A2" s="120" t="s">
        <v>50</v>
      </c>
      <c r="B2" s="120"/>
      <c r="C2" s="120"/>
      <c r="D2" s="120"/>
      <c r="E2" s="120"/>
      <c r="H2" s="38" t="s">
        <v>51</v>
      </c>
    </row>
    <row r="3" spans="1:49" ht="13.15" x14ac:dyDescent="0.4">
      <c r="A3" t="s">
        <v>52</v>
      </c>
      <c r="B3" s="39" t="s">
        <v>26</v>
      </c>
      <c r="D3" t="s">
        <v>53</v>
      </c>
      <c r="E3" s="40">
        <f>'Clause 6'!$G$11</f>
        <v>1</v>
      </c>
    </row>
    <row r="4" spans="1:49" ht="18.100000000000001" customHeight="1" x14ac:dyDescent="1.05">
      <c r="A4" s="40" t="s">
        <v>9</v>
      </c>
      <c r="B4" s="41">
        <v>46202</v>
      </c>
      <c r="O4" s="42"/>
    </row>
    <row r="5" spans="1:49" ht="13.15" x14ac:dyDescent="0.4">
      <c r="A5" s="40" t="s">
        <v>4</v>
      </c>
      <c r="B5" s="43">
        <v>6003</v>
      </c>
      <c r="O5" s="44"/>
    </row>
    <row r="6" spans="1:49" ht="13.15" x14ac:dyDescent="0.4">
      <c r="A6" t="s">
        <v>54</v>
      </c>
      <c r="B6" s="45" t="str">
        <f ca="1">RIGHT(CELL("filename"),1)</f>
        <v>1</v>
      </c>
      <c r="C6" s="40"/>
      <c r="D6" s="40"/>
      <c r="E6" s="40"/>
      <c r="F6" s="40"/>
    </row>
    <row r="7" spans="1:49" ht="14.65" x14ac:dyDescent="0.5">
      <c r="B7" s="19" t="s">
        <v>55</v>
      </c>
      <c r="C7" s="19" t="s">
        <v>56</v>
      </c>
      <c r="D7" s="19" t="s">
        <v>57</v>
      </c>
      <c r="E7" s="19" t="s">
        <v>58</v>
      </c>
      <c r="F7" s="19" t="s">
        <v>59</v>
      </c>
      <c r="G7" s="19" t="s">
        <v>60</v>
      </c>
      <c r="H7" s="19" t="s">
        <v>61</v>
      </c>
      <c r="I7" s="19" t="s">
        <v>62</v>
      </c>
      <c r="J7" s="19" t="s">
        <v>63</v>
      </c>
      <c r="K7" s="19" t="s">
        <v>64</v>
      </c>
      <c r="L7" s="19" t="s">
        <v>65</v>
      </c>
      <c r="M7" s="19" t="s">
        <v>66</v>
      </c>
      <c r="O7" s="19" t="s">
        <v>55</v>
      </c>
      <c r="P7" s="19" t="s">
        <v>56</v>
      </c>
      <c r="Q7" s="19" t="s">
        <v>57</v>
      </c>
      <c r="R7" s="19" t="s">
        <v>58</v>
      </c>
      <c r="S7" s="19" t="s">
        <v>59</v>
      </c>
    </row>
    <row r="8" spans="1:49" ht="13.15" x14ac:dyDescent="0.4">
      <c r="A8" s="15" t="s">
        <v>67</v>
      </c>
      <c r="B8" s="34">
        <f>B52</f>
        <v>7.4394</v>
      </c>
      <c r="C8" s="34">
        <f t="shared" ref="C8:F8" si="0">C52</f>
        <v>8.3442000000000007</v>
      </c>
      <c r="D8" s="34">
        <f t="shared" si="0"/>
        <v>8.2882999999999996</v>
      </c>
      <c r="E8" s="34">
        <f t="shared" si="0"/>
        <v>8.3513999999999999</v>
      </c>
      <c r="F8" s="34">
        <f t="shared" si="0"/>
        <v>8.3496000000000006</v>
      </c>
      <c r="G8" s="47">
        <f>AVERAGE(B$8:F$8)*5</f>
        <v>40.772899999999993</v>
      </c>
      <c r="I8" s="48"/>
      <c r="K8" s="48"/>
    </row>
    <row r="9" spans="1:49" ht="13.15" x14ac:dyDescent="0.4">
      <c r="A9" s="15" t="s">
        <v>68</v>
      </c>
      <c r="B9" s="34">
        <f t="shared" ref="B9:F9" si="1">B53</f>
        <v>14608.8809</v>
      </c>
      <c r="C9" s="34">
        <f t="shared" si="1"/>
        <v>14726.0928</v>
      </c>
      <c r="D9" s="34">
        <f t="shared" si="1"/>
        <v>14734.098599999999</v>
      </c>
      <c r="E9" s="34">
        <f t="shared" si="1"/>
        <v>14654.0303</v>
      </c>
      <c r="F9" s="34">
        <f t="shared" si="1"/>
        <v>14670.570299999999</v>
      </c>
      <c r="G9" s="49">
        <f t="shared" ref="G9:G38" si="2">AVERAGE(B9:F9)</f>
        <v>14678.73458</v>
      </c>
      <c r="H9" s="50">
        <f t="shared" ref="H9:H38" si="3">G9*G$8</f>
        <v>598494.57715688192</v>
      </c>
      <c r="I9" s="48">
        <f t="shared" ref="I9:I38" si="4">STDEVP(B9:F9)/AVERAGE(B9:F9)</f>
        <v>3.1756354216069247E-3</v>
      </c>
      <c r="J9" s="48">
        <f t="shared" ref="J9:J38" si="5">IF(H9&gt;$A$43, $C$43, IF(H9&gt;$A$44, $C$44, IF(H9&gt;$A$45,$C$45,IF(H9&gt;$A$46,$C$46, IF(H9&gt;$A$47,$C$47,IF(H9&gt;$A$48,$C$48,$C$49))))))/100</f>
        <v>0.11</v>
      </c>
      <c r="K9" s="48">
        <f t="shared" ref="K9:K38" si="6">(MAX(B9:F9)-MIN(B9:F9))/G9</f>
        <v>8.5305514121503546E-3</v>
      </c>
      <c r="L9" s="22">
        <f>G9/'Clause 6'!$G$11</f>
        <v>14678.73458</v>
      </c>
      <c r="M9">
        <f t="shared" ref="M9:M38" si="7">COUNTA(B9:F9)</f>
        <v>5</v>
      </c>
      <c r="O9" s="51">
        <f>IF(ISNUMBER(B9), (B9/$G9-1), 0)</f>
        <v>-4.7588352810178369E-3</v>
      </c>
      <c r="P9" s="51">
        <f t="shared" ref="P9:S38" si="8">IF(ISNUMBER(C9), (C9/$G9-1), 0)</f>
        <v>3.2263148939641884E-3</v>
      </c>
      <c r="Q9" s="51">
        <f t="shared" si="8"/>
        <v>3.7717161311325853E-3</v>
      </c>
      <c r="R9" s="51">
        <f t="shared" si="8"/>
        <v>-1.6829979359160863E-3</v>
      </c>
      <c r="S9" s="51">
        <f t="shared" si="8"/>
        <v>-5.5619780816285047E-4</v>
      </c>
    </row>
    <row r="10" spans="1:49" ht="13.15" x14ac:dyDescent="0.4">
      <c r="A10" s="15" t="s">
        <v>69</v>
      </c>
      <c r="B10" s="34">
        <f t="shared" ref="B10:F10" si="9">B54</f>
        <v>12631.854499999999</v>
      </c>
      <c r="C10" s="34">
        <f t="shared" si="9"/>
        <v>12706.499</v>
      </c>
      <c r="D10" s="34">
        <f t="shared" si="9"/>
        <v>12753.3447</v>
      </c>
      <c r="E10" s="34">
        <f t="shared" si="9"/>
        <v>12662.604499999999</v>
      </c>
      <c r="F10" s="34">
        <f t="shared" si="9"/>
        <v>12666.1621</v>
      </c>
      <c r="G10" s="49">
        <f t="shared" si="2"/>
        <v>12684.09296</v>
      </c>
      <c r="H10" s="50">
        <f t="shared" si="3"/>
        <v>517167.2538487839</v>
      </c>
      <c r="I10" s="48">
        <f t="shared" si="4"/>
        <v>3.3093489383093054E-3</v>
      </c>
      <c r="J10" s="48">
        <f t="shared" si="5"/>
        <v>0.11</v>
      </c>
      <c r="K10" s="48">
        <f t="shared" si="6"/>
        <v>9.5781543373362494E-3</v>
      </c>
      <c r="L10" s="22">
        <f>G10/'Clause 6'!$G$11</f>
        <v>12684.09296</v>
      </c>
      <c r="M10">
        <f t="shared" si="7"/>
        <v>5</v>
      </c>
      <c r="O10" s="51">
        <f t="shared" ref="O10:O38" si="10">IF(ISNUMBER(B10), (B10/$G10-1), 0)</f>
        <v>-4.1184229857615939E-3</v>
      </c>
      <c r="P10" s="51">
        <f t="shared" si="8"/>
        <v>1.7664676591899742E-3</v>
      </c>
      <c r="Q10" s="51">
        <f t="shared" si="8"/>
        <v>5.459731351574737E-3</v>
      </c>
      <c r="R10" s="51">
        <f t="shared" si="8"/>
        <v>-1.6941266567318536E-3</v>
      </c>
      <c r="S10" s="51">
        <f t="shared" si="8"/>
        <v>-1.4136493682714857E-3</v>
      </c>
    </row>
    <row r="11" spans="1:49" ht="13.15" x14ac:dyDescent="0.4">
      <c r="A11" s="15" t="s">
        <v>70</v>
      </c>
      <c r="B11" s="34">
        <f t="shared" ref="B11:F11" si="11">B55</f>
        <v>10962.7793</v>
      </c>
      <c r="C11" s="34">
        <f t="shared" si="11"/>
        <v>10971.637699999999</v>
      </c>
      <c r="D11" s="34">
        <f t="shared" si="11"/>
        <v>11036.374</v>
      </c>
      <c r="E11" s="34">
        <f t="shared" si="11"/>
        <v>10959.198200000001</v>
      </c>
      <c r="F11" s="34">
        <f t="shared" si="11"/>
        <v>10981.7266</v>
      </c>
      <c r="G11" s="49">
        <f t="shared" si="2"/>
        <v>10982.34316</v>
      </c>
      <c r="H11" s="50">
        <f t="shared" si="3"/>
        <v>447781.97942836396</v>
      </c>
      <c r="I11" s="48">
        <f t="shared" si="4"/>
        <v>2.5601758590018809E-3</v>
      </c>
      <c r="J11" s="48">
        <f t="shared" si="5"/>
        <v>0.11</v>
      </c>
      <c r="K11" s="48">
        <f t="shared" si="6"/>
        <v>7.0272617487577276E-3</v>
      </c>
      <c r="L11" s="22">
        <f>G11/'Clause 6'!$G$11</f>
        <v>10982.34316</v>
      </c>
      <c r="M11">
        <f t="shared" si="7"/>
        <v>5</v>
      </c>
      <c r="O11" s="51">
        <f t="shared" si="10"/>
        <v>-1.7813921596673277E-3</v>
      </c>
      <c r="P11" s="51">
        <f t="shared" si="8"/>
        <v>-9.7478833469644144E-4</v>
      </c>
      <c r="Q11" s="51">
        <f t="shared" si="8"/>
        <v>4.9197916339740466E-3</v>
      </c>
      <c r="R11" s="51">
        <f t="shared" si="8"/>
        <v>-2.1074701147837382E-3</v>
      </c>
      <c r="S11" s="51">
        <f t="shared" si="8"/>
        <v>-5.6141024826650288E-5</v>
      </c>
    </row>
    <row r="12" spans="1:49" ht="13.15" x14ac:dyDescent="0.4">
      <c r="A12" s="15" t="s">
        <v>71</v>
      </c>
      <c r="B12" s="34">
        <f t="shared" ref="B12:F12" si="12">B56</f>
        <v>9498.5136999999995</v>
      </c>
      <c r="C12" s="34">
        <f t="shared" si="12"/>
        <v>9472.5244000000002</v>
      </c>
      <c r="D12" s="34">
        <f t="shared" si="12"/>
        <v>9550.8184000000001</v>
      </c>
      <c r="E12" s="34">
        <f t="shared" si="12"/>
        <v>9467.9120999999996</v>
      </c>
      <c r="F12" s="34">
        <f t="shared" si="12"/>
        <v>9480.7919999999995</v>
      </c>
      <c r="G12" s="49">
        <f t="shared" si="2"/>
        <v>9494.1121199999998</v>
      </c>
      <c r="H12" s="50">
        <f t="shared" si="3"/>
        <v>387102.48405754793</v>
      </c>
      <c r="I12" s="48">
        <f t="shared" si="4"/>
        <v>3.1825480015550953E-3</v>
      </c>
      <c r="J12" s="48">
        <f t="shared" si="5"/>
        <v>0.11</v>
      </c>
      <c r="K12" s="48">
        <f t="shared" si="6"/>
        <v>8.7323910811367752E-3</v>
      </c>
      <c r="L12" s="22">
        <f>G12/'Clause 6'!$G$11</f>
        <v>9494.1121199999998</v>
      </c>
      <c r="M12">
        <f t="shared" si="7"/>
        <v>5</v>
      </c>
      <c r="O12" s="51">
        <f t="shared" si="10"/>
        <v>4.6361154622642786E-4</v>
      </c>
      <c r="P12" s="51">
        <f t="shared" si="8"/>
        <v>-2.2738008280440702E-3</v>
      </c>
      <c r="Q12" s="51">
        <f t="shared" si="8"/>
        <v>5.9727838984062753E-3</v>
      </c>
      <c r="R12" s="51">
        <f t="shared" si="8"/>
        <v>-2.7596071827304947E-3</v>
      </c>
      <c r="S12" s="51">
        <f t="shared" si="8"/>
        <v>-1.4029874338581383E-3</v>
      </c>
    </row>
    <row r="13" spans="1:49" ht="13.15" x14ac:dyDescent="0.4">
      <c r="A13" s="15" t="s">
        <v>72</v>
      </c>
      <c r="B13" s="34">
        <f t="shared" ref="B13:F13" si="13">B57</f>
        <v>8179.5712999999996</v>
      </c>
      <c r="C13" s="34">
        <f t="shared" si="13"/>
        <v>8207.5136999999995</v>
      </c>
      <c r="D13" s="34">
        <f t="shared" si="13"/>
        <v>8228.4061999999994</v>
      </c>
      <c r="E13" s="34">
        <f t="shared" si="13"/>
        <v>8134.6953000000003</v>
      </c>
      <c r="F13" s="34">
        <f t="shared" si="13"/>
        <v>8167.1410999999998</v>
      </c>
      <c r="G13" s="49">
        <f t="shared" si="2"/>
        <v>8183.4655199999997</v>
      </c>
      <c r="H13" s="50">
        <f t="shared" si="3"/>
        <v>333663.62130040792</v>
      </c>
      <c r="I13" s="48">
        <f t="shared" si="4"/>
        <v>3.9627335689572047E-3</v>
      </c>
      <c r="J13" s="48">
        <f t="shared" si="5"/>
        <v>0.11</v>
      </c>
      <c r="K13" s="48">
        <f t="shared" si="6"/>
        <v>1.1451248834735622E-2</v>
      </c>
      <c r="L13" s="22">
        <f>G13/'Clause 6'!$G$11</f>
        <v>8183.4655199999997</v>
      </c>
      <c r="M13">
        <f t="shared" si="7"/>
        <v>5</v>
      </c>
      <c r="O13" s="51">
        <f t="shared" si="10"/>
        <v>-4.758644110471888E-4</v>
      </c>
      <c r="P13" s="51">
        <f t="shared" si="8"/>
        <v>2.9386303322507246E-3</v>
      </c>
      <c r="Q13" s="51">
        <f t="shared" si="8"/>
        <v>5.491644082835867E-3</v>
      </c>
      <c r="R13" s="51">
        <f t="shared" si="8"/>
        <v>-5.9596047518997164E-3</v>
      </c>
      <c r="S13" s="51">
        <f t="shared" si="8"/>
        <v>-1.9948052521396864E-3</v>
      </c>
    </row>
    <row r="14" spans="1:49" ht="13.15" x14ac:dyDescent="0.4">
      <c r="A14" s="15" t="s">
        <v>73</v>
      </c>
      <c r="B14" s="34">
        <f t="shared" ref="B14:F14" si="14">B58</f>
        <v>7004.0102999999999</v>
      </c>
      <c r="C14" s="34">
        <f t="shared" si="14"/>
        <v>7082.7124000000003</v>
      </c>
      <c r="D14" s="34">
        <f t="shared" si="14"/>
        <v>7076.9652999999998</v>
      </c>
      <c r="E14" s="34">
        <f t="shared" si="14"/>
        <v>6994.9135999999999</v>
      </c>
      <c r="F14" s="34">
        <f t="shared" si="14"/>
        <v>7015.6943000000001</v>
      </c>
      <c r="G14" s="49">
        <f t="shared" si="2"/>
        <v>7034.8591800000013</v>
      </c>
      <c r="H14" s="50">
        <f t="shared" si="3"/>
        <v>286831.60986022203</v>
      </c>
      <c r="I14" s="48">
        <f t="shared" si="4"/>
        <v>5.3101647961582418E-3</v>
      </c>
      <c r="J14" s="48">
        <f t="shared" si="5"/>
        <v>0.11</v>
      </c>
      <c r="K14" s="48">
        <f t="shared" si="6"/>
        <v>1.2480534116391577E-2</v>
      </c>
      <c r="L14" s="22">
        <f>G14/'Clause 6'!$G$11</f>
        <v>7034.8591800000013</v>
      </c>
      <c r="M14">
        <f t="shared" si="7"/>
        <v>5</v>
      </c>
      <c r="O14" s="51">
        <f t="shared" si="10"/>
        <v>-4.3851453470034052E-3</v>
      </c>
      <c r="P14" s="51">
        <f t="shared" si="8"/>
        <v>6.8022996303955807E-3</v>
      </c>
      <c r="Q14" s="51">
        <f t="shared" si="8"/>
        <v>5.9853536400138463E-3</v>
      </c>
      <c r="R14" s="51">
        <f t="shared" si="8"/>
        <v>-5.6782344859960254E-3</v>
      </c>
      <c r="S14" s="51">
        <f t="shared" si="8"/>
        <v>-2.7242734374109956E-3</v>
      </c>
    </row>
    <row r="15" spans="1:49" ht="13.15" x14ac:dyDescent="0.4">
      <c r="A15" s="15" t="s">
        <v>74</v>
      </c>
      <c r="B15" s="34">
        <f t="shared" ref="B15:F15" si="15">B59</f>
        <v>5954.3984</v>
      </c>
      <c r="C15" s="34">
        <f t="shared" si="15"/>
        <v>6046.7554</v>
      </c>
      <c r="D15" s="34">
        <f t="shared" si="15"/>
        <v>6030.9204</v>
      </c>
      <c r="E15" s="34">
        <f t="shared" si="15"/>
        <v>5974.0429999999997</v>
      </c>
      <c r="F15" s="34">
        <f t="shared" si="15"/>
        <v>5994.8149000000003</v>
      </c>
      <c r="G15" s="49">
        <f t="shared" si="2"/>
        <v>6000.18642</v>
      </c>
      <c r="H15" s="50">
        <f t="shared" si="3"/>
        <v>244645.00088401797</v>
      </c>
      <c r="I15" s="48">
        <f t="shared" si="4"/>
        <v>5.7357329538928496E-3</v>
      </c>
      <c r="J15" s="48">
        <f t="shared" si="5"/>
        <v>0.11</v>
      </c>
      <c r="K15" s="48">
        <f t="shared" si="6"/>
        <v>1.5392355092860594E-2</v>
      </c>
      <c r="L15" s="22">
        <f>G15/'Clause 6'!$G$11</f>
        <v>6000.18642</v>
      </c>
      <c r="M15">
        <f t="shared" si="7"/>
        <v>5</v>
      </c>
      <c r="O15" s="51">
        <f t="shared" si="10"/>
        <v>-7.6310995684030214E-3</v>
      </c>
      <c r="P15" s="51">
        <f t="shared" si="8"/>
        <v>7.7612555244574999E-3</v>
      </c>
      <c r="Q15" s="51">
        <f t="shared" si="8"/>
        <v>5.1221708541515643E-3</v>
      </c>
      <c r="R15" s="51">
        <f t="shared" si="8"/>
        <v>-4.3571012915295526E-3</v>
      </c>
      <c r="S15" s="51">
        <f t="shared" si="8"/>
        <v>-8.9522551867637912E-4</v>
      </c>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row>
    <row r="16" spans="1:49" ht="13.15" x14ac:dyDescent="0.4">
      <c r="A16" s="15" t="s">
        <v>75</v>
      </c>
      <c r="B16" s="34">
        <f t="shared" ref="B16:F16" si="16">B60</f>
        <v>5009.2798000000003</v>
      </c>
      <c r="C16" s="34">
        <f t="shared" si="16"/>
        <v>5107.7201999999997</v>
      </c>
      <c r="D16" s="34">
        <f t="shared" si="16"/>
        <v>5082.7866000000004</v>
      </c>
      <c r="E16" s="34">
        <f t="shared" si="16"/>
        <v>5020.2206999999999</v>
      </c>
      <c r="F16" s="34">
        <f t="shared" si="16"/>
        <v>5061.2313999999997</v>
      </c>
      <c r="G16" s="49">
        <f t="shared" si="2"/>
        <v>5056.2477399999998</v>
      </c>
      <c r="H16" s="50">
        <f t="shared" si="3"/>
        <v>206157.88347824596</v>
      </c>
      <c r="I16" s="48">
        <f t="shared" si="4"/>
        <v>7.3376952623443268E-3</v>
      </c>
      <c r="J16" s="48">
        <f t="shared" si="5"/>
        <v>0.11</v>
      </c>
      <c r="K16" s="48">
        <f t="shared" si="6"/>
        <v>1.9469061854156595E-2</v>
      </c>
      <c r="L16" s="22">
        <f>G16/'Clause 6'!$G$11</f>
        <v>5056.2477399999998</v>
      </c>
      <c r="M16">
        <f t="shared" si="7"/>
        <v>5</v>
      </c>
      <c r="O16" s="51">
        <f t="shared" si="10"/>
        <v>-9.2890899368787139E-3</v>
      </c>
      <c r="P16" s="51">
        <f t="shared" si="8"/>
        <v>1.017997191727793E-2</v>
      </c>
      <c r="Q16" s="51">
        <f t="shared" si="8"/>
        <v>5.2487262026446047E-3</v>
      </c>
      <c r="R16" s="51">
        <f t="shared" si="8"/>
        <v>-7.1252521341053088E-3</v>
      </c>
      <c r="S16" s="51">
        <f t="shared" si="8"/>
        <v>9.8564395106159886E-4</v>
      </c>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row>
    <row r="17" spans="1:49" ht="13.15" x14ac:dyDescent="0.4">
      <c r="A17" s="15" t="s">
        <v>76</v>
      </c>
      <c r="B17" s="34">
        <f t="shared" ref="B17:F17" si="17">B61</f>
        <v>4176.4951000000001</v>
      </c>
      <c r="C17" s="34">
        <f t="shared" si="17"/>
        <v>4255.7896000000001</v>
      </c>
      <c r="D17" s="34">
        <f t="shared" si="17"/>
        <v>4236.3837999999996</v>
      </c>
      <c r="E17" s="34">
        <f t="shared" si="17"/>
        <v>4181.8456999999999</v>
      </c>
      <c r="F17" s="34">
        <f t="shared" si="17"/>
        <v>4210.7456000000002</v>
      </c>
      <c r="G17" s="49">
        <f t="shared" si="2"/>
        <v>4212.2519599999996</v>
      </c>
      <c r="H17" s="50">
        <f t="shared" si="3"/>
        <v>171745.72793988395</v>
      </c>
      <c r="I17" s="48">
        <f t="shared" si="4"/>
        <v>7.2656356213866994E-3</v>
      </c>
      <c r="J17" s="48">
        <f t="shared" si="5"/>
        <v>0.11</v>
      </c>
      <c r="K17" s="48">
        <f t="shared" si="6"/>
        <v>1.8824728613812545E-2</v>
      </c>
      <c r="L17" s="22">
        <f>G17/'Clause 6'!$G$11</f>
        <v>4212.2519599999996</v>
      </c>
      <c r="M17">
        <f t="shared" si="7"/>
        <v>5</v>
      </c>
      <c r="O17" s="51">
        <f t="shared" si="10"/>
        <v>-8.4887752061250099E-3</v>
      </c>
      <c r="P17" s="51">
        <f t="shared" si="8"/>
        <v>1.0335953407687448E-2</v>
      </c>
      <c r="Q17" s="51">
        <f t="shared" si="8"/>
        <v>5.7289640385140839E-3</v>
      </c>
      <c r="R17" s="51">
        <f t="shared" si="8"/>
        <v>-7.2185283047502269E-3</v>
      </c>
      <c r="S17" s="51">
        <f t="shared" si="8"/>
        <v>-3.5761393532585117E-4</v>
      </c>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row>
    <row r="18" spans="1:49" ht="13.15" x14ac:dyDescent="0.4">
      <c r="A18" s="15" t="s">
        <v>77</v>
      </c>
      <c r="B18" s="34">
        <f t="shared" ref="B18:F18" si="18">B62</f>
        <v>3425.6008000000002</v>
      </c>
      <c r="C18" s="34">
        <f t="shared" si="18"/>
        <v>3502.9717000000001</v>
      </c>
      <c r="D18" s="34">
        <f t="shared" si="18"/>
        <v>3485.7939000000001</v>
      </c>
      <c r="E18" s="34">
        <f t="shared" si="18"/>
        <v>3430.9829</v>
      </c>
      <c r="F18" s="34">
        <f t="shared" si="18"/>
        <v>3454.0783999999999</v>
      </c>
      <c r="G18" s="49">
        <f t="shared" si="2"/>
        <v>3459.8855400000002</v>
      </c>
      <c r="H18" s="50">
        <f t="shared" si="3"/>
        <v>141069.56713386599</v>
      </c>
      <c r="I18" s="48">
        <f t="shared" si="4"/>
        <v>8.7400790683087298E-3</v>
      </c>
      <c r="J18" s="48">
        <f t="shared" si="5"/>
        <v>0.11</v>
      </c>
      <c r="K18" s="48">
        <f t="shared" si="6"/>
        <v>2.2362271556532441E-2</v>
      </c>
      <c r="L18" s="22">
        <f>G18/'Clause 6'!$G$11</f>
        <v>3459.8855400000002</v>
      </c>
      <c r="M18">
        <f t="shared" si="7"/>
        <v>5</v>
      </c>
      <c r="O18" s="51">
        <f t="shared" si="10"/>
        <v>-9.9092121989676762E-3</v>
      </c>
      <c r="P18" s="51">
        <f t="shared" si="8"/>
        <v>1.2453059357564689E-2</v>
      </c>
      <c r="Q18" s="51">
        <f t="shared" si="8"/>
        <v>7.4882130349318565E-3</v>
      </c>
      <c r="R18" s="51">
        <f t="shared" si="8"/>
        <v>-8.3536405080036902E-3</v>
      </c>
      <c r="S18" s="51">
        <f t="shared" si="8"/>
        <v>-1.6784196855252898E-3</v>
      </c>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row>
    <row r="19" spans="1:49" ht="13.15" x14ac:dyDescent="0.4">
      <c r="A19" s="15" t="s">
        <v>78</v>
      </c>
      <c r="B19" s="34">
        <f t="shared" ref="B19:F19" si="19">B63</f>
        <v>2755.8002999999999</v>
      </c>
      <c r="C19" s="34">
        <f t="shared" si="19"/>
        <v>2817.5084999999999</v>
      </c>
      <c r="D19" s="34">
        <f t="shared" si="19"/>
        <v>2818.5691000000002</v>
      </c>
      <c r="E19" s="34">
        <f t="shared" si="19"/>
        <v>2772.8454999999999</v>
      </c>
      <c r="F19" s="34">
        <f t="shared" si="19"/>
        <v>2788.4094</v>
      </c>
      <c r="G19" s="49">
        <f t="shared" si="2"/>
        <v>2790.6265599999997</v>
      </c>
      <c r="H19" s="50">
        <f t="shared" si="3"/>
        <v>113781.93766822397</v>
      </c>
      <c r="I19" s="48">
        <f t="shared" si="4"/>
        <v>8.8320688737327287E-3</v>
      </c>
      <c r="J19" s="48">
        <f t="shared" si="5"/>
        <v>0.11</v>
      </c>
      <c r="K19" s="48">
        <f t="shared" si="6"/>
        <v>2.2492726507985464E-2</v>
      </c>
      <c r="L19" s="22">
        <f>G19/'Clause 6'!$G$11</f>
        <v>2790.6265599999997</v>
      </c>
      <c r="M19">
        <f t="shared" si="7"/>
        <v>5</v>
      </c>
      <c r="O19" s="51">
        <f t="shared" si="10"/>
        <v>-1.2479727850078115E-2</v>
      </c>
      <c r="P19" s="51">
        <f t="shared" si="8"/>
        <v>9.6329406396820083E-3</v>
      </c>
      <c r="Q19" s="51">
        <f t="shared" si="8"/>
        <v>1.001299865790739E-2</v>
      </c>
      <c r="R19" s="51">
        <f t="shared" si="8"/>
        <v>-6.3717088681330969E-3</v>
      </c>
      <c r="S19" s="51">
        <f t="shared" si="8"/>
        <v>-7.9450257937763169E-4</v>
      </c>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row>
    <row r="20" spans="1:49" ht="13.15" x14ac:dyDescent="0.4">
      <c r="A20" s="15" t="s">
        <v>79</v>
      </c>
      <c r="B20" s="34">
        <f t="shared" ref="B20:F20" si="20">B64</f>
        <v>2195.9805000000001</v>
      </c>
      <c r="C20" s="34">
        <f t="shared" si="20"/>
        <v>2229.1628000000001</v>
      </c>
      <c r="D20" s="34">
        <f t="shared" si="20"/>
        <v>2238.8496</v>
      </c>
      <c r="E20" s="34">
        <f t="shared" si="20"/>
        <v>2201.0666999999999</v>
      </c>
      <c r="F20" s="34">
        <f t="shared" si="20"/>
        <v>2209.9045000000001</v>
      </c>
      <c r="G20" s="49">
        <f t="shared" si="2"/>
        <v>2214.9928199999999</v>
      </c>
      <c r="H20" s="50">
        <f t="shared" si="3"/>
        <v>90311.680750577987</v>
      </c>
      <c r="I20" s="48">
        <f t="shared" si="4"/>
        <v>7.421768116968543E-3</v>
      </c>
      <c r="J20" s="48">
        <f t="shared" si="5"/>
        <v>0.11</v>
      </c>
      <c r="K20" s="48">
        <f t="shared" si="6"/>
        <v>1.9354058222184164E-2</v>
      </c>
      <c r="L20" s="22">
        <f>G20/'Clause 6'!$G$11</f>
        <v>2214.9928199999999</v>
      </c>
      <c r="M20">
        <f t="shared" si="7"/>
        <v>5</v>
      </c>
      <c r="O20" s="51">
        <f t="shared" si="10"/>
        <v>-8.5834680041987355E-3</v>
      </c>
      <c r="P20" s="51">
        <f t="shared" si="8"/>
        <v>6.3973029041242135E-3</v>
      </c>
      <c r="Q20" s="51">
        <f t="shared" si="8"/>
        <v>1.0770590217985543E-2</v>
      </c>
      <c r="R20" s="51">
        <f t="shared" si="8"/>
        <v>-6.2872077391203929E-3</v>
      </c>
      <c r="S20" s="51">
        <f t="shared" si="8"/>
        <v>-2.297217378790295E-3</v>
      </c>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15"/>
    </row>
    <row r="21" spans="1:49" ht="13.15" x14ac:dyDescent="0.4">
      <c r="A21" s="15" t="s">
        <v>80</v>
      </c>
      <c r="B21" s="34">
        <f t="shared" ref="B21:F21" si="21">B65</f>
        <v>1714.3744999999999</v>
      </c>
      <c r="C21" s="34">
        <f t="shared" si="21"/>
        <v>1753.3922</v>
      </c>
      <c r="D21" s="34">
        <f t="shared" si="21"/>
        <v>1746.5326</v>
      </c>
      <c r="E21" s="34">
        <f t="shared" si="21"/>
        <v>1724.5553</v>
      </c>
      <c r="F21" s="34">
        <f t="shared" si="21"/>
        <v>1710.4676999999999</v>
      </c>
      <c r="G21" s="49">
        <f t="shared" si="2"/>
        <v>1729.86446</v>
      </c>
      <c r="H21" s="50">
        <f t="shared" si="3"/>
        <v>70531.590641133982</v>
      </c>
      <c r="I21" s="48">
        <f t="shared" si="4"/>
        <v>9.9313458947388137E-3</v>
      </c>
      <c r="J21" s="48">
        <f t="shared" si="5"/>
        <v>0.11</v>
      </c>
      <c r="K21" s="48">
        <f t="shared" si="6"/>
        <v>2.4813793792838591E-2</v>
      </c>
      <c r="L21" s="22">
        <f>G21/'Clause 6'!$G$11</f>
        <v>1729.86446</v>
      </c>
      <c r="M21">
        <f t="shared" si="7"/>
        <v>5</v>
      </c>
      <c r="O21" s="51">
        <f t="shared" si="10"/>
        <v>-8.9544356556120475E-3</v>
      </c>
      <c r="P21" s="51">
        <f t="shared" si="8"/>
        <v>1.3600915299456506E-2</v>
      </c>
      <c r="Q21" s="51">
        <f t="shared" si="8"/>
        <v>9.6355179179761219E-3</v>
      </c>
      <c r="R21" s="51">
        <f t="shared" si="8"/>
        <v>-3.0691190684384306E-3</v>
      </c>
      <c r="S21" s="51">
        <f t="shared" si="8"/>
        <v>-1.121287849338215E-2</v>
      </c>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row>
    <row r="22" spans="1:49" ht="13.15" x14ac:dyDescent="0.4">
      <c r="A22" s="15" t="s">
        <v>81</v>
      </c>
      <c r="B22" s="34">
        <f t="shared" ref="B22:F22" si="22">B66</f>
        <v>1318.2778000000001</v>
      </c>
      <c r="C22" s="34">
        <f t="shared" si="22"/>
        <v>1347.8096</v>
      </c>
      <c r="D22" s="34">
        <f t="shared" si="22"/>
        <v>1346.6006</v>
      </c>
      <c r="E22" s="34">
        <f t="shared" si="22"/>
        <v>1317.2914000000001</v>
      </c>
      <c r="F22" s="34">
        <f t="shared" si="22"/>
        <v>1320.704</v>
      </c>
      <c r="G22" s="49">
        <f t="shared" si="2"/>
        <v>1330.1366800000001</v>
      </c>
      <c r="H22" s="50">
        <f t="shared" si="3"/>
        <v>54233.52983997199</v>
      </c>
      <c r="I22" s="48">
        <f t="shared" si="4"/>
        <v>1.0514501891415479E-2</v>
      </c>
      <c r="J22" s="48">
        <f t="shared" si="5"/>
        <v>0.11</v>
      </c>
      <c r="K22" s="48">
        <f t="shared" si="6"/>
        <v>2.2943657188673257E-2</v>
      </c>
      <c r="L22" s="22">
        <f>G22/'Clause 6'!$G$11</f>
        <v>1330.1366800000001</v>
      </c>
      <c r="M22">
        <f t="shared" si="7"/>
        <v>5</v>
      </c>
      <c r="O22" s="51">
        <f t="shared" si="10"/>
        <v>-8.9155349057812305E-3</v>
      </c>
      <c r="P22" s="51">
        <f t="shared" si="8"/>
        <v>1.3286544357230978E-2</v>
      </c>
      <c r="Q22" s="51">
        <f t="shared" si="8"/>
        <v>1.2377615208686521E-2</v>
      </c>
      <c r="R22" s="51">
        <f t="shared" si="8"/>
        <v>-9.6571128314422161E-3</v>
      </c>
      <c r="S22" s="51">
        <f t="shared" si="8"/>
        <v>-7.0915118286942747E-3</v>
      </c>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row>
    <row r="23" spans="1:49" ht="13.15" x14ac:dyDescent="0.4">
      <c r="A23" s="15" t="s">
        <v>82</v>
      </c>
      <c r="B23" s="34">
        <f t="shared" ref="B23:F23" si="23">B67</f>
        <v>1013.2142</v>
      </c>
      <c r="C23" s="34">
        <f t="shared" si="23"/>
        <v>1031.5453</v>
      </c>
      <c r="D23" s="34">
        <f t="shared" si="23"/>
        <v>1021.2689</v>
      </c>
      <c r="E23" s="34">
        <f t="shared" si="23"/>
        <v>1013.3796</v>
      </c>
      <c r="F23" s="34">
        <f t="shared" si="23"/>
        <v>1010.1597</v>
      </c>
      <c r="G23" s="49">
        <f t="shared" si="2"/>
        <v>1017.9135400000001</v>
      </c>
      <c r="H23" s="50">
        <f t="shared" si="3"/>
        <v>41503.286975065996</v>
      </c>
      <c r="I23" s="48">
        <f t="shared" si="4"/>
        <v>7.6076945249149439E-3</v>
      </c>
      <c r="J23" s="48">
        <f t="shared" si="5"/>
        <v>0.11</v>
      </c>
      <c r="K23" s="48">
        <f t="shared" si="6"/>
        <v>2.1009249960463196E-2</v>
      </c>
      <c r="L23" s="22">
        <f>G23/'Clause 6'!$G$11</f>
        <v>1017.9135400000001</v>
      </c>
      <c r="M23">
        <f t="shared" si="7"/>
        <v>5</v>
      </c>
      <c r="O23" s="51">
        <f t="shared" si="10"/>
        <v>-4.6166396411232435E-3</v>
      </c>
      <c r="P23" s="51">
        <f t="shared" si="8"/>
        <v>1.3391864303131218E-2</v>
      </c>
      <c r="Q23" s="51">
        <f t="shared" si="8"/>
        <v>3.2963113939912247E-3</v>
      </c>
      <c r="R23" s="51">
        <f t="shared" si="8"/>
        <v>-4.454150398667589E-3</v>
      </c>
      <c r="S23" s="51">
        <f t="shared" si="8"/>
        <v>-7.6173856573320542E-3</v>
      </c>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W23" s="52"/>
    </row>
    <row r="24" spans="1:49" ht="13.15" x14ac:dyDescent="0.4">
      <c r="A24" s="15" t="s">
        <v>83</v>
      </c>
      <c r="B24" s="34">
        <f t="shared" ref="B24:F24" si="24">B68</f>
        <v>776.48869999999999</v>
      </c>
      <c r="C24" s="34">
        <f t="shared" si="24"/>
        <v>775.91780000000006</v>
      </c>
      <c r="D24" s="34">
        <f t="shared" si="24"/>
        <v>777.73099999999999</v>
      </c>
      <c r="E24" s="34">
        <f t="shared" si="24"/>
        <v>769.49189999999999</v>
      </c>
      <c r="F24" s="34">
        <f t="shared" si="24"/>
        <v>773.0154</v>
      </c>
      <c r="G24" s="49">
        <f t="shared" si="2"/>
        <v>774.52895999999998</v>
      </c>
      <c r="H24" s="50">
        <f t="shared" si="3"/>
        <v>31579.791833183994</v>
      </c>
      <c r="I24" s="48">
        <f t="shared" si="4"/>
        <v>3.8163242858478587E-3</v>
      </c>
      <c r="J24" s="48">
        <f t="shared" si="5"/>
        <v>0.11</v>
      </c>
      <c r="K24" s="48">
        <f t="shared" si="6"/>
        <v>1.0637562215878936E-2</v>
      </c>
      <c r="L24" s="22">
        <f>G24/'Clause 6'!$G$11</f>
        <v>774.52895999999998</v>
      </c>
      <c r="M24">
        <f t="shared" si="7"/>
        <v>5</v>
      </c>
      <c r="O24" s="51">
        <f t="shared" si="10"/>
        <v>2.5302346344802107E-3</v>
      </c>
      <c r="P24" s="51">
        <f t="shared" si="8"/>
        <v>1.7931414727216932E-3</v>
      </c>
      <c r="Q24" s="51">
        <f t="shared" si="8"/>
        <v>4.1341772423848511E-3</v>
      </c>
      <c r="R24" s="51">
        <f t="shared" si="8"/>
        <v>-6.5033849734941196E-3</v>
      </c>
      <c r="S24" s="51">
        <f t="shared" si="8"/>
        <v>-1.9541683760927464E-3</v>
      </c>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row>
    <row r="25" spans="1:49" ht="13.15" x14ac:dyDescent="0.4">
      <c r="A25" s="15" t="s">
        <v>84</v>
      </c>
      <c r="B25" s="34">
        <f t="shared" ref="B25:F25" si="25">B69</f>
        <v>595.6105</v>
      </c>
      <c r="C25" s="34">
        <f t="shared" si="25"/>
        <v>600.2441</v>
      </c>
      <c r="D25" s="34">
        <f t="shared" si="25"/>
        <v>592.17359999999996</v>
      </c>
      <c r="E25" s="34">
        <f t="shared" si="25"/>
        <v>586.02260000000001</v>
      </c>
      <c r="F25" s="34">
        <f t="shared" si="25"/>
        <v>590.17750000000001</v>
      </c>
      <c r="G25" s="49">
        <f t="shared" si="2"/>
        <v>592.84565999999995</v>
      </c>
      <c r="H25" s="50">
        <f t="shared" si="3"/>
        <v>24172.036810613994</v>
      </c>
      <c r="I25" s="48">
        <f t="shared" si="4"/>
        <v>8.1423125443211789E-3</v>
      </c>
      <c r="J25" s="48">
        <f t="shared" si="5"/>
        <v>0.11</v>
      </c>
      <c r="K25" s="48">
        <f t="shared" si="6"/>
        <v>2.3988536915324626E-2</v>
      </c>
      <c r="L25" s="22">
        <f>G25/'Clause 6'!$G$11</f>
        <v>592.84565999999995</v>
      </c>
      <c r="M25">
        <f t="shared" si="7"/>
        <v>5</v>
      </c>
      <c r="O25" s="51">
        <f t="shared" si="10"/>
        <v>4.6636758713896054E-3</v>
      </c>
      <c r="P25" s="51">
        <f t="shared" si="8"/>
        <v>1.2479538097656118E-2</v>
      </c>
      <c r="Q25" s="51">
        <f t="shared" si="8"/>
        <v>-1.1336171373844683E-3</v>
      </c>
      <c r="R25" s="51">
        <f t="shared" si="8"/>
        <v>-1.1508998817668536E-2</v>
      </c>
      <c r="S25" s="51">
        <f t="shared" si="8"/>
        <v>-4.5005980139922741E-3</v>
      </c>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row>
    <row r="26" spans="1:49" ht="13.15" x14ac:dyDescent="0.4">
      <c r="A26" s="15" t="s">
        <v>85</v>
      </c>
      <c r="B26" s="34">
        <f t="shared" ref="B26:F26" si="26">B70</f>
        <v>460.33030000000002</v>
      </c>
      <c r="C26" s="34">
        <f t="shared" si="26"/>
        <v>454.92700000000002</v>
      </c>
      <c r="D26" s="34">
        <f t="shared" si="26"/>
        <v>453.63350000000003</v>
      </c>
      <c r="E26" s="34">
        <f t="shared" si="26"/>
        <v>448.35680000000002</v>
      </c>
      <c r="F26" s="34">
        <f t="shared" si="26"/>
        <v>444.81110000000001</v>
      </c>
      <c r="G26" s="49">
        <f t="shared" si="2"/>
        <v>452.41174000000001</v>
      </c>
      <c r="H26" s="50">
        <f t="shared" si="3"/>
        <v>18446.138633845996</v>
      </c>
      <c r="I26" s="48">
        <f t="shared" si="4"/>
        <v>1.1892360035972009E-2</v>
      </c>
      <c r="J26" s="48">
        <f t="shared" si="5"/>
        <v>0.11</v>
      </c>
      <c r="K26" s="48">
        <f t="shared" si="6"/>
        <v>3.4303265428081091E-2</v>
      </c>
      <c r="L26" s="22">
        <f>G26/'Clause 6'!$G$11</f>
        <v>452.41174000000001</v>
      </c>
      <c r="M26">
        <f t="shared" si="7"/>
        <v>5</v>
      </c>
      <c r="O26" s="51">
        <f t="shared" si="10"/>
        <v>1.7502994064654498E-2</v>
      </c>
      <c r="P26" s="51">
        <f t="shared" si="8"/>
        <v>5.5596700474660476E-3</v>
      </c>
      <c r="Q26" s="51">
        <f t="shared" si="8"/>
        <v>2.7005488407529921E-3</v>
      </c>
      <c r="R26" s="51">
        <f t="shared" si="8"/>
        <v>-8.9629415894467712E-3</v>
      </c>
      <c r="S26" s="51">
        <f t="shared" si="8"/>
        <v>-1.6800271363426544E-2</v>
      </c>
    </row>
    <row r="27" spans="1:49" ht="13.15" x14ac:dyDescent="0.4">
      <c r="A27" s="15" t="s">
        <v>86</v>
      </c>
      <c r="B27" s="34">
        <f t="shared" ref="B27:F27" si="27">B71</f>
        <v>357.71230000000003</v>
      </c>
      <c r="C27" s="34">
        <f t="shared" si="27"/>
        <v>349.59269999999998</v>
      </c>
      <c r="D27" s="34">
        <f t="shared" si="27"/>
        <v>348.33339999999998</v>
      </c>
      <c r="E27" s="34">
        <f t="shared" si="27"/>
        <v>346.76990000000001</v>
      </c>
      <c r="F27" s="34">
        <f t="shared" si="27"/>
        <v>336.05450000000002</v>
      </c>
      <c r="G27" s="49">
        <f t="shared" si="2"/>
        <v>347.69256000000001</v>
      </c>
      <c r="H27" s="50">
        <f t="shared" si="3"/>
        <v>14176.433979623998</v>
      </c>
      <c r="I27" s="48">
        <f t="shared" si="4"/>
        <v>1.9955774914474554E-2</v>
      </c>
      <c r="J27" s="48">
        <f t="shared" si="5"/>
        <v>0.11</v>
      </c>
      <c r="K27" s="48">
        <f t="shared" si="6"/>
        <v>6.229008754170641E-2</v>
      </c>
      <c r="L27" s="22">
        <f>G27/'Clause 6'!$G$11</f>
        <v>347.69256000000001</v>
      </c>
      <c r="M27">
        <f t="shared" si="7"/>
        <v>5</v>
      </c>
      <c r="O27" s="51">
        <f t="shared" si="10"/>
        <v>2.8817815371142919E-2</v>
      </c>
      <c r="P27" s="51">
        <f t="shared" si="8"/>
        <v>5.4650004590262036E-3</v>
      </c>
      <c r="Q27" s="51">
        <f t="shared" si="8"/>
        <v>1.843122556318022E-3</v>
      </c>
      <c r="R27" s="51">
        <f t="shared" si="8"/>
        <v>-2.6536662159236668E-3</v>
      </c>
      <c r="S27" s="51">
        <f t="shared" si="8"/>
        <v>-3.3472272170563588E-2</v>
      </c>
    </row>
    <row r="28" spans="1:49" ht="13.15" x14ac:dyDescent="0.4">
      <c r="A28" s="15" t="s">
        <v>87</v>
      </c>
      <c r="B28" s="34">
        <f t="shared" ref="B28:F28" si="28">B72</f>
        <v>274.61779999999999</v>
      </c>
      <c r="C28" s="34">
        <f t="shared" si="28"/>
        <v>270.11829999999998</v>
      </c>
      <c r="D28" s="34">
        <f t="shared" si="28"/>
        <v>267.84410000000003</v>
      </c>
      <c r="E28" s="34">
        <f t="shared" si="28"/>
        <v>262.8227</v>
      </c>
      <c r="F28" s="34">
        <f t="shared" si="28"/>
        <v>255.92750000000001</v>
      </c>
      <c r="G28" s="49">
        <f t="shared" si="2"/>
        <v>266.26607999999999</v>
      </c>
      <c r="H28" s="50">
        <f t="shared" si="3"/>
        <v>10856.440253231998</v>
      </c>
      <c r="I28" s="48">
        <f t="shared" si="4"/>
        <v>2.4096126786655597E-2</v>
      </c>
      <c r="J28" s="48">
        <f t="shared" si="5"/>
        <v>0.11</v>
      </c>
      <c r="K28" s="48">
        <f t="shared" si="6"/>
        <v>7.0194070532754227E-2</v>
      </c>
      <c r="L28" s="22">
        <f>G28/'Clause 6'!$G$11</f>
        <v>266.26607999999999</v>
      </c>
      <c r="M28">
        <f t="shared" si="7"/>
        <v>5</v>
      </c>
      <c r="O28" s="51">
        <f t="shared" si="10"/>
        <v>3.1366068107511191E-2</v>
      </c>
      <c r="P28" s="51">
        <f t="shared" si="8"/>
        <v>1.4467558165876637E-2</v>
      </c>
      <c r="Q28" s="51">
        <f t="shared" si="8"/>
        <v>5.9264777548835301E-3</v>
      </c>
      <c r="R28" s="51">
        <f t="shared" si="8"/>
        <v>-1.2932101603028046E-2</v>
      </c>
      <c r="S28" s="51">
        <f t="shared" si="8"/>
        <v>-3.8828002425243091E-2</v>
      </c>
    </row>
    <row r="29" spans="1:49" ht="13.15" x14ac:dyDescent="0.4">
      <c r="A29" s="15" t="s">
        <v>88</v>
      </c>
      <c r="B29" s="34">
        <f t="shared" ref="B29:F29" si="29">B73</f>
        <v>211.64750000000001</v>
      </c>
      <c r="C29" s="34">
        <f t="shared" si="29"/>
        <v>207.61199999999999</v>
      </c>
      <c r="D29" s="34">
        <f t="shared" si="29"/>
        <v>205.53229999999999</v>
      </c>
      <c r="E29" s="34">
        <f t="shared" si="29"/>
        <v>198.88740000000001</v>
      </c>
      <c r="F29" s="34">
        <f t="shared" si="29"/>
        <v>194.3612</v>
      </c>
      <c r="G29" s="49">
        <f t="shared" si="2"/>
        <v>203.60808000000003</v>
      </c>
      <c r="H29" s="50">
        <f t="shared" si="3"/>
        <v>8301.6918850319998</v>
      </c>
      <c r="I29" s="48">
        <f t="shared" si="4"/>
        <v>3.0447162840262242E-2</v>
      </c>
      <c r="J29" s="48">
        <f t="shared" si="5"/>
        <v>0.113</v>
      </c>
      <c r="K29" s="48">
        <f t="shared" si="6"/>
        <v>8.4899872342983684E-2</v>
      </c>
      <c r="L29" s="22">
        <f>G29/'Clause 6'!$G$11</f>
        <v>203.60808000000003</v>
      </c>
      <c r="M29">
        <f t="shared" si="7"/>
        <v>5</v>
      </c>
      <c r="O29" s="51">
        <f t="shared" si="10"/>
        <v>3.948477879659773E-2</v>
      </c>
      <c r="P29" s="51">
        <f t="shared" si="8"/>
        <v>1.9664838448454347E-2</v>
      </c>
      <c r="Q29" s="51">
        <f t="shared" si="8"/>
        <v>9.4506072647015937E-3</v>
      </c>
      <c r="R29" s="51">
        <f t="shared" si="8"/>
        <v>-2.3185130963368494E-2</v>
      </c>
      <c r="S29" s="51">
        <f t="shared" si="8"/>
        <v>-4.5415093546385954E-2</v>
      </c>
    </row>
    <row r="30" spans="1:49" ht="13.15" x14ac:dyDescent="0.4">
      <c r="A30" s="15" t="s">
        <v>89</v>
      </c>
      <c r="B30" s="34">
        <f t="shared" ref="B30:F30" si="30">B74</f>
        <v>159.2784</v>
      </c>
      <c r="C30" s="34">
        <f t="shared" si="30"/>
        <v>159.6335</v>
      </c>
      <c r="D30" s="34">
        <f t="shared" si="30"/>
        <v>156.83840000000001</v>
      </c>
      <c r="E30" s="34">
        <f t="shared" si="30"/>
        <v>146.43279999999999</v>
      </c>
      <c r="F30" s="34">
        <f t="shared" si="30"/>
        <v>149.46510000000001</v>
      </c>
      <c r="G30" s="49">
        <f t="shared" si="2"/>
        <v>154.32963999999998</v>
      </c>
      <c r="H30" s="50">
        <f t="shared" si="3"/>
        <v>6292.4669787559978</v>
      </c>
      <c r="I30" s="48">
        <f t="shared" si="4"/>
        <v>3.4886554721755565E-2</v>
      </c>
      <c r="J30" s="48">
        <f t="shared" si="5"/>
        <v>0.113</v>
      </c>
      <c r="K30" s="48">
        <f t="shared" si="6"/>
        <v>8.5535740250544307E-2</v>
      </c>
      <c r="L30" s="22">
        <f>G30/'Clause 6'!$G$11</f>
        <v>154.32963999999998</v>
      </c>
      <c r="M30">
        <f t="shared" si="7"/>
        <v>5</v>
      </c>
      <c r="O30" s="51">
        <f t="shared" si="10"/>
        <v>3.2066166939805019E-2</v>
      </c>
      <c r="P30" s="51">
        <f t="shared" si="8"/>
        <v>3.4367085933719732E-2</v>
      </c>
      <c r="Q30" s="51">
        <f t="shared" si="8"/>
        <v>1.6255853379817609E-2</v>
      </c>
      <c r="R30" s="51">
        <f t="shared" si="8"/>
        <v>-5.1168654316824713E-2</v>
      </c>
      <c r="S30" s="51">
        <f t="shared" si="8"/>
        <v>-3.1520451936517091E-2</v>
      </c>
    </row>
    <row r="31" spans="1:49" ht="13.15" x14ac:dyDescent="0.4">
      <c r="A31" s="15" t="s">
        <v>90</v>
      </c>
      <c r="B31" s="34">
        <f t="shared" ref="B31:F31" si="31">B75</f>
        <v>119.63509999999999</v>
      </c>
      <c r="C31" s="34">
        <f t="shared" si="31"/>
        <v>118.8443</v>
      </c>
      <c r="D31" s="34">
        <f t="shared" si="31"/>
        <v>117.67570000000001</v>
      </c>
      <c r="E31" s="34">
        <f t="shared" si="31"/>
        <v>108.9639</v>
      </c>
      <c r="F31" s="34">
        <f t="shared" si="31"/>
        <v>109.0668</v>
      </c>
      <c r="G31" s="49">
        <f t="shared" si="2"/>
        <v>114.83716</v>
      </c>
      <c r="H31" s="50">
        <f t="shared" si="3"/>
        <v>4682.2440409639994</v>
      </c>
      <c r="I31" s="48">
        <f t="shared" si="4"/>
        <v>4.1748751035419016E-2</v>
      </c>
      <c r="J31" s="48">
        <f t="shared" si="5"/>
        <v>0.11900000000000001</v>
      </c>
      <c r="K31" s="48">
        <f t="shared" si="6"/>
        <v>9.2924624746902482E-2</v>
      </c>
      <c r="L31" s="22">
        <f>G31/'Clause 6'!$G$11</f>
        <v>114.83716</v>
      </c>
      <c r="M31">
        <f t="shared" si="7"/>
        <v>5</v>
      </c>
      <c r="O31" s="51">
        <f t="shared" si="10"/>
        <v>4.1780378407128893E-2</v>
      </c>
      <c r="P31" s="51">
        <f t="shared" si="8"/>
        <v>3.4894105705853384E-2</v>
      </c>
      <c r="Q31" s="51">
        <f t="shared" si="8"/>
        <v>2.4717957149062331E-2</v>
      </c>
      <c r="R31" s="51">
        <f t="shared" si="8"/>
        <v>-5.1144246339773658E-2</v>
      </c>
      <c r="S31" s="51">
        <f t="shared" si="8"/>
        <v>-5.0248194922270728E-2</v>
      </c>
    </row>
    <row r="32" spans="1:49" ht="13.15" x14ac:dyDescent="0.4">
      <c r="A32" s="15" t="s">
        <v>91</v>
      </c>
      <c r="B32" s="34">
        <f t="shared" ref="B32:F32" si="32">B76</f>
        <v>90.230900000000005</v>
      </c>
      <c r="C32" s="34">
        <f t="shared" si="32"/>
        <v>87.141800000000003</v>
      </c>
      <c r="D32" s="34">
        <f t="shared" si="32"/>
        <v>87.472700000000003</v>
      </c>
      <c r="E32" s="34">
        <f t="shared" si="32"/>
        <v>80.225899999999996</v>
      </c>
      <c r="F32" s="34">
        <f t="shared" si="32"/>
        <v>80.139399999999995</v>
      </c>
      <c r="G32" s="49">
        <f t="shared" si="2"/>
        <v>85.042140000000018</v>
      </c>
      <c r="H32" s="50">
        <f t="shared" si="3"/>
        <v>3467.4146700060001</v>
      </c>
      <c r="I32" s="48">
        <f t="shared" si="4"/>
        <v>4.8332400656813691E-2</v>
      </c>
      <c r="J32" s="48">
        <f t="shared" si="5"/>
        <v>0.11900000000000001</v>
      </c>
      <c r="K32" s="48">
        <f t="shared" si="6"/>
        <v>0.11866469964184825</v>
      </c>
      <c r="L32" s="22">
        <f>G32/'Clause 6'!$G$11</f>
        <v>85.042140000000018</v>
      </c>
      <c r="M32">
        <f t="shared" si="7"/>
        <v>5</v>
      </c>
      <c r="O32" s="51">
        <f t="shared" si="10"/>
        <v>6.1013986712940005E-2</v>
      </c>
      <c r="P32" s="51">
        <f t="shared" si="8"/>
        <v>2.4689642099787079E-2</v>
      </c>
      <c r="Q32" s="51">
        <f t="shared" si="8"/>
        <v>2.8580654249763526E-2</v>
      </c>
      <c r="R32" s="51">
        <f t="shared" si="8"/>
        <v>-5.6633570133583389E-2</v>
      </c>
      <c r="S32" s="51">
        <f t="shared" si="8"/>
        <v>-5.7650712928908221E-2</v>
      </c>
    </row>
    <row r="33" spans="1:19" ht="13.15" x14ac:dyDescent="0.4">
      <c r="A33" s="15" t="s">
        <v>92</v>
      </c>
      <c r="B33" s="34">
        <f t="shared" ref="B33:F33" si="33">B77</f>
        <v>69.898799999999994</v>
      </c>
      <c r="C33" s="34">
        <f t="shared" si="33"/>
        <v>64.595699999999994</v>
      </c>
      <c r="D33" s="34">
        <f t="shared" si="33"/>
        <v>61.956499999999998</v>
      </c>
      <c r="E33" s="34">
        <f t="shared" si="33"/>
        <v>56.996200000000002</v>
      </c>
      <c r="F33" s="34">
        <f t="shared" si="33"/>
        <v>58.446100000000001</v>
      </c>
      <c r="G33" s="49">
        <f t="shared" si="2"/>
        <v>62.378660000000004</v>
      </c>
      <c r="H33" s="50">
        <f t="shared" si="3"/>
        <v>2543.3588663139999</v>
      </c>
      <c r="I33" s="48">
        <f t="shared" si="4"/>
        <v>7.3841343696806089E-2</v>
      </c>
      <c r="J33" s="48">
        <f t="shared" si="5"/>
        <v>0.11900000000000001</v>
      </c>
      <c r="K33" s="48">
        <f t="shared" si="6"/>
        <v>0.20684317361097515</v>
      </c>
      <c r="L33" s="22">
        <f>G33/'Clause 6'!$G$11</f>
        <v>62.378660000000004</v>
      </c>
      <c r="M33">
        <f t="shared" si="7"/>
        <v>5</v>
      </c>
      <c r="O33" s="51">
        <f t="shared" si="10"/>
        <v>0.12055629280911107</v>
      </c>
      <c r="P33" s="51">
        <f t="shared" si="8"/>
        <v>3.5541641965377124E-2</v>
      </c>
      <c r="Q33" s="51">
        <f t="shared" si="8"/>
        <v>-6.7676990817052696E-3</v>
      </c>
      <c r="R33" s="51">
        <f t="shared" si="8"/>
        <v>-8.6286880801863974E-2</v>
      </c>
      <c r="S33" s="51">
        <f t="shared" si="8"/>
        <v>-6.3043354890919501E-2</v>
      </c>
    </row>
    <row r="34" spans="1:19" ht="13.15" x14ac:dyDescent="0.4">
      <c r="A34" s="15" t="s">
        <v>93</v>
      </c>
      <c r="B34" s="34">
        <f t="shared" ref="B34:F34" si="34">B78</f>
        <v>47.988100000000003</v>
      </c>
      <c r="C34" s="34">
        <f t="shared" si="34"/>
        <v>45.480400000000003</v>
      </c>
      <c r="D34" s="34">
        <f t="shared" si="34"/>
        <v>43.917200000000001</v>
      </c>
      <c r="E34" s="34">
        <f t="shared" si="34"/>
        <v>41.549700000000001</v>
      </c>
      <c r="F34" s="34">
        <f t="shared" si="34"/>
        <v>41.618699999999997</v>
      </c>
      <c r="G34" s="49">
        <f t="shared" si="2"/>
        <v>44.110820000000004</v>
      </c>
      <c r="H34" s="50">
        <f t="shared" si="3"/>
        <v>1798.5260527779999</v>
      </c>
      <c r="I34" s="48">
        <f t="shared" si="4"/>
        <v>5.5267390368732842E-2</v>
      </c>
      <c r="J34" s="48">
        <f t="shared" si="5"/>
        <v>0.13400000000000001</v>
      </c>
      <c r="K34" s="48">
        <f t="shared" si="6"/>
        <v>0.1459596534365038</v>
      </c>
      <c r="L34" s="22">
        <f>G34/'Clause 6'!$G$11</f>
        <v>44.110820000000004</v>
      </c>
      <c r="M34">
        <f t="shared" si="7"/>
        <v>5</v>
      </c>
      <c r="O34" s="51">
        <f t="shared" si="10"/>
        <v>8.7898615351063469E-2</v>
      </c>
      <c r="P34" s="51">
        <f t="shared" si="8"/>
        <v>3.1048618003473916E-2</v>
      </c>
      <c r="Q34" s="51">
        <f t="shared" si="8"/>
        <v>-4.3893992449018926E-3</v>
      </c>
      <c r="R34" s="51">
        <f t="shared" si="8"/>
        <v>-5.8061038085440275E-2</v>
      </c>
      <c r="S34" s="51">
        <f t="shared" si="8"/>
        <v>-5.649679602419555E-2</v>
      </c>
    </row>
    <row r="35" spans="1:19" ht="13.15" x14ac:dyDescent="0.4">
      <c r="A35" s="15" t="s">
        <v>94</v>
      </c>
      <c r="B35" s="34">
        <f t="shared" ref="B35:F35" si="35">B79</f>
        <v>33.470700000000001</v>
      </c>
      <c r="C35" s="34">
        <f t="shared" si="35"/>
        <v>31.194099999999999</v>
      </c>
      <c r="D35" s="34">
        <f t="shared" si="35"/>
        <v>31.610700000000001</v>
      </c>
      <c r="E35" s="34">
        <f t="shared" si="35"/>
        <v>29.096800000000002</v>
      </c>
      <c r="F35" s="34">
        <f t="shared" si="35"/>
        <v>28.025400000000001</v>
      </c>
      <c r="G35" s="49">
        <f t="shared" si="2"/>
        <v>30.679539999999996</v>
      </c>
      <c r="H35" s="50">
        <f t="shared" si="3"/>
        <v>1250.8938164659996</v>
      </c>
      <c r="I35" s="48">
        <f t="shared" si="4"/>
        <v>6.2650175630331192E-2</v>
      </c>
      <c r="J35" s="48">
        <f t="shared" si="5"/>
        <v>0.13400000000000001</v>
      </c>
      <c r="K35" s="48">
        <f t="shared" si="6"/>
        <v>0.17748962337766475</v>
      </c>
      <c r="L35" s="22">
        <f>G35/'Clause 6'!$G$11</f>
        <v>30.679539999999996</v>
      </c>
      <c r="M35">
        <f t="shared" si="7"/>
        <v>5</v>
      </c>
      <c r="O35" s="51">
        <f t="shared" si="10"/>
        <v>9.0977896017997884E-2</v>
      </c>
      <c r="P35" s="51">
        <f t="shared" si="8"/>
        <v>1.6772089803171797E-2</v>
      </c>
      <c r="Q35" s="51">
        <f t="shared" si="8"/>
        <v>3.0351172149256644E-2</v>
      </c>
      <c r="R35" s="51">
        <f t="shared" si="8"/>
        <v>-5.1589430610758602E-2</v>
      </c>
      <c r="S35" s="51">
        <f t="shared" si="8"/>
        <v>-8.6511727359666946E-2</v>
      </c>
    </row>
    <row r="36" spans="1:19" ht="13.15" x14ac:dyDescent="0.4">
      <c r="A36" s="15" t="s">
        <v>95</v>
      </c>
      <c r="B36" s="34">
        <f t="shared" ref="B36:F36" si="36">B80</f>
        <v>21.6417</v>
      </c>
      <c r="C36" s="34">
        <f t="shared" si="36"/>
        <v>21.5718</v>
      </c>
      <c r="D36" s="34">
        <f t="shared" si="36"/>
        <v>21.958600000000001</v>
      </c>
      <c r="E36" s="34">
        <f t="shared" si="36"/>
        <v>21.074200000000001</v>
      </c>
      <c r="F36" s="34">
        <f t="shared" si="36"/>
        <v>17.605699999999999</v>
      </c>
      <c r="G36" s="49">
        <f t="shared" si="2"/>
        <v>20.770400000000002</v>
      </c>
      <c r="H36" s="50">
        <f t="shared" si="3"/>
        <v>846.86944215999995</v>
      </c>
      <c r="I36" s="48">
        <f t="shared" si="4"/>
        <v>7.7395480863578073E-2</v>
      </c>
      <c r="J36" s="48">
        <f t="shared" si="5"/>
        <v>0.156</v>
      </c>
      <c r="K36" s="48">
        <f t="shared" si="6"/>
        <v>0.20957227593113284</v>
      </c>
      <c r="L36" s="22">
        <f>G36/'Clause 6'!$G$11</f>
        <v>20.770400000000002</v>
      </c>
      <c r="M36">
        <f t="shared" si="7"/>
        <v>5</v>
      </c>
      <c r="O36" s="51">
        <f t="shared" si="10"/>
        <v>4.1949119901397935E-2</v>
      </c>
      <c r="P36" s="51">
        <f t="shared" si="8"/>
        <v>3.858375380348944E-2</v>
      </c>
      <c r="Q36" s="51">
        <f t="shared" si="8"/>
        <v>5.7206409120671653E-2</v>
      </c>
      <c r="R36" s="51">
        <f t="shared" si="8"/>
        <v>1.4626583984901576E-2</v>
      </c>
      <c r="S36" s="51">
        <f t="shared" si="8"/>
        <v>-0.15236586681046116</v>
      </c>
    </row>
    <row r="37" spans="1:19" ht="13.15" x14ac:dyDescent="0.4">
      <c r="A37" s="15" t="s">
        <v>96</v>
      </c>
      <c r="B37" s="34">
        <f t="shared" ref="B37:F37" si="37">B81</f>
        <v>15.7272</v>
      </c>
      <c r="C37" s="34">
        <f t="shared" si="37"/>
        <v>14.141500000000001</v>
      </c>
      <c r="D37" s="34">
        <f t="shared" si="37"/>
        <v>15.261900000000001</v>
      </c>
      <c r="E37" s="34">
        <f t="shared" si="37"/>
        <v>13.1714</v>
      </c>
      <c r="F37" s="34">
        <f t="shared" si="37"/>
        <v>11.377800000000001</v>
      </c>
      <c r="G37" s="49">
        <f t="shared" si="2"/>
        <v>13.93596</v>
      </c>
      <c r="H37" s="50">
        <f t="shared" si="3"/>
        <v>568.20950348399992</v>
      </c>
      <c r="I37" s="48">
        <f t="shared" si="4"/>
        <v>0.11180087769881392</v>
      </c>
      <c r="J37" s="48">
        <f t="shared" si="5"/>
        <v>0.156</v>
      </c>
      <c r="K37" s="48">
        <f t="shared" si="6"/>
        <v>0.31209905883771188</v>
      </c>
      <c r="L37" s="22">
        <f>G37/'Clause 6'!$G$11</f>
        <v>13.93596</v>
      </c>
      <c r="M37">
        <f t="shared" si="7"/>
        <v>5</v>
      </c>
      <c r="O37" s="51">
        <f t="shared" si="10"/>
        <v>0.1285336639887027</v>
      </c>
      <c r="P37" s="51">
        <f t="shared" si="8"/>
        <v>1.474889422759551E-2</v>
      </c>
      <c r="Q37" s="51">
        <f t="shared" si="8"/>
        <v>9.5145221427156867E-2</v>
      </c>
      <c r="R37" s="51">
        <f t="shared" si="8"/>
        <v>-5.4862384794445385E-2</v>
      </c>
      <c r="S37" s="51">
        <f t="shared" si="8"/>
        <v>-0.18356539484900924</v>
      </c>
    </row>
    <row r="38" spans="1:19" ht="13.15" x14ac:dyDescent="0.4">
      <c r="A38" s="15" t="s">
        <v>97</v>
      </c>
      <c r="B38" s="34">
        <f t="shared" ref="B38:F38" si="38">B82</f>
        <v>10.3504</v>
      </c>
      <c r="C38" s="34">
        <f t="shared" si="38"/>
        <v>9.3477999999999994</v>
      </c>
      <c r="D38" s="34">
        <f t="shared" si="38"/>
        <v>8.8411000000000008</v>
      </c>
      <c r="E38" s="34">
        <f t="shared" si="38"/>
        <v>8.2620000000000005</v>
      </c>
      <c r="F38" s="34">
        <f t="shared" si="38"/>
        <v>7.6650999999999998</v>
      </c>
      <c r="G38" s="49">
        <f t="shared" si="2"/>
        <v>8.8932800000000007</v>
      </c>
      <c r="H38" s="50">
        <f t="shared" si="3"/>
        <v>362.60481611199998</v>
      </c>
      <c r="I38" s="48">
        <f t="shared" si="4"/>
        <v>0.10353991699554899</v>
      </c>
      <c r="J38" s="48">
        <f t="shared" si="5"/>
        <v>0.193</v>
      </c>
      <c r="K38" s="48">
        <f t="shared" si="6"/>
        <v>0.30194708813845966</v>
      </c>
      <c r="L38" s="22">
        <f>G38/'Clause 6'!$G$11</f>
        <v>8.8932800000000007</v>
      </c>
      <c r="M38">
        <f t="shared" si="7"/>
        <v>5</v>
      </c>
      <c r="O38" s="51">
        <f t="shared" si="10"/>
        <v>0.16384506054009318</v>
      </c>
      <c r="P38" s="51">
        <f t="shared" si="8"/>
        <v>5.110825252325335E-2</v>
      </c>
      <c r="Q38" s="51">
        <f t="shared" si="8"/>
        <v>-5.867351528344944E-3</v>
      </c>
      <c r="R38" s="51">
        <f t="shared" si="8"/>
        <v>-7.0983933936635379E-2</v>
      </c>
      <c r="S38" s="51">
        <f t="shared" si="8"/>
        <v>-0.13810202759836654</v>
      </c>
    </row>
    <row r="40" spans="1:19" x14ac:dyDescent="0.35">
      <c r="A40" t="s">
        <v>98</v>
      </c>
    </row>
    <row r="41" spans="1:19" ht="15" x14ac:dyDescent="0.5">
      <c r="A41" s="53"/>
      <c r="B41" s="54" t="s">
        <v>99</v>
      </c>
      <c r="C41" s="53"/>
      <c r="D41" s="55" t="s">
        <v>100</v>
      </c>
      <c r="E41" s="56"/>
      <c r="F41" s="56"/>
      <c r="G41" s="56"/>
      <c r="H41" s="57"/>
    </row>
    <row r="42" spans="1:19" ht="15" x14ac:dyDescent="0.5">
      <c r="A42" s="58" t="s">
        <v>101</v>
      </c>
      <c r="B42" s="59" t="s">
        <v>102</v>
      </c>
      <c r="C42" s="58" t="s">
        <v>103</v>
      </c>
      <c r="D42" s="58" t="s">
        <v>104</v>
      </c>
      <c r="E42" s="59" t="s">
        <v>105</v>
      </c>
      <c r="F42" s="59" t="s">
        <v>106</v>
      </c>
      <c r="G42" s="59" t="s">
        <v>107</v>
      </c>
      <c r="H42" s="60" t="s">
        <v>108</v>
      </c>
    </row>
    <row r="43" spans="1:19" x14ac:dyDescent="0.35">
      <c r="A43" s="61">
        <v>10000</v>
      </c>
      <c r="C43" s="61">
        <v>11</v>
      </c>
      <c r="D43" s="61">
        <v>7.8</v>
      </c>
      <c r="E43">
        <v>5.3</v>
      </c>
      <c r="F43">
        <v>4</v>
      </c>
      <c r="G43">
        <v>2.7</v>
      </c>
      <c r="H43" s="62">
        <v>1.8</v>
      </c>
    </row>
    <row r="44" spans="1:19" x14ac:dyDescent="0.35">
      <c r="A44" s="61">
        <v>5000</v>
      </c>
      <c r="B44">
        <v>10000</v>
      </c>
      <c r="C44" s="61">
        <v>11.3</v>
      </c>
      <c r="D44" s="61">
        <v>7.8</v>
      </c>
      <c r="E44">
        <v>5.3</v>
      </c>
      <c r="F44">
        <v>4</v>
      </c>
      <c r="G44">
        <v>2.7</v>
      </c>
      <c r="H44" s="62">
        <v>1.9</v>
      </c>
    </row>
    <row r="45" spans="1:19" x14ac:dyDescent="0.35">
      <c r="A45" s="61">
        <v>2000</v>
      </c>
      <c r="B45">
        <v>5000</v>
      </c>
      <c r="C45" s="61">
        <v>11.9</v>
      </c>
      <c r="D45" s="61">
        <v>7.9</v>
      </c>
      <c r="E45">
        <v>5.4</v>
      </c>
      <c r="F45">
        <v>4.0999999999999996</v>
      </c>
      <c r="G45">
        <v>2.9</v>
      </c>
      <c r="H45" s="62">
        <v>2.1</v>
      </c>
    </row>
    <row r="46" spans="1:19" x14ac:dyDescent="0.35">
      <c r="A46" s="61">
        <v>1000</v>
      </c>
      <c r="B46">
        <v>2000</v>
      </c>
      <c r="C46" s="61">
        <v>13.4</v>
      </c>
      <c r="D46" s="61">
        <v>8</v>
      </c>
      <c r="E46">
        <v>5.6</v>
      </c>
      <c r="F46">
        <v>4.3</v>
      </c>
      <c r="G46">
        <v>3.1</v>
      </c>
      <c r="H46" s="62">
        <v>2.4</v>
      </c>
    </row>
    <row r="47" spans="1:19" x14ac:dyDescent="0.35">
      <c r="A47" s="61">
        <v>500</v>
      </c>
      <c r="B47">
        <v>1000</v>
      </c>
      <c r="C47" s="61">
        <v>15.6</v>
      </c>
      <c r="D47" s="61">
        <v>8.1999999999999993</v>
      </c>
      <c r="E47">
        <v>5.9</v>
      </c>
      <c r="F47">
        <v>4.7</v>
      </c>
      <c r="G47">
        <v>3.6</v>
      </c>
      <c r="H47" s="62">
        <v>2.9</v>
      </c>
    </row>
    <row r="48" spans="1:19" x14ac:dyDescent="0.35">
      <c r="A48" s="61">
        <v>200</v>
      </c>
      <c r="B48">
        <v>500</v>
      </c>
      <c r="C48" s="61">
        <v>19.3</v>
      </c>
      <c r="D48" s="61">
        <v>8.9</v>
      </c>
      <c r="E48">
        <v>6.8</v>
      </c>
      <c r="F48">
        <v>5.7</v>
      </c>
      <c r="G48">
        <v>4.7</v>
      </c>
      <c r="H48" s="62">
        <v>4.0999999999999996</v>
      </c>
    </row>
    <row r="49" spans="1:16" x14ac:dyDescent="0.35">
      <c r="A49" s="63">
        <v>100</v>
      </c>
      <c r="B49" s="64">
        <v>200</v>
      </c>
      <c r="C49" s="63">
        <v>27.5</v>
      </c>
      <c r="D49" s="63">
        <v>10</v>
      </c>
      <c r="E49" s="64">
        <v>8</v>
      </c>
      <c r="F49" s="64">
        <v>7</v>
      </c>
      <c r="G49" s="64">
        <v>6.1</v>
      </c>
      <c r="H49" s="65">
        <v>5.5</v>
      </c>
    </row>
    <row r="51" spans="1:16" ht="13.15" x14ac:dyDescent="0.4">
      <c r="B51" s="19" t="s">
        <v>55</v>
      </c>
      <c r="C51" s="19" t="s">
        <v>56</v>
      </c>
      <c r="D51" s="19" t="s">
        <v>57</v>
      </c>
      <c r="E51" s="19" t="s">
        <v>58</v>
      </c>
      <c r="F51" s="19" t="s">
        <v>59</v>
      </c>
      <c r="G51" s="19" t="s">
        <v>55</v>
      </c>
      <c r="H51" s="19" t="s">
        <v>56</v>
      </c>
      <c r="I51" s="19" t="s">
        <v>57</v>
      </c>
      <c r="J51" s="19" t="s">
        <v>58</v>
      </c>
      <c r="K51" s="19" t="s">
        <v>59</v>
      </c>
      <c r="L51" s="19" t="s">
        <v>55</v>
      </c>
      <c r="M51" s="19" t="s">
        <v>56</v>
      </c>
      <c r="N51" s="19" t="s">
        <v>57</v>
      </c>
      <c r="O51" s="19" t="s">
        <v>58</v>
      </c>
      <c r="P51" s="19" t="s">
        <v>59</v>
      </c>
    </row>
    <row r="52" spans="1:16" ht="13.15" x14ac:dyDescent="0.4">
      <c r="A52" s="19" t="s">
        <v>109</v>
      </c>
      <c r="B52" s="124">
        <f t="array" ref="B52:P82">TRANSPOSE(B86:AF100)</f>
        <v>7.4394</v>
      </c>
      <c r="C52" s="124">
        <v>8.3442000000000007</v>
      </c>
      <c r="D52" s="124">
        <v>8.2882999999999996</v>
      </c>
      <c r="E52" s="124">
        <v>8.3513999999999999</v>
      </c>
      <c r="F52" s="124">
        <v>8.3496000000000006</v>
      </c>
      <c r="G52" s="124">
        <v>7.4385000000000003</v>
      </c>
      <c r="H52" s="124">
        <v>8.3468999999999998</v>
      </c>
      <c r="I52" s="124">
        <v>8.2875999999999994</v>
      </c>
      <c r="J52" s="124">
        <v>8.3579000000000008</v>
      </c>
      <c r="K52" s="124">
        <v>8.3419000000000008</v>
      </c>
      <c r="L52" s="124">
        <v>7.4290000000000003</v>
      </c>
      <c r="M52" s="124">
        <v>8.3376000000000001</v>
      </c>
      <c r="N52" s="124">
        <v>8.2918000000000003</v>
      </c>
      <c r="O52" s="124">
        <v>8.3432999999999993</v>
      </c>
      <c r="P52" s="124">
        <v>8.3506</v>
      </c>
    </row>
    <row r="53" spans="1:16" ht="13.15" x14ac:dyDescent="0.4">
      <c r="A53" s="40">
        <v>4</v>
      </c>
      <c r="B53" s="124">
        <v>14608.8809</v>
      </c>
      <c r="C53" s="124">
        <v>14726.0928</v>
      </c>
      <c r="D53" s="124">
        <v>14734.098599999999</v>
      </c>
      <c r="E53" s="124">
        <v>14654.0303</v>
      </c>
      <c r="F53" s="124">
        <v>14670.570299999999</v>
      </c>
      <c r="G53" s="124">
        <v>14645.0488</v>
      </c>
      <c r="H53" s="124">
        <v>14604.5537</v>
      </c>
      <c r="I53" s="124">
        <v>14624.151400000001</v>
      </c>
      <c r="J53" s="124">
        <v>14489.668</v>
      </c>
      <c r="K53" s="124">
        <v>14687.5615</v>
      </c>
      <c r="L53" s="124">
        <v>14734.9521</v>
      </c>
      <c r="M53" s="124">
        <v>14756.612300000001</v>
      </c>
      <c r="N53" s="124">
        <v>14702.5273</v>
      </c>
      <c r="O53" s="124">
        <v>14757.046899999999</v>
      </c>
      <c r="P53" s="124">
        <v>14674.137699999999</v>
      </c>
    </row>
    <row r="54" spans="1:16" ht="13.15" x14ac:dyDescent="0.4">
      <c r="A54" s="40">
        <v>5</v>
      </c>
      <c r="B54" s="124">
        <v>12631.854499999999</v>
      </c>
      <c r="C54" s="124">
        <v>12706.499</v>
      </c>
      <c r="D54" s="124">
        <v>12753.3447</v>
      </c>
      <c r="E54" s="124">
        <v>12662.604499999999</v>
      </c>
      <c r="F54" s="124">
        <v>12666.1621</v>
      </c>
      <c r="G54" s="124">
        <v>12657.4854</v>
      </c>
      <c r="H54" s="124">
        <v>12627.732400000001</v>
      </c>
      <c r="I54" s="124">
        <v>12642.142599999999</v>
      </c>
      <c r="J54" s="124">
        <v>12517.118200000001</v>
      </c>
      <c r="K54" s="124">
        <v>12678.781199999999</v>
      </c>
      <c r="L54" s="124">
        <v>12767.7832</v>
      </c>
      <c r="M54" s="124">
        <v>12739.2803</v>
      </c>
      <c r="N54" s="124">
        <v>12690.0322</v>
      </c>
      <c r="O54" s="124">
        <v>12747.793</v>
      </c>
      <c r="P54" s="124">
        <v>12663.2852</v>
      </c>
    </row>
    <row r="55" spans="1:16" ht="13.15" x14ac:dyDescent="0.4">
      <c r="A55" s="40">
        <v>6</v>
      </c>
      <c r="B55" s="124">
        <v>10962.7793</v>
      </c>
      <c r="C55" s="124">
        <v>10971.637699999999</v>
      </c>
      <c r="D55" s="124">
        <v>11036.374</v>
      </c>
      <c r="E55" s="124">
        <v>10959.198200000001</v>
      </c>
      <c r="F55" s="124">
        <v>10981.7266</v>
      </c>
      <c r="G55" s="124">
        <v>10966.0977</v>
      </c>
      <c r="H55" s="124">
        <v>10950.0322</v>
      </c>
      <c r="I55" s="124">
        <v>10948.4697</v>
      </c>
      <c r="J55" s="124">
        <v>10841.176799999999</v>
      </c>
      <c r="K55" s="124">
        <v>10964.088900000001</v>
      </c>
      <c r="L55" s="124">
        <v>11050.4434</v>
      </c>
      <c r="M55" s="124">
        <v>11025.791999999999</v>
      </c>
      <c r="N55" s="124">
        <v>11018.7822</v>
      </c>
      <c r="O55" s="124">
        <v>11046.569299999999</v>
      </c>
      <c r="P55" s="124">
        <v>10962.862300000001</v>
      </c>
    </row>
    <row r="56" spans="1:16" ht="13.15" x14ac:dyDescent="0.4">
      <c r="A56" s="40">
        <v>7</v>
      </c>
      <c r="B56" s="124">
        <v>9498.5136999999995</v>
      </c>
      <c r="C56" s="124">
        <v>9472.5244000000002</v>
      </c>
      <c r="D56" s="124">
        <v>9550.8184000000001</v>
      </c>
      <c r="E56" s="124">
        <v>9467.9120999999996</v>
      </c>
      <c r="F56" s="124">
        <v>9480.7919999999995</v>
      </c>
      <c r="G56" s="124">
        <v>9486.3135000000002</v>
      </c>
      <c r="H56" s="124">
        <v>9462.5663999999997</v>
      </c>
      <c r="I56" s="124">
        <v>9481.5938000000006</v>
      </c>
      <c r="J56" s="124">
        <v>9376.3467000000001</v>
      </c>
      <c r="K56" s="124">
        <v>9492.7811999999994</v>
      </c>
      <c r="L56" s="124">
        <v>9581.4775000000009</v>
      </c>
      <c r="M56" s="124">
        <v>9515.3359</v>
      </c>
      <c r="N56" s="124">
        <v>9515.4678000000004</v>
      </c>
      <c r="O56" s="124">
        <v>9533.7559000000001</v>
      </c>
      <c r="P56" s="124">
        <v>9474.1923999999999</v>
      </c>
    </row>
    <row r="57" spans="1:16" ht="13.15" x14ac:dyDescent="0.4">
      <c r="A57" s="40">
        <v>8</v>
      </c>
      <c r="B57" s="124">
        <v>8179.5712999999996</v>
      </c>
      <c r="C57" s="124">
        <v>8207.5136999999995</v>
      </c>
      <c r="D57" s="124">
        <v>8228.4061999999994</v>
      </c>
      <c r="E57" s="124">
        <v>8134.6953000000003</v>
      </c>
      <c r="F57" s="124">
        <v>8167.1410999999998</v>
      </c>
      <c r="G57" s="124">
        <v>8180.5102999999999</v>
      </c>
      <c r="H57" s="124">
        <v>8148.1201000000001</v>
      </c>
      <c r="I57" s="124">
        <v>8178.7349000000004</v>
      </c>
      <c r="J57" s="124">
        <v>8092.8495999999996</v>
      </c>
      <c r="K57" s="124">
        <v>8187.5038999999997</v>
      </c>
      <c r="L57" s="124">
        <v>8266.0067999999992</v>
      </c>
      <c r="M57" s="124">
        <v>8180.7568000000001</v>
      </c>
      <c r="N57" s="124">
        <v>8211.9951000000001</v>
      </c>
      <c r="O57" s="124">
        <v>8209.4902000000002</v>
      </c>
      <c r="P57" s="124">
        <v>8151.5649000000003</v>
      </c>
    </row>
    <row r="58" spans="1:16" ht="13.15" x14ac:dyDescent="0.4">
      <c r="A58" s="40">
        <v>9</v>
      </c>
      <c r="B58" s="124">
        <v>7004.0102999999999</v>
      </c>
      <c r="C58" s="124">
        <v>7082.7124000000003</v>
      </c>
      <c r="D58" s="124">
        <v>7076.9652999999998</v>
      </c>
      <c r="E58" s="124">
        <v>6994.9135999999999</v>
      </c>
      <c r="F58" s="124">
        <v>7015.6943000000001</v>
      </c>
      <c r="G58" s="124">
        <v>7036.1518999999998</v>
      </c>
      <c r="H58" s="124">
        <v>7008.1611000000003</v>
      </c>
      <c r="I58" s="124">
        <v>7035.0752000000002</v>
      </c>
      <c r="J58" s="124">
        <v>6946.0541999999996</v>
      </c>
      <c r="K58" s="124">
        <v>7035.7870999999996</v>
      </c>
      <c r="L58" s="124">
        <v>7106.75</v>
      </c>
      <c r="M58" s="124">
        <v>7003.0424999999996</v>
      </c>
      <c r="N58" s="124">
        <v>7051.1782000000003</v>
      </c>
      <c r="O58" s="124">
        <v>7057.8887000000004</v>
      </c>
      <c r="P58" s="124">
        <v>7012.1220999999996</v>
      </c>
    </row>
    <row r="59" spans="1:16" ht="13.15" x14ac:dyDescent="0.4">
      <c r="A59" s="40">
        <v>10</v>
      </c>
      <c r="B59" s="124">
        <v>5954.3984</v>
      </c>
      <c r="C59" s="124">
        <v>6046.7554</v>
      </c>
      <c r="D59" s="124">
        <v>6030.9204</v>
      </c>
      <c r="E59" s="124">
        <v>5974.0429999999997</v>
      </c>
      <c r="F59" s="124">
        <v>5994.8149000000003</v>
      </c>
      <c r="G59" s="124">
        <v>6020.6992</v>
      </c>
      <c r="H59" s="124">
        <v>5973.7114000000001</v>
      </c>
      <c r="I59" s="124">
        <v>6023.1562000000004</v>
      </c>
      <c r="J59" s="124">
        <v>5929.7739000000001</v>
      </c>
      <c r="K59" s="124">
        <v>6011.4018999999998</v>
      </c>
      <c r="L59" s="124">
        <v>6082.8198000000002</v>
      </c>
      <c r="M59" s="124">
        <v>5966.7821999999996</v>
      </c>
      <c r="N59" s="124">
        <v>5974.3931000000002</v>
      </c>
      <c r="O59" s="124">
        <v>6001.0684000000001</v>
      </c>
      <c r="P59" s="124">
        <v>5975.8397999999997</v>
      </c>
    </row>
    <row r="60" spans="1:16" ht="13.15" x14ac:dyDescent="0.4">
      <c r="A60" s="40">
        <v>11</v>
      </c>
      <c r="B60" s="124">
        <v>5009.2798000000003</v>
      </c>
      <c r="C60" s="124">
        <v>5107.7201999999997</v>
      </c>
      <c r="D60" s="124">
        <v>5082.7866000000004</v>
      </c>
      <c r="E60" s="124">
        <v>5020.2206999999999</v>
      </c>
      <c r="F60" s="124">
        <v>5061.2313999999997</v>
      </c>
      <c r="G60" s="124">
        <v>5084.9696999999996</v>
      </c>
      <c r="H60" s="124">
        <v>5048.3402999999998</v>
      </c>
      <c r="I60" s="124">
        <v>5093.5263999999997</v>
      </c>
      <c r="J60" s="124">
        <v>5007.6948000000002</v>
      </c>
      <c r="K60" s="124">
        <v>5080.9224000000004</v>
      </c>
      <c r="L60" s="124">
        <v>5113.8589000000002</v>
      </c>
      <c r="M60" s="124">
        <v>5036.3388999999997</v>
      </c>
      <c r="N60" s="124">
        <v>5034.4247999999998</v>
      </c>
      <c r="O60" s="124">
        <v>5062.1484</v>
      </c>
      <c r="P60" s="124">
        <v>5035.0165999999999</v>
      </c>
    </row>
    <row r="61" spans="1:16" ht="13.15" x14ac:dyDescent="0.4">
      <c r="A61" s="40">
        <v>12</v>
      </c>
      <c r="B61" s="124">
        <v>4176.4951000000001</v>
      </c>
      <c r="C61" s="124">
        <v>4255.7896000000001</v>
      </c>
      <c r="D61" s="124">
        <v>4236.3837999999996</v>
      </c>
      <c r="E61" s="124">
        <v>4181.8456999999999</v>
      </c>
      <c r="F61" s="124">
        <v>4210.7456000000002</v>
      </c>
      <c r="G61" s="124">
        <v>4251.8217999999997</v>
      </c>
      <c r="H61" s="124">
        <v>4201.3433000000005</v>
      </c>
      <c r="I61" s="124">
        <v>4262.6396000000004</v>
      </c>
      <c r="J61" s="124">
        <v>4167.1836000000003</v>
      </c>
      <c r="K61" s="124">
        <v>4243.7133999999996</v>
      </c>
      <c r="L61" s="124">
        <v>4269.1229999999996</v>
      </c>
      <c r="M61" s="124">
        <v>4205.3945000000003</v>
      </c>
      <c r="N61" s="124">
        <v>4194.2173000000003</v>
      </c>
      <c r="O61" s="124">
        <v>4228.6620999999996</v>
      </c>
      <c r="P61" s="124">
        <v>4186.3242</v>
      </c>
    </row>
    <row r="62" spans="1:16" ht="13.15" x14ac:dyDescent="0.4">
      <c r="A62" s="40">
        <v>13</v>
      </c>
      <c r="B62" s="124">
        <v>3425.6008000000002</v>
      </c>
      <c r="C62" s="124">
        <v>3502.9717000000001</v>
      </c>
      <c r="D62" s="124">
        <v>3485.7939000000001</v>
      </c>
      <c r="E62" s="124">
        <v>3430.9829</v>
      </c>
      <c r="F62" s="124">
        <v>3454.0783999999999</v>
      </c>
      <c r="G62" s="124">
        <v>3493.6876999999999</v>
      </c>
      <c r="H62" s="124">
        <v>3453.5369000000001</v>
      </c>
      <c r="I62" s="124">
        <v>3512.1965</v>
      </c>
      <c r="J62" s="124">
        <v>3425.8787000000002</v>
      </c>
      <c r="K62" s="124">
        <v>3481.9014000000002</v>
      </c>
      <c r="L62" s="124">
        <v>3509.8332999999998</v>
      </c>
      <c r="M62" s="124">
        <v>3468.0412999999999</v>
      </c>
      <c r="N62" s="124">
        <v>3442.4783000000002</v>
      </c>
      <c r="O62" s="124">
        <v>3482.6401000000001</v>
      </c>
      <c r="P62" s="124">
        <v>3439.3283999999999</v>
      </c>
    </row>
    <row r="63" spans="1:16" ht="13.15" x14ac:dyDescent="0.4">
      <c r="A63" s="40">
        <v>14</v>
      </c>
      <c r="B63" s="124">
        <v>2755.8002999999999</v>
      </c>
      <c r="C63" s="124">
        <v>2817.5084999999999</v>
      </c>
      <c r="D63" s="124">
        <v>2818.5691000000002</v>
      </c>
      <c r="E63" s="124">
        <v>2772.8454999999999</v>
      </c>
      <c r="F63" s="124">
        <v>2788.4094</v>
      </c>
      <c r="G63" s="124">
        <v>2830.7595000000001</v>
      </c>
      <c r="H63" s="124">
        <v>2789.9308999999998</v>
      </c>
      <c r="I63" s="124">
        <v>2837.1496999999999</v>
      </c>
      <c r="J63" s="124">
        <v>2770.9236000000001</v>
      </c>
      <c r="K63" s="124">
        <v>2822.8906000000002</v>
      </c>
      <c r="L63" s="124">
        <v>2827.7646</v>
      </c>
      <c r="M63" s="124">
        <v>2800.7766000000001</v>
      </c>
      <c r="N63" s="124">
        <v>2781.4775</v>
      </c>
      <c r="O63" s="124">
        <v>2813.8400999999999</v>
      </c>
      <c r="P63" s="124">
        <v>2783.6896999999999</v>
      </c>
    </row>
    <row r="64" spans="1:16" ht="13.15" x14ac:dyDescent="0.4">
      <c r="A64" s="40">
        <v>15</v>
      </c>
      <c r="B64" s="124">
        <v>2195.9805000000001</v>
      </c>
      <c r="C64" s="124">
        <v>2229.1628000000001</v>
      </c>
      <c r="D64" s="124">
        <v>2238.8496</v>
      </c>
      <c r="E64" s="124">
        <v>2201.0666999999999</v>
      </c>
      <c r="F64" s="124">
        <v>2209.9045000000001</v>
      </c>
      <c r="G64" s="124">
        <v>2256.6986999999999</v>
      </c>
      <c r="H64" s="124">
        <v>2226.1442999999999</v>
      </c>
      <c r="I64" s="124">
        <v>2254.5979000000002</v>
      </c>
      <c r="J64" s="124">
        <v>2203.5023999999999</v>
      </c>
      <c r="K64" s="124">
        <v>2235.0617999999999</v>
      </c>
      <c r="L64" s="124">
        <v>2242.2222000000002</v>
      </c>
      <c r="M64" s="124">
        <v>2237.5385999999999</v>
      </c>
      <c r="N64" s="124">
        <v>2210.2411999999999</v>
      </c>
      <c r="O64" s="124">
        <v>2238.6772000000001</v>
      </c>
      <c r="P64" s="124">
        <v>2209.1248000000001</v>
      </c>
    </row>
    <row r="65" spans="1:16" ht="13.15" x14ac:dyDescent="0.4">
      <c r="A65" s="40">
        <v>16</v>
      </c>
      <c r="B65" s="124">
        <v>1714.3744999999999</v>
      </c>
      <c r="C65" s="124">
        <v>1753.3922</v>
      </c>
      <c r="D65" s="124">
        <v>1746.5326</v>
      </c>
      <c r="E65" s="124">
        <v>1724.5553</v>
      </c>
      <c r="F65" s="124">
        <v>1710.4676999999999</v>
      </c>
      <c r="G65" s="124">
        <v>1777.6405</v>
      </c>
      <c r="H65" s="124">
        <v>1740.0165999999999</v>
      </c>
      <c r="I65" s="124">
        <v>1759.5651</v>
      </c>
      <c r="J65" s="124">
        <v>1722.6201000000001</v>
      </c>
      <c r="K65" s="124">
        <v>1739.6166000000001</v>
      </c>
      <c r="L65" s="124">
        <v>1751.5325</v>
      </c>
      <c r="M65" s="124">
        <v>1741.5123000000001</v>
      </c>
      <c r="N65" s="124">
        <v>1729.4335000000001</v>
      </c>
      <c r="O65" s="124">
        <v>1754.9640999999999</v>
      </c>
      <c r="P65" s="124">
        <v>1718.9127000000001</v>
      </c>
    </row>
    <row r="66" spans="1:16" ht="13.15" x14ac:dyDescent="0.4">
      <c r="A66" s="40">
        <v>17</v>
      </c>
      <c r="B66" s="124">
        <v>1318.2778000000001</v>
      </c>
      <c r="C66" s="124">
        <v>1347.8096</v>
      </c>
      <c r="D66" s="124">
        <v>1346.6006</v>
      </c>
      <c r="E66" s="124">
        <v>1317.2914000000001</v>
      </c>
      <c r="F66" s="124">
        <v>1320.704</v>
      </c>
      <c r="G66" s="124">
        <v>1370.963</v>
      </c>
      <c r="H66" s="124">
        <v>1335.0206000000001</v>
      </c>
      <c r="I66" s="124">
        <v>1347.1377</v>
      </c>
      <c r="J66" s="124">
        <v>1324.2572</v>
      </c>
      <c r="K66" s="124">
        <v>1336.6685</v>
      </c>
      <c r="L66" s="124">
        <v>1350.1421</v>
      </c>
      <c r="M66" s="124">
        <v>1336.4114</v>
      </c>
      <c r="N66" s="124">
        <v>1324.2456999999999</v>
      </c>
      <c r="O66" s="124">
        <v>1349.7447999999999</v>
      </c>
      <c r="P66" s="124">
        <v>1327.2672</v>
      </c>
    </row>
    <row r="67" spans="1:16" ht="13.15" x14ac:dyDescent="0.4">
      <c r="A67" s="40">
        <v>18</v>
      </c>
      <c r="B67" s="124">
        <v>1013.2142</v>
      </c>
      <c r="C67" s="124">
        <v>1031.5453</v>
      </c>
      <c r="D67" s="124">
        <v>1021.2689</v>
      </c>
      <c r="E67" s="124">
        <v>1013.3796</v>
      </c>
      <c r="F67" s="124">
        <v>1010.1597</v>
      </c>
      <c r="G67" s="124">
        <v>1056.8606</v>
      </c>
      <c r="H67" s="124">
        <v>1015.9293</v>
      </c>
      <c r="I67" s="124">
        <v>1040.6688999999999</v>
      </c>
      <c r="J67" s="124">
        <v>1012.0694999999999</v>
      </c>
      <c r="K67" s="124">
        <v>1022.9102</v>
      </c>
      <c r="L67" s="124">
        <v>1025.0719999999999</v>
      </c>
      <c r="M67" s="124">
        <v>1023.6155</v>
      </c>
      <c r="N67" s="124">
        <v>1004.5489</v>
      </c>
      <c r="O67" s="124">
        <v>1037.4579000000001</v>
      </c>
      <c r="P67" s="124">
        <v>1014.2649</v>
      </c>
    </row>
    <row r="68" spans="1:16" ht="13.15" x14ac:dyDescent="0.4">
      <c r="A68" s="40">
        <v>19</v>
      </c>
      <c r="B68" s="124">
        <v>776.48869999999999</v>
      </c>
      <c r="C68" s="124">
        <v>775.91780000000006</v>
      </c>
      <c r="D68" s="124">
        <v>777.73099999999999</v>
      </c>
      <c r="E68" s="124">
        <v>769.49189999999999</v>
      </c>
      <c r="F68" s="124">
        <v>773.0154</v>
      </c>
      <c r="G68" s="124">
        <v>814.77170000000001</v>
      </c>
      <c r="H68" s="124">
        <v>774.82339999999999</v>
      </c>
      <c r="I68" s="124">
        <v>804.51210000000003</v>
      </c>
      <c r="J68" s="124">
        <v>771.6549</v>
      </c>
      <c r="K68" s="124">
        <v>775.14520000000005</v>
      </c>
      <c r="L68" s="124">
        <v>786.13260000000002</v>
      </c>
      <c r="M68" s="124">
        <v>777.9796</v>
      </c>
      <c r="N68" s="124">
        <v>759.5521</v>
      </c>
      <c r="O68" s="124">
        <v>784.30759999999998</v>
      </c>
      <c r="P68" s="124">
        <v>774.60680000000002</v>
      </c>
    </row>
    <row r="69" spans="1:16" ht="13.15" x14ac:dyDescent="0.4">
      <c r="A69" s="40">
        <v>20</v>
      </c>
      <c r="B69" s="124">
        <v>595.6105</v>
      </c>
      <c r="C69" s="124">
        <v>600.2441</v>
      </c>
      <c r="D69" s="124">
        <v>592.17359999999996</v>
      </c>
      <c r="E69" s="124">
        <v>586.02260000000001</v>
      </c>
      <c r="F69" s="124">
        <v>590.17750000000001</v>
      </c>
      <c r="G69" s="124">
        <v>619.95609999999999</v>
      </c>
      <c r="H69" s="124">
        <v>594.58659999999998</v>
      </c>
      <c r="I69" s="124">
        <v>619.09870000000001</v>
      </c>
      <c r="J69" s="124">
        <v>594.37429999999995</v>
      </c>
      <c r="K69" s="124">
        <v>596.16869999999994</v>
      </c>
      <c r="L69" s="124">
        <v>606.88819999999998</v>
      </c>
      <c r="M69" s="124">
        <v>587.39260000000002</v>
      </c>
      <c r="N69" s="124">
        <v>576.48689999999999</v>
      </c>
      <c r="O69" s="124">
        <v>607.59550000000002</v>
      </c>
      <c r="P69" s="124">
        <v>588.01880000000006</v>
      </c>
    </row>
    <row r="70" spans="1:16" ht="13.15" x14ac:dyDescent="0.4">
      <c r="A70" s="40">
        <v>21</v>
      </c>
      <c r="B70" s="124">
        <v>460.33030000000002</v>
      </c>
      <c r="C70" s="124">
        <v>454.92700000000002</v>
      </c>
      <c r="D70" s="124">
        <v>453.63350000000003</v>
      </c>
      <c r="E70" s="124">
        <v>448.35680000000002</v>
      </c>
      <c r="F70" s="124">
        <v>444.81110000000001</v>
      </c>
      <c r="G70" s="124">
        <v>471.97239999999999</v>
      </c>
      <c r="H70" s="124">
        <v>457.20510000000002</v>
      </c>
      <c r="I70" s="124">
        <v>485.9237</v>
      </c>
      <c r="J70" s="124">
        <v>455.3723</v>
      </c>
      <c r="K70" s="124">
        <v>458.15750000000003</v>
      </c>
      <c r="L70" s="124">
        <v>468.88</v>
      </c>
      <c r="M70" s="124">
        <v>452.58300000000003</v>
      </c>
      <c r="N70" s="124">
        <v>437.6087</v>
      </c>
      <c r="O70" s="124">
        <v>457.4153</v>
      </c>
      <c r="P70" s="124">
        <v>450.80520000000001</v>
      </c>
    </row>
    <row r="71" spans="1:16" ht="13.15" x14ac:dyDescent="0.4">
      <c r="A71" s="40">
        <v>22</v>
      </c>
      <c r="B71" s="124">
        <v>357.71230000000003</v>
      </c>
      <c r="C71" s="124">
        <v>349.59269999999998</v>
      </c>
      <c r="D71" s="124">
        <v>348.33339999999998</v>
      </c>
      <c r="E71" s="124">
        <v>346.76990000000001</v>
      </c>
      <c r="F71" s="124">
        <v>336.05450000000002</v>
      </c>
      <c r="G71" s="124">
        <v>362.79509999999999</v>
      </c>
      <c r="H71" s="124">
        <v>345.93900000000002</v>
      </c>
      <c r="I71" s="124">
        <v>372.58949999999999</v>
      </c>
      <c r="J71" s="124">
        <v>350.68560000000002</v>
      </c>
      <c r="K71" s="124">
        <v>346.46460000000002</v>
      </c>
      <c r="L71" s="124">
        <v>359.06659999999999</v>
      </c>
      <c r="M71" s="124">
        <v>344.52710000000002</v>
      </c>
      <c r="N71" s="124">
        <v>340.93470000000002</v>
      </c>
      <c r="O71" s="124">
        <v>353.89699999999999</v>
      </c>
      <c r="P71" s="124">
        <v>344.82780000000002</v>
      </c>
    </row>
    <row r="72" spans="1:16" ht="13.15" x14ac:dyDescent="0.4">
      <c r="A72" s="40">
        <v>23</v>
      </c>
      <c r="B72" s="124">
        <v>274.61779999999999</v>
      </c>
      <c r="C72" s="124">
        <v>270.11829999999998</v>
      </c>
      <c r="D72" s="124">
        <v>267.84410000000003</v>
      </c>
      <c r="E72" s="124">
        <v>262.8227</v>
      </c>
      <c r="F72" s="124">
        <v>255.92750000000001</v>
      </c>
      <c r="G72" s="124">
        <v>280.22949999999997</v>
      </c>
      <c r="H72" s="124">
        <v>264.97149999999999</v>
      </c>
      <c r="I72" s="124">
        <v>283.80939999999998</v>
      </c>
      <c r="J72" s="124">
        <v>267.01260000000002</v>
      </c>
      <c r="K72" s="124">
        <v>267.86360000000002</v>
      </c>
      <c r="L72" s="124">
        <v>272.6293</v>
      </c>
      <c r="M72" s="124">
        <v>264.23219999999998</v>
      </c>
      <c r="N72" s="124">
        <v>264.04520000000002</v>
      </c>
      <c r="O72" s="124">
        <v>265.23050000000001</v>
      </c>
      <c r="P72" s="124">
        <v>264.89769999999999</v>
      </c>
    </row>
    <row r="73" spans="1:16" ht="13.15" x14ac:dyDescent="0.4">
      <c r="A73" s="40">
        <v>24</v>
      </c>
      <c r="B73" s="124">
        <v>211.64750000000001</v>
      </c>
      <c r="C73" s="124">
        <v>207.61199999999999</v>
      </c>
      <c r="D73" s="124">
        <v>205.53229999999999</v>
      </c>
      <c r="E73" s="124">
        <v>198.88740000000001</v>
      </c>
      <c r="F73" s="124">
        <v>194.3612</v>
      </c>
      <c r="G73" s="124">
        <v>217.2413</v>
      </c>
      <c r="H73" s="124">
        <v>203.19489999999999</v>
      </c>
      <c r="I73" s="124">
        <v>219.83580000000001</v>
      </c>
      <c r="J73" s="124">
        <v>198.71530000000001</v>
      </c>
      <c r="K73" s="124">
        <v>201.85470000000001</v>
      </c>
      <c r="L73" s="124">
        <v>214.11109999999999</v>
      </c>
      <c r="M73" s="124">
        <v>200.59010000000001</v>
      </c>
      <c r="N73" s="124">
        <v>199.18899999999999</v>
      </c>
      <c r="O73" s="124">
        <v>206.4941</v>
      </c>
      <c r="P73" s="124">
        <v>198.9119</v>
      </c>
    </row>
    <row r="74" spans="1:16" ht="13.15" x14ac:dyDescent="0.4">
      <c r="A74" s="40">
        <v>25</v>
      </c>
      <c r="B74" s="124">
        <v>159.2784</v>
      </c>
      <c r="C74" s="124">
        <v>159.6335</v>
      </c>
      <c r="D74" s="124">
        <v>156.83840000000001</v>
      </c>
      <c r="E74" s="124">
        <v>146.43279999999999</v>
      </c>
      <c r="F74" s="124">
        <v>149.46510000000001</v>
      </c>
      <c r="G74" s="124">
        <v>169.0615</v>
      </c>
      <c r="H74" s="124">
        <v>156.1087</v>
      </c>
      <c r="I74" s="124">
        <v>171.55</v>
      </c>
      <c r="J74" s="124">
        <v>151.04669999999999</v>
      </c>
      <c r="K74" s="124">
        <v>148.6498</v>
      </c>
      <c r="L74" s="124">
        <v>163.14609999999999</v>
      </c>
      <c r="M74" s="124">
        <v>155.73759999999999</v>
      </c>
      <c r="N74" s="124">
        <v>150.9068</v>
      </c>
      <c r="O74" s="124">
        <v>155.05330000000001</v>
      </c>
      <c r="P74" s="124">
        <v>152.0651</v>
      </c>
    </row>
    <row r="75" spans="1:16" ht="13.15" x14ac:dyDescent="0.4">
      <c r="A75" s="40">
        <v>26</v>
      </c>
      <c r="B75" s="124">
        <v>119.63509999999999</v>
      </c>
      <c r="C75" s="124">
        <v>118.8443</v>
      </c>
      <c r="D75" s="124">
        <v>117.67570000000001</v>
      </c>
      <c r="E75" s="124">
        <v>108.9639</v>
      </c>
      <c r="F75" s="124">
        <v>109.0668</v>
      </c>
      <c r="G75" s="124">
        <v>129.876</v>
      </c>
      <c r="H75" s="124">
        <v>118.97629999999999</v>
      </c>
      <c r="I75" s="124">
        <v>129.23099999999999</v>
      </c>
      <c r="J75" s="124">
        <v>113.07599999999999</v>
      </c>
      <c r="K75" s="124">
        <v>112.3386</v>
      </c>
      <c r="L75" s="124">
        <v>121.5487</v>
      </c>
      <c r="M75" s="124">
        <v>114.42270000000001</v>
      </c>
      <c r="N75" s="124">
        <v>114.32850000000001</v>
      </c>
      <c r="O75" s="124">
        <v>119.6181</v>
      </c>
      <c r="P75" s="124">
        <v>112.68729999999999</v>
      </c>
    </row>
    <row r="76" spans="1:16" ht="13.15" x14ac:dyDescent="0.4">
      <c r="A76" s="40">
        <v>27</v>
      </c>
      <c r="B76" s="124">
        <v>90.230900000000005</v>
      </c>
      <c r="C76" s="124">
        <v>87.141800000000003</v>
      </c>
      <c r="D76" s="124">
        <v>87.472700000000003</v>
      </c>
      <c r="E76" s="124">
        <v>80.225899999999996</v>
      </c>
      <c r="F76" s="124">
        <v>80.139399999999995</v>
      </c>
      <c r="G76" s="124">
        <v>99.348799999999997</v>
      </c>
      <c r="H76" s="124">
        <v>92.464100000000002</v>
      </c>
      <c r="I76" s="124">
        <v>98.193600000000004</v>
      </c>
      <c r="J76" s="124">
        <v>80.616500000000002</v>
      </c>
      <c r="K76" s="124">
        <v>84.341700000000003</v>
      </c>
      <c r="L76" s="124">
        <v>94.090699999999998</v>
      </c>
      <c r="M76" s="124">
        <v>84.797300000000007</v>
      </c>
      <c r="N76" s="124">
        <v>84.003200000000007</v>
      </c>
      <c r="O76" s="124">
        <v>89.717399999999998</v>
      </c>
      <c r="P76" s="124">
        <v>82.517700000000005</v>
      </c>
    </row>
    <row r="77" spans="1:16" ht="13.15" x14ac:dyDescent="0.4">
      <c r="A77" s="40">
        <v>28</v>
      </c>
      <c r="B77" s="124">
        <v>69.898799999999994</v>
      </c>
      <c r="C77" s="124">
        <v>64.595699999999994</v>
      </c>
      <c r="D77" s="124">
        <v>61.956499999999998</v>
      </c>
      <c r="E77" s="124">
        <v>56.996200000000002</v>
      </c>
      <c r="F77" s="124">
        <v>58.446100000000001</v>
      </c>
      <c r="G77" s="124">
        <v>73.267899999999997</v>
      </c>
      <c r="H77" s="124">
        <v>67.810100000000006</v>
      </c>
      <c r="I77" s="124">
        <v>73.808999999999997</v>
      </c>
      <c r="J77" s="124">
        <v>59.745699999999999</v>
      </c>
      <c r="K77" s="124">
        <v>64.014600000000002</v>
      </c>
      <c r="L77" s="124">
        <v>70.938100000000006</v>
      </c>
      <c r="M77" s="124">
        <v>65.111599999999996</v>
      </c>
      <c r="N77" s="124">
        <v>62.3354</v>
      </c>
      <c r="O77" s="124">
        <v>65.441999999999993</v>
      </c>
      <c r="P77" s="124">
        <v>56.5075</v>
      </c>
    </row>
    <row r="78" spans="1:16" ht="13.15" x14ac:dyDescent="0.4">
      <c r="A78" s="40">
        <v>29</v>
      </c>
      <c r="B78" s="124">
        <v>47.988100000000003</v>
      </c>
      <c r="C78" s="124">
        <v>45.480400000000003</v>
      </c>
      <c r="D78" s="124">
        <v>43.917200000000001</v>
      </c>
      <c r="E78" s="124">
        <v>41.549700000000001</v>
      </c>
      <c r="F78" s="124">
        <v>41.618699999999997</v>
      </c>
      <c r="G78" s="124">
        <v>52.9679</v>
      </c>
      <c r="H78" s="124">
        <v>49.719299999999997</v>
      </c>
      <c r="I78" s="124">
        <v>53.574300000000001</v>
      </c>
      <c r="J78" s="124">
        <v>44.149900000000002</v>
      </c>
      <c r="K78" s="124">
        <v>45.077100000000002</v>
      </c>
      <c r="L78" s="124">
        <v>52.362200000000001</v>
      </c>
      <c r="M78" s="124">
        <v>44.977200000000003</v>
      </c>
      <c r="N78" s="124">
        <v>44.3812</v>
      </c>
      <c r="O78" s="124">
        <v>45.905200000000001</v>
      </c>
      <c r="P78" s="124">
        <v>41.194699999999997</v>
      </c>
    </row>
    <row r="79" spans="1:16" ht="13.15" x14ac:dyDescent="0.4">
      <c r="A79" s="40">
        <v>30</v>
      </c>
      <c r="B79" s="124">
        <v>33.470700000000001</v>
      </c>
      <c r="C79" s="124">
        <v>31.194099999999999</v>
      </c>
      <c r="D79" s="124">
        <v>31.610700000000001</v>
      </c>
      <c r="E79" s="124">
        <v>29.096800000000002</v>
      </c>
      <c r="F79" s="124">
        <v>28.025400000000001</v>
      </c>
      <c r="G79" s="124">
        <v>39.389800000000001</v>
      </c>
      <c r="H79" s="124">
        <v>37.4651</v>
      </c>
      <c r="I79" s="124">
        <v>41.628700000000002</v>
      </c>
      <c r="J79" s="124">
        <v>33.740600000000001</v>
      </c>
      <c r="K79" s="124">
        <v>31.168099999999999</v>
      </c>
      <c r="L79" s="124">
        <v>37.4208</v>
      </c>
      <c r="M79" s="124">
        <v>32.383600000000001</v>
      </c>
      <c r="N79" s="124">
        <v>31.356300000000001</v>
      </c>
      <c r="O79" s="124">
        <v>31.360199999999999</v>
      </c>
      <c r="P79" s="124">
        <v>30.5367</v>
      </c>
    </row>
    <row r="80" spans="1:16" ht="13.15" x14ac:dyDescent="0.4">
      <c r="A80" s="40">
        <v>38</v>
      </c>
      <c r="B80" s="124">
        <v>21.6417</v>
      </c>
      <c r="C80" s="124">
        <v>21.5718</v>
      </c>
      <c r="D80" s="124">
        <v>21.958600000000001</v>
      </c>
      <c r="E80" s="124">
        <v>21.074200000000001</v>
      </c>
      <c r="F80" s="124">
        <v>17.605699999999999</v>
      </c>
      <c r="G80" s="124">
        <v>29.441500000000001</v>
      </c>
      <c r="H80" s="124">
        <v>26.237400000000001</v>
      </c>
      <c r="I80" s="124">
        <v>30.648299999999999</v>
      </c>
      <c r="J80" s="124">
        <v>23.690200000000001</v>
      </c>
      <c r="K80" s="124">
        <v>20.379100000000001</v>
      </c>
      <c r="L80" s="124">
        <v>25.171500000000002</v>
      </c>
      <c r="M80" s="124">
        <v>20.749500000000001</v>
      </c>
      <c r="N80" s="124">
        <v>21.949400000000001</v>
      </c>
      <c r="O80" s="124">
        <v>20.735199999999999</v>
      </c>
      <c r="P80" s="124">
        <v>21.812899999999999</v>
      </c>
    </row>
    <row r="81" spans="1:32" ht="13.15" x14ac:dyDescent="0.4">
      <c r="A81" s="40">
        <v>50</v>
      </c>
      <c r="B81" s="124">
        <v>15.7272</v>
      </c>
      <c r="C81" s="124">
        <v>14.141500000000001</v>
      </c>
      <c r="D81" s="124">
        <v>15.261900000000001</v>
      </c>
      <c r="E81" s="124">
        <v>13.1714</v>
      </c>
      <c r="F81" s="124">
        <v>11.377800000000001</v>
      </c>
      <c r="G81" s="124">
        <v>23.6191</v>
      </c>
      <c r="H81" s="124">
        <v>19.648099999999999</v>
      </c>
      <c r="I81" s="124">
        <v>23.129799999999999</v>
      </c>
      <c r="J81" s="124">
        <v>17.468499999999999</v>
      </c>
      <c r="K81" s="124">
        <v>13.905799999999999</v>
      </c>
      <c r="L81" s="124">
        <v>16.556699999999999</v>
      </c>
      <c r="M81" s="124">
        <v>13.3132</v>
      </c>
      <c r="N81" s="124">
        <v>14.110300000000001</v>
      </c>
      <c r="O81" s="124">
        <v>14.7424</v>
      </c>
      <c r="P81" s="124">
        <v>13.172700000000001</v>
      </c>
    </row>
    <row r="82" spans="1:32" ht="13.15" x14ac:dyDescent="0.4">
      <c r="A82" s="40">
        <v>70</v>
      </c>
      <c r="B82" s="124">
        <v>10.3504</v>
      </c>
      <c r="C82" s="124">
        <v>9.3477999999999994</v>
      </c>
      <c r="D82" s="124">
        <v>8.8411000000000008</v>
      </c>
      <c r="E82" s="124">
        <v>8.2620000000000005</v>
      </c>
      <c r="F82" s="124">
        <v>7.6650999999999998</v>
      </c>
      <c r="G82" s="124">
        <v>18.552199999999999</v>
      </c>
      <c r="H82" s="124">
        <v>14.9757</v>
      </c>
      <c r="I82" s="124">
        <v>16.651499999999999</v>
      </c>
      <c r="J82" s="124">
        <v>12.323700000000001</v>
      </c>
      <c r="K82" s="124">
        <v>8.7509999999999994</v>
      </c>
      <c r="L82" s="124">
        <v>11.8454</v>
      </c>
      <c r="M82" s="124">
        <v>9.2353000000000005</v>
      </c>
      <c r="N82" s="124">
        <v>9.5274999999999999</v>
      </c>
      <c r="O82" s="124">
        <v>9.8283000000000005</v>
      </c>
      <c r="P82" s="124">
        <v>8.8615999999999993</v>
      </c>
    </row>
    <row r="85" spans="1:32" ht="13.15" x14ac:dyDescent="0.4">
      <c r="A85" t="s">
        <v>183</v>
      </c>
      <c r="B85" s="40" t="s">
        <v>184</v>
      </c>
      <c r="C85">
        <v>4</v>
      </c>
      <c r="D85">
        <v>5</v>
      </c>
      <c r="E85">
        <v>6</v>
      </c>
      <c r="F85">
        <v>7</v>
      </c>
      <c r="G85">
        <v>8</v>
      </c>
      <c r="H85">
        <v>9</v>
      </c>
      <c r="I85">
        <v>10</v>
      </c>
      <c r="J85">
        <v>11</v>
      </c>
      <c r="K85">
        <v>12</v>
      </c>
      <c r="L85">
        <v>13</v>
      </c>
      <c r="M85">
        <v>14</v>
      </c>
      <c r="N85">
        <v>15</v>
      </c>
      <c r="O85">
        <v>16</v>
      </c>
      <c r="P85">
        <v>17</v>
      </c>
      <c r="Q85">
        <v>18</v>
      </c>
      <c r="R85">
        <v>19</v>
      </c>
      <c r="S85">
        <v>20</v>
      </c>
      <c r="T85">
        <v>21</v>
      </c>
      <c r="U85">
        <v>22</v>
      </c>
      <c r="V85">
        <v>23</v>
      </c>
      <c r="W85">
        <v>24</v>
      </c>
      <c r="X85">
        <v>25</v>
      </c>
      <c r="Y85">
        <v>26</v>
      </c>
      <c r="Z85">
        <v>27</v>
      </c>
      <c r="AA85">
        <v>28</v>
      </c>
      <c r="AB85">
        <v>29</v>
      </c>
      <c r="AC85">
        <v>30</v>
      </c>
      <c r="AD85">
        <v>38</v>
      </c>
      <c r="AE85">
        <v>50</v>
      </c>
      <c r="AF85">
        <v>70</v>
      </c>
    </row>
    <row r="86" spans="1:32" x14ac:dyDescent="0.35">
      <c r="A86">
        <v>1</v>
      </c>
      <c r="B86">
        <v>7.4394</v>
      </c>
      <c r="C86">
        <v>14608.8809</v>
      </c>
      <c r="D86">
        <v>12631.854499999999</v>
      </c>
      <c r="E86">
        <v>10962.7793</v>
      </c>
      <c r="F86">
        <v>9498.5136999999995</v>
      </c>
      <c r="G86">
        <v>8179.5712999999996</v>
      </c>
      <c r="H86">
        <v>7004.0102999999999</v>
      </c>
      <c r="I86">
        <v>5954.3984</v>
      </c>
      <c r="J86">
        <v>5009.2798000000003</v>
      </c>
      <c r="K86">
        <v>4176.4951000000001</v>
      </c>
      <c r="L86">
        <v>3425.6008000000002</v>
      </c>
      <c r="M86">
        <v>2755.8002999999999</v>
      </c>
      <c r="N86">
        <v>2195.9805000000001</v>
      </c>
      <c r="O86">
        <v>1714.3744999999999</v>
      </c>
      <c r="P86">
        <v>1318.2778000000001</v>
      </c>
      <c r="Q86">
        <v>1013.2142</v>
      </c>
      <c r="R86">
        <v>776.48869999999999</v>
      </c>
      <c r="S86">
        <v>595.6105</v>
      </c>
      <c r="T86">
        <v>460.33030000000002</v>
      </c>
      <c r="U86">
        <v>357.71230000000003</v>
      </c>
      <c r="V86">
        <v>274.61779999999999</v>
      </c>
      <c r="W86">
        <v>211.64750000000001</v>
      </c>
      <c r="X86">
        <v>159.2784</v>
      </c>
      <c r="Y86">
        <v>119.63509999999999</v>
      </c>
      <c r="Z86">
        <v>90.230900000000005</v>
      </c>
      <c r="AA86">
        <v>69.898799999999994</v>
      </c>
      <c r="AB86">
        <v>47.988100000000003</v>
      </c>
      <c r="AC86">
        <v>33.470700000000001</v>
      </c>
      <c r="AD86">
        <v>21.6417</v>
      </c>
      <c r="AE86">
        <v>15.7272</v>
      </c>
      <c r="AF86">
        <v>10.3504</v>
      </c>
    </row>
    <row r="87" spans="1:32" x14ac:dyDescent="0.35">
      <c r="A87">
        <v>2</v>
      </c>
      <c r="B87">
        <v>8.3442000000000007</v>
      </c>
      <c r="C87">
        <v>14726.0928</v>
      </c>
      <c r="D87">
        <v>12706.499</v>
      </c>
      <c r="E87">
        <v>10971.637699999999</v>
      </c>
      <c r="F87">
        <v>9472.5244000000002</v>
      </c>
      <c r="G87">
        <v>8207.5136999999995</v>
      </c>
      <c r="H87">
        <v>7082.7124000000003</v>
      </c>
      <c r="I87">
        <v>6046.7554</v>
      </c>
      <c r="J87">
        <v>5107.7201999999997</v>
      </c>
      <c r="K87">
        <v>4255.7896000000001</v>
      </c>
      <c r="L87">
        <v>3502.9717000000001</v>
      </c>
      <c r="M87">
        <v>2817.5084999999999</v>
      </c>
      <c r="N87">
        <v>2229.1628000000001</v>
      </c>
      <c r="O87">
        <v>1753.3922</v>
      </c>
      <c r="P87">
        <v>1347.8096</v>
      </c>
      <c r="Q87">
        <v>1031.5453</v>
      </c>
      <c r="R87">
        <v>775.91780000000006</v>
      </c>
      <c r="S87">
        <v>600.2441</v>
      </c>
      <c r="T87">
        <v>454.92700000000002</v>
      </c>
      <c r="U87">
        <v>349.59269999999998</v>
      </c>
      <c r="V87">
        <v>270.11829999999998</v>
      </c>
      <c r="W87">
        <v>207.61199999999999</v>
      </c>
      <c r="X87">
        <v>159.6335</v>
      </c>
      <c r="Y87">
        <v>118.8443</v>
      </c>
      <c r="Z87">
        <v>87.141800000000003</v>
      </c>
      <c r="AA87">
        <v>64.595699999999994</v>
      </c>
      <c r="AB87">
        <v>45.480400000000003</v>
      </c>
      <c r="AC87">
        <v>31.194099999999999</v>
      </c>
      <c r="AD87">
        <v>21.5718</v>
      </c>
      <c r="AE87">
        <v>14.141500000000001</v>
      </c>
      <c r="AF87">
        <v>9.3477999999999994</v>
      </c>
    </row>
    <row r="88" spans="1:32" x14ac:dyDescent="0.35">
      <c r="A88">
        <v>3</v>
      </c>
      <c r="B88">
        <v>8.2882999999999996</v>
      </c>
      <c r="C88">
        <v>14734.098599999999</v>
      </c>
      <c r="D88">
        <v>12753.3447</v>
      </c>
      <c r="E88">
        <v>11036.374</v>
      </c>
      <c r="F88">
        <v>9550.8184000000001</v>
      </c>
      <c r="G88">
        <v>8228.4061999999994</v>
      </c>
      <c r="H88">
        <v>7076.9652999999998</v>
      </c>
      <c r="I88">
        <v>6030.9204</v>
      </c>
      <c r="J88">
        <v>5082.7866000000004</v>
      </c>
      <c r="K88">
        <v>4236.3837999999996</v>
      </c>
      <c r="L88">
        <v>3485.7939000000001</v>
      </c>
      <c r="M88">
        <v>2818.5691000000002</v>
      </c>
      <c r="N88">
        <v>2238.8496</v>
      </c>
      <c r="O88">
        <v>1746.5326</v>
      </c>
      <c r="P88">
        <v>1346.6006</v>
      </c>
      <c r="Q88">
        <v>1021.2689</v>
      </c>
      <c r="R88">
        <v>777.73099999999999</v>
      </c>
      <c r="S88">
        <v>592.17359999999996</v>
      </c>
      <c r="T88">
        <v>453.63350000000003</v>
      </c>
      <c r="U88">
        <v>348.33339999999998</v>
      </c>
      <c r="V88">
        <v>267.84410000000003</v>
      </c>
      <c r="W88">
        <v>205.53229999999999</v>
      </c>
      <c r="X88">
        <v>156.83840000000001</v>
      </c>
      <c r="Y88">
        <v>117.67570000000001</v>
      </c>
      <c r="Z88">
        <v>87.472700000000003</v>
      </c>
      <c r="AA88">
        <v>61.956499999999998</v>
      </c>
      <c r="AB88">
        <v>43.917200000000001</v>
      </c>
      <c r="AC88">
        <v>31.610700000000001</v>
      </c>
      <c r="AD88">
        <v>21.958600000000001</v>
      </c>
      <c r="AE88">
        <v>15.261900000000001</v>
      </c>
      <c r="AF88">
        <v>8.8411000000000008</v>
      </c>
    </row>
    <row r="89" spans="1:32" x14ac:dyDescent="0.35">
      <c r="A89">
        <v>4</v>
      </c>
      <c r="B89">
        <v>8.3513999999999999</v>
      </c>
      <c r="C89">
        <v>14654.0303</v>
      </c>
      <c r="D89">
        <v>12662.604499999999</v>
      </c>
      <c r="E89">
        <v>10959.198200000001</v>
      </c>
      <c r="F89">
        <v>9467.9120999999996</v>
      </c>
      <c r="G89">
        <v>8134.6953000000003</v>
      </c>
      <c r="H89">
        <v>6994.9135999999999</v>
      </c>
      <c r="I89">
        <v>5974.0429999999997</v>
      </c>
      <c r="J89">
        <v>5020.2206999999999</v>
      </c>
      <c r="K89">
        <v>4181.8456999999999</v>
      </c>
      <c r="L89">
        <v>3430.9829</v>
      </c>
      <c r="M89">
        <v>2772.8454999999999</v>
      </c>
      <c r="N89">
        <v>2201.0666999999999</v>
      </c>
      <c r="O89">
        <v>1724.5553</v>
      </c>
      <c r="P89">
        <v>1317.2914000000001</v>
      </c>
      <c r="Q89">
        <v>1013.3796</v>
      </c>
      <c r="R89">
        <v>769.49189999999999</v>
      </c>
      <c r="S89">
        <v>586.02260000000001</v>
      </c>
      <c r="T89">
        <v>448.35680000000002</v>
      </c>
      <c r="U89">
        <v>346.76990000000001</v>
      </c>
      <c r="V89">
        <v>262.8227</v>
      </c>
      <c r="W89">
        <v>198.88740000000001</v>
      </c>
      <c r="X89">
        <v>146.43279999999999</v>
      </c>
      <c r="Y89">
        <v>108.9639</v>
      </c>
      <c r="Z89">
        <v>80.225899999999996</v>
      </c>
      <c r="AA89">
        <v>56.996200000000002</v>
      </c>
      <c r="AB89">
        <v>41.549700000000001</v>
      </c>
      <c r="AC89">
        <v>29.096800000000002</v>
      </c>
      <c r="AD89">
        <v>21.074200000000001</v>
      </c>
      <c r="AE89">
        <v>13.1714</v>
      </c>
      <c r="AF89">
        <v>8.2620000000000005</v>
      </c>
    </row>
    <row r="90" spans="1:32" x14ac:dyDescent="0.35">
      <c r="A90">
        <v>5</v>
      </c>
      <c r="B90">
        <v>8.3496000000000006</v>
      </c>
      <c r="C90">
        <v>14670.570299999999</v>
      </c>
      <c r="D90">
        <v>12666.1621</v>
      </c>
      <c r="E90">
        <v>10981.7266</v>
      </c>
      <c r="F90">
        <v>9480.7919999999995</v>
      </c>
      <c r="G90">
        <v>8167.1410999999998</v>
      </c>
      <c r="H90">
        <v>7015.6943000000001</v>
      </c>
      <c r="I90">
        <v>5994.8149000000003</v>
      </c>
      <c r="J90">
        <v>5061.2313999999997</v>
      </c>
      <c r="K90">
        <v>4210.7456000000002</v>
      </c>
      <c r="L90">
        <v>3454.0783999999999</v>
      </c>
      <c r="M90">
        <v>2788.4094</v>
      </c>
      <c r="N90">
        <v>2209.9045000000001</v>
      </c>
      <c r="O90">
        <v>1710.4676999999999</v>
      </c>
      <c r="P90">
        <v>1320.704</v>
      </c>
      <c r="Q90">
        <v>1010.1597</v>
      </c>
      <c r="R90">
        <v>773.0154</v>
      </c>
      <c r="S90">
        <v>590.17750000000001</v>
      </c>
      <c r="T90">
        <v>444.81110000000001</v>
      </c>
      <c r="U90">
        <v>336.05450000000002</v>
      </c>
      <c r="V90">
        <v>255.92750000000001</v>
      </c>
      <c r="W90">
        <v>194.3612</v>
      </c>
      <c r="X90">
        <v>149.46510000000001</v>
      </c>
      <c r="Y90">
        <v>109.0668</v>
      </c>
      <c r="Z90">
        <v>80.139399999999995</v>
      </c>
      <c r="AA90">
        <v>58.446100000000001</v>
      </c>
      <c r="AB90">
        <v>41.618699999999997</v>
      </c>
      <c r="AC90">
        <v>28.025400000000001</v>
      </c>
      <c r="AD90">
        <v>17.605699999999999</v>
      </c>
      <c r="AE90">
        <v>11.377800000000001</v>
      </c>
      <c r="AF90">
        <v>7.6650999999999998</v>
      </c>
    </row>
    <row r="91" spans="1:32" x14ac:dyDescent="0.35">
      <c r="A91">
        <v>1</v>
      </c>
      <c r="B91">
        <v>7.4385000000000003</v>
      </c>
      <c r="C91">
        <v>14645.0488</v>
      </c>
      <c r="D91">
        <v>12657.4854</v>
      </c>
      <c r="E91">
        <v>10966.0977</v>
      </c>
      <c r="F91">
        <v>9486.3135000000002</v>
      </c>
      <c r="G91">
        <v>8180.5102999999999</v>
      </c>
      <c r="H91">
        <v>7036.1518999999998</v>
      </c>
      <c r="I91">
        <v>6020.6992</v>
      </c>
      <c r="J91">
        <v>5084.9696999999996</v>
      </c>
      <c r="K91">
        <v>4251.8217999999997</v>
      </c>
      <c r="L91">
        <v>3493.6876999999999</v>
      </c>
      <c r="M91">
        <v>2830.7595000000001</v>
      </c>
      <c r="N91">
        <v>2256.6986999999999</v>
      </c>
      <c r="O91">
        <v>1777.6405</v>
      </c>
      <c r="P91">
        <v>1370.963</v>
      </c>
      <c r="Q91">
        <v>1056.8606</v>
      </c>
      <c r="R91">
        <v>814.77170000000001</v>
      </c>
      <c r="S91">
        <v>619.95609999999999</v>
      </c>
      <c r="T91">
        <v>471.97239999999999</v>
      </c>
      <c r="U91">
        <v>362.79509999999999</v>
      </c>
      <c r="V91">
        <v>280.22949999999997</v>
      </c>
      <c r="W91">
        <v>217.2413</v>
      </c>
      <c r="X91">
        <v>169.0615</v>
      </c>
      <c r="Y91">
        <v>129.876</v>
      </c>
      <c r="Z91">
        <v>99.348799999999997</v>
      </c>
      <c r="AA91">
        <v>73.267899999999997</v>
      </c>
      <c r="AB91">
        <v>52.9679</v>
      </c>
      <c r="AC91">
        <v>39.389800000000001</v>
      </c>
      <c r="AD91">
        <v>29.441500000000001</v>
      </c>
      <c r="AE91">
        <v>23.6191</v>
      </c>
      <c r="AF91">
        <v>18.552199999999999</v>
      </c>
    </row>
    <row r="92" spans="1:32" x14ac:dyDescent="0.35">
      <c r="A92">
        <v>2</v>
      </c>
      <c r="B92">
        <v>8.3468999999999998</v>
      </c>
      <c r="C92">
        <v>14604.5537</v>
      </c>
      <c r="D92">
        <v>12627.732400000001</v>
      </c>
      <c r="E92">
        <v>10950.0322</v>
      </c>
      <c r="F92">
        <v>9462.5663999999997</v>
      </c>
      <c r="G92">
        <v>8148.1201000000001</v>
      </c>
      <c r="H92">
        <v>7008.1611000000003</v>
      </c>
      <c r="I92">
        <v>5973.7114000000001</v>
      </c>
      <c r="J92">
        <v>5048.3402999999998</v>
      </c>
      <c r="K92">
        <v>4201.3433000000005</v>
      </c>
      <c r="L92">
        <v>3453.5369000000001</v>
      </c>
      <c r="M92">
        <v>2789.9308999999998</v>
      </c>
      <c r="N92">
        <v>2226.1442999999999</v>
      </c>
      <c r="O92">
        <v>1740.0165999999999</v>
      </c>
      <c r="P92">
        <v>1335.0206000000001</v>
      </c>
      <c r="Q92">
        <v>1015.9293</v>
      </c>
      <c r="R92">
        <v>774.82339999999999</v>
      </c>
      <c r="S92">
        <v>594.58659999999998</v>
      </c>
      <c r="T92">
        <v>457.20510000000002</v>
      </c>
      <c r="U92">
        <v>345.93900000000002</v>
      </c>
      <c r="V92">
        <v>264.97149999999999</v>
      </c>
      <c r="W92">
        <v>203.19489999999999</v>
      </c>
      <c r="X92">
        <v>156.1087</v>
      </c>
      <c r="Y92">
        <v>118.97629999999999</v>
      </c>
      <c r="Z92">
        <v>92.464100000000002</v>
      </c>
      <c r="AA92">
        <v>67.810100000000006</v>
      </c>
      <c r="AB92">
        <v>49.719299999999997</v>
      </c>
      <c r="AC92">
        <v>37.4651</v>
      </c>
      <c r="AD92">
        <v>26.237400000000001</v>
      </c>
      <c r="AE92">
        <v>19.648099999999999</v>
      </c>
      <c r="AF92">
        <v>14.9757</v>
      </c>
    </row>
    <row r="93" spans="1:32" x14ac:dyDescent="0.35">
      <c r="A93">
        <v>3</v>
      </c>
      <c r="B93">
        <v>8.2875999999999994</v>
      </c>
      <c r="C93">
        <v>14624.151400000001</v>
      </c>
      <c r="D93">
        <v>12642.142599999999</v>
      </c>
      <c r="E93">
        <v>10948.4697</v>
      </c>
      <c r="F93">
        <v>9481.5938000000006</v>
      </c>
      <c r="G93">
        <v>8178.7349000000004</v>
      </c>
      <c r="H93">
        <v>7035.0752000000002</v>
      </c>
      <c r="I93">
        <v>6023.1562000000004</v>
      </c>
      <c r="J93">
        <v>5093.5263999999997</v>
      </c>
      <c r="K93">
        <v>4262.6396000000004</v>
      </c>
      <c r="L93">
        <v>3512.1965</v>
      </c>
      <c r="M93">
        <v>2837.1496999999999</v>
      </c>
      <c r="N93">
        <v>2254.5979000000002</v>
      </c>
      <c r="O93">
        <v>1759.5651</v>
      </c>
      <c r="P93">
        <v>1347.1377</v>
      </c>
      <c r="Q93">
        <v>1040.6688999999999</v>
      </c>
      <c r="R93">
        <v>804.51210000000003</v>
      </c>
      <c r="S93">
        <v>619.09870000000001</v>
      </c>
      <c r="T93">
        <v>485.9237</v>
      </c>
      <c r="U93">
        <v>372.58949999999999</v>
      </c>
      <c r="V93">
        <v>283.80939999999998</v>
      </c>
      <c r="W93">
        <v>219.83580000000001</v>
      </c>
      <c r="X93">
        <v>171.55</v>
      </c>
      <c r="Y93">
        <v>129.23099999999999</v>
      </c>
      <c r="Z93">
        <v>98.193600000000004</v>
      </c>
      <c r="AA93">
        <v>73.808999999999997</v>
      </c>
      <c r="AB93">
        <v>53.574300000000001</v>
      </c>
      <c r="AC93">
        <v>41.628700000000002</v>
      </c>
      <c r="AD93">
        <v>30.648299999999999</v>
      </c>
      <c r="AE93">
        <v>23.129799999999999</v>
      </c>
      <c r="AF93">
        <v>16.651499999999999</v>
      </c>
    </row>
    <row r="94" spans="1:32" x14ac:dyDescent="0.35">
      <c r="A94">
        <v>4</v>
      </c>
      <c r="B94">
        <v>8.3579000000000008</v>
      </c>
      <c r="C94">
        <v>14489.668</v>
      </c>
      <c r="D94">
        <v>12517.118200000001</v>
      </c>
      <c r="E94">
        <v>10841.176799999999</v>
      </c>
      <c r="F94">
        <v>9376.3467000000001</v>
      </c>
      <c r="G94">
        <v>8092.8495999999996</v>
      </c>
      <c r="H94">
        <v>6946.0541999999996</v>
      </c>
      <c r="I94">
        <v>5929.7739000000001</v>
      </c>
      <c r="J94">
        <v>5007.6948000000002</v>
      </c>
      <c r="K94">
        <v>4167.1836000000003</v>
      </c>
      <c r="L94">
        <v>3425.8787000000002</v>
      </c>
      <c r="M94">
        <v>2770.9236000000001</v>
      </c>
      <c r="N94">
        <v>2203.5023999999999</v>
      </c>
      <c r="O94">
        <v>1722.6201000000001</v>
      </c>
      <c r="P94">
        <v>1324.2572</v>
      </c>
      <c r="Q94">
        <v>1012.0694999999999</v>
      </c>
      <c r="R94">
        <v>771.6549</v>
      </c>
      <c r="S94">
        <v>594.37429999999995</v>
      </c>
      <c r="T94">
        <v>455.3723</v>
      </c>
      <c r="U94">
        <v>350.68560000000002</v>
      </c>
      <c r="V94">
        <v>267.01260000000002</v>
      </c>
      <c r="W94">
        <v>198.71530000000001</v>
      </c>
      <c r="X94">
        <v>151.04669999999999</v>
      </c>
      <c r="Y94">
        <v>113.07599999999999</v>
      </c>
      <c r="Z94">
        <v>80.616500000000002</v>
      </c>
      <c r="AA94">
        <v>59.745699999999999</v>
      </c>
      <c r="AB94">
        <v>44.149900000000002</v>
      </c>
      <c r="AC94">
        <v>33.740600000000001</v>
      </c>
      <c r="AD94">
        <v>23.690200000000001</v>
      </c>
      <c r="AE94">
        <v>17.468499999999999</v>
      </c>
      <c r="AF94">
        <v>12.323700000000001</v>
      </c>
    </row>
    <row r="95" spans="1:32" x14ac:dyDescent="0.35">
      <c r="A95">
        <v>5</v>
      </c>
      <c r="B95">
        <v>8.3419000000000008</v>
      </c>
      <c r="C95">
        <v>14687.5615</v>
      </c>
      <c r="D95">
        <v>12678.781199999999</v>
      </c>
      <c r="E95">
        <v>10964.088900000001</v>
      </c>
      <c r="F95">
        <v>9492.7811999999994</v>
      </c>
      <c r="G95">
        <v>8187.5038999999997</v>
      </c>
      <c r="H95">
        <v>7035.7870999999996</v>
      </c>
      <c r="I95">
        <v>6011.4018999999998</v>
      </c>
      <c r="J95">
        <v>5080.9224000000004</v>
      </c>
      <c r="K95">
        <v>4243.7133999999996</v>
      </c>
      <c r="L95">
        <v>3481.9014000000002</v>
      </c>
      <c r="M95">
        <v>2822.8906000000002</v>
      </c>
      <c r="N95">
        <v>2235.0617999999999</v>
      </c>
      <c r="O95">
        <v>1739.6166000000001</v>
      </c>
      <c r="P95">
        <v>1336.6685</v>
      </c>
      <c r="Q95">
        <v>1022.9102</v>
      </c>
      <c r="R95">
        <v>775.14520000000005</v>
      </c>
      <c r="S95">
        <v>596.16869999999994</v>
      </c>
      <c r="T95">
        <v>458.15750000000003</v>
      </c>
      <c r="U95">
        <v>346.46460000000002</v>
      </c>
      <c r="V95">
        <v>267.86360000000002</v>
      </c>
      <c r="W95">
        <v>201.85470000000001</v>
      </c>
      <c r="X95">
        <v>148.6498</v>
      </c>
      <c r="Y95">
        <v>112.3386</v>
      </c>
      <c r="Z95">
        <v>84.341700000000003</v>
      </c>
      <c r="AA95">
        <v>64.014600000000002</v>
      </c>
      <c r="AB95">
        <v>45.077100000000002</v>
      </c>
      <c r="AC95">
        <v>31.168099999999999</v>
      </c>
      <c r="AD95">
        <v>20.379100000000001</v>
      </c>
      <c r="AE95">
        <v>13.905799999999999</v>
      </c>
      <c r="AF95">
        <v>8.7509999999999994</v>
      </c>
    </row>
    <row r="96" spans="1:32" x14ac:dyDescent="0.35">
      <c r="A96">
        <v>1</v>
      </c>
      <c r="B96">
        <v>7.4290000000000003</v>
      </c>
      <c r="C96">
        <v>14734.9521</v>
      </c>
      <c r="D96">
        <v>12767.7832</v>
      </c>
      <c r="E96">
        <v>11050.4434</v>
      </c>
      <c r="F96">
        <v>9581.4775000000009</v>
      </c>
      <c r="G96">
        <v>8266.0067999999992</v>
      </c>
      <c r="H96">
        <v>7106.75</v>
      </c>
      <c r="I96">
        <v>6082.8198000000002</v>
      </c>
      <c r="J96">
        <v>5113.8589000000002</v>
      </c>
      <c r="K96">
        <v>4269.1229999999996</v>
      </c>
      <c r="L96">
        <v>3509.8332999999998</v>
      </c>
      <c r="M96">
        <v>2827.7646</v>
      </c>
      <c r="N96">
        <v>2242.2222000000002</v>
      </c>
      <c r="O96">
        <v>1751.5325</v>
      </c>
      <c r="P96">
        <v>1350.1421</v>
      </c>
      <c r="Q96">
        <v>1025.0719999999999</v>
      </c>
      <c r="R96">
        <v>786.13260000000002</v>
      </c>
      <c r="S96">
        <v>606.88819999999998</v>
      </c>
      <c r="T96">
        <v>468.88</v>
      </c>
      <c r="U96">
        <v>359.06659999999999</v>
      </c>
      <c r="V96">
        <v>272.6293</v>
      </c>
      <c r="W96">
        <v>214.11109999999999</v>
      </c>
      <c r="X96">
        <v>163.14609999999999</v>
      </c>
      <c r="Y96">
        <v>121.5487</v>
      </c>
      <c r="Z96">
        <v>94.090699999999998</v>
      </c>
      <c r="AA96">
        <v>70.938100000000006</v>
      </c>
      <c r="AB96">
        <v>52.362200000000001</v>
      </c>
      <c r="AC96">
        <v>37.4208</v>
      </c>
      <c r="AD96">
        <v>25.171500000000002</v>
      </c>
      <c r="AE96">
        <v>16.556699999999999</v>
      </c>
      <c r="AF96">
        <v>11.8454</v>
      </c>
    </row>
    <row r="97" spans="1:32" x14ac:dyDescent="0.35">
      <c r="A97">
        <v>2</v>
      </c>
      <c r="B97">
        <v>8.3376000000000001</v>
      </c>
      <c r="C97">
        <v>14756.612300000001</v>
      </c>
      <c r="D97">
        <v>12739.2803</v>
      </c>
      <c r="E97">
        <v>11025.791999999999</v>
      </c>
      <c r="F97">
        <v>9515.3359</v>
      </c>
      <c r="G97">
        <v>8180.7568000000001</v>
      </c>
      <c r="H97">
        <v>7003.0424999999996</v>
      </c>
      <c r="I97">
        <v>5966.7821999999996</v>
      </c>
      <c r="J97">
        <v>5036.3388999999997</v>
      </c>
      <c r="K97">
        <v>4205.3945000000003</v>
      </c>
      <c r="L97">
        <v>3468.0412999999999</v>
      </c>
      <c r="M97">
        <v>2800.7766000000001</v>
      </c>
      <c r="N97">
        <v>2237.5385999999999</v>
      </c>
      <c r="O97">
        <v>1741.5123000000001</v>
      </c>
      <c r="P97">
        <v>1336.4114</v>
      </c>
      <c r="Q97">
        <v>1023.6155</v>
      </c>
      <c r="R97">
        <v>777.9796</v>
      </c>
      <c r="S97">
        <v>587.39260000000002</v>
      </c>
      <c r="T97">
        <v>452.58300000000003</v>
      </c>
      <c r="U97">
        <v>344.52710000000002</v>
      </c>
      <c r="V97">
        <v>264.23219999999998</v>
      </c>
      <c r="W97">
        <v>200.59010000000001</v>
      </c>
      <c r="X97">
        <v>155.73759999999999</v>
      </c>
      <c r="Y97">
        <v>114.42270000000001</v>
      </c>
      <c r="Z97">
        <v>84.797300000000007</v>
      </c>
      <c r="AA97">
        <v>65.111599999999996</v>
      </c>
      <c r="AB97">
        <v>44.977200000000003</v>
      </c>
      <c r="AC97">
        <v>32.383600000000001</v>
      </c>
      <c r="AD97">
        <v>20.749500000000001</v>
      </c>
      <c r="AE97">
        <v>13.3132</v>
      </c>
      <c r="AF97">
        <v>9.2353000000000005</v>
      </c>
    </row>
    <row r="98" spans="1:32" x14ac:dyDescent="0.35">
      <c r="A98">
        <v>3</v>
      </c>
      <c r="B98">
        <v>8.2918000000000003</v>
      </c>
      <c r="C98">
        <v>14702.5273</v>
      </c>
      <c r="D98">
        <v>12690.0322</v>
      </c>
      <c r="E98">
        <v>11018.7822</v>
      </c>
      <c r="F98">
        <v>9515.4678000000004</v>
      </c>
      <c r="G98">
        <v>8211.9951000000001</v>
      </c>
      <c r="H98">
        <v>7051.1782000000003</v>
      </c>
      <c r="I98">
        <v>5974.3931000000002</v>
      </c>
      <c r="J98">
        <v>5034.4247999999998</v>
      </c>
      <c r="K98">
        <v>4194.2173000000003</v>
      </c>
      <c r="L98">
        <v>3442.4783000000002</v>
      </c>
      <c r="M98">
        <v>2781.4775</v>
      </c>
      <c r="N98">
        <v>2210.2411999999999</v>
      </c>
      <c r="O98">
        <v>1729.4335000000001</v>
      </c>
      <c r="P98">
        <v>1324.2456999999999</v>
      </c>
      <c r="Q98">
        <v>1004.5489</v>
      </c>
      <c r="R98">
        <v>759.5521</v>
      </c>
      <c r="S98">
        <v>576.48689999999999</v>
      </c>
      <c r="T98">
        <v>437.6087</v>
      </c>
      <c r="U98">
        <v>340.93470000000002</v>
      </c>
      <c r="V98">
        <v>264.04520000000002</v>
      </c>
      <c r="W98">
        <v>199.18899999999999</v>
      </c>
      <c r="X98">
        <v>150.9068</v>
      </c>
      <c r="Y98">
        <v>114.32850000000001</v>
      </c>
      <c r="Z98">
        <v>84.003200000000007</v>
      </c>
      <c r="AA98">
        <v>62.3354</v>
      </c>
      <c r="AB98">
        <v>44.3812</v>
      </c>
      <c r="AC98">
        <v>31.356300000000001</v>
      </c>
      <c r="AD98">
        <v>21.949400000000001</v>
      </c>
      <c r="AE98">
        <v>14.110300000000001</v>
      </c>
      <c r="AF98">
        <v>9.5274999999999999</v>
      </c>
    </row>
    <row r="99" spans="1:32" x14ac:dyDescent="0.35">
      <c r="A99">
        <v>4</v>
      </c>
      <c r="B99">
        <v>8.3432999999999993</v>
      </c>
      <c r="C99">
        <v>14757.046899999999</v>
      </c>
      <c r="D99">
        <v>12747.793</v>
      </c>
      <c r="E99">
        <v>11046.569299999999</v>
      </c>
      <c r="F99">
        <v>9533.7559000000001</v>
      </c>
      <c r="G99">
        <v>8209.4902000000002</v>
      </c>
      <c r="H99">
        <v>7057.8887000000004</v>
      </c>
      <c r="I99">
        <v>6001.0684000000001</v>
      </c>
      <c r="J99">
        <v>5062.1484</v>
      </c>
      <c r="K99">
        <v>4228.6620999999996</v>
      </c>
      <c r="L99">
        <v>3482.6401000000001</v>
      </c>
      <c r="M99">
        <v>2813.8400999999999</v>
      </c>
      <c r="N99">
        <v>2238.6772000000001</v>
      </c>
      <c r="O99">
        <v>1754.9640999999999</v>
      </c>
      <c r="P99">
        <v>1349.7447999999999</v>
      </c>
      <c r="Q99">
        <v>1037.4579000000001</v>
      </c>
      <c r="R99">
        <v>784.30759999999998</v>
      </c>
      <c r="S99">
        <v>607.59550000000002</v>
      </c>
      <c r="T99">
        <v>457.4153</v>
      </c>
      <c r="U99">
        <v>353.89699999999999</v>
      </c>
      <c r="V99">
        <v>265.23050000000001</v>
      </c>
      <c r="W99">
        <v>206.4941</v>
      </c>
      <c r="X99">
        <v>155.05330000000001</v>
      </c>
      <c r="Y99">
        <v>119.6181</v>
      </c>
      <c r="Z99">
        <v>89.717399999999998</v>
      </c>
      <c r="AA99">
        <v>65.441999999999993</v>
      </c>
      <c r="AB99">
        <v>45.905200000000001</v>
      </c>
      <c r="AC99">
        <v>31.360199999999999</v>
      </c>
      <c r="AD99">
        <v>20.735199999999999</v>
      </c>
      <c r="AE99">
        <v>14.7424</v>
      </c>
      <c r="AF99">
        <v>9.8283000000000005</v>
      </c>
    </row>
    <row r="100" spans="1:32" x14ac:dyDescent="0.35">
      <c r="A100">
        <v>5</v>
      </c>
      <c r="B100">
        <v>8.3506</v>
      </c>
      <c r="C100">
        <v>14674.137699999999</v>
      </c>
      <c r="D100">
        <v>12663.2852</v>
      </c>
      <c r="E100">
        <v>10962.862300000001</v>
      </c>
      <c r="F100">
        <v>9474.1923999999999</v>
      </c>
      <c r="G100">
        <v>8151.5649000000003</v>
      </c>
      <c r="H100">
        <v>7012.1220999999996</v>
      </c>
      <c r="I100">
        <v>5975.8397999999997</v>
      </c>
      <c r="J100">
        <v>5035.0165999999999</v>
      </c>
      <c r="K100">
        <v>4186.3242</v>
      </c>
      <c r="L100">
        <v>3439.3283999999999</v>
      </c>
      <c r="M100">
        <v>2783.6896999999999</v>
      </c>
      <c r="N100">
        <v>2209.1248000000001</v>
      </c>
      <c r="O100">
        <v>1718.9127000000001</v>
      </c>
      <c r="P100">
        <v>1327.2672</v>
      </c>
      <c r="Q100">
        <v>1014.2649</v>
      </c>
      <c r="R100">
        <v>774.60680000000002</v>
      </c>
      <c r="S100">
        <v>588.01880000000006</v>
      </c>
      <c r="T100">
        <v>450.80520000000001</v>
      </c>
      <c r="U100">
        <v>344.82780000000002</v>
      </c>
      <c r="V100">
        <v>264.89769999999999</v>
      </c>
      <c r="W100">
        <v>198.9119</v>
      </c>
      <c r="X100">
        <v>152.0651</v>
      </c>
      <c r="Y100">
        <v>112.68729999999999</v>
      </c>
      <c r="Z100">
        <v>82.517700000000005</v>
      </c>
      <c r="AA100">
        <v>56.5075</v>
      </c>
      <c r="AB100">
        <v>41.194699999999997</v>
      </c>
      <c r="AC100">
        <v>30.5367</v>
      </c>
      <c r="AD100">
        <v>21.812899999999999</v>
      </c>
      <c r="AE100">
        <v>13.172700000000001</v>
      </c>
      <c r="AF100">
        <v>8.8615999999999993</v>
      </c>
    </row>
  </sheetData>
  <mergeCells count="1">
    <mergeCell ref="A2:E2"/>
  </mergeCells>
  <conditionalFormatting sqref="H9:H40">
    <cfRule type="cellIs" dxfId="5" priority="1" operator="greaterThan">
      <formula>1000</formula>
    </cfRule>
  </conditionalFormatting>
  <conditionalFormatting sqref="K9:K40">
    <cfRule type="cellIs" dxfId="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F253E-1300-4B2A-A53F-627FFA283EFA}">
  <sheetPr codeName="Sheet6"/>
  <dimension ref="A1:AW128"/>
  <sheetViews>
    <sheetView zoomScale="70" zoomScaleNormal="70" workbookViewId="0">
      <selection activeCell="B8" sqref="B8:F38"/>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42" t="s">
        <v>110</v>
      </c>
      <c r="O2" s="42"/>
    </row>
    <row r="3" spans="1:49" ht="13.15" x14ac:dyDescent="0.4">
      <c r="A3" t="str">
        <f>'6 - B1'!$A$3</f>
        <v>Serial #</v>
      </c>
      <c r="B3" s="39" t="str">
        <f>'6 - B1'!$B$3</f>
        <v>11171-00009</v>
      </c>
    </row>
    <row r="4" spans="1:49" ht="19.149999999999999" customHeight="1" x14ac:dyDescent="1.05">
      <c r="A4" s="40" t="str">
        <f>'6 - B1'!$A$4</f>
        <v>Date</v>
      </c>
      <c r="B4" s="41">
        <f>'6 - B1'!$B$4</f>
        <v>46202</v>
      </c>
      <c r="O4" s="42"/>
    </row>
    <row r="5" spans="1:49" ht="13.15" x14ac:dyDescent="0.4">
      <c r="A5" s="40" t="str">
        <f>'6 - B1'!$A$5</f>
        <v>RM</v>
      </c>
      <c r="B5" s="66">
        <f>'6 - B1'!$B$5</f>
        <v>6003</v>
      </c>
      <c r="O5" s="44"/>
    </row>
    <row r="6" spans="1:49" ht="13.15" x14ac:dyDescent="0.4">
      <c r="B6" s="40"/>
      <c r="C6" s="40"/>
      <c r="D6" s="40"/>
      <c r="E6" s="40"/>
      <c r="F6" s="40"/>
    </row>
    <row r="7" spans="1:49" ht="14.65" x14ac:dyDescent="0.5">
      <c r="B7" s="19" t="s">
        <v>55</v>
      </c>
      <c r="C7" s="19" t="s">
        <v>56</v>
      </c>
      <c r="D7" s="19" t="s">
        <v>57</v>
      </c>
      <c r="E7" s="19" t="s">
        <v>58</v>
      </c>
      <c r="F7" s="19" t="s">
        <v>59</v>
      </c>
      <c r="G7" s="19" t="s">
        <v>60</v>
      </c>
      <c r="H7" s="19" t="s">
        <v>61</v>
      </c>
      <c r="I7" s="19" t="s">
        <v>62</v>
      </c>
      <c r="J7" s="19" t="s">
        <v>63</v>
      </c>
      <c r="K7" s="19" t="s">
        <v>64</v>
      </c>
      <c r="L7" s="19" t="s">
        <v>65</v>
      </c>
      <c r="M7" s="19" t="s">
        <v>66</v>
      </c>
      <c r="O7" s="19" t="s">
        <v>55</v>
      </c>
      <c r="P7" s="19" t="s">
        <v>56</v>
      </c>
      <c r="Q7" s="19" t="s">
        <v>57</v>
      </c>
      <c r="R7" s="19" t="s">
        <v>58</v>
      </c>
      <c r="S7" s="19" t="s">
        <v>59</v>
      </c>
    </row>
    <row r="8" spans="1:49" ht="13.15" x14ac:dyDescent="0.4">
      <c r="A8" s="15" t="s">
        <v>67</v>
      </c>
      <c r="B8" s="46">
        <f>G52</f>
        <v>7.4385000000000003</v>
      </c>
      <c r="C8" s="46">
        <f t="shared" ref="C8:F8" si="0">H52</f>
        <v>8.3468999999999998</v>
      </c>
      <c r="D8" s="46">
        <f t="shared" si="0"/>
        <v>8.2875999999999994</v>
      </c>
      <c r="E8" s="46">
        <f t="shared" si="0"/>
        <v>8.3579000000000008</v>
      </c>
      <c r="F8" s="46">
        <f t="shared" si="0"/>
        <v>8.3419000000000008</v>
      </c>
      <c r="G8" s="47">
        <f>AVERAGE(B$8:F$8)*5</f>
        <v>40.772800000000004</v>
      </c>
      <c r="I8" s="48"/>
      <c r="K8" s="48"/>
    </row>
    <row r="9" spans="1:49" ht="13.15" x14ac:dyDescent="0.4">
      <c r="A9" s="15" t="s">
        <v>68</v>
      </c>
      <c r="B9" s="46">
        <f t="shared" ref="B9:F9" si="1">G53</f>
        <v>14645.0488</v>
      </c>
      <c r="C9" s="46">
        <f t="shared" si="1"/>
        <v>14604.5537</v>
      </c>
      <c r="D9" s="46">
        <f t="shared" si="1"/>
        <v>14624.151400000001</v>
      </c>
      <c r="E9" s="46">
        <f t="shared" si="1"/>
        <v>14489.668</v>
      </c>
      <c r="F9" s="46">
        <f t="shared" si="1"/>
        <v>14687.5615</v>
      </c>
      <c r="G9" s="49">
        <f t="shared" ref="G9:G38" si="2">AVERAGE(B9:F9)</f>
        <v>14610.196679999999</v>
      </c>
      <c r="H9" s="50">
        <f t="shared" ref="H9:H38" si="3">G9*G$8</f>
        <v>595698.62719430402</v>
      </c>
      <c r="I9" s="48">
        <f t="shared" ref="I9:I38" si="4">STDEVP(B9:F9)/AVERAGE(B9:F9)</f>
        <v>4.5353734465248983E-3</v>
      </c>
      <c r="J9" s="48">
        <f t="shared" ref="J9:J38" si="5">IF(H9&gt;$A$43, $C$43, IF(H9&gt;$A$44, $C$44, IF(H9&gt;$A$45,$C$45,IF(H9&gt;$A$46,$C$46, IF(H9&gt;$A$47,$C$47,IF(H9&gt;$A$48,$C$48,$C$49))))))/100</f>
        <v>0.11</v>
      </c>
      <c r="K9" s="48">
        <f t="shared" ref="K9:K38" si="6">(MAX(B9:F9)-MIN(B9:F9))/G9</f>
        <v>1.3544889527113481E-2</v>
      </c>
      <c r="L9" s="22">
        <f>G9/'Clause 6'!$H$11</f>
        <v>14610.196679999999</v>
      </c>
      <c r="M9">
        <f t="shared" ref="M9:M38" si="7">COUNTA(B9:F9)</f>
        <v>5</v>
      </c>
      <c r="O9" s="51">
        <f>IF(ISNUMBER(B9), (B9/$G9-1), 0)</f>
        <v>2.3854654912147666E-3</v>
      </c>
      <c r="P9" s="51">
        <f t="shared" ref="P9:S38" si="8">IF(ISNUMBER(C9), (C9/$G9-1), 0)</f>
        <v>-3.8623573135898592E-4</v>
      </c>
      <c r="Q9" s="51">
        <f t="shared" si="8"/>
        <v>9.5513567035721003E-4</v>
      </c>
      <c r="R9" s="51">
        <f t="shared" si="8"/>
        <v>-8.2496274786629797E-3</v>
      </c>
      <c r="S9" s="51">
        <f t="shared" si="8"/>
        <v>5.2952620484505442E-3</v>
      </c>
    </row>
    <row r="10" spans="1:49" ht="13.15" x14ac:dyDescent="0.4">
      <c r="A10" s="15" t="s">
        <v>69</v>
      </c>
      <c r="B10" s="46">
        <f t="shared" ref="B10:F10" si="9">G54</f>
        <v>12657.4854</v>
      </c>
      <c r="C10" s="46">
        <f t="shared" si="9"/>
        <v>12627.732400000001</v>
      </c>
      <c r="D10" s="46">
        <f t="shared" si="9"/>
        <v>12642.142599999999</v>
      </c>
      <c r="E10" s="46">
        <f t="shared" si="9"/>
        <v>12517.118200000001</v>
      </c>
      <c r="F10" s="46">
        <f t="shared" si="9"/>
        <v>12678.781199999999</v>
      </c>
      <c r="G10" s="49">
        <f t="shared" si="2"/>
        <v>12624.651959999999</v>
      </c>
      <c r="H10" s="50">
        <f t="shared" si="3"/>
        <v>514742.40943468804</v>
      </c>
      <c r="I10" s="48">
        <f t="shared" si="4"/>
        <v>4.4649395357730139E-3</v>
      </c>
      <c r="J10" s="48">
        <f t="shared" si="5"/>
        <v>0.11</v>
      </c>
      <c r="K10" s="48">
        <f t="shared" si="6"/>
        <v>1.2805343110622961E-2</v>
      </c>
      <c r="L10" s="22">
        <f>G10/'Clause 6'!$H$11</f>
        <v>12624.651959999999</v>
      </c>
      <c r="M10">
        <f t="shared" si="7"/>
        <v>5</v>
      </c>
      <c r="O10" s="51">
        <f t="shared" ref="O10:O38" si="10">IF(ISNUMBER(B10), (B10/$G10-1), 0)</f>
        <v>2.6007402108216837E-3</v>
      </c>
      <c r="P10" s="51">
        <f t="shared" si="8"/>
        <v>2.4400197405527457E-4</v>
      </c>
      <c r="Q10" s="51">
        <f t="shared" si="8"/>
        <v>1.3854354207480934E-3</v>
      </c>
      <c r="R10" s="51">
        <f t="shared" si="8"/>
        <v>-8.5177603581237937E-3</v>
      </c>
      <c r="S10" s="51">
        <f t="shared" si="8"/>
        <v>4.2875827524990751E-3</v>
      </c>
    </row>
    <row r="11" spans="1:49" ht="13.15" x14ac:dyDescent="0.4">
      <c r="A11" s="15" t="s">
        <v>70</v>
      </c>
      <c r="B11" s="46">
        <f t="shared" ref="B11:F11" si="11">G55</f>
        <v>10966.0977</v>
      </c>
      <c r="C11" s="46">
        <f t="shared" si="11"/>
        <v>10950.0322</v>
      </c>
      <c r="D11" s="46">
        <f t="shared" si="11"/>
        <v>10948.4697</v>
      </c>
      <c r="E11" s="46">
        <f t="shared" si="11"/>
        <v>10841.176799999999</v>
      </c>
      <c r="F11" s="46">
        <f t="shared" si="11"/>
        <v>10964.088900000001</v>
      </c>
      <c r="G11" s="49">
        <f t="shared" si="2"/>
        <v>10933.97306</v>
      </c>
      <c r="H11" s="50">
        <f t="shared" si="3"/>
        <v>445808.69678076805</v>
      </c>
      <c r="I11" s="48">
        <f t="shared" si="4"/>
        <v>4.2933011525542819E-3</v>
      </c>
      <c r="J11" s="48">
        <f t="shared" si="5"/>
        <v>0.11</v>
      </c>
      <c r="K11" s="48">
        <f t="shared" si="6"/>
        <v>1.1425023576928492E-2</v>
      </c>
      <c r="L11" s="22">
        <f>G11/'Clause 6'!$H$11</f>
        <v>10933.97306</v>
      </c>
      <c r="M11">
        <f t="shared" si="7"/>
        <v>5</v>
      </c>
      <c r="O11" s="51">
        <f t="shared" si="10"/>
        <v>2.9380573578987601E-3</v>
      </c>
      <c r="P11" s="51">
        <f t="shared" si="8"/>
        <v>1.4687378423081654E-3</v>
      </c>
      <c r="Q11" s="51">
        <f t="shared" si="8"/>
        <v>1.3258346184363834E-3</v>
      </c>
      <c r="R11" s="51">
        <f t="shared" si="8"/>
        <v>-8.486966219029668E-3</v>
      </c>
      <c r="S11" s="51">
        <f t="shared" si="8"/>
        <v>2.754336400386137E-3</v>
      </c>
    </row>
    <row r="12" spans="1:49" ht="13.15" x14ac:dyDescent="0.4">
      <c r="A12" s="15" t="s">
        <v>71</v>
      </c>
      <c r="B12" s="46">
        <f t="shared" ref="B12:F12" si="12">G56</f>
        <v>9486.3135000000002</v>
      </c>
      <c r="C12" s="46">
        <f t="shared" si="12"/>
        <v>9462.5663999999997</v>
      </c>
      <c r="D12" s="46">
        <f t="shared" si="12"/>
        <v>9481.5938000000006</v>
      </c>
      <c r="E12" s="46">
        <f t="shared" si="12"/>
        <v>9376.3467000000001</v>
      </c>
      <c r="F12" s="46">
        <f t="shared" si="12"/>
        <v>9492.7811999999994</v>
      </c>
      <c r="G12" s="49">
        <f t="shared" si="2"/>
        <v>9459.9203200000011</v>
      </c>
      <c r="H12" s="50">
        <f t="shared" si="3"/>
        <v>385707.43922329607</v>
      </c>
      <c r="I12" s="48">
        <f t="shared" si="4"/>
        <v>4.5437049676604179E-3</v>
      </c>
      <c r="J12" s="48">
        <f t="shared" si="5"/>
        <v>0.11</v>
      </c>
      <c r="K12" s="48">
        <f t="shared" si="6"/>
        <v>1.2308190350592654E-2</v>
      </c>
      <c r="L12" s="22">
        <f>G12/'Clause 6'!$H$11</f>
        <v>9459.9203200000011</v>
      </c>
      <c r="M12">
        <f t="shared" si="7"/>
        <v>5</v>
      </c>
      <c r="O12" s="51">
        <f t="shared" si="10"/>
        <v>2.7900002438920879E-3</v>
      </c>
      <c r="P12" s="51">
        <f t="shared" si="8"/>
        <v>2.7971482956412608E-4</v>
      </c>
      <c r="Q12" s="51">
        <f t="shared" si="8"/>
        <v>2.2910848365369496E-3</v>
      </c>
      <c r="R12" s="51">
        <f t="shared" si="8"/>
        <v>-8.8344951302931074E-3</v>
      </c>
      <c r="S12" s="51">
        <f t="shared" si="8"/>
        <v>3.4736952202996108E-3</v>
      </c>
    </row>
    <row r="13" spans="1:49" ht="13.15" x14ac:dyDescent="0.4">
      <c r="A13" s="15" t="s">
        <v>72</v>
      </c>
      <c r="B13" s="46">
        <f t="shared" ref="B13:F13" si="13">G57</f>
        <v>8180.5102999999999</v>
      </c>
      <c r="C13" s="46">
        <f t="shared" si="13"/>
        <v>8148.1201000000001</v>
      </c>
      <c r="D13" s="46">
        <f t="shared" si="13"/>
        <v>8178.7349000000004</v>
      </c>
      <c r="E13" s="46">
        <f t="shared" si="13"/>
        <v>8092.8495999999996</v>
      </c>
      <c r="F13" s="46">
        <f t="shared" si="13"/>
        <v>8187.5038999999997</v>
      </c>
      <c r="G13" s="49">
        <f t="shared" si="2"/>
        <v>8157.5437600000005</v>
      </c>
      <c r="H13" s="50">
        <f t="shared" si="3"/>
        <v>332605.90021772805</v>
      </c>
      <c r="I13" s="48">
        <f t="shared" si="4"/>
        <v>4.2986517785660134E-3</v>
      </c>
      <c r="J13" s="48">
        <f t="shared" si="5"/>
        <v>0.11</v>
      </c>
      <c r="K13" s="48">
        <f t="shared" si="6"/>
        <v>1.1603284369019449E-2</v>
      </c>
      <c r="L13" s="22">
        <f>G13/'Clause 6'!$H$11</f>
        <v>8157.5437600000005</v>
      </c>
      <c r="M13">
        <f t="shared" si="7"/>
        <v>5</v>
      </c>
      <c r="O13" s="51">
        <f t="shared" si="10"/>
        <v>2.815374416085259E-3</v>
      </c>
      <c r="P13" s="51">
        <f t="shared" si="8"/>
        <v>-1.1552080230582407E-3</v>
      </c>
      <c r="Q13" s="51">
        <f t="shared" si="8"/>
        <v>2.5977353751884813E-3</v>
      </c>
      <c r="R13" s="51">
        <f t="shared" si="8"/>
        <v>-7.9305930686176529E-3</v>
      </c>
      <c r="S13" s="51">
        <f t="shared" si="8"/>
        <v>3.6726913004019313E-3</v>
      </c>
    </row>
    <row r="14" spans="1:49" ht="13.15" x14ac:dyDescent="0.4">
      <c r="A14" s="15" t="s">
        <v>73</v>
      </c>
      <c r="B14" s="46">
        <f t="shared" ref="B14:F14" si="14">G58</f>
        <v>7036.1518999999998</v>
      </c>
      <c r="C14" s="46">
        <f t="shared" si="14"/>
        <v>7008.1611000000003</v>
      </c>
      <c r="D14" s="46">
        <f t="shared" si="14"/>
        <v>7035.0752000000002</v>
      </c>
      <c r="E14" s="46">
        <f t="shared" si="14"/>
        <v>6946.0541999999996</v>
      </c>
      <c r="F14" s="46">
        <f t="shared" si="14"/>
        <v>7035.7870999999996</v>
      </c>
      <c r="G14" s="49">
        <f t="shared" si="2"/>
        <v>7012.2458999999999</v>
      </c>
      <c r="H14" s="50">
        <f t="shared" si="3"/>
        <v>285908.89963152003</v>
      </c>
      <c r="I14" s="48">
        <f t="shared" si="4"/>
        <v>4.958519345301355E-3</v>
      </c>
      <c r="J14" s="48">
        <f t="shared" si="5"/>
        <v>0.11</v>
      </c>
      <c r="K14" s="48">
        <f t="shared" si="6"/>
        <v>1.2848622436358124E-2</v>
      </c>
      <c r="L14" s="22">
        <f>G14/'Clause 6'!$H$11</f>
        <v>7012.2458999999999</v>
      </c>
      <c r="M14">
        <f t="shared" si="7"/>
        <v>5</v>
      </c>
      <c r="O14" s="51">
        <f t="shared" si="10"/>
        <v>3.4091787910632831E-3</v>
      </c>
      <c r="P14" s="51">
        <f t="shared" si="8"/>
        <v>-5.8252378171730346E-4</v>
      </c>
      <c r="Q14" s="51">
        <f t="shared" si="8"/>
        <v>3.25563312033883E-3</v>
      </c>
      <c r="R14" s="51">
        <f t="shared" si="8"/>
        <v>-9.4394436452949204E-3</v>
      </c>
      <c r="S14" s="51">
        <f t="shared" si="8"/>
        <v>3.3571555156102217E-3</v>
      </c>
    </row>
    <row r="15" spans="1:49" ht="13.15" x14ac:dyDescent="0.4">
      <c r="A15" s="15" t="s">
        <v>74</v>
      </c>
      <c r="B15" s="46">
        <f t="shared" ref="B15:F15" si="15">G59</f>
        <v>6020.6992</v>
      </c>
      <c r="C15" s="46">
        <f t="shared" si="15"/>
        <v>5973.7114000000001</v>
      </c>
      <c r="D15" s="46">
        <f t="shared" si="15"/>
        <v>6023.1562000000004</v>
      </c>
      <c r="E15" s="46">
        <f t="shared" si="15"/>
        <v>5929.7739000000001</v>
      </c>
      <c r="F15" s="46">
        <f t="shared" si="15"/>
        <v>6011.4018999999998</v>
      </c>
      <c r="G15" s="49">
        <f t="shared" si="2"/>
        <v>5991.7485200000001</v>
      </c>
      <c r="H15" s="50">
        <f t="shared" si="3"/>
        <v>244300.36405625602</v>
      </c>
      <c r="I15" s="48">
        <f t="shared" si="4"/>
        <v>5.9603351102559448E-3</v>
      </c>
      <c r="J15" s="48">
        <f t="shared" si="5"/>
        <v>0.11</v>
      </c>
      <c r="K15" s="48">
        <f t="shared" si="6"/>
        <v>1.5585150092380748E-2</v>
      </c>
      <c r="L15" s="22">
        <f>G15/'Clause 6'!$H$11</f>
        <v>5991.7485200000001</v>
      </c>
      <c r="M15">
        <f t="shared" si="7"/>
        <v>5</v>
      </c>
      <c r="O15" s="51">
        <f t="shared" si="10"/>
        <v>4.8317581926820008E-3</v>
      </c>
      <c r="P15" s="51">
        <f t="shared" si="8"/>
        <v>-3.0103266083002511E-3</v>
      </c>
      <c r="Q15" s="51">
        <f t="shared" si="8"/>
        <v>5.2418221317473979E-3</v>
      </c>
      <c r="R15" s="51">
        <f t="shared" si="8"/>
        <v>-1.0343327960633419E-2</v>
      </c>
      <c r="S15" s="51">
        <f t="shared" si="8"/>
        <v>3.2800742445044939E-3</v>
      </c>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row>
    <row r="16" spans="1:49" ht="13.15" x14ac:dyDescent="0.4">
      <c r="A16" s="15" t="s">
        <v>75</v>
      </c>
      <c r="B16" s="46">
        <f t="shared" ref="B16:F16" si="16">G60</f>
        <v>5084.9696999999996</v>
      </c>
      <c r="C16" s="46">
        <f t="shared" si="16"/>
        <v>5048.3402999999998</v>
      </c>
      <c r="D16" s="46">
        <f t="shared" si="16"/>
        <v>5093.5263999999997</v>
      </c>
      <c r="E16" s="46">
        <f t="shared" si="16"/>
        <v>5007.6948000000002</v>
      </c>
      <c r="F16" s="46">
        <f t="shared" si="16"/>
        <v>5080.9224000000004</v>
      </c>
      <c r="G16" s="49">
        <f t="shared" si="2"/>
        <v>5063.0907200000001</v>
      </c>
      <c r="H16" s="50">
        <f t="shared" si="3"/>
        <v>206436.38530841604</v>
      </c>
      <c r="I16" s="48">
        <f t="shared" si="4"/>
        <v>6.2515339993127828E-3</v>
      </c>
      <c r="J16" s="48">
        <f t="shared" si="5"/>
        <v>0.11</v>
      </c>
      <c r="K16" s="48">
        <f t="shared" si="6"/>
        <v>1.6952412023934566E-2</v>
      </c>
      <c r="L16" s="22">
        <f>G16/'Clause 6'!$H$11</f>
        <v>5063.0907200000001</v>
      </c>
      <c r="M16">
        <f t="shared" si="7"/>
        <v>5</v>
      </c>
      <c r="O16" s="51">
        <f t="shared" si="10"/>
        <v>4.3212695979502058E-3</v>
      </c>
      <c r="P16" s="51">
        <f t="shared" si="8"/>
        <v>-2.9133232674922738E-3</v>
      </c>
      <c r="Q16" s="51">
        <f t="shared" si="8"/>
        <v>6.0112847434816707E-3</v>
      </c>
      <c r="R16" s="51">
        <f t="shared" si="8"/>
        <v>-1.0941127280452934E-2</v>
      </c>
      <c r="S16" s="51">
        <f t="shared" si="8"/>
        <v>3.5218962065131088E-3</v>
      </c>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row>
    <row r="17" spans="1:49" ht="13.15" x14ac:dyDescent="0.4">
      <c r="A17" s="15" t="s">
        <v>76</v>
      </c>
      <c r="B17" s="46">
        <f t="shared" ref="B17:F17" si="17">G61</f>
        <v>4251.8217999999997</v>
      </c>
      <c r="C17" s="46">
        <f t="shared" si="17"/>
        <v>4201.3433000000005</v>
      </c>
      <c r="D17" s="46">
        <f t="shared" si="17"/>
        <v>4262.6396000000004</v>
      </c>
      <c r="E17" s="46">
        <f t="shared" si="17"/>
        <v>4167.1836000000003</v>
      </c>
      <c r="F17" s="46">
        <f t="shared" si="17"/>
        <v>4243.7133999999996</v>
      </c>
      <c r="G17" s="49">
        <f t="shared" si="2"/>
        <v>4225.3403400000007</v>
      </c>
      <c r="H17" s="50">
        <f t="shared" si="3"/>
        <v>172278.95661475204</v>
      </c>
      <c r="I17" s="48">
        <f t="shared" si="4"/>
        <v>8.4594160530601092E-3</v>
      </c>
      <c r="J17" s="48">
        <f t="shared" si="5"/>
        <v>0.11</v>
      </c>
      <c r="K17" s="48">
        <f t="shared" si="6"/>
        <v>2.2591316277258772E-2</v>
      </c>
      <c r="L17" s="22">
        <f>G17/'Clause 6'!$H$11</f>
        <v>4225.3403400000007</v>
      </c>
      <c r="M17">
        <f t="shared" si="7"/>
        <v>5</v>
      </c>
      <c r="O17" s="51">
        <f t="shared" si="10"/>
        <v>6.2672963286074523E-3</v>
      </c>
      <c r="P17" s="51">
        <f t="shared" si="8"/>
        <v>-5.6793152903750199E-3</v>
      </c>
      <c r="Q17" s="51">
        <f t="shared" si="8"/>
        <v>8.8275161285586989E-3</v>
      </c>
      <c r="R17" s="51">
        <f t="shared" si="8"/>
        <v>-1.3763800148700045E-2</v>
      </c>
      <c r="S17" s="51">
        <f t="shared" si="8"/>
        <v>4.3483029819082475E-3</v>
      </c>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row>
    <row r="18" spans="1:49" ht="13.15" x14ac:dyDescent="0.4">
      <c r="A18" s="15" t="s">
        <v>77</v>
      </c>
      <c r="B18" s="46">
        <f t="shared" ref="B18:F18" si="18">G62</f>
        <v>3493.6876999999999</v>
      </c>
      <c r="C18" s="46">
        <f t="shared" si="18"/>
        <v>3453.5369000000001</v>
      </c>
      <c r="D18" s="46">
        <f t="shared" si="18"/>
        <v>3512.1965</v>
      </c>
      <c r="E18" s="46">
        <f t="shared" si="18"/>
        <v>3425.8787000000002</v>
      </c>
      <c r="F18" s="46">
        <f t="shared" si="18"/>
        <v>3481.9014000000002</v>
      </c>
      <c r="G18" s="49">
        <f t="shared" si="2"/>
        <v>3473.4402399999999</v>
      </c>
      <c r="H18" s="50">
        <f t="shared" si="3"/>
        <v>141621.88421747202</v>
      </c>
      <c r="I18" s="48">
        <f t="shared" si="4"/>
        <v>8.7720343566547766E-3</v>
      </c>
      <c r="J18" s="48">
        <f t="shared" si="5"/>
        <v>0.11</v>
      </c>
      <c r="K18" s="48">
        <f t="shared" si="6"/>
        <v>2.485080900657724E-2</v>
      </c>
      <c r="L18" s="22">
        <f>G18/'Clause 6'!$H$11</f>
        <v>3473.4402399999999</v>
      </c>
      <c r="M18">
        <f t="shared" si="7"/>
        <v>5</v>
      </c>
      <c r="O18" s="51">
        <f t="shared" si="10"/>
        <v>5.8292236517649698E-3</v>
      </c>
      <c r="P18" s="51">
        <f t="shared" si="8"/>
        <v>-5.7301518450767475E-3</v>
      </c>
      <c r="Q18" s="51">
        <f t="shared" si="8"/>
        <v>1.1157888814001815E-2</v>
      </c>
      <c r="R18" s="51">
        <f t="shared" si="8"/>
        <v>-1.3692920192575286E-2</v>
      </c>
      <c r="S18" s="51">
        <f t="shared" si="8"/>
        <v>2.435959571885471E-3</v>
      </c>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row>
    <row r="19" spans="1:49" ht="13.15" x14ac:dyDescent="0.4">
      <c r="A19" s="15" t="s">
        <v>78</v>
      </c>
      <c r="B19" s="46">
        <f t="shared" ref="B19:F19" si="19">G63</f>
        <v>2830.7595000000001</v>
      </c>
      <c r="C19" s="46">
        <f t="shared" si="19"/>
        <v>2789.9308999999998</v>
      </c>
      <c r="D19" s="46">
        <f t="shared" si="19"/>
        <v>2837.1496999999999</v>
      </c>
      <c r="E19" s="46">
        <f t="shared" si="19"/>
        <v>2770.9236000000001</v>
      </c>
      <c r="F19" s="46">
        <f t="shared" si="19"/>
        <v>2822.8906000000002</v>
      </c>
      <c r="G19" s="49">
        <f t="shared" si="2"/>
        <v>2810.33086</v>
      </c>
      <c r="H19" s="50">
        <f t="shared" si="3"/>
        <v>114585.05808860801</v>
      </c>
      <c r="I19" s="48">
        <f t="shared" si="4"/>
        <v>9.0906269723306007E-3</v>
      </c>
      <c r="J19" s="48">
        <f t="shared" si="5"/>
        <v>0.11</v>
      </c>
      <c r="K19" s="48">
        <f t="shared" si="6"/>
        <v>2.3565232458074299E-2</v>
      </c>
      <c r="L19" s="22">
        <f>G19/'Clause 6'!$H$11</f>
        <v>2810.33086</v>
      </c>
      <c r="M19">
        <f t="shared" si="7"/>
        <v>5</v>
      </c>
      <c r="O19" s="51">
        <f t="shared" si="10"/>
        <v>7.2691227537529102E-3</v>
      </c>
      <c r="P19" s="51">
        <f t="shared" si="8"/>
        <v>-7.2589175496582392E-3</v>
      </c>
      <c r="Q19" s="51">
        <f t="shared" si="8"/>
        <v>9.5429475517341267E-3</v>
      </c>
      <c r="R19" s="51">
        <f t="shared" si="8"/>
        <v>-1.4022284906340166E-2</v>
      </c>
      <c r="S19" s="51">
        <f t="shared" si="8"/>
        <v>4.4691321505112569E-3</v>
      </c>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row>
    <row r="20" spans="1:49" ht="13.15" x14ac:dyDescent="0.4">
      <c r="A20" s="15" t="s">
        <v>79</v>
      </c>
      <c r="B20" s="46">
        <f t="shared" ref="B20:F20" si="20">G64</f>
        <v>2256.6986999999999</v>
      </c>
      <c r="C20" s="46">
        <f t="shared" si="20"/>
        <v>2226.1442999999999</v>
      </c>
      <c r="D20" s="46">
        <f t="shared" si="20"/>
        <v>2254.5979000000002</v>
      </c>
      <c r="E20" s="46">
        <f t="shared" si="20"/>
        <v>2203.5023999999999</v>
      </c>
      <c r="F20" s="46">
        <f t="shared" si="20"/>
        <v>2235.0617999999999</v>
      </c>
      <c r="G20" s="49">
        <f t="shared" si="2"/>
        <v>2235.2010199999995</v>
      </c>
      <c r="H20" s="50">
        <f t="shared" si="3"/>
        <v>91135.404148255984</v>
      </c>
      <c r="I20" s="48">
        <f t="shared" si="4"/>
        <v>8.7789043119024957E-3</v>
      </c>
      <c r="J20" s="48">
        <f t="shared" si="5"/>
        <v>0.11</v>
      </c>
      <c r="K20" s="48">
        <f t="shared" si="6"/>
        <v>2.3799335954132698E-2</v>
      </c>
      <c r="L20" s="22">
        <f>G20/'Clause 6'!$H$11</f>
        <v>2235.2010199999995</v>
      </c>
      <c r="M20">
        <f t="shared" si="7"/>
        <v>5</v>
      </c>
      <c r="O20" s="51">
        <f t="shared" si="10"/>
        <v>9.617783728463225E-3</v>
      </c>
      <c r="P20" s="51">
        <f t="shared" si="8"/>
        <v>-4.0518592819895893E-3</v>
      </c>
      <c r="Q20" s="51">
        <f t="shared" si="8"/>
        <v>8.6779130048897368E-3</v>
      </c>
      <c r="R20" s="51">
        <f t="shared" si="8"/>
        <v>-1.4181552225669525E-2</v>
      </c>
      <c r="S20" s="51">
        <f t="shared" si="8"/>
        <v>-6.2285225692848556E-5</v>
      </c>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15"/>
    </row>
    <row r="21" spans="1:49" ht="13.15" x14ac:dyDescent="0.4">
      <c r="A21" s="15" t="s">
        <v>80</v>
      </c>
      <c r="B21" s="46">
        <f t="shared" ref="B21:F21" si="21">G65</f>
        <v>1777.6405</v>
      </c>
      <c r="C21" s="46">
        <f t="shared" si="21"/>
        <v>1740.0165999999999</v>
      </c>
      <c r="D21" s="46">
        <f t="shared" si="21"/>
        <v>1759.5651</v>
      </c>
      <c r="E21" s="46">
        <f t="shared" si="21"/>
        <v>1722.6201000000001</v>
      </c>
      <c r="F21" s="46">
        <f t="shared" si="21"/>
        <v>1739.6166000000001</v>
      </c>
      <c r="G21" s="49">
        <f t="shared" si="2"/>
        <v>1747.8917799999999</v>
      </c>
      <c r="H21" s="50">
        <f t="shared" si="3"/>
        <v>71266.441967584004</v>
      </c>
      <c r="I21" s="48">
        <f t="shared" si="4"/>
        <v>1.082620922955907E-2</v>
      </c>
      <c r="J21" s="48">
        <f t="shared" si="5"/>
        <v>0.11</v>
      </c>
      <c r="K21" s="48">
        <f t="shared" si="6"/>
        <v>3.1478150209047775E-2</v>
      </c>
      <c r="L21" s="22">
        <f>G21/'Clause 6'!$H$11</f>
        <v>1747.8917799999999</v>
      </c>
      <c r="M21">
        <f t="shared" si="7"/>
        <v>5</v>
      </c>
      <c r="O21" s="51">
        <f t="shared" si="10"/>
        <v>1.7019772242421016E-2</v>
      </c>
      <c r="P21" s="51">
        <f t="shared" si="8"/>
        <v>-4.5055306570525033E-3</v>
      </c>
      <c r="Q21" s="51">
        <f t="shared" si="8"/>
        <v>6.6785141583536323E-3</v>
      </c>
      <c r="R21" s="51">
        <f t="shared" si="8"/>
        <v>-1.4458377966626634E-2</v>
      </c>
      <c r="S21" s="51">
        <f t="shared" si="8"/>
        <v>-4.7343777770955109E-3</v>
      </c>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row>
    <row r="22" spans="1:49" ht="13.15" x14ac:dyDescent="0.4">
      <c r="A22" s="15" t="s">
        <v>81</v>
      </c>
      <c r="B22" s="46">
        <f t="shared" ref="B22:F22" si="22">G66</f>
        <v>1370.963</v>
      </c>
      <c r="C22" s="46">
        <f t="shared" si="22"/>
        <v>1335.0206000000001</v>
      </c>
      <c r="D22" s="46">
        <f t="shared" si="22"/>
        <v>1347.1377</v>
      </c>
      <c r="E22" s="46">
        <f t="shared" si="22"/>
        <v>1324.2572</v>
      </c>
      <c r="F22" s="46">
        <f t="shared" si="22"/>
        <v>1336.6685</v>
      </c>
      <c r="G22" s="49">
        <f t="shared" si="2"/>
        <v>1342.8093999999999</v>
      </c>
      <c r="H22" s="50">
        <f t="shared" si="3"/>
        <v>54750.099104319997</v>
      </c>
      <c r="I22" s="48">
        <f t="shared" si="4"/>
        <v>1.1793303169617211E-2</v>
      </c>
      <c r="J22" s="48">
        <f t="shared" si="5"/>
        <v>0.11</v>
      </c>
      <c r="K22" s="48">
        <f t="shared" si="6"/>
        <v>3.4782151510110042E-2</v>
      </c>
      <c r="L22" s="22">
        <f>G22/'Clause 6'!$H$11</f>
        <v>1342.8093999999999</v>
      </c>
      <c r="M22">
        <f t="shared" si="7"/>
        <v>5</v>
      </c>
      <c r="O22" s="51">
        <f t="shared" si="10"/>
        <v>2.0966192223557556E-2</v>
      </c>
      <c r="P22" s="51">
        <f t="shared" si="8"/>
        <v>-5.8003764346599151E-3</v>
      </c>
      <c r="Q22" s="51">
        <f t="shared" si="8"/>
        <v>3.2233167268564955E-3</v>
      </c>
      <c r="R22" s="51">
        <f t="shared" si="8"/>
        <v>-1.3815959286552437E-2</v>
      </c>
      <c r="S22" s="51">
        <f t="shared" si="8"/>
        <v>-4.573173229201366E-3</v>
      </c>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row>
    <row r="23" spans="1:49" ht="13.15" x14ac:dyDescent="0.4">
      <c r="A23" s="15" t="s">
        <v>82</v>
      </c>
      <c r="B23" s="46">
        <f t="shared" ref="B23:F23" si="23">G67</f>
        <v>1056.8606</v>
      </c>
      <c r="C23" s="46">
        <f t="shared" si="23"/>
        <v>1015.9293</v>
      </c>
      <c r="D23" s="46">
        <f t="shared" si="23"/>
        <v>1040.6688999999999</v>
      </c>
      <c r="E23" s="46">
        <f t="shared" si="23"/>
        <v>1012.0694999999999</v>
      </c>
      <c r="F23" s="46">
        <f t="shared" si="23"/>
        <v>1022.9102</v>
      </c>
      <c r="G23" s="49">
        <f t="shared" si="2"/>
        <v>1029.6876999999999</v>
      </c>
      <c r="H23" s="50">
        <f t="shared" si="3"/>
        <v>41983.250654560004</v>
      </c>
      <c r="I23" s="48">
        <f t="shared" si="4"/>
        <v>1.6277326237128464E-2</v>
      </c>
      <c r="J23" s="48">
        <f t="shared" si="5"/>
        <v>0.11</v>
      </c>
      <c r="K23" s="48">
        <f t="shared" si="6"/>
        <v>4.34996941305602E-2</v>
      </c>
      <c r="L23" s="22">
        <f>G23/'Clause 6'!$H$11</f>
        <v>1029.6876999999999</v>
      </c>
      <c r="M23">
        <f t="shared" si="7"/>
        <v>5</v>
      </c>
      <c r="O23" s="51">
        <f t="shared" si="10"/>
        <v>2.6389457696736729E-2</v>
      </c>
      <c r="P23" s="51">
        <f t="shared" si="8"/>
        <v>-1.3361721228679291E-2</v>
      </c>
      <c r="Q23" s="51">
        <f t="shared" si="8"/>
        <v>1.0664592769244363E-2</v>
      </c>
      <c r="R23" s="51">
        <f t="shared" si="8"/>
        <v>-1.7110236433823589E-2</v>
      </c>
      <c r="S23" s="51">
        <f t="shared" si="8"/>
        <v>-6.5820928034781012E-3</v>
      </c>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W23" s="52"/>
    </row>
    <row r="24" spans="1:49" ht="13.15" x14ac:dyDescent="0.4">
      <c r="A24" s="15" t="s">
        <v>83</v>
      </c>
      <c r="B24" s="46">
        <f t="shared" ref="B24:F24" si="24">G68</f>
        <v>814.77170000000001</v>
      </c>
      <c r="C24" s="46">
        <f t="shared" si="24"/>
        <v>774.82339999999999</v>
      </c>
      <c r="D24" s="46">
        <f t="shared" si="24"/>
        <v>804.51210000000003</v>
      </c>
      <c r="E24" s="46">
        <f t="shared" si="24"/>
        <v>771.6549</v>
      </c>
      <c r="F24" s="46">
        <f t="shared" si="24"/>
        <v>775.14520000000005</v>
      </c>
      <c r="G24" s="49">
        <f t="shared" si="2"/>
        <v>788.18146000000002</v>
      </c>
      <c r="H24" s="50">
        <f t="shared" si="3"/>
        <v>32136.365032288002</v>
      </c>
      <c r="I24" s="48">
        <f t="shared" si="4"/>
        <v>2.2662183748452545E-2</v>
      </c>
      <c r="J24" s="48">
        <f t="shared" si="5"/>
        <v>0.11</v>
      </c>
      <c r="K24" s="48">
        <f t="shared" si="6"/>
        <v>5.4704154040872782E-2</v>
      </c>
      <c r="L24" s="22">
        <f>G24/'Clause 6'!$H$11</f>
        <v>788.18146000000002</v>
      </c>
      <c r="M24">
        <f t="shared" si="7"/>
        <v>5</v>
      </c>
      <c r="O24" s="51">
        <f t="shared" si="10"/>
        <v>3.3736190648280484E-2</v>
      </c>
      <c r="P24" s="51">
        <f t="shared" si="8"/>
        <v>-1.694795003170968E-2</v>
      </c>
      <c r="Q24" s="51">
        <f t="shared" si="8"/>
        <v>2.0719391191972525E-2</v>
      </c>
      <c r="R24" s="51">
        <f t="shared" si="8"/>
        <v>-2.0967963392592437E-2</v>
      </c>
      <c r="S24" s="51">
        <f t="shared" si="8"/>
        <v>-1.6539668415950781E-2</v>
      </c>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row>
    <row r="25" spans="1:49" ht="13.15" x14ac:dyDescent="0.4">
      <c r="A25" s="15" t="s">
        <v>84</v>
      </c>
      <c r="B25" s="46">
        <f t="shared" ref="B25:F25" si="25">G69</f>
        <v>619.95609999999999</v>
      </c>
      <c r="C25" s="46">
        <f t="shared" si="25"/>
        <v>594.58659999999998</v>
      </c>
      <c r="D25" s="46">
        <f t="shared" si="25"/>
        <v>619.09870000000001</v>
      </c>
      <c r="E25" s="46">
        <f t="shared" si="25"/>
        <v>594.37429999999995</v>
      </c>
      <c r="F25" s="46">
        <f t="shared" si="25"/>
        <v>596.16869999999994</v>
      </c>
      <c r="G25" s="49">
        <f t="shared" si="2"/>
        <v>604.83688000000006</v>
      </c>
      <c r="H25" s="50">
        <f t="shared" si="3"/>
        <v>24660.893140864006</v>
      </c>
      <c r="I25" s="48">
        <f t="shared" si="4"/>
        <v>1.9862938507634518E-2</v>
      </c>
      <c r="J25" s="48">
        <f t="shared" si="5"/>
        <v>0.11</v>
      </c>
      <c r="K25" s="48">
        <f t="shared" si="6"/>
        <v>4.2295370612982532E-2</v>
      </c>
      <c r="L25" s="22">
        <f>G25/'Clause 6'!$H$11</f>
        <v>604.83688000000006</v>
      </c>
      <c r="M25">
        <f t="shared" si="7"/>
        <v>5</v>
      </c>
      <c r="O25" s="51">
        <f t="shared" si="10"/>
        <v>2.4997186018154149E-2</v>
      </c>
      <c r="P25" s="51">
        <f t="shared" si="8"/>
        <v>-1.6947180866352052E-2</v>
      </c>
      <c r="Q25" s="51">
        <f t="shared" si="8"/>
        <v>2.3579613729903359E-2</v>
      </c>
      <c r="R25" s="51">
        <f t="shared" si="8"/>
        <v>-1.7298184594828458E-2</v>
      </c>
      <c r="S25" s="51">
        <f t="shared" si="8"/>
        <v>-1.4331434286877665E-2</v>
      </c>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row>
    <row r="26" spans="1:49" ht="13.15" x14ac:dyDescent="0.4">
      <c r="A26" s="15" t="s">
        <v>85</v>
      </c>
      <c r="B26" s="46">
        <f t="shared" ref="B26:F26" si="26">G70</f>
        <v>471.97239999999999</v>
      </c>
      <c r="C26" s="46">
        <f t="shared" si="26"/>
        <v>457.20510000000002</v>
      </c>
      <c r="D26" s="46">
        <f t="shared" si="26"/>
        <v>485.9237</v>
      </c>
      <c r="E26" s="46">
        <f t="shared" si="26"/>
        <v>455.3723</v>
      </c>
      <c r="F26" s="46">
        <f t="shared" si="26"/>
        <v>458.15750000000003</v>
      </c>
      <c r="G26" s="49">
        <f t="shared" si="2"/>
        <v>465.72620000000006</v>
      </c>
      <c r="H26" s="50">
        <f t="shared" si="3"/>
        <v>18988.961207360004</v>
      </c>
      <c r="I26" s="48">
        <f t="shared" si="4"/>
        <v>2.5114744756611594E-2</v>
      </c>
      <c r="J26" s="48">
        <f t="shared" si="5"/>
        <v>0.11</v>
      </c>
      <c r="K26" s="48">
        <f t="shared" si="6"/>
        <v>6.5599487424156069E-2</v>
      </c>
      <c r="L26" s="22">
        <f>G26/'Clause 6'!$H$11</f>
        <v>465.72620000000006</v>
      </c>
      <c r="M26">
        <f t="shared" si="7"/>
        <v>5</v>
      </c>
      <c r="O26" s="51">
        <f t="shared" si="10"/>
        <v>1.3411742779340985E-2</v>
      </c>
      <c r="P26" s="51">
        <f t="shared" si="8"/>
        <v>-1.829637241795723E-2</v>
      </c>
      <c r="Q26" s="51">
        <f t="shared" si="8"/>
        <v>4.3367755561099841E-2</v>
      </c>
      <c r="R26" s="51">
        <f t="shared" si="8"/>
        <v>-2.2231731863056159E-2</v>
      </c>
      <c r="S26" s="51">
        <f t="shared" si="8"/>
        <v>-1.6251394059428104E-2</v>
      </c>
    </row>
    <row r="27" spans="1:49" ht="13.15" x14ac:dyDescent="0.4">
      <c r="A27" s="15" t="s">
        <v>86</v>
      </c>
      <c r="B27" s="46">
        <f t="shared" ref="B27:F27" si="27">G71</f>
        <v>362.79509999999999</v>
      </c>
      <c r="C27" s="46">
        <f t="shared" si="27"/>
        <v>345.93900000000002</v>
      </c>
      <c r="D27" s="46">
        <f t="shared" si="27"/>
        <v>372.58949999999999</v>
      </c>
      <c r="E27" s="46">
        <f t="shared" si="27"/>
        <v>350.68560000000002</v>
      </c>
      <c r="F27" s="46">
        <f t="shared" si="27"/>
        <v>346.46460000000002</v>
      </c>
      <c r="G27" s="49">
        <f t="shared" si="2"/>
        <v>355.69475999999997</v>
      </c>
      <c r="H27" s="50">
        <f t="shared" si="3"/>
        <v>14502.671310528</v>
      </c>
      <c r="I27" s="48">
        <f t="shared" si="4"/>
        <v>2.9252321530413596E-2</v>
      </c>
      <c r="J27" s="48">
        <f t="shared" si="5"/>
        <v>0.11</v>
      </c>
      <c r="K27" s="48">
        <f t="shared" si="6"/>
        <v>7.4925197098770782E-2</v>
      </c>
      <c r="L27" s="22">
        <f>G27/'Clause 6'!$H$11</f>
        <v>355.69475999999997</v>
      </c>
      <c r="M27">
        <f t="shared" si="7"/>
        <v>5</v>
      </c>
      <c r="O27" s="51">
        <f t="shared" si="10"/>
        <v>1.996189092018108E-2</v>
      </c>
      <c r="P27" s="51">
        <f t="shared" si="8"/>
        <v>-2.7427336854779494E-2</v>
      </c>
      <c r="Q27" s="51">
        <f t="shared" si="8"/>
        <v>4.7497860243991274E-2</v>
      </c>
      <c r="R27" s="51">
        <f t="shared" si="8"/>
        <v>-1.4082748927760291E-2</v>
      </c>
      <c r="S27" s="51">
        <f t="shared" si="8"/>
        <v>-2.5949665381632125E-2</v>
      </c>
    </row>
    <row r="28" spans="1:49" ht="13.15" x14ac:dyDescent="0.4">
      <c r="A28" s="15" t="s">
        <v>87</v>
      </c>
      <c r="B28" s="46">
        <f t="shared" ref="B28:F28" si="28">G72</f>
        <v>280.22949999999997</v>
      </c>
      <c r="C28" s="46">
        <f t="shared" si="28"/>
        <v>264.97149999999999</v>
      </c>
      <c r="D28" s="46">
        <f t="shared" si="28"/>
        <v>283.80939999999998</v>
      </c>
      <c r="E28" s="46">
        <f t="shared" si="28"/>
        <v>267.01260000000002</v>
      </c>
      <c r="F28" s="46">
        <f t="shared" si="28"/>
        <v>267.86360000000002</v>
      </c>
      <c r="G28" s="49">
        <f t="shared" si="2"/>
        <v>272.77732000000003</v>
      </c>
      <c r="H28" s="50">
        <f t="shared" si="3"/>
        <v>11121.895112896002</v>
      </c>
      <c r="I28" s="48">
        <f t="shared" si="4"/>
        <v>2.8185235316335513E-2</v>
      </c>
      <c r="J28" s="48">
        <f t="shared" si="5"/>
        <v>0.11</v>
      </c>
      <c r="K28" s="48">
        <f t="shared" si="6"/>
        <v>6.9059627098029958E-2</v>
      </c>
      <c r="L28" s="22">
        <f>G28/'Clause 6'!$H$11</f>
        <v>272.77732000000003</v>
      </c>
      <c r="M28">
        <f t="shared" si="7"/>
        <v>5</v>
      </c>
      <c r="O28" s="51">
        <f t="shared" si="10"/>
        <v>2.7319646662706143E-2</v>
      </c>
      <c r="P28" s="51">
        <f t="shared" si="8"/>
        <v>-2.8616088756939329E-2</v>
      </c>
      <c r="Q28" s="51">
        <f t="shared" si="8"/>
        <v>4.0443538341090601E-2</v>
      </c>
      <c r="R28" s="51">
        <f t="shared" si="8"/>
        <v>-2.1133428541639798E-2</v>
      </c>
      <c r="S28" s="51">
        <f t="shared" si="8"/>
        <v>-1.8013667705218395E-2</v>
      </c>
    </row>
    <row r="29" spans="1:49" ht="13.15" x14ac:dyDescent="0.4">
      <c r="A29" s="15" t="s">
        <v>88</v>
      </c>
      <c r="B29" s="46">
        <f t="shared" ref="B29:F29" si="29">G73</f>
        <v>217.2413</v>
      </c>
      <c r="C29" s="46">
        <f t="shared" si="29"/>
        <v>203.19489999999999</v>
      </c>
      <c r="D29" s="46">
        <f t="shared" si="29"/>
        <v>219.83580000000001</v>
      </c>
      <c r="E29" s="46">
        <f t="shared" si="29"/>
        <v>198.71530000000001</v>
      </c>
      <c r="F29" s="46">
        <f t="shared" si="29"/>
        <v>201.85470000000001</v>
      </c>
      <c r="G29" s="49">
        <f t="shared" si="2"/>
        <v>208.16840000000002</v>
      </c>
      <c r="H29" s="50">
        <f t="shared" si="3"/>
        <v>8487.6085395200007</v>
      </c>
      <c r="I29" s="48">
        <f t="shared" si="4"/>
        <v>4.1457980931233512E-2</v>
      </c>
      <c r="J29" s="48">
        <f t="shared" si="5"/>
        <v>0.113</v>
      </c>
      <c r="K29" s="48">
        <f t="shared" si="6"/>
        <v>0.10145872284169927</v>
      </c>
      <c r="L29" s="22">
        <f>G29/'Clause 6'!$H$11</f>
        <v>208.16840000000002</v>
      </c>
      <c r="M29">
        <f t="shared" si="7"/>
        <v>5</v>
      </c>
      <c r="O29" s="51">
        <f t="shared" si="10"/>
        <v>4.3584424917518572E-2</v>
      </c>
      <c r="P29" s="51">
        <f t="shared" si="8"/>
        <v>-2.3891714592608859E-2</v>
      </c>
      <c r="Q29" s="51">
        <f t="shared" si="8"/>
        <v>5.6047891995134602E-2</v>
      </c>
      <c r="R29" s="51">
        <f t="shared" si="8"/>
        <v>-4.5410830846564609E-2</v>
      </c>
      <c r="S29" s="51">
        <f t="shared" si="8"/>
        <v>-3.0329771473480149E-2</v>
      </c>
    </row>
    <row r="30" spans="1:49" ht="13.15" x14ac:dyDescent="0.4">
      <c r="A30" s="15" t="s">
        <v>89</v>
      </c>
      <c r="B30" s="46">
        <f t="shared" ref="B30:F30" si="30">G74</f>
        <v>169.0615</v>
      </c>
      <c r="C30" s="46">
        <f t="shared" si="30"/>
        <v>156.1087</v>
      </c>
      <c r="D30" s="46">
        <f t="shared" si="30"/>
        <v>171.55</v>
      </c>
      <c r="E30" s="46">
        <f t="shared" si="30"/>
        <v>151.04669999999999</v>
      </c>
      <c r="F30" s="46">
        <f t="shared" si="30"/>
        <v>148.6498</v>
      </c>
      <c r="G30" s="49">
        <f t="shared" si="2"/>
        <v>159.28334000000001</v>
      </c>
      <c r="H30" s="50">
        <f t="shared" si="3"/>
        <v>6494.4277651520006</v>
      </c>
      <c r="I30" s="48">
        <f t="shared" si="4"/>
        <v>5.8697983139467502E-2</v>
      </c>
      <c r="J30" s="48">
        <f t="shared" si="5"/>
        <v>0.113</v>
      </c>
      <c r="K30" s="48">
        <f t="shared" si="6"/>
        <v>0.14377021476320129</v>
      </c>
      <c r="L30" s="22">
        <f>G30/'Clause 6'!$H$11</f>
        <v>159.28334000000001</v>
      </c>
      <c r="M30">
        <f t="shared" si="7"/>
        <v>5</v>
      </c>
      <c r="O30" s="51">
        <f t="shared" si="10"/>
        <v>6.1388466615529103E-2</v>
      </c>
      <c r="P30" s="51">
        <f t="shared" si="8"/>
        <v>-1.9930772421020371E-2</v>
      </c>
      <c r="Q30" s="51">
        <f t="shared" si="8"/>
        <v>7.7011569445994743E-2</v>
      </c>
      <c r="R30" s="51">
        <f t="shared" si="8"/>
        <v>-5.1710618323297486E-2</v>
      </c>
      <c r="S30" s="51">
        <f t="shared" si="8"/>
        <v>-6.6758645317206544E-2</v>
      </c>
    </row>
    <row r="31" spans="1:49" ht="13.15" x14ac:dyDescent="0.4">
      <c r="A31" s="15" t="s">
        <v>90</v>
      </c>
      <c r="B31" s="46">
        <f t="shared" ref="B31:F31" si="31">G75</f>
        <v>129.876</v>
      </c>
      <c r="C31" s="46">
        <f t="shared" si="31"/>
        <v>118.97629999999999</v>
      </c>
      <c r="D31" s="46">
        <f t="shared" si="31"/>
        <v>129.23099999999999</v>
      </c>
      <c r="E31" s="46">
        <f t="shared" si="31"/>
        <v>113.07599999999999</v>
      </c>
      <c r="F31" s="46">
        <f t="shared" si="31"/>
        <v>112.3386</v>
      </c>
      <c r="G31" s="49">
        <f t="shared" si="2"/>
        <v>120.69958000000001</v>
      </c>
      <c r="H31" s="50">
        <f t="shared" si="3"/>
        <v>4921.2598354240008</v>
      </c>
      <c r="I31" s="48">
        <f t="shared" si="4"/>
        <v>6.2877501535560001E-2</v>
      </c>
      <c r="J31" s="48">
        <f t="shared" si="5"/>
        <v>0.11900000000000001</v>
      </c>
      <c r="K31" s="48">
        <f t="shared" si="6"/>
        <v>0.14529793724220086</v>
      </c>
      <c r="L31" s="22">
        <f>G31/'Clause 6'!$H$11</f>
        <v>120.69958000000001</v>
      </c>
      <c r="M31">
        <f t="shared" si="7"/>
        <v>5</v>
      </c>
      <c r="O31" s="51">
        <f t="shared" si="10"/>
        <v>7.6026942264421971E-2</v>
      </c>
      <c r="P31" s="51">
        <f t="shared" si="8"/>
        <v>-1.4277431619894809E-2</v>
      </c>
      <c r="Q31" s="51">
        <f t="shared" si="8"/>
        <v>7.0683095997517098E-2</v>
      </c>
      <c r="R31" s="51">
        <f t="shared" si="8"/>
        <v>-6.3161611664266037E-2</v>
      </c>
      <c r="S31" s="51">
        <f t="shared" si="8"/>
        <v>-6.9270994977778777E-2</v>
      </c>
    </row>
    <row r="32" spans="1:49" ht="13.15" x14ac:dyDescent="0.4">
      <c r="A32" s="15" t="s">
        <v>91</v>
      </c>
      <c r="B32" s="46">
        <f t="shared" ref="B32:F32" si="32">G76</f>
        <v>99.348799999999997</v>
      </c>
      <c r="C32" s="46">
        <f t="shared" si="32"/>
        <v>92.464100000000002</v>
      </c>
      <c r="D32" s="46">
        <f t="shared" si="32"/>
        <v>98.193600000000004</v>
      </c>
      <c r="E32" s="46">
        <f t="shared" si="32"/>
        <v>80.616500000000002</v>
      </c>
      <c r="F32" s="46">
        <f t="shared" si="32"/>
        <v>84.341700000000003</v>
      </c>
      <c r="G32" s="49">
        <f t="shared" si="2"/>
        <v>90.992940000000004</v>
      </c>
      <c r="H32" s="50">
        <f t="shared" si="3"/>
        <v>3710.0369440320005</v>
      </c>
      <c r="I32" s="48">
        <f t="shared" si="4"/>
        <v>8.1613144294078163E-2</v>
      </c>
      <c r="J32" s="48">
        <f t="shared" si="5"/>
        <v>0.11900000000000001</v>
      </c>
      <c r="K32" s="48">
        <f t="shared" si="6"/>
        <v>0.20586542208659259</v>
      </c>
      <c r="L32" s="22">
        <f>G32/'Clause 6'!$H$11</f>
        <v>90.992940000000004</v>
      </c>
      <c r="M32">
        <f t="shared" si="7"/>
        <v>5</v>
      </c>
      <c r="O32" s="51">
        <f t="shared" si="10"/>
        <v>9.1829761737558968E-2</v>
      </c>
      <c r="P32" s="51">
        <f t="shared" si="8"/>
        <v>1.6167847747308617E-2</v>
      </c>
      <c r="Q32" s="51">
        <f t="shared" si="8"/>
        <v>7.9134271296212644E-2</v>
      </c>
      <c r="R32" s="51">
        <f t="shared" si="8"/>
        <v>-0.11403566034903367</v>
      </c>
      <c r="S32" s="51">
        <f t="shared" si="8"/>
        <v>-7.3096220432046666E-2</v>
      </c>
    </row>
    <row r="33" spans="1:19" ht="13.15" x14ac:dyDescent="0.4">
      <c r="A33" s="15" t="s">
        <v>92</v>
      </c>
      <c r="B33" s="46">
        <f t="shared" ref="B33:F33" si="33">G77</f>
        <v>73.267899999999997</v>
      </c>
      <c r="C33" s="46">
        <f t="shared" si="33"/>
        <v>67.810100000000006</v>
      </c>
      <c r="D33" s="46">
        <f t="shared" si="33"/>
        <v>73.808999999999997</v>
      </c>
      <c r="E33" s="46">
        <f t="shared" si="33"/>
        <v>59.745699999999999</v>
      </c>
      <c r="F33" s="46">
        <f t="shared" si="33"/>
        <v>64.014600000000002</v>
      </c>
      <c r="G33" s="49">
        <f t="shared" si="2"/>
        <v>67.729459999999989</v>
      </c>
      <c r="H33" s="50">
        <f t="shared" si="3"/>
        <v>2761.519726688</v>
      </c>
      <c r="I33" s="48">
        <f t="shared" si="4"/>
        <v>7.955988095729509E-2</v>
      </c>
      <c r="J33" s="48">
        <f t="shared" si="5"/>
        <v>0.11900000000000001</v>
      </c>
      <c r="K33" s="48">
        <f t="shared" si="6"/>
        <v>0.20763933449343905</v>
      </c>
      <c r="L33" s="22">
        <f>G33/'Clause 6'!$H$11</f>
        <v>67.729459999999989</v>
      </c>
      <c r="M33">
        <f t="shared" si="7"/>
        <v>5</v>
      </c>
      <c r="O33" s="51">
        <f t="shared" si="10"/>
        <v>8.1772983277882405E-2</v>
      </c>
      <c r="P33" s="51">
        <f t="shared" si="8"/>
        <v>1.1906192667121562E-3</v>
      </c>
      <c r="Q33" s="51">
        <f t="shared" si="8"/>
        <v>8.9762121239413517E-2</v>
      </c>
      <c r="R33" s="51">
        <f t="shared" si="8"/>
        <v>-0.11787721325402556</v>
      </c>
      <c r="S33" s="51">
        <f t="shared" si="8"/>
        <v>-5.4848510529981853E-2</v>
      </c>
    </row>
    <row r="34" spans="1:19" ht="13.15" x14ac:dyDescent="0.4">
      <c r="A34" s="15" t="s">
        <v>93</v>
      </c>
      <c r="B34" s="46">
        <f t="shared" ref="B34:F34" si="34">G78</f>
        <v>52.9679</v>
      </c>
      <c r="C34" s="46">
        <f t="shared" si="34"/>
        <v>49.719299999999997</v>
      </c>
      <c r="D34" s="46">
        <f t="shared" si="34"/>
        <v>53.574300000000001</v>
      </c>
      <c r="E34" s="46">
        <f t="shared" si="34"/>
        <v>44.149900000000002</v>
      </c>
      <c r="F34" s="46">
        <f t="shared" si="34"/>
        <v>45.077100000000002</v>
      </c>
      <c r="G34" s="49">
        <f t="shared" si="2"/>
        <v>49.097699999999996</v>
      </c>
      <c r="H34" s="50">
        <f t="shared" si="3"/>
        <v>2001.8507025599999</v>
      </c>
      <c r="I34" s="48">
        <f t="shared" si="4"/>
        <v>7.9433838097821827E-2</v>
      </c>
      <c r="J34" s="48">
        <f t="shared" si="5"/>
        <v>0.11900000000000001</v>
      </c>
      <c r="K34" s="48">
        <f t="shared" si="6"/>
        <v>0.19195196516333757</v>
      </c>
      <c r="L34" s="22">
        <f>G34/'Clause 6'!$H$11</f>
        <v>49.097699999999996</v>
      </c>
      <c r="M34">
        <f t="shared" si="7"/>
        <v>5</v>
      </c>
      <c r="O34" s="51">
        <f t="shared" si="10"/>
        <v>7.8826503074482135E-2</v>
      </c>
      <c r="P34" s="51">
        <f t="shared" si="8"/>
        <v>1.2660470857086992E-2</v>
      </c>
      <c r="Q34" s="51">
        <f t="shared" si="8"/>
        <v>9.1177387128114074E-2</v>
      </c>
      <c r="R34" s="51">
        <f t="shared" si="8"/>
        <v>-0.10077457803522349</v>
      </c>
      <c r="S34" s="51">
        <f t="shared" si="8"/>
        <v>-8.1889783024459262E-2</v>
      </c>
    </row>
    <row r="35" spans="1:19" ht="13.15" x14ac:dyDescent="0.4">
      <c r="A35" s="15" t="s">
        <v>94</v>
      </c>
      <c r="B35" s="46">
        <f t="shared" ref="B35:F35" si="35">G79</f>
        <v>39.389800000000001</v>
      </c>
      <c r="C35" s="46">
        <f t="shared" si="35"/>
        <v>37.4651</v>
      </c>
      <c r="D35" s="46">
        <f t="shared" si="35"/>
        <v>41.628700000000002</v>
      </c>
      <c r="E35" s="46">
        <f t="shared" si="35"/>
        <v>33.740600000000001</v>
      </c>
      <c r="F35" s="46">
        <f t="shared" si="35"/>
        <v>31.168099999999999</v>
      </c>
      <c r="G35" s="49">
        <f t="shared" si="2"/>
        <v>36.678460000000001</v>
      </c>
      <c r="H35" s="50">
        <f t="shared" si="3"/>
        <v>1495.4835138880003</v>
      </c>
      <c r="I35" s="48">
        <f t="shared" si="4"/>
        <v>0.1030780505953417</v>
      </c>
      <c r="J35" s="48">
        <f t="shared" si="5"/>
        <v>0.13400000000000001</v>
      </c>
      <c r="K35" s="48">
        <f t="shared" si="6"/>
        <v>0.2851973610669587</v>
      </c>
      <c r="L35" s="22">
        <f>G35/'Clause 6'!$H$11</f>
        <v>36.678460000000001</v>
      </c>
      <c r="M35">
        <f t="shared" si="7"/>
        <v>5</v>
      </c>
      <c r="O35" s="51">
        <f t="shared" si="10"/>
        <v>7.3921860405262274E-2</v>
      </c>
      <c r="P35" s="51">
        <f t="shared" si="8"/>
        <v>2.1446920072434761E-2</v>
      </c>
      <c r="Q35" s="51">
        <f t="shared" si="8"/>
        <v>0.1349631364021282</v>
      </c>
      <c r="R35" s="51">
        <f t="shared" si="8"/>
        <v>-8.0097692214994853E-2</v>
      </c>
      <c r="S35" s="51">
        <f t="shared" si="8"/>
        <v>-0.15023422466483061</v>
      </c>
    </row>
    <row r="36" spans="1:19" ht="13.15" x14ac:dyDescent="0.4">
      <c r="A36" s="15" t="s">
        <v>95</v>
      </c>
      <c r="B36" s="46">
        <f t="shared" ref="B36:F36" si="36">G80</f>
        <v>29.441500000000001</v>
      </c>
      <c r="C36" s="46">
        <f t="shared" si="36"/>
        <v>26.237400000000001</v>
      </c>
      <c r="D36" s="46">
        <f t="shared" si="36"/>
        <v>30.648299999999999</v>
      </c>
      <c r="E36" s="46">
        <f t="shared" si="36"/>
        <v>23.690200000000001</v>
      </c>
      <c r="F36" s="46">
        <f t="shared" si="36"/>
        <v>20.379100000000001</v>
      </c>
      <c r="G36" s="49">
        <f t="shared" si="2"/>
        <v>26.0793</v>
      </c>
      <c r="H36" s="50">
        <f t="shared" si="3"/>
        <v>1063.3260830400002</v>
      </c>
      <c r="I36" s="48">
        <f t="shared" si="4"/>
        <v>0.14388698444124937</v>
      </c>
      <c r="J36" s="48">
        <f t="shared" si="5"/>
        <v>0.13400000000000001</v>
      </c>
      <c r="K36" s="48">
        <f t="shared" si="6"/>
        <v>0.39376823764441521</v>
      </c>
      <c r="L36" s="22">
        <f>G36/'Clause 6'!$H$11</f>
        <v>26.0793</v>
      </c>
      <c r="M36">
        <f t="shared" si="7"/>
        <v>5</v>
      </c>
      <c r="O36" s="51">
        <f t="shared" si="10"/>
        <v>0.12892217199081268</v>
      </c>
      <c r="P36" s="51">
        <f t="shared" si="8"/>
        <v>6.0622792789684077E-3</v>
      </c>
      <c r="Q36" s="51">
        <f t="shared" si="8"/>
        <v>0.17519642014931369</v>
      </c>
      <c r="R36" s="51">
        <f t="shared" si="8"/>
        <v>-9.1609053923993322E-2</v>
      </c>
      <c r="S36" s="51">
        <f t="shared" si="8"/>
        <v>-0.21857181749510146</v>
      </c>
    </row>
    <row r="37" spans="1:19" ht="13.15" x14ac:dyDescent="0.4">
      <c r="A37" s="15" t="s">
        <v>96</v>
      </c>
      <c r="B37" s="46">
        <f t="shared" ref="B37:F37" si="37">G81</f>
        <v>23.6191</v>
      </c>
      <c r="C37" s="46">
        <f t="shared" si="37"/>
        <v>19.648099999999999</v>
      </c>
      <c r="D37" s="46">
        <f t="shared" si="37"/>
        <v>23.129799999999999</v>
      </c>
      <c r="E37" s="46">
        <f t="shared" si="37"/>
        <v>17.468499999999999</v>
      </c>
      <c r="F37" s="46">
        <f t="shared" si="37"/>
        <v>13.905799999999999</v>
      </c>
      <c r="G37" s="49">
        <f t="shared" si="2"/>
        <v>19.554259999999999</v>
      </c>
      <c r="H37" s="50">
        <f t="shared" si="3"/>
        <v>797.28193212799999</v>
      </c>
      <c r="I37" s="48">
        <f t="shared" si="4"/>
        <v>0.18519611524944798</v>
      </c>
      <c r="J37" s="48">
        <f t="shared" si="5"/>
        <v>0.156</v>
      </c>
      <c r="K37" s="48">
        <f t="shared" si="6"/>
        <v>0.49673574965250544</v>
      </c>
      <c r="L37" s="22">
        <f>G37/'Clause 6'!$H$11</f>
        <v>19.554259999999999</v>
      </c>
      <c r="M37">
        <f t="shared" si="7"/>
        <v>5</v>
      </c>
      <c r="O37" s="51">
        <f t="shared" si="10"/>
        <v>0.20787490807629649</v>
      </c>
      <c r="P37" s="51">
        <f t="shared" si="8"/>
        <v>4.7989542943582819E-3</v>
      </c>
      <c r="Q37" s="51">
        <f t="shared" si="8"/>
        <v>0.18285222759644193</v>
      </c>
      <c r="R37" s="51">
        <f t="shared" si="8"/>
        <v>-0.10666524839088776</v>
      </c>
      <c r="S37" s="51">
        <f t="shared" si="8"/>
        <v>-0.28886084157620895</v>
      </c>
    </row>
    <row r="38" spans="1:19" ht="13.15" x14ac:dyDescent="0.4">
      <c r="A38" s="15" t="s">
        <v>97</v>
      </c>
      <c r="B38" s="46">
        <f t="shared" ref="B38:F38" si="38">G82</f>
        <v>18.552199999999999</v>
      </c>
      <c r="C38" s="46">
        <f t="shared" si="38"/>
        <v>14.9757</v>
      </c>
      <c r="D38" s="46">
        <f t="shared" si="38"/>
        <v>16.651499999999999</v>
      </c>
      <c r="E38" s="46">
        <f t="shared" si="38"/>
        <v>12.323700000000001</v>
      </c>
      <c r="F38" s="46">
        <f t="shared" si="38"/>
        <v>8.7509999999999994</v>
      </c>
      <c r="G38" s="49">
        <f t="shared" si="2"/>
        <v>14.250820000000001</v>
      </c>
      <c r="H38" s="50">
        <f t="shared" si="3"/>
        <v>581.04583369600005</v>
      </c>
      <c r="I38" s="48">
        <f t="shared" si="4"/>
        <v>0.24054034957148634</v>
      </c>
      <c r="J38" s="48">
        <f t="shared" si="5"/>
        <v>0.156</v>
      </c>
      <c r="K38" s="48">
        <f t="shared" si="6"/>
        <v>0.68776393218074461</v>
      </c>
      <c r="L38" s="22">
        <f>G38/'Clause 6'!$H$11</f>
        <v>14.250820000000001</v>
      </c>
      <c r="M38">
        <f t="shared" si="7"/>
        <v>5</v>
      </c>
      <c r="O38" s="51">
        <f t="shared" si="10"/>
        <v>0.30183385938493346</v>
      </c>
      <c r="P38" s="51">
        <f t="shared" si="8"/>
        <v>5.0865844912783897E-2</v>
      </c>
      <c r="Q38" s="51">
        <f t="shared" si="8"/>
        <v>0.16845907814427497</v>
      </c>
      <c r="R38" s="51">
        <f t="shared" si="8"/>
        <v>-0.13522870964618183</v>
      </c>
      <c r="S38" s="51">
        <f t="shared" si="8"/>
        <v>-0.38593007279581115</v>
      </c>
    </row>
    <row r="40" spans="1:19" x14ac:dyDescent="0.35">
      <c r="A40" t="s">
        <v>98</v>
      </c>
    </row>
    <row r="41" spans="1:19" ht="15" x14ac:dyDescent="0.5">
      <c r="A41" s="53"/>
      <c r="B41" s="54" t="s">
        <v>99</v>
      </c>
      <c r="C41" s="53"/>
      <c r="D41" s="55" t="s">
        <v>100</v>
      </c>
      <c r="E41" s="56"/>
      <c r="F41" s="56"/>
      <c r="G41" s="56"/>
      <c r="H41" s="57"/>
    </row>
    <row r="42" spans="1:19" ht="15" x14ac:dyDescent="0.5">
      <c r="A42" s="58" t="s">
        <v>101</v>
      </c>
      <c r="B42" s="59" t="s">
        <v>102</v>
      </c>
      <c r="C42" s="58" t="s">
        <v>103</v>
      </c>
      <c r="D42" s="58" t="s">
        <v>104</v>
      </c>
      <c r="E42" s="59" t="s">
        <v>105</v>
      </c>
      <c r="F42" s="59" t="s">
        <v>106</v>
      </c>
      <c r="G42" s="59" t="s">
        <v>107</v>
      </c>
      <c r="H42" s="60" t="s">
        <v>108</v>
      </c>
    </row>
    <row r="43" spans="1:19" x14ac:dyDescent="0.35">
      <c r="A43" s="61">
        <v>10000</v>
      </c>
      <c r="C43" s="61">
        <v>11</v>
      </c>
      <c r="D43" s="61">
        <v>7.8</v>
      </c>
      <c r="E43">
        <v>5.3</v>
      </c>
      <c r="F43">
        <v>4</v>
      </c>
      <c r="G43">
        <v>2.7</v>
      </c>
      <c r="H43" s="62">
        <v>1.8</v>
      </c>
    </row>
    <row r="44" spans="1:19" x14ac:dyDescent="0.35">
      <c r="A44" s="61">
        <v>5000</v>
      </c>
      <c r="B44">
        <v>10000</v>
      </c>
      <c r="C44" s="61">
        <v>11.3</v>
      </c>
      <c r="D44" s="61">
        <v>7.8</v>
      </c>
      <c r="E44">
        <v>5.3</v>
      </c>
      <c r="F44">
        <v>4</v>
      </c>
      <c r="G44">
        <v>2.7</v>
      </c>
      <c r="H44" s="62">
        <v>1.9</v>
      </c>
    </row>
    <row r="45" spans="1:19" x14ac:dyDescent="0.35">
      <c r="A45" s="61">
        <v>2000</v>
      </c>
      <c r="B45">
        <v>5000</v>
      </c>
      <c r="C45" s="61">
        <v>11.9</v>
      </c>
      <c r="D45" s="61">
        <v>7.9</v>
      </c>
      <c r="E45">
        <v>5.4</v>
      </c>
      <c r="F45">
        <v>4.0999999999999996</v>
      </c>
      <c r="G45">
        <v>2.9</v>
      </c>
      <c r="H45" s="62">
        <v>2.1</v>
      </c>
    </row>
    <row r="46" spans="1:19" x14ac:dyDescent="0.35">
      <c r="A46" s="61">
        <v>1000</v>
      </c>
      <c r="B46">
        <v>2000</v>
      </c>
      <c r="C46" s="61">
        <v>13.4</v>
      </c>
      <c r="D46" s="61">
        <v>8</v>
      </c>
      <c r="E46">
        <v>5.6</v>
      </c>
      <c r="F46">
        <v>4.3</v>
      </c>
      <c r="G46">
        <v>3.1</v>
      </c>
      <c r="H46" s="62">
        <v>2.4</v>
      </c>
    </row>
    <row r="47" spans="1:19" x14ac:dyDescent="0.35">
      <c r="A47" s="61">
        <v>500</v>
      </c>
      <c r="B47">
        <v>1000</v>
      </c>
      <c r="C47" s="61">
        <v>15.6</v>
      </c>
      <c r="D47" s="61">
        <v>8.1999999999999993</v>
      </c>
      <c r="E47">
        <v>5.9</v>
      </c>
      <c r="F47">
        <v>4.7</v>
      </c>
      <c r="G47">
        <v>3.6</v>
      </c>
      <c r="H47" s="62">
        <v>2.9</v>
      </c>
    </row>
    <row r="48" spans="1:19" x14ac:dyDescent="0.35">
      <c r="A48" s="61">
        <v>200</v>
      </c>
      <c r="B48">
        <v>500</v>
      </c>
      <c r="C48" s="61">
        <v>19.3</v>
      </c>
      <c r="D48" s="61">
        <v>8.9</v>
      </c>
      <c r="E48">
        <v>6.8</v>
      </c>
      <c r="F48">
        <v>5.7</v>
      </c>
      <c r="G48">
        <v>4.7</v>
      </c>
      <c r="H48" s="62">
        <v>4.0999999999999996</v>
      </c>
    </row>
    <row r="49" spans="1:16" x14ac:dyDescent="0.35">
      <c r="A49" s="63">
        <v>100</v>
      </c>
      <c r="B49" s="64">
        <v>200</v>
      </c>
      <c r="C49" s="63">
        <v>27.5</v>
      </c>
      <c r="D49" s="63">
        <v>10</v>
      </c>
      <c r="E49" s="64">
        <v>8</v>
      </c>
      <c r="F49" s="64">
        <v>7</v>
      </c>
      <c r="G49" s="64">
        <v>6.1</v>
      </c>
      <c r="H49" s="65">
        <v>5.5</v>
      </c>
    </row>
    <row r="51" spans="1:16" x14ac:dyDescent="0.35">
      <c r="A51" s="67">
        <f>'6 - B1'!A51</f>
        <v>0</v>
      </c>
      <c r="B51" s="68" t="str">
        <f>'6 - B1'!B51</f>
        <v>Portion 1</v>
      </c>
      <c r="C51" s="68" t="str">
        <f>'6 - B1'!C51</f>
        <v>Portion 2</v>
      </c>
      <c r="D51" s="68" t="str">
        <f>'6 - B1'!D51</f>
        <v>Portion 3</v>
      </c>
      <c r="E51" s="68" t="str">
        <f>'6 - B1'!E51</f>
        <v>Portion 4</v>
      </c>
      <c r="F51" s="68" t="str">
        <f>'6 - B1'!F51</f>
        <v>Portion 5</v>
      </c>
      <c r="G51" s="68" t="str">
        <f>'6 - B1'!G51</f>
        <v>Portion 1</v>
      </c>
      <c r="H51" s="68" t="str">
        <f>'6 - B1'!H51</f>
        <v>Portion 2</v>
      </c>
      <c r="I51" s="68" t="str">
        <f>'6 - B1'!I51</f>
        <v>Portion 3</v>
      </c>
      <c r="J51" s="68" t="str">
        <f>'6 - B1'!J51</f>
        <v>Portion 4</v>
      </c>
      <c r="K51" s="68" t="str">
        <f>'6 - B1'!K51</f>
        <v>Portion 5</v>
      </c>
      <c r="L51" s="68" t="str">
        <f>'6 - B1'!L51</f>
        <v>Portion 1</v>
      </c>
      <c r="M51" s="68" t="str">
        <f>'6 - B1'!M51</f>
        <v>Portion 2</v>
      </c>
      <c r="N51" s="68" t="str">
        <f>'6 - B1'!N51</f>
        <v>Portion 3</v>
      </c>
      <c r="O51" s="68" t="str">
        <f>'6 - B1'!O51</f>
        <v>Portion 4</v>
      </c>
      <c r="P51" s="68" t="str">
        <f>'6 - B1'!P51</f>
        <v>Portion 5</v>
      </c>
    </row>
    <row r="52" spans="1:16" x14ac:dyDescent="0.35">
      <c r="A52" s="69" t="str">
        <f>'6 - B1'!A52</f>
        <v>NAME\mL</v>
      </c>
      <c r="B52" s="67">
        <f>'6 - B1'!B52</f>
        <v>7.4394</v>
      </c>
      <c r="C52" s="67">
        <f>'6 - B1'!C52</f>
        <v>8.3442000000000007</v>
      </c>
      <c r="D52" s="67">
        <f>'6 - B1'!D52</f>
        <v>8.2882999999999996</v>
      </c>
      <c r="E52" s="67">
        <f>'6 - B1'!E52</f>
        <v>8.3513999999999999</v>
      </c>
      <c r="F52" s="67">
        <f>'6 - B1'!F52</f>
        <v>8.3496000000000006</v>
      </c>
      <c r="G52" s="67">
        <f>'6 - B1'!G52</f>
        <v>7.4385000000000003</v>
      </c>
      <c r="H52" s="67">
        <f>'6 - B1'!H52</f>
        <v>8.3468999999999998</v>
      </c>
      <c r="I52" s="67">
        <f>'6 - B1'!I52</f>
        <v>8.2875999999999994</v>
      </c>
      <c r="J52" s="67">
        <f>'6 - B1'!J52</f>
        <v>8.3579000000000008</v>
      </c>
      <c r="K52" s="67">
        <f>'6 - B1'!K52</f>
        <v>8.3419000000000008</v>
      </c>
      <c r="L52" s="67">
        <f>'6 - B1'!L52</f>
        <v>7.4290000000000003</v>
      </c>
      <c r="M52" s="67">
        <f>'6 - B1'!M52</f>
        <v>8.3376000000000001</v>
      </c>
      <c r="N52" s="67">
        <f>'6 - B1'!N52</f>
        <v>8.2918000000000003</v>
      </c>
      <c r="O52" s="67">
        <f>'6 - B1'!O52</f>
        <v>8.3432999999999993</v>
      </c>
      <c r="P52" s="67">
        <f>'6 - B1'!P52</f>
        <v>8.3506</v>
      </c>
    </row>
    <row r="53" spans="1:16" x14ac:dyDescent="0.35">
      <c r="A53" s="69">
        <f>'6 - B1'!A53</f>
        <v>4</v>
      </c>
      <c r="B53" s="67">
        <f>'6 - B1'!B53</f>
        <v>14608.8809</v>
      </c>
      <c r="C53" s="67">
        <f>'6 - B1'!C53</f>
        <v>14726.0928</v>
      </c>
      <c r="D53" s="67">
        <f>'6 - B1'!D53</f>
        <v>14734.098599999999</v>
      </c>
      <c r="E53" s="67">
        <f>'6 - B1'!E53</f>
        <v>14654.0303</v>
      </c>
      <c r="F53" s="67">
        <f>'6 - B1'!F53</f>
        <v>14670.570299999999</v>
      </c>
      <c r="G53" s="67">
        <f>'6 - B1'!G53</f>
        <v>14645.0488</v>
      </c>
      <c r="H53" s="67">
        <f>'6 - B1'!H53</f>
        <v>14604.5537</v>
      </c>
      <c r="I53" s="67">
        <f>'6 - B1'!I53</f>
        <v>14624.151400000001</v>
      </c>
      <c r="J53" s="67">
        <f>'6 - B1'!J53</f>
        <v>14489.668</v>
      </c>
      <c r="K53" s="67">
        <f>'6 - B1'!K53</f>
        <v>14687.5615</v>
      </c>
      <c r="L53" s="67">
        <f>'6 - B1'!L53</f>
        <v>14734.9521</v>
      </c>
      <c r="M53" s="67">
        <f>'6 - B1'!M53</f>
        <v>14756.612300000001</v>
      </c>
      <c r="N53" s="67">
        <f>'6 - B1'!N53</f>
        <v>14702.5273</v>
      </c>
      <c r="O53" s="67">
        <f>'6 - B1'!O53</f>
        <v>14757.046899999999</v>
      </c>
      <c r="P53" s="67">
        <f>'6 - B1'!P53</f>
        <v>14674.137699999999</v>
      </c>
    </row>
    <row r="54" spans="1:16" x14ac:dyDescent="0.35">
      <c r="A54" s="69">
        <f>'6 - B1'!A54</f>
        <v>5</v>
      </c>
      <c r="B54" s="67">
        <f>'6 - B1'!B54</f>
        <v>12631.854499999999</v>
      </c>
      <c r="C54" s="67">
        <f>'6 - B1'!C54</f>
        <v>12706.499</v>
      </c>
      <c r="D54" s="67">
        <f>'6 - B1'!D54</f>
        <v>12753.3447</v>
      </c>
      <c r="E54" s="67">
        <f>'6 - B1'!E54</f>
        <v>12662.604499999999</v>
      </c>
      <c r="F54" s="67">
        <f>'6 - B1'!F54</f>
        <v>12666.1621</v>
      </c>
      <c r="G54" s="67">
        <f>'6 - B1'!G54</f>
        <v>12657.4854</v>
      </c>
      <c r="H54" s="67">
        <f>'6 - B1'!H54</f>
        <v>12627.732400000001</v>
      </c>
      <c r="I54" s="67">
        <f>'6 - B1'!I54</f>
        <v>12642.142599999999</v>
      </c>
      <c r="J54" s="67">
        <f>'6 - B1'!J54</f>
        <v>12517.118200000001</v>
      </c>
      <c r="K54" s="67">
        <f>'6 - B1'!K54</f>
        <v>12678.781199999999</v>
      </c>
      <c r="L54" s="67">
        <f>'6 - B1'!L54</f>
        <v>12767.7832</v>
      </c>
      <c r="M54" s="67">
        <f>'6 - B1'!M54</f>
        <v>12739.2803</v>
      </c>
      <c r="N54" s="67">
        <f>'6 - B1'!N54</f>
        <v>12690.0322</v>
      </c>
      <c r="O54" s="67">
        <f>'6 - B1'!O54</f>
        <v>12747.793</v>
      </c>
      <c r="P54" s="67">
        <f>'6 - B1'!P54</f>
        <v>12663.2852</v>
      </c>
    </row>
    <row r="55" spans="1:16" x14ac:dyDescent="0.35">
      <c r="A55" s="69">
        <f>'6 - B1'!A55</f>
        <v>6</v>
      </c>
      <c r="B55" s="67">
        <f>'6 - B1'!B55</f>
        <v>10962.7793</v>
      </c>
      <c r="C55" s="67">
        <f>'6 - B1'!C55</f>
        <v>10971.637699999999</v>
      </c>
      <c r="D55" s="67">
        <f>'6 - B1'!D55</f>
        <v>11036.374</v>
      </c>
      <c r="E55" s="67">
        <f>'6 - B1'!E55</f>
        <v>10959.198200000001</v>
      </c>
      <c r="F55" s="67">
        <f>'6 - B1'!F55</f>
        <v>10981.7266</v>
      </c>
      <c r="G55" s="67">
        <f>'6 - B1'!G55</f>
        <v>10966.0977</v>
      </c>
      <c r="H55" s="67">
        <f>'6 - B1'!H55</f>
        <v>10950.0322</v>
      </c>
      <c r="I55" s="67">
        <f>'6 - B1'!I55</f>
        <v>10948.4697</v>
      </c>
      <c r="J55" s="67">
        <f>'6 - B1'!J55</f>
        <v>10841.176799999999</v>
      </c>
      <c r="K55" s="67">
        <f>'6 - B1'!K55</f>
        <v>10964.088900000001</v>
      </c>
      <c r="L55" s="67">
        <f>'6 - B1'!L55</f>
        <v>11050.4434</v>
      </c>
      <c r="M55" s="67">
        <f>'6 - B1'!M55</f>
        <v>11025.791999999999</v>
      </c>
      <c r="N55" s="67">
        <f>'6 - B1'!N55</f>
        <v>11018.7822</v>
      </c>
      <c r="O55" s="67">
        <f>'6 - B1'!O55</f>
        <v>11046.569299999999</v>
      </c>
      <c r="P55" s="67">
        <f>'6 - B1'!P55</f>
        <v>10962.862300000001</v>
      </c>
    </row>
    <row r="56" spans="1:16" x14ac:dyDescent="0.35">
      <c r="A56" s="69">
        <f>'6 - B1'!A56</f>
        <v>7</v>
      </c>
      <c r="B56" s="67">
        <f>'6 - B1'!B56</f>
        <v>9498.5136999999995</v>
      </c>
      <c r="C56" s="67">
        <f>'6 - B1'!C56</f>
        <v>9472.5244000000002</v>
      </c>
      <c r="D56" s="67">
        <f>'6 - B1'!D56</f>
        <v>9550.8184000000001</v>
      </c>
      <c r="E56" s="67">
        <f>'6 - B1'!E56</f>
        <v>9467.9120999999996</v>
      </c>
      <c r="F56" s="67">
        <f>'6 - B1'!F56</f>
        <v>9480.7919999999995</v>
      </c>
      <c r="G56" s="67">
        <f>'6 - B1'!G56</f>
        <v>9486.3135000000002</v>
      </c>
      <c r="H56" s="67">
        <f>'6 - B1'!H56</f>
        <v>9462.5663999999997</v>
      </c>
      <c r="I56" s="67">
        <f>'6 - B1'!I56</f>
        <v>9481.5938000000006</v>
      </c>
      <c r="J56" s="67">
        <f>'6 - B1'!J56</f>
        <v>9376.3467000000001</v>
      </c>
      <c r="K56" s="67">
        <f>'6 - B1'!K56</f>
        <v>9492.7811999999994</v>
      </c>
      <c r="L56" s="67">
        <f>'6 - B1'!L56</f>
        <v>9581.4775000000009</v>
      </c>
      <c r="M56" s="67">
        <f>'6 - B1'!M56</f>
        <v>9515.3359</v>
      </c>
      <c r="N56" s="67">
        <f>'6 - B1'!N56</f>
        <v>9515.4678000000004</v>
      </c>
      <c r="O56" s="67">
        <f>'6 - B1'!O56</f>
        <v>9533.7559000000001</v>
      </c>
      <c r="P56" s="67">
        <f>'6 - B1'!P56</f>
        <v>9474.1923999999999</v>
      </c>
    </row>
    <row r="57" spans="1:16" x14ac:dyDescent="0.35">
      <c r="A57" s="69">
        <f>'6 - B1'!A57</f>
        <v>8</v>
      </c>
      <c r="B57" s="67">
        <f>'6 - B1'!B57</f>
        <v>8179.5712999999996</v>
      </c>
      <c r="C57" s="67">
        <f>'6 - B1'!C57</f>
        <v>8207.5136999999995</v>
      </c>
      <c r="D57" s="67">
        <f>'6 - B1'!D57</f>
        <v>8228.4061999999994</v>
      </c>
      <c r="E57" s="67">
        <f>'6 - B1'!E57</f>
        <v>8134.6953000000003</v>
      </c>
      <c r="F57" s="67">
        <f>'6 - B1'!F57</f>
        <v>8167.1410999999998</v>
      </c>
      <c r="G57" s="67">
        <f>'6 - B1'!G57</f>
        <v>8180.5102999999999</v>
      </c>
      <c r="H57" s="67">
        <f>'6 - B1'!H57</f>
        <v>8148.1201000000001</v>
      </c>
      <c r="I57" s="67">
        <f>'6 - B1'!I57</f>
        <v>8178.7349000000004</v>
      </c>
      <c r="J57" s="67">
        <f>'6 - B1'!J57</f>
        <v>8092.8495999999996</v>
      </c>
      <c r="K57" s="67">
        <f>'6 - B1'!K57</f>
        <v>8187.5038999999997</v>
      </c>
      <c r="L57" s="67">
        <f>'6 - B1'!L57</f>
        <v>8266.0067999999992</v>
      </c>
      <c r="M57" s="67">
        <f>'6 - B1'!M57</f>
        <v>8180.7568000000001</v>
      </c>
      <c r="N57" s="67">
        <f>'6 - B1'!N57</f>
        <v>8211.9951000000001</v>
      </c>
      <c r="O57" s="67">
        <f>'6 - B1'!O57</f>
        <v>8209.4902000000002</v>
      </c>
      <c r="P57" s="67">
        <f>'6 - B1'!P57</f>
        <v>8151.5649000000003</v>
      </c>
    </row>
    <row r="58" spans="1:16" x14ac:dyDescent="0.35">
      <c r="A58" s="69">
        <f>'6 - B1'!A58</f>
        <v>9</v>
      </c>
      <c r="B58" s="67">
        <f>'6 - B1'!B58</f>
        <v>7004.0102999999999</v>
      </c>
      <c r="C58" s="67">
        <f>'6 - B1'!C58</f>
        <v>7082.7124000000003</v>
      </c>
      <c r="D58" s="67">
        <f>'6 - B1'!D58</f>
        <v>7076.9652999999998</v>
      </c>
      <c r="E58" s="67">
        <f>'6 - B1'!E58</f>
        <v>6994.9135999999999</v>
      </c>
      <c r="F58" s="67">
        <f>'6 - B1'!F58</f>
        <v>7015.6943000000001</v>
      </c>
      <c r="G58" s="67">
        <f>'6 - B1'!G58</f>
        <v>7036.1518999999998</v>
      </c>
      <c r="H58" s="67">
        <f>'6 - B1'!H58</f>
        <v>7008.1611000000003</v>
      </c>
      <c r="I58" s="67">
        <f>'6 - B1'!I58</f>
        <v>7035.0752000000002</v>
      </c>
      <c r="J58" s="67">
        <f>'6 - B1'!J58</f>
        <v>6946.0541999999996</v>
      </c>
      <c r="K58" s="67">
        <f>'6 - B1'!K58</f>
        <v>7035.7870999999996</v>
      </c>
      <c r="L58" s="67">
        <f>'6 - B1'!L58</f>
        <v>7106.75</v>
      </c>
      <c r="M58" s="67">
        <f>'6 - B1'!M58</f>
        <v>7003.0424999999996</v>
      </c>
      <c r="N58" s="67">
        <f>'6 - B1'!N58</f>
        <v>7051.1782000000003</v>
      </c>
      <c r="O58" s="67">
        <f>'6 - B1'!O58</f>
        <v>7057.8887000000004</v>
      </c>
      <c r="P58" s="67">
        <f>'6 - B1'!P58</f>
        <v>7012.1220999999996</v>
      </c>
    </row>
    <row r="59" spans="1:16" x14ac:dyDescent="0.35">
      <c r="A59" s="69">
        <f>'6 - B1'!A59</f>
        <v>10</v>
      </c>
      <c r="B59" s="67">
        <f>'6 - B1'!B59</f>
        <v>5954.3984</v>
      </c>
      <c r="C59" s="67">
        <f>'6 - B1'!C59</f>
        <v>6046.7554</v>
      </c>
      <c r="D59" s="67">
        <f>'6 - B1'!D59</f>
        <v>6030.9204</v>
      </c>
      <c r="E59" s="67">
        <f>'6 - B1'!E59</f>
        <v>5974.0429999999997</v>
      </c>
      <c r="F59" s="67">
        <f>'6 - B1'!F59</f>
        <v>5994.8149000000003</v>
      </c>
      <c r="G59" s="67">
        <f>'6 - B1'!G59</f>
        <v>6020.6992</v>
      </c>
      <c r="H59" s="67">
        <f>'6 - B1'!H59</f>
        <v>5973.7114000000001</v>
      </c>
      <c r="I59" s="67">
        <f>'6 - B1'!I59</f>
        <v>6023.1562000000004</v>
      </c>
      <c r="J59" s="67">
        <f>'6 - B1'!J59</f>
        <v>5929.7739000000001</v>
      </c>
      <c r="K59" s="67">
        <f>'6 - B1'!K59</f>
        <v>6011.4018999999998</v>
      </c>
      <c r="L59" s="67">
        <f>'6 - B1'!L59</f>
        <v>6082.8198000000002</v>
      </c>
      <c r="M59" s="67">
        <f>'6 - B1'!M59</f>
        <v>5966.7821999999996</v>
      </c>
      <c r="N59" s="67">
        <f>'6 - B1'!N59</f>
        <v>5974.3931000000002</v>
      </c>
      <c r="O59" s="67">
        <f>'6 - B1'!O59</f>
        <v>6001.0684000000001</v>
      </c>
      <c r="P59" s="67">
        <f>'6 - B1'!P59</f>
        <v>5975.8397999999997</v>
      </c>
    </row>
    <row r="60" spans="1:16" x14ac:dyDescent="0.35">
      <c r="A60" s="69">
        <f>'6 - B1'!A60</f>
        <v>11</v>
      </c>
      <c r="B60" s="67">
        <f>'6 - B1'!B60</f>
        <v>5009.2798000000003</v>
      </c>
      <c r="C60" s="67">
        <f>'6 - B1'!C60</f>
        <v>5107.7201999999997</v>
      </c>
      <c r="D60" s="67">
        <f>'6 - B1'!D60</f>
        <v>5082.7866000000004</v>
      </c>
      <c r="E60" s="67">
        <f>'6 - B1'!E60</f>
        <v>5020.2206999999999</v>
      </c>
      <c r="F60" s="67">
        <f>'6 - B1'!F60</f>
        <v>5061.2313999999997</v>
      </c>
      <c r="G60" s="67">
        <f>'6 - B1'!G60</f>
        <v>5084.9696999999996</v>
      </c>
      <c r="H60" s="67">
        <f>'6 - B1'!H60</f>
        <v>5048.3402999999998</v>
      </c>
      <c r="I60" s="67">
        <f>'6 - B1'!I60</f>
        <v>5093.5263999999997</v>
      </c>
      <c r="J60" s="67">
        <f>'6 - B1'!J60</f>
        <v>5007.6948000000002</v>
      </c>
      <c r="K60" s="67">
        <f>'6 - B1'!K60</f>
        <v>5080.9224000000004</v>
      </c>
      <c r="L60" s="67">
        <f>'6 - B1'!L60</f>
        <v>5113.8589000000002</v>
      </c>
      <c r="M60" s="67">
        <f>'6 - B1'!M60</f>
        <v>5036.3388999999997</v>
      </c>
      <c r="N60" s="67">
        <f>'6 - B1'!N60</f>
        <v>5034.4247999999998</v>
      </c>
      <c r="O60" s="67">
        <f>'6 - B1'!O60</f>
        <v>5062.1484</v>
      </c>
      <c r="P60" s="67">
        <f>'6 - B1'!P60</f>
        <v>5035.0165999999999</v>
      </c>
    </row>
    <row r="61" spans="1:16" x14ac:dyDescent="0.35">
      <c r="A61" s="69">
        <f>'6 - B1'!A61</f>
        <v>12</v>
      </c>
      <c r="B61" s="67">
        <f>'6 - B1'!B61</f>
        <v>4176.4951000000001</v>
      </c>
      <c r="C61" s="67">
        <f>'6 - B1'!C61</f>
        <v>4255.7896000000001</v>
      </c>
      <c r="D61" s="67">
        <f>'6 - B1'!D61</f>
        <v>4236.3837999999996</v>
      </c>
      <c r="E61" s="67">
        <f>'6 - B1'!E61</f>
        <v>4181.8456999999999</v>
      </c>
      <c r="F61" s="67">
        <f>'6 - B1'!F61</f>
        <v>4210.7456000000002</v>
      </c>
      <c r="G61" s="67">
        <f>'6 - B1'!G61</f>
        <v>4251.8217999999997</v>
      </c>
      <c r="H61" s="67">
        <f>'6 - B1'!H61</f>
        <v>4201.3433000000005</v>
      </c>
      <c r="I61" s="67">
        <f>'6 - B1'!I61</f>
        <v>4262.6396000000004</v>
      </c>
      <c r="J61" s="67">
        <f>'6 - B1'!J61</f>
        <v>4167.1836000000003</v>
      </c>
      <c r="K61" s="67">
        <f>'6 - B1'!K61</f>
        <v>4243.7133999999996</v>
      </c>
      <c r="L61" s="67">
        <f>'6 - B1'!L61</f>
        <v>4269.1229999999996</v>
      </c>
      <c r="M61" s="67">
        <f>'6 - B1'!M61</f>
        <v>4205.3945000000003</v>
      </c>
      <c r="N61" s="67">
        <f>'6 - B1'!N61</f>
        <v>4194.2173000000003</v>
      </c>
      <c r="O61" s="67">
        <f>'6 - B1'!O61</f>
        <v>4228.6620999999996</v>
      </c>
      <c r="P61" s="67">
        <f>'6 - B1'!P61</f>
        <v>4186.3242</v>
      </c>
    </row>
    <row r="62" spans="1:16" x14ac:dyDescent="0.35">
      <c r="A62" s="69">
        <f>'6 - B1'!A62</f>
        <v>13</v>
      </c>
      <c r="B62" s="67">
        <f>'6 - B1'!B62</f>
        <v>3425.6008000000002</v>
      </c>
      <c r="C62" s="67">
        <f>'6 - B1'!C62</f>
        <v>3502.9717000000001</v>
      </c>
      <c r="D62" s="67">
        <f>'6 - B1'!D62</f>
        <v>3485.7939000000001</v>
      </c>
      <c r="E62" s="67">
        <f>'6 - B1'!E62</f>
        <v>3430.9829</v>
      </c>
      <c r="F62" s="67">
        <f>'6 - B1'!F62</f>
        <v>3454.0783999999999</v>
      </c>
      <c r="G62" s="67">
        <f>'6 - B1'!G62</f>
        <v>3493.6876999999999</v>
      </c>
      <c r="H62" s="67">
        <f>'6 - B1'!H62</f>
        <v>3453.5369000000001</v>
      </c>
      <c r="I62" s="67">
        <f>'6 - B1'!I62</f>
        <v>3512.1965</v>
      </c>
      <c r="J62" s="67">
        <f>'6 - B1'!J62</f>
        <v>3425.8787000000002</v>
      </c>
      <c r="K62" s="67">
        <f>'6 - B1'!K62</f>
        <v>3481.9014000000002</v>
      </c>
      <c r="L62" s="67">
        <f>'6 - B1'!L62</f>
        <v>3509.8332999999998</v>
      </c>
      <c r="M62" s="67">
        <f>'6 - B1'!M62</f>
        <v>3468.0412999999999</v>
      </c>
      <c r="N62" s="67">
        <f>'6 - B1'!N62</f>
        <v>3442.4783000000002</v>
      </c>
      <c r="O62" s="67">
        <f>'6 - B1'!O62</f>
        <v>3482.6401000000001</v>
      </c>
      <c r="P62" s="67">
        <f>'6 - B1'!P62</f>
        <v>3439.3283999999999</v>
      </c>
    </row>
    <row r="63" spans="1:16" x14ac:dyDescent="0.35">
      <c r="A63" s="69">
        <f>'6 - B1'!A63</f>
        <v>14</v>
      </c>
      <c r="B63" s="67">
        <f>'6 - B1'!B63</f>
        <v>2755.8002999999999</v>
      </c>
      <c r="C63" s="67">
        <f>'6 - B1'!C63</f>
        <v>2817.5084999999999</v>
      </c>
      <c r="D63" s="67">
        <f>'6 - B1'!D63</f>
        <v>2818.5691000000002</v>
      </c>
      <c r="E63" s="67">
        <f>'6 - B1'!E63</f>
        <v>2772.8454999999999</v>
      </c>
      <c r="F63" s="67">
        <f>'6 - B1'!F63</f>
        <v>2788.4094</v>
      </c>
      <c r="G63" s="67">
        <f>'6 - B1'!G63</f>
        <v>2830.7595000000001</v>
      </c>
      <c r="H63" s="67">
        <f>'6 - B1'!H63</f>
        <v>2789.9308999999998</v>
      </c>
      <c r="I63" s="67">
        <f>'6 - B1'!I63</f>
        <v>2837.1496999999999</v>
      </c>
      <c r="J63" s="67">
        <f>'6 - B1'!J63</f>
        <v>2770.9236000000001</v>
      </c>
      <c r="K63" s="67">
        <f>'6 - B1'!K63</f>
        <v>2822.8906000000002</v>
      </c>
      <c r="L63" s="67">
        <f>'6 - B1'!L63</f>
        <v>2827.7646</v>
      </c>
      <c r="M63" s="67">
        <f>'6 - B1'!M63</f>
        <v>2800.7766000000001</v>
      </c>
      <c r="N63" s="67">
        <f>'6 - B1'!N63</f>
        <v>2781.4775</v>
      </c>
      <c r="O63" s="67">
        <f>'6 - B1'!O63</f>
        <v>2813.8400999999999</v>
      </c>
      <c r="P63" s="67">
        <f>'6 - B1'!P63</f>
        <v>2783.6896999999999</v>
      </c>
    </row>
    <row r="64" spans="1:16" x14ac:dyDescent="0.35">
      <c r="A64" s="69">
        <f>'6 - B1'!A64</f>
        <v>15</v>
      </c>
      <c r="B64" s="67">
        <f>'6 - B1'!B64</f>
        <v>2195.9805000000001</v>
      </c>
      <c r="C64" s="67">
        <f>'6 - B1'!C64</f>
        <v>2229.1628000000001</v>
      </c>
      <c r="D64" s="67">
        <f>'6 - B1'!D64</f>
        <v>2238.8496</v>
      </c>
      <c r="E64" s="67">
        <f>'6 - B1'!E64</f>
        <v>2201.0666999999999</v>
      </c>
      <c r="F64" s="67">
        <f>'6 - B1'!F64</f>
        <v>2209.9045000000001</v>
      </c>
      <c r="G64" s="67">
        <f>'6 - B1'!G64</f>
        <v>2256.6986999999999</v>
      </c>
      <c r="H64" s="67">
        <f>'6 - B1'!H64</f>
        <v>2226.1442999999999</v>
      </c>
      <c r="I64" s="67">
        <f>'6 - B1'!I64</f>
        <v>2254.5979000000002</v>
      </c>
      <c r="J64" s="67">
        <f>'6 - B1'!J64</f>
        <v>2203.5023999999999</v>
      </c>
      <c r="K64" s="67">
        <f>'6 - B1'!K64</f>
        <v>2235.0617999999999</v>
      </c>
      <c r="L64" s="67">
        <f>'6 - B1'!L64</f>
        <v>2242.2222000000002</v>
      </c>
      <c r="M64" s="67">
        <f>'6 - B1'!M64</f>
        <v>2237.5385999999999</v>
      </c>
      <c r="N64" s="67">
        <f>'6 - B1'!N64</f>
        <v>2210.2411999999999</v>
      </c>
      <c r="O64" s="67">
        <f>'6 - B1'!O64</f>
        <v>2238.6772000000001</v>
      </c>
      <c r="P64" s="67">
        <f>'6 - B1'!P64</f>
        <v>2209.1248000000001</v>
      </c>
    </row>
    <row r="65" spans="1:16" x14ac:dyDescent="0.35">
      <c r="A65" s="69">
        <f>'6 - B1'!A65</f>
        <v>16</v>
      </c>
      <c r="B65" s="67">
        <f>'6 - B1'!B65</f>
        <v>1714.3744999999999</v>
      </c>
      <c r="C65" s="67">
        <f>'6 - B1'!C65</f>
        <v>1753.3922</v>
      </c>
      <c r="D65" s="67">
        <f>'6 - B1'!D65</f>
        <v>1746.5326</v>
      </c>
      <c r="E65" s="67">
        <f>'6 - B1'!E65</f>
        <v>1724.5553</v>
      </c>
      <c r="F65" s="67">
        <f>'6 - B1'!F65</f>
        <v>1710.4676999999999</v>
      </c>
      <c r="G65" s="67">
        <f>'6 - B1'!G65</f>
        <v>1777.6405</v>
      </c>
      <c r="H65" s="67">
        <f>'6 - B1'!H65</f>
        <v>1740.0165999999999</v>
      </c>
      <c r="I65" s="67">
        <f>'6 - B1'!I65</f>
        <v>1759.5651</v>
      </c>
      <c r="J65" s="67">
        <f>'6 - B1'!J65</f>
        <v>1722.6201000000001</v>
      </c>
      <c r="K65" s="67">
        <f>'6 - B1'!K65</f>
        <v>1739.6166000000001</v>
      </c>
      <c r="L65" s="67">
        <f>'6 - B1'!L65</f>
        <v>1751.5325</v>
      </c>
      <c r="M65" s="67">
        <f>'6 - B1'!M65</f>
        <v>1741.5123000000001</v>
      </c>
      <c r="N65" s="67">
        <f>'6 - B1'!N65</f>
        <v>1729.4335000000001</v>
      </c>
      <c r="O65" s="67">
        <f>'6 - B1'!O65</f>
        <v>1754.9640999999999</v>
      </c>
      <c r="P65" s="67">
        <f>'6 - B1'!P65</f>
        <v>1718.9127000000001</v>
      </c>
    </row>
    <row r="66" spans="1:16" x14ac:dyDescent="0.35">
      <c r="A66" s="69">
        <f>'6 - B1'!A66</f>
        <v>17</v>
      </c>
      <c r="B66" s="67">
        <f>'6 - B1'!B66</f>
        <v>1318.2778000000001</v>
      </c>
      <c r="C66" s="67">
        <f>'6 - B1'!C66</f>
        <v>1347.8096</v>
      </c>
      <c r="D66" s="67">
        <f>'6 - B1'!D66</f>
        <v>1346.6006</v>
      </c>
      <c r="E66" s="67">
        <f>'6 - B1'!E66</f>
        <v>1317.2914000000001</v>
      </c>
      <c r="F66" s="67">
        <f>'6 - B1'!F66</f>
        <v>1320.704</v>
      </c>
      <c r="G66" s="67">
        <f>'6 - B1'!G66</f>
        <v>1370.963</v>
      </c>
      <c r="H66" s="67">
        <f>'6 - B1'!H66</f>
        <v>1335.0206000000001</v>
      </c>
      <c r="I66" s="67">
        <f>'6 - B1'!I66</f>
        <v>1347.1377</v>
      </c>
      <c r="J66" s="67">
        <f>'6 - B1'!J66</f>
        <v>1324.2572</v>
      </c>
      <c r="K66" s="67">
        <f>'6 - B1'!K66</f>
        <v>1336.6685</v>
      </c>
      <c r="L66" s="67">
        <f>'6 - B1'!L66</f>
        <v>1350.1421</v>
      </c>
      <c r="M66" s="67">
        <f>'6 - B1'!M66</f>
        <v>1336.4114</v>
      </c>
      <c r="N66" s="67">
        <f>'6 - B1'!N66</f>
        <v>1324.2456999999999</v>
      </c>
      <c r="O66" s="67">
        <f>'6 - B1'!O66</f>
        <v>1349.7447999999999</v>
      </c>
      <c r="P66" s="67">
        <f>'6 - B1'!P66</f>
        <v>1327.2672</v>
      </c>
    </row>
    <row r="67" spans="1:16" x14ac:dyDescent="0.35">
      <c r="A67" s="69">
        <f>'6 - B1'!A67</f>
        <v>18</v>
      </c>
      <c r="B67" s="67">
        <f>'6 - B1'!B67</f>
        <v>1013.2142</v>
      </c>
      <c r="C67" s="67">
        <f>'6 - B1'!C67</f>
        <v>1031.5453</v>
      </c>
      <c r="D67" s="67">
        <f>'6 - B1'!D67</f>
        <v>1021.2689</v>
      </c>
      <c r="E67" s="67">
        <f>'6 - B1'!E67</f>
        <v>1013.3796</v>
      </c>
      <c r="F67" s="67">
        <f>'6 - B1'!F67</f>
        <v>1010.1597</v>
      </c>
      <c r="G67" s="67">
        <f>'6 - B1'!G67</f>
        <v>1056.8606</v>
      </c>
      <c r="H67" s="67">
        <f>'6 - B1'!H67</f>
        <v>1015.9293</v>
      </c>
      <c r="I67" s="67">
        <f>'6 - B1'!I67</f>
        <v>1040.6688999999999</v>
      </c>
      <c r="J67" s="67">
        <f>'6 - B1'!J67</f>
        <v>1012.0694999999999</v>
      </c>
      <c r="K67" s="67">
        <f>'6 - B1'!K67</f>
        <v>1022.9102</v>
      </c>
      <c r="L67" s="67">
        <f>'6 - B1'!L67</f>
        <v>1025.0719999999999</v>
      </c>
      <c r="M67" s="67">
        <f>'6 - B1'!M67</f>
        <v>1023.6155</v>
      </c>
      <c r="N67" s="67">
        <f>'6 - B1'!N67</f>
        <v>1004.5489</v>
      </c>
      <c r="O67" s="67">
        <f>'6 - B1'!O67</f>
        <v>1037.4579000000001</v>
      </c>
      <c r="P67" s="67">
        <f>'6 - B1'!P67</f>
        <v>1014.2649</v>
      </c>
    </row>
    <row r="68" spans="1:16" x14ac:dyDescent="0.35">
      <c r="A68" s="69">
        <f>'6 - B1'!A68</f>
        <v>19</v>
      </c>
      <c r="B68" s="67">
        <f>'6 - B1'!B68</f>
        <v>776.48869999999999</v>
      </c>
      <c r="C68" s="67">
        <f>'6 - B1'!C68</f>
        <v>775.91780000000006</v>
      </c>
      <c r="D68" s="67">
        <f>'6 - B1'!D68</f>
        <v>777.73099999999999</v>
      </c>
      <c r="E68" s="67">
        <f>'6 - B1'!E68</f>
        <v>769.49189999999999</v>
      </c>
      <c r="F68" s="67">
        <f>'6 - B1'!F68</f>
        <v>773.0154</v>
      </c>
      <c r="G68" s="67">
        <f>'6 - B1'!G68</f>
        <v>814.77170000000001</v>
      </c>
      <c r="H68" s="67">
        <f>'6 - B1'!H68</f>
        <v>774.82339999999999</v>
      </c>
      <c r="I68" s="67">
        <f>'6 - B1'!I68</f>
        <v>804.51210000000003</v>
      </c>
      <c r="J68" s="67">
        <f>'6 - B1'!J68</f>
        <v>771.6549</v>
      </c>
      <c r="K68" s="67">
        <f>'6 - B1'!K68</f>
        <v>775.14520000000005</v>
      </c>
      <c r="L68" s="67">
        <f>'6 - B1'!L68</f>
        <v>786.13260000000002</v>
      </c>
      <c r="M68" s="67">
        <f>'6 - B1'!M68</f>
        <v>777.9796</v>
      </c>
      <c r="N68" s="67">
        <f>'6 - B1'!N68</f>
        <v>759.5521</v>
      </c>
      <c r="O68" s="67">
        <f>'6 - B1'!O68</f>
        <v>784.30759999999998</v>
      </c>
      <c r="P68" s="67">
        <f>'6 - B1'!P68</f>
        <v>774.60680000000002</v>
      </c>
    </row>
    <row r="69" spans="1:16" x14ac:dyDescent="0.35">
      <c r="A69" s="69">
        <f>'6 - B1'!A69</f>
        <v>20</v>
      </c>
      <c r="B69" s="67">
        <f>'6 - B1'!B69</f>
        <v>595.6105</v>
      </c>
      <c r="C69" s="67">
        <f>'6 - B1'!C69</f>
        <v>600.2441</v>
      </c>
      <c r="D69" s="67">
        <f>'6 - B1'!D69</f>
        <v>592.17359999999996</v>
      </c>
      <c r="E69" s="67">
        <f>'6 - B1'!E69</f>
        <v>586.02260000000001</v>
      </c>
      <c r="F69" s="67">
        <f>'6 - B1'!F69</f>
        <v>590.17750000000001</v>
      </c>
      <c r="G69" s="67">
        <f>'6 - B1'!G69</f>
        <v>619.95609999999999</v>
      </c>
      <c r="H69" s="67">
        <f>'6 - B1'!H69</f>
        <v>594.58659999999998</v>
      </c>
      <c r="I69" s="67">
        <f>'6 - B1'!I69</f>
        <v>619.09870000000001</v>
      </c>
      <c r="J69" s="67">
        <f>'6 - B1'!J69</f>
        <v>594.37429999999995</v>
      </c>
      <c r="K69" s="67">
        <f>'6 - B1'!K69</f>
        <v>596.16869999999994</v>
      </c>
      <c r="L69" s="67">
        <f>'6 - B1'!L69</f>
        <v>606.88819999999998</v>
      </c>
      <c r="M69" s="67">
        <f>'6 - B1'!M69</f>
        <v>587.39260000000002</v>
      </c>
      <c r="N69" s="67">
        <f>'6 - B1'!N69</f>
        <v>576.48689999999999</v>
      </c>
      <c r="O69" s="67">
        <f>'6 - B1'!O69</f>
        <v>607.59550000000002</v>
      </c>
      <c r="P69" s="67">
        <f>'6 - B1'!P69</f>
        <v>588.01880000000006</v>
      </c>
    </row>
    <row r="70" spans="1:16" x14ac:dyDescent="0.35">
      <c r="A70" s="69">
        <f>'6 - B1'!A70</f>
        <v>21</v>
      </c>
      <c r="B70" s="67">
        <f>'6 - B1'!B70</f>
        <v>460.33030000000002</v>
      </c>
      <c r="C70" s="67">
        <f>'6 - B1'!C70</f>
        <v>454.92700000000002</v>
      </c>
      <c r="D70" s="67">
        <f>'6 - B1'!D70</f>
        <v>453.63350000000003</v>
      </c>
      <c r="E70" s="67">
        <f>'6 - B1'!E70</f>
        <v>448.35680000000002</v>
      </c>
      <c r="F70" s="67">
        <f>'6 - B1'!F70</f>
        <v>444.81110000000001</v>
      </c>
      <c r="G70" s="67">
        <f>'6 - B1'!G70</f>
        <v>471.97239999999999</v>
      </c>
      <c r="H70" s="67">
        <f>'6 - B1'!H70</f>
        <v>457.20510000000002</v>
      </c>
      <c r="I70" s="67">
        <f>'6 - B1'!I70</f>
        <v>485.9237</v>
      </c>
      <c r="J70" s="67">
        <f>'6 - B1'!J70</f>
        <v>455.3723</v>
      </c>
      <c r="K70" s="67">
        <f>'6 - B1'!K70</f>
        <v>458.15750000000003</v>
      </c>
      <c r="L70" s="67">
        <f>'6 - B1'!L70</f>
        <v>468.88</v>
      </c>
      <c r="M70" s="67">
        <f>'6 - B1'!M70</f>
        <v>452.58300000000003</v>
      </c>
      <c r="N70" s="67">
        <f>'6 - B1'!N70</f>
        <v>437.6087</v>
      </c>
      <c r="O70" s="67">
        <f>'6 - B1'!O70</f>
        <v>457.4153</v>
      </c>
      <c r="P70" s="67">
        <f>'6 - B1'!P70</f>
        <v>450.80520000000001</v>
      </c>
    </row>
    <row r="71" spans="1:16" x14ac:dyDescent="0.35">
      <c r="A71" s="69">
        <f>'6 - B1'!A71</f>
        <v>22</v>
      </c>
      <c r="B71" s="67">
        <f>'6 - B1'!B71</f>
        <v>357.71230000000003</v>
      </c>
      <c r="C71" s="67">
        <f>'6 - B1'!C71</f>
        <v>349.59269999999998</v>
      </c>
      <c r="D71" s="67">
        <f>'6 - B1'!D71</f>
        <v>348.33339999999998</v>
      </c>
      <c r="E71" s="67">
        <f>'6 - B1'!E71</f>
        <v>346.76990000000001</v>
      </c>
      <c r="F71" s="67">
        <f>'6 - B1'!F71</f>
        <v>336.05450000000002</v>
      </c>
      <c r="G71" s="67">
        <f>'6 - B1'!G71</f>
        <v>362.79509999999999</v>
      </c>
      <c r="H71" s="67">
        <f>'6 - B1'!H71</f>
        <v>345.93900000000002</v>
      </c>
      <c r="I71" s="67">
        <f>'6 - B1'!I71</f>
        <v>372.58949999999999</v>
      </c>
      <c r="J71" s="67">
        <f>'6 - B1'!J71</f>
        <v>350.68560000000002</v>
      </c>
      <c r="K71" s="67">
        <f>'6 - B1'!K71</f>
        <v>346.46460000000002</v>
      </c>
      <c r="L71" s="67">
        <f>'6 - B1'!L71</f>
        <v>359.06659999999999</v>
      </c>
      <c r="M71" s="67">
        <f>'6 - B1'!M71</f>
        <v>344.52710000000002</v>
      </c>
      <c r="N71" s="67">
        <f>'6 - B1'!N71</f>
        <v>340.93470000000002</v>
      </c>
      <c r="O71" s="67">
        <f>'6 - B1'!O71</f>
        <v>353.89699999999999</v>
      </c>
      <c r="P71" s="67">
        <f>'6 - B1'!P71</f>
        <v>344.82780000000002</v>
      </c>
    </row>
    <row r="72" spans="1:16" x14ac:dyDescent="0.35">
      <c r="A72" s="69">
        <f>'6 - B1'!A72</f>
        <v>23</v>
      </c>
      <c r="B72" s="67">
        <f>'6 - B1'!B72</f>
        <v>274.61779999999999</v>
      </c>
      <c r="C72" s="67">
        <f>'6 - B1'!C72</f>
        <v>270.11829999999998</v>
      </c>
      <c r="D72" s="67">
        <f>'6 - B1'!D72</f>
        <v>267.84410000000003</v>
      </c>
      <c r="E72" s="67">
        <f>'6 - B1'!E72</f>
        <v>262.8227</v>
      </c>
      <c r="F72" s="67">
        <f>'6 - B1'!F72</f>
        <v>255.92750000000001</v>
      </c>
      <c r="G72" s="67">
        <f>'6 - B1'!G72</f>
        <v>280.22949999999997</v>
      </c>
      <c r="H72" s="67">
        <f>'6 - B1'!H72</f>
        <v>264.97149999999999</v>
      </c>
      <c r="I72" s="67">
        <f>'6 - B1'!I72</f>
        <v>283.80939999999998</v>
      </c>
      <c r="J72" s="67">
        <f>'6 - B1'!J72</f>
        <v>267.01260000000002</v>
      </c>
      <c r="K72" s="67">
        <f>'6 - B1'!K72</f>
        <v>267.86360000000002</v>
      </c>
      <c r="L72" s="67">
        <f>'6 - B1'!L72</f>
        <v>272.6293</v>
      </c>
      <c r="M72" s="67">
        <f>'6 - B1'!M72</f>
        <v>264.23219999999998</v>
      </c>
      <c r="N72" s="67">
        <f>'6 - B1'!N72</f>
        <v>264.04520000000002</v>
      </c>
      <c r="O72" s="67">
        <f>'6 - B1'!O72</f>
        <v>265.23050000000001</v>
      </c>
      <c r="P72" s="67">
        <f>'6 - B1'!P72</f>
        <v>264.89769999999999</v>
      </c>
    </row>
    <row r="73" spans="1:16" x14ac:dyDescent="0.35">
      <c r="A73" s="69">
        <f>'6 - B1'!A73</f>
        <v>24</v>
      </c>
      <c r="B73" s="67">
        <f>'6 - B1'!B73</f>
        <v>211.64750000000001</v>
      </c>
      <c r="C73" s="67">
        <f>'6 - B1'!C73</f>
        <v>207.61199999999999</v>
      </c>
      <c r="D73" s="67">
        <f>'6 - B1'!D73</f>
        <v>205.53229999999999</v>
      </c>
      <c r="E73" s="67">
        <f>'6 - B1'!E73</f>
        <v>198.88740000000001</v>
      </c>
      <c r="F73" s="67">
        <f>'6 - B1'!F73</f>
        <v>194.3612</v>
      </c>
      <c r="G73" s="67">
        <f>'6 - B1'!G73</f>
        <v>217.2413</v>
      </c>
      <c r="H73" s="67">
        <f>'6 - B1'!H73</f>
        <v>203.19489999999999</v>
      </c>
      <c r="I73" s="67">
        <f>'6 - B1'!I73</f>
        <v>219.83580000000001</v>
      </c>
      <c r="J73" s="67">
        <f>'6 - B1'!J73</f>
        <v>198.71530000000001</v>
      </c>
      <c r="K73" s="67">
        <f>'6 - B1'!K73</f>
        <v>201.85470000000001</v>
      </c>
      <c r="L73" s="67">
        <f>'6 - B1'!L73</f>
        <v>214.11109999999999</v>
      </c>
      <c r="M73" s="67">
        <f>'6 - B1'!M73</f>
        <v>200.59010000000001</v>
      </c>
      <c r="N73" s="67">
        <f>'6 - B1'!N73</f>
        <v>199.18899999999999</v>
      </c>
      <c r="O73" s="67">
        <f>'6 - B1'!O73</f>
        <v>206.4941</v>
      </c>
      <c r="P73" s="67">
        <f>'6 - B1'!P73</f>
        <v>198.9119</v>
      </c>
    </row>
    <row r="74" spans="1:16" x14ac:dyDescent="0.35">
      <c r="A74" s="69">
        <f>'6 - B1'!A74</f>
        <v>25</v>
      </c>
      <c r="B74" s="67">
        <f>'6 - B1'!B74</f>
        <v>159.2784</v>
      </c>
      <c r="C74" s="67">
        <f>'6 - B1'!C74</f>
        <v>159.6335</v>
      </c>
      <c r="D74" s="67">
        <f>'6 - B1'!D74</f>
        <v>156.83840000000001</v>
      </c>
      <c r="E74" s="67">
        <f>'6 - B1'!E74</f>
        <v>146.43279999999999</v>
      </c>
      <c r="F74" s="67">
        <f>'6 - B1'!F74</f>
        <v>149.46510000000001</v>
      </c>
      <c r="G74" s="67">
        <f>'6 - B1'!G74</f>
        <v>169.0615</v>
      </c>
      <c r="H74" s="67">
        <f>'6 - B1'!H74</f>
        <v>156.1087</v>
      </c>
      <c r="I74" s="67">
        <f>'6 - B1'!I74</f>
        <v>171.55</v>
      </c>
      <c r="J74" s="67">
        <f>'6 - B1'!J74</f>
        <v>151.04669999999999</v>
      </c>
      <c r="K74" s="67">
        <f>'6 - B1'!K74</f>
        <v>148.6498</v>
      </c>
      <c r="L74" s="67">
        <f>'6 - B1'!L74</f>
        <v>163.14609999999999</v>
      </c>
      <c r="M74" s="67">
        <f>'6 - B1'!M74</f>
        <v>155.73759999999999</v>
      </c>
      <c r="N74" s="67">
        <f>'6 - B1'!N74</f>
        <v>150.9068</v>
      </c>
      <c r="O74" s="67">
        <f>'6 - B1'!O74</f>
        <v>155.05330000000001</v>
      </c>
      <c r="P74" s="67">
        <f>'6 - B1'!P74</f>
        <v>152.0651</v>
      </c>
    </row>
    <row r="75" spans="1:16" x14ac:dyDescent="0.35">
      <c r="A75" s="69">
        <f>'6 - B1'!A75</f>
        <v>26</v>
      </c>
      <c r="B75" s="67">
        <f>'6 - B1'!B75</f>
        <v>119.63509999999999</v>
      </c>
      <c r="C75" s="67">
        <f>'6 - B1'!C75</f>
        <v>118.8443</v>
      </c>
      <c r="D75" s="67">
        <f>'6 - B1'!D75</f>
        <v>117.67570000000001</v>
      </c>
      <c r="E75" s="67">
        <f>'6 - B1'!E75</f>
        <v>108.9639</v>
      </c>
      <c r="F75" s="67">
        <f>'6 - B1'!F75</f>
        <v>109.0668</v>
      </c>
      <c r="G75" s="67">
        <f>'6 - B1'!G75</f>
        <v>129.876</v>
      </c>
      <c r="H75" s="67">
        <f>'6 - B1'!H75</f>
        <v>118.97629999999999</v>
      </c>
      <c r="I75" s="67">
        <f>'6 - B1'!I75</f>
        <v>129.23099999999999</v>
      </c>
      <c r="J75" s="67">
        <f>'6 - B1'!J75</f>
        <v>113.07599999999999</v>
      </c>
      <c r="K75" s="67">
        <f>'6 - B1'!K75</f>
        <v>112.3386</v>
      </c>
      <c r="L75" s="67">
        <f>'6 - B1'!L75</f>
        <v>121.5487</v>
      </c>
      <c r="M75" s="67">
        <f>'6 - B1'!M75</f>
        <v>114.42270000000001</v>
      </c>
      <c r="N75" s="67">
        <f>'6 - B1'!N75</f>
        <v>114.32850000000001</v>
      </c>
      <c r="O75" s="67">
        <f>'6 - B1'!O75</f>
        <v>119.6181</v>
      </c>
      <c r="P75" s="67">
        <f>'6 - B1'!P75</f>
        <v>112.68729999999999</v>
      </c>
    </row>
    <row r="76" spans="1:16" x14ac:dyDescent="0.35">
      <c r="A76" s="69">
        <f>'6 - B1'!A76</f>
        <v>27</v>
      </c>
      <c r="B76" s="67">
        <f>'6 - B1'!B76</f>
        <v>90.230900000000005</v>
      </c>
      <c r="C76" s="67">
        <f>'6 - B1'!C76</f>
        <v>87.141800000000003</v>
      </c>
      <c r="D76" s="67">
        <f>'6 - B1'!D76</f>
        <v>87.472700000000003</v>
      </c>
      <c r="E76" s="67">
        <f>'6 - B1'!E76</f>
        <v>80.225899999999996</v>
      </c>
      <c r="F76" s="67">
        <f>'6 - B1'!F76</f>
        <v>80.139399999999995</v>
      </c>
      <c r="G76" s="67">
        <f>'6 - B1'!G76</f>
        <v>99.348799999999997</v>
      </c>
      <c r="H76" s="67">
        <f>'6 - B1'!H76</f>
        <v>92.464100000000002</v>
      </c>
      <c r="I76" s="67">
        <f>'6 - B1'!I76</f>
        <v>98.193600000000004</v>
      </c>
      <c r="J76" s="67">
        <f>'6 - B1'!J76</f>
        <v>80.616500000000002</v>
      </c>
      <c r="K76" s="67">
        <f>'6 - B1'!K76</f>
        <v>84.341700000000003</v>
      </c>
      <c r="L76" s="67">
        <f>'6 - B1'!L76</f>
        <v>94.090699999999998</v>
      </c>
      <c r="M76" s="67">
        <f>'6 - B1'!M76</f>
        <v>84.797300000000007</v>
      </c>
      <c r="N76" s="67">
        <f>'6 - B1'!N76</f>
        <v>84.003200000000007</v>
      </c>
      <c r="O76" s="67">
        <f>'6 - B1'!O76</f>
        <v>89.717399999999998</v>
      </c>
      <c r="P76" s="67">
        <f>'6 - B1'!P76</f>
        <v>82.517700000000005</v>
      </c>
    </row>
    <row r="77" spans="1:16" x14ac:dyDescent="0.35">
      <c r="A77" s="69">
        <f>'6 - B1'!A77</f>
        <v>28</v>
      </c>
      <c r="B77" s="67">
        <f>'6 - B1'!B77</f>
        <v>69.898799999999994</v>
      </c>
      <c r="C77" s="67">
        <f>'6 - B1'!C77</f>
        <v>64.595699999999994</v>
      </c>
      <c r="D77" s="67">
        <f>'6 - B1'!D77</f>
        <v>61.956499999999998</v>
      </c>
      <c r="E77" s="67">
        <f>'6 - B1'!E77</f>
        <v>56.996200000000002</v>
      </c>
      <c r="F77" s="67">
        <f>'6 - B1'!F77</f>
        <v>58.446100000000001</v>
      </c>
      <c r="G77" s="67">
        <f>'6 - B1'!G77</f>
        <v>73.267899999999997</v>
      </c>
      <c r="H77" s="67">
        <f>'6 - B1'!H77</f>
        <v>67.810100000000006</v>
      </c>
      <c r="I77" s="67">
        <f>'6 - B1'!I77</f>
        <v>73.808999999999997</v>
      </c>
      <c r="J77" s="67">
        <f>'6 - B1'!J77</f>
        <v>59.745699999999999</v>
      </c>
      <c r="K77" s="67">
        <f>'6 - B1'!K77</f>
        <v>64.014600000000002</v>
      </c>
      <c r="L77" s="67">
        <f>'6 - B1'!L77</f>
        <v>70.938100000000006</v>
      </c>
      <c r="M77" s="67">
        <f>'6 - B1'!M77</f>
        <v>65.111599999999996</v>
      </c>
      <c r="N77" s="67">
        <f>'6 - B1'!N77</f>
        <v>62.3354</v>
      </c>
      <c r="O77" s="67">
        <f>'6 - B1'!O77</f>
        <v>65.441999999999993</v>
      </c>
      <c r="P77" s="67">
        <f>'6 - B1'!P77</f>
        <v>56.5075</v>
      </c>
    </row>
    <row r="78" spans="1:16" x14ac:dyDescent="0.35">
      <c r="A78" s="69">
        <f>'6 - B1'!A78</f>
        <v>29</v>
      </c>
      <c r="B78" s="67">
        <f>'6 - B1'!B78</f>
        <v>47.988100000000003</v>
      </c>
      <c r="C78" s="67">
        <f>'6 - B1'!C78</f>
        <v>45.480400000000003</v>
      </c>
      <c r="D78" s="67">
        <f>'6 - B1'!D78</f>
        <v>43.917200000000001</v>
      </c>
      <c r="E78" s="67">
        <f>'6 - B1'!E78</f>
        <v>41.549700000000001</v>
      </c>
      <c r="F78" s="67">
        <f>'6 - B1'!F78</f>
        <v>41.618699999999997</v>
      </c>
      <c r="G78" s="67">
        <f>'6 - B1'!G78</f>
        <v>52.9679</v>
      </c>
      <c r="H78" s="67">
        <f>'6 - B1'!H78</f>
        <v>49.719299999999997</v>
      </c>
      <c r="I78" s="67">
        <f>'6 - B1'!I78</f>
        <v>53.574300000000001</v>
      </c>
      <c r="J78" s="67">
        <f>'6 - B1'!J78</f>
        <v>44.149900000000002</v>
      </c>
      <c r="K78" s="67">
        <f>'6 - B1'!K78</f>
        <v>45.077100000000002</v>
      </c>
      <c r="L78" s="67">
        <f>'6 - B1'!L78</f>
        <v>52.362200000000001</v>
      </c>
      <c r="M78" s="67">
        <f>'6 - B1'!M78</f>
        <v>44.977200000000003</v>
      </c>
      <c r="N78" s="67">
        <f>'6 - B1'!N78</f>
        <v>44.3812</v>
      </c>
      <c r="O78" s="67">
        <f>'6 - B1'!O78</f>
        <v>45.905200000000001</v>
      </c>
      <c r="P78" s="67">
        <f>'6 - B1'!P78</f>
        <v>41.194699999999997</v>
      </c>
    </row>
    <row r="79" spans="1:16" x14ac:dyDescent="0.35">
      <c r="A79" s="69">
        <f>'6 - B1'!A79</f>
        <v>30</v>
      </c>
      <c r="B79" s="67">
        <f>'6 - B1'!B79</f>
        <v>33.470700000000001</v>
      </c>
      <c r="C79" s="67">
        <f>'6 - B1'!C79</f>
        <v>31.194099999999999</v>
      </c>
      <c r="D79" s="67">
        <f>'6 - B1'!D79</f>
        <v>31.610700000000001</v>
      </c>
      <c r="E79" s="67">
        <f>'6 - B1'!E79</f>
        <v>29.096800000000002</v>
      </c>
      <c r="F79" s="67">
        <f>'6 - B1'!F79</f>
        <v>28.025400000000001</v>
      </c>
      <c r="G79" s="67">
        <f>'6 - B1'!G79</f>
        <v>39.389800000000001</v>
      </c>
      <c r="H79" s="67">
        <f>'6 - B1'!H79</f>
        <v>37.4651</v>
      </c>
      <c r="I79" s="67">
        <f>'6 - B1'!I79</f>
        <v>41.628700000000002</v>
      </c>
      <c r="J79" s="67">
        <f>'6 - B1'!J79</f>
        <v>33.740600000000001</v>
      </c>
      <c r="K79" s="67">
        <f>'6 - B1'!K79</f>
        <v>31.168099999999999</v>
      </c>
      <c r="L79" s="67">
        <f>'6 - B1'!L79</f>
        <v>37.4208</v>
      </c>
      <c r="M79" s="67">
        <f>'6 - B1'!M79</f>
        <v>32.383600000000001</v>
      </c>
      <c r="N79" s="67">
        <f>'6 - B1'!N79</f>
        <v>31.356300000000001</v>
      </c>
      <c r="O79" s="67">
        <f>'6 - B1'!O79</f>
        <v>31.360199999999999</v>
      </c>
      <c r="P79" s="67">
        <f>'6 - B1'!P79</f>
        <v>30.5367</v>
      </c>
    </row>
    <row r="80" spans="1:16" x14ac:dyDescent="0.35">
      <c r="A80" s="69">
        <f>'6 - B1'!A80</f>
        <v>38</v>
      </c>
      <c r="B80" s="67">
        <f>'6 - B1'!B80</f>
        <v>21.6417</v>
      </c>
      <c r="C80" s="67">
        <f>'6 - B1'!C80</f>
        <v>21.5718</v>
      </c>
      <c r="D80" s="67">
        <f>'6 - B1'!D80</f>
        <v>21.958600000000001</v>
      </c>
      <c r="E80" s="67">
        <f>'6 - B1'!E80</f>
        <v>21.074200000000001</v>
      </c>
      <c r="F80" s="67">
        <f>'6 - B1'!F80</f>
        <v>17.605699999999999</v>
      </c>
      <c r="G80" s="67">
        <f>'6 - B1'!G80</f>
        <v>29.441500000000001</v>
      </c>
      <c r="H80" s="67">
        <f>'6 - B1'!H80</f>
        <v>26.237400000000001</v>
      </c>
      <c r="I80" s="67">
        <f>'6 - B1'!I80</f>
        <v>30.648299999999999</v>
      </c>
      <c r="J80" s="67">
        <f>'6 - B1'!J80</f>
        <v>23.690200000000001</v>
      </c>
      <c r="K80" s="67">
        <f>'6 - B1'!K80</f>
        <v>20.379100000000001</v>
      </c>
      <c r="L80" s="67">
        <f>'6 - B1'!L80</f>
        <v>25.171500000000002</v>
      </c>
      <c r="M80" s="67">
        <f>'6 - B1'!M80</f>
        <v>20.749500000000001</v>
      </c>
      <c r="N80" s="67">
        <f>'6 - B1'!N80</f>
        <v>21.949400000000001</v>
      </c>
      <c r="O80" s="67">
        <f>'6 - B1'!O80</f>
        <v>20.735199999999999</v>
      </c>
      <c r="P80" s="67">
        <f>'6 - B1'!P80</f>
        <v>21.812899999999999</v>
      </c>
    </row>
    <row r="81" spans="1:16" x14ac:dyDescent="0.35">
      <c r="A81" s="69">
        <f>'6 - B1'!A81</f>
        <v>50</v>
      </c>
      <c r="B81" s="67">
        <f>'6 - B1'!B81</f>
        <v>15.7272</v>
      </c>
      <c r="C81" s="67">
        <f>'6 - B1'!C81</f>
        <v>14.141500000000001</v>
      </c>
      <c r="D81" s="67">
        <f>'6 - B1'!D81</f>
        <v>15.261900000000001</v>
      </c>
      <c r="E81" s="67">
        <f>'6 - B1'!E81</f>
        <v>13.1714</v>
      </c>
      <c r="F81" s="67">
        <f>'6 - B1'!F81</f>
        <v>11.377800000000001</v>
      </c>
      <c r="G81" s="67">
        <f>'6 - B1'!G81</f>
        <v>23.6191</v>
      </c>
      <c r="H81" s="67">
        <f>'6 - B1'!H81</f>
        <v>19.648099999999999</v>
      </c>
      <c r="I81" s="67">
        <f>'6 - B1'!I81</f>
        <v>23.129799999999999</v>
      </c>
      <c r="J81" s="67">
        <f>'6 - B1'!J81</f>
        <v>17.468499999999999</v>
      </c>
      <c r="K81" s="67">
        <f>'6 - B1'!K81</f>
        <v>13.905799999999999</v>
      </c>
      <c r="L81" s="67">
        <f>'6 - B1'!L81</f>
        <v>16.556699999999999</v>
      </c>
      <c r="M81" s="67">
        <f>'6 - B1'!M81</f>
        <v>13.3132</v>
      </c>
      <c r="N81" s="67">
        <f>'6 - B1'!N81</f>
        <v>14.110300000000001</v>
      </c>
      <c r="O81" s="67">
        <f>'6 - B1'!O81</f>
        <v>14.7424</v>
      </c>
      <c r="P81" s="67">
        <f>'6 - B1'!P81</f>
        <v>13.172700000000001</v>
      </c>
    </row>
    <row r="82" spans="1:16" x14ac:dyDescent="0.35">
      <c r="A82" s="69">
        <f>'6 - B1'!A82</f>
        <v>70</v>
      </c>
      <c r="B82" s="67">
        <f>'6 - B1'!B82</f>
        <v>10.3504</v>
      </c>
      <c r="C82" s="67">
        <f>'6 - B1'!C82</f>
        <v>9.3477999999999994</v>
      </c>
      <c r="D82" s="67">
        <f>'6 - B1'!D82</f>
        <v>8.8411000000000008</v>
      </c>
      <c r="E82" s="67">
        <f>'6 - B1'!E82</f>
        <v>8.2620000000000005</v>
      </c>
      <c r="F82" s="67">
        <f>'6 - B1'!F82</f>
        <v>7.6650999999999998</v>
      </c>
      <c r="G82" s="67">
        <f>'6 - B1'!G82</f>
        <v>18.552199999999999</v>
      </c>
      <c r="H82" s="67">
        <f>'6 - B1'!H82</f>
        <v>14.9757</v>
      </c>
      <c r="I82" s="67">
        <f>'6 - B1'!I82</f>
        <v>16.651499999999999</v>
      </c>
      <c r="J82" s="67">
        <f>'6 - B1'!J82</f>
        <v>12.323700000000001</v>
      </c>
      <c r="K82" s="67">
        <f>'6 - B1'!K82</f>
        <v>8.7509999999999994</v>
      </c>
      <c r="L82" s="67">
        <f>'6 - B1'!L82</f>
        <v>11.8454</v>
      </c>
      <c r="M82" s="67">
        <f>'6 - B1'!M82</f>
        <v>9.2353000000000005</v>
      </c>
      <c r="N82" s="67">
        <f>'6 - B1'!N82</f>
        <v>9.5274999999999999</v>
      </c>
      <c r="O82" s="67">
        <f>'6 - B1'!O82</f>
        <v>9.8283000000000005</v>
      </c>
      <c r="P82" s="67">
        <f>'6 - B1'!P82</f>
        <v>8.8615999999999993</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3" priority="1" operator="greaterThan">
      <formula>1000</formula>
    </cfRule>
  </conditionalFormatting>
  <conditionalFormatting sqref="K9:K40">
    <cfRule type="cellIs" dxfId="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54574-598C-44B0-9FF3-BF780664957E}">
  <sheetPr codeName="Sheet7"/>
  <dimension ref="A1:AW128"/>
  <sheetViews>
    <sheetView zoomScale="70" zoomScaleNormal="70" workbookViewId="0">
      <selection activeCell="A32" sqref="A32:XFD32"/>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42" t="s">
        <v>111</v>
      </c>
      <c r="O2" s="42"/>
    </row>
    <row r="3" spans="1:49" ht="13.15" x14ac:dyDescent="0.4">
      <c r="A3" t="str">
        <f>'6 - B1'!$A$3</f>
        <v>Serial #</v>
      </c>
      <c r="B3" s="39" t="str">
        <f>'6 - B1'!$B$3</f>
        <v>11171-00009</v>
      </c>
    </row>
    <row r="4" spans="1:49" ht="17.100000000000001" customHeight="1" x14ac:dyDescent="1.05">
      <c r="A4" s="40" t="str">
        <f>'6 - B1'!$A$4</f>
        <v>Date</v>
      </c>
      <c r="B4" s="41">
        <f>'6 - B1'!$B$4</f>
        <v>46202</v>
      </c>
      <c r="O4" s="42"/>
    </row>
    <row r="5" spans="1:49" ht="13.15" x14ac:dyDescent="0.4">
      <c r="A5" s="40" t="str">
        <f>'6 - B1'!$A$5</f>
        <v>RM</v>
      </c>
      <c r="B5" s="66">
        <f>'6 - B1'!$B$5</f>
        <v>6003</v>
      </c>
    </row>
    <row r="6" spans="1:49" ht="13.15" x14ac:dyDescent="0.4">
      <c r="B6" s="40"/>
      <c r="C6" s="40"/>
      <c r="D6" s="40"/>
      <c r="E6" s="40"/>
      <c r="F6" s="40"/>
    </row>
    <row r="7" spans="1:49" ht="14.65" x14ac:dyDescent="0.5">
      <c r="B7" s="19" t="s">
        <v>55</v>
      </c>
      <c r="C7" s="19" t="s">
        <v>56</v>
      </c>
      <c r="D7" s="19" t="s">
        <v>57</v>
      </c>
      <c r="E7" s="19" t="s">
        <v>58</v>
      </c>
      <c r="F7" s="19" t="s">
        <v>59</v>
      </c>
      <c r="G7" s="19" t="s">
        <v>60</v>
      </c>
      <c r="H7" s="19" t="s">
        <v>61</v>
      </c>
      <c r="I7" s="19" t="s">
        <v>62</v>
      </c>
      <c r="J7" s="19" t="s">
        <v>63</v>
      </c>
      <c r="K7" s="19" t="s">
        <v>64</v>
      </c>
      <c r="L7" s="19" t="s">
        <v>65</v>
      </c>
      <c r="M7" s="19" t="s">
        <v>66</v>
      </c>
      <c r="O7" s="19" t="s">
        <v>55</v>
      </c>
      <c r="P7" s="19" t="s">
        <v>56</v>
      </c>
      <c r="Q7" s="19" t="s">
        <v>57</v>
      </c>
      <c r="R7" s="19" t="s">
        <v>58</v>
      </c>
      <c r="S7" s="19" t="s">
        <v>59</v>
      </c>
    </row>
    <row r="8" spans="1:49" ht="13.15" x14ac:dyDescent="0.4">
      <c r="A8" s="15" t="s">
        <v>67</v>
      </c>
      <c r="B8" s="46">
        <f>L52</f>
        <v>7.4290000000000003</v>
      </c>
      <c r="C8" s="46">
        <f t="shared" ref="C8:F8" si="0">M52</f>
        <v>8.3376000000000001</v>
      </c>
      <c r="D8" s="46">
        <f t="shared" si="0"/>
        <v>8.2918000000000003</v>
      </c>
      <c r="E8" s="46">
        <f t="shared" si="0"/>
        <v>8.3432999999999993</v>
      </c>
      <c r="F8" s="46">
        <f t="shared" si="0"/>
        <v>8.3506</v>
      </c>
      <c r="G8" s="47">
        <f>AVERAGE(B$8:F$8)*5</f>
        <v>40.752299999999991</v>
      </c>
      <c r="I8" s="48"/>
      <c r="K8" s="48"/>
    </row>
    <row r="9" spans="1:49" x14ac:dyDescent="0.35">
      <c r="A9" s="15" t="s">
        <v>68</v>
      </c>
      <c r="B9" s="46">
        <f t="shared" ref="B9:F9" si="1">L53</f>
        <v>14734.9521</v>
      </c>
      <c r="C9" s="46">
        <f t="shared" si="1"/>
        <v>14756.612300000001</v>
      </c>
      <c r="D9" s="46">
        <f t="shared" si="1"/>
        <v>14702.5273</v>
      </c>
      <c r="E9" s="46">
        <f t="shared" si="1"/>
        <v>14757.046899999999</v>
      </c>
      <c r="F9" s="46">
        <f t="shared" si="1"/>
        <v>14674.137699999999</v>
      </c>
      <c r="G9" s="34">
        <f t="shared" ref="G9:G38" si="2">AVERAGE(B9:F9)</f>
        <v>14725.055259999999</v>
      </c>
      <c r="H9" s="50">
        <f t="shared" ref="H9:H38" si="3">G9*G$8</f>
        <v>600079.86947209784</v>
      </c>
      <c r="I9" s="48">
        <f t="shared" ref="I9:I38" si="4">STDEVP(B9:F9)/G9</f>
        <v>2.1937327679151207E-3</v>
      </c>
      <c r="J9" s="48">
        <f t="shared" ref="J9:J38" si="5">IF(H9&gt;$A$43, $C$43, IF(H9&gt;$A$44, $C$44, IF(H9&gt;$A$45,$C$45,IF(H9&gt;$A$46,$C$46, IF(H9&gt;$A$47,$C$47,IF(H9&gt;$A$48,$C$48,$C$49))))))/100</f>
        <v>0.11</v>
      </c>
      <c r="K9" s="48">
        <f t="shared" ref="K9:K38" si="6">(MAX(B9:F9)-MIN(B9:F9))/G9</f>
        <v>5.6304848121839961E-3</v>
      </c>
      <c r="L9" s="22">
        <f>G9/'Clause 6'!$I$11</f>
        <v>14725.055259999999</v>
      </c>
      <c r="M9">
        <f t="shared" ref="M9:M38" si="7">COUNTA(B9:F9)</f>
        <v>5</v>
      </c>
      <c r="O9" s="51">
        <f>IF(ISNUMBER(B9), (B9/$G9-1), 0)</f>
        <v>6.7210885292134925E-4</v>
      </c>
      <c r="P9" s="51">
        <f t="shared" ref="P9:S38" si="8">IF(ISNUMBER(C9), (C9/$G9-1), 0)</f>
        <v>2.1430846569197026E-3</v>
      </c>
      <c r="Q9" s="51">
        <f t="shared" si="8"/>
        <v>-1.5299066524521177E-3</v>
      </c>
      <c r="R9" s="51">
        <f t="shared" si="8"/>
        <v>2.1725989773977439E-3</v>
      </c>
      <c r="S9" s="51">
        <f t="shared" si="8"/>
        <v>-3.457885834786345E-3</v>
      </c>
    </row>
    <row r="10" spans="1:49" x14ac:dyDescent="0.35">
      <c r="A10" s="15" t="s">
        <v>69</v>
      </c>
      <c r="B10" s="46">
        <f t="shared" ref="B10:F10" si="9">L54</f>
        <v>12767.7832</v>
      </c>
      <c r="C10" s="46">
        <f t="shared" si="9"/>
        <v>12739.2803</v>
      </c>
      <c r="D10" s="46">
        <f t="shared" si="9"/>
        <v>12690.0322</v>
      </c>
      <c r="E10" s="46">
        <f t="shared" si="9"/>
        <v>12747.793</v>
      </c>
      <c r="F10" s="46">
        <f t="shared" si="9"/>
        <v>12663.2852</v>
      </c>
      <c r="G10" s="34">
        <f t="shared" si="2"/>
        <v>12721.634779999998</v>
      </c>
      <c r="H10" s="50">
        <f t="shared" si="3"/>
        <v>518435.8770449938</v>
      </c>
      <c r="I10" s="48">
        <f t="shared" si="4"/>
        <v>3.0502243508631942E-3</v>
      </c>
      <c r="J10" s="48">
        <f t="shared" si="5"/>
        <v>0.11</v>
      </c>
      <c r="K10" s="48">
        <f t="shared" si="6"/>
        <v>8.2141958802561706E-3</v>
      </c>
      <c r="L10" s="22">
        <f>G10/'Clause 6'!$I$11</f>
        <v>12721.634779999998</v>
      </c>
      <c r="M10">
        <f t="shared" si="7"/>
        <v>5</v>
      </c>
      <c r="O10" s="51">
        <f t="shared" ref="O10:O38" si="10">IF(ISNUMBER(B10), (B10/$G10-1), 0)</f>
        <v>3.6275542253856319E-3</v>
      </c>
      <c r="P10" s="51">
        <f t="shared" si="8"/>
        <v>1.3870481510553923E-3</v>
      </c>
      <c r="Q10" s="51">
        <f t="shared" si="8"/>
        <v>-2.4841602943735941E-3</v>
      </c>
      <c r="R10" s="51">
        <f t="shared" si="8"/>
        <v>2.0561995728036742E-3</v>
      </c>
      <c r="S10" s="51">
        <f t="shared" si="8"/>
        <v>-4.5866416548705491E-3</v>
      </c>
    </row>
    <row r="11" spans="1:49" x14ac:dyDescent="0.35">
      <c r="A11" s="15" t="s">
        <v>70</v>
      </c>
      <c r="B11" s="46">
        <f t="shared" ref="B11:F11" si="11">L55</f>
        <v>11050.4434</v>
      </c>
      <c r="C11" s="46">
        <f t="shared" si="11"/>
        <v>11025.791999999999</v>
      </c>
      <c r="D11" s="46">
        <f t="shared" si="11"/>
        <v>11018.7822</v>
      </c>
      <c r="E11" s="46">
        <f t="shared" si="11"/>
        <v>11046.569299999999</v>
      </c>
      <c r="F11" s="46">
        <f t="shared" si="11"/>
        <v>10962.862300000001</v>
      </c>
      <c r="G11" s="34">
        <f t="shared" si="2"/>
        <v>11020.88984</v>
      </c>
      <c r="H11" s="50">
        <f t="shared" si="3"/>
        <v>449126.60902663192</v>
      </c>
      <c r="I11" s="48">
        <f t="shared" si="4"/>
        <v>2.8487637520883064E-3</v>
      </c>
      <c r="J11" s="48">
        <f t="shared" si="5"/>
        <v>0.11</v>
      </c>
      <c r="K11" s="48">
        <f t="shared" si="6"/>
        <v>7.9468265513485455E-3</v>
      </c>
      <c r="L11" s="22">
        <f>G11/'Clause 6'!$I$11</f>
        <v>11020.88984</v>
      </c>
      <c r="M11">
        <f t="shared" si="7"/>
        <v>5</v>
      </c>
      <c r="O11" s="51">
        <f t="shared" si="10"/>
        <v>2.6815947195784062E-3</v>
      </c>
      <c r="P11" s="51">
        <f t="shared" si="8"/>
        <v>4.4480618817255291E-4</v>
      </c>
      <c r="Q11" s="51">
        <f t="shared" si="8"/>
        <v>-1.9124045613361229E-4</v>
      </c>
      <c r="R11" s="51">
        <f t="shared" si="8"/>
        <v>2.3300713801526207E-3</v>
      </c>
      <c r="S11" s="51">
        <f t="shared" si="8"/>
        <v>-5.2652318317700786E-3</v>
      </c>
    </row>
    <row r="12" spans="1:49" x14ac:dyDescent="0.35">
      <c r="A12" s="15" t="s">
        <v>71</v>
      </c>
      <c r="B12" s="46">
        <f t="shared" ref="B12:F12" si="12">L56</f>
        <v>9581.4775000000009</v>
      </c>
      <c r="C12" s="46">
        <f t="shared" si="12"/>
        <v>9515.3359</v>
      </c>
      <c r="D12" s="46">
        <f t="shared" si="12"/>
        <v>9515.4678000000004</v>
      </c>
      <c r="E12" s="46">
        <f t="shared" si="12"/>
        <v>9533.7559000000001</v>
      </c>
      <c r="F12" s="46">
        <f t="shared" si="12"/>
        <v>9474.1923999999999</v>
      </c>
      <c r="G12" s="34">
        <f t="shared" si="2"/>
        <v>9524.045900000001</v>
      </c>
      <c r="H12" s="50">
        <f t="shared" si="3"/>
        <v>388126.77573056996</v>
      </c>
      <c r="I12" s="48">
        <f t="shared" si="4"/>
        <v>3.6455398038002934E-3</v>
      </c>
      <c r="J12" s="48">
        <f t="shared" si="5"/>
        <v>0.11</v>
      </c>
      <c r="K12" s="48">
        <f t="shared" si="6"/>
        <v>1.1264655916872571E-2</v>
      </c>
      <c r="L12" s="22">
        <f>G12/'Clause 6'!$I$11</f>
        <v>9524.045900000001</v>
      </c>
      <c r="M12">
        <f t="shared" si="7"/>
        <v>5</v>
      </c>
      <c r="O12" s="51">
        <f t="shared" si="10"/>
        <v>6.0301683342369738E-3</v>
      </c>
      <c r="P12" s="51">
        <f t="shared" si="8"/>
        <v>-9.1452730188967823E-4</v>
      </c>
      <c r="Q12" s="51">
        <f t="shared" si="8"/>
        <v>-9.006781456187829E-4</v>
      </c>
      <c r="R12" s="51">
        <f t="shared" si="8"/>
        <v>1.019524695906826E-3</v>
      </c>
      <c r="S12" s="51">
        <f t="shared" si="8"/>
        <v>-5.2344875826355608E-3</v>
      </c>
    </row>
    <row r="13" spans="1:49" x14ac:dyDescent="0.35">
      <c r="A13" s="15" t="s">
        <v>72</v>
      </c>
      <c r="B13" s="46">
        <f t="shared" ref="B13:F13" si="13">L57</f>
        <v>8266.0067999999992</v>
      </c>
      <c r="C13" s="46">
        <f t="shared" si="13"/>
        <v>8180.7568000000001</v>
      </c>
      <c r="D13" s="46">
        <f t="shared" si="13"/>
        <v>8211.9951000000001</v>
      </c>
      <c r="E13" s="46">
        <f t="shared" si="13"/>
        <v>8209.4902000000002</v>
      </c>
      <c r="F13" s="46">
        <f t="shared" si="13"/>
        <v>8151.5649000000003</v>
      </c>
      <c r="G13" s="34">
        <f t="shared" si="2"/>
        <v>8203.9627599999985</v>
      </c>
      <c r="H13" s="50">
        <f t="shared" si="3"/>
        <v>334330.35158434784</v>
      </c>
      <c r="I13" s="48">
        <f t="shared" si="4"/>
        <v>4.6346613093755382E-3</v>
      </c>
      <c r="J13" s="48">
        <f t="shared" si="5"/>
        <v>0.11</v>
      </c>
      <c r="K13" s="48">
        <f t="shared" si="6"/>
        <v>1.3949587942790578E-2</v>
      </c>
      <c r="L13" s="22">
        <f>G13/'Clause 6'!$I$11</f>
        <v>8203.9627599999985</v>
      </c>
      <c r="M13">
        <f t="shared" si="7"/>
        <v>5</v>
      </c>
      <c r="O13" s="51">
        <f t="shared" si="10"/>
        <v>7.5626915693118857E-3</v>
      </c>
      <c r="P13" s="51">
        <f t="shared" si="8"/>
        <v>-2.8286281494528387E-3</v>
      </c>
      <c r="Q13" s="51">
        <f t="shared" si="8"/>
        <v>9.7908050474893038E-4</v>
      </c>
      <c r="R13" s="51">
        <f t="shared" si="8"/>
        <v>6.7375244887157848E-4</v>
      </c>
      <c r="S13" s="51">
        <f t="shared" si="8"/>
        <v>-6.3868963734786677E-3</v>
      </c>
    </row>
    <row r="14" spans="1:49" x14ac:dyDescent="0.35">
      <c r="A14" s="15" t="s">
        <v>73</v>
      </c>
      <c r="B14" s="46">
        <f t="shared" ref="B14:F14" si="14">L58</f>
        <v>7106.75</v>
      </c>
      <c r="C14" s="46">
        <f t="shared" si="14"/>
        <v>7003.0424999999996</v>
      </c>
      <c r="D14" s="46">
        <f t="shared" si="14"/>
        <v>7051.1782000000003</v>
      </c>
      <c r="E14" s="46">
        <f t="shared" si="14"/>
        <v>7057.8887000000004</v>
      </c>
      <c r="F14" s="46">
        <f t="shared" si="14"/>
        <v>7012.1220999999996</v>
      </c>
      <c r="G14" s="34">
        <f t="shared" si="2"/>
        <v>7046.1962999999987</v>
      </c>
      <c r="H14" s="50">
        <f t="shared" si="3"/>
        <v>287148.70547648991</v>
      </c>
      <c r="I14" s="48">
        <f t="shared" si="4"/>
        <v>5.2535847571932564E-3</v>
      </c>
      <c r="J14" s="48">
        <f t="shared" si="5"/>
        <v>0.11</v>
      </c>
      <c r="K14" s="48">
        <f t="shared" si="6"/>
        <v>1.4718224639867109E-2</v>
      </c>
      <c r="L14" s="22">
        <f>G14/'Clause 6'!$I$11</f>
        <v>7046.1962999999987</v>
      </c>
      <c r="M14">
        <f t="shared" si="7"/>
        <v>5</v>
      </c>
      <c r="O14" s="51">
        <f t="shared" si="10"/>
        <v>8.593813941857098E-3</v>
      </c>
      <c r="P14" s="51">
        <f t="shared" si="8"/>
        <v>-6.1244106980100632E-3</v>
      </c>
      <c r="Q14" s="51">
        <f t="shared" si="8"/>
        <v>7.0703394965043742E-4</v>
      </c>
      <c r="R14" s="51">
        <f t="shared" si="8"/>
        <v>1.6593917487086607E-3</v>
      </c>
      <c r="S14" s="51">
        <f t="shared" si="8"/>
        <v>-4.8358289422051337E-3</v>
      </c>
    </row>
    <row r="15" spans="1:49" x14ac:dyDescent="0.35">
      <c r="A15" s="15" t="s">
        <v>74</v>
      </c>
      <c r="B15" s="46">
        <f t="shared" ref="B15:F15" si="15">L59</f>
        <v>6082.8198000000002</v>
      </c>
      <c r="C15" s="46">
        <f t="shared" si="15"/>
        <v>5966.7821999999996</v>
      </c>
      <c r="D15" s="46">
        <f t="shared" si="15"/>
        <v>5974.3931000000002</v>
      </c>
      <c r="E15" s="46">
        <f t="shared" si="15"/>
        <v>6001.0684000000001</v>
      </c>
      <c r="F15" s="46">
        <f t="shared" si="15"/>
        <v>5975.8397999999997</v>
      </c>
      <c r="G15" s="34">
        <f t="shared" si="2"/>
        <v>6000.18066</v>
      </c>
      <c r="H15" s="50">
        <f t="shared" si="3"/>
        <v>244521.16231051795</v>
      </c>
      <c r="I15" s="48">
        <f t="shared" si="4"/>
        <v>7.1501337253965574E-3</v>
      </c>
      <c r="J15" s="48">
        <f t="shared" si="5"/>
        <v>0.11</v>
      </c>
      <c r="K15" s="48">
        <f t="shared" si="6"/>
        <v>1.933901770217708E-2</v>
      </c>
      <c r="L15" s="22">
        <f>G15/'Clause 6'!$I$11</f>
        <v>6000.18066</v>
      </c>
      <c r="M15">
        <f t="shared" si="7"/>
        <v>5</v>
      </c>
      <c r="O15" s="51">
        <f t="shared" si="10"/>
        <v>1.3772775301735596E-2</v>
      </c>
      <c r="P15" s="51">
        <f t="shared" si="8"/>
        <v>-5.5662424004413458E-3</v>
      </c>
      <c r="Q15" s="51">
        <f t="shared" si="8"/>
        <v>-4.2977972599911318E-3</v>
      </c>
      <c r="R15" s="51">
        <f t="shared" si="8"/>
        <v>1.4795221182550833E-4</v>
      </c>
      <c r="S15" s="51">
        <f t="shared" si="8"/>
        <v>-4.0566878531287376E-3</v>
      </c>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row>
    <row r="16" spans="1:49" x14ac:dyDescent="0.35">
      <c r="A16" s="15" t="s">
        <v>75</v>
      </c>
      <c r="B16" s="46">
        <f t="shared" ref="B16:F16" si="16">L60</f>
        <v>5113.8589000000002</v>
      </c>
      <c r="C16" s="46">
        <f t="shared" si="16"/>
        <v>5036.3388999999997</v>
      </c>
      <c r="D16" s="46">
        <f t="shared" si="16"/>
        <v>5034.4247999999998</v>
      </c>
      <c r="E16" s="46">
        <f t="shared" si="16"/>
        <v>5062.1484</v>
      </c>
      <c r="F16" s="46">
        <f t="shared" si="16"/>
        <v>5035.0165999999999</v>
      </c>
      <c r="G16" s="34">
        <f t="shared" si="2"/>
        <v>5056.3575199999996</v>
      </c>
      <c r="H16" s="50">
        <f t="shared" si="3"/>
        <v>206058.19856229593</v>
      </c>
      <c r="I16" s="48">
        <f t="shared" si="4"/>
        <v>6.0487922985029705E-3</v>
      </c>
      <c r="J16" s="48">
        <f t="shared" si="5"/>
        <v>0.11</v>
      </c>
      <c r="K16" s="48">
        <f t="shared" si="6"/>
        <v>1.5709747518011821E-2</v>
      </c>
      <c r="L16" s="22">
        <f>G16/'Clause 6'!$I$11</f>
        <v>5056.3575199999996</v>
      </c>
      <c r="M16">
        <f t="shared" si="7"/>
        <v>5</v>
      </c>
      <c r="O16" s="51">
        <f t="shared" si="10"/>
        <v>1.1372095381420033E-2</v>
      </c>
      <c r="P16" s="51">
        <f t="shared" si="8"/>
        <v>-3.9590989997874138E-3</v>
      </c>
      <c r="Q16" s="51">
        <f t="shared" si="8"/>
        <v>-4.3376521365917631E-3</v>
      </c>
      <c r="R16" s="51">
        <f t="shared" si="8"/>
        <v>1.145267117108606E-3</v>
      </c>
      <c r="S16" s="51">
        <f t="shared" si="8"/>
        <v>-4.2206113621490182E-3</v>
      </c>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row>
    <row r="17" spans="1:49" x14ac:dyDescent="0.35">
      <c r="A17" s="15" t="s">
        <v>76</v>
      </c>
      <c r="B17" s="46">
        <f t="shared" ref="B17:F17" si="17">L61</f>
        <v>4269.1229999999996</v>
      </c>
      <c r="C17" s="46">
        <f t="shared" si="17"/>
        <v>4205.3945000000003</v>
      </c>
      <c r="D17" s="46">
        <f t="shared" si="17"/>
        <v>4194.2173000000003</v>
      </c>
      <c r="E17" s="46">
        <f t="shared" si="17"/>
        <v>4228.6620999999996</v>
      </c>
      <c r="F17" s="46">
        <f t="shared" si="17"/>
        <v>4186.3242</v>
      </c>
      <c r="G17" s="34">
        <f t="shared" si="2"/>
        <v>4216.7442199999996</v>
      </c>
      <c r="H17" s="50">
        <f t="shared" si="3"/>
        <v>171842.02547670595</v>
      </c>
      <c r="I17" s="48">
        <f t="shared" si="4"/>
        <v>7.0726546747279795E-3</v>
      </c>
      <c r="J17" s="48">
        <f t="shared" si="5"/>
        <v>0.11</v>
      </c>
      <c r="K17" s="48">
        <f t="shared" si="6"/>
        <v>1.9635717909396833E-2</v>
      </c>
      <c r="L17" s="22">
        <f>G17/'Clause 6'!$I$11</f>
        <v>4216.7442199999996</v>
      </c>
      <c r="M17">
        <f t="shared" si="7"/>
        <v>5</v>
      </c>
      <c r="O17" s="51">
        <f t="shared" si="10"/>
        <v>1.2421616599737728E-2</v>
      </c>
      <c r="P17" s="51">
        <f t="shared" si="8"/>
        <v>-2.6915836977181584E-3</v>
      </c>
      <c r="Q17" s="51">
        <f t="shared" si="8"/>
        <v>-5.3422543139216572E-3</v>
      </c>
      <c r="R17" s="51">
        <f t="shared" si="8"/>
        <v>2.8263227215616915E-3</v>
      </c>
      <c r="S17" s="51">
        <f t="shared" si="8"/>
        <v>-7.21410130965916E-3</v>
      </c>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row>
    <row r="18" spans="1:49" x14ac:dyDescent="0.35">
      <c r="A18" s="15" t="s">
        <v>77</v>
      </c>
      <c r="B18" s="46">
        <f t="shared" ref="B18:F18" si="18">L62</f>
        <v>3509.8332999999998</v>
      </c>
      <c r="C18" s="46">
        <f t="shared" si="18"/>
        <v>3468.0412999999999</v>
      </c>
      <c r="D18" s="46">
        <f t="shared" si="18"/>
        <v>3442.4783000000002</v>
      </c>
      <c r="E18" s="46">
        <f t="shared" si="18"/>
        <v>3482.6401000000001</v>
      </c>
      <c r="F18" s="46">
        <f t="shared" si="18"/>
        <v>3439.3283999999999</v>
      </c>
      <c r="G18" s="34">
        <f t="shared" si="2"/>
        <v>3468.4642800000001</v>
      </c>
      <c r="H18" s="50">
        <f t="shared" si="3"/>
        <v>141347.89687784397</v>
      </c>
      <c r="I18" s="48">
        <f t="shared" si="4"/>
        <v>7.5587248445185065E-3</v>
      </c>
      <c r="J18" s="48">
        <f t="shared" si="5"/>
        <v>0.11</v>
      </c>
      <c r="K18" s="48">
        <f t="shared" si="6"/>
        <v>2.0327411300311821E-2</v>
      </c>
      <c r="L18" s="22">
        <f>G18/'Clause 6'!$I$11</f>
        <v>3468.4642800000001</v>
      </c>
      <c r="M18">
        <f t="shared" si="7"/>
        <v>5</v>
      </c>
      <c r="O18" s="51">
        <f t="shared" si="10"/>
        <v>1.1927186403084322E-2</v>
      </c>
      <c r="P18" s="51">
        <f t="shared" si="8"/>
        <v>-1.2195022518735055E-4</v>
      </c>
      <c r="Q18" s="51">
        <f t="shared" si="8"/>
        <v>-7.4920708135417513E-3</v>
      </c>
      <c r="R18" s="51">
        <f t="shared" si="8"/>
        <v>4.0870595328719173E-3</v>
      </c>
      <c r="S18" s="51">
        <f t="shared" si="8"/>
        <v>-8.4002248972274707E-3</v>
      </c>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row>
    <row r="19" spans="1:49" x14ac:dyDescent="0.35">
      <c r="A19" s="15" t="s">
        <v>78</v>
      </c>
      <c r="B19" s="46">
        <f t="shared" ref="B19:F19" si="19">L63</f>
        <v>2827.7646</v>
      </c>
      <c r="C19" s="46">
        <f t="shared" si="19"/>
        <v>2800.7766000000001</v>
      </c>
      <c r="D19" s="46">
        <f t="shared" si="19"/>
        <v>2781.4775</v>
      </c>
      <c r="E19" s="46">
        <f t="shared" si="19"/>
        <v>2813.8400999999999</v>
      </c>
      <c r="F19" s="46">
        <f t="shared" si="19"/>
        <v>2783.6896999999999</v>
      </c>
      <c r="G19" s="34">
        <f t="shared" si="2"/>
        <v>2801.5097000000001</v>
      </c>
      <c r="H19" s="50">
        <f t="shared" si="3"/>
        <v>114167.96374730997</v>
      </c>
      <c r="I19" s="48">
        <f t="shared" si="4"/>
        <v>6.306491105481116E-3</v>
      </c>
      <c r="J19" s="48">
        <f t="shared" si="5"/>
        <v>0.11</v>
      </c>
      <c r="K19" s="48">
        <f t="shared" si="6"/>
        <v>1.6522198727350473E-2</v>
      </c>
      <c r="L19" s="22">
        <f>G19/'Clause 6'!$I$11</f>
        <v>2801.5097000000001</v>
      </c>
      <c r="M19">
        <f t="shared" si="7"/>
        <v>5</v>
      </c>
      <c r="O19" s="51">
        <f t="shared" si="10"/>
        <v>9.3716969818093965E-3</v>
      </c>
      <c r="P19" s="51">
        <f t="shared" si="8"/>
        <v>-2.6168033614160091E-4</v>
      </c>
      <c r="Q19" s="51">
        <f t="shared" si="8"/>
        <v>-7.1505017455409936E-3</v>
      </c>
      <c r="R19" s="51">
        <f t="shared" si="8"/>
        <v>4.4013411768661914E-3</v>
      </c>
      <c r="S19" s="51">
        <f t="shared" si="8"/>
        <v>-6.3608560769931044E-3</v>
      </c>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row>
    <row r="20" spans="1:49" x14ac:dyDescent="0.35">
      <c r="A20" s="15" t="s">
        <v>79</v>
      </c>
      <c r="B20" s="46">
        <f t="shared" ref="B20:F20" si="20">L64</f>
        <v>2242.2222000000002</v>
      </c>
      <c r="C20" s="46">
        <f t="shared" si="20"/>
        <v>2237.5385999999999</v>
      </c>
      <c r="D20" s="46">
        <f t="shared" si="20"/>
        <v>2210.2411999999999</v>
      </c>
      <c r="E20" s="46">
        <f t="shared" si="20"/>
        <v>2238.6772000000001</v>
      </c>
      <c r="F20" s="46">
        <f t="shared" si="20"/>
        <v>2209.1248000000001</v>
      </c>
      <c r="G20" s="34">
        <f t="shared" si="2"/>
        <v>2227.5608000000002</v>
      </c>
      <c r="H20" s="50">
        <f t="shared" si="3"/>
        <v>90778.225989839993</v>
      </c>
      <c r="I20" s="48">
        <f t="shared" si="4"/>
        <v>6.5914832769535785E-3</v>
      </c>
      <c r="J20" s="48">
        <f t="shared" si="5"/>
        <v>0.11</v>
      </c>
      <c r="K20" s="48">
        <f t="shared" si="6"/>
        <v>1.485813540981692E-2</v>
      </c>
      <c r="L20" s="22">
        <f>G20/'Clause 6'!$I$11</f>
        <v>2227.5608000000002</v>
      </c>
      <c r="M20">
        <f t="shared" si="7"/>
        <v>5</v>
      </c>
      <c r="O20" s="51">
        <f t="shared" si="10"/>
        <v>6.5818181034609236E-3</v>
      </c>
      <c r="P20" s="51">
        <f t="shared" si="8"/>
        <v>4.4792492308176612E-3</v>
      </c>
      <c r="Q20" s="51">
        <f t="shared" si="8"/>
        <v>-7.7751413115190182E-3</v>
      </c>
      <c r="R20" s="51">
        <f t="shared" si="8"/>
        <v>4.9903912835957964E-3</v>
      </c>
      <c r="S20" s="51">
        <f t="shared" si="8"/>
        <v>-8.2763173063559181E-3</v>
      </c>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15"/>
    </row>
    <row r="21" spans="1:49" x14ac:dyDescent="0.35">
      <c r="A21" s="15" t="s">
        <v>80</v>
      </c>
      <c r="B21" s="46">
        <f t="shared" ref="B21:F21" si="21">L65</f>
        <v>1751.5325</v>
      </c>
      <c r="C21" s="46">
        <f t="shared" si="21"/>
        <v>1741.5123000000001</v>
      </c>
      <c r="D21" s="46">
        <f t="shared" si="21"/>
        <v>1729.4335000000001</v>
      </c>
      <c r="E21" s="46">
        <f t="shared" si="21"/>
        <v>1754.9640999999999</v>
      </c>
      <c r="F21" s="46">
        <f t="shared" si="21"/>
        <v>1718.9127000000001</v>
      </c>
      <c r="G21" s="34">
        <f t="shared" si="2"/>
        <v>1739.2710200000001</v>
      </c>
      <c r="H21" s="50">
        <f t="shared" si="3"/>
        <v>70879.294388345996</v>
      </c>
      <c r="I21" s="48">
        <f t="shared" si="4"/>
        <v>7.7688028947913096E-3</v>
      </c>
      <c r="J21" s="48">
        <f t="shared" si="5"/>
        <v>0.11</v>
      </c>
      <c r="K21" s="48">
        <f t="shared" si="6"/>
        <v>2.0727879430774296E-2</v>
      </c>
      <c r="L21" s="22">
        <f>G21/'Clause 6'!$I$11</f>
        <v>1739.2710200000001</v>
      </c>
      <c r="M21">
        <f t="shared" si="7"/>
        <v>5</v>
      </c>
      <c r="O21" s="51">
        <f t="shared" si="10"/>
        <v>7.0497811203684702E-3</v>
      </c>
      <c r="P21" s="51">
        <f t="shared" si="8"/>
        <v>1.2886318315128431E-3</v>
      </c>
      <c r="Q21" s="51">
        <f t="shared" si="8"/>
        <v>-5.6561167793159894E-3</v>
      </c>
      <c r="R21" s="51">
        <f t="shared" si="8"/>
        <v>9.0227916291043542E-3</v>
      </c>
      <c r="S21" s="51">
        <f t="shared" si="8"/>
        <v>-1.17050878016699E-2</v>
      </c>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row>
    <row r="22" spans="1:49" x14ac:dyDescent="0.35">
      <c r="A22" s="15" t="s">
        <v>81</v>
      </c>
      <c r="B22" s="46">
        <f t="shared" ref="B22:F22" si="22">L66</f>
        <v>1350.1421</v>
      </c>
      <c r="C22" s="46">
        <f t="shared" si="22"/>
        <v>1336.4114</v>
      </c>
      <c r="D22" s="46">
        <f t="shared" si="22"/>
        <v>1324.2456999999999</v>
      </c>
      <c r="E22" s="46">
        <f t="shared" si="22"/>
        <v>1349.7447999999999</v>
      </c>
      <c r="F22" s="46">
        <f t="shared" si="22"/>
        <v>1327.2672</v>
      </c>
      <c r="G22" s="34">
        <f t="shared" si="2"/>
        <v>1337.56224</v>
      </c>
      <c r="H22" s="50">
        <f t="shared" si="3"/>
        <v>54508.737673151983</v>
      </c>
      <c r="I22" s="48">
        <f t="shared" si="4"/>
        <v>8.1303393000393461E-3</v>
      </c>
      <c r="J22" s="48">
        <f t="shared" si="5"/>
        <v>0.11</v>
      </c>
      <c r="K22" s="48">
        <f t="shared" si="6"/>
        <v>1.9360893441489561E-2</v>
      </c>
      <c r="L22" s="22">
        <f>G22/'Clause 6'!$I$11</f>
        <v>1337.56224</v>
      </c>
      <c r="M22">
        <f t="shared" si="7"/>
        <v>5</v>
      </c>
      <c r="O22" s="51">
        <f t="shared" si="10"/>
        <v>9.4050651429873344E-3</v>
      </c>
      <c r="P22" s="51">
        <f t="shared" si="8"/>
        <v>-8.6040108309282104E-4</v>
      </c>
      <c r="Q22" s="51">
        <f t="shared" si="8"/>
        <v>-9.9558282985022784E-3</v>
      </c>
      <c r="R22" s="51">
        <f t="shared" si="8"/>
        <v>9.1080322363166211E-3</v>
      </c>
      <c r="S22" s="51">
        <f t="shared" si="8"/>
        <v>-7.6968679977089671E-3</v>
      </c>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row>
    <row r="23" spans="1:49" x14ac:dyDescent="0.35">
      <c r="A23" s="15" t="s">
        <v>82</v>
      </c>
      <c r="B23" s="46">
        <f t="shared" ref="B23:F23" si="23">L67</f>
        <v>1025.0719999999999</v>
      </c>
      <c r="C23" s="46">
        <f t="shared" si="23"/>
        <v>1023.6155</v>
      </c>
      <c r="D23" s="46">
        <f t="shared" si="23"/>
        <v>1004.5489</v>
      </c>
      <c r="E23" s="46">
        <f t="shared" si="23"/>
        <v>1037.4579000000001</v>
      </c>
      <c r="F23" s="46">
        <f t="shared" si="23"/>
        <v>1014.2649</v>
      </c>
      <c r="G23" s="34">
        <f t="shared" si="2"/>
        <v>1020.99184</v>
      </c>
      <c r="H23" s="50">
        <f t="shared" si="3"/>
        <v>41607.765761231989</v>
      </c>
      <c r="I23" s="48">
        <f t="shared" si="4"/>
        <v>1.0820787556650353E-2</v>
      </c>
      <c r="J23" s="48">
        <f t="shared" si="5"/>
        <v>0.11</v>
      </c>
      <c r="K23" s="48">
        <f t="shared" si="6"/>
        <v>3.2232382973795465E-2</v>
      </c>
      <c r="L23" s="22">
        <f>G23/'Clause 6'!$I$11</f>
        <v>1020.99184</v>
      </c>
      <c r="M23">
        <f t="shared" si="7"/>
        <v>5</v>
      </c>
      <c r="O23" s="51">
        <f t="shared" si="10"/>
        <v>3.9962709202454594E-3</v>
      </c>
      <c r="P23" s="51">
        <f t="shared" si="8"/>
        <v>2.5697169137022247E-3</v>
      </c>
      <c r="Q23" s="51">
        <f t="shared" si="8"/>
        <v>-1.6104869163303004E-2</v>
      </c>
      <c r="R23" s="51">
        <f t="shared" si="8"/>
        <v>1.6127513810492378E-2</v>
      </c>
      <c r="S23" s="51">
        <f t="shared" si="8"/>
        <v>-6.5886324811371688E-3</v>
      </c>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W23" s="52"/>
    </row>
    <row r="24" spans="1:49" x14ac:dyDescent="0.35">
      <c r="A24" s="15" t="s">
        <v>83</v>
      </c>
      <c r="B24" s="46">
        <f t="shared" ref="B24:F24" si="24">L68</f>
        <v>786.13260000000002</v>
      </c>
      <c r="C24" s="46">
        <f t="shared" si="24"/>
        <v>777.9796</v>
      </c>
      <c r="D24" s="46">
        <f t="shared" si="24"/>
        <v>759.5521</v>
      </c>
      <c r="E24" s="46">
        <f t="shared" si="24"/>
        <v>784.30759999999998</v>
      </c>
      <c r="F24" s="46">
        <f t="shared" si="24"/>
        <v>774.60680000000002</v>
      </c>
      <c r="G24" s="34">
        <f t="shared" si="2"/>
        <v>776.51574000000005</v>
      </c>
      <c r="H24" s="50">
        <f t="shared" si="3"/>
        <v>31644.802391201996</v>
      </c>
      <c r="I24" s="48">
        <f t="shared" si="4"/>
        <v>1.2172970707879857E-2</v>
      </c>
      <c r="J24" s="48">
        <f t="shared" si="5"/>
        <v>0.11</v>
      </c>
      <c r="K24" s="48">
        <f t="shared" si="6"/>
        <v>3.4230471619287495E-2</v>
      </c>
      <c r="L24" s="22">
        <f>G24/'Clause 6'!$I$11</f>
        <v>776.51574000000005</v>
      </c>
      <c r="M24">
        <f t="shared" si="7"/>
        <v>5</v>
      </c>
      <c r="O24" s="51">
        <f t="shared" si="10"/>
        <v>1.2384629833775085E-2</v>
      </c>
      <c r="P24" s="51">
        <f t="shared" si="8"/>
        <v>1.8851646201014649E-3</v>
      </c>
      <c r="Q24" s="51">
        <f t="shared" si="8"/>
        <v>-2.184584178551241E-2</v>
      </c>
      <c r="R24" s="51">
        <f t="shared" si="8"/>
        <v>1.0034387712475556E-2</v>
      </c>
      <c r="S24" s="51">
        <f t="shared" si="8"/>
        <v>-2.4583403808402515E-3</v>
      </c>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row>
    <row r="25" spans="1:49" x14ac:dyDescent="0.35">
      <c r="A25" s="15" t="s">
        <v>84</v>
      </c>
      <c r="B25" s="46">
        <f t="shared" ref="B25:F25" si="25">L69</f>
        <v>606.88819999999998</v>
      </c>
      <c r="C25" s="46">
        <f t="shared" si="25"/>
        <v>587.39260000000002</v>
      </c>
      <c r="D25" s="46">
        <f t="shared" si="25"/>
        <v>576.48689999999999</v>
      </c>
      <c r="E25" s="46">
        <f t="shared" si="25"/>
        <v>607.59550000000002</v>
      </c>
      <c r="F25" s="46">
        <f t="shared" si="25"/>
        <v>588.01880000000006</v>
      </c>
      <c r="G25" s="34">
        <f t="shared" si="2"/>
        <v>593.27639999999997</v>
      </c>
      <c r="H25" s="50">
        <f t="shared" si="3"/>
        <v>24177.377835719992</v>
      </c>
      <c r="I25" s="48">
        <f t="shared" si="4"/>
        <v>2.0428849984589614E-2</v>
      </c>
      <c r="J25" s="48">
        <f t="shared" si="5"/>
        <v>0.11</v>
      </c>
      <c r="K25" s="48">
        <f t="shared" si="6"/>
        <v>5.2435256147050559E-2</v>
      </c>
      <c r="L25" s="22">
        <f>G25/'Clause 6'!$I$11</f>
        <v>593.27639999999997</v>
      </c>
      <c r="M25">
        <f t="shared" si="7"/>
        <v>5</v>
      </c>
      <c r="O25" s="51">
        <f t="shared" si="10"/>
        <v>2.294343749388994E-2</v>
      </c>
      <c r="P25" s="51">
        <f t="shared" si="8"/>
        <v>-9.9174684851781603E-3</v>
      </c>
      <c r="Q25" s="51">
        <f t="shared" si="8"/>
        <v>-2.8299625604524259E-2</v>
      </c>
      <c r="R25" s="51">
        <f t="shared" si="8"/>
        <v>2.413563054252621E-2</v>
      </c>
      <c r="S25" s="51">
        <f t="shared" si="8"/>
        <v>-8.8619739467133973E-3</v>
      </c>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row>
    <row r="26" spans="1:49" x14ac:dyDescent="0.35">
      <c r="A26" s="15" t="s">
        <v>85</v>
      </c>
      <c r="B26" s="46">
        <f t="shared" ref="B26:F26" si="26">L70</f>
        <v>468.88</v>
      </c>
      <c r="C26" s="46">
        <f t="shared" si="26"/>
        <v>452.58300000000003</v>
      </c>
      <c r="D26" s="46">
        <f t="shared" si="26"/>
        <v>437.6087</v>
      </c>
      <c r="E26" s="46">
        <f t="shared" si="26"/>
        <v>457.4153</v>
      </c>
      <c r="F26" s="46">
        <f t="shared" si="26"/>
        <v>450.80520000000001</v>
      </c>
      <c r="G26" s="34">
        <f t="shared" si="2"/>
        <v>453.45844</v>
      </c>
      <c r="H26" s="50">
        <f t="shared" si="3"/>
        <v>18479.474384411995</v>
      </c>
      <c r="I26" s="48">
        <f t="shared" si="4"/>
        <v>2.2326729803748727E-2</v>
      </c>
      <c r="J26" s="48">
        <f t="shared" si="5"/>
        <v>0.11</v>
      </c>
      <c r="K26" s="48">
        <f t="shared" si="6"/>
        <v>6.8961777401254226E-2</v>
      </c>
      <c r="L26" s="22">
        <f>G26/'Clause 6'!$I$11</f>
        <v>453.45844</v>
      </c>
      <c r="M26">
        <f t="shared" si="7"/>
        <v>5</v>
      </c>
      <c r="O26" s="51">
        <f t="shared" si="10"/>
        <v>3.4008761640868412E-2</v>
      </c>
      <c r="P26" s="51">
        <f t="shared" si="8"/>
        <v>-1.9305848624185939E-3</v>
      </c>
      <c r="Q26" s="51">
        <f t="shared" si="8"/>
        <v>-3.4953015760385897E-2</v>
      </c>
      <c r="R26" s="51">
        <f t="shared" si="8"/>
        <v>8.7259595388720079E-3</v>
      </c>
      <c r="S26" s="51">
        <f t="shared" si="8"/>
        <v>-5.8511205569357072E-3</v>
      </c>
    </row>
    <row r="27" spans="1:49" x14ac:dyDescent="0.35">
      <c r="A27" s="15" t="s">
        <v>86</v>
      </c>
      <c r="B27" s="46">
        <f t="shared" ref="B27:F27" si="27">L71</f>
        <v>359.06659999999999</v>
      </c>
      <c r="C27" s="46">
        <f t="shared" si="27"/>
        <v>344.52710000000002</v>
      </c>
      <c r="D27" s="46">
        <f t="shared" si="27"/>
        <v>340.93470000000002</v>
      </c>
      <c r="E27" s="46">
        <f t="shared" si="27"/>
        <v>353.89699999999999</v>
      </c>
      <c r="F27" s="46">
        <f t="shared" si="27"/>
        <v>344.82780000000002</v>
      </c>
      <c r="G27" s="34">
        <f t="shared" si="2"/>
        <v>348.65064000000001</v>
      </c>
      <c r="H27" s="50">
        <f t="shared" si="3"/>
        <v>14208.315476471997</v>
      </c>
      <c r="I27" s="48">
        <f t="shared" si="4"/>
        <v>1.9333031424729002E-2</v>
      </c>
      <c r="J27" s="48">
        <f t="shared" si="5"/>
        <v>0.11</v>
      </c>
      <c r="K27" s="48">
        <f t="shared" si="6"/>
        <v>5.2005927767693104E-2</v>
      </c>
      <c r="L27" s="22">
        <f>G27/'Clause 6'!$I$11</f>
        <v>348.65064000000001</v>
      </c>
      <c r="M27">
        <f t="shared" si="7"/>
        <v>5</v>
      </c>
      <c r="O27" s="51">
        <f t="shared" si="10"/>
        <v>2.9875063473280727E-2</v>
      </c>
      <c r="P27" s="51">
        <f t="shared" si="8"/>
        <v>-1.1827140199713981E-2</v>
      </c>
      <c r="Q27" s="51">
        <f t="shared" si="8"/>
        <v>-2.2130864294412245E-2</v>
      </c>
      <c r="R27" s="51">
        <f t="shared" si="8"/>
        <v>1.5047613278438288E-2</v>
      </c>
      <c r="S27" s="51">
        <f t="shared" si="8"/>
        <v>-1.0964672257592789E-2</v>
      </c>
    </row>
    <row r="28" spans="1:49" x14ac:dyDescent="0.35">
      <c r="A28" s="15" t="s">
        <v>87</v>
      </c>
      <c r="B28" s="46">
        <f t="shared" ref="B28:F28" si="28">L72</f>
        <v>272.6293</v>
      </c>
      <c r="C28" s="46">
        <f t="shared" si="28"/>
        <v>264.23219999999998</v>
      </c>
      <c r="D28" s="46">
        <f t="shared" si="28"/>
        <v>264.04520000000002</v>
      </c>
      <c r="E28" s="46">
        <f t="shared" si="28"/>
        <v>265.23050000000001</v>
      </c>
      <c r="F28" s="46">
        <f t="shared" si="28"/>
        <v>264.89769999999999</v>
      </c>
      <c r="G28" s="34">
        <f t="shared" si="2"/>
        <v>266.20698000000004</v>
      </c>
      <c r="H28" s="50">
        <f t="shared" si="3"/>
        <v>10848.546711053999</v>
      </c>
      <c r="I28" s="48">
        <f t="shared" si="4"/>
        <v>1.2170861257007044E-2</v>
      </c>
      <c r="J28" s="48">
        <f t="shared" si="5"/>
        <v>0.11</v>
      </c>
      <c r="K28" s="48">
        <f t="shared" si="6"/>
        <v>3.2245961394400613E-2</v>
      </c>
      <c r="L28" s="22">
        <f>G28/'Clause 6'!$I$11</f>
        <v>266.20698000000004</v>
      </c>
      <c r="M28">
        <f t="shared" si="7"/>
        <v>5</v>
      </c>
      <c r="O28" s="51">
        <f t="shared" si="10"/>
        <v>2.4125287774197091E-2</v>
      </c>
      <c r="P28" s="51">
        <f t="shared" si="8"/>
        <v>-7.4182127005086862E-3</v>
      </c>
      <c r="Q28" s="51">
        <f t="shared" si="8"/>
        <v>-8.1206736202034113E-3</v>
      </c>
      <c r="R28" s="51">
        <f t="shared" si="8"/>
        <v>-3.6681232024796673E-3</v>
      </c>
      <c r="S28" s="51">
        <f t="shared" si="8"/>
        <v>-4.918278251006214E-3</v>
      </c>
    </row>
    <row r="29" spans="1:49" x14ac:dyDescent="0.35">
      <c r="A29" s="15" t="s">
        <v>88</v>
      </c>
      <c r="B29" s="46">
        <f t="shared" ref="B29:F29" si="29">L73</f>
        <v>214.11109999999999</v>
      </c>
      <c r="C29" s="46">
        <f t="shared" si="29"/>
        <v>200.59010000000001</v>
      </c>
      <c r="D29" s="46">
        <f t="shared" si="29"/>
        <v>199.18899999999999</v>
      </c>
      <c r="E29" s="46">
        <f t="shared" si="29"/>
        <v>206.4941</v>
      </c>
      <c r="F29" s="46">
        <f t="shared" si="29"/>
        <v>198.9119</v>
      </c>
      <c r="G29" s="34">
        <f t="shared" si="2"/>
        <v>203.85924</v>
      </c>
      <c r="H29" s="50">
        <f t="shared" si="3"/>
        <v>8307.7329062519984</v>
      </c>
      <c r="I29" s="48">
        <f t="shared" si="4"/>
        <v>2.8520077799336921E-2</v>
      </c>
      <c r="J29" s="48">
        <f t="shared" si="5"/>
        <v>0.113</v>
      </c>
      <c r="K29" s="48">
        <f t="shared" si="6"/>
        <v>7.4557326908507998E-2</v>
      </c>
      <c r="L29" s="22">
        <f>G29/'Clause 6'!$I$11</f>
        <v>203.85924</v>
      </c>
      <c r="M29">
        <f t="shared" si="7"/>
        <v>5</v>
      </c>
      <c r="O29" s="51">
        <f t="shared" si="10"/>
        <v>5.0288915037650428E-2</v>
      </c>
      <c r="P29" s="51">
        <f t="shared" si="8"/>
        <v>-1.6036261098589355E-2</v>
      </c>
      <c r="Q29" s="51">
        <f t="shared" si="8"/>
        <v>-2.2909140640375192E-2</v>
      </c>
      <c r="R29" s="51">
        <f t="shared" si="8"/>
        <v>1.2924898572171717E-2</v>
      </c>
      <c r="S29" s="51">
        <f t="shared" si="8"/>
        <v>-2.4268411870857598E-2</v>
      </c>
    </row>
    <row r="30" spans="1:49" x14ac:dyDescent="0.35">
      <c r="A30" s="15" t="s">
        <v>89</v>
      </c>
      <c r="B30" s="46">
        <f t="shared" ref="B30:F30" si="30">L74</f>
        <v>163.14609999999999</v>
      </c>
      <c r="C30" s="46">
        <f t="shared" si="30"/>
        <v>155.73759999999999</v>
      </c>
      <c r="D30" s="46">
        <f t="shared" si="30"/>
        <v>150.9068</v>
      </c>
      <c r="E30" s="46">
        <f t="shared" si="30"/>
        <v>155.05330000000001</v>
      </c>
      <c r="F30" s="46">
        <f t="shared" si="30"/>
        <v>152.0651</v>
      </c>
      <c r="G30" s="34">
        <f t="shared" si="2"/>
        <v>155.38177999999999</v>
      </c>
      <c r="H30" s="50">
        <f t="shared" si="3"/>
        <v>6332.1649130939986</v>
      </c>
      <c r="I30" s="48">
        <f t="shared" si="4"/>
        <v>2.7537986503843027E-2</v>
      </c>
      <c r="J30" s="48">
        <f t="shared" si="5"/>
        <v>0.113</v>
      </c>
      <c r="K30" s="48">
        <f t="shared" si="6"/>
        <v>7.8769209620329919E-2</v>
      </c>
      <c r="L30" s="22">
        <f>G30/'Clause 6'!$I$11</f>
        <v>155.38177999999999</v>
      </c>
      <c r="M30">
        <f t="shared" si="7"/>
        <v>5</v>
      </c>
      <c r="O30" s="51">
        <f t="shared" si="10"/>
        <v>4.9969307855785905E-2</v>
      </c>
      <c r="P30" s="51">
        <f t="shared" si="8"/>
        <v>2.2899724793987719E-3</v>
      </c>
      <c r="Q30" s="51">
        <f t="shared" si="8"/>
        <v>-2.8799901764544056E-2</v>
      </c>
      <c r="R30" s="51">
        <f t="shared" si="8"/>
        <v>-2.1140187736296001E-3</v>
      </c>
      <c r="S30" s="51">
        <f t="shared" si="8"/>
        <v>-2.134535979701091E-2</v>
      </c>
    </row>
    <row r="31" spans="1:49" x14ac:dyDescent="0.35">
      <c r="A31" s="15" t="s">
        <v>90</v>
      </c>
      <c r="B31" s="46">
        <f t="shared" ref="B31:F31" si="31">L75</f>
        <v>121.5487</v>
      </c>
      <c r="C31" s="46">
        <f t="shared" si="31"/>
        <v>114.42270000000001</v>
      </c>
      <c r="D31" s="46">
        <f t="shared" si="31"/>
        <v>114.32850000000001</v>
      </c>
      <c r="E31" s="46">
        <f t="shared" si="31"/>
        <v>119.6181</v>
      </c>
      <c r="F31" s="46">
        <f t="shared" si="31"/>
        <v>112.68729999999999</v>
      </c>
      <c r="G31" s="34">
        <f t="shared" si="2"/>
        <v>116.52105999999999</v>
      </c>
      <c r="H31" s="50">
        <f t="shared" si="3"/>
        <v>4748.5011934379991</v>
      </c>
      <c r="I31" s="48">
        <f t="shared" si="4"/>
        <v>2.9424844063563785E-2</v>
      </c>
      <c r="J31" s="48">
        <f t="shared" si="5"/>
        <v>0.11900000000000001</v>
      </c>
      <c r="K31" s="48">
        <f t="shared" si="6"/>
        <v>7.6049771603519598E-2</v>
      </c>
      <c r="L31" s="22">
        <f>G31/'Clause 6'!$I$11</f>
        <v>116.52105999999999</v>
      </c>
      <c r="M31">
        <f t="shared" si="7"/>
        <v>5</v>
      </c>
      <c r="O31" s="51">
        <f t="shared" si="10"/>
        <v>4.3147908197882945E-2</v>
      </c>
      <c r="P31" s="51">
        <f t="shared" si="8"/>
        <v>-1.8008418392348902E-2</v>
      </c>
      <c r="Q31" s="51">
        <f t="shared" si="8"/>
        <v>-1.881685594003335E-2</v>
      </c>
      <c r="R31" s="51">
        <f t="shared" si="8"/>
        <v>2.6579229540136362E-2</v>
      </c>
      <c r="S31" s="51">
        <f t="shared" si="8"/>
        <v>-3.2901863405636722E-2</v>
      </c>
    </row>
    <row r="32" spans="1:49" x14ac:dyDescent="0.35">
      <c r="A32" s="15" t="s">
        <v>91</v>
      </c>
      <c r="B32" s="46">
        <f t="shared" ref="B32:F32" si="32">L76</f>
        <v>94.090699999999998</v>
      </c>
      <c r="C32" s="46">
        <f t="shared" si="32"/>
        <v>84.797300000000007</v>
      </c>
      <c r="D32" s="46">
        <f t="shared" si="32"/>
        <v>84.003200000000007</v>
      </c>
      <c r="E32" s="46">
        <f t="shared" si="32"/>
        <v>89.717399999999998</v>
      </c>
      <c r="F32" s="46">
        <f t="shared" si="32"/>
        <v>82.517700000000005</v>
      </c>
      <c r="G32" s="34">
        <f t="shared" si="2"/>
        <v>87.025260000000003</v>
      </c>
      <c r="H32" s="50">
        <f t="shared" si="3"/>
        <v>3546.4795030979994</v>
      </c>
      <c r="I32" s="48">
        <f t="shared" si="4"/>
        <v>4.9178655355071842E-2</v>
      </c>
      <c r="J32" s="48">
        <f t="shared" si="5"/>
        <v>0.11900000000000001</v>
      </c>
      <c r="K32" s="48">
        <f t="shared" si="6"/>
        <v>0.13298437717968314</v>
      </c>
      <c r="L32" s="22">
        <f>G32/'Clause 6'!$I$11</f>
        <v>87.025260000000003</v>
      </c>
      <c r="M32">
        <f t="shared" si="7"/>
        <v>5</v>
      </c>
      <c r="O32" s="51">
        <f t="shared" si="10"/>
        <v>8.1188381396389842E-2</v>
      </c>
      <c r="P32" s="51">
        <f t="shared" si="8"/>
        <v>-2.5601302426444872E-2</v>
      </c>
      <c r="Q32" s="51">
        <f t="shared" si="8"/>
        <v>-3.4726239255131186E-2</v>
      </c>
      <c r="R32" s="51">
        <f t="shared" si="8"/>
        <v>3.0935156068479408E-2</v>
      </c>
      <c r="S32" s="51">
        <f t="shared" si="8"/>
        <v>-5.1795995783293192E-2</v>
      </c>
    </row>
    <row r="33" spans="1:19" x14ac:dyDescent="0.35">
      <c r="A33" s="15" t="s">
        <v>92</v>
      </c>
      <c r="B33" s="46">
        <f t="shared" ref="B33:F33" si="33">L77</f>
        <v>70.938100000000006</v>
      </c>
      <c r="C33" s="46">
        <f t="shared" si="33"/>
        <v>65.111599999999996</v>
      </c>
      <c r="D33" s="46">
        <f t="shared" si="33"/>
        <v>62.3354</v>
      </c>
      <c r="E33" s="46">
        <f t="shared" si="33"/>
        <v>65.441999999999993</v>
      </c>
      <c r="F33" s="46">
        <f t="shared" si="33"/>
        <v>56.5075</v>
      </c>
      <c r="G33" s="34">
        <f t="shared" si="2"/>
        <v>64.066919999999996</v>
      </c>
      <c r="H33" s="50">
        <f t="shared" si="3"/>
        <v>2610.8743439159994</v>
      </c>
      <c r="I33" s="48">
        <f t="shared" si="4"/>
        <v>7.3323689924965935E-2</v>
      </c>
      <c r="J33" s="48">
        <f t="shared" si="5"/>
        <v>0.11900000000000001</v>
      </c>
      <c r="K33" s="48">
        <f t="shared" si="6"/>
        <v>0.2252426057004146</v>
      </c>
      <c r="L33" s="22">
        <f>G33/'Clause 6'!$I$11</f>
        <v>64.066919999999996</v>
      </c>
      <c r="M33">
        <f t="shared" si="7"/>
        <v>5</v>
      </c>
      <c r="O33" s="51">
        <f t="shared" si="10"/>
        <v>0.10725004417256212</v>
      </c>
      <c r="P33" s="51">
        <f t="shared" si="8"/>
        <v>1.6306074960369621E-2</v>
      </c>
      <c r="Q33" s="51">
        <f t="shared" si="8"/>
        <v>-2.70267401648151E-2</v>
      </c>
      <c r="R33" s="51">
        <f t="shared" si="8"/>
        <v>2.1463182559736005E-2</v>
      </c>
      <c r="S33" s="51">
        <f t="shared" si="8"/>
        <v>-0.11799256152785242</v>
      </c>
    </row>
    <row r="34" spans="1:19" x14ac:dyDescent="0.35">
      <c r="A34" s="15" t="s">
        <v>93</v>
      </c>
      <c r="B34" s="46">
        <f t="shared" ref="B34:F34" si="34">L78</f>
        <v>52.362200000000001</v>
      </c>
      <c r="C34" s="46">
        <f t="shared" si="34"/>
        <v>44.977200000000003</v>
      </c>
      <c r="D34" s="46">
        <f t="shared" si="34"/>
        <v>44.3812</v>
      </c>
      <c r="E34" s="46">
        <f t="shared" si="34"/>
        <v>45.905200000000001</v>
      </c>
      <c r="F34" s="46">
        <f t="shared" si="34"/>
        <v>41.194699999999997</v>
      </c>
      <c r="G34" s="34">
        <f t="shared" si="2"/>
        <v>45.764100000000006</v>
      </c>
      <c r="H34" s="50">
        <f t="shared" si="3"/>
        <v>1864.9923324299998</v>
      </c>
      <c r="I34" s="48">
        <f t="shared" si="4"/>
        <v>7.9968111503728873E-2</v>
      </c>
      <c r="J34" s="48">
        <f t="shared" si="5"/>
        <v>0.13400000000000001</v>
      </c>
      <c r="K34" s="48">
        <f t="shared" si="6"/>
        <v>0.24402315351989884</v>
      </c>
      <c r="L34" s="22">
        <f>G34/'Clause 6'!$I$11</f>
        <v>45.764100000000006</v>
      </c>
      <c r="M34">
        <f t="shared" si="7"/>
        <v>5</v>
      </c>
      <c r="O34" s="51">
        <f t="shared" si="10"/>
        <v>0.14417633035501609</v>
      </c>
      <c r="P34" s="51">
        <f t="shared" si="8"/>
        <v>-1.7194700649635908E-2</v>
      </c>
      <c r="Q34" s="51">
        <f t="shared" si="8"/>
        <v>-3.0218009312976912E-2</v>
      </c>
      <c r="R34" s="51">
        <f t="shared" si="8"/>
        <v>3.0832027724787547E-3</v>
      </c>
      <c r="S34" s="51">
        <f t="shared" si="8"/>
        <v>-9.9846823164882692E-2</v>
      </c>
    </row>
    <row r="35" spans="1:19" x14ac:dyDescent="0.35">
      <c r="A35" s="15" t="s">
        <v>94</v>
      </c>
      <c r="B35" s="46">
        <f t="shared" ref="B35:F35" si="35">L79</f>
        <v>37.4208</v>
      </c>
      <c r="C35" s="46">
        <f t="shared" si="35"/>
        <v>32.383600000000001</v>
      </c>
      <c r="D35" s="46">
        <f t="shared" si="35"/>
        <v>31.356300000000001</v>
      </c>
      <c r="E35" s="46">
        <f t="shared" si="35"/>
        <v>31.360199999999999</v>
      </c>
      <c r="F35" s="46">
        <f t="shared" si="35"/>
        <v>30.5367</v>
      </c>
      <c r="G35" s="34">
        <f t="shared" si="2"/>
        <v>32.611519999999999</v>
      </c>
      <c r="H35" s="50">
        <f t="shared" si="3"/>
        <v>1328.9944464959997</v>
      </c>
      <c r="I35" s="48">
        <f t="shared" si="4"/>
        <v>7.5892501943730789E-2</v>
      </c>
      <c r="J35" s="48">
        <f t="shared" si="5"/>
        <v>0.13400000000000001</v>
      </c>
      <c r="K35" s="48">
        <f t="shared" si="6"/>
        <v>0.21109411643492854</v>
      </c>
      <c r="L35" s="22">
        <f>G35/'Clause 6'!$I$11</f>
        <v>32.611519999999999</v>
      </c>
      <c r="M35">
        <f t="shared" si="7"/>
        <v>5</v>
      </c>
      <c r="O35" s="51">
        <f t="shared" si="10"/>
        <v>0.14747181364131445</v>
      </c>
      <c r="P35" s="51">
        <f t="shared" si="8"/>
        <v>-6.9889413311614579E-3</v>
      </c>
      <c r="Q35" s="51">
        <f t="shared" si="8"/>
        <v>-3.8490079579240666E-2</v>
      </c>
      <c r="R35" s="51">
        <f t="shared" si="8"/>
        <v>-3.8370489937298191E-2</v>
      </c>
      <c r="S35" s="51">
        <f t="shared" si="8"/>
        <v>-6.3622302793614027E-2</v>
      </c>
    </row>
    <row r="36" spans="1:19" x14ac:dyDescent="0.35">
      <c r="A36" s="15" t="s">
        <v>95</v>
      </c>
      <c r="B36" s="46">
        <f t="shared" ref="B36:F36" si="36">L80</f>
        <v>25.171500000000002</v>
      </c>
      <c r="C36" s="46">
        <f t="shared" si="36"/>
        <v>20.749500000000001</v>
      </c>
      <c r="D36" s="46">
        <f t="shared" si="36"/>
        <v>21.949400000000001</v>
      </c>
      <c r="E36" s="46">
        <f t="shared" si="36"/>
        <v>20.735199999999999</v>
      </c>
      <c r="F36" s="46">
        <f t="shared" si="36"/>
        <v>21.812899999999999</v>
      </c>
      <c r="G36" s="34">
        <f t="shared" si="2"/>
        <v>22.0837</v>
      </c>
      <c r="H36" s="50">
        <f t="shared" si="3"/>
        <v>899.96156750999978</v>
      </c>
      <c r="I36" s="48">
        <f t="shared" si="4"/>
        <v>7.3643000265028333E-2</v>
      </c>
      <c r="J36" s="48">
        <f t="shared" si="5"/>
        <v>0.156</v>
      </c>
      <c r="K36" s="48">
        <f t="shared" si="6"/>
        <v>0.20088572114274342</v>
      </c>
      <c r="L36" s="22">
        <f>G36/'Clause 6'!$I$11</f>
        <v>22.0837</v>
      </c>
      <c r="M36">
        <f t="shared" si="7"/>
        <v>5</v>
      </c>
      <c r="O36" s="51">
        <f t="shared" si="10"/>
        <v>0.13982258407784931</v>
      </c>
      <c r="P36" s="51">
        <f t="shared" si="8"/>
        <v>-6.0415600646630763E-2</v>
      </c>
      <c r="Q36" s="51">
        <f t="shared" si="8"/>
        <v>-6.0814084596331197E-3</v>
      </c>
      <c r="R36" s="51">
        <f t="shared" si="8"/>
        <v>-6.106313706489408E-2</v>
      </c>
      <c r="S36" s="51">
        <f t="shared" si="8"/>
        <v>-1.2262437906691459E-2</v>
      </c>
    </row>
    <row r="37" spans="1:19" x14ac:dyDescent="0.35">
      <c r="A37" s="15" t="s">
        <v>96</v>
      </c>
      <c r="B37" s="46">
        <f t="shared" ref="B37:F37" si="37">L81</f>
        <v>16.556699999999999</v>
      </c>
      <c r="C37" s="46">
        <f t="shared" si="37"/>
        <v>13.3132</v>
      </c>
      <c r="D37" s="46">
        <f t="shared" si="37"/>
        <v>14.110300000000001</v>
      </c>
      <c r="E37" s="46">
        <f t="shared" si="37"/>
        <v>14.7424</v>
      </c>
      <c r="F37" s="46">
        <f t="shared" si="37"/>
        <v>13.172700000000001</v>
      </c>
      <c r="G37" s="34">
        <f t="shared" si="2"/>
        <v>14.379060000000001</v>
      </c>
      <c r="H37" s="50">
        <f t="shared" si="3"/>
        <v>585.97976683799993</v>
      </c>
      <c r="I37" s="48">
        <f t="shared" si="4"/>
        <v>8.5389539403269224E-2</v>
      </c>
      <c r="J37" s="48">
        <f t="shared" si="5"/>
        <v>0.156</v>
      </c>
      <c r="K37" s="48">
        <f t="shared" si="6"/>
        <v>0.23534222682150283</v>
      </c>
      <c r="L37" s="22">
        <f>G37/'Clause 6'!$I$11</f>
        <v>14.379060000000001</v>
      </c>
      <c r="M37">
        <f t="shared" si="7"/>
        <v>5</v>
      </c>
      <c r="O37" s="51">
        <f t="shared" si="10"/>
        <v>0.15144522660034787</v>
      </c>
      <c r="P37" s="51">
        <f t="shared" si="8"/>
        <v>-7.4125846891243241E-2</v>
      </c>
      <c r="Q37" s="51">
        <f t="shared" si="8"/>
        <v>-1.8691068818128653E-2</v>
      </c>
      <c r="R37" s="51">
        <f t="shared" si="8"/>
        <v>2.5268689330178784E-2</v>
      </c>
      <c r="S37" s="51">
        <f t="shared" si="8"/>
        <v>-8.3897000221154983E-2</v>
      </c>
    </row>
    <row r="38" spans="1:19" x14ac:dyDescent="0.35">
      <c r="A38" s="15" t="s">
        <v>97</v>
      </c>
      <c r="B38" s="46">
        <f t="shared" ref="B38:F38" si="38">L82</f>
        <v>11.8454</v>
      </c>
      <c r="C38" s="46">
        <f t="shared" si="38"/>
        <v>9.2353000000000005</v>
      </c>
      <c r="D38" s="46">
        <f t="shared" si="38"/>
        <v>9.5274999999999999</v>
      </c>
      <c r="E38" s="46">
        <f t="shared" si="38"/>
        <v>9.8283000000000005</v>
      </c>
      <c r="F38" s="46">
        <f t="shared" si="38"/>
        <v>8.8615999999999993</v>
      </c>
      <c r="G38" s="34">
        <f t="shared" si="2"/>
        <v>9.8596200000000014</v>
      </c>
      <c r="H38" s="50">
        <f t="shared" si="3"/>
        <v>401.80219212599997</v>
      </c>
      <c r="I38" s="48">
        <f t="shared" si="4"/>
        <v>0.10579649588688049</v>
      </c>
      <c r="J38" s="48">
        <f t="shared" si="5"/>
        <v>0.193</v>
      </c>
      <c r="K38" s="48">
        <f t="shared" si="6"/>
        <v>0.30262829601952207</v>
      </c>
      <c r="L38" s="22">
        <f>G38/'Clause 6'!$I$11</f>
        <v>9.8596200000000014</v>
      </c>
      <c r="M38">
        <f t="shared" si="7"/>
        <v>5</v>
      </c>
      <c r="O38" s="51">
        <f t="shared" si="10"/>
        <v>0.20140532799438504</v>
      </c>
      <c r="P38" s="51">
        <f t="shared" si="8"/>
        <v>-6.3320898777032064E-2</v>
      </c>
      <c r="Q38" s="51">
        <f t="shared" si="8"/>
        <v>-3.3684868179504002E-2</v>
      </c>
      <c r="R38" s="51">
        <f t="shared" si="8"/>
        <v>-3.1765930127125586E-3</v>
      </c>
      <c r="S38" s="51">
        <f t="shared" si="8"/>
        <v>-0.10122296802513708</v>
      </c>
    </row>
    <row r="40" spans="1:19" x14ac:dyDescent="0.35">
      <c r="A40" t="s">
        <v>98</v>
      </c>
    </row>
    <row r="41" spans="1:19" ht="15" x14ac:dyDescent="0.5">
      <c r="A41" s="53"/>
      <c r="B41" s="54" t="s">
        <v>99</v>
      </c>
      <c r="C41" s="53"/>
      <c r="D41" s="55" t="s">
        <v>100</v>
      </c>
      <c r="E41" s="56"/>
      <c r="F41" s="56"/>
      <c r="G41" s="56"/>
      <c r="H41" s="57"/>
    </row>
    <row r="42" spans="1:19" ht="15" x14ac:dyDescent="0.5">
      <c r="A42" s="58" t="s">
        <v>101</v>
      </c>
      <c r="B42" s="59" t="s">
        <v>102</v>
      </c>
      <c r="C42" s="58" t="s">
        <v>103</v>
      </c>
      <c r="D42" s="58" t="s">
        <v>104</v>
      </c>
      <c r="E42" s="59" t="s">
        <v>105</v>
      </c>
      <c r="F42" s="59" t="s">
        <v>106</v>
      </c>
      <c r="G42" s="59" t="s">
        <v>107</v>
      </c>
      <c r="H42" s="60" t="s">
        <v>108</v>
      </c>
    </row>
    <row r="43" spans="1:19" x14ac:dyDescent="0.35">
      <c r="A43" s="61">
        <v>10000</v>
      </c>
      <c r="C43" s="61">
        <v>11</v>
      </c>
      <c r="D43" s="61">
        <v>7.8</v>
      </c>
      <c r="E43">
        <v>5.3</v>
      </c>
      <c r="F43">
        <v>4</v>
      </c>
      <c r="G43">
        <v>2.7</v>
      </c>
      <c r="H43" s="62">
        <v>1.8</v>
      </c>
    </row>
    <row r="44" spans="1:19" x14ac:dyDescent="0.35">
      <c r="A44" s="61">
        <v>5000</v>
      </c>
      <c r="B44">
        <v>10000</v>
      </c>
      <c r="C44" s="61">
        <v>11.3</v>
      </c>
      <c r="D44" s="61">
        <v>7.8</v>
      </c>
      <c r="E44">
        <v>5.3</v>
      </c>
      <c r="F44">
        <v>4</v>
      </c>
      <c r="G44">
        <v>2.7</v>
      </c>
      <c r="H44" s="62">
        <v>1.9</v>
      </c>
    </row>
    <row r="45" spans="1:19" x14ac:dyDescent="0.35">
      <c r="A45" s="61">
        <v>2000</v>
      </c>
      <c r="B45">
        <v>5000</v>
      </c>
      <c r="C45" s="61">
        <v>11.9</v>
      </c>
      <c r="D45" s="61">
        <v>7.9</v>
      </c>
      <c r="E45">
        <v>5.4</v>
      </c>
      <c r="F45">
        <v>4.0999999999999996</v>
      </c>
      <c r="G45">
        <v>2.9</v>
      </c>
      <c r="H45" s="62">
        <v>2.1</v>
      </c>
    </row>
    <row r="46" spans="1:19" x14ac:dyDescent="0.35">
      <c r="A46" s="61">
        <v>1000</v>
      </c>
      <c r="B46">
        <v>2000</v>
      </c>
      <c r="C46" s="61">
        <v>13.4</v>
      </c>
      <c r="D46" s="61">
        <v>8</v>
      </c>
      <c r="E46">
        <v>5.6</v>
      </c>
      <c r="F46">
        <v>4.3</v>
      </c>
      <c r="G46">
        <v>3.1</v>
      </c>
      <c r="H46" s="62">
        <v>2.4</v>
      </c>
    </row>
    <row r="47" spans="1:19" x14ac:dyDescent="0.35">
      <c r="A47" s="61">
        <v>500</v>
      </c>
      <c r="B47">
        <v>1000</v>
      </c>
      <c r="C47" s="61">
        <v>15.6</v>
      </c>
      <c r="D47" s="61">
        <v>8.1999999999999993</v>
      </c>
      <c r="E47">
        <v>5.9</v>
      </c>
      <c r="F47">
        <v>4.7</v>
      </c>
      <c r="G47">
        <v>3.6</v>
      </c>
      <c r="H47" s="62">
        <v>2.9</v>
      </c>
    </row>
    <row r="48" spans="1:19" x14ac:dyDescent="0.35">
      <c r="A48" s="61">
        <v>200</v>
      </c>
      <c r="B48">
        <v>500</v>
      </c>
      <c r="C48" s="61">
        <v>19.3</v>
      </c>
      <c r="D48" s="61">
        <v>8.9</v>
      </c>
      <c r="E48">
        <v>6.8</v>
      </c>
      <c r="F48">
        <v>5.7</v>
      </c>
      <c r="G48">
        <v>4.7</v>
      </c>
      <c r="H48" s="62">
        <v>4.0999999999999996</v>
      </c>
    </row>
    <row r="49" spans="1:16" x14ac:dyDescent="0.35">
      <c r="A49" s="63">
        <v>100</v>
      </c>
      <c r="B49" s="64">
        <v>200</v>
      </c>
      <c r="C49" s="63">
        <v>27.5</v>
      </c>
      <c r="D49" s="63">
        <v>10</v>
      </c>
      <c r="E49" s="64">
        <v>8</v>
      </c>
      <c r="F49" s="64">
        <v>7</v>
      </c>
      <c r="G49" s="64">
        <v>6.1</v>
      </c>
      <c r="H49" s="65">
        <v>5.5</v>
      </c>
    </row>
    <row r="51" spans="1:16" x14ac:dyDescent="0.35">
      <c r="A51" s="67">
        <f>'6 - B1'!A51</f>
        <v>0</v>
      </c>
      <c r="B51" s="68" t="str">
        <f>'6 - B1'!B51</f>
        <v>Portion 1</v>
      </c>
      <c r="C51" s="68" t="str">
        <f>'6 - B1'!C51</f>
        <v>Portion 2</v>
      </c>
      <c r="D51" s="68" t="str">
        <f>'6 - B1'!D51</f>
        <v>Portion 3</v>
      </c>
      <c r="E51" s="68" t="str">
        <f>'6 - B1'!E51</f>
        <v>Portion 4</v>
      </c>
      <c r="F51" s="68" t="str">
        <f>'6 - B1'!F51</f>
        <v>Portion 5</v>
      </c>
      <c r="G51" s="68" t="str">
        <f>'6 - B1'!G51</f>
        <v>Portion 1</v>
      </c>
      <c r="H51" s="68" t="str">
        <f>'6 - B1'!H51</f>
        <v>Portion 2</v>
      </c>
      <c r="I51" s="68" t="str">
        <f>'6 - B1'!I51</f>
        <v>Portion 3</v>
      </c>
      <c r="J51" s="68" t="str">
        <f>'6 - B1'!J51</f>
        <v>Portion 4</v>
      </c>
      <c r="K51" s="68" t="str">
        <f>'6 - B1'!K51</f>
        <v>Portion 5</v>
      </c>
      <c r="L51" s="68" t="str">
        <f>'6 - B1'!L51</f>
        <v>Portion 1</v>
      </c>
      <c r="M51" s="68" t="str">
        <f>'6 - B1'!M51</f>
        <v>Portion 2</v>
      </c>
      <c r="N51" s="68" t="str">
        <f>'6 - B1'!N51</f>
        <v>Portion 3</v>
      </c>
      <c r="O51" s="68" t="str">
        <f>'6 - B1'!O51</f>
        <v>Portion 4</v>
      </c>
      <c r="P51" s="68" t="str">
        <f>'6 - B1'!P51</f>
        <v>Portion 5</v>
      </c>
    </row>
    <row r="52" spans="1:16" x14ac:dyDescent="0.35">
      <c r="A52" s="67" t="str">
        <f>'6 - B1'!A52</f>
        <v>NAME\mL</v>
      </c>
      <c r="B52" s="67">
        <f>'6 - B1'!B52</f>
        <v>7.4394</v>
      </c>
      <c r="C52" s="67">
        <f>'6 - B1'!C52</f>
        <v>8.3442000000000007</v>
      </c>
      <c r="D52" s="67">
        <f>'6 - B1'!D52</f>
        <v>8.2882999999999996</v>
      </c>
      <c r="E52" s="67">
        <f>'6 - B1'!E52</f>
        <v>8.3513999999999999</v>
      </c>
      <c r="F52" s="67">
        <f>'6 - B1'!F52</f>
        <v>8.3496000000000006</v>
      </c>
      <c r="G52" s="67">
        <f>'6 - B1'!G52</f>
        <v>7.4385000000000003</v>
      </c>
      <c r="H52" s="67">
        <f>'6 - B1'!H52</f>
        <v>8.3468999999999998</v>
      </c>
      <c r="I52" s="67">
        <f>'6 - B1'!I52</f>
        <v>8.2875999999999994</v>
      </c>
      <c r="J52" s="67">
        <f>'6 - B1'!J52</f>
        <v>8.3579000000000008</v>
      </c>
      <c r="K52" s="67">
        <f>'6 - B1'!K52</f>
        <v>8.3419000000000008</v>
      </c>
      <c r="L52" s="67">
        <f>'6 - B1'!L52</f>
        <v>7.4290000000000003</v>
      </c>
      <c r="M52" s="67">
        <f>'6 - B1'!M52</f>
        <v>8.3376000000000001</v>
      </c>
      <c r="N52" s="67">
        <f>'6 - B1'!N52</f>
        <v>8.2918000000000003</v>
      </c>
      <c r="O52" s="67">
        <f>'6 - B1'!O52</f>
        <v>8.3432999999999993</v>
      </c>
      <c r="P52" s="67">
        <f>'6 - B1'!P52</f>
        <v>8.3506</v>
      </c>
    </row>
    <row r="53" spans="1:16" x14ac:dyDescent="0.35">
      <c r="A53" s="67">
        <f>'6 - B1'!A53</f>
        <v>4</v>
      </c>
      <c r="B53" s="67">
        <f>'6 - B1'!B53</f>
        <v>14608.8809</v>
      </c>
      <c r="C53" s="67">
        <f>'6 - B1'!C53</f>
        <v>14726.0928</v>
      </c>
      <c r="D53" s="67">
        <f>'6 - B1'!D53</f>
        <v>14734.098599999999</v>
      </c>
      <c r="E53" s="67">
        <f>'6 - B1'!E53</f>
        <v>14654.0303</v>
      </c>
      <c r="F53" s="67">
        <f>'6 - B1'!F53</f>
        <v>14670.570299999999</v>
      </c>
      <c r="G53" s="67">
        <f>'6 - B1'!G53</f>
        <v>14645.0488</v>
      </c>
      <c r="H53" s="67">
        <f>'6 - B1'!H53</f>
        <v>14604.5537</v>
      </c>
      <c r="I53" s="67">
        <f>'6 - B1'!I53</f>
        <v>14624.151400000001</v>
      </c>
      <c r="J53" s="67">
        <f>'6 - B1'!J53</f>
        <v>14489.668</v>
      </c>
      <c r="K53" s="67">
        <f>'6 - B1'!K53</f>
        <v>14687.5615</v>
      </c>
      <c r="L53" s="67">
        <f>'6 - B1'!L53</f>
        <v>14734.9521</v>
      </c>
      <c r="M53" s="67">
        <f>'6 - B1'!M53</f>
        <v>14756.612300000001</v>
      </c>
      <c r="N53" s="67">
        <f>'6 - B1'!N53</f>
        <v>14702.5273</v>
      </c>
      <c r="O53" s="67">
        <f>'6 - B1'!O53</f>
        <v>14757.046899999999</v>
      </c>
      <c r="P53" s="67">
        <f>'6 - B1'!P53</f>
        <v>14674.137699999999</v>
      </c>
    </row>
    <row r="54" spans="1:16" x14ac:dyDescent="0.35">
      <c r="A54" s="67">
        <f>'6 - B1'!A54</f>
        <v>5</v>
      </c>
      <c r="B54" s="67">
        <f>'6 - B1'!B54</f>
        <v>12631.854499999999</v>
      </c>
      <c r="C54" s="67">
        <f>'6 - B1'!C54</f>
        <v>12706.499</v>
      </c>
      <c r="D54" s="67">
        <f>'6 - B1'!D54</f>
        <v>12753.3447</v>
      </c>
      <c r="E54" s="67">
        <f>'6 - B1'!E54</f>
        <v>12662.604499999999</v>
      </c>
      <c r="F54" s="67">
        <f>'6 - B1'!F54</f>
        <v>12666.1621</v>
      </c>
      <c r="G54" s="67">
        <f>'6 - B1'!G54</f>
        <v>12657.4854</v>
      </c>
      <c r="H54" s="67">
        <f>'6 - B1'!H54</f>
        <v>12627.732400000001</v>
      </c>
      <c r="I54" s="67">
        <f>'6 - B1'!I54</f>
        <v>12642.142599999999</v>
      </c>
      <c r="J54" s="67">
        <f>'6 - B1'!J54</f>
        <v>12517.118200000001</v>
      </c>
      <c r="K54" s="67">
        <f>'6 - B1'!K54</f>
        <v>12678.781199999999</v>
      </c>
      <c r="L54" s="67">
        <f>'6 - B1'!L54</f>
        <v>12767.7832</v>
      </c>
      <c r="M54" s="67">
        <f>'6 - B1'!M54</f>
        <v>12739.2803</v>
      </c>
      <c r="N54" s="67">
        <f>'6 - B1'!N54</f>
        <v>12690.0322</v>
      </c>
      <c r="O54" s="67">
        <f>'6 - B1'!O54</f>
        <v>12747.793</v>
      </c>
      <c r="P54" s="67">
        <f>'6 - B1'!P54</f>
        <v>12663.2852</v>
      </c>
    </row>
    <row r="55" spans="1:16" x14ac:dyDescent="0.35">
      <c r="A55" s="67">
        <f>'6 - B1'!A55</f>
        <v>6</v>
      </c>
      <c r="B55" s="67">
        <f>'6 - B1'!B55</f>
        <v>10962.7793</v>
      </c>
      <c r="C55" s="67">
        <f>'6 - B1'!C55</f>
        <v>10971.637699999999</v>
      </c>
      <c r="D55" s="67">
        <f>'6 - B1'!D55</f>
        <v>11036.374</v>
      </c>
      <c r="E55" s="67">
        <f>'6 - B1'!E55</f>
        <v>10959.198200000001</v>
      </c>
      <c r="F55" s="67">
        <f>'6 - B1'!F55</f>
        <v>10981.7266</v>
      </c>
      <c r="G55" s="67">
        <f>'6 - B1'!G55</f>
        <v>10966.0977</v>
      </c>
      <c r="H55" s="67">
        <f>'6 - B1'!H55</f>
        <v>10950.0322</v>
      </c>
      <c r="I55" s="67">
        <f>'6 - B1'!I55</f>
        <v>10948.4697</v>
      </c>
      <c r="J55" s="67">
        <f>'6 - B1'!J55</f>
        <v>10841.176799999999</v>
      </c>
      <c r="K55" s="67">
        <f>'6 - B1'!K55</f>
        <v>10964.088900000001</v>
      </c>
      <c r="L55" s="67">
        <f>'6 - B1'!L55</f>
        <v>11050.4434</v>
      </c>
      <c r="M55" s="67">
        <f>'6 - B1'!M55</f>
        <v>11025.791999999999</v>
      </c>
      <c r="N55" s="67">
        <f>'6 - B1'!N55</f>
        <v>11018.7822</v>
      </c>
      <c r="O55" s="67">
        <f>'6 - B1'!O55</f>
        <v>11046.569299999999</v>
      </c>
      <c r="P55" s="67">
        <f>'6 - B1'!P55</f>
        <v>10962.862300000001</v>
      </c>
    </row>
    <row r="56" spans="1:16" x14ac:dyDescent="0.35">
      <c r="A56" s="67">
        <f>'6 - B1'!A56</f>
        <v>7</v>
      </c>
      <c r="B56" s="67">
        <f>'6 - B1'!B56</f>
        <v>9498.5136999999995</v>
      </c>
      <c r="C56" s="67">
        <f>'6 - B1'!C56</f>
        <v>9472.5244000000002</v>
      </c>
      <c r="D56" s="67">
        <f>'6 - B1'!D56</f>
        <v>9550.8184000000001</v>
      </c>
      <c r="E56" s="67">
        <f>'6 - B1'!E56</f>
        <v>9467.9120999999996</v>
      </c>
      <c r="F56" s="67">
        <f>'6 - B1'!F56</f>
        <v>9480.7919999999995</v>
      </c>
      <c r="G56" s="67">
        <f>'6 - B1'!G56</f>
        <v>9486.3135000000002</v>
      </c>
      <c r="H56" s="67">
        <f>'6 - B1'!H56</f>
        <v>9462.5663999999997</v>
      </c>
      <c r="I56" s="67">
        <f>'6 - B1'!I56</f>
        <v>9481.5938000000006</v>
      </c>
      <c r="J56" s="67">
        <f>'6 - B1'!J56</f>
        <v>9376.3467000000001</v>
      </c>
      <c r="K56" s="67">
        <f>'6 - B1'!K56</f>
        <v>9492.7811999999994</v>
      </c>
      <c r="L56" s="67">
        <f>'6 - B1'!L56</f>
        <v>9581.4775000000009</v>
      </c>
      <c r="M56" s="67">
        <f>'6 - B1'!M56</f>
        <v>9515.3359</v>
      </c>
      <c r="N56" s="67">
        <f>'6 - B1'!N56</f>
        <v>9515.4678000000004</v>
      </c>
      <c r="O56" s="67">
        <f>'6 - B1'!O56</f>
        <v>9533.7559000000001</v>
      </c>
      <c r="P56" s="67">
        <f>'6 - B1'!P56</f>
        <v>9474.1923999999999</v>
      </c>
    </row>
    <row r="57" spans="1:16" x14ac:dyDescent="0.35">
      <c r="A57" s="67">
        <f>'6 - B1'!A57</f>
        <v>8</v>
      </c>
      <c r="B57" s="67">
        <f>'6 - B1'!B57</f>
        <v>8179.5712999999996</v>
      </c>
      <c r="C57" s="67">
        <f>'6 - B1'!C57</f>
        <v>8207.5136999999995</v>
      </c>
      <c r="D57" s="67">
        <f>'6 - B1'!D57</f>
        <v>8228.4061999999994</v>
      </c>
      <c r="E57" s="67">
        <f>'6 - B1'!E57</f>
        <v>8134.6953000000003</v>
      </c>
      <c r="F57" s="67">
        <f>'6 - B1'!F57</f>
        <v>8167.1410999999998</v>
      </c>
      <c r="G57" s="67">
        <f>'6 - B1'!G57</f>
        <v>8180.5102999999999</v>
      </c>
      <c r="H57" s="67">
        <f>'6 - B1'!H57</f>
        <v>8148.1201000000001</v>
      </c>
      <c r="I57" s="67">
        <f>'6 - B1'!I57</f>
        <v>8178.7349000000004</v>
      </c>
      <c r="J57" s="67">
        <f>'6 - B1'!J57</f>
        <v>8092.8495999999996</v>
      </c>
      <c r="K57" s="67">
        <f>'6 - B1'!K57</f>
        <v>8187.5038999999997</v>
      </c>
      <c r="L57" s="67">
        <f>'6 - B1'!L57</f>
        <v>8266.0067999999992</v>
      </c>
      <c r="M57" s="67">
        <f>'6 - B1'!M57</f>
        <v>8180.7568000000001</v>
      </c>
      <c r="N57" s="67">
        <f>'6 - B1'!N57</f>
        <v>8211.9951000000001</v>
      </c>
      <c r="O57" s="67">
        <f>'6 - B1'!O57</f>
        <v>8209.4902000000002</v>
      </c>
      <c r="P57" s="67">
        <f>'6 - B1'!P57</f>
        <v>8151.5649000000003</v>
      </c>
    </row>
    <row r="58" spans="1:16" x14ac:dyDescent="0.35">
      <c r="A58" s="67">
        <f>'6 - B1'!A58</f>
        <v>9</v>
      </c>
      <c r="B58" s="67">
        <f>'6 - B1'!B58</f>
        <v>7004.0102999999999</v>
      </c>
      <c r="C58" s="67">
        <f>'6 - B1'!C58</f>
        <v>7082.7124000000003</v>
      </c>
      <c r="D58" s="67">
        <f>'6 - B1'!D58</f>
        <v>7076.9652999999998</v>
      </c>
      <c r="E58" s="67">
        <f>'6 - B1'!E58</f>
        <v>6994.9135999999999</v>
      </c>
      <c r="F58" s="67">
        <f>'6 - B1'!F58</f>
        <v>7015.6943000000001</v>
      </c>
      <c r="G58" s="67">
        <f>'6 - B1'!G58</f>
        <v>7036.1518999999998</v>
      </c>
      <c r="H58" s="67">
        <f>'6 - B1'!H58</f>
        <v>7008.1611000000003</v>
      </c>
      <c r="I58" s="67">
        <f>'6 - B1'!I58</f>
        <v>7035.0752000000002</v>
      </c>
      <c r="J58" s="67">
        <f>'6 - B1'!J58</f>
        <v>6946.0541999999996</v>
      </c>
      <c r="K58" s="67">
        <f>'6 - B1'!K58</f>
        <v>7035.7870999999996</v>
      </c>
      <c r="L58" s="67">
        <f>'6 - B1'!L58</f>
        <v>7106.75</v>
      </c>
      <c r="M58" s="67">
        <f>'6 - B1'!M58</f>
        <v>7003.0424999999996</v>
      </c>
      <c r="N58" s="67">
        <f>'6 - B1'!N58</f>
        <v>7051.1782000000003</v>
      </c>
      <c r="O58" s="67">
        <f>'6 - B1'!O58</f>
        <v>7057.8887000000004</v>
      </c>
      <c r="P58" s="67">
        <f>'6 - B1'!P58</f>
        <v>7012.1220999999996</v>
      </c>
    </row>
    <row r="59" spans="1:16" x14ac:dyDescent="0.35">
      <c r="A59" s="67">
        <f>'6 - B1'!A59</f>
        <v>10</v>
      </c>
      <c r="B59" s="67">
        <f>'6 - B1'!B59</f>
        <v>5954.3984</v>
      </c>
      <c r="C59" s="67">
        <f>'6 - B1'!C59</f>
        <v>6046.7554</v>
      </c>
      <c r="D59" s="67">
        <f>'6 - B1'!D59</f>
        <v>6030.9204</v>
      </c>
      <c r="E59" s="67">
        <f>'6 - B1'!E59</f>
        <v>5974.0429999999997</v>
      </c>
      <c r="F59" s="67">
        <f>'6 - B1'!F59</f>
        <v>5994.8149000000003</v>
      </c>
      <c r="G59" s="67">
        <f>'6 - B1'!G59</f>
        <v>6020.6992</v>
      </c>
      <c r="H59" s="67">
        <f>'6 - B1'!H59</f>
        <v>5973.7114000000001</v>
      </c>
      <c r="I59" s="67">
        <f>'6 - B1'!I59</f>
        <v>6023.1562000000004</v>
      </c>
      <c r="J59" s="67">
        <f>'6 - B1'!J59</f>
        <v>5929.7739000000001</v>
      </c>
      <c r="K59" s="67">
        <f>'6 - B1'!K59</f>
        <v>6011.4018999999998</v>
      </c>
      <c r="L59" s="67">
        <f>'6 - B1'!L59</f>
        <v>6082.8198000000002</v>
      </c>
      <c r="M59" s="67">
        <f>'6 - B1'!M59</f>
        <v>5966.7821999999996</v>
      </c>
      <c r="N59" s="67">
        <f>'6 - B1'!N59</f>
        <v>5974.3931000000002</v>
      </c>
      <c r="O59" s="67">
        <f>'6 - B1'!O59</f>
        <v>6001.0684000000001</v>
      </c>
      <c r="P59" s="67">
        <f>'6 - B1'!P59</f>
        <v>5975.8397999999997</v>
      </c>
    </row>
    <row r="60" spans="1:16" x14ac:dyDescent="0.35">
      <c r="A60" s="67">
        <f>'6 - B1'!A60</f>
        <v>11</v>
      </c>
      <c r="B60" s="67">
        <f>'6 - B1'!B60</f>
        <v>5009.2798000000003</v>
      </c>
      <c r="C60" s="67">
        <f>'6 - B1'!C60</f>
        <v>5107.7201999999997</v>
      </c>
      <c r="D60" s="67">
        <f>'6 - B1'!D60</f>
        <v>5082.7866000000004</v>
      </c>
      <c r="E60" s="67">
        <f>'6 - B1'!E60</f>
        <v>5020.2206999999999</v>
      </c>
      <c r="F60" s="67">
        <f>'6 - B1'!F60</f>
        <v>5061.2313999999997</v>
      </c>
      <c r="G60" s="67">
        <f>'6 - B1'!G60</f>
        <v>5084.9696999999996</v>
      </c>
      <c r="H60" s="67">
        <f>'6 - B1'!H60</f>
        <v>5048.3402999999998</v>
      </c>
      <c r="I60" s="67">
        <f>'6 - B1'!I60</f>
        <v>5093.5263999999997</v>
      </c>
      <c r="J60" s="67">
        <f>'6 - B1'!J60</f>
        <v>5007.6948000000002</v>
      </c>
      <c r="K60" s="67">
        <f>'6 - B1'!K60</f>
        <v>5080.9224000000004</v>
      </c>
      <c r="L60" s="67">
        <f>'6 - B1'!L60</f>
        <v>5113.8589000000002</v>
      </c>
      <c r="M60" s="67">
        <f>'6 - B1'!M60</f>
        <v>5036.3388999999997</v>
      </c>
      <c r="N60" s="67">
        <f>'6 - B1'!N60</f>
        <v>5034.4247999999998</v>
      </c>
      <c r="O60" s="67">
        <f>'6 - B1'!O60</f>
        <v>5062.1484</v>
      </c>
      <c r="P60" s="67">
        <f>'6 - B1'!P60</f>
        <v>5035.0165999999999</v>
      </c>
    </row>
    <row r="61" spans="1:16" x14ac:dyDescent="0.35">
      <c r="A61" s="67">
        <f>'6 - B1'!A61</f>
        <v>12</v>
      </c>
      <c r="B61" s="67">
        <f>'6 - B1'!B61</f>
        <v>4176.4951000000001</v>
      </c>
      <c r="C61" s="67">
        <f>'6 - B1'!C61</f>
        <v>4255.7896000000001</v>
      </c>
      <c r="D61" s="67">
        <f>'6 - B1'!D61</f>
        <v>4236.3837999999996</v>
      </c>
      <c r="E61" s="67">
        <f>'6 - B1'!E61</f>
        <v>4181.8456999999999</v>
      </c>
      <c r="F61" s="67">
        <f>'6 - B1'!F61</f>
        <v>4210.7456000000002</v>
      </c>
      <c r="G61" s="67">
        <f>'6 - B1'!G61</f>
        <v>4251.8217999999997</v>
      </c>
      <c r="H61" s="67">
        <f>'6 - B1'!H61</f>
        <v>4201.3433000000005</v>
      </c>
      <c r="I61" s="67">
        <f>'6 - B1'!I61</f>
        <v>4262.6396000000004</v>
      </c>
      <c r="J61" s="67">
        <f>'6 - B1'!J61</f>
        <v>4167.1836000000003</v>
      </c>
      <c r="K61" s="67">
        <f>'6 - B1'!K61</f>
        <v>4243.7133999999996</v>
      </c>
      <c r="L61" s="67">
        <f>'6 - B1'!L61</f>
        <v>4269.1229999999996</v>
      </c>
      <c r="M61" s="67">
        <f>'6 - B1'!M61</f>
        <v>4205.3945000000003</v>
      </c>
      <c r="N61" s="67">
        <f>'6 - B1'!N61</f>
        <v>4194.2173000000003</v>
      </c>
      <c r="O61" s="67">
        <f>'6 - B1'!O61</f>
        <v>4228.6620999999996</v>
      </c>
      <c r="P61" s="67">
        <f>'6 - B1'!P61</f>
        <v>4186.3242</v>
      </c>
    </row>
    <row r="62" spans="1:16" x14ac:dyDescent="0.35">
      <c r="A62" s="67">
        <f>'6 - B1'!A62</f>
        <v>13</v>
      </c>
      <c r="B62" s="67">
        <f>'6 - B1'!B62</f>
        <v>3425.6008000000002</v>
      </c>
      <c r="C62" s="67">
        <f>'6 - B1'!C62</f>
        <v>3502.9717000000001</v>
      </c>
      <c r="D62" s="67">
        <f>'6 - B1'!D62</f>
        <v>3485.7939000000001</v>
      </c>
      <c r="E62" s="67">
        <f>'6 - B1'!E62</f>
        <v>3430.9829</v>
      </c>
      <c r="F62" s="67">
        <f>'6 - B1'!F62</f>
        <v>3454.0783999999999</v>
      </c>
      <c r="G62" s="67">
        <f>'6 - B1'!G62</f>
        <v>3493.6876999999999</v>
      </c>
      <c r="H62" s="67">
        <f>'6 - B1'!H62</f>
        <v>3453.5369000000001</v>
      </c>
      <c r="I62" s="67">
        <f>'6 - B1'!I62</f>
        <v>3512.1965</v>
      </c>
      <c r="J62" s="67">
        <f>'6 - B1'!J62</f>
        <v>3425.8787000000002</v>
      </c>
      <c r="K62" s="67">
        <f>'6 - B1'!K62</f>
        <v>3481.9014000000002</v>
      </c>
      <c r="L62" s="67">
        <f>'6 - B1'!L62</f>
        <v>3509.8332999999998</v>
      </c>
      <c r="M62" s="67">
        <f>'6 - B1'!M62</f>
        <v>3468.0412999999999</v>
      </c>
      <c r="N62" s="67">
        <f>'6 - B1'!N62</f>
        <v>3442.4783000000002</v>
      </c>
      <c r="O62" s="67">
        <f>'6 - B1'!O62</f>
        <v>3482.6401000000001</v>
      </c>
      <c r="P62" s="67">
        <f>'6 - B1'!P62</f>
        <v>3439.3283999999999</v>
      </c>
    </row>
    <row r="63" spans="1:16" x14ac:dyDescent="0.35">
      <c r="A63" s="67">
        <f>'6 - B1'!A63</f>
        <v>14</v>
      </c>
      <c r="B63" s="67">
        <f>'6 - B1'!B63</f>
        <v>2755.8002999999999</v>
      </c>
      <c r="C63" s="67">
        <f>'6 - B1'!C63</f>
        <v>2817.5084999999999</v>
      </c>
      <c r="D63" s="67">
        <f>'6 - B1'!D63</f>
        <v>2818.5691000000002</v>
      </c>
      <c r="E63" s="67">
        <f>'6 - B1'!E63</f>
        <v>2772.8454999999999</v>
      </c>
      <c r="F63" s="67">
        <f>'6 - B1'!F63</f>
        <v>2788.4094</v>
      </c>
      <c r="G63" s="67">
        <f>'6 - B1'!G63</f>
        <v>2830.7595000000001</v>
      </c>
      <c r="H63" s="67">
        <f>'6 - B1'!H63</f>
        <v>2789.9308999999998</v>
      </c>
      <c r="I63" s="67">
        <f>'6 - B1'!I63</f>
        <v>2837.1496999999999</v>
      </c>
      <c r="J63" s="67">
        <f>'6 - B1'!J63</f>
        <v>2770.9236000000001</v>
      </c>
      <c r="K63" s="67">
        <f>'6 - B1'!K63</f>
        <v>2822.8906000000002</v>
      </c>
      <c r="L63" s="67">
        <f>'6 - B1'!L63</f>
        <v>2827.7646</v>
      </c>
      <c r="M63" s="67">
        <f>'6 - B1'!M63</f>
        <v>2800.7766000000001</v>
      </c>
      <c r="N63" s="67">
        <f>'6 - B1'!N63</f>
        <v>2781.4775</v>
      </c>
      <c r="O63" s="67">
        <f>'6 - B1'!O63</f>
        <v>2813.8400999999999</v>
      </c>
      <c r="P63" s="67">
        <f>'6 - B1'!P63</f>
        <v>2783.6896999999999</v>
      </c>
    </row>
    <row r="64" spans="1:16" x14ac:dyDescent="0.35">
      <c r="A64" s="67">
        <f>'6 - B1'!A64</f>
        <v>15</v>
      </c>
      <c r="B64" s="67">
        <f>'6 - B1'!B64</f>
        <v>2195.9805000000001</v>
      </c>
      <c r="C64" s="67">
        <f>'6 - B1'!C64</f>
        <v>2229.1628000000001</v>
      </c>
      <c r="D64" s="67">
        <f>'6 - B1'!D64</f>
        <v>2238.8496</v>
      </c>
      <c r="E64" s="67">
        <f>'6 - B1'!E64</f>
        <v>2201.0666999999999</v>
      </c>
      <c r="F64" s="67">
        <f>'6 - B1'!F64</f>
        <v>2209.9045000000001</v>
      </c>
      <c r="G64" s="67">
        <f>'6 - B1'!G64</f>
        <v>2256.6986999999999</v>
      </c>
      <c r="H64" s="67">
        <f>'6 - B1'!H64</f>
        <v>2226.1442999999999</v>
      </c>
      <c r="I64" s="67">
        <f>'6 - B1'!I64</f>
        <v>2254.5979000000002</v>
      </c>
      <c r="J64" s="67">
        <f>'6 - B1'!J64</f>
        <v>2203.5023999999999</v>
      </c>
      <c r="K64" s="67">
        <f>'6 - B1'!K64</f>
        <v>2235.0617999999999</v>
      </c>
      <c r="L64" s="67">
        <f>'6 - B1'!L64</f>
        <v>2242.2222000000002</v>
      </c>
      <c r="M64" s="67">
        <f>'6 - B1'!M64</f>
        <v>2237.5385999999999</v>
      </c>
      <c r="N64" s="67">
        <f>'6 - B1'!N64</f>
        <v>2210.2411999999999</v>
      </c>
      <c r="O64" s="67">
        <f>'6 - B1'!O64</f>
        <v>2238.6772000000001</v>
      </c>
      <c r="P64" s="67">
        <f>'6 - B1'!P64</f>
        <v>2209.1248000000001</v>
      </c>
    </row>
    <row r="65" spans="1:16" x14ac:dyDescent="0.35">
      <c r="A65" s="67">
        <f>'6 - B1'!A65</f>
        <v>16</v>
      </c>
      <c r="B65" s="67">
        <f>'6 - B1'!B65</f>
        <v>1714.3744999999999</v>
      </c>
      <c r="C65" s="67">
        <f>'6 - B1'!C65</f>
        <v>1753.3922</v>
      </c>
      <c r="D65" s="67">
        <f>'6 - B1'!D65</f>
        <v>1746.5326</v>
      </c>
      <c r="E65" s="67">
        <f>'6 - B1'!E65</f>
        <v>1724.5553</v>
      </c>
      <c r="F65" s="67">
        <f>'6 - B1'!F65</f>
        <v>1710.4676999999999</v>
      </c>
      <c r="G65" s="67">
        <f>'6 - B1'!G65</f>
        <v>1777.6405</v>
      </c>
      <c r="H65" s="67">
        <f>'6 - B1'!H65</f>
        <v>1740.0165999999999</v>
      </c>
      <c r="I65" s="67">
        <f>'6 - B1'!I65</f>
        <v>1759.5651</v>
      </c>
      <c r="J65" s="67">
        <f>'6 - B1'!J65</f>
        <v>1722.6201000000001</v>
      </c>
      <c r="K65" s="67">
        <f>'6 - B1'!K65</f>
        <v>1739.6166000000001</v>
      </c>
      <c r="L65" s="67">
        <f>'6 - B1'!L65</f>
        <v>1751.5325</v>
      </c>
      <c r="M65" s="67">
        <f>'6 - B1'!M65</f>
        <v>1741.5123000000001</v>
      </c>
      <c r="N65" s="67">
        <f>'6 - B1'!N65</f>
        <v>1729.4335000000001</v>
      </c>
      <c r="O65" s="67">
        <f>'6 - B1'!O65</f>
        <v>1754.9640999999999</v>
      </c>
      <c r="P65" s="67">
        <f>'6 - B1'!P65</f>
        <v>1718.9127000000001</v>
      </c>
    </row>
    <row r="66" spans="1:16" x14ac:dyDescent="0.35">
      <c r="A66" s="67">
        <f>'6 - B1'!A66</f>
        <v>17</v>
      </c>
      <c r="B66" s="67">
        <f>'6 - B1'!B66</f>
        <v>1318.2778000000001</v>
      </c>
      <c r="C66" s="67">
        <f>'6 - B1'!C66</f>
        <v>1347.8096</v>
      </c>
      <c r="D66" s="67">
        <f>'6 - B1'!D66</f>
        <v>1346.6006</v>
      </c>
      <c r="E66" s="67">
        <f>'6 - B1'!E66</f>
        <v>1317.2914000000001</v>
      </c>
      <c r="F66" s="67">
        <f>'6 - B1'!F66</f>
        <v>1320.704</v>
      </c>
      <c r="G66" s="67">
        <f>'6 - B1'!G66</f>
        <v>1370.963</v>
      </c>
      <c r="H66" s="67">
        <f>'6 - B1'!H66</f>
        <v>1335.0206000000001</v>
      </c>
      <c r="I66" s="67">
        <f>'6 - B1'!I66</f>
        <v>1347.1377</v>
      </c>
      <c r="J66" s="67">
        <f>'6 - B1'!J66</f>
        <v>1324.2572</v>
      </c>
      <c r="K66" s="67">
        <f>'6 - B1'!K66</f>
        <v>1336.6685</v>
      </c>
      <c r="L66" s="67">
        <f>'6 - B1'!L66</f>
        <v>1350.1421</v>
      </c>
      <c r="M66" s="67">
        <f>'6 - B1'!M66</f>
        <v>1336.4114</v>
      </c>
      <c r="N66" s="67">
        <f>'6 - B1'!N66</f>
        <v>1324.2456999999999</v>
      </c>
      <c r="O66" s="67">
        <f>'6 - B1'!O66</f>
        <v>1349.7447999999999</v>
      </c>
      <c r="P66" s="67">
        <f>'6 - B1'!P66</f>
        <v>1327.2672</v>
      </c>
    </row>
    <row r="67" spans="1:16" x14ac:dyDescent="0.35">
      <c r="A67" s="67">
        <f>'6 - B1'!A67</f>
        <v>18</v>
      </c>
      <c r="B67" s="67">
        <f>'6 - B1'!B67</f>
        <v>1013.2142</v>
      </c>
      <c r="C67" s="67">
        <f>'6 - B1'!C67</f>
        <v>1031.5453</v>
      </c>
      <c r="D67" s="67">
        <f>'6 - B1'!D67</f>
        <v>1021.2689</v>
      </c>
      <c r="E67" s="67">
        <f>'6 - B1'!E67</f>
        <v>1013.3796</v>
      </c>
      <c r="F67" s="67">
        <f>'6 - B1'!F67</f>
        <v>1010.1597</v>
      </c>
      <c r="G67" s="67">
        <f>'6 - B1'!G67</f>
        <v>1056.8606</v>
      </c>
      <c r="H67" s="67">
        <f>'6 - B1'!H67</f>
        <v>1015.9293</v>
      </c>
      <c r="I67" s="67">
        <f>'6 - B1'!I67</f>
        <v>1040.6688999999999</v>
      </c>
      <c r="J67" s="67">
        <f>'6 - B1'!J67</f>
        <v>1012.0694999999999</v>
      </c>
      <c r="K67" s="67">
        <f>'6 - B1'!K67</f>
        <v>1022.9102</v>
      </c>
      <c r="L67" s="67">
        <f>'6 - B1'!L67</f>
        <v>1025.0719999999999</v>
      </c>
      <c r="M67" s="67">
        <f>'6 - B1'!M67</f>
        <v>1023.6155</v>
      </c>
      <c r="N67" s="67">
        <f>'6 - B1'!N67</f>
        <v>1004.5489</v>
      </c>
      <c r="O67" s="67">
        <f>'6 - B1'!O67</f>
        <v>1037.4579000000001</v>
      </c>
      <c r="P67" s="67">
        <f>'6 - B1'!P67</f>
        <v>1014.2649</v>
      </c>
    </row>
    <row r="68" spans="1:16" x14ac:dyDescent="0.35">
      <c r="A68" s="67">
        <f>'6 - B1'!A68</f>
        <v>19</v>
      </c>
      <c r="B68" s="67">
        <f>'6 - B1'!B68</f>
        <v>776.48869999999999</v>
      </c>
      <c r="C68" s="67">
        <f>'6 - B1'!C68</f>
        <v>775.91780000000006</v>
      </c>
      <c r="D68" s="67">
        <f>'6 - B1'!D68</f>
        <v>777.73099999999999</v>
      </c>
      <c r="E68" s="67">
        <f>'6 - B1'!E68</f>
        <v>769.49189999999999</v>
      </c>
      <c r="F68" s="67">
        <f>'6 - B1'!F68</f>
        <v>773.0154</v>
      </c>
      <c r="G68" s="67">
        <f>'6 - B1'!G68</f>
        <v>814.77170000000001</v>
      </c>
      <c r="H68" s="67">
        <f>'6 - B1'!H68</f>
        <v>774.82339999999999</v>
      </c>
      <c r="I68" s="67">
        <f>'6 - B1'!I68</f>
        <v>804.51210000000003</v>
      </c>
      <c r="J68" s="67">
        <f>'6 - B1'!J68</f>
        <v>771.6549</v>
      </c>
      <c r="K68" s="67">
        <f>'6 - B1'!K68</f>
        <v>775.14520000000005</v>
      </c>
      <c r="L68" s="67">
        <f>'6 - B1'!L68</f>
        <v>786.13260000000002</v>
      </c>
      <c r="M68" s="67">
        <f>'6 - B1'!M68</f>
        <v>777.9796</v>
      </c>
      <c r="N68" s="67">
        <f>'6 - B1'!N68</f>
        <v>759.5521</v>
      </c>
      <c r="O68" s="67">
        <f>'6 - B1'!O68</f>
        <v>784.30759999999998</v>
      </c>
      <c r="P68" s="67">
        <f>'6 - B1'!P68</f>
        <v>774.60680000000002</v>
      </c>
    </row>
    <row r="69" spans="1:16" x14ac:dyDescent="0.35">
      <c r="A69" s="67">
        <f>'6 - B1'!A69</f>
        <v>20</v>
      </c>
      <c r="B69" s="67">
        <f>'6 - B1'!B69</f>
        <v>595.6105</v>
      </c>
      <c r="C69" s="67">
        <f>'6 - B1'!C69</f>
        <v>600.2441</v>
      </c>
      <c r="D69" s="67">
        <f>'6 - B1'!D69</f>
        <v>592.17359999999996</v>
      </c>
      <c r="E69" s="67">
        <f>'6 - B1'!E69</f>
        <v>586.02260000000001</v>
      </c>
      <c r="F69" s="67">
        <f>'6 - B1'!F69</f>
        <v>590.17750000000001</v>
      </c>
      <c r="G69" s="67">
        <f>'6 - B1'!G69</f>
        <v>619.95609999999999</v>
      </c>
      <c r="H69" s="67">
        <f>'6 - B1'!H69</f>
        <v>594.58659999999998</v>
      </c>
      <c r="I69" s="67">
        <f>'6 - B1'!I69</f>
        <v>619.09870000000001</v>
      </c>
      <c r="J69" s="67">
        <f>'6 - B1'!J69</f>
        <v>594.37429999999995</v>
      </c>
      <c r="K69" s="67">
        <f>'6 - B1'!K69</f>
        <v>596.16869999999994</v>
      </c>
      <c r="L69" s="67">
        <f>'6 - B1'!L69</f>
        <v>606.88819999999998</v>
      </c>
      <c r="M69" s="67">
        <f>'6 - B1'!M69</f>
        <v>587.39260000000002</v>
      </c>
      <c r="N69" s="67">
        <f>'6 - B1'!N69</f>
        <v>576.48689999999999</v>
      </c>
      <c r="O69" s="67">
        <f>'6 - B1'!O69</f>
        <v>607.59550000000002</v>
      </c>
      <c r="P69" s="67">
        <f>'6 - B1'!P69</f>
        <v>588.01880000000006</v>
      </c>
    </row>
    <row r="70" spans="1:16" x14ac:dyDescent="0.35">
      <c r="A70" s="67">
        <f>'6 - B1'!A70</f>
        <v>21</v>
      </c>
      <c r="B70" s="67">
        <f>'6 - B1'!B70</f>
        <v>460.33030000000002</v>
      </c>
      <c r="C70" s="67">
        <f>'6 - B1'!C70</f>
        <v>454.92700000000002</v>
      </c>
      <c r="D70" s="67">
        <f>'6 - B1'!D70</f>
        <v>453.63350000000003</v>
      </c>
      <c r="E70" s="67">
        <f>'6 - B1'!E70</f>
        <v>448.35680000000002</v>
      </c>
      <c r="F70" s="67">
        <f>'6 - B1'!F70</f>
        <v>444.81110000000001</v>
      </c>
      <c r="G70" s="67">
        <f>'6 - B1'!G70</f>
        <v>471.97239999999999</v>
      </c>
      <c r="H70" s="67">
        <f>'6 - B1'!H70</f>
        <v>457.20510000000002</v>
      </c>
      <c r="I70" s="67">
        <f>'6 - B1'!I70</f>
        <v>485.9237</v>
      </c>
      <c r="J70" s="67">
        <f>'6 - B1'!J70</f>
        <v>455.3723</v>
      </c>
      <c r="K70" s="67">
        <f>'6 - B1'!K70</f>
        <v>458.15750000000003</v>
      </c>
      <c r="L70" s="67">
        <f>'6 - B1'!L70</f>
        <v>468.88</v>
      </c>
      <c r="M70" s="67">
        <f>'6 - B1'!M70</f>
        <v>452.58300000000003</v>
      </c>
      <c r="N70" s="67">
        <f>'6 - B1'!N70</f>
        <v>437.6087</v>
      </c>
      <c r="O70" s="67">
        <f>'6 - B1'!O70</f>
        <v>457.4153</v>
      </c>
      <c r="P70" s="67">
        <f>'6 - B1'!P70</f>
        <v>450.80520000000001</v>
      </c>
    </row>
    <row r="71" spans="1:16" x14ac:dyDescent="0.35">
      <c r="A71" s="67">
        <f>'6 - B1'!A71</f>
        <v>22</v>
      </c>
      <c r="B71" s="67">
        <f>'6 - B1'!B71</f>
        <v>357.71230000000003</v>
      </c>
      <c r="C71" s="67">
        <f>'6 - B1'!C71</f>
        <v>349.59269999999998</v>
      </c>
      <c r="D71" s="67">
        <f>'6 - B1'!D71</f>
        <v>348.33339999999998</v>
      </c>
      <c r="E71" s="67">
        <f>'6 - B1'!E71</f>
        <v>346.76990000000001</v>
      </c>
      <c r="F71" s="67">
        <f>'6 - B1'!F71</f>
        <v>336.05450000000002</v>
      </c>
      <c r="G71" s="67">
        <f>'6 - B1'!G71</f>
        <v>362.79509999999999</v>
      </c>
      <c r="H71" s="67">
        <f>'6 - B1'!H71</f>
        <v>345.93900000000002</v>
      </c>
      <c r="I71" s="67">
        <f>'6 - B1'!I71</f>
        <v>372.58949999999999</v>
      </c>
      <c r="J71" s="67">
        <f>'6 - B1'!J71</f>
        <v>350.68560000000002</v>
      </c>
      <c r="K71" s="67">
        <f>'6 - B1'!K71</f>
        <v>346.46460000000002</v>
      </c>
      <c r="L71" s="67">
        <f>'6 - B1'!L71</f>
        <v>359.06659999999999</v>
      </c>
      <c r="M71" s="67">
        <f>'6 - B1'!M71</f>
        <v>344.52710000000002</v>
      </c>
      <c r="N71" s="67">
        <f>'6 - B1'!N71</f>
        <v>340.93470000000002</v>
      </c>
      <c r="O71" s="67">
        <f>'6 - B1'!O71</f>
        <v>353.89699999999999</v>
      </c>
      <c r="P71" s="67">
        <f>'6 - B1'!P71</f>
        <v>344.82780000000002</v>
      </c>
    </row>
    <row r="72" spans="1:16" x14ac:dyDescent="0.35">
      <c r="A72" s="67">
        <f>'6 - B1'!A72</f>
        <v>23</v>
      </c>
      <c r="B72" s="67">
        <f>'6 - B1'!B72</f>
        <v>274.61779999999999</v>
      </c>
      <c r="C72" s="67">
        <f>'6 - B1'!C72</f>
        <v>270.11829999999998</v>
      </c>
      <c r="D72" s="67">
        <f>'6 - B1'!D72</f>
        <v>267.84410000000003</v>
      </c>
      <c r="E72" s="67">
        <f>'6 - B1'!E72</f>
        <v>262.8227</v>
      </c>
      <c r="F72" s="67">
        <f>'6 - B1'!F72</f>
        <v>255.92750000000001</v>
      </c>
      <c r="G72" s="67">
        <f>'6 - B1'!G72</f>
        <v>280.22949999999997</v>
      </c>
      <c r="H72" s="67">
        <f>'6 - B1'!H72</f>
        <v>264.97149999999999</v>
      </c>
      <c r="I72" s="67">
        <f>'6 - B1'!I72</f>
        <v>283.80939999999998</v>
      </c>
      <c r="J72" s="67">
        <f>'6 - B1'!J72</f>
        <v>267.01260000000002</v>
      </c>
      <c r="K72" s="67">
        <f>'6 - B1'!K72</f>
        <v>267.86360000000002</v>
      </c>
      <c r="L72" s="67">
        <f>'6 - B1'!L72</f>
        <v>272.6293</v>
      </c>
      <c r="M72" s="67">
        <f>'6 - B1'!M72</f>
        <v>264.23219999999998</v>
      </c>
      <c r="N72" s="67">
        <f>'6 - B1'!N72</f>
        <v>264.04520000000002</v>
      </c>
      <c r="O72" s="67">
        <f>'6 - B1'!O72</f>
        <v>265.23050000000001</v>
      </c>
      <c r="P72" s="67">
        <f>'6 - B1'!P72</f>
        <v>264.89769999999999</v>
      </c>
    </row>
    <row r="73" spans="1:16" x14ac:dyDescent="0.35">
      <c r="A73" s="67">
        <f>'6 - B1'!A73</f>
        <v>24</v>
      </c>
      <c r="B73" s="67">
        <f>'6 - B1'!B73</f>
        <v>211.64750000000001</v>
      </c>
      <c r="C73" s="67">
        <f>'6 - B1'!C73</f>
        <v>207.61199999999999</v>
      </c>
      <c r="D73" s="67">
        <f>'6 - B1'!D73</f>
        <v>205.53229999999999</v>
      </c>
      <c r="E73" s="67">
        <f>'6 - B1'!E73</f>
        <v>198.88740000000001</v>
      </c>
      <c r="F73" s="67">
        <f>'6 - B1'!F73</f>
        <v>194.3612</v>
      </c>
      <c r="G73" s="67">
        <f>'6 - B1'!G73</f>
        <v>217.2413</v>
      </c>
      <c r="H73" s="67">
        <f>'6 - B1'!H73</f>
        <v>203.19489999999999</v>
      </c>
      <c r="I73" s="67">
        <f>'6 - B1'!I73</f>
        <v>219.83580000000001</v>
      </c>
      <c r="J73" s="67">
        <f>'6 - B1'!J73</f>
        <v>198.71530000000001</v>
      </c>
      <c r="K73" s="67">
        <f>'6 - B1'!K73</f>
        <v>201.85470000000001</v>
      </c>
      <c r="L73" s="67">
        <f>'6 - B1'!L73</f>
        <v>214.11109999999999</v>
      </c>
      <c r="M73" s="67">
        <f>'6 - B1'!M73</f>
        <v>200.59010000000001</v>
      </c>
      <c r="N73" s="67">
        <f>'6 - B1'!N73</f>
        <v>199.18899999999999</v>
      </c>
      <c r="O73" s="67">
        <f>'6 - B1'!O73</f>
        <v>206.4941</v>
      </c>
      <c r="P73" s="67">
        <f>'6 - B1'!P73</f>
        <v>198.9119</v>
      </c>
    </row>
    <row r="74" spans="1:16" x14ac:dyDescent="0.35">
      <c r="A74" s="67">
        <f>'6 - B1'!A74</f>
        <v>25</v>
      </c>
      <c r="B74" s="67">
        <f>'6 - B1'!B74</f>
        <v>159.2784</v>
      </c>
      <c r="C74" s="67">
        <f>'6 - B1'!C74</f>
        <v>159.6335</v>
      </c>
      <c r="D74" s="67">
        <f>'6 - B1'!D74</f>
        <v>156.83840000000001</v>
      </c>
      <c r="E74" s="67">
        <f>'6 - B1'!E74</f>
        <v>146.43279999999999</v>
      </c>
      <c r="F74" s="67">
        <f>'6 - B1'!F74</f>
        <v>149.46510000000001</v>
      </c>
      <c r="G74" s="67">
        <f>'6 - B1'!G74</f>
        <v>169.0615</v>
      </c>
      <c r="H74" s="67">
        <f>'6 - B1'!H74</f>
        <v>156.1087</v>
      </c>
      <c r="I74" s="67">
        <f>'6 - B1'!I74</f>
        <v>171.55</v>
      </c>
      <c r="J74" s="67">
        <f>'6 - B1'!J74</f>
        <v>151.04669999999999</v>
      </c>
      <c r="K74" s="67">
        <f>'6 - B1'!K74</f>
        <v>148.6498</v>
      </c>
      <c r="L74" s="67">
        <f>'6 - B1'!L74</f>
        <v>163.14609999999999</v>
      </c>
      <c r="M74" s="67">
        <f>'6 - B1'!M74</f>
        <v>155.73759999999999</v>
      </c>
      <c r="N74" s="67">
        <f>'6 - B1'!N74</f>
        <v>150.9068</v>
      </c>
      <c r="O74" s="67">
        <f>'6 - B1'!O74</f>
        <v>155.05330000000001</v>
      </c>
      <c r="P74" s="67">
        <f>'6 - B1'!P74</f>
        <v>152.0651</v>
      </c>
    </row>
    <row r="75" spans="1:16" x14ac:dyDescent="0.35">
      <c r="A75" s="67">
        <f>'6 - B1'!A75</f>
        <v>26</v>
      </c>
      <c r="B75" s="67">
        <f>'6 - B1'!B75</f>
        <v>119.63509999999999</v>
      </c>
      <c r="C75" s="67">
        <f>'6 - B1'!C75</f>
        <v>118.8443</v>
      </c>
      <c r="D75" s="67">
        <f>'6 - B1'!D75</f>
        <v>117.67570000000001</v>
      </c>
      <c r="E75" s="67">
        <f>'6 - B1'!E75</f>
        <v>108.9639</v>
      </c>
      <c r="F75" s="67">
        <f>'6 - B1'!F75</f>
        <v>109.0668</v>
      </c>
      <c r="G75" s="67">
        <f>'6 - B1'!G75</f>
        <v>129.876</v>
      </c>
      <c r="H75" s="67">
        <f>'6 - B1'!H75</f>
        <v>118.97629999999999</v>
      </c>
      <c r="I75" s="67">
        <f>'6 - B1'!I75</f>
        <v>129.23099999999999</v>
      </c>
      <c r="J75" s="67">
        <f>'6 - B1'!J75</f>
        <v>113.07599999999999</v>
      </c>
      <c r="K75" s="67">
        <f>'6 - B1'!K75</f>
        <v>112.3386</v>
      </c>
      <c r="L75" s="67">
        <f>'6 - B1'!L75</f>
        <v>121.5487</v>
      </c>
      <c r="M75" s="67">
        <f>'6 - B1'!M75</f>
        <v>114.42270000000001</v>
      </c>
      <c r="N75" s="67">
        <f>'6 - B1'!N75</f>
        <v>114.32850000000001</v>
      </c>
      <c r="O75" s="67">
        <f>'6 - B1'!O75</f>
        <v>119.6181</v>
      </c>
      <c r="P75" s="67">
        <f>'6 - B1'!P75</f>
        <v>112.68729999999999</v>
      </c>
    </row>
    <row r="76" spans="1:16" x14ac:dyDescent="0.35">
      <c r="A76" s="67">
        <f>'6 - B1'!A76</f>
        <v>27</v>
      </c>
      <c r="B76" s="67">
        <f>'6 - B1'!B76</f>
        <v>90.230900000000005</v>
      </c>
      <c r="C76" s="67">
        <f>'6 - B1'!C76</f>
        <v>87.141800000000003</v>
      </c>
      <c r="D76" s="67">
        <f>'6 - B1'!D76</f>
        <v>87.472700000000003</v>
      </c>
      <c r="E76" s="67">
        <f>'6 - B1'!E76</f>
        <v>80.225899999999996</v>
      </c>
      <c r="F76" s="67">
        <f>'6 - B1'!F76</f>
        <v>80.139399999999995</v>
      </c>
      <c r="G76" s="67">
        <f>'6 - B1'!G76</f>
        <v>99.348799999999997</v>
      </c>
      <c r="H76" s="67">
        <f>'6 - B1'!H76</f>
        <v>92.464100000000002</v>
      </c>
      <c r="I76" s="67">
        <f>'6 - B1'!I76</f>
        <v>98.193600000000004</v>
      </c>
      <c r="J76" s="67">
        <f>'6 - B1'!J76</f>
        <v>80.616500000000002</v>
      </c>
      <c r="K76" s="67">
        <f>'6 - B1'!K76</f>
        <v>84.341700000000003</v>
      </c>
      <c r="L76" s="67">
        <f>'6 - B1'!L76</f>
        <v>94.090699999999998</v>
      </c>
      <c r="M76" s="67">
        <f>'6 - B1'!M76</f>
        <v>84.797300000000007</v>
      </c>
      <c r="N76" s="67">
        <f>'6 - B1'!N76</f>
        <v>84.003200000000007</v>
      </c>
      <c r="O76" s="67">
        <f>'6 - B1'!O76</f>
        <v>89.717399999999998</v>
      </c>
      <c r="P76" s="67">
        <f>'6 - B1'!P76</f>
        <v>82.517700000000005</v>
      </c>
    </row>
    <row r="77" spans="1:16" x14ac:dyDescent="0.35">
      <c r="A77" s="67">
        <f>'6 - B1'!A77</f>
        <v>28</v>
      </c>
      <c r="B77" s="67">
        <f>'6 - B1'!B77</f>
        <v>69.898799999999994</v>
      </c>
      <c r="C77" s="67">
        <f>'6 - B1'!C77</f>
        <v>64.595699999999994</v>
      </c>
      <c r="D77" s="67">
        <f>'6 - B1'!D77</f>
        <v>61.956499999999998</v>
      </c>
      <c r="E77" s="67">
        <f>'6 - B1'!E77</f>
        <v>56.996200000000002</v>
      </c>
      <c r="F77" s="67">
        <f>'6 - B1'!F77</f>
        <v>58.446100000000001</v>
      </c>
      <c r="G77" s="67">
        <f>'6 - B1'!G77</f>
        <v>73.267899999999997</v>
      </c>
      <c r="H77" s="67">
        <f>'6 - B1'!H77</f>
        <v>67.810100000000006</v>
      </c>
      <c r="I77" s="67">
        <f>'6 - B1'!I77</f>
        <v>73.808999999999997</v>
      </c>
      <c r="J77" s="67">
        <f>'6 - B1'!J77</f>
        <v>59.745699999999999</v>
      </c>
      <c r="K77" s="67">
        <f>'6 - B1'!K77</f>
        <v>64.014600000000002</v>
      </c>
      <c r="L77" s="67">
        <f>'6 - B1'!L77</f>
        <v>70.938100000000006</v>
      </c>
      <c r="M77" s="67">
        <f>'6 - B1'!M77</f>
        <v>65.111599999999996</v>
      </c>
      <c r="N77" s="67">
        <f>'6 - B1'!N77</f>
        <v>62.3354</v>
      </c>
      <c r="O77" s="67">
        <f>'6 - B1'!O77</f>
        <v>65.441999999999993</v>
      </c>
      <c r="P77" s="67">
        <f>'6 - B1'!P77</f>
        <v>56.5075</v>
      </c>
    </row>
    <row r="78" spans="1:16" x14ac:dyDescent="0.35">
      <c r="A78" s="67">
        <f>'6 - B1'!A78</f>
        <v>29</v>
      </c>
      <c r="B78" s="67">
        <f>'6 - B1'!B78</f>
        <v>47.988100000000003</v>
      </c>
      <c r="C78" s="67">
        <f>'6 - B1'!C78</f>
        <v>45.480400000000003</v>
      </c>
      <c r="D78" s="67">
        <f>'6 - B1'!D78</f>
        <v>43.917200000000001</v>
      </c>
      <c r="E78" s="67">
        <f>'6 - B1'!E78</f>
        <v>41.549700000000001</v>
      </c>
      <c r="F78" s="67">
        <f>'6 - B1'!F78</f>
        <v>41.618699999999997</v>
      </c>
      <c r="G78" s="67">
        <f>'6 - B1'!G78</f>
        <v>52.9679</v>
      </c>
      <c r="H78" s="67">
        <f>'6 - B1'!H78</f>
        <v>49.719299999999997</v>
      </c>
      <c r="I78" s="67">
        <f>'6 - B1'!I78</f>
        <v>53.574300000000001</v>
      </c>
      <c r="J78" s="67">
        <f>'6 - B1'!J78</f>
        <v>44.149900000000002</v>
      </c>
      <c r="K78" s="67">
        <f>'6 - B1'!K78</f>
        <v>45.077100000000002</v>
      </c>
      <c r="L78" s="67">
        <f>'6 - B1'!L78</f>
        <v>52.362200000000001</v>
      </c>
      <c r="M78" s="67">
        <f>'6 - B1'!M78</f>
        <v>44.977200000000003</v>
      </c>
      <c r="N78" s="67">
        <f>'6 - B1'!N78</f>
        <v>44.3812</v>
      </c>
      <c r="O78" s="67">
        <f>'6 - B1'!O78</f>
        <v>45.905200000000001</v>
      </c>
      <c r="P78" s="67">
        <f>'6 - B1'!P78</f>
        <v>41.194699999999997</v>
      </c>
    </row>
    <row r="79" spans="1:16" x14ac:dyDescent="0.35">
      <c r="A79" s="67">
        <f>'6 - B1'!A79</f>
        <v>30</v>
      </c>
      <c r="B79" s="67">
        <f>'6 - B1'!B79</f>
        <v>33.470700000000001</v>
      </c>
      <c r="C79" s="67">
        <f>'6 - B1'!C79</f>
        <v>31.194099999999999</v>
      </c>
      <c r="D79" s="67">
        <f>'6 - B1'!D79</f>
        <v>31.610700000000001</v>
      </c>
      <c r="E79" s="67">
        <f>'6 - B1'!E79</f>
        <v>29.096800000000002</v>
      </c>
      <c r="F79" s="67">
        <f>'6 - B1'!F79</f>
        <v>28.025400000000001</v>
      </c>
      <c r="G79" s="67">
        <f>'6 - B1'!G79</f>
        <v>39.389800000000001</v>
      </c>
      <c r="H79" s="67">
        <f>'6 - B1'!H79</f>
        <v>37.4651</v>
      </c>
      <c r="I79" s="67">
        <f>'6 - B1'!I79</f>
        <v>41.628700000000002</v>
      </c>
      <c r="J79" s="67">
        <f>'6 - B1'!J79</f>
        <v>33.740600000000001</v>
      </c>
      <c r="K79" s="67">
        <f>'6 - B1'!K79</f>
        <v>31.168099999999999</v>
      </c>
      <c r="L79" s="67">
        <f>'6 - B1'!L79</f>
        <v>37.4208</v>
      </c>
      <c r="M79" s="67">
        <f>'6 - B1'!M79</f>
        <v>32.383600000000001</v>
      </c>
      <c r="N79" s="67">
        <f>'6 - B1'!N79</f>
        <v>31.356300000000001</v>
      </c>
      <c r="O79" s="67">
        <f>'6 - B1'!O79</f>
        <v>31.360199999999999</v>
      </c>
      <c r="P79" s="67">
        <f>'6 - B1'!P79</f>
        <v>30.5367</v>
      </c>
    </row>
    <row r="80" spans="1:16" x14ac:dyDescent="0.35">
      <c r="A80" s="67">
        <f>'6 - B1'!A80</f>
        <v>38</v>
      </c>
      <c r="B80" s="67">
        <f>'6 - B1'!B80</f>
        <v>21.6417</v>
      </c>
      <c r="C80" s="67">
        <f>'6 - B1'!C80</f>
        <v>21.5718</v>
      </c>
      <c r="D80" s="67">
        <f>'6 - B1'!D80</f>
        <v>21.958600000000001</v>
      </c>
      <c r="E80" s="67">
        <f>'6 - B1'!E80</f>
        <v>21.074200000000001</v>
      </c>
      <c r="F80" s="67">
        <f>'6 - B1'!F80</f>
        <v>17.605699999999999</v>
      </c>
      <c r="G80" s="67">
        <f>'6 - B1'!G80</f>
        <v>29.441500000000001</v>
      </c>
      <c r="H80" s="67">
        <f>'6 - B1'!H80</f>
        <v>26.237400000000001</v>
      </c>
      <c r="I80" s="67">
        <f>'6 - B1'!I80</f>
        <v>30.648299999999999</v>
      </c>
      <c r="J80" s="67">
        <f>'6 - B1'!J80</f>
        <v>23.690200000000001</v>
      </c>
      <c r="K80" s="67">
        <f>'6 - B1'!K80</f>
        <v>20.379100000000001</v>
      </c>
      <c r="L80" s="67">
        <f>'6 - B1'!L80</f>
        <v>25.171500000000002</v>
      </c>
      <c r="M80" s="67">
        <f>'6 - B1'!M80</f>
        <v>20.749500000000001</v>
      </c>
      <c r="N80" s="67">
        <f>'6 - B1'!N80</f>
        <v>21.949400000000001</v>
      </c>
      <c r="O80" s="67">
        <f>'6 - B1'!O80</f>
        <v>20.735199999999999</v>
      </c>
      <c r="P80" s="67">
        <f>'6 - B1'!P80</f>
        <v>21.812899999999999</v>
      </c>
    </row>
    <row r="81" spans="1:16" x14ac:dyDescent="0.35">
      <c r="A81" s="67">
        <f>'6 - B1'!A81</f>
        <v>50</v>
      </c>
      <c r="B81" s="67">
        <f>'6 - B1'!B81</f>
        <v>15.7272</v>
      </c>
      <c r="C81" s="67">
        <f>'6 - B1'!C81</f>
        <v>14.141500000000001</v>
      </c>
      <c r="D81" s="67">
        <f>'6 - B1'!D81</f>
        <v>15.261900000000001</v>
      </c>
      <c r="E81" s="67">
        <f>'6 - B1'!E81</f>
        <v>13.1714</v>
      </c>
      <c r="F81" s="67">
        <f>'6 - B1'!F81</f>
        <v>11.377800000000001</v>
      </c>
      <c r="G81" s="67">
        <f>'6 - B1'!G81</f>
        <v>23.6191</v>
      </c>
      <c r="H81" s="67">
        <f>'6 - B1'!H81</f>
        <v>19.648099999999999</v>
      </c>
      <c r="I81" s="67">
        <f>'6 - B1'!I81</f>
        <v>23.129799999999999</v>
      </c>
      <c r="J81" s="67">
        <f>'6 - B1'!J81</f>
        <v>17.468499999999999</v>
      </c>
      <c r="K81" s="67">
        <f>'6 - B1'!K81</f>
        <v>13.905799999999999</v>
      </c>
      <c r="L81" s="67">
        <f>'6 - B1'!L81</f>
        <v>16.556699999999999</v>
      </c>
      <c r="M81" s="67">
        <f>'6 - B1'!M81</f>
        <v>13.3132</v>
      </c>
      <c r="N81" s="67">
        <f>'6 - B1'!N81</f>
        <v>14.110300000000001</v>
      </c>
      <c r="O81" s="67">
        <f>'6 - B1'!O81</f>
        <v>14.7424</v>
      </c>
      <c r="P81" s="67">
        <f>'6 - B1'!P81</f>
        <v>13.172700000000001</v>
      </c>
    </row>
    <row r="82" spans="1:16" x14ac:dyDescent="0.35">
      <c r="A82" s="67">
        <f>'6 - B1'!A82</f>
        <v>70</v>
      </c>
      <c r="B82" s="67">
        <f>'6 - B1'!B82</f>
        <v>10.3504</v>
      </c>
      <c r="C82" s="67">
        <f>'6 - B1'!C82</f>
        <v>9.3477999999999994</v>
      </c>
      <c r="D82" s="67">
        <f>'6 - B1'!D82</f>
        <v>8.8411000000000008</v>
      </c>
      <c r="E82" s="67">
        <f>'6 - B1'!E82</f>
        <v>8.2620000000000005</v>
      </c>
      <c r="F82" s="67">
        <f>'6 - B1'!F82</f>
        <v>7.6650999999999998</v>
      </c>
      <c r="G82" s="67">
        <f>'6 - B1'!G82</f>
        <v>18.552199999999999</v>
      </c>
      <c r="H82" s="67">
        <f>'6 - B1'!H82</f>
        <v>14.9757</v>
      </c>
      <c r="I82" s="67">
        <f>'6 - B1'!I82</f>
        <v>16.651499999999999</v>
      </c>
      <c r="J82" s="67">
        <f>'6 - B1'!J82</f>
        <v>12.323700000000001</v>
      </c>
      <c r="K82" s="67">
        <f>'6 - B1'!K82</f>
        <v>8.7509999999999994</v>
      </c>
      <c r="L82" s="67">
        <f>'6 - B1'!L82</f>
        <v>11.8454</v>
      </c>
      <c r="M82" s="67">
        <f>'6 - B1'!M82</f>
        <v>9.2353000000000005</v>
      </c>
      <c r="N82" s="67">
        <f>'6 - B1'!N82</f>
        <v>9.5274999999999999</v>
      </c>
      <c r="O82" s="67">
        <f>'6 - B1'!O82</f>
        <v>9.8283000000000005</v>
      </c>
      <c r="P82" s="67">
        <f>'6 - B1'!P82</f>
        <v>8.8615999999999993</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1" priority="1" operator="greaterThan">
      <formula>1000</formula>
    </cfRule>
  </conditionalFormatting>
  <conditionalFormatting sqref="K9:K40">
    <cfRule type="cellIs" dxfId="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A51F5-BE18-4B18-B11C-2814223A00CE}">
  <sheetPr codeName="Sheet8"/>
  <dimension ref="A1:AN128"/>
  <sheetViews>
    <sheetView zoomScale="70" zoomScaleNormal="70" workbookViewId="0">
      <selection activeCell="D4" sqref="D4"/>
    </sheetView>
  </sheetViews>
  <sheetFormatPr defaultColWidth="11.53125" defaultRowHeight="12.75" x14ac:dyDescent="0.35"/>
  <cols>
    <col min="11" max="11" width="27.6640625" customWidth="1"/>
    <col min="12" max="12" width="15.3984375" customWidth="1"/>
  </cols>
  <sheetData>
    <row r="1" spans="1:16" ht="37.25" customHeight="1" x14ac:dyDescent="0.7">
      <c r="B1" s="70"/>
      <c r="K1" s="121"/>
      <c r="L1" s="121"/>
      <c r="M1" s="121"/>
      <c r="N1" s="121"/>
      <c r="O1" s="121"/>
    </row>
    <row r="2" spans="1:16" ht="52.15" x14ac:dyDescent="0.5">
      <c r="B2" s="71" t="s">
        <v>112</v>
      </c>
      <c r="C2" s="71" t="s">
        <v>113</v>
      </c>
      <c r="D2" s="71" t="s">
        <v>114</v>
      </c>
      <c r="E2" s="71" t="s">
        <v>115</v>
      </c>
      <c r="F2" s="72" t="s">
        <v>116</v>
      </c>
      <c r="G2" s="73" t="s">
        <v>66</v>
      </c>
      <c r="H2" s="74" t="s">
        <v>117</v>
      </c>
      <c r="K2" s="75" t="s">
        <v>118</v>
      </c>
      <c r="L2" s="76" t="s">
        <v>119</v>
      </c>
      <c r="M2" s="76" t="s">
        <v>120</v>
      </c>
      <c r="O2" s="15"/>
      <c r="P2" s="15"/>
    </row>
    <row r="3" spans="1:16" ht="26.25" x14ac:dyDescent="0.45">
      <c r="B3" s="72" t="s">
        <v>121</v>
      </c>
      <c r="C3" s="72" t="s">
        <v>121</v>
      </c>
      <c r="D3" s="72" t="s">
        <v>121</v>
      </c>
      <c r="E3" s="72" t="s">
        <v>121</v>
      </c>
      <c r="F3" s="72"/>
      <c r="G3" s="77" t="s">
        <v>122</v>
      </c>
      <c r="H3" s="77" t="s">
        <v>123</v>
      </c>
      <c r="I3" s="119" t="s">
        <v>62</v>
      </c>
      <c r="K3" s="78" t="s">
        <v>124</v>
      </c>
      <c r="L3" s="76" t="str">
        <f>"/ml"</f>
        <v>/ml</v>
      </c>
      <c r="M3" s="76"/>
      <c r="O3" s="79"/>
      <c r="P3" s="80"/>
    </row>
    <row r="4" spans="1:16" ht="13.15" x14ac:dyDescent="0.4">
      <c r="A4">
        <v>30</v>
      </c>
      <c r="B4" s="34">
        <f>'6 - B1'!$L38</f>
        <v>8.8932800000000007</v>
      </c>
      <c r="C4" s="34">
        <f>'6 - B2'!$L38</f>
        <v>14.250820000000001</v>
      </c>
      <c r="D4" s="34">
        <f>'6 - B3'!$L38</f>
        <v>9.8596200000000014</v>
      </c>
      <c r="E4" s="81">
        <f t="shared" ref="E4:E33" si="0">AVERAGE(B4:D4)</f>
        <v>11.001240000000001</v>
      </c>
      <c r="F4" s="22">
        <f>'Clause 6'!D19</f>
        <v>16000.000000000053</v>
      </c>
      <c r="G4">
        <f>'6 - B1'!$M38+'6 - B2'!$M38+'6 - B3'!$M38</f>
        <v>15</v>
      </c>
      <c r="H4" s="34">
        <f>STDEVP('6 - B1'!$B38:F38,'6 - B2'!B38:F38,'6 - B3'!B38:F38)/SQRT(G4)</f>
        <v>0.81640154166112722</v>
      </c>
      <c r="I4" s="51">
        <f t="shared" ref="I4:I32" si="1">H4/E4</f>
        <v>7.4209956483189815E-2</v>
      </c>
      <c r="K4" s="82">
        <v>4</v>
      </c>
      <c r="L4" s="83">
        <v>10563.4</v>
      </c>
      <c r="M4" s="84">
        <f>CubicSpline(L4,$E$4:$E$33,$F$4:$F$33)</f>
        <v>175.87961619200078</v>
      </c>
    </row>
    <row r="5" spans="1:16" ht="13.15" x14ac:dyDescent="0.4">
      <c r="A5">
        <v>29</v>
      </c>
      <c r="B5" s="34">
        <f>'6 - B1'!$L37</f>
        <v>13.93596</v>
      </c>
      <c r="C5" s="34">
        <f>'6 - B2'!$L37</f>
        <v>19.554259999999999</v>
      </c>
      <c r="D5" s="34">
        <f>'6 - B3'!$L37</f>
        <v>14.379060000000001</v>
      </c>
      <c r="E5" s="85">
        <f t="shared" si="0"/>
        <v>15.956426666666667</v>
      </c>
      <c r="F5" s="22">
        <f>'Clause 6'!D20</f>
        <v>13515.939313205179</v>
      </c>
      <c r="G5">
        <f>'6 - B1'!$M37+'6 - B2'!$M37+'6 - B3'!$M37</f>
        <v>15</v>
      </c>
      <c r="H5" s="34">
        <f>STDEVP('6 - B1'!$B37:F37,'6 - B2'!B37:F37,'6 - B3'!B37:F37)/SQRT(G5)</f>
        <v>0.90140866447856816</v>
      </c>
      <c r="I5" s="51">
        <f t="shared" si="1"/>
        <v>5.6491887770940032E-2</v>
      </c>
      <c r="K5" s="82">
        <v>5</v>
      </c>
      <c r="L5" s="83">
        <v>6899.8</v>
      </c>
      <c r="M5" s="84">
        <f t="shared" ref="M5:M9" si="2">CubicSpline(L5,$E$4:$E$33,$F$4:$F$33)</f>
        <v>284.70214717885551</v>
      </c>
    </row>
    <row r="6" spans="1:16" ht="13.15" x14ac:dyDescent="0.4">
      <c r="A6">
        <v>28</v>
      </c>
      <c r="B6" s="34">
        <f>'6 - B1'!$L36</f>
        <v>20.770400000000002</v>
      </c>
      <c r="C6" s="34">
        <f>'6 - B2'!$L36</f>
        <v>26.0793</v>
      </c>
      <c r="D6" s="34">
        <f>'6 - B3'!$L36</f>
        <v>22.0837</v>
      </c>
      <c r="E6" s="85">
        <f t="shared" si="0"/>
        <v>22.977800000000002</v>
      </c>
      <c r="F6" s="22">
        <f>'Clause 6'!D21</f>
        <v>11417.538469890293</v>
      </c>
      <c r="G6">
        <f>'6 - B1'!$M36+'6 - B2'!$M36+'6 - B3'!$M36</f>
        <v>15</v>
      </c>
      <c r="H6" s="34">
        <f>STDEVP('6 - B1'!$B36:F36,'6 - B2'!B36:F36,'6 - B3'!B36:F36)/SQRT(G6)</f>
        <v>0.87688121247976425</v>
      </c>
      <c r="I6" s="51">
        <f t="shared" si="1"/>
        <v>3.8162104835091443E-2</v>
      </c>
      <c r="K6" s="82">
        <v>6</v>
      </c>
      <c r="L6" s="83">
        <v>4593.5</v>
      </c>
      <c r="M6" s="84">
        <f t="shared" si="2"/>
        <v>428.21111373473639</v>
      </c>
    </row>
    <row r="7" spans="1:16" ht="13.15" x14ac:dyDescent="0.4">
      <c r="A7">
        <v>27</v>
      </c>
      <c r="B7" s="34">
        <f>'6 - B1'!$L35</f>
        <v>30.679539999999996</v>
      </c>
      <c r="C7" s="34">
        <f>'6 - B2'!$L35</f>
        <v>36.678460000000001</v>
      </c>
      <c r="D7" s="34">
        <f>'6 - B3'!$L35</f>
        <v>32.611519999999999</v>
      </c>
      <c r="E7" s="85">
        <f t="shared" si="0"/>
        <v>33.323173333333337</v>
      </c>
      <c r="F7" s="22">
        <f>'Clause 6'!D22</f>
        <v>9644.9223165763869</v>
      </c>
      <c r="G7">
        <f>'6 - B1'!$M35+'6 - B2'!$M35+'6 - B3'!$M35</f>
        <v>15</v>
      </c>
      <c r="H7" s="34">
        <f>STDEVP('6 - B1'!$B35:F35,'6 - B2'!B35:F35,'6 - B3'!B35:F35)/SQRT(G7)</f>
        <v>0.9760132559877126</v>
      </c>
      <c r="I7" s="51">
        <f t="shared" si="1"/>
        <v>2.9289325065911465E-2</v>
      </c>
      <c r="K7" s="82">
        <v>7</v>
      </c>
      <c r="L7" s="83">
        <v>3202.3</v>
      </c>
      <c r="M7" s="84">
        <f t="shared" si="2"/>
        <v>584.27699058925759</v>
      </c>
    </row>
    <row r="8" spans="1:16" ht="13.15" x14ac:dyDescent="0.4">
      <c r="A8">
        <v>26</v>
      </c>
      <c r="B8" s="34">
        <f>'6 - B1'!$L34</f>
        <v>44.110820000000004</v>
      </c>
      <c r="C8" s="34">
        <f>'6 - B2'!$L34</f>
        <v>49.097699999999996</v>
      </c>
      <c r="D8" s="34">
        <f>'6 - B3'!$L34</f>
        <v>45.764100000000006</v>
      </c>
      <c r="E8" s="85">
        <f t="shared" si="0"/>
        <v>46.324206666666669</v>
      </c>
      <c r="F8" s="22">
        <f>'Clause 6'!D23</f>
        <v>8147.5115444640205</v>
      </c>
      <c r="G8">
        <f>'6 - B1'!$M34+'6 - B2'!$M34+'6 - B3'!$M34</f>
        <v>15</v>
      </c>
      <c r="H8" s="34">
        <f>STDEVP('6 - B1'!$B34:F34,'6 - B2'!B34:F34,'6 - B3'!B34:F34)/SQRT(G8)</f>
        <v>1.0268797766033946</v>
      </c>
      <c r="I8" s="51">
        <f t="shared" si="1"/>
        <v>2.2167239344053409E-2</v>
      </c>
      <c r="K8" s="82">
        <v>8</v>
      </c>
      <c r="L8" s="83">
        <v>2184.8000000000002</v>
      </c>
      <c r="M8" s="84">
        <f t="shared" si="2"/>
        <v>777.79598736961555</v>
      </c>
    </row>
    <row r="9" spans="1:16" ht="13.15" x14ac:dyDescent="0.4">
      <c r="A9">
        <v>25</v>
      </c>
      <c r="B9" s="34">
        <f>'6 - B1'!$L33</f>
        <v>62.378660000000004</v>
      </c>
      <c r="C9" s="34">
        <f>'6 - B2'!$L33</f>
        <v>67.729459999999989</v>
      </c>
      <c r="D9" s="34">
        <f>'6 - B3'!$L33</f>
        <v>64.066919999999996</v>
      </c>
      <c r="E9" s="85">
        <f t="shared" si="0"/>
        <v>64.725013333333322</v>
      </c>
      <c r="F9" s="22">
        <f>'Clause 6'!D24</f>
        <v>6882.5794742883709</v>
      </c>
      <c r="G9">
        <f>'6 - B1'!$M33+'6 - B2'!$M33+'6 - B3'!$M33</f>
        <v>15</v>
      </c>
      <c r="H9" s="34">
        <f>STDEVP('6 - B1'!$B33:F33,'6 - B2'!B33:F33,'6 - B3'!B33:F33)/SQRT(G9)</f>
        <v>1.392724334975372</v>
      </c>
      <c r="I9" s="51">
        <f t="shared" si="1"/>
        <v>2.1517559645802656E-2</v>
      </c>
      <c r="K9" s="82">
        <v>9</v>
      </c>
      <c r="L9" s="83">
        <v>1501.7</v>
      </c>
      <c r="M9" s="84">
        <f t="shared" si="2"/>
        <v>999.51139356177805</v>
      </c>
    </row>
    <row r="10" spans="1:16" ht="13.15" x14ac:dyDescent="0.4">
      <c r="A10">
        <v>24</v>
      </c>
      <c r="B10" s="34">
        <f>'6 - B1'!$L32</f>
        <v>85.042140000000018</v>
      </c>
      <c r="C10" s="34">
        <f>'6 - B2'!$L32</f>
        <v>90.992940000000004</v>
      </c>
      <c r="D10" s="34">
        <f>'6 - B3'!$L32</f>
        <v>87.025260000000003</v>
      </c>
      <c r="E10" s="85">
        <f t="shared" si="0"/>
        <v>87.686779999999999</v>
      </c>
      <c r="F10" s="22">
        <f>'Clause 6'!D25</f>
        <v>5814.0329057995577</v>
      </c>
      <c r="G10">
        <f>'6 - B1'!$M32+'6 - B2'!$M32+'6 - B3'!$M32</f>
        <v>15</v>
      </c>
      <c r="H10" s="34">
        <f>STDEVP('6 - B1'!$B32:F32,'6 - B2'!B32:F32,'6 - B3'!B32:F32)/SQRT(G10)</f>
        <v>1.5543645953021732</v>
      </c>
      <c r="I10" s="51">
        <f t="shared" si="1"/>
        <v>1.7726327677925605E-2</v>
      </c>
      <c r="K10" s="82">
        <v>10</v>
      </c>
      <c r="L10" s="83">
        <v>1069.5</v>
      </c>
      <c r="M10" s="84">
        <f t="shared" ref="M10:M30" si="3">CubicSpline(L10,$E$4:$E$33,$F$4:$F$33)</f>
        <v>1238.9604700427481</v>
      </c>
    </row>
    <row r="11" spans="1:16" ht="13.15" x14ac:dyDescent="0.4">
      <c r="A11">
        <v>23</v>
      </c>
      <c r="B11" s="34">
        <f>'6 - B1'!$L31</f>
        <v>114.83716</v>
      </c>
      <c r="C11" s="34">
        <f>'6 - B2'!$L31</f>
        <v>120.69958000000001</v>
      </c>
      <c r="D11" s="34">
        <f>'6 - B3'!$L31</f>
        <v>116.52105999999999</v>
      </c>
      <c r="E11" s="85">
        <f t="shared" si="0"/>
        <v>117.3526</v>
      </c>
      <c r="F11" s="22">
        <f>'Clause 6'!D26</f>
        <v>4911.3822449852833</v>
      </c>
      <c r="G11">
        <f>'6 - B1'!$M31+'6 - B2'!$M31+'6 - B3'!$M31</f>
        <v>15</v>
      </c>
      <c r="H11" s="34">
        <f>STDEVP('6 - B1'!$B31:F31,'6 - B2'!B31:F31,'6 - B3'!B31:F31)/SQRT(G11)</f>
        <v>1.5674412862581701</v>
      </c>
      <c r="I11" s="51">
        <f t="shared" si="1"/>
        <v>1.3356681370997917E-2</v>
      </c>
      <c r="K11" s="82">
        <v>11</v>
      </c>
      <c r="L11" s="83">
        <v>779</v>
      </c>
      <c r="M11" s="84">
        <f t="shared" si="3"/>
        <v>1508.4796616181011</v>
      </c>
    </row>
    <row r="12" spans="1:16" ht="13.15" x14ac:dyDescent="0.4">
      <c r="A12">
        <v>22</v>
      </c>
      <c r="B12" s="34">
        <f>'6 - B1'!$L30</f>
        <v>154.32963999999998</v>
      </c>
      <c r="C12" s="34">
        <f>'6 - B2'!$L30</f>
        <v>159.28334000000001</v>
      </c>
      <c r="D12" s="34">
        <f>'6 - B3'!$L30</f>
        <v>155.38177999999999</v>
      </c>
      <c r="E12" s="85">
        <f t="shared" si="0"/>
        <v>156.33158666666665</v>
      </c>
      <c r="F12" s="22">
        <f>'Clause 6'!D27</f>
        <v>4148.8715229483923</v>
      </c>
      <c r="G12">
        <f>'6 - B1'!$M30+'6 - B2'!$M30+'6 - B3'!$M30</f>
        <v>15</v>
      </c>
      <c r="H12" s="34">
        <f>STDEVP('6 - B1'!$B30:F30,'6 - B2'!B30:F30,'6 - B3'!B30:F30)/SQRT(G12)</f>
        <v>1.8155792640823831</v>
      </c>
      <c r="I12" s="51">
        <f t="shared" si="1"/>
        <v>1.1613643172147914E-2</v>
      </c>
      <c r="K12" s="82">
        <v>12</v>
      </c>
      <c r="L12" s="83">
        <v>583.4</v>
      </c>
      <c r="M12" s="84">
        <f t="shared" si="3"/>
        <v>1810.371065813526</v>
      </c>
    </row>
    <row r="13" spans="1:16" ht="13.15" x14ac:dyDescent="0.4">
      <c r="A13">
        <v>21</v>
      </c>
      <c r="B13" s="34">
        <f>'6 - B1'!$L29</f>
        <v>203.60808000000003</v>
      </c>
      <c r="C13" s="34">
        <f>'6 - B2'!$L29</f>
        <v>208.16840000000002</v>
      </c>
      <c r="D13" s="34">
        <f>'6 - B3'!$L29</f>
        <v>203.85924</v>
      </c>
      <c r="E13" s="85">
        <f t="shared" si="0"/>
        <v>205.21190666666666</v>
      </c>
      <c r="F13" s="22">
        <f>'Clause 6'!D28</f>
        <v>3504.7434826534645</v>
      </c>
      <c r="G13">
        <f>'6 - B1'!$M29+'6 - B2'!$M29+'6 - B3'!$M29</f>
        <v>15</v>
      </c>
      <c r="H13" s="34">
        <f>STDEVP('6 - B1'!$B29:F29,'6 - B2'!B29:F29,'6 - B3'!B29:F29)/SQRT(G13)</f>
        <v>1.8847847379231788</v>
      </c>
      <c r="I13" s="51">
        <f t="shared" si="1"/>
        <v>9.1845778762959639E-3</v>
      </c>
      <c r="K13" s="82">
        <v>13</v>
      </c>
      <c r="L13" s="83">
        <v>453.2</v>
      </c>
      <c r="M13" s="84">
        <f t="shared" si="3"/>
        <v>2124.2249290281388</v>
      </c>
    </row>
    <row r="14" spans="1:16" ht="13.15" x14ac:dyDescent="0.4">
      <c r="A14">
        <v>20</v>
      </c>
      <c r="B14" s="34">
        <f>'6 - B1'!$L28</f>
        <v>266.26607999999999</v>
      </c>
      <c r="C14" s="34">
        <f>'6 - B2'!$L28</f>
        <v>272.77732000000003</v>
      </c>
      <c r="D14" s="34">
        <f>'6 - B3'!$L28</f>
        <v>266.20698000000004</v>
      </c>
      <c r="E14" s="85">
        <f t="shared" si="0"/>
        <v>268.41679333333337</v>
      </c>
      <c r="F14" s="22">
        <f>'Clause 6'!D29</f>
        <v>2960.618763743465</v>
      </c>
      <c r="G14">
        <f>'6 - B1'!$M28+'6 - B2'!$M28+'6 - B3'!$M28</f>
        <v>15</v>
      </c>
      <c r="H14" s="34">
        <f>STDEVP('6 - B1'!$B28:F28,'6 - B2'!B28:F28,'6 - B3'!B28:F28)/SQRT(G14)</f>
        <v>1.7593881086955352</v>
      </c>
      <c r="I14" s="51">
        <f t="shared" si="1"/>
        <v>6.5546871596466735E-3</v>
      </c>
      <c r="K14" s="82">
        <v>14</v>
      </c>
      <c r="L14" s="83">
        <v>364.1</v>
      </c>
      <c r="M14" s="84">
        <f t="shared" si="3"/>
        <v>2443.0207668471403</v>
      </c>
    </row>
    <row r="15" spans="1:16" ht="13.15" x14ac:dyDescent="0.4">
      <c r="A15">
        <v>19</v>
      </c>
      <c r="B15" s="34">
        <f>'6 - B1'!$L27</f>
        <v>347.69256000000001</v>
      </c>
      <c r="C15" s="34">
        <f>'6 - B2'!$L27</f>
        <v>355.69475999999997</v>
      </c>
      <c r="D15" s="34">
        <f>'6 - B3'!$L27</f>
        <v>348.65064000000001</v>
      </c>
      <c r="E15" s="85">
        <f t="shared" si="0"/>
        <v>350.67932000000002</v>
      </c>
      <c r="F15" s="22">
        <f>'Clause 6'!D30</f>
        <v>2500.9714712683176</v>
      </c>
      <c r="G15">
        <f>'6 - B1'!$M27+'6 - B2'!$M27+'6 - B3'!$M27</f>
        <v>15</v>
      </c>
      <c r="H15" s="34">
        <f>STDEVP('6 - B1'!$B27:F27,'6 - B2'!B27:F27,'6 - B3'!B27:F27)/SQRT(G15)</f>
        <v>2.309541669917309</v>
      </c>
      <c r="I15" s="51">
        <f t="shared" si="1"/>
        <v>6.585907802938904E-3</v>
      </c>
      <c r="K15" s="82">
        <v>15</v>
      </c>
      <c r="L15" s="83">
        <v>296.89999999999998</v>
      </c>
      <c r="M15" s="84">
        <f t="shared" si="3"/>
        <v>2779.411732884455</v>
      </c>
    </row>
    <row r="16" spans="1:16" ht="13.15" x14ac:dyDescent="0.4">
      <c r="A16">
        <v>18</v>
      </c>
      <c r="B16" s="34">
        <f>'6 - B1'!$L26</f>
        <v>452.41174000000001</v>
      </c>
      <c r="C16" s="34">
        <f>'6 - B2'!$L26</f>
        <v>465.72620000000006</v>
      </c>
      <c r="D16" s="34">
        <f>'6 - B3'!$L26</f>
        <v>453.45844</v>
      </c>
      <c r="E16" s="85">
        <f t="shared" si="0"/>
        <v>457.1987933333333</v>
      </c>
      <c r="F16" s="22">
        <f>'Clause 6'!D31</f>
        <v>2112.6861643574962</v>
      </c>
      <c r="G16">
        <f>'6 - B1'!$M26+'6 - B2'!$M26+'6 - B3'!$M26</f>
        <v>15</v>
      </c>
      <c r="H16" s="34">
        <f>STDEVP('6 - B1'!$B26:F26,'6 - B2'!B26:F26,'6 - B3'!B26:F26)/SQRT(G16)</f>
        <v>2.8978169912074092</v>
      </c>
      <c r="I16" s="51">
        <f t="shared" si="1"/>
        <v>6.3381991235805304E-3</v>
      </c>
      <c r="K16" s="82">
        <v>16</v>
      </c>
      <c r="L16" s="83">
        <v>246.4</v>
      </c>
      <c r="M16" s="84">
        <f t="shared" si="3"/>
        <v>3124.006307061853</v>
      </c>
    </row>
    <row r="17" spans="1:13" ht="13.15" x14ac:dyDescent="0.4">
      <c r="A17">
        <v>17</v>
      </c>
      <c r="B17" s="34">
        <f>'6 - B1'!$L25</f>
        <v>592.84565999999995</v>
      </c>
      <c r="C17" s="34">
        <f>'6 - B2'!$L25</f>
        <v>604.83688000000006</v>
      </c>
      <c r="D17" s="34">
        <f>'6 - B3'!$L25</f>
        <v>593.27639999999997</v>
      </c>
      <c r="E17" s="85">
        <f t="shared" si="0"/>
        <v>596.98631333333333</v>
      </c>
      <c r="F17" s="22">
        <f>'Clause 6'!D32</f>
        <v>1784.683624081503</v>
      </c>
      <c r="G17">
        <f>'6 - B1'!$M25+'6 - B2'!$M25+'6 - B3'!$M25</f>
        <v>15</v>
      </c>
      <c r="H17" s="34">
        <f>STDEVP('6 - B1'!$B25:F25,'6 - B2'!B25:F25,'6 - B3'!B25:F25)/SQRT(G17)</f>
        <v>3.0076446651065183</v>
      </c>
      <c r="I17" s="51">
        <f t="shared" si="1"/>
        <v>5.0380462632602591E-3</v>
      </c>
      <c r="K17" s="82">
        <v>17</v>
      </c>
      <c r="L17" s="83">
        <v>208.5</v>
      </c>
      <c r="M17" s="84">
        <f t="shared" si="3"/>
        <v>3470.8049694302617</v>
      </c>
    </row>
    <row r="18" spans="1:13" ht="13.15" x14ac:dyDescent="0.4">
      <c r="A18">
        <v>16</v>
      </c>
      <c r="B18" s="34">
        <f>'6 - B1'!$L24</f>
        <v>774.52895999999998</v>
      </c>
      <c r="C18" s="34">
        <f>'6 - B2'!$L24</f>
        <v>788.18146000000002</v>
      </c>
      <c r="D18" s="34">
        <f>'6 - B3'!$L24</f>
        <v>776.51574000000005</v>
      </c>
      <c r="E18" s="85">
        <f t="shared" si="0"/>
        <v>779.74205333333339</v>
      </c>
      <c r="F18" s="22">
        <f>'Clause 6'!D33</f>
        <v>1507.6047222722875</v>
      </c>
      <c r="G18">
        <f>'6 - B1'!$M24+'6 - B2'!$M24+'6 - B3'!$M24</f>
        <v>15</v>
      </c>
      <c r="H18" s="34">
        <f>STDEVP('6 - B1'!$B24:F24,'6 - B2'!B24:F24,'6 - B3'!B24:F24)/SQRT(G18)</f>
        <v>3.4187192340584929</v>
      </c>
      <c r="I18" s="51">
        <f t="shared" si="1"/>
        <v>4.3844233095339004E-3</v>
      </c>
      <c r="K18" s="82">
        <v>18</v>
      </c>
      <c r="L18" s="83">
        <v>178.7</v>
      </c>
      <c r="M18" s="84">
        <f t="shared" si="3"/>
        <v>3821.8563152622637</v>
      </c>
    </row>
    <row r="19" spans="1:13" ht="13.15" x14ac:dyDescent="0.4">
      <c r="A19">
        <v>15</v>
      </c>
      <c r="B19" s="34">
        <f>'6 - B1'!$L23</f>
        <v>1017.9135400000001</v>
      </c>
      <c r="C19" s="34">
        <f>'6 - B2'!$L23</f>
        <v>1029.6876999999999</v>
      </c>
      <c r="D19" s="34">
        <f>'6 - B3'!$L23</f>
        <v>1020.99184</v>
      </c>
      <c r="E19" s="85">
        <f t="shared" si="0"/>
        <v>1022.86436</v>
      </c>
      <c r="F19" s="22">
        <f>'Clause 6'!D34</f>
        <v>1273.5433709083575</v>
      </c>
      <c r="G19">
        <f>'6 - B1'!$M23+'6 - B2'!$M23+'6 - B3'!$M23</f>
        <v>15</v>
      </c>
      <c r="H19" s="34">
        <f>STDEVP('6 - B1'!$B23:F23,'6 - B2'!B23:F23,'6 - B3'!B23:F23)/SQRT(G19)</f>
        <v>3.4561295502184692</v>
      </c>
      <c r="I19" s="51">
        <f t="shared" si="1"/>
        <v>3.3788737640819445E-3</v>
      </c>
      <c r="K19" s="82">
        <v>19</v>
      </c>
      <c r="L19" s="83">
        <v>153.30000000000001</v>
      </c>
      <c r="M19" s="84">
        <f t="shared" si="3"/>
        <v>4197.4154507012681</v>
      </c>
    </row>
    <row r="20" spans="1:13" ht="13.15" x14ac:dyDescent="0.4">
      <c r="A20">
        <v>14</v>
      </c>
      <c r="B20" s="34">
        <f>'6 - B1'!$L22</f>
        <v>1330.1366800000001</v>
      </c>
      <c r="C20" s="34">
        <f>'6 - B2'!$L22</f>
        <v>1342.8093999999999</v>
      </c>
      <c r="D20" s="34">
        <f>'6 - B3'!$L22</f>
        <v>1337.56224</v>
      </c>
      <c r="E20" s="85">
        <f t="shared" si="0"/>
        <v>1336.8361066666666</v>
      </c>
      <c r="F20" s="22">
        <f>'Clause 6'!D35</f>
        <v>1075.8209321207535</v>
      </c>
      <c r="G20">
        <f>'6 - B1'!$M22+'6 - B2'!$M22+'6 - B3'!$M22</f>
        <v>15</v>
      </c>
      <c r="H20" s="34">
        <f>STDEVP('6 - B1'!$B22:F22,'6 - B2'!B22:F22,'6 - B3'!B22:F22)/SQRT(G20)</f>
        <v>3.7880990790922078</v>
      </c>
      <c r="I20" s="51">
        <f t="shared" si="1"/>
        <v>2.833630136260788E-3</v>
      </c>
      <c r="K20" s="82">
        <v>20</v>
      </c>
      <c r="L20" s="83">
        <v>130.4</v>
      </c>
      <c r="M20" s="84">
        <f t="shared" si="3"/>
        <v>4620.511659018679</v>
      </c>
    </row>
    <row r="21" spans="1:13" ht="13.15" x14ac:dyDescent="0.4">
      <c r="A21">
        <v>13</v>
      </c>
      <c r="B21" s="34">
        <f>'6 - B1'!$L21</f>
        <v>1729.86446</v>
      </c>
      <c r="C21" s="34">
        <f>'6 - B2'!$L21</f>
        <v>1747.8917799999999</v>
      </c>
      <c r="D21" s="34">
        <f>'6 - B3'!$L21</f>
        <v>1739.2710200000001</v>
      </c>
      <c r="E21" s="85">
        <f t="shared" si="0"/>
        <v>1739.0090866666667</v>
      </c>
      <c r="F21" s="22">
        <f>'Clause 6'!D36</f>
        <v>908.79565190124276</v>
      </c>
      <c r="G21">
        <f>'6 - B1'!$M21+'6 - B2'!$M21+'6 - B3'!$M21</f>
        <v>15</v>
      </c>
      <c r="H21" s="34">
        <f>STDEVP('6 - B1'!$B21:F21,'6 - B2'!B21:F21,'6 - B3'!B21:F21)/SQRT(G21)</f>
        <v>4.7102736933913736</v>
      </c>
      <c r="I21" s="51">
        <f t="shared" si="1"/>
        <v>2.7085963664629426E-3</v>
      </c>
      <c r="K21" s="82">
        <v>21</v>
      </c>
      <c r="L21" s="83">
        <v>109.4</v>
      </c>
      <c r="M21" s="84">
        <f t="shared" si="3"/>
        <v>5115.2457938669677</v>
      </c>
    </row>
    <row r="22" spans="1:13" ht="13.15" x14ac:dyDescent="0.4">
      <c r="A22">
        <v>12</v>
      </c>
      <c r="B22" s="34">
        <f>'6 - B1'!$L20</f>
        <v>2214.9928199999999</v>
      </c>
      <c r="C22" s="34">
        <f>'6 - B2'!$L20</f>
        <v>2235.2010199999995</v>
      </c>
      <c r="D22" s="34">
        <f>'6 - B3'!$L20</f>
        <v>2227.5608000000002</v>
      </c>
      <c r="E22" s="85">
        <f t="shared" si="0"/>
        <v>2225.9182133333334</v>
      </c>
      <c r="F22" s="22">
        <f>'Clause 6'!D37</f>
        <v>767.70167995011843</v>
      </c>
      <c r="G22">
        <f>'6 - B1'!$M20+'6 - B2'!$M20+'6 - B3'!$M20</f>
        <v>15</v>
      </c>
      <c r="H22" s="34">
        <f>STDEVP('6 - B1'!$B20:F20,'6 - B2'!B20:F20,'6 - B3'!B20:F20)/SQRT(G22)</f>
        <v>4.8969704313391995</v>
      </c>
      <c r="I22" s="51">
        <f t="shared" si="1"/>
        <v>2.1999776999919239E-3</v>
      </c>
      <c r="K22" s="82">
        <v>22</v>
      </c>
      <c r="L22" s="83">
        <v>91.3</v>
      </c>
      <c r="M22" s="84">
        <f t="shared" si="3"/>
        <v>5683.7895727299137</v>
      </c>
    </row>
    <row r="23" spans="1:13" ht="13.15" x14ac:dyDescent="0.4">
      <c r="A23">
        <v>11</v>
      </c>
      <c r="B23" s="34">
        <f>'6 - B1'!$L19</f>
        <v>2790.6265599999997</v>
      </c>
      <c r="C23" s="34">
        <f>'6 - B2'!$L19</f>
        <v>2810.33086</v>
      </c>
      <c r="D23" s="34">
        <f>'6 - B3'!$L19</f>
        <v>2801.5097000000001</v>
      </c>
      <c r="E23" s="85">
        <f t="shared" si="0"/>
        <v>2800.822373333333</v>
      </c>
      <c r="F23" s="22">
        <f>'Clause 6'!D38</f>
        <v>648.51308230321445</v>
      </c>
      <c r="G23">
        <f>'6 - B1'!$M19+'6 - B2'!$M19+'6 - B3'!$M19</f>
        <v>15</v>
      </c>
      <c r="H23" s="34">
        <f>STDEVP('6 - B1'!$B19:F19,'6 - B2'!B19:F19,'6 - B3'!B19:F19)/SQRT(G23)</f>
        <v>6.2665676406393533</v>
      </c>
      <c r="I23" s="51">
        <f t="shared" si="1"/>
        <v>2.2374027358191034E-3</v>
      </c>
      <c r="K23" s="82">
        <v>23</v>
      </c>
      <c r="L23" s="83">
        <v>76.099999999999994</v>
      </c>
      <c r="M23" s="84">
        <f t="shared" si="3"/>
        <v>6299.5724572098343</v>
      </c>
    </row>
    <row r="24" spans="1:13" ht="13.15" x14ac:dyDescent="0.4">
      <c r="A24">
        <v>10</v>
      </c>
      <c r="B24" s="34">
        <f>'6 - B1'!$L18</f>
        <v>3459.8855400000002</v>
      </c>
      <c r="C24" s="34">
        <f>'6 - B2'!$L18</f>
        <v>3473.4402399999999</v>
      </c>
      <c r="D24" s="34">
        <f>'6 - B3'!$L18</f>
        <v>3468.4642800000001</v>
      </c>
      <c r="E24" s="85">
        <f t="shared" si="0"/>
        <v>3467.2633533333333</v>
      </c>
      <c r="F24" s="22">
        <f>'Clause 6'!D39</f>
        <v>547.82896651436579</v>
      </c>
      <c r="G24">
        <f>'6 - B1'!$M18+'6 - B2'!$M18+'6 - B3'!$M18</f>
        <v>15</v>
      </c>
      <c r="H24" s="34">
        <f>STDEVP('6 - B1'!$B18:F18,'6 - B2'!B18:F18,'6 - B3'!B18:F18)/SQRT(G24)</f>
        <v>7.636424827795123</v>
      </c>
      <c r="I24" s="51">
        <f t="shared" si="1"/>
        <v>2.2024357683859434E-3</v>
      </c>
      <c r="K24" s="82">
        <v>24</v>
      </c>
      <c r="L24" s="83">
        <v>63.1</v>
      </c>
      <c r="M24" s="84">
        <f t="shared" si="3"/>
        <v>6974.1310467058765</v>
      </c>
    </row>
    <row r="25" spans="1:13" ht="13.15" x14ac:dyDescent="0.4">
      <c r="A25">
        <v>9</v>
      </c>
      <c r="B25" s="34">
        <f>'6 - B1'!$L17</f>
        <v>4212.2519599999996</v>
      </c>
      <c r="C25" s="34">
        <f>'6 - B2'!$L17</f>
        <v>4225.3403400000007</v>
      </c>
      <c r="D25" s="34">
        <f>'6 - B3'!$L17</f>
        <v>4216.7442199999996</v>
      </c>
      <c r="E25" s="85">
        <f t="shared" si="0"/>
        <v>4218.1121733333339</v>
      </c>
      <c r="F25" s="22">
        <f>'Clause 6'!D40</f>
        <v>462.77644158900353</v>
      </c>
      <c r="G25">
        <f>'6 - B1'!$M17+'6 - B2'!$M17+'6 - B3'!$M17</f>
        <v>15</v>
      </c>
      <c r="H25" s="34">
        <f>STDEVP('6 - B1'!$B17:F17,'6 - B2'!B17:F17,'6 - B3'!B17:F17)/SQRT(G25)</f>
        <v>8.4224298650182909</v>
      </c>
      <c r="I25" s="51">
        <f t="shared" si="1"/>
        <v>1.9967297025110936E-3</v>
      </c>
      <c r="K25" s="82">
        <v>25</v>
      </c>
      <c r="L25" s="83">
        <v>52.1</v>
      </c>
      <c r="M25" s="84">
        <f t="shared" si="3"/>
        <v>7686.8041254964846</v>
      </c>
    </row>
    <row r="26" spans="1:13" ht="13.15" x14ac:dyDescent="0.4">
      <c r="A26">
        <v>8</v>
      </c>
      <c r="B26" s="34">
        <f>'6 - B1'!$L16</f>
        <v>5056.2477399999998</v>
      </c>
      <c r="C26" s="34">
        <f>'6 - B2'!$L16</f>
        <v>5063.0907200000001</v>
      </c>
      <c r="D26" s="34">
        <f>'6 - B3'!$L16</f>
        <v>5056.3575199999996</v>
      </c>
      <c r="E26" s="85">
        <f t="shared" si="0"/>
        <v>5058.5653266666659</v>
      </c>
      <c r="F26" s="22">
        <f>'Clause 6'!D41</f>
        <v>390.92864375612453</v>
      </c>
      <c r="G26">
        <f>'6 - B1'!$M16+'6 - B2'!$M16+'6 - B3'!$M16</f>
        <v>15</v>
      </c>
      <c r="H26" s="34">
        <f>STDEVP('6 - B1'!$B16:F16,'6 - B2'!B16:F16,'6 - B3'!B16:F16)/SQRT(G26)</f>
        <v>8.6210492684435049</v>
      </c>
      <c r="I26" s="51">
        <f t="shared" si="1"/>
        <v>1.7042478868458802E-3</v>
      </c>
      <c r="K26" s="82">
        <v>26</v>
      </c>
      <c r="L26" s="83">
        <v>43</v>
      </c>
      <c r="M26" s="84">
        <f t="shared" si="3"/>
        <v>8462.5473685783872</v>
      </c>
    </row>
    <row r="27" spans="1:13" ht="13.15" x14ac:dyDescent="0.4">
      <c r="A27">
        <v>7</v>
      </c>
      <c r="B27" s="34">
        <f>'6 - B1'!$L15</f>
        <v>6000.18642</v>
      </c>
      <c r="C27" s="34">
        <f>'6 - B2'!$L15</f>
        <v>5991.7485200000001</v>
      </c>
      <c r="D27" s="34">
        <f>'6 - B3'!$L15</f>
        <v>6000.18066</v>
      </c>
      <c r="E27" s="85">
        <f t="shared" si="0"/>
        <v>5997.3718666666655</v>
      </c>
      <c r="F27" s="22">
        <f>'Clause 6'!D42</f>
        <v>330.2354890500855</v>
      </c>
      <c r="G27">
        <f>'6 - B1'!$M15+'6 - B2'!$M15+'6 - B3'!$M15</f>
        <v>15</v>
      </c>
      <c r="H27" s="34">
        <f>STDEVP('6 - B1'!$B15:F15,'6 - B2'!B15:F15,'6 - B3'!B15:F15)/SQRT(G27)</f>
        <v>9.8294944641281621</v>
      </c>
      <c r="I27" s="51">
        <f t="shared" si="1"/>
        <v>1.6389669813139981E-3</v>
      </c>
      <c r="K27" s="82">
        <v>27</v>
      </c>
      <c r="L27" s="83">
        <v>35.700000000000003</v>
      </c>
      <c r="M27" s="84">
        <f t="shared" si="3"/>
        <v>9325.0063374091696</v>
      </c>
    </row>
    <row r="28" spans="1:13" ht="13.15" x14ac:dyDescent="0.4">
      <c r="A28">
        <v>6</v>
      </c>
      <c r="B28" s="34">
        <f>'6 - B1'!$L14</f>
        <v>7034.8591800000013</v>
      </c>
      <c r="C28" s="34">
        <f>'6 - B2'!$L14</f>
        <v>7012.2458999999999</v>
      </c>
      <c r="D28" s="34">
        <f>'6 - B3'!$L14</f>
        <v>7046.1962999999987</v>
      </c>
      <c r="E28" s="85">
        <f t="shared" si="0"/>
        <v>7031.1004600000006</v>
      </c>
      <c r="F28" s="22">
        <f>'Clause 6'!D43</f>
        <v>278.96517681672339</v>
      </c>
      <c r="G28">
        <f>'6 - B1'!$M14+'6 - B2'!$M14+'6 - B3'!$M14</f>
        <v>15</v>
      </c>
      <c r="H28" s="34">
        <f>STDEVP('6 - B1'!$B14:F14,'6 - B2'!B14:F14,'6 - B3'!B14:F14)/SQRT(G28)</f>
        <v>10.08000389367565</v>
      </c>
      <c r="I28" s="51">
        <f t="shared" si="1"/>
        <v>1.4336310441048156E-3</v>
      </c>
      <c r="K28" s="82">
        <v>28</v>
      </c>
      <c r="L28" s="83">
        <v>29.8</v>
      </c>
      <c r="M28" s="84">
        <f t="shared" si="3"/>
        <v>10160.368172154716</v>
      </c>
    </row>
    <row r="29" spans="1:13" ht="13.15" x14ac:dyDescent="0.4">
      <c r="A29">
        <v>5</v>
      </c>
      <c r="B29" s="34">
        <f>'6 - B1'!$L13</f>
        <v>8183.4655199999997</v>
      </c>
      <c r="C29" s="34">
        <f>'6 - B2'!$L13</f>
        <v>8157.5437600000005</v>
      </c>
      <c r="D29" s="34">
        <f>'6 - B3'!$L13</f>
        <v>8203.9627599999985</v>
      </c>
      <c r="E29" s="85">
        <f t="shared" si="0"/>
        <v>8181.6573466666669</v>
      </c>
      <c r="F29" s="22">
        <f>'Clause 6'!D44</f>
        <v>235.6547750220233</v>
      </c>
      <c r="G29">
        <f>'6 - B1'!$M13+'6 - B2'!$M13+'6 - B3'!$M13</f>
        <v>15</v>
      </c>
      <c r="H29" s="34">
        <f>STDEVP('6 - B1'!$B13:F13,'6 - B2'!B13:F13,'6 - B3'!B13:F13)/SQRT(G29)</f>
        <v>10.33792545695211</v>
      </c>
      <c r="I29" s="51">
        <f t="shared" si="1"/>
        <v>1.2635490608958269E-3</v>
      </c>
      <c r="K29" s="82">
        <v>29</v>
      </c>
      <c r="L29" s="83">
        <v>25.2</v>
      </c>
      <c r="M29" s="84">
        <f t="shared" si="3"/>
        <v>10960.525899563238</v>
      </c>
    </row>
    <row r="30" spans="1:13" ht="13.15" x14ac:dyDescent="0.4">
      <c r="A30">
        <v>4</v>
      </c>
      <c r="B30" s="34">
        <f>'6 - B1'!$L12</f>
        <v>9494.1121199999998</v>
      </c>
      <c r="C30" s="34">
        <f>'6 - B2'!$L12</f>
        <v>9459.9203200000011</v>
      </c>
      <c r="D30" s="34">
        <f>'6 - B3'!$L12</f>
        <v>9524.045900000001</v>
      </c>
      <c r="E30" s="85">
        <f t="shared" si="0"/>
        <v>9492.6927800000012</v>
      </c>
      <c r="F30" s="22">
        <f>'Clause 6'!D45</f>
        <v>199.06847737904226</v>
      </c>
      <c r="G30">
        <f>'6 - B1'!$M12+'6 - B2'!$M12+'6 - B3'!$M12</f>
        <v>15</v>
      </c>
      <c r="H30" s="34">
        <f>STDEVP('6 - B1'!$B12:F12,'6 - B2'!B12:F12,'6 - B3'!B12:F12)/SQRT(G30)</f>
        <v>11.571118706800268</v>
      </c>
      <c r="I30" s="51">
        <f t="shared" si="1"/>
        <v>1.2189500887650412E-3</v>
      </c>
      <c r="K30" s="82">
        <v>30</v>
      </c>
      <c r="L30" s="83">
        <v>21.1</v>
      </c>
      <c r="M30" s="84">
        <f t="shared" si="3"/>
        <v>11869.24566729308</v>
      </c>
    </row>
    <row r="31" spans="1:13" x14ac:dyDescent="0.35">
      <c r="A31">
        <v>3</v>
      </c>
      <c r="B31" s="34">
        <f>'6 - B1'!$L11</f>
        <v>10982.34316</v>
      </c>
      <c r="C31" s="34">
        <f>'6 - B2'!$L11</f>
        <v>10933.97306</v>
      </c>
      <c r="D31" s="34">
        <f>'6 - B3'!$L11</f>
        <v>11020.88984</v>
      </c>
      <c r="E31" s="85">
        <f t="shared" si="0"/>
        <v>10979.068686666666</v>
      </c>
      <c r="F31" s="22">
        <f>'Clause 6'!D46</f>
        <v>168.16234121420527</v>
      </c>
      <c r="G31">
        <f>'6 - B1'!$M11+'6 - B2'!$M11+'6 - B3'!$M11</f>
        <v>15</v>
      </c>
      <c r="H31" s="34">
        <f>STDEVP('6 - B1'!$B11:F11,'6 - B2'!B11:F11,'6 - B3'!B11:F11)/SQRT(G31)</f>
        <v>13.143000239004675</v>
      </c>
      <c r="I31" s="51">
        <f t="shared" si="1"/>
        <v>1.1970960938577566E-3</v>
      </c>
    </row>
    <row r="32" spans="1:13" x14ac:dyDescent="0.35">
      <c r="A32">
        <v>2</v>
      </c>
      <c r="B32" s="34">
        <f>'6 - B1'!$L10</f>
        <v>12684.09296</v>
      </c>
      <c r="C32" s="34">
        <f>'6 - B2'!$L10</f>
        <v>12624.651959999999</v>
      </c>
      <c r="D32" s="34">
        <f>'6 - B3'!$L10</f>
        <v>12721.634779999998</v>
      </c>
      <c r="E32" s="85">
        <f t="shared" si="0"/>
        <v>12676.793233333332</v>
      </c>
      <c r="F32" s="22">
        <f>'Clause 6'!D47</f>
        <v>142.05449991360581</v>
      </c>
      <c r="G32">
        <f>'6 - B1'!$M10+'6 - B2'!$M10+'6 - B3'!$M10</f>
        <v>15</v>
      </c>
      <c r="H32" s="34">
        <f>STDEVP('6 - B1'!$B10:F10,'6 - B2'!B10:F10,'6 - B3'!B10:F10)/SQRT(G32)</f>
        <v>15.795835540737103</v>
      </c>
      <c r="I32" s="51">
        <f t="shared" si="1"/>
        <v>1.2460434788194165E-3</v>
      </c>
      <c r="K32" t="s">
        <v>125</v>
      </c>
    </row>
    <row r="33" spans="1:40" x14ac:dyDescent="0.35">
      <c r="A33">
        <v>1</v>
      </c>
      <c r="B33" s="34">
        <f>'6 - B1'!$L9</f>
        <v>14678.73458</v>
      </c>
      <c r="C33" s="34">
        <f>'6 - B2'!$L9</f>
        <v>14610.196679999999</v>
      </c>
      <c r="D33" s="34">
        <f>'6 - B3'!$L9</f>
        <v>14725.055259999999</v>
      </c>
      <c r="E33" s="85">
        <f t="shared" si="0"/>
        <v>14671.32884</v>
      </c>
      <c r="F33" s="22">
        <f>'Clause 6'!D48</f>
        <v>120</v>
      </c>
      <c r="G33">
        <f>'6 - B1'!$M9+'6 - B2'!$M9+'6 - B3'!$M9</f>
        <v>15</v>
      </c>
      <c r="H33" s="34">
        <f>STDEVP('6 - B1'!$B9:F9,'6 - B2'!B9:F9,'6 - B3'!B9:F9)/SQRT(G33)</f>
        <v>17.817361327004868</v>
      </c>
      <c r="I33" s="51">
        <f>H33/E33</f>
        <v>1.2144340517014046E-3</v>
      </c>
    </row>
    <row r="34" spans="1:40" x14ac:dyDescent="0.35">
      <c r="B34" s="34"/>
      <c r="C34" s="34"/>
      <c r="D34" s="34"/>
      <c r="E34" s="34"/>
      <c r="F34" s="34"/>
    </row>
    <row r="35" spans="1:40" x14ac:dyDescent="0.35">
      <c r="B35" s="34"/>
      <c r="C35" s="34"/>
      <c r="D35" s="34"/>
      <c r="E35" s="34"/>
      <c r="F35" s="34"/>
    </row>
    <row r="36" spans="1:40" x14ac:dyDescent="0.35">
      <c r="B36" s="34"/>
      <c r="C36" s="34"/>
      <c r="D36" s="34"/>
      <c r="E36" s="34"/>
      <c r="F36" s="34"/>
    </row>
    <row r="37" spans="1:40" x14ac:dyDescent="0.35">
      <c r="B37" s="34"/>
      <c r="C37" s="34"/>
      <c r="D37" s="34"/>
      <c r="E37" s="34"/>
      <c r="F37" s="34"/>
    </row>
    <row r="38" spans="1:40" x14ac:dyDescent="0.35">
      <c r="B38" s="34"/>
      <c r="C38" s="34"/>
      <c r="D38" s="34"/>
      <c r="E38" s="34"/>
      <c r="F38" s="34"/>
    </row>
    <row r="42" spans="1:40" x14ac:dyDescent="0.35">
      <c r="M42" s="86"/>
      <c r="N42" s="86"/>
      <c r="O42" s="86"/>
      <c r="P42" s="86"/>
      <c r="Q42" s="86"/>
      <c r="R42" s="86"/>
      <c r="S42" s="86"/>
      <c r="T42" s="86"/>
      <c r="U42" s="86"/>
      <c r="V42" s="86"/>
      <c r="W42" s="86"/>
      <c r="X42" s="86"/>
      <c r="Y42" s="86"/>
      <c r="Z42" s="86"/>
      <c r="AA42" s="86"/>
      <c r="AB42" s="86"/>
      <c r="AC42" s="86"/>
      <c r="AD42" s="86"/>
      <c r="AE42" s="86"/>
      <c r="AF42" s="86"/>
      <c r="AG42" s="86"/>
      <c r="AH42" s="86"/>
      <c r="AI42" s="86"/>
      <c r="AJ42" s="86"/>
      <c r="AK42" s="86"/>
      <c r="AL42" s="86"/>
      <c r="AM42" s="86"/>
      <c r="AN42" s="86"/>
    </row>
    <row r="45" spans="1:40" x14ac:dyDescent="0.35">
      <c r="M45" s="86"/>
    </row>
    <row r="46" spans="1:40" x14ac:dyDescent="0.35">
      <c r="M46" s="86"/>
    </row>
    <row r="47" spans="1:40" x14ac:dyDescent="0.35">
      <c r="M47" s="86"/>
    </row>
    <row r="48" spans="1:40" x14ac:dyDescent="0.35">
      <c r="M48" s="86"/>
    </row>
    <row r="49" spans="13:13" x14ac:dyDescent="0.35">
      <c r="M49" s="86"/>
    </row>
    <row r="50" spans="13:13" x14ac:dyDescent="0.35">
      <c r="M50" s="86"/>
    </row>
    <row r="51" spans="13:13" x14ac:dyDescent="0.35">
      <c r="M51" s="86"/>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27513-DD05-4B0F-8D1C-79E5C353CFA9}">
  <sheetPr codeName="Sheet9"/>
  <dimension ref="A1:Q46"/>
  <sheetViews>
    <sheetView zoomScale="85" zoomScaleNormal="85" workbookViewId="0"/>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10" t="s">
        <v>19</v>
      </c>
      <c r="B1" s="10"/>
      <c r="C1" s="24"/>
      <c r="D1" s="87" t="s">
        <v>126</v>
      </c>
    </row>
    <row r="2" spans="1:17" ht="13.15" x14ac:dyDescent="0.4">
      <c r="A2" s="10" t="s">
        <v>25</v>
      </c>
      <c r="B2" s="10"/>
      <c r="C2" s="10"/>
      <c r="D2" s="10" t="s">
        <v>127</v>
      </c>
    </row>
    <row r="3" spans="1:17" ht="13.15" x14ac:dyDescent="0.4">
      <c r="A3" s="10" t="s">
        <v>9</v>
      </c>
      <c r="B3" s="10"/>
      <c r="C3" s="10"/>
      <c r="D3" s="88"/>
    </row>
    <row r="4" spans="1:17" ht="13.15" x14ac:dyDescent="0.4">
      <c r="A4" s="10" t="s">
        <v>30</v>
      </c>
      <c r="B4" s="10"/>
      <c r="C4" s="10"/>
      <c r="D4" s="10" t="s">
        <v>127</v>
      </c>
    </row>
    <row r="5" spans="1:17" ht="13.15" x14ac:dyDescent="0.4">
      <c r="A5" s="10" t="s">
        <v>28</v>
      </c>
      <c r="B5" s="10"/>
      <c r="C5" s="10"/>
      <c r="D5" s="87" t="s">
        <v>126</v>
      </c>
    </row>
    <row r="6" spans="1:17" ht="13.15" x14ac:dyDescent="0.4">
      <c r="A6" s="24" t="s">
        <v>32</v>
      </c>
      <c r="B6" s="10"/>
      <c r="C6" s="10"/>
      <c r="D6" s="89" t="s">
        <v>128</v>
      </c>
    </row>
    <row r="7" spans="1:17" ht="13.15" x14ac:dyDescent="0.4">
      <c r="A7" s="10" t="s">
        <v>17</v>
      </c>
      <c r="B7" s="10"/>
      <c r="C7" s="10"/>
      <c r="D7" s="90" t="s">
        <v>18</v>
      </c>
    </row>
    <row r="10" spans="1:17" x14ac:dyDescent="0.35">
      <c r="A10" s="91" t="s">
        <v>129</v>
      </c>
      <c r="B10" s="91"/>
      <c r="C10" s="91"/>
      <c r="D10" s="91"/>
    </row>
    <row r="11" spans="1:17" ht="13.15" x14ac:dyDescent="0.4">
      <c r="A11" s="91"/>
      <c r="B11" s="91"/>
      <c r="C11" s="91"/>
      <c r="D11" s="91"/>
      <c r="H11" s="40"/>
    </row>
    <row r="12" spans="1:17" ht="13.15" x14ac:dyDescent="0.4">
      <c r="A12" s="92">
        <v>49.4</v>
      </c>
      <c r="B12" s="93" t="s">
        <v>130</v>
      </c>
      <c r="C12" s="93" t="s">
        <v>131</v>
      </c>
      <c r="D12" s="94"/>
      <c r="F12" s="95">
        <v>39</v>
      </c>
      <c r="G12" s="93" t="s">
        <v>130</v>
      </c>
      <c r="H12" s="93" t="s">
        <v>131</v>
      </c>
      <c r="I12" s="56"/>
      <c r="J12" s="57"/>
      <c r="M12" s="92">
        <v>69.7</v>
      </c>
      <c r="N12" s="93" t="s">
        <v>130</v>
      </c>
      <c r="O12" s="93" t="s">
        <v>131</v>
      </c>
      <c r="P12" s="56"/>
      <c r="Q12" s="57"/>
    </row>
    <row r="13" spans="1:17" x14ac:dyDescent="0.35">
      <c r="A13" s="96">
        <f>(4/3)*(3.1415936)*((A12*0.000001/2)^3)</f>
        <v>6.3121832711697054E-14</v>
      </c>
      <c r="B13" s="91" t="s">
        <v>132</v>
      </c>
      <c r="C13" s="91" t="s">
        <v>133</v>
      </c>
      <c r="D13" s="97"/>
      <c r="F13" s="96">
        <f>(4/3)*(3.1415936)*((F12*0.000001/2)^3)</f>
        <v>3.1059365126399994E-14</v>
      </c>
      <c r="G13" s="91" t="s">
        <v>132</v>
      </c>
      <c r="H13" s="91" t="s">
        <v>133</v>
      </c>
      <c r="J13" s="62"/>
      <c r="M13" s="96">
        <f>(4/3)*(3.1415936)*((M12*0.000001/2)^3)</f>
        <v>1.7729524472000214E-13</v>
      </c>
      <c r="N13" s="91" t="s">
        <v>132</v>
      </c>
      <c r="O13" s="91" t="s">
        <v>133</v>
      </c>
      <c r="Q13" s="62"/>
    </row>
    <row r="14" spans="1:17" x14ac:dyDescent="0.35">
      <c r="A14" s="96">
        <f>A13*1.05*1000</f>
        <v>6.6277924347281912E-11</v>
      </c>
      <c r="B14" s="91" t="s">
        <v>134</v>
      </c>
      <c r="C14" s="91" t="s">
        <v>135</v>
      </c>
      <c r="D14" s="97"/>
      <c r="F14" s="96">
        <f>F13*1.05*1000</f>
        <v>3.2612333382719997E-11</v>
      </c>
      <c r="G14" s="91" t="s">
        <v>134</v>
      </c>
      <c r="H14" s="91" t="s">
        <v>135</v>
      </c>
      <c r="J14" s="62"/>
      <c r="M14" s="96">
        <f>M13*1.05*1000</f>
        <v>1.8616000695600225E-10</v>
      </c>
      <c r="N14" s="91" t="s">
        <v>134</v>
      </c>
      <c r="O14" s="91" t="s">
        <v>135</v>
      </c>
      <c r="Q14" s="62"/>
    </row>
    <row r="15" spans="1:17" x14ac:dyDescent="0.35">
      <c r="A15" s="96">
        <f>0.000001/A14</f>
        <v>15087.980045364991</v>
      </c>
      <c r="B15" s="91" t="s">
        <v>46</v>
      </c>
      <c r="C15" s="91" t="s">
        <v>136</v>
      </c>
      <c r="D15" s="97"/>
      <c r="F15" s="96">
        <f>0.000001/F14</f>
        <v>30663.245964787693</v>
      </c>
      <c r="G15" s="91" t="s">
        <v>46</v>
      </c>
      <c r="H15" s="91" t="s">
        <v>136</v>
      </c>
      <c r="J15" s="62"/>
      <c r="M15" s="96">
        <f>0.000001/M14</f>
        <v>5371.7230480999269</v>
      </c>
      <c r="N15" s="91" t="s">
        <v>46</v>
      </c>
      <c r="O15" s="91" t="s">
        <v>136</v>
      </c>
      <c r="Q15" s="62"/>
    </row>
    <row r="16" spans="1:17" ht="13.15" x14ac:dyDescent="0.4">
      <c r="A16" s="98">
        <v>5000</v>
      </c>
      <c r="B16" s="91"/>
      <c r="C16" s="91" t="s">
        <v>137</v>
      </c>
      <c r="D16" s="97"/>
      <c r="F16" s="98">
        <v>3000</v>
      </c>
      <c r="G16" s="91"/>
      <c r="H16" s="91" t="s">
        <v>137</v>
      </c>
      <c r="J16" s="62"/>
      <c r="M16" s="98">
        <v>2000</v>
      </c>
      <c r="N16" s="91"/>
      <c r="O16" s="91" t="s">
        <v>137</v>
      </c>
      <c r="Q16" s="62"/>
    </row>
    <row r="17" spans="1:17" x14ac:dyDescent="0.35">
      <c r="A17" s="99">
        <f>A16/A15*1000</f>
        <v>331.38962173640959</v>
      </c>
      <c r="B17" s="91" t="s">
        <v>138</v>
      </c>
      <c r="C17" s="91" t="s">
        <v>139</v>
      </c>
      <c r="D17" s="97"/>
      <c r="F17" s="99">
        <f>F16/F15*1000</f>
        <v>97.837000148159987</v>
      </c>
      <c r="G17" s="91" t="s">
        <v>138</v>
      </c>
      <c r="H17" s="91" t="s">
        <v>139</v>
      </c>
      <c r="J17" s="62"/>
      <c r="M17" s="99">
        <f>M16/M15*1000</f>
        <v>372.32001391200447</v>
      </c>
      <c r="N17" s="91" t="s">
        <v>138</v>
      </c>
      <c r="O17" s="91" t="s">
        <v>139</v>
      </c>
      <c r="Q17" s="62"/>
    </row>
    <row r="18" spans="1:17" ht="13.15" x14ac:dyDescent="0.4">
      <c r="A18" s="98">
        <v>0.20280000000000001</v>
      </c>
      <c r="B18" s="91" t="s">
        <v>140</v>
      </c>
      <c r="C18" s="91" t="s">
        <v>141</v>
      </c>
      <c r="D18" s="97"/>
      <c r="F18" s="98">
        <v>0.2</v>
      </c>
      <c r="G18" s="91" t="s">
        <v>140</v>
      </c>
      <c r="H18" s="91" t="s">
        <v>141</v>
      </c>
      <c r="J18" s="62"/>
      <c r="M18" s="98">
        <v>0.2</v>
      </c>
      <c r="N18" s="91" t="s">
        <v>140</v>
      </c>
      <c r="O18" s="91" t="s">
        <v>141</v>
      </c>
      <c r="Q18" s="62"/>
    </row>
    <row r="19" spans="1:17" x14ac:dyDescent="0.35">
      <c r="A19" s="99">
        <f>A18*A17</f>
        <v>67.205815288143867</v>
      </c>
      <c r="B19" s="91" t="s">
        <v>142</v>
      </c>
      <c r="C19" s="91" t="s">
        <v>143</v>
      </c>
      <c r="D19" s="97"/>
      <c r="F19" s="99">
        <f>F18*F17</f>
        <v>19.567400029631997</v>
      </c>
      <c r="G19" s="91" t="s">
        <v>142</v>
      </c>
      <c r="H19" s="91" t="s">
        <v>143</v>
      </c>
      <c r="J19" s="62"/>
      <c r="M19" s="99">
        <f>M18*M17</f>
        <v>74.464002782400897</v>
      </c>
      <c r="N19" s="91" t="s">
        <v>142</v>
      </c>
      <c r="O19" s="91" t="s">
        <v>143</v>
      </c>
      <c r="Q19" s="62"/>
    </row>
    <row r="20" spans="1:17" ht="13.15" x14ac:dyDescent="0.4">
      <c r="A20" s="98">
        <v>67.2</v>
      </c>
      <c r="B20" s="91" t="s">
        <v>142</v>
      </c>
      <c r="C20" s="91" t="s">
        <v>144</v>
      </c>
      <c r="D20" s="97"/>
      <c r="F20" s="98">
        <v>20.8</v>
      </c>
      <c r="G20" s="91" t="s">
        <v>142</v>
      </c>
      <c r="H20" s="91" t="s">
        <v>144</v>
      </c>
      <c r="J20" s="62"/>
      <c r="M20" s="98">
        <v>77.569999999999993</v>
      </c>
      <c r="N20" s="91" t="s">
        <v>142</v>
      </c>
      <c r="O20" s="91" t="s">
        <v>144</v>
      </c>
      <c r="Q20" s="62"/>
    </row>
    <row r="21" spans="1:17" ht="13.15" x14ac:dyDescent="0.4">
      <c r="A21" s="100">
        <f>A20/A19*A16</f>
        <v>4999.5673523102923</v>
      </c>
      <c r="B21" s="91" t="s">
        <v>145</v>
      </c>
      <c r="C21" s="91" t="s">
        <v>146</v>
      </c>
      <c r="D21" s="97"/>
      <c r="F21" s="101">
        <f>F20/F19*F16</f>
        <v>3188.9775803379202</v>
      </c>
      <c r="G21" s="91" t="s">
        <v>145</v>
      </c>
      <c r="H21" s="91" t="s">
        <v>146</v>
      </c>
      <c r="J21" s="62"/>
      <c r="M21" s="100">
        <f>M20/M19*M16</f>
        <v>2083.4227842055566</v>
      </c>
      <c r="N21" s="91" t="s">
        <v>145</v>
      </c>
      <c r="O21" s="91" t="s">
        <v>146</v>
      </c>
      <c r="Q21" s="62"/>
    </row>
    <row r="22" spans="1:17" x14ac:dyDescent="0.35">
      <c r="A22" s="61"/>
      <c r="D22" s="62"/>
      <c r="F22" s="102">
        <f>F20*F15</f>
        <v>637795.51606758405</v>
      </c>
      <c r="H22" t="s">
        <v>147</v>
      </c>
      <c r="J22" s="62"/>
      <c r="M22" s="102">
        <f>M20*M15</f>
        <v>416684.55684111128</v>
      </c>
      <c r="O22" t="s">
        <v>147</v>
      </c>
      <c r="Q22" s="62"/>
    </row>
    <row r="23" spans="1:17" x14ac:dyDescent="0.35">
      <c r="A23" s="61"/>
      <c r="D23" s="62"/>
      <c r="F23" s="102">
        <f>F21/F16*F18*1000</f>
        <v>212.59850535586136</v>
      </c>
      <c r="G23" t="s">
        <v>8</v>
      </c>
      <c r="H23" t="s">
        <v>148</v>
      </c>
      <c r="J23" s="62"/>
      <c r="M23" s="102">
        <f>M21/M16*M18*1000</f>
        <v>208.34227842055566</v>
      </c>
      <c r="N23" t="s">
        <v>8</v>
      </c>
      <c r="O23" t="s">
        <v>148</v>
      </c>
      <c r="Q23" s="62"/>
    </row>
    <row r="24" spans="1:17" x14ac:dyDescent="0.35">
      <c r="A24" s="61"/>
      <c r="D24" s="62"/>
      <c r="F24" s="102">
        <f>F23-F18*1000</f>
        <v>12.598505355861363</v>
      </c>
      <c r="G24" t="s">
        <v>8</v>
      </c>
      <c r="H24" t="s">
        <v>149</v>
      </c>
      <c r="J24" s="62"/>
      <c r="M24" s="102">
        <f>M23-M18*1000</f>
        <v>8.3422784205556582</v>
      </c>
      <c r="N24" t="s">
        <v>8</v>
      </c>
      <c r="O24" t="s">
        <v>149</v>
      </c>
      <c r="Q24" s="62"/>
    </row>
    <row r="25" spans="1:17" ht="13.15" x14ac:dyDescent="0.4">
      <c r="A25" s="61"/>
      <c r="D25" s="62"/>
      <c r="F25" s="103">
        <f>F22/(F23)</f>
        <v>3000</v>
      </c>
      <c r="H25" t="s">
        <v>34</v>
      </c>
      <c r="J25" s="62"/>
      <c r="M25" s="61">
        <f>M22/(M23)</f>
        <v>1999.9999999999998</v>
      </c>
      <c r="O25" t="s">
        <v>34</v>
      </c>
      <c r="Q25" s="62"/>
    </row>
    <row r="26" spans="1:17" x14ac:dyDescent="0.35">
      <c r="A26" s="61"/>
      <c r="D26" s="62"/>
      <c r="F26" s="61"/>
      <c r="J26" s="62"/>
      <c r="M26" s="61"/>
      <c r="Q26" s="62"/>
    </row>
    <row r="27" spans="1:17" x14ac:dyDescent="0.35">
      <c r="A27" s="61" t="s">
        <v>150</v>
      </c>
      <c r="D27" s="62"/>
      <c r="F27" s="61" t="s">
        <v>150</v>
      </c>
      <c r="J27" s="62"/>
      <c r="M27" s="61" t="s">
        <v>150</v>
      </c>
      <c r="Q27" s="62"/>
    </row>
    <row r="28" spans="1:17" x14ac:dyDescent="0.35">
      <c r="A28" s="61">
        <v>100</v>
      </c>
      <c r="B28" t="s">
        <v>8</v>
      </c>
      <c r="C28" t="s">
        <v>151</v>
      </c>
      <c r="D28" s="62"/>
      <c r="F28" s="61">
        <v>100</v>
      </c>
      <c r="G28" t="s">
        <v>8</v>
      </c>
      <c r="H28" t="s">
        <v>151</v>
      </c>
      <c r="J28" s="62"/>
      <c r="M28" s="61">
        <v>100</v>
      </c>
      <c r="N28" t="s">
        <v>8</v>
      </c>
      <c r="O28" t="s">
        <v>151</v>
      </c>
      <c r="Q28" s="62"/>
    </row>
    <row r="29" spans="1:17" x14ac:dyDescent="0.35">
      <c r="A29" s="61">
        <v>300</v>
      </c>
      <c r="B29" t="s">
        <v>123</v>
      </c>
      <c r="C29" t="s">
        <v>152</v>
      </c>
      <c r="D29" s="62"/>
      <c r="F29" s="61">
        <v>300</v>
      </c>
      <c r="G29" t="s">
        <v>123</v>
      </c>
      <c r="H29" t="s">
        <v>153</v>
      </c>
      <c r="J29" s="62"/>
      <c r="M29" s="61">
        <v>300</v>
      </c>
      <c r="N29" t="s">
        <v>123</v>
      </c>
      <c r="O29" t="s">
        <v>153</v>
      </c>
      <c r="Q29" s="62"/>
    </row>
    <row r="30" spans="1:17" x14ac:dyDescent="0.35">
      <c r="A30" s="61">
        <f>A28*A29</f>
        <v>30000</v>
      </c>
      <c r="B30" t="s">
        <v>154</v>
      </c>
      <c r="C30" t="s">
        <v>155</v>
      </c>
      <c r="D30" s="62"/>
      <c r="F30" s="61">
        <f>F28*F29</f>
        <v>30000</v>
      </c>
      <c r="G30" t="s">
        <v>154</v>
      </c>
      <c r="H30" t="s">
        <v>155</v>
      </c>
      <c r="J30" s="62"/>
      <c r="M30" s="61">
        <f>M28*M29</f>
        <v>30000</v>
      </c>
      <c r="N30" t="s">
        <v>154</v>
      </c>
      <c r="O30" t="s">
        <v>155</v>
      </c>
      <c r="Q30" s="62"/>
    </row>
    <row r="31" spans="1:17" x14ac:dyDescent="0.35">
      <c r="A31" s="102">
        <f>A30/A21</f>
        <v>6.0005192221557024</v>
      </c>
      <c r="B31" t="s">
        <v>8</v>
      </c>
      <c r="C31" t="s">
        <v>156</v>
      </c>
      <c r="D31" s="62"/>
      <c r="F31" s="102">
        <f>F30/F25</f>
        <v>10</v>
      </c>
      <c r="G31" t="s">
        <v>8</v>
      </c>
      <c r="H31" t="s">
        <v>156</v>
      </c>
      <c r="J31" s="62"/>
      <c r="M31" s="102">
        <f>M30/M25</f>
        <v>15.000000000000002</v>
      </c>
      <c r="N31" t="s">
        <v>8</v>
      </c>
      <c r="O31" t="s">
        <v>156</v>
      </c>
      <c r="Q31" s="62"/>
    </row>
    <row r="32" spans="1:17" x14ac:dyDescent="0.35">
      <c r="A32" s="102">
        <f>A28-A31</f>
        <v>93.999480777844298</v>
      </c>
      <c r="B32" t="s">
        <v>8</v>
      </c>
      <c r="C32" t="s">
        <v>157</v>
      </c>
      <c r="D32" s="62"/>
      <c r="F32" s="102">
        <f>F28-F31</f>
        <v>90</v>
      </c>
      <c r="G32" t="s">
        <v>8</v>
      </c>
      <c r="H32" t="s">
        <v>157</v>
      </c>
      <c r="J32" s="62"/>
      <c r="M32" s="102">
        <f>M28-M31</f>
        <v>85</v>
      </c>
      <c r="N32" t="s">
        <v>8</v>
      </c>
      <c r="O32" t="s">
        <v>157</v>
      </c>
      <c r="Q32" s="62"/>
    </row>
    <row r="33" spans="1:17" x14ac:dyDescent="0.35">
      <c r="A33" s="61"/>
      <c r="D33" s="62"/>
      <c r="F33" s="61"/>
      <c r="J33" s="62"/>
      <c r="M33" s="61"/>
      <c r="Q33" s="62"/>
    </row>
    <row r="34" spans="1:17" x14ac:dyDescent="0.35">
      <c r="A34" s="63"/>
      <c r="B34" s="64"/>
      <c r="C34" s="64"/>
      <c r="D34" s="65"/>
      <c r="F34" s="63"/>
      <c r="G34" s="64"/>
      <c r="H34" s="64"/>
      <c r="I34" s="64"/>
      <c r="J34" s="65"/>
      <c r="M34" s="63"/>
      <c r="N34" s="64"/>
      <c r="O34" s="64"/>
      <c r="P34" s="64"/>
      <c r="Q34" s="65"/>
    </row>
    <row r="37" spans="1:17" ht="13.15" x14ac:dyDescent="0.4">
      <c r="A37" s="40" t="s">
        <v>158</v>
      </c>
    </row>
    <row r="39" spans="1:17" x14ac:dyDescent="0.35">
      <c r="F39" s="44"/>
    </row>
    <row r="40" spans="1:17" ht="13.15" x14ac:dyDescent="0.4">
      <c r="A40" t="s">
        <v>159</v>
      </c>
      <c r="C40" s="40">
        <f>A12</f>
        <v>49.4</v>
      </c>
      <c r="D40" t="s">
        <v>160</v>
      </c>
      <c r="G40" s="40">
        <f>F12</f>
        <v>39</v>
      </c>
      <c r="H40" t="s">
        <v>160</v>
      </c>
      <c r="N40" s="40">
        <v>70</v>
      </c>
    </row>
    <row r="42" spans="1:17" ht="13.15" x14ac:dyDescent="0.4">
      <c r="A42" t="s">
        <v>161</v>
      </c>
      <c r="B42" s="104">
        <f>0.56*C42</f>
        <v>8736</v>
      </c>
      <c r="C42" s="105">
        <v>15600</v>
      </c>
      <c r="D42" s="106">
        <f>1.56*C42</f>
        <v>24336</v>
      </c>
      <c r="F42" s="104">
        <f>0.56*G42</f>
        <v>5600.0000000000009</v>
      </c>
      <c r="G42" s="105">
        <v>10000</v>
      </c>
      <c r="H42" s="106">
        <f>1.56*G42</f>
        <v>15600</v>
      </c>
      <c r="M42" s="104">
        <f>0.56*N42</f>
        <v>14000.000000000002</v>
      </c>
      <c r="N42" s="105">
        <v>25000</v>
      </c>
      <c r="O42" s="106">
        <f>1.56*N42</f>
        <v>39000</v>
      </c>
    </row>
    <row r="43" spans="1:17" x14ac:dyDescent="0.35">
      <c r="A43" t="s">
        <v>162</v>
      </c>
      <c r="B43" s="63">
        <v>41252</v>
      </c>
      <c r="C43" s="64">
        <v>20600</v>
      </c>
      <c r="D43" s="65">
        <v>92</v>
      </c>
      <c r="F43" s="63">
        <v>43502</v>
      </c>
      <c r="G43" s="64"/>
      <c r="H43" s="65">
        <v>134</v>
      </c>
      <c r="M43" s="63">
        <v>20135</v>
      </c>
      <c r="N43" s="64">
        <v>10070</v>
      </c>
      <c r="O43" s="65">
        <v>0</v>
      </c>
    </row>
    <row r="44" spans="1:17" x14ac:dyDescent="0.35">
      <c r="A44" t="s">
        <v>163</v>
      </c>
      <c r="B44" s="107">
        <v>13047</v>
      </c>
      <c r="C44" s="107">
        <v>13354</v>
      </c>
      <c r="D44" s="107">
        <f>D43-L43</f>
        <v>92</v>
      </c>
      <c r="F44" s="107">
        <f>F43-G43</f>
        <v>43502</v>
      </c>
      <c r="G44" s="107">
        <f>G43-H43</f>
        <v>-134</v>
      </c>
      <c r="H44" s="107">
        <f>H43-P43</f>
        <v>134</v>
      </c>
      <c r="M44" s="107">
        <f>M43-N43</f>
        <v>10065</v>
      </c>
      <c r="N44" s="107">
        <f>N43-O43</f>
        <v>10070</v>
      </c>
      <c r="O44" s="107">
        <f>O43-B43</f>
        <v>-41252</v>
      </c>
    </row>
    <row r="46" spans="1:17" ht="13.15" x14ac:dyDescent="0.4">
      <c r="A46" t="s">
        <v>164</v>
      </c>
      <c r="B46" s="108">
        <f>(1-B44/C44)</f>
        <v>2.2989366481952933E-2</v>
      </c>
      <c r="F46" s="108">
        <f>(1-F44/G44)</f>
        <v>325.64179104477614</v>
      </c>
      <c r="M46" s="108">
        <f>(1-M44/N44)</f>
        <v>4.9652432969216065E-4</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A7697-56E9-4518-B6B7-99AA00E08D63}">
  <sheetPr codeName="Sheet10"/>
  <dimension ref="A1:AJ44"/>
  <sheetViews>
    <sheetView zoomScale="70" zoomScaleNormal="70" workbookViewId="0">
      <selection activeCell="G33" sqref="G33"/>
    </sheetView>
  </sheetViews>
  <sheetFormatPr defaultColWidth="11.53125" defaultRowHeight="12.75" x14ac:dyDescent="0.35"/>
  <sheetData>
    <row r="1" spans="1:4" ht="14.25" x14ac:dyDescent="0.45">
      <c r="A1" s="122" t="s">
        <v>165</v>
      </c>
      <c r="B1" s="122"/>
      <c r="C1" s="122" t="s">
        <v>166</v>
      </c>
      <c r="D1" s="122"/>
    </row>
    <row r="2" spans="1:4" ht="92.85" customHeight="1" x14ac:dyDescent="0.45">
      <c r="A2" s="123" t="s">
        <v>167</v>
      </c>
      <c r="B2" s="123"/>
      <c r="C2" s="123" t="s">
        <v>168</v>
      </c>
      <c r="D2" s="123"/>
    </row>
    <row r="3" spans="1:4" ht="57" x14ac:dyDescent="0.45">
      <c r="A3" s="110" t="s">
        <v>169</v>
      </c>
      <c r="B3" s="111" t="s">
        <v>170</v>
      </c>
      <c r="C3" s="110" t="s">
        <v>118</v>
      </c>
      <c r="D3" s="112" t="s">
        <v>120</v>
      </c>
    </row>
    <row r="4" spans="1:4" ht="14.25" x14ac:dyDescent="0.45">
      <c r="A4" s="109" t="s">
        <v>124</v>
      </c>
      <c r="B4" s="112" t="s">
        <v>171</v>
      </c>
      <c r="C4" s="109" t="s">
        <v>124</v>
      </c>
      <c r="D4" s="112" t="s">
        <v>171</v>
      </c>
    </row>
    <row r="5" spans="1:4" ht="13.15" x14ac:dyDescent="0.4">
      <c r="A5">
        <v>4</v>
      </c>
      <c r="B5" s="22">
        <f>'6 - Thresholds'!$M4</f>
        <v>175.87961619200078</v>
      </c>
      <c r="C5" s="40">
        <v>4</v>
      </c>
      <c r="D5" s="113">
        <f t="shared" ref="D5:D30" si="0">CubicSpline(C5,$A$5:$A$34,$B$5:$B$34)</f>
        <v>175.87961619200075</v>
      </c>
    </row>
    <row r="6" spans="1:4" ht="13.15" x14ac:dyDescent="0.4">
      <c r="A6">
        <v>5</v>
      </c>
      <c r="B6" s="22">
        <f>'6 - Thresholds'!$M5</f>
        <v>284.70214717885551</v>
      </c>
      <c r="C6">
        <v>5</v>
      </c>
      <c r="D6" s="113">
        <f t="shared" si="0"/>
        <v>284.70214717885551</v>
      </c>
    </row>
    <row r="7" spans="1:4" ht="13.15" x14ac:dyDescent="0.4">
      <c r="A7">
        <v>6</v>
      </c>
      <c r="B7" s="22">
        <f>'6 - Thresholds'!$M6</f>
        <v>428.21111373473639</v>
      </c>
      <c r="C7" s="40">
        <v>6</v>
      </c>
      <c r="D7" s="113">
        <f t="shared" si="0"/>
        <v>428.21111373473616</v>
      </c>
    </row>
    <row r="8" spans="1:4" ht="13.15" x14ac:dyDescent="0.4">
      <c r="A8">
        <v>7</v>
      </c>
      <c r="B8" s="22">
        <f>'6 - Thresholds'!$M7</f>
        <v>584.27699058925759</v>
      </c>
      <c r="C8">
        <v>7</v>
      </c>
      <c r="D8" s="113">
        <f t="shared" si="0"/>
        <v>584.27699058925737</v>
      </c>
    </row>
    <row r="9" spans="1:4" ht="13.15" x14ac:dyDescent="0.4">
      <c r="A9">
        <v>8</v>
      </c>
      <c r="B9" s="22">
        <f>'6 - Thresholds'!$M8</f>
        <v>777.79598736961555</v>
      </c>
      <c r="C9">
        <v>8</v>
      </c>
      <c r="D9" s="113">
        <f t="shared" si="0"/>
        <v>777.79598736961543</v>
      </c>
    </row>
    <row r="10" spans="1:4" ht="13.15" x14ac:dyDescent="0.4">
      <c r="A10">
        <v>9</v>
      </c>
      <c r="B10" s="22">
        <f>'6 - Thresholds'!$M9</f>
        <v>999.51139356177805</v>
      </c>
      <c r="C10">
        <v>9</v>
      </c>
      <c r="D10" s="113">
        <f t="shared" si="0"/>
        <v>999.51139356177782</v>
      </c>
    </row>
    <row r="11" spans="1:4" ht="13.15" x14ac:dyDescent="0.4">
      <c r="A11">
        <v>10</v>
      </c>
      <c r="B11" s="22">
        <f>'6 - Thresholds'!$M10</f>
        <v>1238.9604700427481</v>
      </c>
      <c r="C11">
        <v>10</v>
      </c>
      <c r="D11" s="113">
        <f t="shared" si="0"/>
        <v>1238.9604700427483</v>
      </c>
    </row>
    <row r="12" spans="1:4" ht="13.15" x14ac:dyDescent="0.4">
      <c r="A12">
        <v>11</v>
      </c>
      <c r="B12" s="22">
        <f>'6 - Thresholds'!$M11</f>
        <v>1508.4796616181011</v>
      </c>
      <c r="C12">
        <v>11</v>
      </c>
      <c r="D12" s="113">
        <f t="shared" si="0"/>
        <v>1508.4796616181011</v>
      </c>
    </row>
    <row r="13" spans="1:4" ht="13.15" x14ac:dyDescent="0.4">
      <c r="A13">
        <v>12</v>
      </c>
      <c r="B13" s="22">
        <f>'6 - Thresholds'!$M12</f>
        <v>1810.371065813526</v>
      </c>
      <c r="C13">
        <v>12</v>
      </c>
      <c r="D13" s="113">
        <f t="shared" si="0"/>
        <v>1810.371065813526</v>
      </c>
    </row>
    <row r="14" spans="1:4" ht="13.15" x14ac:dyDescent="0.4">
      <c r="A14">
        <v>13</v>
      </c>
      <c r="B14" s="22">
        <f>'6 - Thresholds'!$M13</f>
        <v>2124.2249290281388</v>
      </c>
      <c r="C14">
        <v>13</v>
      </c>
      <c r="D14" s="113">
        <f t="shared" si="0"/>
        <v>2124.2249290281388</v>
      </c>
    </row>
    <row r="15" spans="1:4" ht="13.15" x14ac:dyDescent="0.4">
      <c r="A15">
        <v>14</v>
      </c>
      <c r="B15" s="22">
        <f>'6 - Thresholds'!$M14</f>
        <v>2443.0207668471403</v>
      </c>
      <c r="C15" s="40">
        <v>14</v>
      </c>
      <c r="D15" s="113">
        <f t="shared" si="0"/>
        <v>2443.0207668471403</v>
      </c>
    </row>
    <row r="16" spans="1:4" ht="13.15" x14ac:dyDescent="0.4">
      <c r="A16">
        <v>15</v>
      </c>
      <c r="B16" s="22">
        <f>'6 - Thresholds'!$M15</f>
        <v>2779.411732884455</v>
      </c>
      <c r="C16">
        <v>15</v>
      </c>
      <c r="D16" s="113">
        <f t="shared" si="0"/>
        <v>2779.4117328844559</v>
      </c>
    </row>
    <row r="17" spans="1:36" ht="13.15" x14ac:dyDescent="0.4">
      <c r="A17">
        <v>16</v>
      </c>
      <c r="B17" s="22">
        <f>'6 - Thresholds'!$M16</f>
        <v>3124.006307061853</v>
      </c>
      <c r="C17">
        <v>16</v>
      </c>
      <c r="D17" s="113">
        <f t="shared" si="0"/>
        <v>3124.0063070618526</v>
      </c>
    </row>
    <row r="18" spans="1:36" ht="13.15" x14ac:dyDescent="0.4">
      <c r="A18">
        <v>17</v>
      </c>
      <c r="B18" s="22">
        <f>'6 - Thresholds'!$M17</f>
        <v>3470.8049694302617</v>
      </c>
      <c r="C18">
        <v>17</v>
      </c>
      <c r="D18" s="113">
        <f t="shared" si="0"/>
        <v>3470.8049694302613</v>
      </c>
    </row>
    <row r="19" spans="1:36" ht="13.15" x14ac:dyDescent="0.4">
      <c r="A19">
        <v>18</v>
      </c>
      <c r="B19" s="22">
        <f>'6 - Thresholds'!$M18</f>
        <v>3821.8563152622637</v>
      </c>
      <c r="C19">
        <v>18</v>
      </c>
      <c r="D19" s="113">
        <f t="shared" si="0"/>
        <v>3821.8563152622628</v>
      </c>
    </row>
    <row r="20" spans="1:36" ht="13.15" x14ac:dyDescent="0.4">
      <c r="A20">
        <v>19</v>
      </c>
      <c r="B20" s="22">
        <f>'6 - Thresholds'!$M19</f>
        <v>4197.4154507012681</v>
      </c>
      <c r="C20">
        <v>19</v>
      </c>
      <c r="D20" s="113">
        <f t="shared" si="0"/>
        <v>4197.4154507012709</v>
      </c>
    </row>
    <row r="21" spans="1:36" ht="13.15" x14ac:dyDescent="0.4">
      <c r="A21">
        <v>20</v>
      </c>
      <c r="B21" s="22">
        <f>'6 - Thresholds'!$M20</f>
        <v>4620.511659018679</v>
      </c>
      <c r="C21">
        <v>20</v>
      </c>
      <c r="D21" s="113">
        <f t="shared" si="0"/>
        <v>4620.5116590186817</v>
      </c>
      <c r="F21" t="s">
        <v>172</v>
      </c>
      <c r="G21">
        <v>4</v>
      </c>
      <c r="H21">
        <v>5</v>
      </c>
      <c r="I21">
        <v>6</v>
      </c>
      <c r="J21">
        <v>7</v>
      </c>
      <c r="K21">
        <v>8</v>
      </c>
      <c r="L21">
        <v>9</v>
      </c>
      <c r="M21">
        <v>10</v>
      </c>
      <c r="N21">
        <v>11</v>
      </c>
      <c r="O21">
        <v>12</v>
      </c>
      <c r="P21">
        <v>13</v>
      </c>
      <c r="Q21">
        <v>14</v>
      </c>
      <c r="R21">
        <v>15</v>
      </c>
      <c r="S21">
        <v>16</v>
      </c>
      <c r="T21">
        <v>17</v>
      </c>
      <c r="U21">
        <v>18</v>
      </c>
      <c r="V21">
        <v>19</v>
      </c>
      <c r="W21">
        <v>20</v>
      </c>
      <c r="X21">
        <v>21</v>
      </c>
      <c r="Y21">
        <v>22</v>
      </c>
      <c r="Z21">
        <v>23</v>
      </c>
      <c r="AA21">
        <v>24</v>
      </c>
      <c r="AB21">
        <v>25</v>
      </c>
      <c r="AC21">
        <v>26</v>
      </c>
      <c r="AD21">
        <v>27</v>
      </c>
      <c r="AE21">
        <v>28</v>
      </c>
      <c r="AF21">
        <v>29</v>
      </c>
      <c r="AG21">
        <v>30</v>
      </c>
    </row>
    <row r="22" spans="1:36" ht="13.15" x14ac:dyDescent="0.4">
      <c r="A22">
        <v>21</v>
      </c>
      <c r="B22" s="22">
        <f>'6 - Thresholds'!$M21</f>
        <v>5115.2457938669677</v>
      </c>
      <c r="C22" s="40">
        <v>21</v>
      </c>
      <c r="D22" s="113">
        <f t="shared" si="0"/>
        <v>5115.2457938669695</v>
      </c>
      <c r="G22" s="22">
        <f>'6 - Curve'!$D$5</f>
        <v>175.87961619200075</v>
      </c>
      <c r="H22" s="22">
        <f>'6 - Curve'!$D$6</f>
        <v>284.70214717885551</v>
      </c>
      <c r="I22" s="22">
        <f>'6 - Curve'!$D$7</f>
        <v>428.21111373473616</v>
      </c>
      <c r="J22" s="22">
        <f>'6 - Curve'!$D$8</f>
        <v>584.27699058925737</v>
      </c>
      <c r="K22" s="22">
        <f>'6 - Curve'!$D$9</f>
        <v>777.79598736961543</v>
      </c>
      <c r="L22" s="22">
        <f>'6 - Curve'!$D$10</f>
        <v>999.51139356177782</v>
      </c>
      <c r="M22" s="22">
        <f>'6 - Curve'!$D$11</f>
        <v>1238.9604700427483</v>
      </c>
      <c r="N22" s="22">
        <f>'6 - Curve'!$D$12</f>
        <v>1508.4796616181011</v>
      </c>
      <c r="O22" s="22">
        <f>'6 - Curve'!$D$13</f>
        <v>1810.371065813526</v>
      </c>
      <c r="P22" s="22">
        <f>'6 - Curve'!$D$14</f>
        <v>2124.2249290281388</v>
      </c>
      <c r="Q22" s="22">
        <f>'6 - Curve'!$D$15</f>
        <v>2443.0207668471403</v>
      </c>
      <c r="R22" s="22">
        <f>'6 - Curve'!$D$16</f>
        <v>2779.4117328844559</v>
      </c>
      <c r="S22" s="22">
        <f>'6 - Curve'!$D$17</f>
        <v>3124.0063070618526</v>
      </c>
      <c r="T22" s="22">
        <f>'6 - Curve'!$D$18</f>
        <v>3470.8049694302613</v>
      </c>
      <c r="U22" s="22">
        <f>'6 - Curve'!$D$19</f>
        <v>3821.8563152622628</v>
      </c>
      <c r="V22" s="22">
        <f>'6 - Curve'!$D$20</f>
        <v>4197.4154507012709</v>
      </c>
      <c r="W22" s="22">
        <f>'6 - Curve'!$D$21</f>
        <v>4620.5116590186817</v>
      </c>
      <c r="X22" s="22">
        <f>'6 - Curve'!$D$22</f>
        <v>5115.2457938669695</v>
      </c>
      <c r="Y22" s="22">
        <f>'6 - Curve'!$D$23</f>
        <v>5683.7895727299174</v>
      </c>
      <c r="Z22" s="22">
        <f>'6 - Curve'!$D$24</f>
        <v>6299.5724572098361</v>
      </c>
      <c r="AA22" s="22">
        <f>'6 - Curve'!$D$25</f>
        <v>6974.131046705872</v>
      </c>
      <c r="AB22" s="22">
        <f>'6 - Curve'!$D$26</f>
        <v>7686.8041254964737</v>
      </c>
      <c r="AC22" s="22">
        <f>'6 - Curve'!$D$27</f>
        <v>8462.54736857838</v>
      </c>
      <c r="AD22" s="22">
        <f>'6 - Curve'!$D$28</f>
        <v>9325.0063374091787</v>
      </c>
      <c r="AE22" s="22">
        <f>'6 - Curve'!$D$29</f>
        <v>10160.368172154711</v>
      </c>
      <c r="AF22" s="22">
        <f>'6 - Curve'!$D$30</f>
        <v>10960.525899563219</v>
      </c>
      <c r="AG22" s="22">
        <f>'6 - Curve'!$D$31</f>
        <v>11869.245667291703</v>
      </c>
      <c r="AH22" s="113">
        <f>'6 - Curve'!$D$32</f>
        <v>10064.103075010064</v>
      </c>
      <c r="AI22" s="113">
        <f>'6 - Curve'!$D$33</f>
        <v>15895.418171796442</v>
      </c>
      <c r="AJ22" s="113">
        <f>'6 - Curve'!$D$34</f>
        <v>24999.999999999996</v>
      </c>
    </row>
    <row r="23" spans="1:36" ht="13.15" x14ac:dyDescent="0.4">
      <c r="A23">
        <v>22</v>
      </c>
      <c r="B23" s="22">
        <f>'6 - Thresholds'!$M22</f>
        <v>5683.7895727299137</v>
      </c>
      <c r="C23">
        <v>22</v>
      </c>
      <c r="D23" s="113">
        <f t="shared" si="0"/>
        <v>5683.7895727299174</v>
      </c>
      <c r="F23" s="114" t="s">
        <v>173</v>
      </c>
      <c r="G23" s="114">
        <f t="shared" ref="G23:AJ23" si="1">INT(G22+0.5)</f>
        <v>176</v>
      </c>
      <c r="H23" s="114">
        <f t="shared" si="1"/>
        <v>285</v>
      </c>
      <c r="I23" s="114">
        <f t="shared" si="1"/>
        <v>428</v>
      </c>
      <c r="J23" s="114">
        <f t="shared" si="1"/>
        <v>584</v>
      </c>
      <c r="K23" s="114">
        <f t="shared" si="1"/>
        <v>778</v>
      </c>
      <c r="L23" s="114">
        <f t="shared" si="1"/>
        <v>1000</v>
      </c>
      <c r="M23" s="114">
        <f t="shared" si="1"/>
        <v>1239</v>
      </c>
      <c r="N23" s="114">
        <f t="shared" si="1"/>
        <v>1508</v>
      </c>
      <c r="O23" s="114">
        <f t="shared" si="1"/>
        <v>1810</v>
      </c>
      <c r="P23" s="114">
        <f t="shared" si="1"/>
        <v>2124</v>
      </c>
      <c r="Q23" s="114">
        <f t="shared" si="1"/>
        <v>2443</v>
      </c>
      <c r="R23" s="114">
        <f t="shared" si="1"/>
        <v>2779</v>
      </c>
      <c r="S23" s="114">
        <f t="shared" si="1"/>
        <v>3124</v>
      </c>
      <c r="T23" s="114">
        <f t="shared" si="1"/>
        <v>3471</v>
      </c>
      <c r="U23" s="114">
        <f t="shared" si="1"/>
        <v>3822</v>
      </c>
      <c r="V23" s="114">
        <f t="shared" si="1"/>
        <v>4197</v>
      </c>
      <c r="W23" s="114">
        <f t="shared" si="1"/>
        <v>4621</v>
      </c>
      <c r="X23" s="114">
        <f t="shared" si="1"/>
        <v>5115</v>
      </c>
      <c r="Y23" s="114">
        <f t="shared" si="1"/>
        <v>5684</v>
      </c>
      <c r="Z23" s="114">
        <f t="shared" si="1"/>
        <v>6300</v>
      </c>
      <c r="AA23" s="114">
        <f t="shared" si="1"/>
        <v>6974</v>
      </c>
      <c r="AB23" s="114">
        <f t="shared" si="1"/>
        <v>7687</v>
      </c>
      <c r="AC23" s="114">
        <f t="shared" si="1"/>
        <v>8463</v>
      </c>
      <c r="AD23" s="114">
        <f t="shared" si="1"/>
        <v>9325</v>
      </c>
      <c r="AE23" s="114">
        <f t="shared" si="1"/>
        <v>10160</v>
      </c>
      <c r="AF23" s="114">
        <f t="shared" si="1"/>
        <v>10961</v>
      </c>
      <c r="AG23" s="114">
        <f t="shared" si="1"/>
        <v>11869</v>
      </c>
      <c r="AH23" s="115">
        <f t="shared" si="1"/>
        <v>10064</v>
      </c>
      <c r="AI23" s="115">
        <f t="shared" si="1"/>
        <v>15895</v>
      </c>
      <c r="AJ23" s="115">
        <f t="shared" si="1"/>
        <v>25000</v>
      </c>
    </row>
    <row r="24" spans="1:36" ht="13.15" x14ac:dyDescent="0.4">
      <c r="A24">
        <v>23</v>
      </c>
      <c r="B24" s="22">
        <f>'6 - Thresholds'!$M23</f>
        <v>6299.5724572098343</v>
      </c>
      <c r="C24">
        <v>23</v>
      </c>
      <c r="D24" s="113">
        <f t="shared" si="0"/>
        <v>6299.5724572098361</v>
      </c>
    </row>
    <row r="25" spans="1:36" ht="13.15" x14ac:dyDescent="0.4">
      <c r="A25">
        <v>24</v>
      </c>
      <c r="B25" s="22">
        <f>'6 - Thresholds'!$M24</f>
        <v>6974.1310467058765</v>
      </c>
      <c r="C25">
        <v>24</v>
      </c>
      <c r="D25" s="113">
        <f t="shared" si="0"/>
        <v>6974.131046705872</v>
      </c>
    </row>
    <row r="26" spans="1:36" ht="13.15" x14ac:dyDescent="0.4">
      <c r="A26">
        <v>25</v>
      </c>
      <c r="B26" s="22">
        <f>'6 - Thresholds'!$M25</f>
        <v>7686.8041254964846</v>
      </c>
      <c r="C26" s="40">
        <v>25</v>
      </c>
      <c r="D26" s="113">
        <f t="shared" si="0"/>
        <v>7686.8041254964737</v>
      </c>
    </row>
    <row r="27" spans="1:36" ht="13.15" x14ac:dyDescent="0.4">
      <c r="A27">
        <v>26</v>
      </c>
      <c r="B27" s="22">
        <f>'6 - Thresholds'!$M26</f>
        <v>8462.5473685783872</v>
      </c>
      <c r="C27">
        <v>26</v>
      </c>
      <c r="D27" s="113">
        <f t="shared" si="0"/>
        <v>8462.54736857838</v>
      </c>
      <c r="F27" s="116">
        <v>10</v>
      </c>
      <c r="G27">
        <f>CubicSpline(F27, $A$5:$A$107, $B$5:$B$107)</f>
        <v>1238.9604700427483</v>
      </c>
    </row>
    <row r="28" spans="1:36" ht="13.15" x14ac:dyDescent="0.4">
      <c r="A28">
        <v>27</v>
      </c>
      <c r="B28" s="22">
        <f>'6 - Thresholds'!$M27</f>
        <v>9325.0063374091696</v>
      </c>
      <c r="C28">
        <v>27</v>
      </c>
      <c r="D28" s="113">
        <f t="shared" si="0"/>
        <v>9325.0063374091787</v>
      </c>
      <c r="F28" s="116">
        <v>11</v>
      </c>
      <c r="G28">
        <f>CubicSpline(F28, $A$5:$A$107, $B$5:$B$107)</f>
        <v>1508.4796616181011</v>
      </c>
    </row>
    <row r="29" spans="1:36" ht="13.15" x14ac:dyDescent="0.4">
      <c r="A29">
        <v>28</v>
      </c>
      <c r="B29" s="22">
        <f>'6 - Thresholds'!$M28</f>
        <v>10160.368172154716</v>
      </c>
      <c r="C29">
        <v>28</v>
      </c>
      <c r="D29" s="113">
        <f t="shared" si="0"/>
        <v>10160.368172154711</v>
      </c>
      <c r="F29">
        <v>9</v>
      </c>
      <c r="G29">
        <f>CubicSpline(F29, $A$5:$A$107, $B$5:$B$107)</f>
        <v>999.51139356177782</v>
      </c>
    </row>
    <row r="30" spans="1:36" ht="13.15" x14ac:dyDescent="0.4">
      <c r="A30">
        <v>29</v>
      </c>
      <c r="B30" s="22">
        <f>'6 - Thresholds'!$M29</f>
        <v>10960.525899563238</v>
      </c>
      <c r="C30">
        <v>29</v>
      </c>
      <c r="D30" s="113">
        <f t="shared" si="0"/>
        <v>10960.525899563219</v>
      </c>
    </row>
    <row r="31" spans="1:36" ht="13.15" x14ac:dyDescent="0.4">
      <c r="A31">
        <v>30</v>
      </c>
      <c r="B31" s="22">
        <f>'6 - Thresholds'!$M30</f>
        <v>11869.24566729308</v>
      </c>
      <c r="C31">
        <v>30</v>
      </c>
      <c r="D31" s="113">
        <f>CubicSpline(C31,$A$5:$A$34,$B$5:$B$34)</f>
        <v>11869.245667291703</v>
      </c>
    </row>
    <row r="32" spans="1:36" ht="13.15" x14ac:dyDescent="0.4">
      <c r="A32">
        <f>'6 - Spheres'!$G$40</f>
        <v>39</v>
      </c>
      <c r="B32">
        <f>'6 - Spheres'!$G$42</f>
        <v>10000</v>
      </c>
      <c r="C32" s="40">
        <v>38</v>
      </c>
      <c r="D32" s="113">
        <f t="shared" ref="D32:D34" si="2">CubicSpline(C32,$A$5:$A$34,$B$5:$B$34)</f>
        <v>10064.103075010064</v>
      </c>
      <c r="F32" t="s">
        <v>180</v>
      </c>
      <c r="G32">
        <v>227</v>
      </c>
      <c r="H32">
        <v>368</v>
      </c>
      <c r="I32">
        <v>541</v>
      </c>
      <c r="J32">
        <v>723</v>
      </c>
      <c r="K32">
        <v>944</v>
      </c>
      <c r="L32">
        <v>1197</v>
      </c>
      <c r="M32">
        <v>1470</v>
      </c>
      <c r="N32">
        <v>1779</v>
      </c>
      <c r="O32">
        <v>2119</v>
      </c>
      <c r="P32">
        <v>2474</v>
      </c>
      <c r="Q32">
        <v>2829</v>
      </c>
      <c r="R32">
        <v>3196</v>
      </c>
      <c r="S32">
        <v>3567</v>
      </c>
      <c r="T32">
        <v>3934</v>
      </c>
      <c r="U32">
        <v>4292</v>
      </c>
      <c r="V32">
        <v>4677</v>
      </c>
      <c r="W32">
        <v>5100</v>
      </c>
      <c r="X32">
        <v>5593</v>
      </c>
      <c r="Y32">
        <v>6132</v>
      </c>
      <c r="Z32">
        <v>6726</v>
      </c>
      <c r="AA32">
        <v>7374</v>
      </c>
      <c r="AB32">
        <v>8086</v>
      </c>
      <c r="AC32">
        <v>8829</v>
      </c>
      <c r="AD32">
        <v>9590</v>
      </c>
      <c r="AE32">
        <v>10388</v>
      </c>
      <c r="AF32">
        <v>11176</v>
      </c>
      <c r="AG32">
        <v>12017</v>
      </c>
      <c r="AH32">
        <v>23641</v>
      </c>
      <c r="AI32">
        <v>36593</v>
      </c>
      <c r="AJ32">
        <v>50000</v>
      </c>
    </row>
    <row r="33" spans="1:4" ht="13.15" x14ac:dyDescent="0.4">
      <c r="A33">
        <f>'6 - Spheres'!$C$40</f>
        <v>49.4</v>
      </c>
      <c r="B33">
        <f>'6 - Spheres'!$C$42</f>
        <v>15600</v>
      </c>
      <c r="C33" s="40">
        <v>50</v>
      </c>
      <c r="D33" s="113">
        <f t="shared" si="2"/>
        <v>15895.418171796442</v>
      </c>
    </row>
    <row r="34" spans="1:4" ht="13.15" x14ac:dyDescent="0.4">
      <c r="A34">
        <f>'6 - Spheres'!$N$40</f>
        <v>70</v>
      </c>
      <c r="B34">
        <f>'6 - Spheres'!$N$42</f>
        <v>25000</v>
      </c>
      <c r="C34" s="40">
        <v>70</v>
      </c>
      <c r="D34" s="113">
        <f t="shared" si="2"/>
        <v>24999.999999999996</v>
      </c>
    </row>
    <row r="36" spans="1:4" ht="40.15" x14ac:dyDescent="0.35">
      <c r="A36" s="117" t="s">
        <v>174</v>
      </c>
    </row>
    <row r="39" spans="1:4" ht="13.15" x14ac:dyDescent="0.4">
      <c r="A39" t="s">
        <v>175</v>
      </c>
    </row>
    <row r="40" spans="1:4" ht="13.15" x14ac:dyDescent="0.4">
      <c r="A40" t="s">
        <v>176</v>
      </c>
    </row>
    <row r="41" spans="1:4" x14ac:dyDescent="0.35">
      <c r="A41" t="s">
        <v>177</v>
      </c>
    </row>
    <row r="42" spans="1:4" x14ac:dyDescent="0.35">
      <c r="A42" t="s">
        <v>178</v>
      </c>
    </row>
    <row r="44" spans="1:4" x14ac:dyDescent="0.35">
      <c r="A44" t="s">
        <v>179</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Clause 6</vt:lpstr>
      <vt:lpstr>6 - B1</vt:lpstr>
      <vt:lpstr>6 - B2</vt:lpstr>
      <vt:lpstr>6 - B3</vt:lpstr>
      <vt:lpstr>6 - Thresholds</vt:lpstr>
      <vt:lpstr>6 - Spheres</vt:lpstr>
      <vt:lpstr>6 - Curve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Devereux</dc:creator>
  <cp:lastModifiedBy>John Devereux</cp:lastModifiedBy>
  <dcterms:created xsi:type="dcterms:W3CDTF">2025-12-19T10:12:42Z</dcterms:created>
  <dcterms:modified xsi:type="dcterms:W3CDTF">2026-06-29T18:19:54Z</dcterms:modified>
</cp:coreProperties>
</file>