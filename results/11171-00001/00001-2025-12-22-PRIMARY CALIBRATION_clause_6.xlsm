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11171-00001\"/>
    </mc:Choice>
  </mc:AlternateContent>
  <xr:revisionPtr revIDLastSave="0" documentId="13_ncr:1_{7EF76145-3841-4CC1-A42C-ACE3D9770265}"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2" l="1"/>
  <c r="B4" i="2"/>
  <c r="B5" i="2"/>
  <c r="E38" i="4"/>
  <c r="D38" i="4"/>
  <c r="C38" i="4"/>
  <c r="B38" i="4"/>
  <c r="E37" i="4"/>
  <c r="D37" i="4"/>
  <c r="C37" i="4"/>
  <c r="B37" i="4"/>
  <c r="E36" i="4"/>
  <c r="D36" i="4"/>
  <c r="C36" i="4"/>
  <c r="B36" i="4"/>
  <c r="E35" i="4"/>
  <c r="D35" i="4"/>
  <c r="C35" i="4"/>
  <c r="B35" i="4"/>
  <c r="E34" i="4"/>
  <c r="D34" i="4"/>
  <c r="C34" i="4"/>
  <c r="B34" i="4"/>
  <c r="E33" i="4"/>
  <c r="D33" i="4"/>
  <c r="C33" i="4"/>
  <c r="B33" i="4"/>
  <c r="E32" i="4"/>
  <c r="D32" i="4"/>
  <c r="C32" i="4"/>
  <c r="B32" i="4"/>
  <c r="E31" i="4"/>
  <c r="D31" i="4"/>
  <c r="C31" i="4"/>
  <c r="B31" i="4"/>
  <c r="E30" i="4"/>
  <c r="D30" i="4"/>
  <c r="C30" i="4"/>
  <c r="B30" i="4"/>
  <c r="E29" i="4"/>
  <c r="D29" i="4"/>
  <c r="C29" i="4"/>
  <c r="B29" i="4"/>
  <c r="E28" i="4"/>
  <c r="D28" i="4"/>
  <c r="C28" i="4"/>
  <c r="B28" i="4"/>
  <c r="E27" i="4"/>
  <c r="D27" i="4"/>
  <c r="C27" i="4"/>
  <c r="B27" i="4"/>
  <c r="E26" i="4"/>
  <c r="D26" i="4"/>
  <c r="C26" i="4"/>
  <c r="B26" i="4"/>
  <c r="E25" i="4"/>
  <c r="D25" i="4"/>
  <c r="C25" i="4"/>
  <c r="B25" i="4"/>
  <c r="E24" i="4"/>
  <c r="D24" i="4"/>
  <c r="C24" i="4"/>
  <c r="B24" i="4"/>
  <c r="E23" i="4"/>
  <c r="D23" i="4"/>
  <c r="C23" i="4"/>
  <c r="B23" i="4"/>
  <c r="E22" i="4"/>
  <c r="D22" i="4"/>
  <c r="C22" i="4"/>
  <c r="B22" i="4"/>
  <c r="E21" i="4"/>
  <c r="D21" i="4"/>
  <c r="C21" i="4"/>
  <c r="B21" i="4"/>
  <c r="E20" i="4"/>
  <c r="D20" i="4"/>
  <c r="C20" i="4"/>
  <c r="B20" i="4"/>
  <c r="E19" i="4"/>
  <c r="D19" i="4"/>
  <c r="C19" i="4"/>
  <c r="B19" i="4"/>
  <c r="E18" i="4"/>
  <c r="D18" i="4"/>
  <c r="C18" i="4"/>
  <c r="B18" i="4"/>
  <c r="E17" i="4"/>
  <c r="D17" i="4"/>
  <c r="C17" i="4"/>
  <c r="B17" i="4"/>
  <c r="E16" i="4"/>
  <c r="D16" i="4"/>
  <c r="C16" i="4"/>
  <c r="B16" i="4"/>
  <c r="E15" i="4"/>
  <c r="D15" i="4"/>
  <c r="C15" i="4"/>
  <c r="B15" i="4"/>
  <c r="E14" i="4"/>
  <c r="D14" i="4"/>
  <c r="C14" i="4"/>
  <c r="B14" i="4"/>
  <c r="E13" i="4"/>
  <c r="D13" i="4"/>
  <c r="C13" i="4"/>
  <c r="B13" i="4"/>
  <c r="E12" i="4"/>
  <c r="D12" i="4"/>
  <c r="C12" i="4"/>
  <c r="B12" i="4"/>
  <c r="E11" i="4"/>
  <c r="D11" i="4"/>
  <c r="C11" i="4"/>
  <c r="B11" i="4"/>
  <c r="E10" i="4"/>
  <c r="D10" i="4"/>
  <c r="C10" i="4"/>
  <c r="B10" i="4"/>
  <c r="E9" i="4"/>
  <c r="D9" i="4"/>
  <c r="C9" i="4"/>
  <c r="B9" i="4"/>
  <c r="F8" i="4"/>
  <c r="E8" i="4"/>
  <c r="D8" i="4"/>
  <c r="C8" i="4"/>
  <c r="F33" i="3"/>
  <c r="B32" i="3"/>
  <c r="F32" i="3"/>
  <c r="C37" i="3"/>
  <c r="F8" i="3"/>
  <c r="F9" i="3"/>
  <c r="F10" i="3"/>
  <c r="F11" i="3"/>
  <c r="F12" i="3"/>
  <c r="F13" i="3"/>
  <c r="F14" i="3"/>
  <c r="F15" i="3"/>
  <c r="F16" i="3"/>
  <c r="F17" i="3"/>
  <c r="F18" i="3"/>
  <c r="F19" i="3"/>
  <c r="F20" i="3"/>
  <c r="F21" i="3"/>
  <c r="F22" i="3"/>
  <c r="F23" i="3"/>
  <c r="F24" i="3"/>
  <c r="F25" i="3"/>
  <c r="F26" i="3"/>
  <c r="F27" i="3"/>
  <c r="F28" i="3"/>
  <c r="F34" i="3"/>
  <c r="F35" i="3"/>
  <c r="F36" i="3"/>
  <c r="F37" i="3"/>
  <c r="F38" i="3"/>
  <c r="E38" i="3"/>
  <c r="D38" i="3"/>
  <c r="B38" i="3"/>
  <c r="E37" i="3"/>
  <c r="D37" i="3"/>
  <c r="B37" i="3"/>
  <c r="E36" i="3"/>
  <c r="D36" i="3"/>
  <c r="C36" i="3"/>
  <c r="B36" i="3"/>
  <c r="E35" i="3"/>
  <c r="D35" i="3"/>
  <c r="C35" i="3"/>
  <c r="B35" i="3"/>
  <c r="E34" i="3"/>
  <c r="D34" i="3"/>
  <c r="C34" i="3"/>
  <c r="B34" i="3"/>
  <c r="E33" i="3"/>
  <c r="D33" i="3"/>
  <c r="C33" i="3"/>
  <c r="B33" i="3"/>
  <c r="E32" i="3"/>
  <c r="D32" i="3"/>
  <c r="C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E38" i="2"/>
  <c r="D38" i="2"/>
  <c r="C38" i="2"/>
  <c r="B38" i="2"/>
  <c r="E37" i="2"/>
  <c r="D37" i="2"/>
  <c r="C37" i="2"/>
  <c r="B37" i="2"/>
  <c r="E36" i="2"/>
  <c r="D36" i="2"/>
  <c r="C36" i="2"/>
  <c r="B36" i="2"/>
  <c r="E35" i="2"/>
  <c r="D35" i="2"/>
  <c r="C35" i="2"/>
  <c r="B35" i="2"/>
  <c r="E34" i="2"/>
  <c r="D34" i="2"/>
  <c r="C34" i="2"/>
  <c r="B34" i="2"/>
  <c r="E33" i="2"/>
  <c r="D33" i="2"/>
  <c r="C33" i="2"/>
  <c r="B33" i="2"/>
  <c r="E32" i="2"/>
  <c r="D32" i="2"/>
  <c r="C32" i="2"/>
  <c r="B32" i="2"/>
  <c r="E31" i="2"/>
  <c r="D31" i="2"/>
  <c r="C31" i="2"/>
  <c r="B31" i="2"/>
  <c r="F30" i="2"/>
  <c r="E30" i="2"/>
  <c r="D30" i="2"/>
  <c r="C30" i="2"/>
  <c r="B30" i="2"/>
  <c r="F29" i="2"/>
  <c r="E29" i="2"/>
  <c r="D29" i="2"/>
  <c r="C29" i="2"/>
  <c r="B29" i="2"/>
  <c r="F28" i="2"/>
  <c r="E28" i="2"/>
  <c r="D28" i="2"/>
  <c r="B28" i="2"/>
  <c r="F27" i="2"/>
  <c r="E27" i="2"/>
  <c r="D27" i="2"/>
  <c r="B27" i="2"/>
  <c r="F26" i="2"/>
  <c r="E26" i="2"/>
  <c r="D26" i="2"/>
  <c r="B26" i="2"/>
  <c r="F25" i="2"/>
  <c r="E25" i="2"/>
  <c r="D25" i="2"/>
  <c r="B25" i="2"/>
  <c r="F24" i="2"/>
  <c r="E24" i="2"/>
  <c r="D24" i="2"/>
  <c r="B24" i="2"/>
  <c r="F23" i="2"/>
  <c r="E23" i="2"/>
  <c r="D23" i="2"/>
  <c r="B23" i="2"/>
  <c r="F22" i="2"/>
  <c r="E22" i="2"/>
  <c r="D22" i="2"/>
  <c r="B22" i="2"/>
  <c r="F21" i="2"/>
  <c r="E21" i="2"/>
  <c r="D21" i="2"/>
  <c r="B21" i="2"/>
  <c r="F20" i="2"/>
  <c r="E20" i="2"/>
  <c r="D20" i="2"/>
  <c r="C20" i="2"/>
  <c r="B20" i="2"/>
  <c r="F19" i="2"/>
  <c r="E19" i="2"/>
  <c r="D19" i="2"/>
  <c r="C19" i="2"/>
  <c r="B19" i="2"/>
  <c r="F18" i="2"/>
  <c r="E18" i="2"/>
  <c r="D18" i="2"/>
  <c r="C18" i="2"/>
  <c r="B18" i="2"/>
  <c r="F17" i="2"/>
  <c r="E17" i="2"/>
  <c r="D17" i="2"/>
  <c r="C17" i="2"/>
  <c r="B17" i="2"/>
  <c r="F16" i="2"/>
  <c r="E16" i="2"/>
  <c r="D16" i="2"/>
  <c r="C16" i="2"/>
  <c r="B16" i="2"/>
  <c r="F15" i="2"/>
  <c r="E15" i="2"/>
  <c r="D15" i="2"/>
  <c r="C15" i="2"/>
  <c r="B15" i="2"/>
  <c r="F14" i="2"/>
  <c r="E14" i="2"/>
  <c r="D14" i="2"/>
  <c r="C14" i="2"/>
  <c r="B14" i="2"/>
  <c r="F13" i="2"/>
  <c r="E13" i="2"/>
  <c r="D13" i="2"/>
  <c r="C13" i="2"/>
  <c r="B13" i="2"/>
  <c r="F12" i="2"/>
  <c r="E12" i="2"/>
  <c r="D12" i="2"/>
  <c r="C12" i="2"/>
  <c r="B12" i="2"/>
  <c r="F11" i="2"/>
  <c r="E11" i="2"/>
  <c r="D11" i="2"/>
  <c r="C11" i="2"/>
  <c r="B11" i="2"/>
  <c r="F10" i="2"/>
  <c r="E10" i="2"/>
  <c r="D10" i="2"/>
  <c r="C10" i="2"/>
  <c r="F9" i="2"/>
  <c r="E9" i="2"/>
  <c r="D9" i="2"/>
  <c r="C9" i="2"/>
  <c r="F8" i="2"/>
  <c r="E8" i="2"/>
  <c r="D8" i="2"/>
  <c r="C8" i="2"/>
  <c r="A23" i="6"/>
  <c r="A24" i="6" s="1"/>
  <c r="A22" i="6"/>
  <c r="A25" i="6" s="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P19" i="1"/>
  <c r="Q19" i="1" s="1"/>
  <c r="P20" i="1"/>
  <c r="Q20" i="1" s="1"/>
  <c r="I18" i="2" l="1"/>
  <c r="G21" i="2"/>
  <c r="B34" i="7"/>
  <c r="A34" i="7"/>
  <c r="B33" i="7"/>
  <c r="B32" i="7"/>
  <c r="B46" i="6"/>
  <c r="M46"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8"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I14" i="2"/>
  <c r="B8" i="2"/>
  <c r="D48"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19" i="1"/>
  <c r="C19" i="1" s="1"/>
  <c r="P18" i="1"/>
  <c r="Q18" i="1" s="1"/>
  <c r="P17" i="1"/>
  <c r="Q17" i="1" s="1"/>
  <c r="P16" i="1"/>
  <c r="Q16" i="1" s="1"/>
  <c r="P15" i="1"/>
  <c r="Q15" i="1" s="1"/>
  <c r="P14" i="1"/>
  <c r="Q14" i="1" s="1"/>
  <c r="B14" i="1"/>
  <c r="B16" i="1" s="1"/>
  <c r="P13" i="1"/>
  <c r="Q13" i="1" s="1"/>
  <c r="P12" i="1"/>
  <c r="Q12" i="1" s="1"/>
  <c r="P11" i="1"/>
  <c r="Q11" i="1" s="1"/>
  <c r="I11" i="1"/>
  <c r="H11" i="1"/>
  <c r="G11" i="1"/>
  <c r="E3" i="2" s="1"/>
  <c r="F11" i="1"/>
  <c r="P10" i="1"/>
  <c r="Q10" i="1" s="1"/>
  <c r="P9" i="1"/>
  <c r="Q9" i="1" s="1"/>
  <c r="I9" i="1"/>
  <c r="H9" i="1"/>
  <c r="G9" i="1"/>
  <c r="F9" i="1"/>
  <c r="P8" i="1"/>
  <c r="Q8" i="1" s="1"/>
  <c r="P7" i="1"/>
  <c r="Q7" i="1" s="1"/>
  <c r="I7" i="1"/>
  <c r="H7" i="1"/>
  <c r="G7" i="1"/>
  <c r="F7" i="1"/>
  <c r="P6" i="1"/>
  <c r="Q6" i="1" s="1"/>
  <c r="P5" i="1"/>
  <c r="Q5" i="1" s="1"/>
  <c r="F46" i="6" l="1"/>
  <c r="L21" i="2"/>
  <c r="B21" i="5" s="1"/>
  <c r="M23" i="4"/>
  <c r="G28" i="4"/>
  <c r="I28" i="4" s="1"/>
  <c r="M37" i="4"/>
  <c r="G16" i="2"/>
  <c r="L16" i="2" s="1"/>
  <c r="B26" i="5" s="1"/>
  <c r="M31" i="4"/>
  <c r="M38" i="4"/>
  <c r="G8" i="4"/>
  <c r="G11" i="4"/>
  <c r="P11" i="4" s="1"/>
  <c r="G31" i="4"/>
  <c r="P31" i="4" s="1"/>
  <c r="M24" i="4"/>
  <c r="G9" i="4"/>
  <c r="Q9" i="4" s="1"/>
  <c r="G12" i="4"/>
  <c r="O12" i="4" s="1"/>
  <c r="G25" i="4"/>
  <c r="Q25" i="4" s="1"/>
  <c r="M22" i="4"/>
  <c r="M9" i="4"/>
  <c r="G33" i="4"/>
  <c r="R33" i="4" s="1"/>
  <c r="G10" i="4"/>
  <c r="P10" i="4" s="1"/>
  <c r="G26" i="4"/>
  <c r="R26" i="4" s="1"/>
  <c r="M30" i="4"/>
  <c r="D47" i="1"/>
  <c r="F32" i="5" s="1"/>
  <c r="I38" i="2"/>
  <c r="I24" i="2"/>
  <c r="M38" i="2"/>
  <c r="G22" i="4"/>
  <c r="P22" i="4" s="1"/>
  <c r="G13" i="4"/>
  <c r="R13" i="4" s="1"/>
  <c r="Q11" i="4"/>
  <c r="G23" i="4"/>
  <c r="L23" i="4" s="1"/>
  <c r="D19" i="5" s="1"/>
  <c r="G30" i="4"/>
  <c r="K30" i="4" s="1"/>
  <c r="G14" i="4"/>
  <c r="S14" i="4" s="1"/>
  <c r="I25" i="2"/>
  <c r="G8" i="2"/>
  <c r="M36" i="2"/>
  <c r="M37" i="2"/>
  <c r="M9" i="2"/>
  <c r="S21" i="2"/>
  <c r="M19" i="2"/>
  <c r="G38" i="2"/>
  <c r="Q38" i="2" s="1"/>
  <c r="G10" i="2"/>
  <c r="R10" i="2" s="1"/>
  <c r="B52" i="1"/>
  <c r="M23" i="2"/>
  <c r="I23" i="2"/>
  <c r="G23" i="2"/>
  <c r="R23" i="2" s="1"/>
  <c r="I13" i="2"/>
  <c r="G13" i="2"/>
  <c r="Q13" i="2" s="1"/>
  <c r="G14" i="2"/>
  <c r="O14" i="2" s="1"/>
  <c r="P21" i="2"/>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M16" i="2"/>
  <c r="R21" i="2"/>
  <c r="H11" i="4"/>
  <c r="J11" i="4" s="1"/>
  <c r="S11" i="4"/>
  <c r="R11" i="4"/>
  <c r="L11" i="4"/>
  <c r="D31" i="5" s="1"/>
  <c r="K11" i="4"/>
  <c r="P26" i="4"/>
  <c r="I10" i="2"/>
  <c r="M18" i="2"/>
  <c r="K21" i="2"/>
  <c r="G27" i="4"/>
  <c r="P27" i="4" s="1"/>
  <c r="M10" i="2"/>
  <c r="I16" i="2"/>
  <c r="O21" i="2"/>
  <c r="G9" i="2"/>
  <c r="S9" i="2" s="1"/>
  <c r="I9" i="2"/>
  <c r="M15" i="2"/>
  <c r="I15" i="2"/>
  <c r="G15" i="2"/>
  <c r="Q15" i="2" s="1"/>
  <c r="Q21" i="2"/>
  <c r="I31" i="4"/>
  <c r="F22" i="6"/>
  <c r="F25" i="6" s="1"/>
  <c r="F17" i="6"/>
  <c r="F19" i="6" s="1"/>
  <c r="F21" i="6" s="1"/>
  <c r="F23" i="6" s="1"/>
  <c r="F24" i="6" s="1"/>
  <c r="M34" i="4"/>
  <c r="M35" i="4"/>
  <c r="M36" i="4"/>
  <c r="M17" i="6"/>
  <c r="M19" i="6" s="1"/>
  <c r="M21" i="6" s="1"/>
  <c r="M23" i="6" s="1"/>
  <c r="M24" i="6" s="1"/>
  <c r="M22" i="6"/>
  <c r="M13" i="2"/>
  <c r="G18" i="2"/>
  <c r="P18" i="2" s="1"/>
  <c r="G20" i="2"/>
  <c r="R20" i="2" s="1"/>
  <c r="I20" i="2"/>
  <c r="I22" i="2"/>
  <c r="G22" i="2"/>
  <c r="S22" i="2" s="1"/>
  <c r="S26" i="4"/>
  <c r="S28" i="4"/>
  <c r="M32" i="4"/>
  <c r="S33" i="4"/>
  <c r="M33" i="4"/>
  <c r="A31" i="6"/>
  <c r="A32" i="6" s="1"/>
  <c r="M11" i="2"/>
  <c r="I11" i="2"/>
  <c r="G11" i="2"/>
  <c r="Q11" i="2" s="1"/>
  <c r="G12" i="2"/>
  <c r="P12" i="2" s="1"/>
  <c r="I17" i="2"/>
  <c r="G17" i="2"/>
  <c r="R17" i="2" s="1"/>
  <c r="M17" i="2"/>
  <c r="R31" i="4"/>
  <c r="F31" i="6"/>
  <c r="F32" i="6" s="1"/>
  <c r="I12" i="2"/>
  <c r="M14" i="2"/>
  <c r="M20" i="2"/>
  <c r="K25" i="4"/>
  <c r="H10" i="4"/>
  <c r="J10" i="4" s="1"/>
  <c r="O10" i="4"/>
  <c r="L10" i="4"/>
  <c r="D32" i="5" s="1"/>
  <c r="G29" i="4"/>
  <c r="O29" i="4" s="1"/>
  <c r="G32" i="4"/>
  <c r="M12" i="2"/>
  <c r="I19" i="2"/>
  <c r="G19" i="2"/>
  <c r="P19" i="2" s="1"/>
  <c r="B20" i="1"/>
  <c r="M21" i="2"/>
  <c r="M22" i="2"/>
  <c r="Q10" i="4"/>
  <c r="G15" i="4"/>
  <c r="R15" i="4" s="1"/>
  <c r="M25" i="4"/>
  <c r="I21" i="2"/>
  <c r="M10" i="4"/>
  <c r="G16" i="4"/>
  <c r="S16" i="4" s="1"/>
  <c r="M26" i="4"/>
  <c r="G24" i="2"/>
  <c r="G25" i="2"/>
  <c r="R25" i="2" s="1"/>
  <c r="G26" i="2"/>
  <c r="M11" i="4"/>
  <c r="K13" i="4"/>
  <c r="G17" i="4"/>
  <c r="S17" i="4" s="1"/>
  <c r="S22" i="4"/>
  <c r="M27" i="4"/>
  <c r="G27" i="2"/>
  <c r="P27" i="2" s="1"/>
  <c r="G28" i="2"/>
  <c r="G29" i="2"/>
  <c r="G30" i="2"/>
  <c r="G31" i="2"/>
  <c r="G32" i="2"/>
  <c r="R32" i="2" s="1"/>
  <c r="G33" i="2"/>
  <c r="G22" i="3"/>
  <c r="Q22" i="3" s="1"/>
  <c r="O11" i="4"/>
  <c r="M12" i="4"/>
  <c r="G18" i="4"/>
  <c r="M28" i="4"/>
  <c r="G34" i="4"/>
  <c r="O34" i="4" s="1"/>
  <c r="G35" i="4"/>
  <c r="G36" i="4"/>
  <c r="G37" i="4"/>
  <c r="S37" i="4" s="1"/>
  <c r="G38" i="4"/>
  <c r="I26" i="2"/>
  <c r="G34" i="2"/>
  <c r="P34" i="2" s="1"/>
  <c r="M13" i="4"/>
  <c r="G19" i="4"/>
  <c r="O19" i="4" s="1"/>
  <c r="M29" i="4"/>
  <c r="I27" i="2"/>
  <c r="I28" i="2"/>
  <c r="I29" i="2"/>
  <c r="I30" i="2"/>
  <c r="I31" i="2"/>
  <c r="I32" i="2"/>
  <c r="I33" i="2"/>
  <c r="G35" i="2"/>
  <c r="O35" i="2" s="1"/>
  <c r="I22" i="3"/>
  <c r="M14" i="4"/>
  <c r="G20" i="4"/>
  <c r="I34" i="2"/>
  <c r="G36" i="2"/>
  <c r="M15" i="4"/>
  <c r="G21" i="4"/>
  <c r="I35" i="2"/>
  <c r="G37" i="2"/>
  <c r="M16" i="4"/>
  <c r="M24" i="2"/>
  <c r="M25" i="2"/>
  <c r="M26" i="2"/>
  <c r="I36" i="2"/>
  <c r="M17" i="4"/>
  <c r="M27" i="2"/>
  <c r="M28" i="2"/>
  <c r="M29" i="2"/>
  <c r="M30" i="2"/>
  <c r="M31" i="2"/>
  <c r="M32" i="2"/>
  <c r="M33" i="2"/>
  <c r="I37" i="2"/>
  <c r="M22" i="3"/>
  <c r="S13" i="4"/>
  <c r="M18" i="4"/>
  <c r="G24" i="4"/>
  <c r="S24" i="4" s="1"/>
  <c r="M34" i="2"/>
  <c r="M19" i="4"/>
  <c r="M35" i="2"/>
  <c r="M20" i="4"/>
  <c r="M21" i="4"/>
  <c r="I11" i="4" l="1"/>
  <c r="Q22" i="4"/>
  <c r="L22" i="4"/>
  <c r="D20" i="5" s="1"/>
  <c r="K22" i="4"/>
  <c r="O22" i="4"/>
  <c r="I22" i="4"/>
  <c r="H22" i="4"/>
  <c r="J22" i="4" s="1"/>
  <c r="R22" i="4"/>
  <c r="L26" i="4"/>
  <c r="D16" i="5" s="1"/>
  <c r="O26" i="4"/>
  <c r="Q26" i="4"/>
  <c r="H28" i="4"/>
  <c r="J28" i="4" s="1"/>
  <c r="K28" i="4"/>
  <c r="P28" i="4"/>
  <c r="Q28" i="4"/>
  <c r="O28" i="4"/>
  <c r="L28" i="4"/>
  <c r="D14" i="5" s="1"/>
  <c r="R28" i="4"/>
  <c r="O38" i="4"/>
  <c r="S38" i="4"/>
  <c r="S9" i="4"/>
  <c r="R36" i="4"/>
  <c r="P36" i="4"/>
  <c r="R35" i="4"/>
  <c r="P35" i="4"/>
  <c r="S23" i="4"/>
  <c r="H16" i="2"/>
  <c r="J16" i="2" s="1"/>
  <c r="H9" i="4"/>
  <c r="J9" i="4" s="1"/>
  <c r="I9" i="4"/>
  <c r="L9" i="4"/>
  <c r="D33" i="5" s="1"/>
  <c r="I13" i="4"/>
  <c r="G18" i="5"/>
  <c r="H18" i="5" s="1"/>
  <c r="L13" i="4"/>
  <c r="D29" i="5" s="1"/>
  <c r="L31" i="4"/>
  <c r="D11" i="5" s="1"/>
  <c r="I23" i="4"/>
  <c r="Q31" i="4"/>
  <c r="R23" i="4"/>
  <c r="P13" i="4"/>
  <c r="Q13" i="4"/>
  <c r="P16" i="2"/>
  <c r="K9" i="4"/>
  <c r="H23" i="4"/>
  <c r="J23" i="4" s="1"/>
  <c r="K23" i="4"/>
  <c r="O23" i="4"/>
  <c r="H13" i="4"/>
  <c r="J13" i="4" s="1"/>
  <c r="R9" i="4"/>
  <c r="H26" i="4"/>
  <c r="J26" i="4" s="1"/>
  <c r="L12" i="4"/>
  <c r="D30" i="5" s="1"/>
  <c r="R12" i="4"/>
  <c r="I12" i="4"/>
  <c r="O9" i="4"/>
  <c r="P9" i="4"/>
  <c r="P23" i="4"/>
  <c r="Q23" i="4"/>
  <c r="I33" i="4"/>
  <c r="L33" i="4"/>
  <c r="D9" i="5" s="1"/>
  <c r="Q33" i="4"/>
  <c r="O25" i="4"/>
  <c r="P25" i="4"/>
  <c r="H25" i="4"/>
  <c r="J25" i="4" s="1"/>
  <c r="I25" i="4"/>
  <c r="P33" i="4"/>
  <c r="L25" i="4"/>
  <c r="D17" i="5" s="1"/>
  <c r="Q13" i="3"/>
  <c r="Q27" i="4"/>
  <c r="S10" i="4"/>
  <c r="Q11" i="3"/>
  <c r="K12" i="4"/>
  <c r="Q16" i="3"/>
  <c r="I10" i="4"/>
  <c r="Q12" i="4"/>
  <c r="P12" i="4"/>
  <c r="S12" i="4"/>
  <c r="O27" i="4"/>
  <c r="K10" i="4"/>
  <c r="P16" i="3"/>
  <c r="Q16" i="2"/>
  <c r="H12" i="4"/>
  <c r="J12" i="4" s="1"/>
  <c r="S16" i="2"/>
  <c r="S25" i="4"/>
  <c r="H30" i="4"/>
  <c r="J30" i="4" s="1"/>
  <c r="G33" i="5"/>
  <c r="H33" i="5" s="1"/>
  <c r="R16" i="2"/>
  <c r="S30" i="4"/>
  <c r="H31" i="4"/>
  <c r="J31" i="4" s="1"/>
  <c r="I30" i="4"/>
  <c r="H33" i="4"/>
  <c r="J33" i="4" s="1"/>
  <c r="H38" i="2"/>
  <c r="J38" i="2" s="1"/>
  <c r="L30" i="4"/>
  <c r="D12" i="5" s="1"/>
  <c r="H21" i="2"/>
  <c r="J21" i="2" s="1"/>
  <c r="G8" i="5"/>
  <c r="H8" i="5" s="1"/>
  <c r="P14" i="2"/>
  <c r="K31" i="4"/>
  <c r="O30" i="4"/>
  <c r="K33" i="4"/>
  <c r="P30" i="4"/>
  <c r="O16" i="2"/>
  <c r="O31" i="4"/>
  <c r="Q30" i="4"/>
  <c r="O33" i="4"/>
  <c r="K16" i="2"/>
  <c r="S31" i="4"/>
  <c r="R30" i="4"/>
  <c r="D46" i="1"/>
  <c r="G4" i="5"/>
  <c r="H4" i="5" s="1"/>
  <c r="L38" i="2"/>
  <c r="B4" i="5" s="1"/>
  <c r="H14" i="4"/>
  <c r="J14" i="4" s="1"/>
  <c r="I14" i="4"/>
  <c r="K14" i="4"/>
  <c r="L14" i="4"/>
  <c r="D28" i="5" s="1"/>
  <c r="O13" i="4"/>
  <c r="O14" i="4"/>
  <c r="P14" i="4"/>
  <c r="Q14" i="4"/>
  <c r="R10" i="4"/>
  <c r="R14" i="4"/>
  <c r="R25" i="4"/>
  <c r="I26" i="4"/>
  <c r="K26" i="4"/>
  <c r="S13" i="3"/>
  <c r="G9" i="5"/>
  <c r="H9" i="5" s="1"/>
  <c r="G13" i="5"/>
  <c r="H13" i="5" s="1"/>
  <c r="R13" i="3"/>
  <c r="Q21" i="3"/>
  <c r="S29" i="3"/>
  <c r="O29" i="3"/>
  <c r="O35" i="3"/>
  <c r="Q35" i="3"/>
  <c r="O34" i="3"/>
  <c r="Q34" i="3"/>
  <c r="P33" i="3"/>
  <c r="Q33" i="3"/>
  <c r="O38" i="3"/>
  <c r="S38" i="3"/>
  <c r="Q37" i="3"/>
  <c r="S37" i="3"/>
  <c r="G19" i="5"/>
  <c r="H19" i="5" s="1"/>
  <c r="Q32" i="3"/>
  <c r="S36" i="3"/>
  <c r="Q31" i="3"/>
  <c r="Q20" i="3"/>
  <c r="O33" i="3"/>
  <c r="P15" i="3"/>
  <c r="G11" i="5"/>
  <c r="H11" i="5" s="1"/>
  <c r="O20" i="3"/>
  <c r="P17" i="3"/>
  <c r="O37" i="3"/>
  <c r="S9" i="3"/>
  <c r="P35" i="3"/>
  <c r="G12" i="5"/>
  <c r="H12" i="5" s="1"/>
  <c r="O31" i="3"/>
  <c r="P20" i="3"/>
  <c r="S19" i="3"/>
  <c r="Q19" i="3"/>
  <c r="S20" i="3"/>
  <c r="R19" i="3"/>
  <c r="R30" i="3"/>
  <c r="Q30" i="3"/>
  <c r="O10" i="2"/>
  <c r="P38" i="2"/>
  <c r="R22" i="2"/>
  <c r="P38" i="3"/>
  <c r="O36" i="3"/>
  <c r="O32" i="3"/>
  <c r="O35" i="4"/>
  <c r="P30" i="3"/>
  <c r="G10" i="5"/>
  <c r="H10" i="5" s="1"/>
  <c r="R24" i="4"/>
  <c r="R16" i="4"/>
  <c r="Q15" i="3"/>
  <c r="S18" i="3"/>
  <c r="Q38" i="3"/>
  <c r="P22" i="3"/>
  <c r="R21" i="3"/>
  <c r="R28" i="3"/>
  <c r="S14" i="3"/>
  <c r="Q18" i="3"/>
  <c r="G30" i="5"/>
  <c r="H30" i="5" s="1"/>
  <c r="S35" i="4"/>
  <c r="R18" i="3"/>
  <c r="Q14" i="3"/>
  <c r="R14" i="3"/>
  <c r="G24" i="5"/>
  <c r="H24" i="5" s="1"/>
  <c r="G7" i="5"/>
  <c r="H7" i="5" s="1"/>
  <c r="G14" i="5"/>
  <c r="H14" i="5" s="1"/>
  <c r="P14" i="3"/>
  <c r="S28" i="3"/>
  <c r="O21" i="3"/>
  <c r="R15" i="3"/>
  <c r="G21" i="5"/>
  <c r="H21" i="5" s="1"/>
  <c r="S27" i="4"/>
  <c r="Q16" i="4"/>
  <c r="G5" i="5"/>
  <c r="H5" i="5" s="1"/>
  <c r="G23" i="5"/>
  <c r="H23" i="5" s="1"/>
  <c r="P28" i="2"/>
  <c r="R28" i="2"/>
  <c r="Q22" i="2"/>
  <c r="Q10" i="2"/>
  <c r="O38" i="2"/>
  <c r="P10" i="2"/>
  <c r="H10" i="2"/>
  <c r="J10" i="2" s="1"/>
  <c r="S10" i="2"/>
  <c r="L10" i="2"/>
  <c r="B32" i="5" s="1"/>
  <c r="P26" i="2"/>
  <c r="R26" i="2"/>
  <c r="P29" i="2"/>
  <c r="R29" i="2"/>
  <c r="S38" i="2"/>
  <c r="O33" i="2"/>
  <c r="R33" i="2"/>
  <c r="P31" i="2"/>
  <c r="R31" i="2"/>
  <c r="R38" i="2"/>
  <c r="O30" i="2"/>
  <c r="R30" i="2"/>
  <c r="K38" i="2"/>
  <c r="K10" i="2"/>
  <c r="Q12" i="2"/>
  <c r="G6" i="5"/>
  <c r="H6" i="5" s="1"/>
  <c r="P22" i="2"/>
  <c r="P15" i="2"/>
  <c r="O15" i="2"/>
  <c r="Q27" i="2"/>
  <c r="O31" i="2"/>
  <c r="O27" i="2"/>
  <c r="O29" i="2"/>
  <c r="P32" i="4"/>
  <c r="O32" i="4"/>
  <c r="L32" i="4"/>
  <c r="D10" i="5" s="1"/>
  <c r="K32" i="4"/>
  <c r="I32" i="4"/>
  <c r="H32" i="4"/>
  <c r="J32" i="4" s="1"/>
  <c r="L12" i="3"/>
  <c r="C30" i="5" s="1"/>
  <c r="K12" i="3"/>
  <c r="H12" i="3"/>
  <c r="J12" i="3" s="1"/>
  <c r="Q12" i="3"/>
  <c r="H29" i="4"/>
  <c r="J29" i="4" s="1"/>
  <c r="R29" i="4"/>
  <c r="Q29" i="4"/>
  <c r="P29" i="4"/>
  <c r="L29" i="4"/>
  <c r="D13" i="5" s="1"/>
  <c r="K29" i="4"/>
  <c r="I29" i="4"/>
  <c r="H20" i="2"/>
  <c r="J20" i="2" s="1"/>
  <c r="Q20" i="2"/>
  <c r="K20" i="2"/>
  <c r="P20" i="2"/>
  <c r="L20" i="2"/>
  <c r="B22" i="5" s="1"/>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L14" i="2"/>
  <c r="B28" i="5" s="1"/>
  <c r="H14" i="2"/>
  <c r="J14" i="2" s="1"/>
  <c r="R14" i="2"/>
  <c r="K14" i="2"/>
  <c r="S14" i="2"/>
  <c r="Q14" i="2"/>
  <c r="O23" i="2"/>
  <c r="Q21" i="4"/>
  <c r="P21" i="4"/>
  <c r="L21" i="4"/>
  <c r="D21" i="5" s="1"/>
  <c r="K21" i="4"/>
  <c r="I21" i="4"/>
  <c r="H21" i="4"/>
  <c r="J21" i="4" s="1"/>
  <c r="S21" i="4"/>
  <c r="R21" i="4"/>
  <c r="O17" i="4"/>
  <c r="L17" i="4"/>
  <c r="D25" i="5" s="1"/>
  <c r="K17" i="4"/>
  <c r="I17" i="4"/>
  <c r="H17" i="4"/>
  <c r="J17" i="4" s="1"/>
  <c r="Q32" i="4"/>
  <c r="Q19" i="4"/>
  <c r="P19" i="4"/>
  <c r="G31" i="5"/>
  <c r="H31" i="5" s="1"/>
  <c r="H18" i="2"/>
  <c r="J18" i="2" s="1"/>
  <c r="S18" i="2"/>
  <c r="L18" i="2"/>
  <c r="B24" i="5" s="1"/>
  <c r="K18" i="2"/>
  <c r="R18" i="2"/>
  <c r="O18" i="2"/>
  <c r="S17" i="3"/>
  <c r="S16" i="3"/>
  <c r="K13" i="2"/>
  <c r="R13" i="2"/>
  <c r="L13" i="2"/>
  <c r="B29" i="5" s="1"/>
  <c r="H13" i="2"/>
  <c r="J13" i="2" s="1"/>
  <c r="P37" i="2"/>
  <c r="O37" i="2"/>
  <c r="L37" i="2"/>
  <c r="B5" i="5" s="1"/>
  <c r="K37" i="2"/>
  <c r="H37" i="2"/>
  <c r="J37" i="2" s="1"/>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R12" i="2"/>
  <c r="P12" i="3"/>
  <c r="K9" i="2"/>
  <c r="P9" i="2"/>
  <c r="O9" i="2"/>
  <c r="L9" i="2"/>
  <c r="B33" i="5" s="1"/>
  <c r="H9" i="2"/>
  <c r="J9" i="2" s="1"/>
  <c r="L28" i="3"/>
  <c r="C14" i="5" s="1"/>
  <c r="K28" i="3"/>
  <c r="H28" i="3"/>
  <c r="J28" i="3" s="1"/>
  <c r="Q28" i="3"/>
  <c r="P28" i="3"/>
  <c r="O13" i="2"/>
  <c r="Q9" i="2"/>
  <c r="Q36" i="2"/>
  <c r="P36" i="2"/>
  <c r="O36" i="2"/>
  <c r="L36" i="2"/>
  <c r="B6" i="5" s="1"/>
  <c r="K36" i="2"/>
  <c r="H36" i="2"/>
  <c r="J36" i="2" s="1"/>
  <c r="R36" i="2"/>
  <c r="S19" i="4"/>
  <c r="R19" i="4"/>
  <c r="L19" i="4"/>
  <c r="D23" i="5" s="1"/>
  <c r="K19" i="4"/>
  <c r="I19" i="4"/>
  <c r="H19" i="4"/>
  <c r="J19" i="4" s="1"/>
  <c r="S26" i="2"/>
  <c r="L26" i="2"/>
  <c r="B16" i="5" s="1"/>
  <c r="K26" i="2"/>
  <c r="H26" i="2"/>
  <c r="J26" i="2" s="1"/>
  <c r="S36" i="4"/>
  <c r="P34" i="4"/>
  <c r="Q17" i="4"/>
  <c r="H36" i="3"/>
  <c r="J36" i="3" s="1"/>
  <c r="R36" i="3"/>
  <c r="L36" i="3"/>
  <c r="C6" i="5" s="1"/>
  <c r="K36" i="3"/>
  <c r="H32" i="3"/>
  <c r="J32" i="3" s="1"/>
  <c r="S32" i="3"/>
  <c r="R32" i="3"/>
  <c r="L32" i="3"/>
  <c r="C10" i="5" s="1"/>
  <c r="K32" i="3"/>
  <c r="H15" i="3"/>
  <c r="J15" i="3" s="1"/>
  <c r="S15" i="3"/>
  <c r="L15" i="3"/>
  <c r="C27" i="5" s="1"/>
  <c r="K15" i="3"/>
  <c r="G15" i="5"/>
  <c r="H15" i="5" s="1"/>
  <c r="S25" i="2"/>
  <c r="L25" i="2"/>
  <c r="B17" i="5" s="1"/>
  <c r="K25" i="2"/>
  <c r="H25" i="2"/>
  <c r="J25" i="2" s="1"/>
  <c r="R18" i="4"/>
  <c r="M25" i="6"/>
  <c r="M31" i="6" s="1"/>
  <c r="M32" i="6" s="1"/>
  <c r="O20" i="2"/>
  <c r="I27" i="4"/>
  <c r="H27" i="4"/>
  <c r="J27" i="4" s="1"/>
  <c r="R27" i="4"/>
  <c r="L27" i="4"/>
  <c r="D15" i="5" s="1"/>
  <c r="K27" i="4"/>
  <c r="O19" i="3"/>
  <c r="O11" i="3"/>
  <c r="P25" i="2"/>
  <c r="O12" i="2"/>
  <c r="S22" i="3"/>
  <c r="R22" i="3"/>
  <c r="L22" i="3"/>
  <c r="C20" i="5" s="1"/>
  <c r="K22" i="3"/>
  <c r="H22" i="3"/>
  <c r="J22" i="3" s="1"/>
  <c r="S24" i="2"/>
  <c r="L24" i="2"/>
  <c r="B18" i="5" s="1"/>
  <c r="K24" i="2"/>
  <c r="H24" i="2"/>
  <c r="J24" i="2" s="1"/>
  <c r="R24" i="2"/>
  <c r="P30" i="2"/>
  <c r="S34" i="4"/>
  <c r="P18" i="4"/>
  <c r="O18" i="4"/>
  <c r="Q18" i="2"/>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L34" i="2"/>
  <c r="B8" i="5" s="1"/>
  <c r="K34" i="2"/>
  <c r="H34" i="2"/>
  <c r="J34" i="2" s="1"/>
  <c r="O20" i="4"/>
  <c r="Q15" i="4"/>
  <c r="P15" i="4"/>
  <c r="O15" i="4"/>
  <c r="L15" i="4"/>
  <c r="D27" i="5" s="1"/>
  <c r="K15" i="4"/>
  <c r="I15" i="4"/>
  <c r="H15" i="4"/>
  <c r="J15" i="4" s="1"/>
  <c r="S33" i="2"/>
  <c r="Q33" i="2"/>
  <c r="L33" i="2"/>
  <c r="B9" i="5" s="1"/>
  <c r="K33" i="2"/>
  <c r="H33" i="2"/>
  <c r="J33" i="2" s="1"/>
  <c r="R37" i="2"/>
  <c r="C52" i="1"/>
  <c r="C20" i="1"/>
  <c r="B21" i="1"/>
  <c r="G22" i="5"/>
  <c r="H22" i="5" s="1"/>
  <c r="Q24" i="2"/>
  <c r="O24" i="2"/>
  <c r="Q29" i="3"/>
  <c r="H35" i="3"/>
  <c r="J35" i="3" s="1"/>
  <c r="S35" i="3"/>
  <c r="R35" i="3"/>
  <c r="L35" i="3"/>
  <c r="C7" i="5" s="1"/>
  <c r="K35" i="3"/>
  <c r="H31" i="3"/>
  <c r="J31" i="3" s="1"/>
  <c r="S31" i="3"/>
  <c r="R31" i="3"/>
  <c r="L31" i="3"/>
  <c r="C11" i="5" s="1"/>
  <c r="K31" i="3"/>
  <c r="K14" i="3"/>
  <c r="H14" i="3"/>
  <c r="J14" i="3" s="1"/>
  <c r="L14" i="3"/>
  <c r="C28" i="5" s="1"/>
  <c r="S13" i="2"/>
  <c r="L24" i="4"/>
  <c r="D18" i="5" s="1"/>
  <c r="K24" i="4"/>
  <c r="I24" i="4"/>
  <c r="H24" i="4"/>
  <c r="J24" i="4" s="1"/>
  <c r="Q24" i="4"/>
  <c r="P24" i="4"/>
  <c r="O24" i="4"/>
  <c r="R38" i="4"/>
  <c r="Q38" i="4"/>
  <c r="P38" i="4"/>
  <c r="L38" i="4"/>
  <c r="D4" i="5" s="1"/>
  <c r="K38" i="4"/>
  <c r="I38" i="4"/>
  <c r="H38" i="4"/>
  <c r="J38" i="4" s="1"/>
  <c r="S32" i="2"/>
  <c r="Q32" i="2"/>
  <c r="L32" i="2"/>
  <c r="B10" i="5" s="1"/>
  <c r="K32" i="2"/>
  <c r="H32" i="2"/>
  <c r="J32" i="2" s="1"/>
  <c r="P16" i="4"/>
  <c r="O16" i="4"/>
  <c r="L16" i="4"/>
  <c r="D26" i="5" s="1"/>
  <c r="K16" i="4"/>
  <c r="I16" i="4"/>
  <c r="H16" i="4"/>
  <c r="J16" i="4" s="1"/>
  <c r="H19" i="2"/>
  <c r="J19" i="2" s="1"/>
  <c r="R19" i="2"/>
  <c r="L19" i="2"/>
  <c r="B23" i="5" s="1"/>
  <c r="K19" i="2"/>
  <c r="S19" i="2"/>
  <c r="O19" i="2"/>
  <c r="Q19" i="2"/>
  <c r="G28" i="5"/>
  <c r="H28" i="5" s="1"/>
  <c r="P33" i="2"/>
  <c r="G32" i="5"/>
  <c r="H32" i="5" s="1"/>
  <c r="Q23" i="2"/>
  <c r="P20" i="4"/>
  <c r="O27" i="3"/>
  <c r="O23" i="3"/>
  <c r="P18" i="3"/>
  <c r="L18" i="3"/>
  <c r="C24" i="5" s="1"/>
  <c r="K18" i="3"/>
  <c r="H18" i="3"/>
  <c r="J18" i="3" s="1"/>
  <c r="O10" i="3"/>
  <c r="Q25" i="2"/>
  <c r="Q36" i="3"/>
  <c r="R9" i="2"/>
  <c r="G16" i="5"/>
  <c r="H16" i="5" s="1"/>
  <c r="R35" i="2"/>
  <c r="Q35" i="2"/>
  <c r="P35" i="2"/>
  <c r="L35" i="2"/>
  <c r="B7" i="5" s="1"/>
  <c r="K35" i="2"/>
  <c r="H35" i="2"/>
  <c r="J35" i="2" s="1"/>
  <c r="S35" i="2"/>
  <c r="R37" i="4"/>
  <c r="Q37" i="4"/>
  <c r="P37" i="4"/>
  <c r="L37" i="4"/>
  <c r="D5" i="5" s="1"/>
  <c r="K37" i="4"/>
  <c r="I37" i="4"/>
  <c r="H37" i="4"/>
  <c r="J37" i="4" s="1"/>
  <c r="S31" i="2"/>
  <c r="Q31" i="2"/>
  <c r="L31" i="2"/>
  <c r="B11" i="5" s="1"/>
  <c r="K31" i="2"/>
  <c r="H31" i="2"/>
  <c r="J31" i="2" s="1"/>
  <c r="O28" i="2"/>
  <c r="O34" i="2"/>
  <c r="S36" i="2"/>
  <c r="S20" i="2"/>
  <c r="S32" i="4"/>
  <c r="Q26" i="2"/>
  <c r="O26" i="2"/>
  <c r="R17" i="3"/>
  <c r="P26" i="3"/>
  <c r="L26" i="3"/>
  <c r="C16" i="5" s="1"/>
  <c r="K26" i="3"/>
  <c r="H26" i="3"/>
  <c r="J26" i="3" s="1"/>
  <c r="S26" i="3"/>
  <c r="R26" i="3"/>
  <c r="Q26" i="3"/>
  <c r="S21" i="3"/>
  <c r="L21" i="3"/>
  <c r="C21" i="5" s="1"/>
  <c r="K21" i="3"/>
  <c r="H21" i="3"/>
  <c r="J21" i="3" s="1"/>
  <c r="Q9" i="3"/>
  <c r="P9" i="3"/>
  <c r="L9" i="3"/>
  <c r="C33" i="5" s="1"/>
  <c r="K9" i="3"/>
  <c r="H9" i="3"/>
  <c r="J9" i="3" s="1"/>
  <c r="R9" i="3"/>
  <c r="P23" i="2"/>
  <c r="G17" i="5"/>
  <c r="H17" i="5" s="1"/>
  <c r="Q36" i="4"/>
  <c r="L36" i="4"/>
  <c r="D6" i="5" s="1"/>
  <c r="K36" i="4"/>
  <c r="I36" i="4"/>
  <c r="H36" i="4"/>
  <c r="J36" i="4" s="1"/>
  <c r="S30" i="2"/>
  <c r="Q30" i="2"/>
  <c r="L30" i="2"/>
  <c r="B12" i="5" s="1"/>
  <c r="K30" i="2"/>
  <c r="H30" i="2"/>
  <c r="J30" i="2" s="1"/>
  <c r="O25" i="2"/>
  <c r="G25" i="5"/>
  <c r="H25" i="5" s="1"/>
  <c r="S29" i="4"/>
  <c r="P24" i="2"/>
  <c r="O32" i="2"/>
  <c r="G26" i="5"/>
  <c r="H26" i="5" s="1"/>
  <c r="R12" i="3"/>
  <c r="Q35" i="4"/>
  <c r="L35" i="4"/>
  <c r="D7" i="5" s="1"/>
  <c r="K35" i="4"/>
  <c r="I35" i="4"/>
  <c r="H35" i="4"/>
  <c r="J35" i="4" s="1"/>
  <c r="S29" i="2"/>
  <c r="Q29" i="2"/>
  <c r="L29" i="2"/>
  <c r="B13" i="5" s="1"/>
  <c r="K29" i="2"/>
  <c r="H29" i="2"/>
  <c r="J29" i="2" s="1"/>
  <c r="G20" i="5"/>
  <c r="H20" i="5" s="1"/>
  <c r="K17" i="2"/>
  <c r="L17" i="2"/>
  <c r="B25" i="5" s="1"/>
  <c r="H17" i="2"/>
  <c r="J17" i="2" s="1"/>
  <c r="S17" i="2"/>
  <c r="Q17" i="2"/>
  <c r="P17" i="2"/>
  <c r="O17" i="2"/>
  <c r="O22" i="2"/>
  <c r="L22" i="2"/>
  <c r="B20" i="5" s="1"/>
  <c r="H22" i="2"/>
  <c r="J22" i="2" s="1"/>
  <c r="K22" i="2"/>
  <c r="R34" i="4"/>
  <c r="P32" i="2"/>
  <c r="P13" i="2"/>
  <c r="H38" i="3"/>
  <c r="J38" i="3" s="1"/>
  <c r="R38" i="3"/>
  <c r="L38" i="3"/>
  <c r="C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L28" i="2"/>
  <c r="B14" i="5" s="1"/>
  <c r="K28" i="2"/>
  <c r="H28" i="2"/>
  <c r="J28" i="2" s="1"/>
  <c r="H17" i="3"/>
  <c r="J17" i="3" s="1"/>
  <c r="Q17" i="3"/>
  <c r="L17" i="3"/>
  <c r="C25" i="5" s="1"/>
  <c r="K17" i="3"/>
  <c r="K23" i="2"/>
  <c r="H23" i="2"/>
  <c r="J23" i="2" s="1"/>
  <c r="S23" i="2"/>
  <c r="L23" i="2"/>
  <c r="B19" i="5" s="1"/>
  <c r="K11" i="2"/>
  <c r="H11" i="2"/>
  <c r="J11" i="2" s="1"/>
  <c r="P11" i="2"/>
  <c r="S11" i="2"/>
  <c r="O11" i="2"/>
  <c r="L11" i="2"/>
  <c r="B31" i="5" s="1"/>
  <c r="S27" i="2"/>
  <c r="R27" i="2"/>
  <c r="L27" i="2"/>
  <c r="B15" i="5" s="1"/>
  <c r="K27" i="2"/>
  <c r="H27" i="2"/>
  <c r="J27" i="2" s="1"/>
  <c r="O37" i="4"/>
  <c r="R11" i="2"/>
  <c r="O36" i="4"/>
  <c r="L12" i="2"/>
  <c r="B30" i="5" s="1"/>
  <c r="H12" i="2"/>
  <c r="J12" i="2" s="1"/>
  <c r="K12" i="2"/>
  <c r="S12" i="2"/>
  <c r="Q18" i="4"/>
  <c r="L15" i="2"/>
  <c r="B27" i="5" s="1"/>
  <c r="K15" i="2"/>
  <c r="R15" i="2"/>
  <c r="H15" i="2"/>
  <c r="J15" i="2" s="1"/>
  <c r="S15" i="2"/>
  <c r="O21" i="4"/>
  <c r="P17" i="4"/>
  <c r="Q25" i="3"/>
  <c r="P25" i="3"/>
  <c r="L25" i="3"/>
  <c r="C17" i="5" s="1"/>
  <c r="K25" i="3"/>
  <c r="H25" i="3"/>
  <c r="J25" i="3" s="1"/>
  <c r="S25" i="3"/>
  <c r="R25" i="3"/>
  <c r="L20" i="3"/>
  <c r="C22" i="5" s="1"/>
  <c r="K20" i="3"/>
  <c r="H20" i="3"/>
  <c r="J20" i="3" s="1"/>
  <c r="O12" i="3"/>
  <c r="E4" i="5" l="1"/>
  <c r="E26" i="5"/>
  <c r="E31" i="5"/>
  <c r="E30" i="5"/>
  <c r="E15" i="5"/>
  <c r="E20" i="5"/>
  <c r="E25" i="5"/>
  <c r="E19" i="5"/>
  <c r="E32" i="5"/>
  <c r="E13" i="5"/>
  <c r="E16" i="5"/>
  <c r="E12" i="5"/>
  <c r="E11" i="5"/>
  <c r="E10" i="5"/>
  <c r="E27" i="5"/>
  <c r="E5" i="5"/>
  <c r="C21" i="1"/>
  <c r="B22" i="1"/>
  <c r="D52" i="1"/>
  <c r="E23" i="5"/>
  <c r="E17" i="5"/>
  <c r="E6" i="5"/>
  <c r="F30" i="5"/>
  <c r="D44" i="1"/>
  <c r="E8" i="5"/>
  <c r="E29" i="5"/>
  <c r="E9" i="5"/>
  <c r="E28" i="5"/>
  <c r="E21" i="5"/>
  <c r="E7" i="5"/>
  <c r="E22" i="5"/>
  <c r="E14" i="5"/>
  <c r="E24" i="5"/>
  <c r="E18" i="5"/>
  <c r="E33" i="5"/>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M27" i="5"/>
  <c r="M11" i="5"/>
  <c r="M17" i="5"/>
  <c r="M25" i="5"/>
  <c r="M15" i="5"/>
  <c r="M29" i="5"/>
  <c r="M28" i="5"/>
  <c r="M10" i="5"/>
  <c r="M9" i="5"/>
  <c r="M13" i="5"/>
  <c r="M26" i="5"/>
  <c r="M18" i="5"/>
  <c r="M7" i="5"/>
  <c r="M22" i="5"/>
  <c r="M6" i="5"/>
  <c r="M30" i="5"/>
  <c r="M21" i="5"/>
  <c r="M14" i="5"/>
  <c r="M19" i="5"/>
  <c r="M12" i="5"/>
  <c r="M5" i="5"/>
  <c r="M4" i="5"/>
  <c r="M24" i="5"/>
  <c r="M20" i="5"/>
  <c r="M16" i="5"/>
  <c r="M23" i="5"/>
  <c r="M8" i="5"/>
  <c r="B13" i="7" l="1"/>
  <c r="B29" i="7"/>
  <c r="B14" i="7"/>
  <c r="B30" i="7"/>
  <c r="B16" i="7"/>
  <c r="B17" i="7"/>
  <c r="B18" i="7"/>
  <c r="B19" i="7"/>
  <c r="B20" i="7"/>
  <c r="B15" i="7"/>
  <c r="B21" i="7"/>
  <c r="B6" i="7"/>
  <c r="B22" i="7"/>
  <c r="B7" i="7"/>
  <c r="B23" i="7"/>
  <c r="B8" i="7"/>
  <c r="B24" i="7"/>
  <c r="B9" i="7"/>
  <c r="B25" i="7"/>
  <c r="B31" i="7"/>
  <c r="B10" i="7"/>
  <c r="B26" i="7"/>
  <c r="B11" i="7"/>
  <c r="B27" i="7"/>
  <c r="B12" i="7"/>
  <c r="B28" i="7"/>
  <c r="B5" i="7"/>
  <c r="B48" i="1"/>
  <c r="C47" i="1"/>
  <c r="AD52" i="1"/>
  <c r="D32" i="7"/>
  <c r="D12" i="7"/>
  <c r="D9" i="7"/>
  <c r="G27" i="7"/>
  <c r="D24" i="7"/>
  <c r="D5" i="7"/>
  <c r="D22" i="7"/>
  <c r="D16" i="7"/>
  <c r="D25" i="7"/>
  <c r="G29" i="7"/>
  <c r="D7" i="7"/>
  <c r="D8" i="7"/>
  <c r="D17" i="7"/>
  <c r="D15" i="7"/>
  <c r="D33" i="7"/>
  <c r="D14" i="7"/>
  <c r="D26" i="7"/>
  <c r="D18" i="7"/>
  <c r="D23" i="7"/>
  <c r="D29" i="7"/>
  <c r="D28" i="7"/>
  <c r="D34" i="7"/>
  <c r="D13" i="7"/>
  <c r="D31" i="7"/>
  <c r="D10" i="7"/>
  <c r="D11" i="7"/>
  <c r="D27" i="7"/>
  <c r="D6" i="7"/>
  <c r="G28" i="7"/>
  <c r="D20" i="7"/>
  <c r="D21" i="7"/>
  <c r="D19" i="7"/>
  <c r="D30" i="7"/>
  <c r="G25" i="1" l="1"/>
  <c r="G48" i="1"/>
  <c r="G33" i="1"/>
  <c r="G24" i="1"/>
  <c r="G32" i="1"/>
  <c r="G38" i="1"/>
  <c r="G39" i="1"/>
  <c r="G23" i="1"/>
  <c r="G31" i="1"/>
  <c r="G40" i="1"/>
  <c r="G28" i="1"/>
  <c r="G22" i="1"/>
  <c r="G30" i="1"/>
  <c r="G26" i="1"/>
  <c r="G34" i="1"/>
  <c r="G44" i="1"/>
  <c r="G37" i="1"/>
  <c r="G29" i="1"/>
  <c r="G42" i="1"/>
  <c r="G20" i="1"/>
  <c r="G35" i="1"/>
  <c r="G41" i="1"/>
  <c r="G45" i="1"/>
  <c r="G43" i="1"/>
  <c r="G47" i="1"/>
  <c r="G21" i="1"/>
  <c r="G36" i="1"/>
  <c r="G46" i="1"/>
  <c r="G27" i="1"/>
  <c r="G19"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48" i="1"/>
  <c r="AE52" i="1"/>
  <c r="I36" i="1"/>
  <c r="I34" i="1"/>
  <c r="I27" i="1"/>
  <c r="I37" i="1"/>
  <c r="I44" i="1"/>
  <c r="I32" i="1"/>
  <c r="I20" i="1"/>
  <c r="I23" i="1"/>
  <c r="I19" i="1"/>
  <c r="I31" i="1"/>
  <c r="I47" i="1"/>
  <c r="I21" i="1"/>
  <c r="I25" i="1"/>
  <c r="I24" i="1"/>
  <c r="I42" i="1"/>
  <c r="I28" i="1"/>
  <c r="I26" i="1"/>
  <c r="I39" i="1"/>
  <c r="I33" i="1"/>
  <c r="I41" i="1"/>
  <c r="I35" i="1"/>
  <c r="I43" i="1"/>
  <c r="I45" i="1"/>
  <c r="I29" i="1"/>
  <c r="I40" i="1"/>
  <c r="I22" i="1"/>
  <c r="I46" i="1"/>
  <c r="I30" i="1"/>
  <c r="I48" i="1"/>
  <c r="I38" i="1"/>
</calcChain>
</file>

<file path=xl/sharedStrings.xml><?xml version="1.0" encoding="utf-8"?>
<sst xmlns="http://schemas.openxmlformats.org/spreadsheetml/2006/main" count="427" uniqueCount="183">
  <si>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</si>
  <si>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</si>
  <si>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</si>
  <si>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</si>
  <si>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</si>
  <si>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</si>
  <si>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</si>
  <si>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</si>
  <si>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</si>
  <si>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</si>
  <si>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</si>
  <si>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</si>
  <si>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</si>
  <si>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</si>
  <si>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</si>
  <si>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</si>
  <si>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</si>
  <si>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</si>
  <si>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</si>
  <si>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</si>
  <si>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</si>
  <si>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</si>
  <si>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</si>
  <si>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</si>
  <si>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</si>
  <si>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</si>
  <si>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</si>
  <si>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</si>
  <si>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</si>
  <si>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</si>
  <si>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</si>
  <si>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</si>
  <si>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</si>
  <si>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</si>
  <si>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</si>
  <si>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</si>
  <si>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</si>
  <si>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</si>
  <si>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</si>
  <si>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</si>
  <si>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</si>
  <si>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</si>
  <si>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</si>
  <si>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</si>
  <si>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</si>
  <si>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</si>
  <si>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</si>
  <si>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</si>
  <si>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</si>
  <si>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</si>
  <si>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</si>
  <si>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</si>
  <si>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</si>
  <si>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</si>
  <si>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</si>
  <si>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</si>
  <si>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</si>
  <si>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</si>
  <si>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</si>
  <si>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</si>
  <si>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</si>
  <si>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</si>
  <si>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</si>
  <si>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</si>
  <si>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</si>
  <si>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</si>
  <si>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</si>
  <si>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</si>
  <si>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</si>
  <si>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</si>
  <si>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</si>
  <si>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</si>
  <si>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</si>
  <si>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</si>
  <si>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</si>
  <si>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</si>
  <si>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</si>
  <si>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</si>
  <si>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</si>
  <si>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</si>
  <si>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</si>
  <si>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</si>
  <si>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</si>
  <si>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</si>
  <si>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</si>
  <si>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</si>
  <si>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</si>
  <si>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</si>
  <si>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</si>
  <si>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</si>
  <si>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</si>
  <si>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</si>
  <si>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</si>
  <si>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</si>
  <si>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</si>
  <si>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</si>
  <si>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</si>
  <si>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</si>
  <si>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</si>
  <si>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</si>
  <si>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</si>
  <si>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</si>
  <si>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</si>
  <si>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</si>
  <si>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</si>
  <si>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</si>
  <si>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</si>
  <si>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</si>
  <si>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</si>
  <si>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</si>
  <si>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</si>
  <si>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</si>
  <si>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</si>
  <si>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</si>
  <si>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</si>
  <si>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</si>
  <si>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</si>
  <si>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</si>
  <si>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</si>
  <si>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</si>
  <si>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</si>
  <si>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</si>
  <si>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</si>
  <si>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</si>
  <si>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</si>
  <si>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</si>
  <si>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</si>
  <si>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</si>
  <si>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</si>
  <si>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</si>
  <si>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</si>
  <si>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</si>
  <si>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</si>
  <si>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</si>
  <si>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</si>
  <si>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</si>
  <si>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</si>
  <si>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</si>
  <si>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</si>
  <si>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</si>
  <si>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</si>
  <si>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</si>
  <si>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</si>
  <si>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</si>
  <si>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</si>
  <si>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</si>
  <si>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</si>
  <si>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</si>
  <si>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</si>
  <si>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</si>
  <si>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</si>
  <si>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</si>
  <si>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</si>
  <si>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</si>
  <si>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</si>
  <si>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</si>
  <si>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</si>
  <si>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</si>
  <si>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</si>
  <si>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</si>
  <si>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</si>
  <si>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</si>
  <si>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</si>
  <si>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</si>
  <si>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</si>
  <si>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</si>
  <si>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</si>
  <si>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</si>
  <si>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</si>
  <si>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</si>
  <si>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</si>
  <si>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</si>
  <si>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</si>
  <si>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</si>
  <si>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</si>
  <si>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</si>
  <si>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</si>
  <si>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</si>
  <si>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</si>
  <si>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</si>
  <si>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</si>
  <si>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SRM2806d</t>
  </si>
  <si>
    <t>Beam Flow Correction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</si>
</sst>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1" x14ac:knownFonts="1">
    <font>
      <sz val="10"/>
      <name val="Arial"/>
      <family val="2"/>
    </font>
    <font>
      <sz val="11"/>
      <color theme="1"/>
      <name val="Arial"/>
      <family val="2"/>
      <scheme val="minor"/>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34998626667073579"/>
      <name val="Arial"/>
      <family val="2"/>
      <scheme val="minor"/>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s>
  <cellStyleXfs count="6">
    <xf numFmtId="0" fontId="0" fillId="0" borderId="0"/>
    <xf numFmtId="9" fontId="4" fillId="0" borderId="0" applyFont="0" applyFill="0" applyBorder="0" applyAlignment="0" applyProtection="0"/>
    <xf numFmtId="0" fontId="3" fillId="2" borderId="1" applyNumberFormat="0" applyAlignment="0" applyProtection="0"/>
    <xf numFmtId="0" fontId="2" fillId="3" borderId="0" applyNumberFormat="0" applyBorder="0" applyAlignment="0" applyProtection="0"/>
    <xf numFmtId="0" fontId="24" fillId="0" borderId="22" applyNumberFormat="0" applyFill="0" applyAlignment="0" applyProtection="0"/>
    <xf numFmtId="0" fontId="29" fillId="0" borderId="0"/>
  </cellStyleXfs>
  <cellXfs count="158">
    <xf numFmtId="0" fontId="0" fillId="0" borderId="0" xfId="0"/>
    <xf numFmtId="0" fontId="5"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6" fillId="0" borderId="0" xfId="0" applyFont="1"/>
    <xf numFmtId="0" fontId="7" fillId="0" borderId="0" xfId="0" applyFont="1"/>
    <xf numFmtId="0" fontId="0" fillId="0" borderId="0" xfId="0" applyAlignment="1">
      <alignment horizontal="right" vertical="center"/>
    </xf>
    <xf numFmtId="0" fontId="4"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9" fillId="0" borderId="5" xfId="0" applyFont="1" applyBorder="1" applyAlignment="1">
      <alignment horizontal="right"/>
    </xf>
    <xf numFmtId="0" fontId="9" fillId="0" borderId="0" xfId="0" applyFont="1" applyAlignment="1">
      <alignment horizontal="right"/>
    </xf>
    <xf numFmtId="0" fontId="0" fillId="0" borderId="5" xfId="0" applyBorder="1"/>
    <xf numFmtId="1" fontId="0" fillId="0" borderId="0" xfId="0" applyNumberFormat="1"/>
    <xf numFmtId="0" fontId="8" fillId="0" borderId="0" xfId="0" applyFont="1"/>
    <xf numFmtId="164" fontId="0" fillId="0" borderId="0" xfId="0" applyNumberFormat="1" applyAlignment="1">
      <alignment horizontal="right" vertical="center"/>
    </xf>
    <xf numFmtId="2" fontId="4" fillId="0" borderId="0" xfId="0" applyNumberFormat="1" applyFont="1"/>
    <xf numFmtId="0" fontId="0" fillId="0" borderId="0" xfId="0" applyAlignment="1">
      <alignment horizontal="left"/>
    </xf>
    <xf numFmtId="0" fontId="2" fillId="3" borderId="0" xfId="3" applyAlignment="1">
      <alignment horizontal="left"/>
    </xf>
    <xf numFmtId="0" fontId="0" fillId="0" borderId="5" xfId="0" applyBorder="1" applyAlignment="1">
      <alignment horizontal="right"/>
    </xf>
    <xf numFmtId="165" fontId="0" fillId="0" borderId="0" xfId="0" applyNumberFormat="1" applyAlignment="1">
      <alignment horizontal="lef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1" fillId="0" borderId="0" xfId="0" applyFont="1"/>
    <xf numFmtId="0" fontId="9" fillId="0" borderId="10" xfId="0" applyFont="1" applyBorder="1"/>
    <xf numFmtId="0" fontId="9" fillId="0" borderId="0" xfId="0" applyFont="1"/>
    <xf numFmtId="164" fontId="9" fillId="0" borderId="11" xfId="0" applyNumberFormat="1" applyFont="1" applyBorder="1"/>
    <xf numFmtId="0" fontId="10" fillId="0" borderId="0" xfId="0" applyFont="1"/>
    <xf numFmtId="164" fontId="0" fillId="0" borderId="0" xfId="0" applyNumberFormat="1"/>
    <xf numFmtId="165" fontId="0" fillId="0" borderId="0" xfId="0" applyNumberFormat="1"/>
    <xf numFmtId="166" fontId="9" fillId="0" borderId="0" xfId="0" applyNumberFormat="1" applyFont="1" applyAlignment="1">
      <alignment horizontal="right"/>
    </xf>
    <xf numFmtId="167" fontId="0" fillId="0" borderId="0" xfId="0" applyNumberFormat="1"/>
    <xf numFmtId="166" fontId="9" fillId="0" borderId="0" xfId="0" applyNumberFormat="1" applyFont="1"/>
    <xf numFmtId="1" fontId="0" fillId="0" borderId="0" xfId="0" applyNumberFormat="1" applyAlignment="1">
      <alignment horizontal="right"/>
    </xf>
    <xf numFmtId="10" fontId="0" fillId="0" borderId="0" xfId="0" applyNumberFormat="1"/>
    <xf numFmtId="0" fontId="0" fillId="0" borderId="13" xfId="0" applyBorder="1"/>
    <xf numFmtId="0" fontId="0" fillId="0" borderId="14" xfId="0" applyBorder="1" applyAlignment="1">
      <alignment horizontal="right"/>
    </xf>
    <xf numFmtId="0" fontId="0" fillId="0" borderId="13" xfId="0" applyBorder="1" applyAlignment="1">
      <alignment horizontal="right"/>
    </xf>
    <xf numFmtId="0" fontId="0" fillId="0" borderId="14" xfId="0" applyBorder="1"/>
    <xf numFmtId="0" fontId="0" fillId="0" borderId="15" xfId="0" applyBorder="1"/>
    <xf numFmtId="0" fontId="0" fillId="0" borderId="16" xfId="0" applyBorder="1" applyAlignment="1">
      <alignment horizontal="right"/>
    </xf>
    <xf numFmtId="0" fontId="0" fillId="0" borderId="17" xfId="0" applyBorder="1" applyAlignment="1">
      <alignment horizontal="right"/>
    </xf>
    <xf numFmtId="0" fontId="0" fillId="0" borderId="18" xfId="0" applyBorder="1" applyAlignment="1">
      <alignment horizontal="right"/>
    </xf>
    <xf numFmtId="0" fontId="0" fillId="0" borderId="19" xfId="0" applyBorder="1"/>
    <xf numFmtId="0" fontId="0" fillId="0" borderId="20" xfId="0" applyBorder="1"/>
    <xf numFmtId="0" fontId="0" fillId="0" borderId="16" xfId="0" applyBorder="1"/>
    <xf numFmtId="0" fontId="0" fillId="0" borderId="17" xfId="0" applyBorder="1"/>
    <xf numFmtId="0" fontId="0" fillId="0" borderId="18" xfId="0" applyBorder="1"/>
    <xf numFmtId="0" fontId="2" fillId="3" borderId="0" xfId="3"/>
    <xf numFmtId="0" fontId="9" fillId="0" borderId="12" xfId="0" applyFont="1" applyBorder="1" applyAlignment="1">
      <alignment horizontal="right"/>
    </xf>
    <xf numFmtId="0" fontId="14" fillId="0" borderId="0" xfId="0" applyFont="1"/>
    <xf numFmtId="0" fontId="15" fillId="0" borderId="0" xfId="0" applyFont="1" applyAlignment="1">
      <alignment horizontal="right"/>
    </xf>
    <xf numFmtId="0" fontId="15" fillId="0" borderId="0" xfId="0" applyFont="1"/>
    <xf numFmtId="0" fontId="16" fillId="0" borderId="0" xfId="0" applyFont="1"/>
    <xf numFmtId="0" fontId="0" fillId="4" borderId="21" xfId="0" applyFill="1" applyBorder="1" applyAlignment="1">
      <alignment horizontal="center" vertical="center" wrapText="1"/>
    </xf>
    <xf numFmtId="0" fontId="0" fillId="4" borderId="21" xfId="0" applyFill="1" applyBorder="1" applyAlignment="1">
      <alignment horizontal="center" wrapText="1"/>
    </xf>
    <xf numFmtId="0" fontId="9" fillId="5" borderId="21" xfId="0" applyFont="1" applyFill="1" applyBorder="1" applyAlignment="1">
      <alignment horizontal="center"/>
    </xf>
    <xf numFmtId="0" fontId="9" fillId="5" borderId="21" xfId="0" applyFont="1" applyFill="1" applyBorder="1" applyAlignment="1">
      <alignment horizontal="center" wrapText="1"/>
    </xf>
    <xf numFmtId="0" fontId="0" fillId="5" borderId="21" xfId="0" applyFill="1" applyBorder="1" applyAlignment="1">
      <alignment horizontal="center" vertical="center"/>
    </xf>
    <xf numFmtId="0" fontId="0" fillId="5" borderId="21" xfId="0" applyFill="1" applyBorder="1" applyAlignment="1">
      <alignment horizontal="center" wrapText="1"/>
    </xf>
    <xf numFmtId="0" fontId="0" fillId="5" borderId="21" xfId="0" applyFill="1" applyBorder="1" applyAlignment="1">
      <alignment horizontal="center"/>
    </xf>
    <xf numFmtId="0" fontId="18" fillId="5" borderId="21" xfId="0" applyFont="1" applyFill="1" applyBorder="1" applyAlignment="1">
      <alignment horizontal="center"/>
    </xf>
    <xf numFmtId="0" fontId="19" fillId="0" borderId="0" xfId="0" applyFont="1" applyAlignment="1">
      <alignment horizontal="right"/>
    </xf>
    <xf numFmtId="10" fontId="20" fillId="0" borderId="0" xfId="0" applyNumberFormat="1" applyFont="1" applyAlignment="1">
      <alignment horizontal="right"/>
    </xf>
    <xf numFmtId="0" fontId="0" fillId="6" borderId="21" xfId="0" applyFill="1" applyBorder="1"/>
    <xf numFmtId="0" fontId="0" fillId="0" borderId="21" xfId="0" applyBorder="1"/>
    <xf numFmtId="3" fontId="0" fillId="0" borderId="0" xfId="0" applyNumberFormat="1"/>
    <xf numFmtId="0" fontId="8" fillId="0" borderId="0" xfId="0" applyFont="1" applyAlignment="1">
      <alignment horizontal="right"/>
    </xf>
    <xf numFmtId="164" fontId="8" fillId="0" borderId="0" xfId="0" applyNumberFormat="1" applyFont="1" applyAlignment="1">
      <alignment horizontal="right"/>
    </xf>
    <xf numFmtId="0" fontId="7" fillId="0" borderId="0" xfId="0" applyFont="1" applyAlignment="1">
      <alignment horizontal="right"/>
    </xf>
    <xf numFmtId="164" fontId="7" fillId="0" borderId="0" xfId="0" applyNumberFormat="1" applyFont="1" applyAlignment="1">
      <alignment horizontal="right"/>
    </xf>
    <xf numFmtId="0" fontId="0" fillId="0" borderId="0" xfId="0" applyProtection="1">
      <protection locked="0"/>
    </xf>
    <xf numFmtId="0" fontId="0" fillId="0" borderId="14" xfId="0" applyBorder="1" applyProtection="1">
      <protection locked="0"/>
    </xf>
    <xf numFmtId="168" fontId="0" fillId="0" borderId="19" xfId="0" applyNumberFormat="1" applyBorder="1" applyProtection="1">
      <protection locked="0"/>
    </xf>
    <xf numFmtId="0" fontId="9" fillId="0" borderId="19" xfId="0" applyFont="1" applyBorder="1" applyProtection="1">
      <protection locked="0"/>
    </xf>
    <xf numFmtId="2" fontId="0" fillId="0" borderId="19" xfId="0" applyNumberFormat="1" applyBorder="1" applyProtection="1">
      <protection locked="0"/>
    </xf>
    <xf numFmtId="1" fontId="9" fillId="0" borderId="19" xfId="0" applyNumberFormat="1" applyFont="1" applyBorder="1" applyProtection="1">
      <protection locked="0"/>
    </xf>
    <xf numFmtId="1" fontId="0" fillId="0" borderId="19" xfId="0" applyNumberFormat="1" applyBorder="1" applyProtection="1">
      <protection locked="0"/>
    </xf>
    <xf numFmtId="166" fontId="0" fillId="0" borderId="19" xfId="0" applyNumberFormat="1" applyBorder="1"/>
    <xf numFmtId="0" fontId="9" fillId="0" borderId="19" xfId="0" applyFont="1" applyBorder="1"/>
    <xf numFmtId="0" fontId="21" fillId="0" borderId="0" xfId="0" applyFont="1"/>
    <xf numFmtId="2" fontId="0" fillId="0" borderId="0" xfId="0" applyNumberFormat="1"/>
    <xf numFmtId="0" fontId="23" fillId="0" borderId="0" xfId="0" applyFont="1" applyAlignment="1">
      <alignment vertical="center"/>
    </xf>
    <xf numFmtId="1" fontId="3" fillId="2" borderId="1" xfId="2" applyNumberFormat="1"/>
    <xf numFmtId="0" fontId="25" fillId="0" borderId="0" xfId="0" applyFont="1" applyAlignment="1">
      <alignment horizontal="right"/>
    </xf>
    <xf numFmtId="0" fontId="26" fillId="0" borderId="0" xfId="0" applyFont="1"/>
    <xf numFmtId="167" fontId="26" fillId="0" borderId="0" xfId="1" applyNumberFormat="1" applyFont="1"/>
    <xf numFmtId="166" fontId="26" fillId="0" borderId="0" xfId="0" applyNumberFormat="1" applyFont="1"/>
    <xf numFmtId="166" fontId="3" fillId="2" borderId="1" xfId="2" applyNumberFormat="1"/>
    <xf numFmtId="1" fontId="26" fillId="0" borderId="0" xfId="0" applyNumberFormat="1" applyFont="1"/>
    <xf numFmtId="0" fontId="18" fillId="0" borderId="21" xfId="0" applyFont="1" applyBorder="1" applyAlignment="1">
      <alignment horizontal="center" vertical="center"/>
    </xf>
    <xf numFmtId="0" fontId="18" fillId="0" borderId="21" xfId="0" applyFont="1" applyBorder="1" applyAlignment="1">
      <alignment horizontal="center" vertical="center" wrapText="1"/>
    </xf>
    <xf numFmtId="0" fontId="18" fillId="0" borderId="21" xfId="0" applyFont="1" applyBorder="1" applyAlignment="1">
      <alignment horizontal="center" wrapText="1"/>
    </xf>
    <xf numFmtId="0" fontId="18" fillId="0" borderId="21" xfId="0" applyFont="1" applyBorder="1" applyAlignment="1">
      <alignment horizontal="center"/>
    </xf>
    <xf numFmtId="1" fontId="26" fillId="0" borderId="14" xfId="0" applyNumberFormat="1" applyFont="1" applyBorder="1"/>
    <xf numFmtId="0" fontId="25" fillId="0" borderId="14" xfId="0" applyFont="1" applyBorder="1"/>
    <xf numFmtId="0" fontId="25" fillId="0" borderId="0" xfId="0" applyFont="1"/>
    <xf numFmtId="0" fontId="26" fillId="0" borderId="17" xfId="0" applyFont="1" applyBorder="1"/>
    <xf numFmtId="0" fontId="25" fillId="0" borderId="17" xfId="0" applyFont="1" applyBorder="1"/>
    <xf numFmtId="0" fontId="26" fillId="0" borderId="13" xfId="0" applyFont="1" applyBorder="1"/>
    <xf numFmtId="1" fontId="25" fillId="0" borderId="15" xfId="0" applyNumberFormat="1" applyFont="1" applyBorder="1"/>
    <xf numFmtId="0" fontId="26" fillId="0" borderId="19" xfId="0" applyFont="1" applyBorder="1"/>
    <xf numFmtId="1" fontId="25" fillId="0" borderId="20" xfId="0" applyNumberFormat="1" applyFont="1" applyBorder="1"/>
    <xf numFmtId="0" fontId="26" fillId="0" borderId="16" xfId="0" applyFont="1" applyBorder="1"/>
    <xf numFmtId="1" fontId="25" fillId="0" borderId="18" xfId="0" applyNumberFormat="1" applyFont="1" applyBorder="1"/>
    <xf numFmtId="0" fontId="0" fillId="0" borderId="2" xfId="0" applyBorder="1"/>
    <xf numFmtId="0" fontId="0" fillId="0" borderId="3" xfId="0" applyBorder="1"/>
    <xf numFmtId="0" fontId="3" fillId="2" borderId="25" xfId="2" applyBorder="1"/>
    <xf numFmtId="0" fontId="3" fillId="2" borderId="26" xfId="2" applyBorder="1"/>
    <xf numFmtId="0" fontId="3" fillId="2" borderId="27" xfId="2" applyBorder="1"/>
    <xf numFmtId="1" fontId="25" fillId="0" borderId="0" xfId="0" applyNumberFormat="1" applyFont="1"/>
    <xf numFmtId="165" fontId="3" fillId="2" borderId="1" xfId="2" applyNumberFormat="1"/>
    <xf numFmtId="0" fontId="29" fillId="0" borderId="0" xfId="5"/>
    <xf numFmtId="0" fontId="9"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3" fillId="2" borderId="25" xfId="2" applyNumberFormat="1" applyBorder="1"/>
    <xf numFmtId="1" fontId="3" fillId="2" borderId="26" xfId="2" applyNumberFormat="1" applyBorder="1"/>
    <xf numFmtId="1" fontId="3" fillId="2" borderId="27" xfId="2" applyNumberFormat="1" applyBorder="1"/>
    <xf numFmtId="164" fontId="2" fillId="3" borderId="0" xfId="3" applyNumberFormat="1" applyAlignment="1">
      <alignment horizontal="left"/>
    </xf>
    <xf numFmtId="166" fontId="27" fillId="2" borderId="1" xfId="2" applyNumberFormat="1" applyFont="1"/>
    <xf numFmtId="0" fontId="26" fillId="0" borderId="0" xfId="0" applyFont="1" applyAlignment="1">
      <alignment horizontal="right"/>
    </xf>
    <xf numFmtId="0" fontId="26" fillId="0" borderId="2" xfId="0" applyFont="1" applyBorder="1"/>
    <xf numFmtId="166" fontId="26" fillId="0" borderId="4" xfId="0" applyNumberFormat="1" applyFont="1" applyBorder="1"/>
    <xf numFmtId="0" fontId="26" fillId="0" borderId="5" xfId="0" applyFont="1" applyBorder="1"/>
    <xf numFmtId="166" fontId="26" fillId="0" borderId="6" xfId="0" applyNumberFormat="1" applyFont="1" applyBorder="1"/>
    <xf numFmtId="0" fontId="26" fillId="0" borderId="7" xfId="0" applyFont="1" applyBorder="1"/>
    <xf numFmtId="166" fontId="26" fillId="0" borderId="9" xfId="0" applyNumberFormat="1" applyFont="1" applyBorder="1"/>
    <xf numFmtId="0" fontId="24" fillId="0" borderId="22" xfId="4"/>
    <xf numFmtId="0" fontId="24" fillId="0" borderId="28" xfId="4" applyBorder="1" applyAlignment="1">
      <alignment horizontal="left"/>
    </xf>
    <xf numFmtId="0" fontId="29"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0" fontId="9" fillId="0" borderId="5" xfId="0" applyFont="1" applyBorder="1" applyProtection="1">
      <protection locked="0"/>
    </xf>
    <xf numFmtId="2" fontId="0" fillId="0" borderId="5" xfId="0" applyNumberFormat="1" applyBorder="1" applyProtection="1">
      <protection locked="0"/>
    </xf>
    <xf numFmtId="1" fontId="9" fillId="0" borderId="5" xfId="0" applyNumberFormat="1" applyFont="1" applyBorder="1" applyProtection="1">
      <protection locked="0"/>
    </xf>
    <xf numFmtId="166" fontId="0" fillId="0" borderId="5" xfId="0" applyNumberFormat="1" applyBorder="1"/>
    <xf numFmtId="0" fontId="0" fillId="0" borderId="8" xfId="0" applyBorder="1"/>
    <xf numFmtId="10" fontId="3" fillId="2" borderId="1" xfId="2" applyNumberFormat="1"/>
    <xf numFmtId="0" fontId="28" fillId="2" borderId="1" xfId="2" applyFont="1"/>
    <xf numFmtId="0" fontId="1" fillId="3" borderId="0" xfId="3" applyFont="1"/>
    <xf numFmtId="0" fontId="10" fillId="0" borderId="0" xfId="0" applyFont="1" applyAlignment="1">
      <alignment horizontal="left" vertical="center"/>
    </xf>
    <xf numFmtId="0" fontId="0" fillId="0" borderId="0" xfId="0" applyAlignment="1">
      <alignment vertical="center" wrapText="1"/>
    </xf>
    <xf numFmtId="0" fontId="18" fillId="0" borderId="23" xfId="0" applyFont="1" applyBorder="1" applyAlignment="1">
      <alignment horizontal="center"/>
    </xf>
    <xf numFmtId="0" fontId="18" fillId="0" borderId="24" xfId="0" applyFont="1" applyBorder="1" applyAlignment="1">
      <alignment horizontal="center"/>
    </xf>
    <xf numFmtId="0" fontId="0" fillId="0" borderId="23" xfId="0" applyBorder="1" applyAlignment="1">
      <alignment wrapText="1"/>
    </xf>
    <xf numFmtId="0" fontId="0" fillId="0" borderId="24" xfId="0" applyBorder="1" applyAlignment="1">
      <alignment wrapText="1"/>
    </xf>
    <xf numFmtId="0" fontId="30" fillId="0" borderId="10" xfId="3" applyFont="1" applyFill="1" applyBorder="1"/>
    <xf numFmtId="164" fontId="30" fillId="0" borderId="11" xfId="3" applyNumberFormat="1" applyFont="1" applyFill="1" applyBorder="1"/>
    <xf numFmtId="0" fontId="30" fillId="0" borderId="11" xfId="3" applyFont="1" applyFill="1" applyBorder="1" applyAlignment="1">
      <alignment horizontal="right"/>
    </xf>
  </cellXfs>
  <cellStyles count="6">
    <cellStyle name="20% - Accent2" xfId="3" builtinId="34"/>
    <cellStyle name="Calculation" xfId="2" builtinId="22"/>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0</c:v>
                </c:pt>
                <c:pt idx="1">
                  <c:v>-5.7138042980502401E-2</c:v>
                </c:pt>
                <c:pt idx="2">
                  <c:v>4.3562962328335342E-2</c:v>
                </c:pt>
                <c:pt idx="3">
                  <c:v>1.0843533565021879E-2</c:v>
                </c:pt>
                <c:pt idx="4">
                  <c:v>2.7315470871447367E-3</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0</c:v>
                </c:pt>
                <c:pt idx="1">
                  <c:v>-5.4006712184523242E-2</c:v>
                </c:pt>
                <c:pt idx="2">
                  <c:v>4.1995574627396781E-2</c:v>
                </c:pt>
                <c:pt idx="3">
                  <c:v>1.01068478489581E-2</c:v>
                </c:pt>
                <c:pt idx="4">
                  <c:v>1.9042897081686938E-3</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4.9283072075745338E-2</c:v>
                </c:pt>
                <c:pt idx="1">
                  <c:v>-6.5088658829121959E-2</c:v>
                </c:pt>
                <c:pt idx="2">
                  <c:v>2.78049852512261E-2</c:v>
                </c:pt>
                <c:pt idx="3">
                  <c:v>-2.6138915914883931E-3</c:v>
                </c:pt>
                <c:pt idx="4">
                  <c:v>-9.3855069063609742E-3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4.8943817990677152E-2</c:v>
                </c:pt>
                <c:pt idx="1">
                  <c:v>-6.2098396079599216E-2</c:v>
                </c:pt>
                <c:pt idx="2">
                  <c:v>2.5894210355286384E-2</c:v>
                </c:pt>
                <c:pt idx="3">
                  <c:v>-5.0531673590389348E-3</c:v>
                </c:pt>
                <c:pt idx="4">
                  <c:v>-7.6864649073253855E-3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4.6820192798304294E-2</c:v>
                </c:pt>
                <c:pt idx="1">
                  <c:v>-6.1368818114446611E-2</c:v>
                </c:pt>
                <c:pt idx="2">
                  <c:v>2.6006200915070776E-2</c:v>
                </c:pt>
                <c:pt idx="3">
                  <c:v>-4.6452604313668155E-3</c:v>
                </c:pt>
                <c:pt idx="4">
                  <c:v>-6.8123151675616445E-3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4.6036605344431214E-2</c:v>
                </c:pt>
                <c:pt idx="1">
                  <c:v>-5.8661733037227437E-2</c:v>
                </c:pt>
                <c:pt idx="2">
                  <c:v>2.4667540599463411E-2</c:v>
                </c:pt>
                <c:pt idx="3">
                  <c:v>-5.8559611200786899E-3</c:v>
                </c:pt>
                <c:pt idx="4">
                  <c:v>-6.1864517865890534E-3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4.4582991725052423E-2</c:v>
                </c:pt>
                <c:pt idx="1">
                  <c:v>-5.7114422033132772E-2</c:v>
                </c:pt>
                <c:pt idx="2">
                  <c:v>2.2249331323979771E-2</c:v>
                </c:pt>
                <c:pt idx="3">
                  <c:v>-3.8184283032337563E-3</c:v>
                </c:pt>
                <c:pt idx="4">
                  <c:v>-5.8994727126656654E-3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4.2935817929598441E-2</c:v>
                </c:pt>
                <c:pt idx="1">
                  <c:v>-5.7649222424761226E-2</c:v>
                </c:pt>
                <c:pt idx="2">
                  <c:v>2.2529940025875383E-2</c:v>
                </c:pt>
                <c:pt idx="3">
                  <c:v>-3.127512078565875E-3</c:v>
                </c:pt>
                <c:pt idx="4">
                  <c:v>-4.6890234521470564E-3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4.5007480962547808E-2</c:v>
                </c:pt>
                <c:pt idx="1">
                  <c:v>-5.7778997847262037E-2</c:v>
                </c:pt>
                <c:pt idx="2">
                  <c:v>2.2277734311810127E-2</c:v>
                </c:pt>
                <c:pt idx="3">
                  <c:v>-2.2729287613457716E-3</c:v>
                </c:pt>
                <c:pt idx="4">
                  <c:v>-7.233288665749571E-3</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4.4315595198824331E-2</c:v>
                </c:pt>
                <c:pt idx="1">
                  <c:v>-5.5355548369849683E-2</c:v>
                </c:pt>
                <c:pt idx="2">
                  <c:v>1.8836581586823886E-2</c:v>
                </c:pt>
                <c:pt idx="3">
                  <c:v>-1.1749103092540958E-3</c:v>
                </c:pt>
                <c:pt idx="4">
                  <c:v>-6.6217181065444386E-3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4.2088903374150055E-2</c:v>
                </c:pt>
                <c:pt idx="1">
                  <c:v>-5.290564429774558E-2</c:v>
                </c:pt>
                <c:pt idx="2">
                  <c:v>2.1884683312436648E-2</c:v>
                </c:pt>
                <c:pt idx="3">
                  <c:v>-1.3620156282933005E-3</c:v>
                </c:pt>
                <c:pt idx="4">
                  <c:v>-9.7059267605483779E-3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3.9617994564117742E-2</c:v>
                </c:pt>
                <c:pt idx="1">
                  <c:v>-5.0265488985892781E-2</c:v>
                </c:pt>
                <c:pt idx="2">
                  <c:v>2.4636662033618251E-2</c:v>
                </c:pt>
                <c:pt idx="3">
                  <c:v>-4.8718136335857976E-3</c:v>
                </c:pt>
                <c:pt idx="4">
                  <c:v>-9.1173539782578583E-3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2.34113366890214E-2</c:v>
                </c:pt>
                <c:pt idx="1">
                  <c:v>0</c:v>
                </c:pt>
                <c:pt idx="2">
                  <c:v>8.8589984858071791E-3</c:v>
                </c:pt>
                <c:pt idx="3">
                  <c:v>-1.2804203547253534E-2</c:v>
                </c:pt>
                <c:pt idx="4">
                  <c:v>-1.9466131627575489E-2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2.1911810442745372E-2</c:v>
                </c:pt>
                <c:pt idx="1">
                  <c:v>0</c:v>
                </c:pt>
                <c:pt idx="2">
                  <c:v>1.0147834555964463E-2</c:v>
                </c:pt>
                <c:pt idx="3">
                  <c:v>-1.3172345391521678E-2</c:v>
                </c:pt>
                <c:pt idx="4">
                  <c:v>-1.8887299607188379E-2</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2.6192569440578239E-2</c:v>
                </c:pt>
                <c:pt idx="1">
                  <c:v>0</c:v>
                </c:pt>
                <c:pt idx="2">
                  <c:v>1.0323756628585423E-2</c:v>
                </c:pt>
                <c:pt idx="3">
                  <c:v>-2.0319074106604496E-2</c:v>
                </c:pt>
                <c:pt idx="4">
                  <c:v>-1.6197251962559167E-2</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2.6487063348977324E-2</c:v>
                </c:pt>
                <c:pt idx="1">
                  <c:v>0</c:v>
                </c:pt>
                <c:pt idx="2">
                  <c:v>-2.7409442144384899E-3</c:v>
                </c:pt>
                <c:pt idx="3">
                  <c:v>-1.1702215797581905E-2</c:v>
                </c:pt>
                <c:pt idx="4">
                  <c:v>-1.2043903336956707E-2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2.2283085378358214E-2</c:v>
                </c:pt>
                <c:pt idx="1">
                  <c:v>0</c:v>
                </c:pt>
                <c:pt idx="2">
                  <c:v>3.6562739540755285E-3</c:v>
                </c:pt>
                <c:pt idx="3">
                  <c:v>-7.0552073391724202E-3</c:v>
                </c:pt>
                <c:pt idx="4">
                  <c:v>-1.88841519932611E-2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3.0357646585095877E-2</c:v>
                </c:pt>
                <c:pt idx="1">
                  <c:v>0</c:v>
                </c:pt>
                <c:pt idx="2">
                  <c:v>1.363824964080429E-2</c:v>
                </c:pt>
                <c:pt idx="3">
                  <c:v>-6.9316088476555349E-3</c:v>
                </c:pt>
                <c:pt idx="4">
                  <c:v>-3.7064287378244409E-2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4.173527583961878E-2</c:v>
                </c:pt>
                <c:pt idx="1">
                  <c:v>0</c:v>
                </c:pt>
                <c:pt idx="2">
                  <c:v>1.210532131091191E-2</c:v>
                </c:pt>
                <c:pt idx="3">
                  <c:v>-9.4709679064666208E-3</c:v>
                </c:pt>
                <c:pt idx="4">
                  <c:v>-4.4369629244064068E-2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3.7015279972856918E-2</c:v>
                </c:pt>
                <c:pt idx="1">
                  <c:v>0</c:v>
                </c:pt>
                <c:pt idx="2">
                  <c:v>-2.0564563274255709E-3</c:v>
                </c:pt>
                <c:pt idx="3">
                  <c:v>1.3602942089516068E-2</c:v>
                </c:pt>
                <c:pt idx="4">
                  <c:v>-4.8561765734946971E-2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5.8709972865730098E-2</c:v>
                </c:pt>
                <c:pt idx="1">
                  <c:v>-4.7598082438958689E-2</c:v>
                </c:pt>
                <c:pt idx="2">
                  <c:v>2.7108972797607045E-3</c:v>
                </c:pt>
                <c:pt idx="3">
                  <c:v>2.8803118293757812E-2</c:v>
                </c:pt>
                <c:pt idx="4">
                  <c:v>-4.2625906000290481E-2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5.6949300181456719E-2</c:v>
                </c:pt>
                <c:pt idx="1">
                  <c:v>-4.9300441110017412E-2</c:v>
                </c:pt>
                <c:pt idx="2">
                  <c:v>1.7904051321704362E-3</c:v>
                </c:pt>
                <c:pt idx="3">
                  <c:v>4.2367379693928786E-2</c:v>
                </c:pt>
                <c:pt idx="4">
                  <c:v>-5.1806643897538307E-2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3.8243483706876358E-2</c:v>
                </c:pt>
                <c:pt idx="1">
                  <c:v>-5.1090871974699859E-2</c:v>
                </c:pt>
                <c:pt idx="2">
                  <c:v>-1.6929040636598724E-2</c:v>
                </c:pt>
                <c:pt idx="3">
                  <c:v>2.9776428904422225E-2</c:v>
                </c:pt>
                <c:pt idx="4">
                  <c:v>0</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2.9952891872607745E-2</c:v>
                </c:pt>
                <c:pt idx="1">
                  <c:v>-4.9441570372747545E-2</c:v>
                </c:pt>
                <c:pt idx="2">
                  <c:v>-2.9992575550228051E-2</c:v>
                </c:pt>
                <c:pt idx="3">
                  <c:v>4.9481254050368184E-2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1.718248304777692E-2</c:v>
                </c:pt>
                <c:pt idx="1">
                  <c:v>-5.7259000673319904E-2</c:v>
                </c:pt>
                <c:pt idx="2">
                  <c:v>-2.5871843814894824E-2</c:v>
                </c:pt>
                <c:pt idx="3">
                  <c:v>6.5948361440437697E-2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3.7656275624490254E-2</c:v>
                </c:pt>
                <c:pt idx="1">
                  <c:v>-5.6086423177560962E-2</c:v>
                </c:pt>
                <c:pt idx="2">
                  <c:v>-8.6848479838477211E-3</c:v>
                </c:pt>
                <c:pt idx="3">
                  <c:v>2.7114995536918318E-2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5.2970293658479495E-2</c:v>
                </c:pt>
                <c:pt idx="1">
                  <c:v>-7.4246915297711324E-2</c:v>
                </c:pt>
                <c:pt idx="2">
                  <c:v>1.5396302150528784E-2</c:v>
                </c:pt>
                <c:pt idx="3">
                  <c:v>5.8803194887033783E-3</c:v>
                </c:pt>
                <c:pt idx="4">
                  <c:v>0</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1.9432705241409831E-2</c:v>
                </c:pt>
                <c:pt idx="1">
                  <c:v>-3.0699459718596112E-3</c:v>
                </c:pt>
                <c:pt idx="2">
                  <c:v>-3.0265141290381048E-2</c:v>
                </c:pt>
                <c:pt idx="3">
                  <c:v>1.3902382020831272E-2</c:v>
                </c:pt>
                <c:pt idx="4">
                  <c:v>0</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2.0497243073378524E-2</c:v>
                </c:pt>
                <c:pt idx="1">
                  <c:v>-4.1294811228061445E-2</c:v>
                </c:pt>
                <c:pt idx="2">
                  <c:v>-6.8061829960721631E-3</c:v>
                </c:pt>
                <c:pt idx="3">
                  <c:v>2.760375115075453E-2</c:v>
                </c:pt>
                <c:pt idx="4">
                  <c:v>0</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-4.6178304118116298E-4</c:v>
                </c:pt>
                <c:pt idx="1">
                  <c:v>-6.4743010719814698E-2</c:v>
                </c:pt>
                <c:pt idx="2">
                  <c:v>1.2551243604103313E-2</c:v>
                </c:pt>
                <c:pt idx="3">
                  <c:v>5.2653550156892104E-2</c:v>
                </c:pt>
                <c:pt idx="4">
                  <c:v>0</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-2.4015460350128581E-3</c:v>
                </c:pt>
                <c:pt idx="1">
                  <c:v>-2.8650033827964605E-2</c:v>
                </c:pt>
                <c:pt idx="2">
                  <c:v>3.3182787339885778E-2</c:v>
                </c:pt>
                <c:pt idx="3">
                  <c:v>3.5504221263609859E-2</c:v>
                </c:pt>
                <c:pt idx="4">
                  <c:v>-3.7635428740517729E-2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-5.2781891169230155E-3</c:v>
                </c:pt>
                <c:pt idx="1">
                  <c:v>-2.8431204242281516E-2</c:v>
                </c:pt>
                <c:pt idx="2">
                  <c:v>3.2601464246559964E-2</c:v>
                </c:pt>
                <c:pt idx="3">
                  <c:v>3.6053562160297314E-2</c:v>
                </c:pt>
                <c:pt idx="4">
                  <c:v>-3.4945633047652414E-2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-6.9368247124320659E-3</c:v>
                </c:pt>
                <c:pt idx="1">
                  <c:v>-2.4701599724434531E-2</c:v>
                </c:pt>
                <c:pt idx="2">
                  <c:v>3.1727981628664192E-2</c:v>
                </c:pt>
                <c:pt idx="3">
                  <c:v>3.4198686616285112E-2</c:v>
                </c:pt>
                <c:pt idx="4">
                  <c:v>-3.4288243808083041E-2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-8.7827367108721521E-3</c:v>
                </c:pt>
                <c:pt idx="1">
                  <c:v>-2.1518638717393901E-2</c:v>
                </c:pt>
                <c:pt idx="2">
                  <c:v>3.1865735103605575E-2</c:v>
                </c:pt>
                <c:pt idx="3">
                  <c:v>3.3607703396917765E-2</c:v>
                </c:pt>
                <c:pt idx="4">
                  <c:v>-3.5172063072256621E-2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-1.0269840671963015E-2</c:v>
                </c:pt>
                <c:pt idx="1">
                  <c:v>-1.9037521218516429E-2</c:v>
                </c:pt>
                <c:pt idx="2">
                  <c:v>3.1769542389613825E-2</c:v>
                </c:pt>
                <c:pt idx="3">
                  <c:v>3.2119990633969753E-2</c:v>
                </c:pt>
                <c:pt idx="4">
                  <c:v>-3.4582171133104578E-2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-1.0492753261050258E-2</c:v>
                </c:pt>
                <c:pt idx="1">
                  <c:v>-1.677594873763999E-2</c:v>
                </c:pt>
                <c:pt idx="2">
                  <c:v>3.3019065553702598E-2</c:v>
                </c:pt>
                <c:pt idx="3">
                  <c:v>2.9617773110570456E-2</c:v>
                </c:pt>
                <c:pt idx="4">
                  <c:v>-3.5368136665583472E-2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-8.8755128706112796E-3</c:v>
                </c:pt>
                <c:pt idx="1">
                  <c:v>-1.7048274396920804E-2</c:v>
                </c:pt>
                <c:pt idx="2">
                  <c:v>3.3479043615932014E-2</c:v>
                </c:pt>
                <c:pt idx="3">
                  <c:v>2.649193317288101E-2</c:v>
                </c:pt>
                <c:pt idx="4">
                  <c:v>-3.4047189521280607E-2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-8.4248160624754709E-3</c:v>
                </c:pt>
                <c:pt idx="1">
                  <c:v>-1.3152058269206512E-2</c:v>
                </c:pt>
                <c:pt idx="2">
                  <c:v>3.3750720147744495E-2</c:v>
                </c:pt>
                <c:pt idx="3">
                  <c:v>2.4657674610880642E-2</c:v>
                </c:pt>
                <c:pt idx="4">
                  <c:v>-3.6831520426943043E-2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-5.7863092998574617E-3</c:v>
                </c:pt>
                <c:pt idx="1">
                  <c:v>-1.0558754750853105E-2</c:v>
                </c:pt>
                <c:pt idx="2">
                  <c:v>3.0539520684480959E-2</c:v>
                </c:pt>
                <c:pt idx="3">
                  <c:v>2.2740321763101257E-2</c:v>
                </c:pt>
                <c:pt idx="4">
                  <c:v>-3.6934778396872425E-2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-4.86988460504445E-3</c:v>
                </c:pt>
                <c:pt idx="1">
                  <c:v>-1.0006310564733112E-2</c:v>
                </c:pt>
                <c:pt idx="2">
                  <c:v>2.7476483765130677E-2</c:v>
                </c:pt>
                <c:pt idx="3">
                  <c:v>2.4670071577488129E-2</c:v>
                </c:pt>
                <c:pt idx="4">
                  <c:v>-3.7270360172841244E-2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-4.1416765741743022E-3</c:v>
                </c:pt>
                <c:pt idx="1">
                  <c:v>-7.9744493307584152E-3</c:v>
                </c:pt>
                <c:pt idx="2">
                  <c:v>2.4194615382246765E-2</c:v>
                </c:pt>
                <c:pt idx="3">
                  <c:v>2.5562729624500236E-2</c:v>
                </c:pt>
                <c:pt idx="4">
                  <c:v>-3.7641219101814283E-2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-4.6040039371197938E-3</c:v>
                </c:pt>
                <c:pt idx="1">
                  <c:v>-5.670232499168204E-3</c:v>
                </c:pt>
                <c:pt idx="2">
                  <c:v>2.2983838579765159E-2</c:v>
                </c:pt>
                <c:pt idx="3">
                  <c:v>2.4041467358307367E-2</c:v>
                </c:pt>
                <c:pt idx="4">
                  <c:v>-3.6751069501784084E-2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-8.3678347381507256E-3</c:v>
                </c:pt>
                <c:pt idx="1">
                  <c:v>-1.9159710105897121E-3</c:v>
                </c:pt>
                <c:pt idx="2">
                  <c:v>2.0557715164271961E-2</c:v>
                </c:pt>
                <c:pt idx="3">
                  <c:v>2.8548482503928163E-2</c:v>
                </c:pt>
                <c:pt idx="4">
                  <c:v>-3.8822391919459465E-2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-4.6392802092208862E-3</c:v>
                </c:pt>
                <c:pt idx="1">
                  <c:v>-4.1128717280276561E-3</c:v>
                </c:pt>
                <c:pt idx="2">
                  <c:v>2.3554634841163269E-2</c:v>
                </c:pt>
                <c:pt idx="3">
                  <c:v>2.9322346505202157E-2</c:v>
                </c:pt>
                <c:pt idx="4">
                  <c:v>-4.412482940911655E-2</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-4.4943076081209732E-3</c:v>
                </c:pt>
                <c:pt idx="1">
                  <c:v>-9.1679790308774045E-4</c:v>
                </c:pt>
                <c:pt idx="2">
                  <c:v>2.0353849593260698E-2</c:v>
                </c:pt>
                <c:pt idx="3">
                  <c:v>2.5563835243471278E-2</c:v>
                </c:pt>
                <c:pt idx="4">
                  <c:v>-4.0506579325523262E-2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-2.4189237421907706E-3</c:v>
                </c:pt>
                <c:pt idx="1">
                  <c:v>-4.9762709281464534E-3</c:v>
                </c:pt>
                <c:pt idx="2">
                  <c:v>2.1162834944300268E-2</c:v>
                </c:pt>
                <c:pt idx="3">
                  <c:v>2.7521089086199213E-2</c:v>
                </c:pt>
                <c:pt idx="4">
                  <c:v>-4.1288729360162146E-2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-7.9101895052258175E-4</c:v>
                </c:pt>
                <c:pt idx="1">
                  <c:v>-7.1656388884917543E-3</c:v>
                </c:pt>
                <c:pt idx="2">
                  <c:v>2.5596364255462634E-2</c:v>
                </c:pt>
                <c:pt idx="3">
                  <c:v>2.5885743522536586E-2</c:v>
                </c:pt>
                <c:pt idx="4">
                  <c:v>-4.3525449938985217E-2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-1.1059370069158803E-2</c:v>
                </c:pt>
                <c:pt idx="1">
                  <c:v>-5.5899049371835874E-3</c:v>
                </c:pt>
                <c:pt idx="2">
                  <c:v>2.4028839326432738E-2</c:v>
                </c:pt>
                <c:pt idx="3">
                  <c:v>3.5840558368973818E-2</c:v>
                </c:pt>
                <c:pt idx="4">
                  <c:v>-4.32201226890645E-2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-2.0437345183241806E-3</c:v>
                </c:pt>
                <c:pt idx="1">
                  <c:v>-2.6476913390839352E-3</c:v>
                </c:pt>
                <c:pt idx="2">
                  <c:v>1.4111849632265194E-2</c:v>
                </c:pt>
                <c:pt idx="3">
                  <c:v>3.5758980114533045E-2</c:v>
                </c:pt>
                <c:pt idx="4">
                  <c:v>-4.5179403889390679E-2</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5.3165036985567404E-3</c:v>
                </c:pt>
                <c:pt idx="1">
                  <c:v>7.6233789632258464E-3</c:v>
                </c:pt>
                <c:pt idx="2">
                  <c:v>1.8685599719858725E-3</c:v>
                </c:pt>
                <c:pt idx="3">
                  <c:v>2.9548332123999099E-2</c:v>
                </c:pt>
                <c:pt idx="4">
                  <c:v>-4.435677475776767E-2</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-1.9193088391416646E-2</c:v>
                </c:pt>
                <c:pt idx="1">
                  <c:v>-8.0994338627558005E-3</c:v>
                </c:pt>
                <c:pt idx="2">
                  <c:v>-6.6806930412520726E-3</c:v>
                </c:pt>
                <c:pt idx="3">
                  <c:v>3.3973215295424408E-2</c:v>
                </c:pt>
                <c:pt idx="4">
                  <c:v>0</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5.9943358356766563E-3</c:v>
                </c:pt>
                <c:pt idx="1">
                  <c:v>-3.914179218378222E-3</c:v>
                </c:pt>
                <c:pt idx="2">
                  <c:v>-4.512012361766693E-2</c:v>
                </c:pt>
                <c:pt idx="3">
                  <c:v>4.3039967000368495E-2</c:v>
                </c:pt>
                <c:pt idx="4">
                  <c:v>0</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1.4685903680199619E-2</c:v>
                </c:pt>
                <c:pt idx="1">
                  <c:v>1.2851725963109129E-2</c:v>
                </c:pt>
                <c:pt idx="2">
                  <c:v>-5.2971259410502292E-2</c:v>
                </c:pt>
                <c:pt idx="3">
                  <c:v>2.5433629767193766E-2</c:v>
                </c:pt>
                <c:pt idx="4">
                  <c:v>0</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6.387861562808328E-2</c:v>
                </c:pt>
                <c:pt idx="1">
                  <c:v>4.6145182059879275E-2</c:v>
                </c:pt>
                <c:pt idx="2">
                  <c:v>-6.3001942110167075E-2</c:v>
                </c:pt>
                <c:pt idx="3">
                  <c:v>8.1897811619839445E-2</c:v>
                </c:pt>
                <c:pt idx="4">
                  <c:v>-0.12891966719763504</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3.54211658466419E-2</c:v>
                </c:pt>
                <c:pt idx="1">
                  <c:v>6.6371933165540131E-2</c:v>
                </c:pt>
                <c:pt idx="2">
                  <c:v>-4.5692939894555029E-2</c:v>
                </c:pt>
                <c:pt idx="3">
                  <c:v>9.3767817564229805E-2</c:v>
                </c:pt>
                <c:pt idx="4">
                  <c:v>-0.14986797668185725</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-1.451036419329832E-2</c:v>
                </c:pt>
                <c:pt idx="1">
                  <c:v>0.10439128402292752</c:v>
                </c:pt>
                <c:pt idx="2">
                  <c:v>-1.3962838956048662E-2</c:v>
                </c:pt>
                <c:pt idx="3">
                  <c:v>7.9234000970993534E-2</c:v>
                </c:pt>
                <c:pt idx="4">
                  <c:v>-0.15515208184457452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-1.6026623457273459E-2</c:v>
                </c:pt>
                <c:pt idx="1">
                  <c:v>0.11710635184950458</c:v>
                </c:pt>
                <c:pt idx="2">
                  <c:v>7.9207186540037888E-3</c:v>
                </c:pt>
                <c:pt idx="3">
                  <c:v>7.5067608527175755E-2</c:v>
                </c:pt>
                <c:pt idx="4">
                  <c:v>-0.18406805557341066</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-4.7363495089054575E-2</c:v>
                </c:pt>
                <c:pt idx="1">
                  <c:v>0.18766268726847235</c:v>
                </c:pt>
                <c:pt idx="2">
                  <c:v>2.4939088657825792E-2</c:v>
                </c:pt>
                <c:pt idx="3">
                  <c:v>8.4543303786572599E-2</c:v>
                </c:pt>
                <c:pt idx="4">
                  <c:v>-0.24978158462381617</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-0.10171510149379559</c:v>
                </c:pt>
                <c:pt idx="1">
                  <c:v>0.27839279862596733</c:v>
                </c:pt>
                <c:pt idx="2">
                  <c:v>8.6747843997154739E-3</c:v>
                </c:pt>
                <c:pt idx="3">
                  <c:v>0.10513460468517066</c:v>
                </c:pt>
                <c:pt idx="4">
                  <c:v>-0.29048708621705732</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1.6923208709891613E-2</c:v>
                </c:pt>
                <c:pt idx="1">
                  <c:v>0</c:v>
                </c:pt>
                <c:pt idx="2">
                  <c:v>2.578601761115018E-2</c:v>
                </c:pt>
                <c:pt idx="3">
                  <c:v>0.13971138258683147</c:v>
                </c:pt>
                <c:pt idx="4">
                  <c:v>-0.18242060890787326</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2.51922324526761E-2</c:v>
                </c:pt>
                <c:pt idx="1">
                  <c:v>-2.6369943252609218E-2</c:v>
                </c:pt>
                <c:pt idx="2">
                  <c:v>-8.3442393275049431E-3</c:v>
                </c:pt>
                <c:pt idx="3">
                  <c:v>9.5219501274383944E-3</c:v>
                </c:pt>
                <c:pt idx="4">
                  <c:v>0</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2.2616226761196234E-2</c:v>
                </c:pt>
                <c:pt idx="1">
                  <c:v>-2.5562855055650591E-2</c:v>
                </c:pt>
                <c:pt idx="2">
                  <c:v>-6.4491138195195141E-3</c:v>
                </c:pt>
                <c:pt idx="3">
                  <c:v>9.3957421139738706E-3</c:v>
                </c:pt>
                <c:pt idx="4">
                  <c:v>0</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1.9366085468150329E-2</c:v>
                </c:pt>
                <c:pt idx="1">
                  <c:v>-2.4455379788611009E-2</c:v>
                </c:pt>
                <c:pt idx="2">
                  <c:v>-3.4507255726907715E-3</c:v>
                </c:pt>
                <c:pt idx="3">
                  <c:v>8.5400198931517846E-3</c:v>
                </c:pt>
                <c:pt idx="4">
                  <c:v>0</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1.7248832446772111E-2</c:v>
                </c:pt>
                <c:pt idx="1">
                  <c:v>-2.3619686093925285E-2</c:v>
                </c:pt>
                <c:pt idx="2">
                  <c:v>-1.6747987635327144E-3</c:v>
                </c:pt>
                <c:pt idx="3">
                  <c:v>8.0456524106853333E-3</c:v>
                </c:pt>
                <c:pt idx="4">
                  <c:v>0</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1.6847065778639925E-2</c:v>
                </c:pt>
                <c:pt idx="1">
                  <c:v>-2.346431732383425E-2</c:v>
                </c:pt>
                <c:pt idx="2">
                  <c:v>-1.5388663402088332E-3</c:v>
                </c:pt>
                <c:pt idx="3">
                  <c:v>8.1561178854028249E-3</c:v>
                </c:pt>
                <c:pt idx="4">
                  <c:v>0</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1.4519276874524367E-2</c:v>
                </c:pt>
                <c:pt idx="1">
                  <c:v>-2.331468349554533E-2</c:v>
                </c:pt>
                <c:pt idx="2">
                  <c:v>1.4912175631209834E-3</c:v>
                </c:pt>
                <c:pt idx="3">
                  <c:v>7.3041890578999791E-3</c:v>
                </c:pt>
                <c:pt idx="4">
                  <c:v>0</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1.5608708953572137E-2</c:v>
                </c:pt>
                <c:pt idx="1">
                  <c:v>-2.4627428024897258E-2</c:v>
                </c:pt>
                <c:pt idx="2">
                  <c:v>4.3721201735980042E-3</c:v>
                </c:pt>
                <c:pt idx="3">
                  <c:v>4.6465988977271167E-3</c:v>
                </c:pt>
                <c:pt idx="4">
                  <c:v>0</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1.7202744927022007E-2</c:v>
                </c:pt>
                <c:pt idx="1">
                  <c:v>-2.5054074363502488E-2</c:v>
                </c:pt>
                <c:pt idx="2">
                  <c:v>2.594423894022535E-3</c:v>
                </c:pt>
                <c:pt idx="3">
                  <c:v>5.2569055424576128E-3</c:v>
                </c:pt>
                <c:pt idx="4">
                  <c:v>0</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1.5456923169793191E-2</c:v>
                </c:pt>
                <c:pt idx="1">
                  <c:v>-2.2666155256793163E-2</c:v>
                </c:pt>
                <c:pt idx="2">
                  <c:v>1.6077092264661363E-3</c:v>
                </c:pt>
                <c:pt idx="3">
                  <c:v>5.6015228605332812E-3</c:v>
                </c:pt>
                <c:pt idx="4">
                  <c:v>0</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1.3701735699048534E-2</c:v>
                </c:pt>
                <c:pt idx="1">
                  <c:v>-2.1233125832046174E-2</c:v>
                </c:pt>
                <c:pt idx="2">
                  <c:v>-1.2093219892980178E-3</c:v>
                </c:pt>
                <c:pt idx="3">
                  <c:v>8.7407121222953243E-3</c:v>
                </c:pt>
                <c:pt idx="4">
                  <c:v>0</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1.4294240622660492E-2</c:v>
                </c:pt>
                <c:pt idx="1">
                  <c:v>-2.2592087724264021E-2</c:v>
                </c:pt>
                <c:pt idx="2">
                  <c:v>1.4240517752923676E-3</c:v>
                </c:pt>
                <c:pt idx="3">
                  <c:v>6.8737953263109386E-3</c:v>
                </c:pt>
                <c:pt idx="4">
                  <c:v>0</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1.4492455690723549E-2</c:v>
                </c:pt>
                <c:pt idx="1">
                  <c:v>-2.6417882833705941E-2</c:v>
                </c:pt>
                <c:pt idx="2">
                  <c:v>4.9052857987599285E-3</c:v>
                </c:pt>
                <c:pt idx="3">
                  <c:v>7.0201413442225746E-3</c:v>
                </c:pt>
                <c:pt idx="4">
                  <c:v>0</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1.4442123452831579E-2</c:v>
                </c:pt>
                <c:pt idx="1">
                  <c:v>-2.5318322459443099E-2</c:v>
                </c:pt>
                <c:pt idx="2">
                  <c:v>4.8900753139742292E-3</c:v>
                </c:pt>
                <c:pt idx="3">
                  <c:v>5.9861236926377348E-3</c:v>
                </c:pt>
                <c:pt idx="4">
                  <c:v>0</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1.1570051799969505E-2</c:v>
                </c:pt>
                <c:pt idx="1">
                  <c:v>-2.3040897500124058E-2</c:v>
                </c:pt>
                <c:pt idx="2">
                  <c:v>8.8862997100678243E-3</c:v>
                </c:pt>
                <c:pt idx="3">
                  <c:v>2.5845459900868395E-3</c:v>
                </c:pt>
                <c:pt idx="4">
                  <c:v>0</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1.267976171771501E-2</c:v>
                </c:pt>
                <c:pt idx="1">
                  <c:v>-2.2199123035345436E-2</c:v>
                </c:pt>
                <c:pt idx="2">
                  <c:v>9.3385254239930493E-3</c:v>
                </c:pt>
                <c:pt idx="3">
                  <c:v>1.8083589363770969E-4</c:v>
                </c:pt>
                <c:pt idx="4">
                  <c:v>0</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1.2293248270089263E-2</c:v>
                </c:pt>
                <c:pt idx="1">
                  <c:v>-2.4271878365103361E-2</c:v>
                </c:pt>
                <c:pt idx="2">
                  <c:v>1.1686766489786615E-2</c:v>
                </c:pt>
                <c:pt idx="3">
                  <c:v>2.9186360522737154E-4</c:v>
                </c:pt>
                <c:pt idx="4">
                  <c:v>0</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2.7360128383074667E-2</c:v>
                </c:pt>
                <c:pt idx="1">
                  <c:v>-3.2054921258396818E-2</c:v>
                </c:pt>
                <c:pt idx="2">
                  <c:v>9.3046467460138338E-3</c:v>
                </c:pt>
                <c:pt idx="3">
                  <c:v>-4.6098538706922376E-3</c:v>
                </c:pt>
                <c:pt idx="4">
                  <c:v>0</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2.274405163107418E-2</c:v>
                </c:pt>
                <c:pt idx="1">
                  <c:v>-2.4459039884200284E-2</c:v>
                </c:pt>
                <c:pt idx="2">
                  <c:v>2.3127819798709481E-2</c:v>
                </c:pt>
                <c:pt idx="3">
                  <c:v>-2.1412831545583377E-2</c:v>
                </c:pt>
                <c:pt idx="4">
                  <c:v>0</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2.3808463035414951E-2</c:v>
                </c:pt>
                <c:pt idx="1">
                  <c:v>-1.1330952566331653E-2</c:v>
                </c:pt>
                <c:pt idx="2">
                  <c:v>2.0400940151513502E-2</c:v>
                </c:pt>
                <c:pt idx="3">
                  <c:v>-3.2878450620597244E-2</c:v>
                </c:pt>
                <c:pt idx="4">
                  <c:v>0</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2.440892980760534E-2</c:v>
                </c:pt>
                <c:pt idx="1">
                  <c:v>-8.9850777614650656E-3</c:v>
                </c:pt>
                <c:pt idx="2">
                  <c:v>2.3969888100132453E-2</c:v>
                </c:pt>
                <c:pt idx="3">
                  <c:v>-3.9393740146272949E-2</c:v>
                </c:pt>
                <c:pt idx="4">
                  <c:v>0</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2.9866006156983538E-2</c:v>
                </c:pt>
                <c:pt idx="1">
                  <c:v>-1.695089838064312E-2</c:v>
                </c:pt>
                <c:pt idx="2">
                  <c:v>2.3930792163909809E-2</c:v>
                </c:pt>
                <c:pt idx="3">
                  <c:v>-3.684589994025067E-2</c:v>
                </c:pt>
                <c:pt idx="4">
                  <c:v>0</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3.9074363149856683E-2</c:v>
                </c:pt>
                <c:pt idx="1">
                  <c:v>-2.7898942262503335E-2</c:v>
                </c:pt>
                <c:pt idx="2">
                  <c:v>2.8869527385067872E-2</c:v>
                </c:pt>
                <c:pt idx="3">
                  <c:v>-4.0044948272421665E-2</c:v>
                </c:pt>
                <c:pt idx="4">
                  <c:v>0</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5.6057684693162635E-2</c:v>
                </c:pt>
                <c:pt idx="1">
                  <c:v>-1.5957490263666996E-2</c:v>
                </c:pt>
                <c:pt idx="2">
                  <c:v>3.7380215360506286E-2</c:v>
                </c:pt>
                <c:pt idx="3">
                  <c:v>-7.7480409790002147E-2</c:v>
                </c:pt>
                <c:pt idx="4">
                  <c:v>0</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4.6870848024931577E-2</c:v>
                </c:pt>
                <c:pt idx="1">
                  <c:v>-1.9963969572991958E-2</c:v>
                </c:pt>
                <c:pt idx="2">
                  <c:v>3.8594650297910649E-2</c:v>
                </c:pt>
                <c:pt idx="3">
                  <c:v>-6.550152874985038E-2</c:v>
                </c:pt>
                <c:pt idx="4">
                  <c:v>0</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2.749495787853018E-2</c:v>
                </c:pt>
                <c:pt idx="1">
                  <c:v>-1.9930415702735571E-2</c:v>
                </c:pt>
                <c:pt idx="2">
                  <c:v>3.3252398631548941E-2</c:v>
                </c:pt>
                <c:pt idx="3">
                  <c:v>-4.081694080734366E-2</c:v>
                </c:pt>
                <c:pt idx="4">
                  <c:v>0</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5.908526811482373E-2</c:v>
                </c:pt>
                <c:pt idx="1">
                  <c:v>-4.0764189298050035E-2</c:v>
                </c:pt>
                <c:pt idx="2">
                  <c:v>1.3709293869871075E-2</c:v>
                </c:pt>
                <c:pt idx="3">
                  <c:v>-3.2030372686644548E-2</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0.12860670426035492</c:v>
                </c:pt>
                <c:pt idx="1">
                  <c:v>-2.8992443261748102E-2</c:v>
                </c:pt>
                <c:pt idx="2">
                  <c:v>-2.9029445106126373E-2</c:v>
                </c:pt>
                <c:pt idx="3">
                  <c:v>-7.0584815892480224E-2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7.359072441785508E-2</c:v>
                </c:pt>
                <c:pt idx="1">
                  <c:v>-6.4174338463822145E-2</c:v>
                </c:pt>
                <c:pt idx="2">
                  <c:v>5.7091734699882046E-2</c:v>
                </c:pt>
                <c:pt idx="3">
                  <c:v>-6.6508120653914649E-2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7.9575033954866203E-3</c:v>
                </c:pt>
                <c:pt idx="1">
                  <c:v>-4.930702296844558E-2</c:v>
                </c:pt>
                <c:pt idx="2">
                  <c:v>0.15707991725529347</c:v>
                </c:pt>
                <c:pt idx="3">
                  <c:v>-0.11573039768233506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1.5750464088964744E-2</c:v>
                </c:pt>
                <c:pt idx="1">
                  <c:v>-8.3391668721325529E-2</c:v>
                </c:pt>
                <c:pt idx="2">
                  <c:v>0.19268461238696077</c:v>
                </c:pt>
                <c:pt idx="3">
                  <c:v>-0.1250434077546001</c:v>
                </c:pt>
                <c:pt idx="4">
                  <c:v>0</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183.18284739105366</c:v>
                </c:pt>
                <c:pt idx="1">
                  <c:v>300.3900692626413</c:v>
                </c:pt>
                <c:pt idx="2">
                  <c:v>454.78503914749967</c:v>
                </c:pt>
                <c:pt idx="3">
                  <c:v>621.61355680723022</c:v>
                </c:pt>
                <c:pt idx="4">
                  <c:v>828.37954332671643</c:v>
                </c:pt>
                <c:pt idx="5">
                  <c:v>1062.78819198257</c:v>
                </c:pt>
                <c:pt idx="6">
                  <c:v>1309.2045779490281</c:v>
                </c:pt>
                <c:pt idx="7">
                  <c:v>1587.2572540818976</c:v>
                </c:pt>
                <c:pt idx="8">
                  <c:v>1887.861639304303</c:v>
                </c:pt>
                <c:pt idx="9">
                  <c:v>2201.3984240344862</c:v>
                </c:pt>
                <c:pt idx="10">
                  <c:v>2511.9941464035237</c:v>
                </c:pt>
                <c:pt idx="11">
                  <c:v>2837.9587198394233</c:v>
                </c:pt>
                <c:pt idx="12">
                  <c:v>3163.6160321266743</c:v>
                </c:pt>
                <c:pt idx="13">
                  <c:v>3485.439343127945</c:v>
                </c:pt>
                <c:pt idx="14">
                  <c:v>3814.1558418446975</c:v>
                </c:pt>
                <c:pt idx="15">
                  <c:v>4166.8583134430855</c:v>
                </c:pt>
                <c:pt idx="16">
                  <c:v>4566.8354598946016</c:v>
                </c:pt>
                <c:pt idx="17">
                  <c:v>5023.8815380590731</c:v>
                </c:pt>
                <c:pt idx="18">
                  <c:v>5525.8945521173209</c:v>
                </c:pt>
                <c:pt idx="19">
                  <c:v>6056.3607650990562</c:v>
                </c:pt>
                <c:pt idx="20">
                  <c:v>6647.0721391731713</c:v>
                </c:pt>
                <c:pt idx="21">
                  <c:v>7275.8692150550178</c:v>
                </c:pt>
                <c:pt idx="22">
                  <c:v>7952.6221634826497</c:v>
                </c:pt>
                <c:pt idx="23">
                  <c:v>8648.2894367881636</c:v>
                </c:pt>
                <c:pt idx="24">
                  <c:v>9382.3649228581198</c:v>
                </c:pt>
                <c:pt idx="25">
                  <c:v>10085.647840748228</c:v>
                </c:pt>
                <c:pt idx="26">
                  <c:v>10888.784949944562</c:v>
                </c:pt>
                <c:pt idx="27">
                  <c:v>10030.479593619546</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6776</xdr:rowOff>
    </xdr:from>
    <xdr:to>
      <xdr:col>29</xdr:col>
      <xdr:colOff>555225</xdr:colOff>
      <xdr:row>77</xdr:row>
      <xdr:rowOff>83572</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85" zoomScaleNormal="85" workbookViewId="0">
      <selection activeCell="B7" sqref="B7"/>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34" t="s">
        <v>180</v>
      </c>
      <c r="F2" s="134" t="s">
        <v>1</v>
      </c>
      <c r="L2" s="135" t="s">
        <v>179</v>
      </c>
      <c r="M2" s="4"/>
      <c r="N2" s="4"/>
      <c r="O2" s="4"/>
      <c r="P2" s="4" t="s">
        <v>2</v>
      </c>
      <c r="Q2" s="136">
        <v>0.89</v>
      </c>
      <c r="R2" s="5" t="s">
        <v>3</v>
      </c>
    </row>
    <row r="3" spans="1:1024" ht="16.149999999999999" thickTop="1" x14ac:dyDescent="0.5">
      <c r="A3" s="6" t="s">
        <v>4</v>
      </c>
      <c r="B3" s="148" t="s">
        <v>181</v>
      </c>
      <c r="C3" s="7"/>
      <c r="E3" s="8" t="s">
        <v>5</v>
      </c>
      <c r="F3" s="117">
        <v>1</v>
      </c>
      <c r="G3" s="9"/>
      <c r="H3" s="9"/>
      <c r="L3" s="10" t="s">
        <v>6</v>
      </c>
      <c r="M3" s="11"/>
      <c r="N3" s="11"/>
      <c r="O3" s="11"/>
      <c r="P3" s="117">
        <v>1</v>
      </c>
      <c r="Q3" s="117">
        <v>90</v>
      </c>
      <c r="R3" s="12" t="s">
        <v>7</v>
      </c>
    </row>
    <row r="4" spans="1:1024" ht="13.9" x14ac:dyDescent="0.4">
      <c r="A4" s="7" t="s">
        <v>8</v>
      </c>
      <c r="B4" s="125">
        <v>46013</v>
      </c>
      <c r="C4" s="7"/>
      <c r="E4" s="8" t="s">
        <v>9</v>
      </c>
      <c r="F4" s="9">
        <v>0.86799999999999999</v>
      </c>
      <c r="G4" s="9"/>
      <c r="H4" s="9"/>
      <c r="L4" s="13" t="s">
        <v>10</v>
      </c>
      <c r="M4" s="14" t="s">
        <v>11</v>
      </c>
      <c r="N4" s="14" t="s">
        <v>12</v>
      </c>
      <c r="O4" s="14" t="s">
        <v>13</v>
      </c>
      <c r="P4" s="14" t="s">
        <v>14</v>
      </c>
      <c r="Q4" s="14" t="s">
        <v>15</v>
      </c>
      <c r="R4" s="12"/>
    </row>
    <row r="5" spans="1:1024" ht="13.9" x14ac:dyDescent="0.4">
      <c r="A5" s="7" t="s">
        <v>16</v>
      </c>
      <c r="B5" s="125" t="s">
        <v>17</v>
      </c>
      <c r="C5" s="7"/>
      <c r="L5" s="15">
        <v>1.5</v>
      </c>
      <c r="M5" s="16">
        <v>67392.070000000007</v>
      </c>
      <c r="N5" s="16"/>
      <c r="O5" s="16">
        <v>67392.070000000007</v>
      </c>
      <c r="P5" s="16">
        <f>O5*P$3</f>
        <v>67392.070000000007</v>
      </c>
      <c r="Q5" s="16">
        <f>P5*Q$2*Q$3</f>
        <v>5398104.807000001</v>
      </c>
      <c r="R5" s="12"/>
    </row>
    <row r="6" spans="1:1024" ht="13.9" x14ac:dyDescent="0.4">
      <c r="A6" s="7" t="s">
        <v>18</v>
      </c>
      <c r="B6" s="21" t="s">
        <v>123</v>
      </c>
      <c r="C6" s="17"/>
      <c r="E6" s="11" t="s">
        <v>19</v>
      </c>
      <c r="F6" s="14" t="s">
        <v>20</v>
      </c>
      <c r="G6" s="14" t="s">
        <v>21</v>
      </c>
      <c r="H6" s="14" t="s">
        <v>22</v>
      </c>
      <c r="I6" s="14" t="s">
        <v>23</v>
      </c>
      <c r="L6" s="15">
        <v>2</v>
      </c>
      <c r="M6" s="16">
        <v>41165</v>
      </c>
      <c r="N6" s="16"/>
      <c r="O6" s="16">
        <v>41165</v>
      </c>
      <c r="P6" s="16">
        <f t="shared" ref="P6:P34" si="0">O6*P$3</f>
        <v>41165</v>
      </c>
      <c r="Q6" s="16">
        <f t="shared" ref="Q6:Q34" si="1">P6*Q$2*Q$3</f>
        <v>3297316.5</v>
      </c>
      <c r="R6" s="12"/>
    </row>
    <row r="7" spans="1:1024" ht="13.9" x14ac:dyDescent="0.4">
      <c r="A7" s="7" t="s">
        <v>24</v>
      </c>
      <c r="B7" s="21" t="s">
        <v>124</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1439835.1470000001</v>
      </c>
      <c r="R7" s="12"/>
    </row>
    <row r="8" spans="1:1024" ht="13.9" x14ac:dyDescent="0.4">
      <c r="A8" s="7" t="s">
        <v>26</v>
      </c>
      <c r="B8" s="21" t="s">
        <v>123</v>
      </c>
      <c r="C8" s="7"/>
      <c r="E8" s="8" t="s">
        <v>27</v>
      </c>
      <c r="F8" s="117">
        <v>26.08</v>
      </c>
      <c r="G8" s="117">
        <v>26.08</v>
      </c>
      <c r="H8" s="117">
        <v>26.11</v>
      </c>
      <c r="I8" s="117">
        <v>26.16</v>
      </c>
      <c r="L8" s="15">
        <v>4</v>
      </c>
      <c r="M8" s="16">
        <v>10898.56</v>
      </c>
      <c r="N8" s="16">
        <v>10750.3</v>
      </c>
      <c r="O8" s="16">
        <v>10898.56</v>
      </c>
      <c r="P8" s="16">
        <f t="shared" si="0"/>
        <v>10898.56</v>
      </c>
      <c r="Q8" s="16">
        <f t="shared" si="1"/>
        <v>872974.65599999996</v>
      </c>
      <c r="R8" s="12"/>
    </row>
    <row r="9" spans="1:1024" ht="13.9" x14ac:dyDescent="0.4">
      <c r="A9" s="7" t="s">
        <v>28</v>
      </c>
      <c r="B9" s="21" t="s">
        <v>124</v>
      </c>
      <c r="C9" s="7"/>
      <c r="E9" s="18" t="s">
        <v>29</v>
      </c>
      <c r="F9" s="19">
        <f>(1/$F$3-1)*F8</f>
        <v>0</v>
      </c>
      <c r="G9" s="19">
        <f>(1/$F$3-1)*G8</f>
        <v>0</v>
      </c>
      <c r="H9" s="19">
        <f>(1/$F$3-1)*H8</f>
        <v>0</v>
      </c>
      <c r="I9" s="19">
        <f>(1/$F$3-1)*I8</f>
        <v>0</v>
      </c>
      <c r="L9" s="15">
        <v>5</v>
      </c>
      <c r="M9" s="16">
        <v>6986.32</v>
      </c>
      <c r="N9" s="16">
        <v>7121.1</v>
      </c>
      <c r="O9" s="16">
        <v>6986.32</v>
      </c>
      <c r="P9" s="16">
        <f t="shared" si="0"/>
        <v>6986.32</v>
      </c>
      <c r="Q9" s="16">
        <f t="shared" si="1"/>
        <v>559604.23199999996</v>
      </c>
      <c r="R9" s="12"/>
    </row>
    <row r="10" spans="1:1024" ht="13.9" x14ac:dyDescent="0.4">
      <c r="A10" s="17" t="s">
        <v>30</v>
      </c>
      <c r="B10" s="21" t="s">
        <v>31</v>
      </c>
      <c r="C10" s="7"/>
      <c r="E10" s="8" t="s">
        <v>32</v>
      </c>
      <c r="F10" s="117">
        <v>61</v>
      </c>
      <c r="G10" s="117">
        <v>61.18</v>
      </c>
      <c r="H10" s="117">
        <v>61.2</v>
      </c>
      <c r="I10" s="117">
        <v>61.09</v>
      </c>
      <c r="L10" s="15">
        <v>6</v>
      </c>
      <c r="M10" s="16">
        <v>4679.6499999999996</v>
      </c>
      <c r="N10" s="16">
        <v>4729.1000000000004</v>
      </c>
      <c r="O10" s="16">
        <v>4679.6499999999996</v>
      </c>
      <c r="P10" s="16">
        <f t="shared" si="0"/>
        <v>4679.6499999999996</v>
      </c>
      <c r="Q10" s="16">
        <f t="shared" si="1"/>
        <v>374839.96500000003</v>
      </c>
      <c r="R10" s="12"/>
    </row>
    <row r="11" spans="1:1024" ht="13.9" x14ac:dyDescent="0.4">
      <c r="B11" s="20"/>
      <c r="E11" s="8" t="s">
        <v>33</v>
      </c>
      <c r="F11" s="116">
        <f>IF($F3=1, 1, F8/(F8+F10))</f>
        <v>1</v>
      </c>
      <c r="G11" s="116">
        <f>IF($F3=1, 1, G8/(G8+G10))</f>
        <v>1</v>
      </c>
      <c r="H11" s="116">
        <f>IF($F3=1, 1, H8/(H8+H10))</f>
        <v>1</v>
      </c>
      <c r="I11" s="116">
        <f>IF($F3=1, 1, I8/(I8+I10))</f>
        <v>1</v>
      </c>
      <c r="L11" s="15">
        <v>7</v>
      </c>
      <c r="M11" s="16">
        <v>3163.23</v>
      </c>
      <c r="N11" s="16">
        <v>3199.3</v>
      </c>
      <c r="O11" s="16">
        <v>3163.23</v>
      </c>
      <c r="P11" s="16">
        <f t="shared" si="0"/>
        <v>3163.23</v>
      </c>
      <c r="Q11" s="16">
        <f t="shared" si="1"/>
        <v>253374.723</v>
      </c>
      <c r="R11" s="12"/>
    </row>
    <row r="12" spans="1:1024" ht="13.15" x14ac:dyDescent="0.4">
      <c r="A12" s="7" t="s">
        <v>34</v>
      </c>
      <c r="B12" s="117">
        <v>80</v>
      </c>
      <c r="C12" s="7"/>
      <c r="L12" s="15">
        <v>8</v>
      </c>
      <c r="M12" s="16">
        <v>2175.4699999999998</v>
      </c>
      <c r="N12" s="16">
        <v>2280.6</v>
      </c>
      <c r="O12" s="16">
        <v>2175.4699999999998</v>
      </c>
      <c r="P12" s="16">
        <f t="shared" si="0"/>
        <v>2175.4699999999998</v>
      </c>
      <c r="Q12" s="16">
        <f t="shared" si="1"/>
        <v>174255.147</v>
      </c>
      <c r="R12" s="12"/>
    </row>
    <row r="13" spans="1:1024" hidden="1" x14ac:dyDescent="0.35">
      <c r="B13" s="20"/>
      <c r="L13" s="22">
        <v>9</v>
      </c>
      <c r="M13" s="16">
        <v>1512.11</v>
      </c>
      <c r="N13" s="16">
        <v>1615</v>
      </c>
      <c r="O13" s="16">
        <v>1512.11</v>
      </c>
      <c r="P13" s="16">
        <f t="shared" si="0"/>
        <v>1512.11</v>
      </c>
      <c r="Q13" s="16">
        <f t="shared" si="1"/>
        <v>121120.01099999998</v>
      </c>
      <c r="R13" s="12"/>
    </row>
    <row r="14" spans="1:1024" x14ac:dyDescent="0.35">
      <c r="A14" t="s">
        <v>35</v>
      </c>
      <c r="B14" s="20">
        <f>B12*1.5</f>
        <v>120</v>
      </c>
      <c r="L14" s="15">
        <v>10</v>
      </c>
      <c r="M14" s="16">
        <v>1079.78</v>
      </c>
      <c r="N14" s="16">
        <v>1130.5</v>
      </c>
      <c r="O14" s="16">
        <v>1079.78</v>
      </c>
      <c r="P14" s="16">
        <f t="shared" si="0"/>
        <v>1079.78</v>
      </c>
      <c r="Q14" s="16">
        <f t="shared" si="1"/>
        <v>86490.377999999997</v>
      </c>
      <c r="R14" s="12"/>
    </row>
    <row r="15" spans="1:1024" ht="13.15" x14ac:dyDescent="0.4">
      <c r="A15" t="s">
        <v>36</v>
      </c>
      <c r="B15" s="117">
        <v>16000</v>
      </c>
      <c r="L15" s="15">
        <v>11</v>
      </c>
      <c r="M15" s="16">
        <v>786.62</v>
      </c>
      <c r="N15" s="16">
        <v>816.2</v>
      </c>
      <c r="O15" s="16">
        <v>786.62</v>
      </c>
      <c r="P15" s="16">
        <f t="shared" si="0"/>
        <v>786.62</v>
      </c>
      <c r="Q15" s="16">
        <f t="shared" si="1"/>
        <v>63008.262000000002</v>
      </c>
      <c r="R15" s="12"/>
    </row>
    <row r="16" spans="1:1024" x14ac:dyDescent="0.35">
      <c r="A16" t="s">
        <v>37</v>
      </c>
      <c r="B16" s="23">
        <f>10^((LOG(B15)-LOG(B14))/(30-1))</f>
        <v>1.1837874992800483</v>
      </c>
      <c r="L16" s="15">
        <v>12</v>
      </c>
      <c r="M16" s="16">
        <v>586.05999999999995</v>
      </c>
      <c r="N16" s="16">
        <v>618.6</v>
      </c>
      <c r="O16" s="16">
        <v>586.05999999999995</v>
      </c>
      <c r="P16" s="16">
        <f t="shared" si="0"/>
        <v>586.05999999999995</v>
      </c>
      <c r="Q16" s="16">
        <f t="shared" si="1"/>
        <v>46943.405999999995</v>
      </c>
      <c r="R16" s="12"/>
    </row>
    <row r="17" spans="1:18" x14ac:dyDescent="0.35">
      <c r="A17" t="s">
        <v>182</v>
      </c>
      <c r="B17">
        <v>100</v>
      </c>
      <c r="G17" t="s">
        <v>178</v>
      </c>
      <c r="L17" s="15">
        <v>13</v>
      </c>
      <c r="M17" s="16">
        <v>449.93</v>
      </c>
      <c r="N17" s="16">
        <v>481.9</v>
      </c>
      <c r="O17" s="16">
        <v>449.93</v>
      </c>
      <c r="P17" s="16">
        <f t="shared" si="0"/>
        <v>449.93</v>
      </c>
      <c r="Q17" s="16">
        <f t="shared" si="1"/>
        <v>36039.393000000004</v>
      </c>
      <c r="R17" s="12"/>
    </row>
    <row r="18" spans="1:18" ht="13.15" thickBot="1" x14ac:dyDescent="0.4">
      <c r="A18" s="11" t="s">
        <v>38</v>
      </c>
      <c r="B18" s="127" t="s">
        <v>39</v>
      </c>
      <c r="C18" s="127" t="s">
        <v>40</v>
      </c>
      <c r="D18" s="127" t="s">
        <v>41</v>
      </c>
      <c r="G18" s="11" t="s">
        <v>177</v>
      </c>
      <c r="H18" s="11" t="str">
        <f>B18</f>
        <v>Initial Value</v>
      </c>
      <c r="I18" s="11" t="s">
        <v>174</v>
      </c>
      <c r="L18" s="15">
        <v>14</v>
      </c>
      <c r="M18" s="16">
        <v>352.62</v>
      </c>
      <c r="N18" s="16">
        <v>384.7</v>
      </c>
      <c r="O18" s="16">
        <v>352.62</v>
      </c>
      <c r="P18" s="16">
        <f t="shared" si="0"/>
        <v>352.62</v>
      </c>
      <c r="Q18" s="16">
        <f t="shared" si="1"/>
        <v>28244.861999999997</v>
      </c>
      <c r="R18" s="12"/>
    </row>
    <row r="19" spans="1:18" x14ac:dyDescent="0.35">
      <c r="A19">
        <v>4</v>
      </c>
      <c r="B19" s="92">
        <f>B12*1.5</f>
        <v>120</v>
      </c>
      <c r="C19" s="94">
        <f t="shared" ref="C19:C48" si="2">INT($B19+0.5)</f>
        <v>120</v>
      </c>
      <c r="D19" s="94">
        <f t="shared" ref="D19:D47" si="3">D20*B$16</f>
        <v>16000.000000000053</v>
      </c>
      <c r="E19" s="11"/>
      <c r="F19" s="128">
        <f>'6 - Curve'!C5</f>
        <v>4</v>
      </c>
      <c r="G19" s="129">
        <f>'6 - Curve'!D5</f>
        <v>183.18284739105366</v>
      </c>
      <c r="H19" s="94">
        <f t="shared" ref="H19:H48" si="4">B19</f>
        <v>120</v>
      </c>
      <c r="I19" s="126">
        <f t="shared" ref="I19:I48" si="5">CubicSpline(B19,$G$19:$G$48, $F$19:$F$48)</f>
        <v>0</v>
      </c>
      <c r="L19" s="15">
        <v>15</v>
      </c>
      <c r="M19" s="16">
        <v>282.04000000000002</v>
      </c>
      <c r="N19" s="16">
        <v>314.60000000000002</v>
      </c>
      <c r="O19" s="16">
        <v>282.04000000000002</v>
      </c>
      <c r="P19" s="16">
        <f t="shared" si="0"/>
        <v>282.04000000000002</v>
      </c>
      <c r="Q19" s="16">
        <f t="shared" si="1"/>
        <v>22591.404000000002</v>
      </c>
      <c r="R19" s="12"/>
    </row>
    <row r="20" spans="1:18" x14ac:dyDescent="0.35">
      <c r="A20">
        <v>5</v>
      </c>
      <c r="B20" s="92">
        <f t="shared" ref="B20:B48" si="6">B19*B$16</f>
        <v>142.05449991360581</v>
      </c>
      <c r="C20" s="94">
        <f t="shared" si="2"/>
        <v>142</v>
      </c>
      <c r="D20" s="94">
        <f t="shared" si="3"/>
        <v>13515.939313205179</v>
      </c>
      <c r="F20" s="130">
        <f>'6 - Curve'!C6</f>
        <v>5</v>
      </c>
      <c r="G20" s="131">
        <f>'6 - Curve'!D6</f>
        <v>300.3900692626413</v>
      </c>
      <c r="H20" s="94">
        <f t="shared" si="4"/>
        <v>142.05449991360581</v>
      </c>
      <c r="I20" s="126">
        <f t="shared" si="5"/>
        <v>0</v>
      </c>
      <c r="L20" s="15">
        <v>16</v>
      </c>
      <c r="M20" s="16">
        <v>229.42</v>
      </c>
      <c r="N20" s="16">
        <v>261.8</v>
      </c>
      <c r="O20" s="16">
        <v>229.42</v>
      </c>
      <c r="P20" s="16">
        <f t="shared" si="0"/>
        <v>229.42</v>
      </c>
      <c r="Q20" s="16">
        <f t="shared" si="1"/>
        <v>18376.541999999998</v>
      </c>
      <c r="R20" s="12"/>
    </row>
    <row r="21" spans="1:18" x14ac:dyDescent="0.35">
      <c r="A21">
        <v>6</v>
      </c>
      <c r="B21" s="92">
        <f t="shared" si="6"/>
        <v>168.16234121420527</v>
      </c>
      <c r="C21" s="94">
        <f t="shared" si="2"/>
        <v>168</v>
      </c>
      <c r="D21" s="94">
        <f t="shared" si="3"/>
        <v>11417.538469890293</v>
      </c>
      <c r="F21" s="130">
        <f>'6 - Curve'!C7</f>
        <v>6</v>
      </c>
      <c r="G21" s="131">
        <f>'6 - Curve'!D7</f>
        <v>454.78503914749967</v>
      </c>
      <c r="H21" s="94">
        <f t="shared" si="4"/>
        <v>168.16234121420527</v>
      </c>
      <c r="I21" s="126">
        <f t="shared" si="5"/>
        <v>0</v>
      </c>
      <c r="L21" s="15">
        <v>17</v>
      </c>
      <c r="M21" s="16">
        <v>186.1</v>
      </c>
      <c r="N21" s="16">
        <v>221.2</v>
      </c>
      <c r="O21" s="16">
        <v>186.1</v>
      </c>
      <c r="P21" s="16">
        <f t="shared" si="0"/>
        <v>186.1</v>
      </c>
      <c r="Q21" s="16">
        <f t="shared" si="1"/>
        <v>14906.609999999999</v>
      </c>
      <c r="R21" s="12"/>
    </row>
    <row r="22" spans="1:18" x14ac:dyDescent="0.35">
      <c r="A22">
        <v>7</v>
      </c>
      <c r="B22" s="92">
        <f t="shared" si="6"/>
        <v>199.06847737904226</v>
      </c>
      <c r="C22" s="94">
        <f t="shared" si="2"/>
        <v>199</v>
      </c>
      <c r="D22" s="94">
        <f t="shared" si="3"/>
        <v>9644.9223165763869</v>
      </c>
      <c r="F22" s="130">
        <f>'6 - Curve'!C8</f>
        <v>7</v>
      </c>
      <c r="G22" s="131">
        <f>'6 - Curve'!D8</f>
        <v>621.61355680723022</v>
      </c>
      <c r="H22" s="94">
        <f t="shared" si="4"/>
        <v>199.06847737904226</v>
      </c>
      <c r="I22" s="126">
        <f t="shared" si="5"/>
        <v>4.1446428107357969</v>
      </c>
      <c r="L22" s="15">
        <v>18</v>
      </c>
      <c r="M22" s="16">
        <v>153.87</v>
      </c>
      <c r="N22" s="16">
        <v>188.7</v>
      </c>
      <c r="O22" s="16">
        <v>153.87</v>
      </c>
      <c r="P22" s="16">
        <f t="shared" si="0"/>
        <v>153.87</v>
      </c>
      <c r="Q22" s="16">
        <f t="shared" si="1"/>
        <v>12324.986999999999</v>
      </c>
      <c r="R22" s="12"/>
    </row>
    <row r="23" spans="1:18" x14ac:dyDescent="0.35">
      <c r="A23">
        <v>8</v>
      </c>
      <c r="B23" s="92">
        <f t="shared" si="6"/>
        <v>235.6547750220233</v>
      </c>
      <c r="C23" s="94">
        <f t="shared" si="2"/>
        <v>236</v>
      </c>
      <c r="D23" s="94">
        <f t="shared" si="3"/>
        <v>8147.5115444640205</v>
      </c>
      <c r="F23" s="130">
        <f>'6 - Curve'!C9</f>
        <v>8</v>
      </c>
      <c r="G23" s="131">
        <f>'6 - Curve'!D9</f>
        <v>828.37954332671643</v>
      </c>
      <c r="H23" s="94">
        <f t="shared" si="4"/>
        <v>235.6547750220233</v>
      </c>
      <c r="I23" s="126">
        <f t="shared" si="5"/>
        <v>4.4721909764763739</v>
      </c>
      <c r="L23" s="15">
        <v>19</v>
      </c>
      <c r="M23" s="16">
        <v>128.62</v>
      </c>
      <c r="N23" s="16">
        <v>161</v>
      </c>
      <c r="O23" s="16">
        <v>128.62</v>
      </c>
      <c r="P23" s="16">
        <f t="shared" si="0"/>
        <v>128.62</v>
      </c>
      <c r="Q23" s="16">
        <f t="shared" si="1"/>
        <v>10302.462</v>
      </c>
      <c r="R23" s="12"/>
    </row>
    <row r="24" spans="1:18" x14ac:dyDescent="0.35">
      <c r="A24">
        <v>9</v>
      </c>
      <c r="B24" s="92">
        <f t="shared" si="6"/>
        <v>278.96517681672339</v>
      </c>
      <c r="C24" s="94">
        <f t="shared" si="2"/>
        <v>279</v>
      </c>
      <c r="D24" s="94">
        <f t="shared" si="3"/>
        <v>6882.5794742883709</v>
      </c>
      <c r="F24" s="130">
        <f>'6 - Curve'!C10</f>
        <v>9</v>
      </c>
      <c r="G24" s="131">
        <f>'6 - Curve'!D10</f>
        <v>1062.78819198257</v>
      </c>
      <c r="H24" s="94">
        <f t="shared" si="4"/>
        <v>278.96517681672339</v>
      </c>
      <c r="I24" s="126">
        <f t="shared" si="5"/>
        <v>4.8357888707085905</v>
      </c>
      <c r="L24" s="15">
        <v>20</v>
      </c>
      <c r="M24" s="16">
        <v>107.35</v>
      </c>
      <c r="N24" s="16">
        <v>136.4</v>
      </c>
      <c r="O24" s="16">
        <v>107.35</v>
      </c>
      <c r="P24" s="16">
        <f t="shared" si="0"/>
        <v>107.35</v>
      </c>
      <c r="Q24" s="16">
        <f t="shared" si="1"/>
        <v>8598.7350000000006</v>
      </c>
      <c r="R24" s="12"/>
    </row>
    <row r="25" spans="1:18" x14ac:dyDescent="0.35">
      <c r="A25">
        <v>10</v>
      </c>
      <c r="B25" s="92">
        <f t="shared" si="6"/>
        <v>330.2354890500855</v>
      </c>
      <c r="C25" s="94">
        <f t="shared" si="2"/>
        <v>330</v>
      </c>
      <c r="D25" s="94">
        <f t="shared" si="3"/>
        <v>5814.0329057995577</v>
      </c>
      <c r="E25" s="24"/>
      <c r="F25" s="130">
        <f>'6 - Curve'!C11</f>
        <v>10</v>
      </c>
      <c r="G25" s="131">
        <f>'6 - Curve'!D11</f>
        <v>1309.2045779490281</v>
      </c>
      <c r="H25" s="94">
        <f t="shared" si="4"/>
        <v>330.2354890500855</v>
      </c>
      <c r="I25" s="126">
        <f t="shared" si="5"/>
        <v>5.2116962286441648</v>
      </c>
      <c r="L25" s="15">
        <v>21</v>
      </c>
      <c r="M25" s="16">
        <v>88.64</v>
      </c>
      <c r="N25" s="16">
        <v>114.4</v>
      </c>
      <c r="O25" s="16">
        <v>88.64</v>
      </c>
      <c r="P25" s="16">
        <f t="shared" si="0"/>
        <v>88.64</v>
      </c>
      <c r="Q25" s="16">
        <f t="shared" si="1"/>
        <v>7100.0640000000003</v>
      </c>
      <c r="R25" s="12"/>
    </row>
    <row r="26" spans="1:18" x14ac:dyDescent="0.35">
      <c r="A26">
        <v>11</v>
      </c>
      <c r="B26" s="92">
        <f t="shared" si="6"/>
        <v>390.92864375612453</v>
      </c>
      <c r="C26" s="94">
        <f t="shared" si="2"/>
        <v>391</v>
      </c>
      <c r="D26" s="94">
        <f t="shared" si="3"/>
        <v>4911.3822449852833</v>
      </c>
      <c r="E26" s="24"/>
      <c r="F26" s="130">
        <f>'6 - Curve'!C12</f>
        <v>11</v>
      </c>
      <c r="G26" s="131">
        <f>'6 - Curve'!D12</f>
        <v>1587.2572540818976</v>
      </c>
      <c r="H26" s="94">
        <f t="shared" si="4"/>
        <v>390.92864375612453</v>
      </c>
      <c r="I26" s="126">
        <f t="shared" si="5"/>
        <v>5.6056482675924135</v>
      </c>
      <c r="L26" s="15">
        <v>22</v>
      </c>
      <c r="M26" s="16">
        <v>75.56</v>
      </c>
      <c r="N26" s="16">
        <v>95.3</v>
      </c>
      <c r="O26" s="16">
        <v>75.56</v>
      </c>
      <c r="P26" s="16">
        <f t="shared" si="0"/>
        <v>75.56</v>
      </c>
      <c r="Q26" s="16">
        <f t="shared" si="1"/>
        <v>6052.3560000000007</v>
      </c>
      <c r="R26" s="12"/>
    </row>
    <row r="27" spans="1:18" x14ac:dyDescent="0.35">
      <c r="A27">
        <v>12</v>
      </c>
      <c r="B27" s="92">
        <f t="shared" si="6"/>
        <v>462.77644158900353</v>
      </c>
      <c r="C27" s="94">
        <f t="shared" si="2"/>
        <v>463</v>
      </c>
      <c r="D27" s="94">
        <f t="shared" si="3"/>
        <v>4148.8715229483923</v>
      </c>
      <c r="E27" s="24"/>
      <c r="F27" s="130">
        <f>'6 - Curve'!C13</f>
        <v>12</v>
      </c>
      <c r="G27" s="131">
        <f>'6 - Curve'!D13</f>
        <v>1887.861639304303</v>
      </c>
      <c r="H27" s="94">
        <f t="shared" si="4"/>
        <v>462.77644158900353</v>
      </c>
      <c r="I27" s="126">
        <f t="shared" si="5"/>
        <v>6.049816192969006</v>
      </c>
      <c r="L27" s="15">
        <v>23</v>
      </c>
      <c r="M27" s="16">
        <v>61.94</v>
      </c>
      <c r="N27" s="16">
        <v>79</v>
      </c>
      <c r="O27" s="16">
        <v>61.94</v>
      </c>
      <c r="P27" s="16">
        <f t="shared" si="0"/>
        <v>61.94</v>
      </c>
      <c r="Q27" s="16">
        <f t="shared" si="1"/>
        <v>4961.3939999999993</v>
      </c>
      <c r="R27" s="12"/>
    </row>
    <row r="28" spans="1:18" x14ac:dyDescent="0.35">
      <c r="A28">
        <v>13</v>
      </c>
      <c r="B28" s="92">
        <f t="shared" si="6"/>
        <v>547.82896651436579</v>
      </c>
      <c r="C28" s="94">
        <f t="shared" si="2"/>
        <v>548</v>
      </c>
      <c r="D28" s="94">
        <f t="shared" si="3"/>
        <v>3504.7434826534645</v>
      </c>
      <c r="E28" s="24"/>
      <c r="F28" s="130">
        <f>'6 - Curve'!C14</f>
        <v>13</v>
      </c>
      <c r="G28" s="131">
        <f>'6 - Curve'!D14</f>
        <v>2201.3984240344862</v>
      </c>
      <c r="H28" s="94">
        <f t="shared" si="4"/>
        <v>547.82896651436579</v>
      </c>
      <c r="I28" s="126">
        <f t="shared" si="5"/>
        <v>6.5766512699040121</v>
      </c>
      <c r="L28" s="15">
        <v>24</v>
      </c>
      <c r="M28" s="16">
        <v>50.86</v>
      </c>
      <c r="N28" s="16">
        <v>65.3</v>
      </c>
      <c r="O28" s="16">
        <v>50.86</v>
      </c>
      <c r="P28" s="16">
        <f t="shared" si="0"/>
        <v>50.86</v>
      </c>
      <c r="Q28" s="16">
        <f t="shared" si="1"/>
        <v>4073.886</v>
      </c>
      <c r="R28" s="12"/>
    </row>
    <row r="29" spans="1:18" x14ac:dyDescent="0.35">
      <c r="A29">
        <v>14</v>
      </c>
      <c r="B29" s="92">
        <f t="shared" si="6"/>
        <v>648.51308230321445</v>
      </c>
      <c r="C29" s="94">
        <f t="shared" si="2"/>
        <v>649</v>
      </c>
      <c r="D29" s="94">
        <f t="shared" si="3"/>
        <v>2960.618763743465</v>
      </c>
      <c r="E29" s="24"/>
      <c r="F29" s="130">
        <f>'6 - Curve'!C15</f>
        <v>14</v>
      </c>
      <c r="G29" s="131">
        <f>'6 - Curve'!D15</f>
        <v>2511.9941464035237</v>
      </c>
      <c r="H29" s="94">
        <f t="shared" si="4"/>
        <v>648.51308230321445</v>
      </c>
      <c r="I29" s="126">
        <f t="shared" si="5"/>
        <v>7.141543151172896</v>
      </c>
      <c r="L29" s="15">
        <v>25</v>
      </c>
      <c r="M29" s="16">
        <v>41.61</v>
      </c>
      <c r="N29" s="16">
        <v>53.8</v>
      </c>
      <c r="O29" s="16">
        <v>41.61</v>
      </c>
      <c r="P29" s="16">
        <f t="shared" si="0"/>
        <v>41.61</v>
      </c>
      <c r="Q29" s="16">
        <f t="shared" si="1"/>
        <v>3332.9609999999998</v>
      </c>
      <c r="R29" s="12"/>
    </row>
    <row r="30" spans="1:18" x14ac:dyDescent="0.35">
      <c r="A30">
        <v>15</v>
      </c>
      <c r="B30" s="92">
        <f t="shared" si="6"/>
        <v>767.70167995011843</v>
      </c>
      <c r="C30" s="94">
        <f t="shared" si="2"/>
        <v>768</v>
      </c>
      <c r="D30" s="94">
        <f t="shared" si="3"/>
        <v>2500.9714712683176</v>
      </c>
      <c r="E30" s="24"/>
      <c r="F30" s="130">
        <f>'6 - Curve'!C16</f>
        <v>15</v>
      </c>
      <c r="G30" s="131">
        <f>'6 - Curve'!D16</f>
        <v>2837.9587198394233</v>
      </c>
      <c r="H30" s="94">
        <f t="shared" si="4"/>
        <v>767.70167995011843</v>
      </c>
      <c r="I30" s="126">
        <f t="shared" si="5"/>
        <v>7.7222219632767271</v>
      </c>
      <c r="L30" s="15">
        <v>26</v>
      </c>
      <c r="M30" s="16">
        <v>33.44</v>
      </c>
      <c r="N30" s="16">
        <v>44.6</v>
      </c>
      <c r="O30" s="16">
        <v>33.44</v>
      </c>
      <c r="P30" s="16">
        <f t="shared" si="0"/>
        <v>33.44</v>
      </c>
      <c r="Q30" s="16">
        <f t="shared" si="1"/>
        <v>2678.5439999999999</v>
      </c>
      <c r="R30" s="12"/>
    </row>
    <row r="31" spans="1:18" x14ac:dyDescent="0.35">
      <c r="A31">
        <v>16</v>
      </c>
      <c r="B31" s="92">
        <f t="shared" si="6"/>
        <v>908.79565190124276</v>
      </c>
      <c r="C31" s="94">
        <f t="shared" si="2"/>
        <v>909</v>
      </c>
      <c r="D31" s="94">
        <f t="shared" si="3"/>
        <v>2112.6861643574962</v>
      </c>
      <c r="E31" s="24"/>
      <c r="F31" s="130">
        <f>'6 - Curve'!C17</f>
        <v>16</v>
      </c>
      <c r="G31" s="131">
        <f>'6 - Curve'!D17</f>
        <v>3163.6160321266743</v>
      </c>
      <c r="H31" s="94">
        <f t="shared" si="4"/>
        <v>908.79565190124276</v>
      </c>
      <c r="I31" s="126">
        <f t="shared" si="5"/>
        <v>8.3542669285549174</v>
      </c>
      <c r="L31" s="15">
        <v>27</v>
      </c>
      <c r="M31" s="16">
        <v>26.08</v>
      </c>
      <c r="N31" s="16">
        <v>37</v>
      </c>
      <c r="O31" s="16">
        <v>26.08</v>
      </c>
      <c r="P31" s="16">
        <f t="shared" si="0"/>
        <v>26.08</v>
      </c>
      <c r="Q31" s="16">
        <f t="shared" si="1"/>
        <v>2089.0079999999998</v>
      </c>
      <c r="R31" s="12"/>
    </row>
    <row r="32" spans="1:18" x14ac:dyDescent="0.35">
      <c r="A32">
        <v>17</v>
      </c>
      <c r="B32" s="92">
        <f t="shared" si="6"/>
        <v>1075.8209321207535</v>
      </c>
      <c r="C32" s="94">
        <f t="shared" si="2"/>
        <v>1076</v>
      </c>
      <c r="D32" s="94">
        <f t="shared" si="3"/>
        <v>1784.683624081503</v>
      </c>
      <c r="E32" s="24"/>
      <c r="F32" s="130">
        <f>'6 - Curve'!C18</f>
        <v>17</v>
      </c>
      <c r="G32" s="131">
        <f>'6 - Curve'!D18</f>
        <v>3485.439343127945</v>
      </c>
      <c r="H32" s="94">
        <f t="shared" si="4"/>
        <v>1075.8209321207535</v>
      </c>
      <c r="I32" s="126">
        <f t="shared" si="5"/>
        <v>9.054233696608069</v>
      </c>
      <c r="L32" s="15">
        <v>28</v>
      </c>
      <c r="M32" s="16">
        <v>20.41</v>
      </c>
      <c r="N32" s="16">
        <v>30.7</v>
      </c>
      <c r="O32" s="16">
        <v>20.41</v>
      </c>
      <c r="P32" s="16">
        <f t="shared" si="0"/>
        <v>20.41</v>
      </c>
      <c r="Q32" s="16">
        <f t="shared" si="1"/>
        <v>1634.8409999999999</v>
      </c>
      <c r="R32" s="12"/>
    </row>
    <row r="33" spans="1:18" x14ac:dyDescent="0.35">
      <c r="A33">
        <v>18</v>
      </c>
      <c r="B33" s="92">
        <f t="shared" si="6"/>
        <v>1273.5433709083575</v>
      </c>
      <c r="C33" s="94">
        <f t="shared" si="2"/>
        <v>1274</v>
      </c>
      <c r="D33" s="94">
        <f t="shared" si="3"/>
        <v>1507.6047222722875</v>
      </c>
      <c r="E33" s="24"/>
      <c r="F33" s="130">
        <f>'6 - Curve'!C19</f>
        <v>18</v>
      </c>
      <c r="G33" s="131">
        <f>'6 - Curve'!D19</f>
        <v>3814.1558418446975</v>
      </c>
      <c r="H33" s="94">
        <f t="shared" si="4"/>
        <v>1273.5433709083575</v>
      </c>
      <c r="I33" s="126">
        <f t="shared" si="5"/>
        <v>9.8621137514152775</v>
      </c>
      <c r="L33" s="15">
        <v>29</v>
      </c>
      <c r="M33" s="16">
        <v>16.39</v>
      </c>
      <c r="N33" s="16">
        <v>25.2</v>
      </c>
      <c r="O33" s="16">
        <v>16.39</v>
      </c>
      <c r="P33" s="16">
        <f t="shared" si="0"/>
        <v>16.39</v>
      </c>
      <c r="Q33" s="16">
        <f t="shared" si="1"/>
        <v>1312.8390000000002</v>
      </c>
      <c r="R33" s="12"/>
    </row>
    <row r="34" spans="1:18" ht="13.15" thickBot="1" x14ac:dyDescent="0.4">
      <c r="A34">
        <v>19</v>
      </c>
      <c r="B34" s="92">
        <f t="shared" si="6"/>
        <v>1507.6047222722875</v>
      </c>
      <c r="C34" s="94">
        <f t="shared" si="2"/>
        <v>1508</v>
      </c>
      <c r="D34" s="94">
        <f t="shared" si="3"/>
        <v>1273.5433709083575</v>
      </c>
      <c r="E34" s="24"/>
      <c r="F34" s="130">
        <f>'6 - Curve'!C20</f>
        <v>19</v>
      </c>
      <c r="G34" s="131">
        <f>'6 - Curve'!D20</f>
        <v>4166.8583134430855</v>
      </c>
      <c r="H34" s="94">
        <f t="shared" si="4"/>
        <v>1507.6047222722875</v>
      </c>
      <c r="I34" s="126">
        <f t="shared" si="5"/>
        <v>10.722750505836441</v>
      </c>
      <c r="L34" s="25">
        <v>30</v>
      </c>
      <c r="M34" s="26">
        <v>13.94</v>
      </c>
      <c r="N34" s="26">
        <v>20.100000000000001</v>
      </c>
      <c r="O34" s="26">
        <v>13.94</v>
      </c>
      <c r="P34" s="26">
        <f t="shared" si="0"/>
        <v>13.94</v>
      </c>
      <c r="Q34" s="26">
        <f t="shared" si="1"/>
        <v>1116.5939999999998</v>
      </c>
      <c r="R34" s="27"/>
    </row>
    <row r="35" spans="1:18" x14ac:dyDescent="0.35">
      <c r="A35">
        <v>20</v>
      </c>
      <c r="B35" s="92">
        <f t="shared" si="6"/>
        <v>1784.683624081503</v>
      </c>
      <c r="C35" s="94">
        <f t="shared" si="2"/>
        <v>1785</v>
      </c>
      <c r="D35" s="94">
        <f t="shared" si="3"/>
        <v>1075.8209321207535</v>
      </c>
      <c r="E35" s="24"/>
      <c r="F35" s="130">
        <f>'6 - Curve'!C21</f>
        <v>20</v>
      </c>
      <c r="G35" s="131">
        <f>'6 - Curve'!D21</f>
        <v>4566.8354598946016</v>
      </c>
      <c r="H35" s="94">
        <f t="shared" si="4"/>
        <v>1784.683624081503</v>
      </c>
      <c r="I35" s="126">
        <f t="shared" si="5"/>
        <v>11.662897832532781</v>
      </c>
    </row>
    <row r="36" spans="1:18" x14ac:dyDescent="0.35">
      <c r="A36">
        <v>21</v>
      </c>
      <c r="B36" s="92">
        <f t="shared" si="6"/>
        <v>2112.6861643574962</v>
      </c>
      <c r="C36" s="94">
        <f t="shared" si="2"/>
        <v>2113</v>
      </c>
      <c r="D36" s="94">
        <f t="shared" si="3"/>
        <v>908.79565190124276</v>
      </c>
      <c r="E36" s="24"/>
      <c r="F36" s="130">
        <f>'6 - Curve'!C22</f>
        <v>21</v>
      </c>
      <c r="G36" s="131">
        <f>'6 - Curve'!D22</f>
        <v>5023.8815380590731</v>
      </c>
      <c r="H36" s="94">
        <f t="shared" si="4"/>
        <v>2112.6861643574962</v>
      </c>
      <c r="I36" s="126">
        <f t="shared" si="5"/>
        <v>12.717582749046439</v>
      </c>
    </row>
    <row r="37" spans="1:18" x14ac:dyDescent="0.35">
      <c r="A37">
        <v>22</v>
      </c>
      <c r="B37" s="92">
        <f t="shared" si="6"/>
        <v>2500.9714712683176</v>
      </c>
      <c r="C37" s="94">
        <f t="shared" si="2"/>
        <v>2501</v>
      </c>
      <c r="D37" s="94">
        <f t="shared" si="3"/>
        <v>767.70167995011843</v>
      </c>
      <c r="E37" s="24"/>
      <c r="F37" s="130">
        <f>'6 - Curve'!C23</f>
        <v>22</v>
      </c>
      <c r="G37" s="131">
        <f>'6 - Curve'!D23</f>
        <v>5525.8945521173209</v>
      </c>
      <c r="H37" s="94">
        <f t="shared" si="4"/>
        <v>2500.9714712683176</v>
      </c>
      <c r="I37" s="126">
        <f t="shared" si="5"/>
        <v>13.965302548566246</v>
      </c>
    </row>
    <row r="38" spans="1:18" x14ac:dyDescent="0.35">
      <c r="A38">
        <v>23</v>
      </c>
      <c r="B38" s="92">
        <f t="shared" si="6"/>
        <v>2960.618763743465</v>
      </c>
      <c r="C38" s="94">
        <f t="shared" si="2"/>
        <v>2961</v>
      </c>
      <c r="D38" s="94">
        <f t="shared" si="3"/>
        <v>648.51308230321445</v>
      </c>
      <c r="E38" s="24"/>
      <c r="F38" s="130">
        <f>'6 - Curve'!C24</f>
        <v>23</v>
      </c>
      <c r="G38" s="131">
        <f>'6 - Curve'!D24</f>
        <v>6056.3607650990562</v>
      </c>
      <c r="H38" s="94">
        <f t="shared" si="4"/>
        <v>2960.618763743465</v>
      </c>
      <c r="I38" s="126">
        <f t="shared" si="5"/>
        <v>15.376061079672171</v>
      </c>
    </row>
    <row r="39" spans="1:18" x14ac:dyDescent="0.35">
      <c r="A39">
        <v>24</v>
      </c>
      <c r="B39" s="92">
        <f t="shared" si="6"/>
        <v>3504.7434826534645</v>
      </c>
      <c r="C39" s="94">
        <f t="shared" si="2"/>
        <v>3505</v>
      </c>
      <c r="D39" s="94">
        <f t="shared" si="3"/>
        <v>547.82896651436579</v>
      </c>
      <c r="F39" s="130">
        <f>'6 - Curve'!C25</f>
        <v>24</v>
      </c>
      <c r="G39" s="131">
        <f>'6 - Curve'!D25</f>
        <v>6647.0721391731713</v>
      </c>
      <c r="H39" s="94">
        <f t="shared" si="4"/>
        <v>3504.7434826534645</v>
      </c>
      <c r="I39" s="126">
        <f t="shared" si="5"/>
        <v>17.05939139128003</v>
      </c>
    </row>
    <row r="40" spans="1:18" x14ac:dyDescent="0.35">
      <c r="A40">
        <v>25</v>
      </c>
      <c r="B40" s="92">
        <f t="shared" si="6"/>
        <v>4148.8715229483923</v>
      </c>
      <c r="C40" s="94">
        <f t="shared" si="2"/>
        <v>4149</v>
      </c>
      <c r="D40" s="94">
        <f t="shared" si="3"/>
        <v>462.77644158900353</v>
      </c>
      <c r="F40" s="130">
        <f>'6 - Curve'!C26</f>
        <v>25</v>
      </c>
      <c r="G40" s="131">
        <f>'6 - Curve'!D26</f>
        <v>7275.8692150550178</v>
      </c>
      <c r="H40" s="94">
        <f t="shared" si="4"/>
        <v>4148.8715229483923</v>
      </c>
      <c r="I40" s="126">
        <f t="shared" si="5"/>
        <v>18.951974499188289</v>
      </c>
    </row>
    <row r="41" spans="1:18" x14ac:dyDescent="0.35">
      <c r="A41">
        <v>26</v>
      </c>
      <c r="B41" s="92">
        <f t="shared" si="6"/>
        <v>4911.3822449852833</v>
      </c>
      <c r="C41" s="94">
        <f t="shared" si="2"/>
        <v>4911</v>
      </c>
      <c r="D41" s="94">
        <f t="shared" si="3"/>
        <v>390.92864375612453</v>
      </c>
      <c r="F41" s="130">
        <f>'6 - Curve'!C27</f>
        <v>26</v>
      </c>
      <c r="G41" s="131">
        <f>'6 - Curve'!D27</f>
        <v>7952.6221634826497</v>
      </c>
      <c r="H41" s="94">
        <f t="shared" si="4"/>
        <v>4911.3822449852833</v>
      </c>
      <c r="I41" s="126">
        <f t="shared" si="5"/>
        <v>20.763455742358104</v>
      </c>
    </row>
    <row r="42" spans="1:18" x14ac:dyDescent="0.35">
      <c r="A42">
        <v>27</v>
      </c>
      <c r="B42" s="92">
        <f t="shared" si="6"/>
        <v>5814.0329057995577</v>
      </c>
      <c r="C42" s="94">
        <f t="shared" si="2"/>
        <v>5814</v>
      </c>
      <c r="D42" s="94">
        <f t="shared" si="3"/>
        <v>330.2354890500855</v>
      </c>
      <c r="F42" s="130">
        <f>'6 - Curve'!C28</f>
        <v>27</v>
      </c>
      <c r="G42" s="131">
        <f>'6 - Curve'!D28</f>
        <v>8648.2894367881636</v>
      </c>
      <c r="H42" s="94">
        <f t="shared" si="4"/>
        <v>5814.0329057995577</v>
      </c>
      <c r="I42" s="126">
        <f t="shared" si="5"/>
        <v>22.553545632308534</v>
      </c>
    </row>
    <row r="43" spans="1:18" x14ac:dyDescent="0.35">
      <c r="A43">
        <v>28</v>
      </c>
      <c r="B43" s="92">
        <f t="shared" si="6"/>
        <v>6882.5794742883709</v>
      </c>
      <c r="C43" s="94">
        <f t="shared" si="2"/>
        <v>6883</v>
      </c>
      <c r="D43" s="94">
        <f t="shared" si="3"/>
        <v>278.96517681672339</v>
      </c>
      <c r="F43" s="130">
        <f>'6 - Curve'!C29</f>
        <v>28</v>
      </c>
      <c r="G43" s="131">
        <f>'6 - Curve'!D29</f>
        <v>9382.3649228581198</v>
      </c>
      <c r="H43" s="94">
        <f t="shared" si="4"/>
        <v>6882.5794742883709</v>
      </c>
      <c r="I43" s="126">
        <f t="shared" si="5"/>
        <v>24.382335030846679</v>
      </c>
    </row>
    <row r="44" spans="1:18" x14ac:dyDescent="0.35">
      <c r="A44">
        <v>29</v>
      </c>
      <c r="B44" s="92">
        <f t="shared" si="6"/>
        <v>8147.5115444640205</v>
      </c>
      <c r="C44" s="94">
        <f t="shared" si="2"/>
        <v>8148</v>
      </c>
      <c r="D44" s="94">
        <f t="shared" si="3"/>
        <v>235.6547750220233</v>
      </c>
      <c r="F44" s="130">
        <f>'6 - Curve'!C30</f>
        <v>29</v>
      </c>
      <c r="G44" s="131">
        <f>'6 - Curve'!D30</f>
        <v>10085.647840748228</v>
      </c>
      <c r="H44" s="94">
        <f t="shared" si="4"/>
        <v>8147.5115444640205</v>
      </c>
      <c r="I44" s="126">
        <f t="shared" si="5"/>
        <v>26.283665773457798</v>
      </c>
    </row>
    <row r="45" spans="1:18" x14ac:dyDescent="0.35">
      <c r="A45">
        <v>30</v>
      </c>
      <c r="B45" s="92">
        <f t="shared" si="6"/>
        <v>9644.9223165763869</v>
      </c>
      <c r="C45" s="94">
        <f t="shared" si="2"/>
        <v>9645</v>
      </c>
      <c r="D45" s="94">
        <f t="shared" si="3"/>
        <v>199.06847737904226</v>
      </c>
      <c r="F45" s="130">
        <f>'6 - Curve'!C31</f>
        <v>30</v>
      </c>
      <c r="G45" s="131">
        <f>'6 - Curve'!D31</f>
        <v>10888.784949944562</v>
      </c>
      <c r="H45" s="94">
        <f t="shared" si="4"/>
        <v>9644.9223165763869</v>
      </c>
      <c r="I45" s="126">
        <f t="shared" si="5"/>
        <v>28.375979807757929</v>
      </c>
    </row>
    <row r="46" spans="1:18" x14ac:dyDescent="0.35">
      <c r="A46">
        <v>38</v>
      </c>
      <c r="B46" s="92">
        <f t="shared" si="6"/>
        <v>11417.538469890293</v>
      </c>
      <c r="C46" s="94">
        <f t="shared" si="2"/>
        <v>11418</v>
      </c>
      <c r="D46" s="94">
        <f t="shared" si="3"/>
        <v>168.16234121420527</v>
      </c>
      <c r="F46" s="130">
        <f>'6 - Curve'!C32</f>
        <v>38</v>
      </c>
      <c r="G46" s="131">
        <f>'6 - Curve'!D32</f>
        <v>10030.479593619546</v>
      </c>
      <c r="H46" s="94">
        <f t="shared" si="4"/>
        <v>11417.538469890293</v>
      </c>
      <c r="I46" s="126">
        <f t="shared" si="5"/>
        <v>43.404778175734116</v>
      </c>
    </row>
    <row r="47" spans="1:18" x14ac:dyDescent="0.35">
      <c r="A47">
        <v>50</v>
      </c>
      <c r="B47" s="92">
        <f t="shared" si="6"/>
        <v>13515.939313205179</v>
      </c>
      <c r="C47" s="94">
        <f t="shared" si="2"/>
        <v>13516</v>
      </c>
      <c r="D47" s="94">
        <f t="shared" si="3"/>
        <v>142.05449991360581</v>
      </c>
      <c r="F47" s="130">
        <f>'6 - Curve'!C33</f>
        <v>50</v>
      </c>
      <c r="G47" s="131">
        <f>'6 - Curve'!D33</f>
        <v>15895.418171796442</v>
      </c>
      <c r="H47" s="94">
        <f t="shared" si="4"/>
        <v>13515.939313205179</v>
      </c>
      <c r="I47" s="126">
        <f t="shared" si="5"/>
        <v>46.904570997484129</v>
      </c>
    </row>
    <row r="48" spans="1:18" ht="13.15" thickBot="1" x14ac:dyDescent="0.4">
      <c r="A48">
        <v>70</v>
      </c>
      <c r="B48" s="92">
        <f t="shared" si="6"/>
        <v>16000.000000000053</v>
      </c>
      <c r="C48" s="94">
        <f t="shared" si="2"/>
        <v>16000</v>
      </c>
      <c r="D48" s="94">
        <f>$B$12*1.5</f>
        <v>120</v>
      </c>
      <c r="E48" s="11"/>
      <c r="F48" s="132">
        <f>'6 - Curve'!C34</f>
        <v>70</v>
      </c>
      <c r="G48" s="133">
        <f>'6 - Curve'!D34</f>
        <v>24999.999999999996</v>
      </c>
      <c r="H48" s="94">
        <f t="shared" si="4"/>
        <v>16000.000000000053</v>
      </c>
      <c r="I48" s="126">
        <f t="shared" si="5"/>
        <v>50.221717781972394</v>
      </c>
    </row>
    <row r="49" spans="1:31" x14ac:dyDescent="0.35">
      <c r="C49" s="11"/>
      <c r="E49" s="24"/>
      <c r="F49" s="16"/>
      <c r="G49" s="16"/>
    </row>
    <row r="50" spans="1:31" ht="13.5" thickBot="1" x14ac:dyDescent="0.45">
      <c r="B50" s="118" t="s">
        <v>42</v>
      </c>
      <c r="E50" s="16"/>
    </row>
    <row r="51" spans="1:31" x14ac:dyDescent="0.35">
      <c r="A51" s="11" t="s">
        <v>176</v>
      </c>
      <c r="B51" s="119">
        <v>4</v>
      </c>
      <c r="C51" s="120">
        <v>5</v>
      </c>
      <c r="D51" s="120">
        <v>6</v>
      </c>
      <c r="E51" s="120">
        <v>7</v>
      </c>
      <c r="F51" s="120">
        <v>8</v>
      </c>
      <c r="G51" s="120">
        <v>9</v>
      </c>
      <c r="H51" s="120">
        <v>10</v>
      </c>
      <c r="I51" s="120">
        <v>11</v>
      </c>
      <c r="J51" s="120">
        <v>12</v>
      </c>
      <c r="K51" s="120">
        <v>13</v>
      </c>
      <c r="L51" s="120">
        <v>14</v>
      </c>
      <c r="M51" s="120">
        <v>15</v>
      </c>
      <c r="N51" s="120">
        <v>16</v>
      </c>
      <c r="O51" s="120">
        <v>17</v>
      </c>
      <c r="P51" s="120">
        <v>18</v>
      </c>
      <c r="Q51" s="120">
        <v>19</v>
      </c>
      <c r="R51" s="120">
        <v>20</v>
      </c>
      <c r="S51" s="120">
        <v>21</v>
      </c>
      <c r="T51" s="120">
        <v>22</v>
      </c>
      <c r="U51" s="120">
        <v>23</v>
      </c>
      <c r="V51" s="120">
        <v>24</v>
      </c>
      <c r="W51" s="120">
        <v>25</v>
      </c>
      <c r="X51" s="120">
        <v>26</v>
      </c>
      <c r="Y51" s="120">
        <v>27</v>
      </c>
      <c r="Z51" s="120">
        <v>28</v>
      </c>
      <c r="AA51" s="120">
        <v>29</v>
      </c>
      <c r="AB51" s="120">
        <v>30</v>
      </c>
      <c r="AC51" s="120">
        <v>38</v>
      </c>
      <c r="AD51" s="120">
        <v>50</v>
      </c>
      <c r="AE51" s="121">
        <v>70</v>
      </c>
    </row>
    <row r="52" spans="1:31" ht="14.25" thickBot="1" x14ac:dyDescent="0.45">
      <c r="A52" s="11" t="s">
        <v>44</v>
      </c>
      <c r="B52" s="122">
        <f>INT($B19+0.5)</f>
        <v>120</v>
      </c>
      <c r="C52" s="123">
        <f>INT($B20+0.5)</f>
        <v>142</v>
      </c>
      <c r="D52" s="123">
        <f>INT($B21+0.5)</f>
        <v>168</v>
      </c>
      <c r="E52" s="123">
        <f>INT($B22+0.5)</f>
        <v>199</v>
      </c>
      <c r="F52" s="123">
        <f>INT($B23+0.5)</f>
        <v>236</v>
      </c>
      <c r="G52" s="123">
        <f>INT($B24+0.5)</f>
        <v>279</v>
      </c>
      <c r="H52" s="123">
        <f>INT($B25+0.5)</f>
        <v>330</v>
      </c>
      <c r="I52" s="123">
        <f>INT($B26+0.5)</f>
        <v>391</v>
      </c>
      <c r="J52" s="123">
        <f>INT($B27+0.5)</f>
        <v>463</v>
      </c>
      <c r="K52" s="123">
        <f>INT($B28+0.5)</f>
        <v>548</v>
      </c>
      <c r="L52" s="123">
        <f>INT($B29+0.5)</f>
        <v>649</v>
      </c>
      <c r="M52" s="123">
        <f>INT($B30+0.5)</f>
        <v>768</v>
      </c>
      <c r="N52" s="123">
        <f>INT($B31+0.5)</f>
        <v>909</v>
      </c>
      <c r="O52" s="123">
        <f>INT($B32+0.5)</f>
        <v>1076</v>
      </c>
      <c r="P52" s="123">
        <f>INT($B33+0.5)</f>
        <v>1274</v>
      </c>
      <c r="Q52" s="123">
        <f>INT($B34+0.5)</f>
        <v>1508</v>
      </c>
      <c r="R52" s="123">
        <f>INT($B35+0.5)</f>
        <v>1785</v>
      </c>
      <c r="S52" s="123">
        <f>INT($B36+0.5)</f>
        <v>2113</v>
      </c>
      <c r="T52" s="123">
        <f>INT($B37+0.5)</f>
        <v>2501</v>
      </c>
      <c r="U52" s="123">
        <f>INT($B38+0.5)</f>
        <v>2961</v>
      </c>
      <c r="V52" s="123">
        <f>INT($B39+0.5)</f>
        <v>3505</v>
      </c>
      <c r="W52" s="123">
        <f>INT($B40+0.5)</f>
        <v>4149</v>
      </c>
      <c r="X52" s="123">
        <f>INT($B41+0.5)</f>
        <v>4911</v>
      </c>
      <c r="Y52" s="123">
        <f>INT($B42+0.5)</f>
        <v>5814</v>
      </c>
      <c r="Z52" s="123">
        <f>INT($B43+0.5)</f>
        <v>6883</v>
      </c>
      <c r="AA52" s="123">
        <f>INT($B44+0.5)</f>
        <v>8148</v>
      </c>
      <c r="AB52" s="123">
        <f>INT($B45+0.5)</f>
        <v>9645</v>
      </c>
      <c r="AC52" s="123">
        <f>INT($B46+0.5)</f>
        <v>11418</v>
      </c>
      <c r="AD52" s="123">
        <f>INT($B47+0.5)</f>
        <v>13516</v>
      </c>
      <c r="AE52" s="124">
        <f>INT($B48+0.5)</f>
        <v>16000</v>
      </c>
    </row>
    <row r="54" spans="1:31" ht="36.4" x14ac:dyDescent="0.35">
      <c r="B54" s="1" t="s">
        <v>45</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tabSelected="1" zoomScale="70" zoomScaleNormal="70" workbookViewId="0">
      <selection activeCell="D5" sqref="D5"/>
    </sheetView>
  </sheetViews>
  <sheetFormatPr defaultColWidth="11.53125" defaultRowHeight="12.75" x14ac:dyDescent="0.35"/>
  <cols>
    <col min="12" max="12" width="12.3984375" customWidth="1"/>
  </cols>
  <sheetData>
    <row r="1" spans="1:49" x14ac:dyDescent="0.35">
      <c r="A1" t="s">
        <v>46</v>
      </c>
    </row>
    <row r="2" spans="1:49" ht="40.15" x14ac:dyDescent="0.4">
      <c r="A2" s="149" t="s">
        <v>47</v>
      </c>
      <c r="B2" s="149"/>
      <c r="C2" s="149"/>
      <c r="D2" s="149"/>
      <c r="E2" s="149"/>
      <c r="H2" s="28" t="s">
        <v>48</v>
      </c>
    </row>
    <row r="3" spans="1:49" ht="13.9" x14ac:dyDescent="0.4">
      <c r="A3" t="s">
        <v>49</v>
      </c>
      <c r="B3" s="155" t="str">
        <f>'Clause 6'!$B$7</f>
        <v>11171-00001</v>
      </c>
      <c r="D3" t="s">
        <v>50</v>
      </c>
      <c r="E3" s="30">
        <f>'Clause 6'!$G$11</f>
        <v>1</v>
      </c>
    </row>
    <row r="4" spans="1:49" ht="18.100000000000001" customHeight="1" x14ac:dyDescent="1.05">
      <c r="A4" s="30" t="s">
        <v>8</v>
      </c>
      <c r="B4" s="156">
        <f>'Clause 6'!$B$4</f>
        <v>46013</v>
      </c>
      <c r="O4" s="32"/>
    </row>
    <row r="5" spans="1:49" ht="13.9" x14ac:dyDescent="0.4">
      <c r="A5" s="30" t="s">
        <v>4</v>
      </c>
      <c r="B5" s="157" t="str">
        <f>'Clause 6'!$B$3</f>
        <v>SRM2806d</v>
      </c>
      <c r="O5" s="33"/>
    </row>
    <row r="6" spans="1:49" ht="13.15" x14ac:dyDescent="0.4">
      <c r="C6" s="30"/>
      <c r="D6" s="30"/>
      <c r="E6" s="30"/>
      <c r="F6" s="30"/>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9" t="s">
        <v>51</v>
      </c>
      <c r="P7" s="89" t="s">
        <v>52</v>
      </c>
      <c r="Q7" s="89" t="s">
        <v>53</v>
      </c>
      <c r="R7" s="89" t="s">
        <v>54</v>
      </c>
      <c r="S7" s="89" t="s">
        <v>55</v>
      </c>
    </row>
    <row r="8" spans="1:49" ht="13.15" x14ac:dyDescent="0.4">
      <c r="A8" s="11" t="s">
        <v>63</v>
      </c>
      <c r="B8" s="34">
        <f>B52</f>
        <v>9.1759740000000001</v>
      </c>
      <c r="C8" s="34">
        <f t="shared" ref="C8:F8" si="0">C52</f>
        <v>9.9552340000000008</v>
      </c>
      <c r="D8" s="34">
        <f t="shared" si="0"/>
        <v>9.8815059999999999</v>
      </c>
      <c r="E8" s="34">
        <f t="shared" si="0"/>
        <v>9.9010990000000003</v>
      </c>
      <c r="F8" s="34">
        <f t="shared" si="0"/>
        <v>9.88279</v>
      </c>
      <c r="G8" s="35">
        <f>AVERAGE(B$8:F$8)*5</f>
        <v>48.796603000000005</v>
      </c>
      <c r="I8" s="36"/>
      <c r="K8" s="36"/>
      <c r="O8" s="90"/>
      <c r="P8" s="90"/>
      <c r="Q8" s="90"/>
      <c r="R8" s="90"/>
      <c r="S8" s="90"/>
    </row>
    <row r="9" spans="1:49" ht="13.15" x14ac:dyDescent="0.4">
      <c r="A9" s="11" t="s">
        <v>64</v>
      </c>
      <c r="B9" s="34"/>
      <c r="C9" s="34">
        <f t="shared" ref="C9:F9" si="1">C53</f>
        <v>12860.973633</v>
      </c>
      <c r="D9" s="34">
        <f t="shared" si="1"/>
        <v>14234.571289</v>
      </c>
      <c r="E9" s="34">
        <f t="shared" si="1"/>
        <v>13788.266602</v>
      </c>
      <c r="F9" s="34">
        <f t="shared" si="1"/>
        <v>13677.616211</v>
      </c>
      <c r="G9" s="37">
        <f t="shared" ref="G9:G38" si="2">AVERAGE(B9:F9)</f>
        <v>13640.356933750001</v>
      </c>
      <c r="H9" s="38">
        <f t="shared" ref="H9:H38" si="3">G9*G$8</f>
        <v>665603.0820744962</v>
      </c>
      <c r="I9" s="36">
        <f t="shared" ref="I9:I38" si="4">STDEVP(B9:F9)/AVERAGE(B9:F9)</f>
        <v>3.6357706239966328E-2</v>
      </c>
      <c r="J9" s="36">
        <f t="shared" ref="J9:J38" si="5">IF(H9&gt;$A$43, $C$43, IF(H9&gt;$A$44, $C$44, IF(H9&gt;$A$45,$C$45,IF(H9&gt;$A$46,$C$46, IF(H9&gt;$A$47,$C$47,IF(H9&gt;$A$48,$C$48,$C$49))))))/100</f>
        <v>0.11</v>
      </c>
      <c r="K9" s="36">
        <f t="shared" ref="K9:K38" si="6">(MAX(B9:F9)-MIN(B9:F9))/G9</f>
        <v>0.10070100530883769</v>
      </c>
      <c r="L9" s="16">
        <f>G9/'Clause 6'!$G$11</f>
        <v>13640.356933750001</v>
      </c>
      <c r="M9">
        <f t="shared" ref="M9:M38" si="7">COUNTA(B9:F9)</f>
        <v>4</v>
      </c>
      <c r="O9" s="91">
        <f>IF(ISNUMBER(B9), (B9/$G9-1), 0)</f>
        <v>0</v>
      </c>
      <c r="P9" s="91">
        <f t="shared" ref="P9:S38" si="8">IF(ISNUMBER(C9), (C9/$G9-1), 0)</f>
        <v>-5.7138042980502401E-2</v>
      </c>
      <c r="Q9" s="91">
        <f t="shared" si="8"/>
        <v>4.3562962328335342E-2</v>
      </c>
      <c r="R9" s="91">
        <f t="shared" si="8"/>
        <v>1.0843533565021879E-2</v>
      </c>
      <c r="S9" s="91">
        <f t="shared" si="8"/>
        <v>2.7315470871447367E-3</v>
      </c>
    </row>
    <row r="10" spans="1:49" ht="13.15" x14ac:dyDescent="0.4">
      <c r="A10" s="11" t="s">
        <v>65</v>
      </c>
      <c r="B10" s="34"/>
      <c r="C10" s="34">
        <f t="shared" ref="C10:F10" si="9">C54</f>
        <v>11269.248046999999</v>
      </c>
      <c r="D10" s="34">
        <f t="shared" si="9"/>
        <v>12412.885742</v>
      </c>
      <c r="E10" s="34">
        <f t="shared" si="9"/>
        <v>12033.007812</v>
      </c>
      <c r="F10" s="34">
        <f t="shared" si="9"/>
        <v>11935.293944999999</v>
      </c>
      <c r="G10" s="37">
        <f t="shared" si="2"/>
        <v>11912.608886499998</v>
      </c>
      <c r="H10" s="38">
        <f t="shared" si="3"/>
        <v>581294.84652881254</v>
      </c>
      <c r="I10" s="36">
        <f t="shared" si="4"/>
        <v>3.4590923455444997E-2</v>
      </c>
      <c r="J10" s="36">
        <f t="shared" si="5"/>
        <v>0.11</v>
      </c>
      <c r="K10" s="36">
        <f t="shared" si="6"/>
        <v>9.6002286811920121E-2</v>
      </c>
      <c r="L10" s="16">
        <f>G10/'Clause 6'!$G$11</f>
        <v>11912.608886499998</v>
      </c>
      <c r="M10">
        <f t="shared" si="7"/>
        <v>4</v>
      </c>
      <c r="O10" s="91">
        <f t="shared" ref="O10:O38" si="10">IF(ISNUMBER(B10), (B10/$G10-1), 0)</f>
        <v>0</v>
      </c>
      <c r="P10" s="91">
        <f t="shared" si="8"/>
        <v>-5.4006712184523242E-2</v>
      </c>
      <c r="Q10" s="91">
        <f t="shared" si="8"/>
        <v>4.1995574627396781E-2</v>
      </c>
      <c r="R10" s="91">
        <f t="shared" si="8"/>
        <v>1.01068478489581E-2</v>
      </c>
      <c r="S10" s="91">
        <f t="shared" si="8"/>
        <v>1.9042897081686938E-3</v>
      </c>
    </row>
    <row r="11" spans="1:49" ht="13.15" x14ac:dyDescent="0.4">
      <c r="A11" s="11" t="s">
        <v>66</v>
      </c>
      <c r="B11" s="34">
        <f t="shared" ref="B11:F11" si="11">B55</f>
        <v>11073.702148</v>
      </c>
      <c r="C11" s="34">
        <f t="shared" si="11"/>
        <v>9866.6699219999991</v>
      </c>
      <c r="D11" s="34">
        <f t="shared" si="11"/>
        <v>10847.03125</v>
      </c>
      <c r="E11" s="34">
        <f t="shared" si="11"/>
        <v>10526.002930000001</v>
      </c>
      <c r="F11" s="34">
        <f t="shared" si="11"/>
        <v>10454.538086</v>
      </c>
      <c r="G11" s="37">
        <f t="shared" si="2"/>
        <v>10553.5888672</v>
      </c>
      <c r="H11" s="38">
        <f t="shared" si="3"/>
        <v>514979.28617797815</v>
      </c>
      <c r="I11" s="36">
        <f t="shared" si="4"/>
        <v>3.8815955676394842E-2</v>
      </c>
      <c r="J11" s="36">
        <f t="shared" si="5"/>
        <v>0.11</v>
      </c>
      <c r="K11" s="36">
        <f t="shared" si="6"/>
        <v>0.11437173090486724</v>
      </c>
      <c r="L11" s="16">
        <f>G11/'Clause 6'!$G$11</f>
        <v>10553.5888672</v>
      </c>
      <c r="M11">
        <f t="shared" si="7"/>
        <v>5</v>
      </c>
      <c r="O11" s="91">
        <f t="shared" si="10"/>
        <v>4.9283072075745338E-2</v>
      </c>
      <c r="P11" s="91">
        <f t="shared" si="8"/>
        <v>-6.5088658829121959E-2</v>
      </c>
      <c r="Q11" s="91">
        <f t="shared" si="8"/>
        <v>2.78049852512261E-2</v>
      </c>
      <c r="R11" s="91">
        <f t="shared" si="8"/>
        <v>-2.6138915914883931E-3</v>
      </c>
      <c r="S11" s="91">
        <f t="shared" si="8"/>
        <v>-9.3855069063609742E-3</v>
      </c>
    </row>
    <row r="12" spans="1:49" ht="13.15" x14ac:dyDescent="0.4">
      <c r="A12" s="11" t="s">
        <v>67</v>
      </c>
      <c r="B12" s="34">
        <f t="shared" ref="B12:F12" si="12">B56</f>
        <v>9649.9833980000003</v>
      </c>
      <c r="C12" s="34">
        <f t="shared" si="12"/>
        <v>8628.4267579999996</v>
      </c>
      <c r="D12" s="34">
        <f t="shared" si="12"/>
        <v>9437.9335940000001</v>
      </c>
      <c r="E12" s="34">
        <f t="shared" si="12"/>
        <v>9153.2265619999998</v>
      </c>
      <c r="F12" s="34">
        <f t="shared" si="12"/>
        <v>9129.0009769999997</v>
      </c>
      <c r="G12" s="37">
        <f t="shared" si="2"/>
        <v>9199.7142578000003</v>
      </c>
      <c r="H12" s="38">
        <f t="shared" si="3"/>
        <v>448914.80435130629</v>
      </c>
      <c r="I12" s="36">
        <f t="shared" si="4"/>
        <v>3.7434835349489985E-2</v>
      </c>
      <c r="J12" s="36">
        <f t="shared" si="5"/>
        <v>0.11</v>
      </c>
      <c r="K12" s="36">
        <f t="shared" si="6"/>
        <v>0.1110422140702763</v>
      </c>
      <c r="L12" s="16">
        <f>G12/'Clause 6'!$G$11</f>
        <v>9199.7142578000003</v>
      </c>
      <c r="M12">
        <f t="shared" si="7"/>
        <v>5</v>
      </c>
      <c r="O12" s="91">
        <f t="shared" si="10"/>
        <v>4.8943817990677152E-2</v>
      </c>
      <c r="P12" s="91">
        <f t="shared" si="8"/>
        <v>-6.2098396079599216E-2</v>
      </c>
      <c r="Q12" s="91">
        <f t="shared" si="8"/>
        <v>2.5894210355286384E-2</v>
      </c>
      <c r="R12" s="91">
        <f t="shared" si="8"/>
        <v>-5.0531673590389348E-3</v>
      </c>
      <c r="S12" s="91">
        <f t="shared" si="8"/>
        <v>-7.6864649073253855E-3</v>
      </c>
    </row>
    <row r="13" spans="1:49" ht="13.15" x14ac:dyDescent="0.4">
      <c r="A13" s="11" t="s">
        <v>68</v>
      </c>
      <c r="B13" s="34">
        <f t="shared" ref="B13:F13" si="13">B57</f>
        <v>8344.8359380000002</v>
      </c>
      <c r="C13" s="34">
        <f t="shared" si="13"/>
        <v>7482.3959960000002</v>
      </c>
      <c r="D13" s="34">
        <f t="shared" si="13"/>
        <v>8178.9150390000004</v>
      </c>
      <c r="E13" s="34">
        <f t="shared" si="13"/>
        <v>7934.5737300000001</v>
      </c>
      <c r="F13" s="34">
        <f t="shared" si="13"/>
        <v>7917.298828</v>
      </c>
      <c r="G13" s="37">
        <f t="shared" si="2"/>
        <v>7971.6039062</v>
      </c>
      <c r="H13" s="38">
        <f t="shared" si="3"/>
        <v>388987.19108409068</v>
      </c>
      <c r="I13" s="36">
        <f t="shared" si="4"/>
        <v>3.6613032813157836E-2</v>
      </c>
      <c r="J13" s="36">
        <f t="shared" si="5"/>
        <v>0.11</v>
      </c>
      <c r="K13" s="36">
        <f t="shared" si="6"/>
        <v>0.10818901091275096</v>
      </c>
      <c r="L13" s="16">
        <f>G13/'Clause 6'!$G$11</f>
        <v>7971.6039062</v>
      </c>
      <c r="M13">
        <f t="shared" si="7"/>
        <v>5</v>
      </c>
      <c r="O13" s="91">
        <f t="shared" si="10"/>
        <v>4.6820192798304294E-2</v>
      </c>
      <c r="P13" s="91">
        <f t="shared" si="8"/>
        <v>-6.1368818114446611E-2</v>
      </c>
      <c r="Q13" s="91">
        <f t="shared" si="8"/>
        <v>2.6006200915070776E-2</v>
      </c>
      <c r="R13" s="91">
        <f t="shared" si="8"/>
        <v>-4.6452604313668155E-3</v>
      </c>
      <c r="S13" s="91">
        <f t="shared" si="8"/>
        <v>-6.8123151675616445E-3</v>
      </c>
    </row>
    <row r="14" spans="1:49" ht="13.15" x14ac:dyDescent="0.4">
      <c r="A14" s="11" t="s">
        <v>69</v>
      </c>
      <c r="B14" s="34">
        <f t="shared" ref="B14:F14" si="14">B58</f>
        <v>7211.1147460000002</v>
      </c>
      <c r="C14" s="34">
        <f t="shared" si="14"/>
        <v>6489.3505859999996</v>
      </c>
      <c r="D14" s="34">
        <f t="shared" si="14"/>
        <v>7063.8017579999996</v>
      </c>
      <c r="E14" s="34">
        <f t="shared" si="14"/>
        <v>6853.3803710000002</v>
      </c>
      <c r="F14" s="34">
        <f t="shared" si="14"/>
        <v>6851.1020509999998</v>
      </c>
      <c r="G14" s="37">
        <f t="shared" si="2"/>
        <v>6893.7499024000008</v>
      </c>
      <c r="H14" s="38">
        <f t="shared" si="3"/>
        <v>336391.57716870162</v>
      </c>
      <c r="I14" s="36">
        <f t="shared" si="4"/>
        <v>3.5331628833507468E-2</v>
      </c>
      <c r="J14" s="36">
        <f t="shared" si="5"/>
        <v>0.11</v>
      </c>
      <c r="K14" s="36">
        <f t="shared" si="6"/>
        <v>0.10469833838165851</v>
      </c>
      <c r="L14" s="16">
        <f>G14/'Clause 6'!$G$11</f>
        <v>6893.7499024000008</v>
      </c>
      <c r="M14">
        <f t="shared" si="7"/>
        <v>5</v>
      </c>
      <c r="O14" s="91">
        <f t="shared" si="10"/>
        <v>4.6036605344431214E-2</v>
      </c>
      <c r="P14" s="91">
        <f t="shared" si="8"/>
        <v>-5.8661733037227437E-2</v>
      </c>
      <c r="Q14" s="91">
        <f t="shared" si="8"/>
        <v>2.4667540599463411E-2</v>
      </c>
      <c r="R14" s="91">
        <f t="shared" si="8"/>
        <v>-5.8559611200786899E-3</v>
      </c>
      <c r="S14" s="91">
        <f t="shared" si="8"/>
        <v>-6.1864517865890534E-3</v>
      </c>
    </row>
    <row r="15" spans="1:49" ht="13.15" x14ac:dyDescent="0.4">
      <c r="A15" s="11" t="s">
        <v>70</v>
      </c>
      <c r="B15" s="34">
        <f t="shared" ref="B15:F15" si="15">B59</f>
        <v>6191.0595700000003</v>
      </c>
      <c r="C15" s="34">
        <f t="shared" si="15"/>
        <v>5588.3168949999999</v>
      </c>
      <c r="D15" s="34">
        <f t="shared" si="15"/>
        <v>6058.6918949999999</v>
      </c>
      <c r="E15" s="34">
        <f t="shared" si="15"/>
        <v>5904.1928710000002</v>
      </c>
      <c r="F15" s="34">
        <f t="shared" si="15"/>
        <v>5891.8588870000003</v>
      </c>
      <c r="G15" s="37">
        <f t="shared" si="2"/>
        <v>5926.8240236000001</v>
      </c>
      <c r="H15" s="38">
        <f t="shared" si="3"/>
        <v>289208.87893047184</v>
      </c>
      <c r="I15" s="36">
        <f t="shared" si="4"/>
        <v>3.4041496067868521E-2</v>
      </c>
      <c r="J15" s="36">
        <f t="shared" si="5"/>
        <v>0.11</v>
      </c>
      <c r="K15" s="36">
        <f t="shared" si="6"/>
        <v>0.10169741375818507</v>
      </c>
      <c r="L15" s="16">
        <f>G15/'Clause 6'!$G$11</f>
        <v>5926.8240236000001</v>
      </c>
      <c r="M15">
        <f t="shared" si="7"/>
        <v>5</v>
      </c>
      <c r="O15" s="91">
        <f t="shared" si="10"/>
        <v>4.4582991725052423E-2</v>
      </c>
      <c r="P15" s="91">
        <f t="shared" si="8"/>
        <v>-5.7114422033132772E-2</v>
      </c>
      <c r="Q15" s="91">
        <f t="shared" si="8"/>
        <v>2.2249331323979771E-2</v>
      </c>
      <c r="R15" s="91">
        <f t="shared" si="8"/>
        <v>-3.8184283032337563E-3</v>
      </c>
      <c r="S15" s="91">
        <f t="shared" si="8"/>
        <v>-5.8994727126656654E-3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34">
        <f t="shared" ref="B16:F16" si="16">B60</f>
        <v>5263.6376950000003</v>
      </c>
      <c r="C16" s="34">
        <f t="shared" si="16"/>
        <v>4755.9907229999999</v>
      </c>
      <c r="D16" s="34">
        <f t="shared" si="16"/>
        <v>5160.6503910000001</v>
      </c>
      <c r="E16" s="34">
        <f t="shared" si="16"/>
        <v>5031.1586909999996</v>
      </c>
      <c r="F16" s="34">
        <f t="shared" si="16"/>
        <v>5023.2778319999998</v>
      </c>
      <c r="G16" s="37">
        <f t="shared" si="2"/>
        <v>5046.9430664000001</v>
      </c>
      <c r="H16" s="38">
        <f t="shared" si="3"/>
        <v>246273.67717472347</v>
      </c>
      <c r="I16" s="36">
        <f t="shared" si="4"/>
        <v>3.3782491849385941E-2</v>
      </c>
      <c r="J16" s="36">
        <f t="shared" si="5"/>
        <v>0.11</v>
      </c>
      <c r="K16" s="36">
        <f t="shared" si="6"/>
        <v>0.10058504035435981</v>
      </c>
      <c r="L16" s="16">
        <f>G16/'Clause 6'!$G$11</f>
        <v>5046.9430664000001</v>
      </c>
      <c r="M16">
        <f t="shared" si="7"/>
        <v>5</v>
      </c>
      <c r="O16" s="91">
        <f t="shared" si="10"/>
        <v>4.2935817929598441E-2</v>
      </c>
      <c r="P16" s="91">
        <f t="shared" si="8"/>
        <v>-5.7649222424761226E-2</v>
      </c>
      <c r="Q16" s="91">
        <f t="shared" si="8"/>
        <v>2.2529940025875383E-2</v>
      </c>
      <c r="R16" s="91">
        <f t="shared" si="8"/>
        <v>-3.127512078565875E-3</v>
      </c>
      <c r="S16" s="91">
        <f t="shared" si="8"/>
        <v>-4.6890234521470564E-3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34">
        <f t="shared" ref="B17:F17" si="17">B61</f>
        <v>4441.4902339999999</v>
      </c>
      <c r="C17" s="34">
        <f t="shared" si="17"/>
        <v>4004.6271969999998</v>
      </c>
      <c r="D17" s="34">
        <f t="shared" si="17"/>
        <v>4344.8842770000001</v>
      </c>
      <c r="E17" s="34">
        <f t="shared" si="17"/>
        <v>4240.5390619999998</v>
      </c>
      <c r="F17" s="34">
        <f t="shared" si="17"/>
        <v>4219.4565430000002</v>
      </c>
      <c r="G17" s="37">
        <f t="shared" si="2"/>
        <v>4250.1994625999996</v>
      </c>
      <c r="H17" s="38">
        <f t="shared" si="3"/>
        <v>207395.29584730556</v>
      </c>
      <c r="I17" s="36">
        <f t="shared" si="4"/>
        <v>3.4403110472664609E-2</v>
      </c>
      <c r="J17" s="36">
        <f t="shared" si="5"/>
        <v>0.11</v>
      </c>
      <c r="K17" s="36">
        <f t="shared" si="6"/>
        <v>0.10278647880980984</v>
      </c>
      <c r="L17" s="16">
        <f>G17/'Clause 6'!$G$11</f>
        <v>4250.1994625999996</v>
      </c>
      <c r="M17">
        <f t="shared" si="7"/>
        <v>5</v>
      </c>
      <c r="O17" s="91">
        <f t="shared" si="10"/>
        <v>4.5007480962547808E-2</v>
      </c>
      <c r="P17" s="91">
        <f t="shared" si="8"/>
        <v>-5.7778997847262037E-2</v>
      </c>
      <c r="Q17" s="91">
        <f t="shared" si="8"/>
        <v>2.2277734311810127E-2</v>
      </c>
      <c r="R17" s="91">
        <f t="shared" si="8"/>
        <v>-2.2729287613457716E-3</v>
      </c>
      <c r="S17" s="91">
        <f t="shared" si="8"/>
        <v>-7.233288665749571E-3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34">
        <f t="shared" ref="B18:F18" si="18">B62</f>
        <v>3692.578125</v>
      </c>
      <c r="C18" s="34">
        <f t="shared" si="18"/>
        <v>3340.1525879999999</v>
      </c>
      <c r="D18" s="34">
        <f t="shared" si="18"/>
        <v>3602.4873050000001</v>
      </c>
      <c r="E18" s="34">
        <f t="shared" si="18"/>
        <v>3531.7290039999998</v>
      </c>
      <c r="F18" s="34">
        <f t="shared" si="18"/>
        <v>3512.4697270000001</v>
      </c>
      <c r="G18" s="37">
        <f t="shared" si="2"/>
        <v>3535.8833497999999</v>
      </c>
      <c r="H18" s="38">
        <f t="shared" si="3"/>
        <v>172539.09607450073</v>
      </c>
      <c r="I18" s="36">
        <f t="shared" si="4"/>
        <v>3.2948909189674989E-2</v>
      </c>
      <c r="J18" s="36">
        <f t="shared" si="5"/>
        <v>0.11</v>
      </c>
      <c r="K18" s="36">
        <f t="shared" si="6"/>
        <v>9.9671143568674098E-2</v>
      </c>
      <c r="L18" s="16">
        <f>G18/'Clause 6'!$G$11</f>
        <v>3535.8833497999999</v>
      </c>
      <c r="M18">
        <f t="shared" si="7"/>
        <v>5</v>
      </c>
      <c r="O18" s="91">
        <f t="shared" si="10"/>
        <v>4.4315595198824331E-2</v>
      </c>
      <c r="P18" s="91">
        <f t="shared" si="8"/>
        <v>-5.5355548369849683E-2</v>
      </c>
      <c r="Q18" s="91">
        <f t="shared" si="8"/>
        <v>1.8836581586823886E-2</v>
      </c>
      <c r="R18" s="91">
        <f t="shared" si="8"/>
        <v>-1.1749103092540958E-3</v>
      </c>
      <c r="S18" s="91">
        <f t="shared" si="8"/>
        <v>-6.6217181065444386E-3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34">
        <f t="shared" ref="B19:F19" si="19">B63</f>
        <v>3010.0346679999998</v>
      </c>
      <c r="C19" s="34">
        <f t="shared" si="19"/>
        <v>2735.6464839999999</v>
      </c>
      <c r="D19" s="34">
        <f t="shared" si="19"/>
        <v>2951.6755370000001</v>
      </c>
      <c r="E19" s="34">
        <f t="shared" si="19"/>
        <v>2884.5283199999999</v>
      </c>
      <c r="F19" s="34">
        <f t="shared" si="19"/>
        <v>2860.4272460000002</v>
      </c>
      <c r="G19" s="37">
        <f t="shared" si="2"/>
        <v>2888.4624510000003</v>
      </c>
      <c r="H19" s="38">
        <f t="shared" si="3"/>
        <v>140947.15550185399</v>
      </c>
      <c r="I19" s="36">
        <f t="shared" si="4"/>
        <v>3.2079533819357804E-2</v>
      </c>
      <c r="J19" s="36">
        <f t="shared" si="5"/>
        <v>0.11</v>
      </c>
      <c r="K19" s="36">
        <f t="shared" si="6"/>
        <v>9.4994547671895593E-2</v>
      </c>
      <c r="L19" s="16">
        <f>G19/'Clause 6'!$G$11</f>
        <v>2888.4624510000003</v>
      </c>
      <c r="M19">
        <f t="shared" si="7"/>
        <v>5</v>
      </c>
      <c r="O19" s="91">
        <f t="shared" si="10"/>
        <v>4.2088903374150055E-2</v>
      </c>
      <c r="P19" s="91">
        <f t="shared" si="8"/>
        <v>-5.290564429774558E-2</v>
      </c>
      <c r="Q19" s="91">
        <f t="shared" si="8"/>
        <v>2.1884683312436648E-2</v>
      </c>
      <c r="R19" s="91">
        <f t="shared" si="8"/>
        <v>-1.3620156282933005E-3</v>
      </c>
      <c r="S19" s="91">
        <f t="shared" si="8"/>
        <v>-9.7059267605483779E-3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34">
        <f t="shared" ref="B20:F20" si="20">B64</f>
        <v>2418.5988769999999</v>
      </c>
      <c r="C20" s="34">
        <f t="shared" si="20"/>
        <v>2209.491211</v>
      </c>
      <c r="D20" s="34">
        <f t="shared" si="20"/>
        <v>2383.7458499999998</v>
      </c>
      <c r="E20" s="34">
        <f t="shared" si="20"/>
        <v>2315.0964359999998</v>
      </c>
      <c r="F20" s="34">
        <f t="shared" si="20"/>
        <v>2305.219482</v>
      </c>
      <c r="G20" s="37">
        <f t="shared" si="2"/>
        <v>2326.4303712000001</v>
      </c>
      <c r="H20" s="38">
        <f t="shared" si="3"/>
        <v>113521.89923058904</v>
      </c>
      <c r="I20" s="36">
        <f t="shared" si="4"/>
        <v>3.1016223832302164E-2</v>
      </c>
      <c r="J20" s="36">
        <f t="shared" si="5"/>
        <v>0.11</v>
      </c>
      <c r="K20" s="36">
        <f t="shared" si="6"/>
        <v>8.988348355001044E-2</v>
      </c>
      <c r="L20" s="16">
        <f>G20/'Clause 6'!$G$11</f>
        <v>2326.4303712000001</v>
      </c>
      <c r="M20">
        <f t="shared" si="7"/>
        <v>5</v>
      </c>
      <c r="O20" s="91">
        <f t="shared" si="10"/>
        <v>3.9617994564117742E-2</v>
      </c>
      <c r="P20" s="91">
        <f t="shared" si="8"/>
        <v>-5.0265488985892781E-2</v>
      </c>
      <c r="Q20" s="91">
        <f t="shared" si="8"/>
        <v>2.4636662033618251E-2</v>
      </c>
      <c r="R20" s="91">
        <f t="shared" si="8"/>
        <v>-4.8718136335857976E-3</v>
      </c>
      <c r="S20" s="91">
        <f t="shared" si="8"/>
        <v>-9.1173539782578583E-3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34">
        <f t="shared" ref="B21:F21" si="21">B65</f>
        <v>1902.577393</v>
      </c>
      <c r="C21" s="34"/>
      <c r="D21" s="34">
        <f t="shared" si="21"/>
        <v>1875.5238039999999</v>
      </c>
      <c r="E21" s="34">
        <f t="shared" si="21"/>
        <v>1835.250732</v>
      </c>
      <c r="F21" s="34">
        <f t="shared" si="21"/>
        <v>1822.865845</v>
      </c>
      <c r="G21" s="37">
        <f t="shared" si="2"/>
        <v>1859.0544435000002</v>
      </c>
      <c r="H21" s="38">
        <f t="shared" si="3"/>
        <v>90715.541634855443</v>
      </c>
      <c r="I21" s="36">
        <f t="shared" si="4"/>
        <v>1.7098614335377092E-2</v>
      </c>
      <c r="J21" s="36">
        <f t="shared" si="5"/>
        <v>0.11</v>
      </c>
      <c r="K21" s="36">
        <f t="shared" si="6"/>
        <v>4.2877468316596931E-2</v>
      </c>
      <c r="L21" s="16">
        <f>G21/'Clause 6'!$G$11</f>
        <v>1859.0544435000002</v>
      </c>
      <c r="M21">
        <f t="shared" si="7"/>
        <v>4</v>
      </c>
      <c r="O21" s="91">
        <f t="shared" si="10"/>
        <v>2.34113366890214E-2</v>
      </c>
      <c r="P21" s="91">
        <f t="shared" si="8"/>
        <v>0</v>
      </c>
      <c r="Q21" s="91">
        <f t="shared" si="8"/>
        <v>8.8589984858071791E-3</v>
      </c>
      <c r="R21" s="91">
        <f t="shared" si="8"/>
        <v>-1.2804203547253534E-2</v>
      </c>
      <c r="S21" s="91">
        <f t="shared" si="8"/>
        <v>-1.9466131627575489E-2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34">
        <f t="shared" ref="B22:F22" si="22">B66</f>
        <v>1466.765259</v>
      </c>
      <c r="C22" s="34"/>
      <c r="D22" s="34">
        <f t="shared" si="22"/>
        <v>1449.880249</v>
      </c>
      <c r="E22" s="34">
        <f t="shared" si="22"/>
        <v>1416.408447</v>
      </c>
      <c r="F22" s="34">
        <f t="shared" si="22"/>
        <v>1408.205688</v>
      </c>
      <c r="G22" s="37">
        <f t="shared" si="2"/>
        <v>1435.3149107500001</v>
      </c>
      <c r="H22" s="38">
        <f t="shared" si="3"/>
        <v>70038.491879848196</v>
      </c>
      <c r="I22" s="36">
        <f t="shared" si="4"/>
        <v>1.6683425552170558E-2</v>
      </c>
      <c r="J22" s="36">
        <f t="shared" si="5"/>
        <v>0.11</v>
      </c>
      <c r="K22" s="36">
        <f t="shared" si="6"/>
        <v>4.0799110049933689E-2</v>
      </c>
      <c r="L22" s="16">
        <f>G22/'Clause 6'!$G$11</f>
        <v>1435.3149107500001</v>
      </c>
      <c r="M22">
        <f t="shared" si="7"/>
        <v>4</v>
      </c>
      <c r="O22" s="91">
        <f t="shared" si="10"/>
        <v>2.1911810442745372E-2</v>
      </c>
      <c r="P22" s="91">
        <f t="shared" si="8"/>
        <v>0</v>
      </c>
      <c r="Q22" s="91">
        <f t="shared" si="8"/>
        <v>1.0147834555964463E-2</v>
      </c>
      <c r="R22" s="91">
        <f t="shared" si="8"/>
        <v>-1.3172345391521678E-2</v>
      </c>
      <c r="S22" s="91">
        <f t="shared" si="8"/>
        <v>-1.8887299607188379E-2</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78</v>
      </c>
      <c r="B23" s="34">
        <f t="shared" ref="B23:F23" si="23">B67</f>
        <v>1125.3302000000001</v>
      </c>
      <c r="C23" s="34"/>
      <c r="D23" s="34">
        <f t="shared" si="23"/>
        <v>1107.928345</v>
      </c>
      <c r="E23" s="34">
        <f t="shared" si="23"/>
        <v>1074.3251949999999</v>
      </c>
      <c r="F23" s="34">
        <f t="shared" si="23"/>
        <v>1078.8452150000001</v>
      </c>
      <c r="G23" s="37">
        <f t="shared" si="2"/>
        <v>1096.6072387500001</v>
      </c>
      <c r="H23" s="38">
        <f t="shared" si="3"/>
        <v>53510.708076209972</v>
      </c>
      <c r="I23" s="36">
        <f t="shared" si="4"/>
        <v>1.9156241727659416E-2</v>
      </c>
      <c r="J23" s="36">
        <f t="shared" si="5"/>
        <v>0.11</v>
      </c>
      <c r="K23" s="36">
        <f t="shared" si="6"/>
        <v>4.6511643547182638E-2</v>
      </c>
      <c r="L23" s="16">
        <f>G23/'Clause 6'!$G$11</f>
        <v>1096.6072387500001</v>
      </c>
      <c r="M23">
        <f t="shared" si="7"/>
        <v>4</v>
      </c>
      <c r="O23" s="91">
        <f t="shared" si="10"/>
        <v>2.6192569440578239E-2</v>
      </c>
      <c r="P23" s="91">
        <f t="shared" si="8"/>
        <v>0</v>
      </c>
      <c r="Q23" s="91">
        <f t="shared" si="8"/>
        <v>1.0323756628585423E-2</v>
      </c>
      <c r="R23" s="91">
        <f t="shared" si="8"/>
        <v>-2.0319074106604496E-2</v>
      </c>
      <c r="S23" s="91">
        <f t="shared" si="8"/>
        <v>-1.6197251962559167E-2</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ht="13.15" x14ac:dyDescent="0.4">
      <c r="A24" s="11" t="s">
        <v>79</v>
      </c>
      <c r="B24" s="34">
        <f t="shared" ref="B24:F24" si="24">B68</f>
        <v>860.50811799999997</v>
      </c>
      <c r="C24" s="34"/>
      <c r="D24" s="34">
        <f t="shared" si="24"/>
        <v>836.00616500000001</v>
      </c>
      <c r="E24" s="34">
        <f t="shared" si="24"/>
        <v>828.49389599999995</v>
      </c>
      <c r="F24" s="34">
        <f t="shared" si="24"/>
        <v>828.20745799999997</v>
      </c>
      <c r="G24" s="37">
        <f t="shared" si="2"/>
        <v>838.30390924999995</v>
      </c>
      <c r="H24" s="38">
        <f t="shared" si="3"/>
        <v>40906.383053020276</v>
      </c>
      <c r="I24" s="36">
        <f t="shared" si="4"/>
        <v>1.5740669952407763E-2</v>
      </c>
      <c r="J24" s="36">
        <f t="shared" si="5"/>
        <v>0.11</v>
      </c>
      <c r="K24" s="36">
        <f t="shared" si="6"/>
        <v>3.8530966685934011E-2</v>
      </c>
      <c r="L24" s="16">
        <f>G24/'Clause 6'!$G$11</f>
        <v>838.30390924999995</v>
      </c>
      <c r="M24">
        <f t="shared" si="7"/>
        <v>4</v>
      </c>
      <c r="O24" s="91">
        <f t="shared" si="10"/>
        <v>2.6487063348977324E-2</v>
      </c>
      <c r="P24" s="91">
        <f t="shared" si="8"/>
        <v>0</v>
      </c>
      <c r="Q24" s="91">
        <f t="shared" si="8"/>
        <v>-2.7409442144384899E-3</v>
      </c>
      <c r="R24" s="91">
        <f t="shared" si="8"/>
        <v>-1.1702215797581905E-2</v>
      </c>
      <c r="S24" s="91">
        <f t="shared" si="8"/>
        <v>-1.2043903336956707E-2</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ht="13.15" x14ac:dyDescent="0.4">
      <c r="A25" s="11" t="s">
        <v>80</v>
      </c>
      <c r="B25" s="34">
        <f t="shared" ref="B25:F25" si="25">B69</f>
        <v>650.83007799999996</v>
      </c>
      <c r="C25" s="34"/>
      <c r="D25" s="34">
        <f t="shared" si="25"/>
        <v>638.97143600000004</v>
      </c>
      <c r="E25" s="34">
        <f t="shared" si="25"/>
        <v>632.15203899999995</v>
      </c>
      <c r="F25" s="34">
        <f t="shared" si="25"/>
        <v>624.621216</v>
      </c>
      <c r="G25" s="37">
        <f t="shared" si="2"/>
        <v>636.64369224999996</v>
      </c>
      <c r="H25" s="38">
        <f t="shared" si="3"/>
        <v>31066.049503177426</v>
      </c>
      <c r="I25" s="36">
        <f t="shared" si="4"/>
        <v>1.5135152628151412E-2</v>
      </c>
      <c r="J25" s="36">
        <f t="shared" si="5"/>
        <v>0.11</v>
      </c>
      <c r="K25" s="36">
        <f t="shared" si="6"/>
        <v>4.116723737161939E-2</v>
      </c>
      <c r="L25" s="16">
        <f>G25/'Clause 6'!$G$11</f>
        <v>636.64369224999996</v>
      </c>
      <c r="M25">
        <f t="shared" si="7"/>
        <v>4</v>
      </c>
      <c r="O25" s="91">
        <f t="shared" si="10"/>
        <v>2.2283085378358214E-2</v>
      </c>
      <c r="P25" s="91">
        <f t="shared" si="8"/>
        <v>0</v>
      </c>
      <c r="Q25" s="91">
        <f t="shared" si="8"/>
        <v>3.6562739540755285E-3</v>
      </c>
      <c r="R25" s="91">
        <f t="shared" si="8"/>
        <v>-7.0552073391724202E-3</v>
      </c>
      <c r="S25" s="91">
        <f t="shared" si="8"/>
        <v>-1.88841519932611E-2</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ht="13.15" x14ac:dyDescent="0.4">
      <c r="A26" s="11" t="s">
        <v>81</v>
      </c>
      <c r="B26" s="34">
        <f t="shared" ref="B26:F26" si="26">B70</f>
        <v>498.91162100000003</v>
      </c>
      <c r="C26" s="34"/>
      <c r="D26" s="34">
        <f t="shared" si="26"/>
        <v>490.81588699999998</v>
      </c>
      <c r="E26" s="34">
        <f t="shared" si="26"/>
        <v>480.85571299999998</v>
      </c>
      <c r="F26" s="34">
        <f t="shared" si="26"/>
        <v>466.265106</v>
      </c>
      <c r="G26" s="37">
        <f t="shared" si="2"/>
        <v>484.21208174999998</v>
      </c>
      <c r="H26" s="38">
        <f t="shared" si="3"/>
        <v>23627.904720958297</v>
      </c>
      <c r="I26" s="36">
        <f t="shared" si="4"/>
        <v>2.5146556223091775E-2</v>
      </c>
      <c r="J26" s="36">
        <f t="shared" si="5"/>
        <v>0.11</v>
      </c>
      <c r="K26" s="36">
        <f t="shared" si="6"/>
        <v>6.7421933963340272E-2</v>
      </c>
      <c r="L26" s="16">
        <f>G26/'Clause 6'!$G$11</f>
        <v>484.21208174999998</v>
      </c>
      <c r="M26">
        <f t="shared" si="7"/>
        <v>4</v>
      </c>
      <c r="O26" s="91">
        <f t="shared" si="10"/>
        <v>3.0357646585095877E-2</v>
      </c>
      <c r="P26" s="91">
        <f t="shared" si="8"/>
        <v>0</v>
      </c>
      <c r="Q26" s="91">
        <f t="shared" si="8"/>
        <v>1.363824964080429E-2</v>
      </c>
      <c r="R26" s="91">
        <f t="shared" si="8"/>
        <v>-6.9316088476555349E-3</v>
      </c>
      <c r="S26" s="91">
        <f t="shared" si="8"/>
        <v>-3.7064287378244409E-2</v>
      </c>
    </row>
    <row r="27" spans="1:49" ht="13.15" x14ac:dyDescent="0.4">
      <c r="A27" s="11" t="s">
        <v>82</v>
      </c>
      <c r="B27" s="34">
        <f t="shared" ref="B27:F27" si="27">B71</f>
        <v>381.648865</v>
      </c>
      <c r="C27" s="34"/>
      <c r="D27" s="34">
        <f t="shared" si="27"/>
        <v>370.79367100000002</v>
      </c>
      <c r="E27" s="34">
        <f t="shared" si="27"/>
        <v>362.88900799999999</v>
      </c>
      <c r="F27" s="34">
        <f t="shared" si="27"/>
        <v>350.10357699999997</v>
      </c>
      <c r="G27" s="37">
        <f t="shared" si="2"/>
        <v>366.35878025</v>
      </c>
      <c r="H27" s="38">
        <f t="shared" si="3"/>
        <v>17877.063955423491</v>
      </c>
      <c r="I27" s="36">
        <f t="shared" si="4"/>
        <v>3.14115237046474E-2</v>
      </c>
      <c r="J27" s="36">
        <f t="shared" si="5"/>
        <v>0.11</v>
      </c>
      <c r="K27" s="36">
        <f t="shared" si="6"/>
        <v>8.6104905083682723E-2</v>
      </c>
      <c r="L27" s="16">
        <f>G27/'Clause 6'!$G$11</f>
        <v>366.35878025</v>
      </c>
      <c r="M27">
        <f t="shared" si="7"/>
        <v>4</v>
      </c>
      <c r="O27" s="91">
        <f t="shared" si="10"/>
        <v>4.173527583961878E-2</v>
      </c>
      <c r="P27" s="91">
        <f t="shared" si="8"/>
        <v>0</v>
      </c>
      <c r="Q27" s="91">
        <f t="shared" si="8"/>
        <v>1.210532131091191E-2</v>
      </c>
      <c r="R27" s="91">
        <f t="shared" si="8"/>
        <v>-9.4709679064666208E-3</v>
      </c>
      <c r="S27" s="91">
        <f t="shared" si="8"/>
        <v>-4.4369629244064068E-2</v>
      </c>
    </row>
    <row r="28" spans="1:49" ht="13.15" x14ac:dyDescent="0.4">
      <c r="A28" s="11" t="s">
        <v>83</v>
      </c>
      <c r="B28" s="34">
        <f t="shared" ref="B28:F28" si="28">B72</f>
        <v>285.09234600000002</v>
      </c>
      <c r="C28" s="34"/>
      <c r="D28" s="34">
        <f t="shared" si="28"/>
        <v>274.35089099999999</v>
      </c>
      <c r="E28" s="34">
        <f t="shared" si="28"/>
        <v>278.655914</v>
      </c>
      <c r="F28" s="34">
        <f t="shared" si="28"/>
        <v>261.56582600000002</v>
      </c>
      <c r="G28" s="37">
        <f t="shared" si="2"/>
        <v>274.91624424999998</v>
      </c>
      <c r="H28" s="38">
        <f t="shared" si="3"/>
        <v>13414.978828918283</v>
      </c>
      <c r="I28" s="36">
        <f t="shared" si="4"/>
        <v>3.1295547162824074E-2</v>
      </c>
      <c r="J28" s="36">
        <f t="shared" si="5"/>
        <v>0.11</v>
      </c>
      <c r="K28" s="36">
        <f t="shared" si="6"/>
        <v>8.5577045707803806E-2</v>
      </c>
      <c r="L28" s="16">
        <f>G28/'Clause 6'!$G$11</f>
        <v>274.91624424999998</v>
      </c>
      <c r="M28">
        <f t="shared" si="7"/>
        <v>4</v>
      </c>
      <c r="O28" s="91">
        <f t="shared" si="10"/>
        <v>3.7015279972856918E-2</v>
      </c>
      <c r="P28" s="91">
        <f t="shared" si="8"/>
        <v>0</v>
      </c>
      <c r="Q28" s="91">
        <f t="shared" si="8"/>
        <v>-2.0564563274255709E-3</v>
      </c>
      <c r="R28" s="91">
        <f t="shared" si="8"/>
        <v>1.3602942089516068E-2</v>
      </c>
      <c r="S28" s="91">
        <f t="shared" si="8"/>
        <v>-4.8561765734946971E-2</v>
      </c>
    </row>
    <row r="29" spans="1:49" ht="13.15" x14ac:dyDescent="0.4">
      <c r="A29" s="11" t="s">
        <v>84</v>
      </c>
      <c r="B29" s="34">
        <f t="shared" ref="B29:F29" si="29">B73</f>
        <v>213.27436800000001</v>
      </c>
      <c r="C29" s="34">
        <f t="shared" si="29"/>
        <v>191.85888700000001</v>
      </c>
      <c r="D29" s="34">
        <f t="shared" si="29"/>
        <v>201.99350000000001</v>
      </c>
      <c r="E29" s="34">
        <f t="shared" si="29"/>
        <v>207.24970999999999</v>
      </c>
      <c r="F29" s="34">
        <f t="shared" si="29"/>
        <v>192.86051900000001</v>
      </c>
      <c r="G29" s="37">
        <f t="shared" si="2"/>
        <v>201.44739680000004</v>
      </c>
      <c r="H29" s="38">
        <f t="shared" si="3"/>
        <v>9829.9486470330739</v>
      </c>
      <c r="I29" s="36">
        <f t="shared" si="4"/>
        <v>4.0905683750823416E-2</v>
      </c>
      <c r="J29" s="36">
        <f t="shared" si="5"/>
        <v>0.113</v>
      </c>
      <c r="K29" s="36">
        <f t="shared" si="6"/>
        <v>0.10630805530468883</v>
      </c>
      <c r="L29" s="16">
        <f>G29/'Clause 6'!$G$11</f>
        <v>201.44739680000004</v>
      </c>
      <c r="M29">
        <f t="shared" si="7"/>
        <v>5</v>
      </c>
      <c r="O29" s="91">
        <f t="shared" si="10"/>
        <v>5.8709972865730098E-2</v>
      </c>
      <c r="P29" s="91">
        <f t="shared" si="8"/>
        <v>-4.7598082438958689E-2</v>
      </c>
      <c r="Q29" s="91">
        <f t="shared" si="8"/>
        <v>2.7108972797607045E-3</v>
      </c>
      <c r="R29" s="91">
        <f t="shared" si="8"/>
        <v>2.8803118293757812E-2</v>
      </c>
      <c r="S29" s="91">
        <f t="shared" si="8"/>
        <v>-4.2625906000290481E-2</v>
      </c>
    </row>
    <row r="30" spans="1:49" ht="13.15" x14ac:dyDescent="0.4">
      <c r="A30" s="11" t="s">
        <v>85</v>
      </c>
      <c r="B30" s="34">
        <f t="shared" ref="B30:F30" si="30">B74</f>
        <v>158.021378</v>
      </c>
      <c r="C30" s="34">
        <f t="shared" si="30"/>
        <v>142.136292</v>
      </c>
      <c r="D30" s="34">
        <f t="shared" si="30"/>
        <v>149.774734</v>
      </c>
      <c r="E30" s="34">
        <f t="shared" si="30"/>
        <v>155.84127799999999</v>
      </c>
      <c r="F30" s="34">
        <f t="shared" si="30"/>
        <v>141.76159699999999</v>
      </c>
      <c r="G30" s="37">
        <f t="shared" si="2"/>
        <v>149.50705579999999</v>
      </c>
      <c r="H30" s="38">
        <f t="shared" si="3"/>
        <v>7295.4364475714474</v>
      </c>
      <c r="I30" s="36">
        <f t="shared" si="4"/>
        <v>4.5068581183332478E-2</v>
      </c>
      <c r="J30" s="36">
        <f t="shared" si="5"/>
        <v>0.113</v>
      </c>
      <c r="K30" s="36">
        <f t="shared" si="6"/>
        <v>0.10875594407899514</v>
      </c>
      <c r="L30" s="16">
        <f>G30/'Clause 6'!$G$11</f>
        <v>149.50705579999999</v>
      </c>
      <c r="M30">
        <f t="shared" si="7"/>
        <v>5</v>
      </c>
      <c r="O30" s="91">
        <f t="shared" si="10"/>
        <v>5.6949300181456719E-2</v>
      </c>
      <c r="P30" s="91">
        <f t="shared" si="8"/>
        <v>-4.9300441110017412E-2</v>
      </c>
      <c r="Q30" s="91">
        <f t="shared" si="8"/>
        <v>1.7904051321704362E-3</v>
      </c>
      <c r="R30" s="91">
        <f t="shared" si="8"/>
        <v>4.2367379693928786E-2</v>
      </c>
      <c r="S30" s="91">
        <f t="shared" si="8"/>
        <v>-5.1806643897538307E-2</v>
      </c>
    </row>
    <row r="31" spans="1:49" ht="13.15" x14ac:dyDescent="0.4">
      <c r="A31" s="11" t="s">
        <v>86</v>
      </c>
      <c r="B31" s="34">
        <f t="shared" ref="B31:E31" si="31">B75</f>
        <v>116.39091500000001</v>
      </c>
      <c r="C31" s="34">
        <f t="shared" si="31"/>
        <v>106.376205</v>
      </c>
      <c r="D31" s="34">
        <f t="shared" si="31"/>
        <v>110.205872</v>
      </c>
      <c r="E31" s="34">
        <f t="shared" si="31"/>
        <v>115.441727</v>
      </c>
      <c r="F31" s="34"/>
      <c r="G31" s="37">
        <f t="shared" si="2"/>
        <v>112.10367975</v>
      </c>
      <c r="H31" s="38">
        <f t="shared" si="3"/>
        <v>5470.2787555998893</v>
      </c>
      <c r="I31" s="36">
        <f t="shared" si="4"/>
        <v>3.6214877399865002E-2</v>
      </c>
      <c r="J31" s="36">
        <f t="shared" si="5"/>
        <v>0.113</v>
      </c>
      <c r="K31" s="36">
        <f t="shared" si="6"/>
        <v>8.9334355681576175E-2</v>
      </c>
      <c r="L31" s="16">
        <f>G31/'Clause 6'!$G$11</f>
        <v>112.10367975</v>
      </c>
      <c r="M31">
        <f t="shared" si="7"/>
        <v>4</v>
      </c>
      <c r="O31" s="91">
        <f t="shared" si="10"/>
        <v>3.8243483706876358E-2</v>
      </c>
      <c r="P31" s="91">
        <f t="shared" si="8"/>
        <v>-5.1090871974699859E-2</v>
      </c>
      <c r="Q31" s="91">
        <f t="shared" si="8"/>
        <v>-1.6929040636598724E-2</v>
      </c>
      <c r="R31" s="91">
        <f t="shared" si="8"/>
        <v>2.9776428904422225E-2</v>
      </c>
      <c r="S31" s="91">
        <f t="shared" si="8"/>
        <v>0</v>
      </c>
    </row>
    <row r="32" spans="1:49" ht="13.15" x14ac:dyDescent="0.4">
      <c r="A32" s="11" t="s">
        <v>87</v>
      </c>
      <c r="B32" s="34">
        <f t="shared" ref="B32:E32" si="32">B76</f>
        <v>84.350723000000002</v>
      </c>
      <c r="C32" s="34">
        <f t="shared" si="32"/>
        <v>77.848502999999994</v>
      </c>
      <c r="D32" s="34">
        <f t="shared" si="32"/>
        <v>79.441329999999994</v>
      </c>
      <c r="E32" s="34">
        <f t="shared" si="32"/>
        <v>85.950050000000005</v>
      </c>
      <c r="F32" s="34"/>
      <c r="G32" s="37">
        <f t="shared" si="2"/>
        <v>81.897651499999995</v>
      </c>
      <c r="H32" s="38">
        <f t="shared" si="3"/>
        <v>3996.3271868778547</v>
      </c>
      <c r="I32" s="36">
        <f t="shared" si="4"/>
        <v>4.0894968220395657E-2</v>
      </c>
      <c r="J32" s="36">
        <f t="shared" si="5"/>
        <v>0.11900000000000001</v>
      </c>
      <c r="K32" s="36">
        <f t="shared" si="6"/>
        <v>9.8922824423115618E-2</v>
      </c>
      <c r="L32" s="16">
        <f>G32/'Clause 6'!$G$11</f>
        <v>81.897651499999995</v>
      </c>
      <c r="M32">
        <f t="shared" si="7"/>
        <v>4</v>
      </c>
      <c r="O32" s="91">
        <f t="shared" si="10"/>
        <v>2.9952891872607745E-2</v>
      </c>
      <c r="P32" s="91">
        <f t="shared" si="8"/>
        <v>-4.9441570372747545E-2</v>
      </c>
      <c r="Q32" s="91">
        <f t="shared" si="8"/>
        <v>-2.9992575550228051E-2</v>
      </c>
      <c r="R32" s="91">
        <f t="shared" si="8"/>
        <v>4.9481254050368184E-2</v>
      </c>
      <c r="S32" s="91">
        <f t="shared" si="8"/>
        <v>0</v>
      </c>
    </row>
    <row r="33" spans="1:19" ht="13.15" x14ac:dyDescent="0.4">
      <c r="A33" s="11" t="s">
        <v>88</v>
      </c>
      <c r="B33" s="34">
        <f t="shared" ref="B33:E33" si="33">B77</f>
        <v>59.176281000000003</v>
      </c>
      <c r="C33" s="34">
        <f t="shared" si="33"/>
        <v>54.845523999999997</v>
      </c>
      <c r="D33" s="34">
        <f t="shared" si="33"/>
        <v>56.671523999999998</v>
      </c>
      <c r="E33" s="34">
        <f t="shared" si="33"/>
        <v>62.013317000000001</v>
      </c>
      <c r="F33" s="34"/>
      <c r="G33" s="37">
        <f t="shared" si="2"/>
        <v>58.176661500000002</v>
      </c>
      <c r="H33" s="38">
        <f t="shared" si="3"/>
        <v>2838.8234550808847</v>
      </c>
      <c r="I33" s="36">
        <f t="shared" si="4"/>
        <v>4.6347517627310188E-2</v>
      </c>
      <c r="J33" s="36">
        <f t="shared" si="5"/>
        <v>0.11900000000000001</v>
      </c>
      <c r="K33" s="36">
        <f t="shared" si="6"/>
        <v>0.12320736211375764</v>
      </c>
      <c r="L33" s="16">
        <f>G33/'Clause 6'!$G$11</f>
        <v>58.176661500000002</v>
      </c>
      <c r="M33">
        <f t="shared" si="7"/>
        <v>4</v>
      </c>
      <c r="O33" s="91">
        <f t="shared" si="10"/>
        <v>1.718248304777692E-2</v>
      </c>
      <c r="P33" s="91">
        <f t="shared" si="8"/>
        <v>-5.7259000673319904E-2</v>
      </c>
      <c r="Q33" s="91">
        <f t="shared" si="8"/>
        <v>-2.5871843814894824E-2</v>
      </c>
      <c r="R33" s="91">
        <f t="shared" si="8"/>
        <v>6.5948361440437697E-2</v>
      </c>
      <c r="S33" s="91">
        <f t="shared" si="8"/>
        <v>0</v>
      </c>
    </row>
    <row r="34" spans="1:19" ht="13.15" x14ac:dyDescent="0.4">
      <c r="A34" s="11" t="s">
        <v>89</v>
      </c>
      <c r="B34" s="34">
        <f t="shared" ref="B34:E34" si="34">B78</f>
        <v>41.630459000000002</v>
      </c>
      <c r="C34" s="34">
        <f t="shared" si="34"/>
        <v>37.869529999999997</v>
      </c>
      <c r="D34" s="34">
        <f t="shared" si="34"/>
        <v>39.771267000000002</v>
      </c>
      <c r="E34" s="34">
        <f t="shared" si="34"/>
        <v>41.207546000000001</v>
      </c>
      <c r="F34" s="34"/>
      <c r="G34" s="37">
        <f t="shared" si="2"/>
        <v>40.1197005</v>
      </c>
      <c r="H34" s="38">
        <f t="shared" si="3"/>
        <v>1957.7050977774018</v>
      </c>
      <c r="I34" s="36">
        <f t="shared" si="4"/>
        <v>3.6654916199023266E-2</v>
      </c>
      <c r="J34" s="36">
        <f t="shared" si="5"/>
        <v>0.13400000000000001</v>
      </c>
      <c r="K34" s="36">
        <f t="shared" si="6"/>
        <v>9.374269880205123E-2</v>
      </c>
      <c r="L34" s="16">
        <f>G34/'Clause 6'!$G$11</f>
        <v>40.1197005</v>
      </c>
      <c r="M34">
        <f t="shared" si="7"/>
        <v>4</v>
      </c>
      <c r="O34" s="91">
        <f t="shared" si="10"/>
        <v>3.7656275624490254E-2</v>
      </c>
      <c r="P34" s="91">
        <f t="shared" si="8"/>
        <v>-5.6086423177560962E-2</v>
      </c>
      <c r="Q34" s="91">
        <f t="shared" si="8"/>
        <v>-8.6848479838477211E-3</v>
      </c>
      <c r="R34" s="91">
        <f t="shared" si="8"/>
        <v>2.7114995536918318E-2</v>
      </c>
      <c r="S34" s="91">
        <f t="shared" si="8"/>
        <v>0</v>
      </c>
    </row>
    <row r="35" spans="1:19" ht="13.15" x14ac:dyDescent="0.4">
      <c r="A35" s="11" t="s">
        <v>90</v>
      </c>
      <c r="B35" s="34">
        <f t="shared" ref="B35:E35" si="35">B79</f>
        <v>28.334866999999999</v>
      </c>
      <c r="C35" s="34">
        <f t="shared" si="35"/>
        <v>24.911519999999999</v>
      </c>
      <c r="D35" s="34">
        <f t="shared" si="35"/>
        <v>27.323771000000001</v>
      </c>
      <c r="E35" s="34">
        <f t="shared" si="35"/>
        <v>27.067701</v>
      </c>
      <c r="F35" s="34"/>
      <c r="G35" s="37">
        <f t="shared" si="2"/>
        <v>26.909464749999998</v>
      </c>
      <c r="H35" s="38">
        <f t="shared" si="3"/>
        <v>1313.0904683482443</v>
      </c>
      <c r="I35" s="36">
        <f t="shared" si="4"/>
        <v>4.6341344172052969E-2</v>
      </c>
      <c r="J35" s="36">
        <f t="shared" si="5"/>
        <v>0.13400000000000001</v>
      </c>
      <c r="K35" s="36">
        <f t="shared" si="6"/>
        <v>0.12721720895619076</v>
      </c>
      <c r="L35" s="16">
        <f>G35/'Clause 6'!$G$11</f>
        <v>26.909464749999998</v>
      </c>
      <c r="M35">
        <f t="shared" si="7"/>
        <v>4</v>
      </c>
      <c r="O35" s="91">
        <f t="shared" si="10"/>
        <v>5.2970293658479495E-2</v>
      </c>
      <c r="P35" s="91">
        <f t="shared" si="8"/>
        <v>-7.4246915297711324E-2</v>
      </c>
      <c r="Q35" s="91">
        <f t="shared" si="8"/>
        <v>1.5396302150528784E-2</v>
      </c>
      <c r="R35" s="91">
        <f t="shared" si="8"/>
        <v>5.8803194887033783E-3</v>
      </c>
      <c r="S35" s="91">
        <f t="shared" si="8"/>
        <v>0</v>
      </c>
    </row>
    <row r="36" spans="1:19" ht="13.15" x14ac:dyDescent="0.4">
      <c r="A36" s="11" t="s">
        <v>91</v>
      </c>
      <c r="B36" s="34">
        <f t="shared" ref="B36:E36" si="36">B80</f>
        <v>17.872762999999999</v>
      </c>
      <c r="C36" s="34">
        <f t="shared" si="36"/>
        <v>17.478245000000001</v>
      </c>
      <c r="D36" s="34">
        <f t="shared" si="36"/>
        <v>17.001456999999998</v>
      </c>
      <c r="E36" s="34">
        <f t="shared" si="36"/>
        <v>17.775804999999998</v>
      </c>
      <c r="F36" s="34"/>
      <c r="G36" s="37">
        <f t="shared" si="2"/>
        <v>17.532067499999997</v>
      </c>
      <c r="H36" s="38">
        <f t="shared" si="3"/>
        <v>855.50533756670245</v>
      </c>
      <c r="I36" s="36">
        <f t="shared" si="4"/>
        <v>1.9341080660407281E-2</v>
      </c>
      <c r="J36" s="36">
        <f t="shared" si="5"/>
        <v>0.156</v>
      </c>
      <c r="K36" s="36">
        <f t="shared" si="6"/>
        <v>4.9697846531791004E-2</v>
      </c>
      <c r="L36" s="16">
        <f>G36/'Clause 6'!$G$11</f>
        <v>17.532067499999997</v>
      </c>
      <c r="M36">
        <f t="shared" si="7"/>
        <v>4</v>
      </c>
      <c r="O36" s="91">
        <f t="shared" si="10"/>
        <v>1.9432705241409831E-2</v>
      </c>
      <c r="P36" s="91">
        <f t="shared" si="8"/>
        <v>-3.0699459718596112E-3</v>
      </c>
      <c r="Q36" s="91">
        <f t="shared" si="8"/>
        <v>-3.0265141290381048E-2</v>
      </c>
      <c r="R36" s="91">
        <f t="shared" si="8"/>
        <v>1.3902382020831272E-2</v>
      </c>
      <c r="S36" s="91">
        <f t="shared" si="8"/>
        <v>0</v>
      </c>
    </row>
    <row r="37" spans="1:19" ht="13.15" x14ac:dyDescent="0.4">
      <c r="A37" s="11" t="s">
        <v>92</v>
      </c>
      <c r="B37" s="34">
        <f t="shared" ref="B37:E37" si="37">B81</f>
        <v>11.333947</v>
      </c>
      <c r="C37" s="34">
        <f t="shared" si="37"/>
        <v>10.647665999999999</v>
      </c>
      <c r="D37" s="34">
        <f t="shared" si="37"/>
        <v>11.030707</v>
      </c>
      <c r="E37" s="34">
        <f t="shared" si="37"/>
        <v>11.412874</v>
      </c>
      <c r="F37" s="34"/>
      <c r="G37" s="37">
        <f t="shared" si="2"/>
        <v>11.106298500000001</v>
      </c>
      <c r="H37" s="38">
        <f t="shared" si="3"/>
        <v>541.94963870399556</v>
      </c>
      <c r="I37" s="36">
        <f t="shared" si="4"/>
        <v>2.7081772525719212E-2</v>
      </c>
      <c r="J37" s="36">
        <f t="shared" si="5"/>
        <v>0.156</v>
      </c>
      <c r="K37" s="36">
        <f t="shared" si="6"/>
        <v>6.8898562378816045E-2</v>
      </c>
      <c r="L37" s="16">
        <f>G37/'Clause 6'!$G$11</f>
        <v>11.106298500000001</v>
      </c>
      <c r="M37">
        <f t="shared" si="7"/>
        <v>4</v>
      </c>
      <c r="O37" s="91">
        <f t="shared" si="10"/>
        <v>2.0497243073378524E-2</v>
      </c>
      <c r="P37" s="91">
        <f t="shared" si="8"/>
        <v>-4.1294811228061445E-2</v>
      </c>
      <c r="Q37" s="91">
        <f t="shared" si="8"/>
        <v>-6.8061829960721631E-3</v>
      </c>
      <c r="R37" s="91">
        <f t="shared" si="8"/>
        <v>2.760375115075453E-2</v>
      </c>
      <c r="S37" s="91">
        <f t="shared" si="8"/>
        <v>0</v>
      </c>
    </row>
    <row r="38" spans="1:19" ht="13.15" x14ac:dyDescent="0.4">
      <c r="A38" s="11" t="s">
        <v>93</v>
      </c>
      <c r="B38" s="34">
        <f t="shared" ref="B38:E38" si="38">B82</f>
        <v>7.1926969999999999</v>
      </c>
      <c r="C38" s="34">
        <f t="shared" si="38"/>
        <v>6.7301279999999997</v>
      </c>
      <c r="D38" s="34">
        <f t="shared" si="38"/>
        <v>7.2863389999999999</v>
      </c>
      <c r="E38" s="34">
        <f t="shared" si="38"/>
        <v>7.574916</v>
      </c>
      <c r="F38" s="34"/>
      <c r="G38" s="37">
        <f t="shared" si="2"/>
        <v>7.1960200000000007</v>
      </c>
      <c r="H38" s="38">
        <f t="shared" si="3"/>
        <v>351.14133112006004</v>
      </c>
      <c r="I38" s="36">
        <f t="shared" si="4"/>
        <v>4.2195381088387704E-2</v>
      </c>
      <c r="J38" s="36">
        <f t="shared" si="5"/>
        <v>0.193</v>
      </c>
      <c r="K38" s="36">
        <f t="shared" si="6"/>
        <v>0.11739656087670688</v>
      </c>
      <c r="L38" s="16">
        <f>G38/'Clause 6'!$G$11</f>
        <v>7.1960200000000007</v>
      </c>
      <c r="M38">
        <f t="shared" si="7"/>
        <v>4</v>
      </c>
      <c r="O38" s="91">
        <f t="shared" si="10"/>
        <v>-4.6178304118116298E-4</v>
      </c>
      <c r="P38" s="91">
        <f t="shared" si="8"/>
        <v>-6.4743010719814698E-2</v>
      </c>
      <c r="Q38" s="91">
        <f t="shared" si="8"/>
        <v>1.2551243604103313E-2</v>
      </c>
      <c r="R38" s="91">
        <f t="shared" si="8"/>
        <v>5.2653550156892104E-2</v>
      </c>
      <c r="S38" s="91">
        <f t="shared" si="8"/>
        <v>0</v>
      </c>
    </row>
    <row r="40" spans="1:19" x14ac:dyDescent="0.35">
      <c r="A40" t="s">
        <v>94</v>
      </c>
    </row>
    <row r="41" spans="1:19" ht="15" x14ac:dyDescent="0.5">
      <c r="A41" s="40"/>
      <c r="B41" s="41" t="s">
        <v>95</v>
      </c>
      <c r="C41" s="40"/>
      <c r="D41" s="42" t="s">
        <v>96</v>
      </c>
      <c r="E41" s="43"/>
      <c r="F41" s="43"/>
      <c r="G41" s="43"/>
      <c r="H41" s="44"/>
    </row>
    <row r="42" spans="1:19" ht="15" x14ac:dyDescent="0.5">
      <c r="A42" s="45" t="s">
        <v>97</v>
      </c>
      <c r="B42" s="46" t="s">
        <v>98</v>
      </c>
      <c r="C42" s="45" t="s">
        <v>99</v>
      </c>
      <c r="D42" s="45" t="s">
        <v>100</v>
      </c>
      <c r="E42" s="46" t="s">
        <v>101</v>
      </c>
      <c r="F42" s="46" t="s">
        <v>102</v>
      </c>
      <c r="G42" s="46" t="s">
        <v>103</v>
      </c>
      <c r="H42" s="47" t="s">
        <v>104</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ht="13.15" x14ac:dyDescent="0.4">
      <c r="B51" s="14" t="s">
        <v>51</v>
      </c>
      <c r="C51" s="14" t="s">
        <v>52</v>
      </c>
      <c r="D51" s="14" t="s">
        <v>53</v>
      </c>
      <c r="E51" s="14" t="s">
        <v>54</v>
      </c>
      <c r="F51" s="14" t="s">
        <v>55</v>
      </c>
      <c r="G51" s="14" t="s">
        <v>51</v>
      </c>
      <c r="H51" s="14" t="s">
        <v>52</v>
      </c>
      <c r="I51" s="14" t="s">
        <v>53</v>
      </c>
      <c r="J51" s="14" t="s">
        <v>54</v>
      </c>
      <c r="K51" s="14" t="s">
        <v>55</v>
      </c>
      <c r="L51" s="14" t="s">
        <v>51</v>
      </c>
      <c r="M51" s="14" t="s">
        <v>52</v>
      </c>
      <c r="N51" s="14" t="s">
        <v>53</v>
      </c>
      <c r="O51" s="14" t="s">
        <v>54</v>
      </c>
      <c r="P51" s="14" t="s">
        <v>55</v>
      </c>
    </row>
    <row r="52" spans="1:16" ht="13.9" x14ac:dyDescent="0.4">
      <c r="A52" s="14" t="s">
        <v>105</v>
      </c>
      <c r="B52" s="53">
        <v>9.1759740000000001</v>
      </c>
      <c r="C52" s="53">
        <v>9.9552340000000008</v>
      </c>
      <c r="D52" s="53">
        <v>9.8815059999999999</v>
      </c>
      <c r="E52" s="53">
        <v>9.9010990000000003</v>
      </c>
      <c r="F52" s="53">
        <v>9.88279</v>
      </c>
      <c r="G52" s="53">
        <v>9.0699950000000005</v>
      </c>
      <c r="H52" s="53">
        <v>9.8278160000000003</v>
      </c>
      <c r="I52" s="53">
        <v>9.6626480000000008</v>
      </c>
      <c r="J52" s="53">
        <v>9.7838670000000008</v>
      </c>
      <c r="K52" s="53">
        <v>9.7660389999999992</v>
      </c>
      <c r="L52" s="53">
        <v>9.045318</v>
      </c>
      <c r="M52" s="53">
        <v>9.7598950000000002</v>
      </c>
      <c r="N52" s="53">
        <v>9.8320340000000002</v>
      </c>
      <c r="O52" s="53">
        <v>9.6718329999999995</v>
      </c>
      <c r="P52" s="53">
        <v>8.9313339999999997</v>
      </c>
    </row>
    <row r="53" spans="1:16" ht="13.9" x14ac:dyDescent="0.4">
      <c r="A53" s="30">
        <v>4</v>
      </c>
      <c r="B53" s="53">
        <v>14492.739258</v>
      </c>
      <c r="C53" s="53">
        <v>12860.973633</v>
      </c>
      <c r="D53" s="53">
        <v>14234.571289</v>
      </c>
      <c r="E53" s="53">
        <v>13788.266602</v>
      </c>
      <c r="F53" s="53">
        <v>13677.616211</v>
      </c>
      <c r="G53" s="53">
        <v>15339.479492</v>
      </c>
      <c r="H53" s="53">
        <v>14935.872069999999</v>
      </c>
      <c r="I53" s="53">
        <v>15886.638671999999</v>
      </c>
      <c r="J53" s="53">
        <v>15922.333984000001</v>
      </c>
      <c r="K53" s="53">
        <v>14797.708984000001</v>
      </c>
      <c r="L53" s="53">
        <v>15891.647461</v>
      </c>
      <c r="M53" s="53">
        <v>15092.375</v>
      </c>
      <c r="N53" s="53">
        <v>15371.793944999999</v>
      </c>
      <c r="O53" s="53">
        <v>15648.740234000001</v>
      </c>
      <c r="P53" s="53">
        <v>14286.21875</v>
      </c>
    </row>
    <row r="54" spans="1:16" ht="13.9" x14ac:dyDescent="0.4">
      <c r="A54" s="30">
        <v>5</v>
      </c>
      <c r="B54" s="53">
        <v>12684.974609000001</v>
      </c>
      <c r="C54" s="53">
        <v>11269.248046999999</v>
      </c>
      <c r="D54" s="53">
        <v>12412.885742</v>
      </c>
      <c r="E54" s="53">
        <v>12033.007812</v>
      </c>
      <c r="F54" s="53">
        <v>11935.293944999999</v>
      </c>
      <c r="G54" s="53">
        <v>13298.794921999999</v>
      </c>
      <c r="H54" s="53">
        <v>12989.253906</v>
      </c>
      <c r="I54" s="53">
        <v>13805.221680000001</v>
      </c>
      <c r="J54" s="53">
        <v>13851.374023</v>
      </c>
      <c r="K54" s="53">
        <v>12902.160156</v>
      </c>
      <c r="L54" s="53">
        <v>13821.183594</v>
      </c>
      <c r="M54" s="53">
        <v>13170.018555000001</v>
      </c>
      <c r="N54" s="53">
        <v>13428.350586</v>
      </c>
      <c r="O54" s="53">
        <v>13642.501953000001</v>
      </c>
      <c r="P54" s="53">
        <v>12427.146484000001</v>
      </c>
    </row>
    <row r="55" spans="1:16" ht="13.9" x14ac:dyDescent="0.4">
      <c r="A55" s="30">
        <v>6</v>
      </c>
      <c r="B55" s="53">
        <v>11073.702148</v>
      </c>
      <c r="C55" s="53">
        <v>9866.6699219999991</v>
      </c>
      <c r="D55" s="53">
        <v>10847.03125</v>
      </c>
      <c r="E55" s="53">
        <v>10526.002930000001</v>
      </c>
      <c r="F55" s="53">
        <v>10454.538086</v>
      </c>
      <c r="G55" s="53">
        <v>11565.055664</v>
      </c>
      <c r="H55" s="53">
        <v>11358.169921999999</v>
      </c>
      <c r="I55" s="53">
        <v>12015.339844</v>
      </c>
      <c r="J55" s="53">
        <v>12044.113281</v>
      </c>
      <c r="K55" s="53">
        <v>11246.525390999999</v>
      </c>
      <c r="L55" s="53">
        <v>12019.920898</v>
      </c>
      <c r="M55" s="53">
        <v>11503.197265999999</v>
      </c>
      <c r="N55" s="53">
        <v>11750.875</v>
      </c>
      <c r="O55" s="53">
        <v>11892.264648</v>
      </c>
      <c r="P55" s="53">
        <v>10793.907227</v>
      </c>
    </row>
    <row r="56" spans="1:16" ht="13.9" x14ac:dyDescent="0.4">
      <c r="A56" s="30">
        <v>7</v>
      </c>
      <c r="B56" s="53">
        <v>9649.9833980000003</v>
      </c>
      <c r="C56" s="53">
        <v>8628.4267579999996</v>
      </c>
      <c r="D56" s="53">
        <v>9437.9335940000001</v>
      </c>
      <c r="E56" s="53">
        <v>9153.2265619999998</v>
      </c>
      <c r="F56" s="53">
        <v>9129.0009769999997</v>
      </c>
      <c r="G56" s="53">
        <v>10015.110352</v>
      </c>
      <c r="H56" s="53">
        <v>9886.4287110000005</v>
      </c>
      <c r="I56" s="53">
        <v>10425.816406</v>
      </c>
      <c r="J56" s="53">
        <v>10443.416992</v>
      </c>
      <c r="K56" s="53">
        <v>9748.4765619999998</v>
      </c>
      <c r="L56" s="53">
        <v>10432.027344</v>
      </c>
      <c r="M56" s="53">
        <v>10012.915039</v>
      </c>
      <c r="N56" s="53">
        <v>10237.962890999999</v>
      </c>
      <c r="O56" s="53">
        <v>10337.647461</v>
      </c>
      <c r="P56" s="53">
        <v>9380.4570309999999</v>
      </c>
    </row>
    <row r="57" spans="1:16" ht="13.9" x14ac:dyDescent="0.4">
      <c r="A57" s="30">
        <v>8</v>
      </c>
      <c r="B57" s="53">
        <v>8344.8359380000002</v>
      </c>
      <c r="C57" s="53">
        <v>7482.3959960000002</v>
      </c>
      <c r="D57" s="53">
        <v>8178.9150390000004</v>
      </c>
      <c r="E57" s="53">
        <v>7934.5737300000001</v>
      </c>
      <c r="F57" s="53">
        <v>7917.298828</v>
      </c>
      <c r="G57" s="53">
        <v>8657.3369139999995</v>
      </c>
      <c r="H57" s="53">
        <v>8580.6445309999999</v>
      </c>
      <c r="I57" s="53">
        <v>9025.0625</v>
      </c>
      <c r="J57" s="53">
        <v>9028.1279300000006</v>
      </c>
      <c r="K57" s="53">
        <v>8444.6728519999997</v>
      </c>
      <c r="L57" s="53">
        <v>9033.734375</v>
      </c>
      <c r="M57" s="53">
        <v>8675.6054690000001</v>
      </c>
      <c r="N57" s="53">
        <v>8870.3925780000009</v>
      </c>
      <c r="O57" s="53">
        <v>8956.5234380000002</v>
      </c>
      <c r="P57" s="53">
        <v>8094.1992190000001</v>
      </c>
    </row>
    <row r="58" spans="1:16" ht="13.9" x14ac:dyDescent="0.4">
      <c r="A58" s="30">
        <v>9</v>
      </c>
      <c r="B58" s="53">
        <v>7211.1147460000002</v>
      </c>
      <c r="C58" s="53">
        <v>6489.3505859999996</v>
      </c>
      <c r="D58" s="53">
        <v>7063.8017579999996</v>
      </c>
      <c r="E58" s="53">
        <v>6853.3803710000002</v>
      </c>
      <c r="F58" s="53">
        <v>6851.1020509999998</v>
      </c>
      <c r="G58" s="53">
        <v>7468.9125979999999</v>
      </c>
      <c r="H58" s="53">
        <v>7421.486328</v>
      </c>
      <c r="I58" s="53">
        <v>7797.3447269999997</v>
      </c>
      <c r="J58" s="53">
        <v>7771.6713870000003</v>
      </c>
      <c r="K58" s="53">
        <v>7281.1503910000001</v>
      </c>
      <c r="L58" s="53">
        <v>7777.9467770000001</v>
      </c>
      <c r="M58" s="53">
        <v>7487.8876950000003</v>
      </c>
      <c r="N58" s="53">
        <v>7678.0654299999997</v>
      </c>
      <c r="O58" s="53">
        <v>7722.6313479999999</v>
      </c>
      <c r="P58" s="53">
        <v>6957.3027339999999</v>
      </c>
    </row>
    <row r="59" spans="1:16" ht="13.9" x14ac:dyDescent="0.4">
      <c r="A59" s="30">
        <v>10</v>
      </c>
      <c r="B59" s="53">
        <v>6191.0595700000003</v>
      </c>
      <c r="C59" s="53">
        <v>5588.3168949999999</v>
      </c>
      <c r="D59" s="53">
        <v>6058.6918949999999</v>
      </c>
      <c r="E59" s="53">
        <v>5904.1928710000002</v>
      </c>
      <c r="F59" s="53">
        <v>5891.8588870000003</v>
      </c>
      <c r="G59" s="53">
        <v>6408.2724609999996</v>
      </c>
      <c r="H59" s="53">
        <v>6355.4301759999998</v>
      </c>
      <c r="I59" s="53">
        <v>6682.1225590000004</v>
      </c>
      <c r="J59" s="53">
        <v>6636.9462890000004</v>
      </c>
      <c r="K59" s="53">
        <v>6245.5209960000002</v>
      </c>
      <c r="L59" s="53">
        <v>6693.8500979999999</v>
      </c>
      <c r="M59" s="53">
        <v>6428.6547849999997</v>
      </c>
      <c r="N59" s="53">
        <v>6619.7900390000004</v>
      </c>
      <c r="O59" s="53">
        <v>6621.5991210000002</v>
      </c>
      <c r="P59" s="53">
        <v>5929.6850590000004</v>
      </c>
    </row>
    <row r="60" spans="1:16" ht="13.9" x14ac:dyDescent="0.4">
      <c r="A60" s="30">
        <v>11</v>
      </c>
      <c r="B60" s="53">
        <v>5263.6376950000003</v>
      </c>
      <c r="C60" s="53">
        <v>4755.9907229999999</v>
      </c>
      <c r="D60" s="53">
        <v>5160.6503910000001</v>
      </c>
      <c r="E60" s="53">
        <v>5031.1586909999996</v>
      </c>
      <c r="F60" s="53">
        <v>5023.2778319999998</v>
      </c>
      <c r="G60" s="53">
        <v>5429.2202150000003</v>
      </c>
      <c r="H60" s="53">
        <v>5403.3369140000004</v>
      </c>
      <c r="I60" s="53">
        <v>5660.1459960000002</v>
      </c>
      <c r="J60" s="53">
        <v>5610.3583980000003</v>
      </c>
      <c r="K60" s="53">
        <v>5273.6835940000001</v>
      </c>
      <c r="L60" s="53">
        <v>5686.9204099999997</v>
      </c>
      <c r="M60" s="53">
        <v>5450.6733400000003</v>
      </c>
      <c r="N60" s="53">
        <v>5605.2490230000003</v>
      </c>
      <c r="O60" s="53">
        <v>5620.1342770000001</v>
      </c>
      <c r="P60" s="53">
        <v>4987.4965819999998</v>
      </c>
    </row>
    <row r="61" spans="1:16" ht="13.9" x14ac:dyDescent="0.4">
      <c r="A61" s="30">
        <v>12</v>
      </c>
      <c r="B61" s="53">
        <v>4441.4902339999999</v>
      </c>
      <c r="C61" s="53">
        <v>4004.6271969999998</v>
      </c>
      <c r="D61" s="53">
        <v>4344.8842770000001</v>
      </c>
      <c r="E61" s="53">
        <v>4240.5390619999998</v>
      </c>
      <c r="F61" s="53">
        <v>4219.4565430000002</v>
      </c>
      <c r="G61" s="53">
        <v>4560.6420900000003</v>
      </c>
      <c r="H61" s="53">
        <v>4538.75</v>
      </c>
      <c r="I61" s="53">
        <v>4727.2753910000001</v>
      </c>
      <c r="J61" s="53">
        <v>4691.4990230000003</v>
      </c>
      <c r="K61" s="53">
        <v>4417.7583009999998</v>
      </c>
      <c r="L61" s="53">
        <v>4759.2578119999998</v>
      </c>
      <c r="M61" s="53">
        <v>4580.5820309999999</v>
      </c>
      <c r="N61" s="53">
        <v>4694.3491210000002</v>
      </c>
      <c r="O61" s="53">
        <v>4713.0673829999996</v>
      </c>
      <c r="P61" s="53">
        <v>4144.2856449999999</v>
      </c>
    </row>
    <row r="62" spans="1:16" ht="13.9" x14ac:dyDescent="0.4">
      <c r="A62" s="30">
        <v>13</v>
      </c>
      <c r="B62" s="53">
        <v>3692.578125</v>
      </c>
      <c r="C62" s="53">
        <v>3340.1525879999999</v>
      </c>
      <c r="D62" s="53">
        <v>3602.4873050000001</v>
      </c>
      <c r="E62" s="53">
        <v>3531.7290039999998</v>
      </c>
      <c r="F62" s="53">
        <v>3512.4697270000001</v>
      </c>
      <c r="G62" s="53">
        <v>3771.7770999999998</v>
      </c>
      <c r="H62" s="53">
        <v>3752.3088379999999</v>
      </c>
      <c r="I62" s="53">
        <v>3894.3774410000001</v>
      </c>
      <c r="J62" s="53">
        <v>3883.7404790000001</v>
      </c>
      <c r="K62" s="53">
        <v>3648.9716800000001</v>
      </c>
      <c r="L62" s="53">
        <v>3926.2302249999998</v>
      </c>
      <c r="M62" s="53">
        <v>3790.921875</v>
      </c>
      <c r="N62" s="53">
        <v>3868.4772950000001</v>
      </c>
      <c r="O62" s="53">
        <v>3907.0153810000002</v>
      </c>
      <c r="P62" s="53">
        <v>3388.5192870000001</v>
      </c>
    </row>
    <row r="63" spans="1:16" ht="13.9" x14ac:dyDescent="0.4">
      <c r="A63" s="30">
        <v>14</v>
      </c>
      <c r="B63" s="53">
        <v>3010.0346679999998</v>
      </c>
      <c r="C63" s="53">
        <v>2735.6464839999999</v>
      </c>
      <c r="D63" s="53">
        <v>2951.6755370000001</v>
      </c>
      <c r="E63" s="53">
        <v>2884.5283199999999</v>
      </c>
      <c r="F63" s="53">
        <v>2860.4272460000002</v>
      </c>
      <c r="G63" s="53">
        <v>3055.5695799999999</v>
      </c>
      <c r="H63" s="53">
        <v>3043.8095699999999</v>
      </c>
      <c r="I63" s="53">
        <v>3142.5131839999999</v>
      </c>
      <c r="J63" s="53">
        <v>3146.7109380000002</v>
      </c>
      <c r="K63" s="53">
        <v>2952.7836910000001</v>
      </c>
      <c r="L63" s="53">
        <v>3192.0383299999999</v>
      </c>
      <c r="M63" s="53">
        <v>3075.955078</v>
      </c>
      <c r="N63" s="53">
        <v>3151.5351559999999</v>
      </c>
      <c r="O63" s="53">
        <v>3168.6857909999999</v>
      </c>
      <c r="P63" s="53">
        <v>2732.0664059999999</v>
      </c>
    </row>
    <row r="64" spans="1:16" ht="13.9" x14ac:dyDescent="0.4">
      <c r="A64" s="30">
        <v>15</v>
      </c>
      <c r="B64" s="53">
        <v>2418.5988769999999</v>
      </c>
      <c r="C64" s="53">
        <v>2209.491211</v>
      </c>
      <c r="D64" s="53">
        <v>2383.7458499999998</v>
      </c>
      <c r="E64" s="53">
        <v>2315.0964359999998</v>
      </c>
      <c r="F64" s="53">
        <v>2305.219482</v>
      </c>
      <c r="G64" s="53">
        <v>2430.100586</v>
      </c>
      <c r="H64" s="53">
        <v>2427.4975589999999</v>
      </c>
      <c r="I64" s="53">
        <v>2497.451904</v>
      </c>
      <c r="J64" s="53">
        <v>2500.0339359999998</v>
      </c>
      <c r="K64" s="53">
        <v>2351.6186520000001</v>
      </c>
      <c r="L64" s="53">
        <v>2548.2797850000002</v>
      </c>
      <c r="M64" s="53">
        <v>2445.5180660000001</v>
      </c>
      <c r="N64" s="53">
        <v>2524.1979980000001</v>
      </c>
      <c r="O64" s="53">
        <v>2529.5102539999998</v>
      </c>
      <c r="P64" s="53">
        <v>2149.95874</v>
      </c>
    </row>
    <row r="65" spans="1:16" ht="13.9" x14ac:dyDescent="0.4">
      <c r="A65" s="30">
        <v>16</v>
      </c>
      <c r="B65" s="53">
        <v>1902.577393</v>
      </c>
      <c r="C65" s="53">
        <v>1751.1392820000001</v>
      </c>
      <c r="D65" s="53">
        <v>1875.5238039999999</v>
      </c>
      <c r="E65" s="53">
        <v>1835.250732</v>
      </c>
      <c r="F65" s="53">
        <v>1822.865845</v>
      </c>
      <c r="G65" s="53">
        <v>1895.9216309999999</v>
      </c>
      <c r="H65" s="53">
        <v>1908.2570800000001</v>
      </c>
      <c r="I65" s="53">
        <v>1951.224976</v>
      </c>
      <c r="J65" s="53">
        <v>1966.502686</v>
      </c>
      <c r="K65" s="53">
        <v>1837.6949460000001</v>
      </c>
      <c r="L65" s="53">
        <v>1996.7236330000001</v>
      </c>
      <c r="M65" s="53">
        <v>1918.4632570000001</v>
      </c>
      <c r="N65" s="53">
        <v>1977.9223629999999</v>
      </c>
      <c r="O65" s="53">
        <v>1980.079712</v>
      </c>
      <c r="P65" s="53">
        <v>1657.087158</v>
      </c>
    </row>
    <row r="66" spans="1:16" ht="13.9" x14ac:dyDescent="0.4">
      <c r="A66" s="30">
        <v>17</v>
      </c>
      <c r="B66" s="53">
        <v>1466.765259</v>
      </c>
      <c r="C66" s="53">
        <v>1362.901245</v>
      </c>
      <c r="D66" s="53">
        <v>1449.880249</v>
      </c>
      <c r="E66" s="53">
        <v>1416.408447</v>
      </c>
      <c r="F66" s="53">
        <v>1408.205688</v>
      </c>
      <c r="G66" s="53">
        <v>1461.3017580000001</v>
      </c>
      <c r="H66" s="53">
        <v>1462.0745850000001</v>
      </c>
      <c r="I66" s="53">
        <v>1502.6936040000001</v>
      </c>
      <c r="J66" s="53">
        <v>1511.161255</v>
      </c>
      <c r="K66" s="53">
        <v>1403.3325199999999</v>
      </c>
      <c r="L66" s="53">
        <v>1531.621216</v>
      </c>
      <c r="M66" s="53">
        <v>1479.2166749999999</v>
      </c>
      <c r="N66" s="53">
        <v>1527.5577390000001</v>
      </c>
      <c r="O66" s="53">
        <v>1518.0162350000001</v>
      </c>
      <c r="P66" s="53">
        <v>1242.031616</v>
      </c>
    </row>
    <row r="67" spans="1:16" ht="13.9" x14ac:dyDescent="0.4">
      <c r="A67" s="30">
        <v>18</v>
      </c>
      <c r="B67" s="53">
        <v>1125.3302000000001</v>
      </c>
      <c r="C67" s="53">
        <v>1045.480225</v>
      </c>
      <c r="D67" s="53">
        <v>1107.928345</v>
      </c>
      <c r="E67" s="53">
        <v>1074.3251949999999</v>
      </c>
      <c r="F67" s="53">
        <v>1078.8452150000001</v>
      </c>
      <c r="G67" s="53">
        <v>1105.7337649999999</v>
      </c>
      <c r="H67" s="53">
        <v>1109.7073969999999</v>
      </c>
      <c r="I67" s="53">
        <v>1133.3332519999999</v>
      </c>
      <c r="J67" s="53">
        <v>1139.1201169999999</v>
      </c>
      <c r="K67" s="53">
        <v>1065.734009</v>
      </c>
      <c r="L67" s="53">
        <v>1165.35437</v>
      </c>
      <c r="M67" s="53">
        <v>1125.2170410000001</v>
      </c>
      <c r="N67" s="53">
        <v>1161.509399</v>
      </c>
      <c r="O67" s="53">
        <v>1150.9710689999999</v>
      </c>
      <c r="P67" s="53">
        <v>926.28936799999997</v>
      </c>
    </row>
    <row r="68" spans="1:16" ht="13.9" x14ac:dyDescent="0.4">
      <c r="A68" s="30">
        <v>19</v>
      </c>
      <c r="B68" s="53">
        <v>860.50811799999997</v>
      </c>
      <c r="C68" s="53">
        <v>785.01422100000002</v>
      </c>
      <c r="D68" s="53">
        <v>836.00616500000001</v>
      </c>
      <c r="E68" s="53">
        <v>828.49389599999995</v>
      </c>
      <c r="F68" s="53">
        <v>828.20745799999997</v>
      </c>
      <c r="G68" s="53">
        <v>836.71490500000004</v>
      </c>
      <c r="H68" s="53">
        <v>834.56994599999996</v>
      </c>
      <c r="I68" s="53">
        <v>856.49395800000002</v>
      </c>
      <c r="J68" s="53">
        <v>861.82690400000001</v>
      </c>
      <c r="K68" s="53">
        <v>804.11309800000004</v>
      </c>
      <c r="L68" s="53">
        <v>881.11883499999999</v>
      </c>
      <c r="M68" s="53">
        <v>849.29187000000002</v>
      </c>
      <c r="N68" s="53">
        <v>880.59094200000004</v>
      </c>
      <c r="O68" s="53">
        <v>870.67260699999997</v>
      </c>
      <c r="P68" s="53">
        <v>680.97326699999996</v>
      </c>
    </row>
    <row r="69" spans="1:16" ht="13.9" x14ac:dyDescent="0.4">
      <c r="A69" s="30">
        <v>20</v>
      </c>
      <c r="B69" s="53">
        <v>650.83007799999996</v>
      </c>
      <c r="C69" s="53">
        <v>591.34722899999997</v>
      </c>
      <c r="D69" s="53">
        <v>638.97143600000004</v>
      </c>
      <c r="E69" s="53">
        <v>632.15203899999995</v>
      </c>
      <c r="F69" s="53">
        <v>624.621216</v>
      </c>
      <c r="G69" s="53">
        <v>628.66625999999997</v>
      </c>
      <c r="H69" s="53">
        <v>624.65557899999999</v>
      </c>
      <c r="I69" s="53">
        <v>645.26824999999997</v>
      </c>
      <c r="J69" s="53">
        <v>645.45031700000004</v>
      </c>
      <c r="K69" s="53">
        <v>601.77929700000004</v>
      </c>
      <c r="L69" s="53">
        <v>672.72375499999998</v>
      </c>
      <c r="M69" s="53">
        <v>633.81829800000003</v>
      </c>
      <c r="N69" s="53">
        <v>660.90087900000003</v>
      </c>
      <c r="O69" s="53">
        <v>651.78955099999996</v>
      </c>
      <c r="P69" s="53">
        <v>494.32702599999999</v>
      </c>
    </row>
    <row r="70" spans="1:16" ht="13.9" x14ac:dyDescent="0.4">
      <c r="A70" s="30">
        <v>21</v>
      </c>
      <c r="B70" s="53">
        <v>498.91162100000003</v>
      </c>
      <c r="C70" s="53">
        <v>448.40734900000001</v>
      </c>
      <c r="D70" s="53">
        <v>490.81588699999998</v>
      </c>
      <c r="E70" s="53">
        <v>480.85571299999998</v>
      </c>
      <c r="F70" s="53">
        <v>466.265106</v>
      </c>
      <c r="G70" s="53">
        <v>470.34204099999999</v>
      </c>
      <c r="H70" s="53">
        <v>472.94332900000001</v>
      </c>
      <c r="I70" s="53">
        <v>487.03005999999999</v>
      </c>
      <c r="J70" s="53">
        <v>492.64773600000001</v>
      </c>
      <c r="K70" s="53">
        <v>455.04632600000002</v>
      </c>
      <c r="L70" s="53">
        <v>507.33431999999999</v>
      </c>
      <c r="M70" s="53">
        <v>483.919128</v>
      </c>
      <c r="N70" s="53">
        <v>507.52468900000002</v>
      </c>
      <c r="O70" s="53">
        <v>485.430206</v>
      </c>
      <c r="P70" s="53">
        <v>360.75234999999998</v>
      </c>
    </row>
    <row r="71" spans="1:16" ht="13.9" x14ac:dyDescent="0.4">
      <c r="A71" s="30">
        <v>22</v>
      </c>
      <c r="B71" s="53">
        <v>381.648865</v>
      </c>
      <c r="C71" s="53">
        <v>337.51092499999999</v>
      </c>
      <c r="D71" s="53">
        <v>370.79367100000002</v>
      </c>
      <c r="E71" s="53">
        <v>362.88900799999999</v>
      </c>
      <c r="F71" s="53">
        <v>350.10357699999997</v>
      </c>
      <c r="G71" s="53">
        <v>357.77307100000002</v>
      </c>
      <c r="H71" s="53">
        <v>357.55654900000002</v>
      </c>
      <c r="I71" s="53">
        <v>363.56494099999998</v>
      </c>
      <c r="J71" s="53">
        <v>371.32556199999999</v>
      </c>
      <c r="K71" s="53">
        <v>342.30868500000003</v>
      </c>
      <c r="L71" s="53">
        <v>384.61889600000001</v>
      </c>
      <c r="M71" s="53">
        <v>371.41790800000001</v>
      </c>
      <c r="N71" s="53">
        <v>383.338776</v>
      </c>
      <c r="O71" s="53">
        <v>363.323059</v>
      </c>
      <c r="P71" s="53">
        <v>258.527985</v>
      </c>
    </row>
    <row r="72" spans="1:16" ht="13.9" x14ac:dyDescent="0.4">
      <c r="A72" s="30">
        <v>23</v>
      </c>
      <c r="B72" s="53">
        <v>285.09234600000002</v>
      </c>
      <c r="C72" s="53">
        <v>252.83183299999999</v>
      </c>
      <c r="D72" s="53">
        <v>274.35089099999999</v>
      </c>
      <c r="E72" s="53">
        <v>278.655914</v>
      </c>
      <c r="F72" s="53">
        <v>261.56582600000002</v>
      </c>
      <c r="G72" s="53">
        <v>271.66497800000002</v>
      </c>
      <c r="H72" s="53">
        <v>272.28836100000001</v>
      </c>
      <c r="I72" s="53">
        <v>270.73324600000001</v>
      </c>
      <c r="J72" s="53">
        <v>278.21310399999999</v>
      </c>
      <c r="K72" s="53">
        <v>258.24185199999999</v>
      </c>
      <c r="L72" s="53">
        <v>290.09484900000001</v>
      </c>
      <c r="M72" s="53">
        <v>280.63824499999998</v>
      </c>
      <c r="N72" s="53">
        <v>289.97052000000002</v>
      </c>
      <c r="O72" s="53">
        <v>272.027039</v>
      </c>
      <c r="P72" s="53">
        <v>189.44537399999999</v>
      </c>
    </row>
    <row r="73" spans="1:16" ht="13.9" x14ac:dyDescent="0.4">
      <c r="A73" s="30">
        <v>24</v>
      </c>
      <c r="B73" s="53">
        <v>213.27436800000001</v>
      </c>
      <c r="C73" s="53">
        <v>191.85888700000001</v>
      </c>
      <c r="D73" s="53">
        <v>201.99350000000001</v>
      </c>
      <c r="E73" s="53">
        <v>207.24970999999999</v>
      </c>
      <c r="F73" s="53">
        <v>192.86051900000001</v>
      </c>
      <c r="G73" s="53">
        <v>202.53595000000001</v>
      </c>
      <c r="H73" s="53">
        <v>204.82678200000001</v>
      </c>
      <c r="I73" s="53">
        <v>205.11975100000001</v>
      </c>
      <c r="J73" s="53">
        <v>213.51475500000001</v>
      </c>
      <c r="K73" s="53">
        <v>190.25112899999999</v>
      </c>
      <c r="L73" s="53">
        <v>217.792236</v>
      </c>
      <c r="M73" s="53">
        <v>207.891571</v>
      </c>
      <c r="N73" s="53">
        <v>216.53707900000001</v>
      </c>
      <c r="O73" s="53">
        <v>203.68424999999999</v>
      </c>
      <c r="P73" s="53">
        <v>134.35841400000001</v>
      </c>
    </row>
    <row r="74" spans="1:16" ht="13.9" x14ac:dyDescent="0.4">
      <c r="A74" s="30">
        <v>25</v>
      </c>
      <c r="B74" s="53">
        <v>158.021378</v>
      </c>
      <c r="C74" s="53">
        <v>142.136292</v>
      </c>
      <c r="D74" s="53">
        <v>149.774734</v>
      </c>
      <c r="E74" s="53">
        <v>155.84127799999999</v>
      </c>
      <c r="F74" s="53">
        <v>141.76159699999999</v>
      </c>
      <c r="G74" s="53">
        <v>157.33195499999999</v>
      </c>
      <c r="H74" s="53">
        <v>155.782318</v>
      </c>
      <c r="I74" s="53">
        <v>149.33793600000001</v>
      </c>
      <c r="J74" s="53">
        <v>163.125687</v>
      </c>
      <c r="K74" s="53">
        <v>142.329971</v>
      </c>
      <c r="L74" s="53">
        <v>163.73112499999999</v>
      </c>
      <c r="M74" s="53">
        <v>153.17787200000001</v>
      </c>
      <c r="N74" s="53">
        <v>162.123108</v>
      </c>
      <c r="O74" s="53">
        <v>151.26397700000001</v>
      </c>
      <c r="P74" s="53">
        <v>95.730377000000004</v>
      </c>
    </row>
    <row r="75" spans="1:16" ht="13.9" x14ac:dyDescent="0.4">
      <c r="A75" s="30">
        <v>26</v>
      </c>
      <c r="B75" s="53">
        <v>116.39091500000001</v>
      </c>
      <c r="C75" s="53">
        <v>106.376205</v>
      </c>
      <c r="D75" s="53">
        <v>110.205872</v>
      </c>
      <c r="E75" s="53">
        <v>115.441727</v>
      </c>
      <c r="F75" s="53">
        <v>104.32276899999999</v>
      </c>
      <c r="G75" s="53">
        <v>116.20734400000001</v>
      </c>
      <c r="H75" s="53">
        <v>115.99728399999999</v>
      </c>
      <c r="I75" s="53">
        <v>108.458878</v>
      </c>
      <c r="J75" s="53">
        <v>117.438232</v>
      </c>
      <c r="K75" s="53">
        <v>100.14295199999999</v>
      </c>
      <c r="L75" s="53">
        <v>122.383759</v>
      </c>
      <c r="M75" s="53">
        <v>114.03810900000001</v>
      </c>
      <c r="N75" s="53">
        <v>120.21927599999999</v>
      </c>
      <c r="O75" s="53">
        <v>106.908379</v>
      </c>
      <c r="P75" s="53">
        <v>67.067245</v>
      </c>
    </row>
    <row r="76" spans="1:16" ht="13.9" x14ac:dyDescent="0.4">
      <c r="A76" s="30">
        <v>27</v>
      </c>
      <c r="B76" s="53">
        <v>84.350723000000002</v>
      </c>
      <c r="C76" s="53">
        <v>77.848502999999994</v>
      </c>
      <c r="D76" s="53">
        <v>79.441329999999994</v>
      </c>
      <c r="E76" s="53">
        <v>85.950050000000005</v>
      </c>
      <c r="F76" s="53">
        <v>72.955108999999993</v>
      </c>
      <c r="G76" s="53">
        <v>87.541397000000003</v>
      </c>
      <c r="H76" s="53">
        <v>86.082199000000003</v>
      </c>
      <c r="I76" s="53">
        <v>77.101012999999995</v>
      </c>
      <c r="J76" s="53">
        <v>89.024108999999996</v>
      </c>
      <c r="K76" s="53">
        <v>71.676963999999998</v>
      </c>
      <c r="L76" s="53">
        <v>87.448562999999993</v>
      </c>
      <c r="M76" s="53">
        <v>81.865630999999993</v>
      </c>
      <c r="N76" s="53">
        <v>86.757225000000005</v>
      </c>
      <c r="O76" s="53">
        <v>78.061729</v>
      </c>
      <c r="P76" s="53">
        <v>45.345965999999997</v>
      </c>
    </row>
    <row r="77" spans="1:16" ht="13.9" x14ac:dyDescent="0.4">
      <c r="A77" s="30">
        <v>28</v>
      </c>
      <c r="B77" s="53">
        <v>59.176281000000003</v>
      </c>
      <c r="C77" s="53">
        <v>54.845523999999997</v>
      </c>
      <c r="D77" s="53">
        <v>56.671523999999998</v>
      </c>
      <c r="E77" s="53">
        <v>62.013317000000001</v>
      </c>
      <c r="F77" s="53">
        <v>53.729767000000002</v>
      </c>
      <c r="G77" s="53">
        <v>60.860011999999998</v>
      </c>
      <c r="H77" s="53">
        <v>62.679237000000001</v>
      </c>
      <c r="I77" s="53">
        <v>56.092284999999997</v>
      </c>
      <c r="J77" s="53">
        <v>64.289512999999999</v>
      </c>
      <c r="K77" s="53">
        <v>49.969082</v>
      </c>
      <c r="L77" s="53">
        <v>60.583832000000001</v>
      </c>
      <c r="M77" s="53">
        <v>57.787506</v>
      </c>
      <c r="N77" s="53">
        <v>60.923305999999997</v>
      </c>
      <c r="O77" s="53">
        <v>56.555981000000003</v>
      </c>
      <c r="P77" s="53">
        <v>28.775095</v>
      </c>
    </row>
    <row r="78" spans="1:16" ht="13.9" x14ac:dyDescent="0.4">
      <c r="A78" s="30">
        <v>29</v>
      </c>
      <c r="B78" s="53">
        <v>41.630459000000002</v>
      </c>
      <c r="C78" s="53">
        <v>37.869529999999997</v>
      </c>
      <c r="D78" s="53">
        <v>39.771267000000002</v>
      </c>
      <c r="E78" s="53">
        <v>41.207546000000001</v>
      </c>
      <c r="F78" s="53">
        <v>37.135264999999997</v>
      </c>
      <c r="G78" s="53">
        <v>40.132328000000001</v>
      </c>
      <c r="H78" s="53">
        <v>44.974387999999998</v>
      </c>
      <c r="I78" s="53">
        <v>40.154625000000003</v>
      </c>
      <c r="J78" s="53">
        <v>43.949902000000002</v>
      </c>
      <c r="K78" s="53">
        <v>34.404941999999998</v>
      </c>
      <c r="L78" s="53">
        <v>43.779555999999999</v>
      </c>
      <c r="M78" s="53">
        <v>39.652065</v>
      </c>
      <c r="N78" s="53">
        <v>41.903843000000002</v>
      </c>
      <c r="O78" s="53">
        <v>40.013095999999997</v>
      </c>
      <c r="P78" s="53">
        <v>17.802489999999999</v>
      </c>
    </row>
    <row r="79" spans="1:16" ht="13.9" x14ac:dyDescent="0.4">
      <c r="A79" s="30">
        <v>30</v>
      </c>
      <c r="B79" s="53">
        <v>28.334866999999999</v>
      </c>
      <c r="C79" s="53">
        <v>24.911519999999999</v>
      </c>
      <c r="D79" s="53">
        <v>27.323771000000001</v>
      </c>
      <c r="E79" s="53">
        <v>27.067701</v>
      </c>
      <c r="F79" s="53">
        <v>23.171595</v>
      </c>
      <c r="G79" s="53">
        <v>27.783918</v>
      </c>
      <c r="H79" s="53">
        <v>31.543120999999999</v>
      </c>
      <c r="I79" s="53">
        <v>28.460106</v>
      </c>
      <c r="J79" s="53">
        <v>30.356096000000001</v>
      </c>
      <c r="K79" s="53">
        <v>23.039024000000001</v>
      </c>
      <c r="L79" s="53">
        <v>32.392448000000002</v>
      </c>
      <c r="M79" s="53">
        <v>27.869152</v>
      </c>
      <c r="N79" s="53">
        <v>27.868089999999999</v>
      </c>
      <c r="O79" s="53">
        <v>26.675398000000001</v>
      </c>
      <c r="P79" s="53">
        <v>10.860639000000001</v>
      </c>
    </row>
    <row r="80" spans="1:16" ht="13.9" x14ac:dyDescent="0.4">
      <c r="A80" s="30">
        <v>38</v>
      </c>
      <c r="B80" s="53">
        <v>17.872762999999999</v>
      </c>
      <c r="C80" s="53">
        <v>17.478245000000001</v>
      </c>
      <c r="D80" s="53">
        <v>17.001456999999998</v>
      </c>
      <c r="E80" s="53">
        <v>17.775804999999998</v>
      </c>
      <c r="F80" s="53">
        <v>15.987389</v>
      </c>
      <c r="G80" s="53">
        <v>18.853373000000001</v>
      </c>
      <c r="H80" s="53">
        <v>23.504712999999999</v>
      </c>
      <c r="I80" s="53">
        <v>20.284293999999999</v>
      </c>
      <c r="J80" s="53">
        <v>21.463905</v>
      </c>
      <c r="K80" s="53">
        <v>14.847371000000001</v>
      </c>
      <c r="L80" s="53">
        <v>20.452570000000001</v>
      </c>
      <c r="M80" s="53">
        <v>17.828060000000001</v>
      </c>
      <c r="N80" s="53">
        <v>20.138254</v>
      </c>
      <c r="O80" s="53">
        <v>17.7836</v>
      </c>
      <c r="P80" s="53">
        <v>7.2777479999999999</v>
      </c>
    </row>
    <row r="81" spans="1:32" ht="13.9" x14ac:dyDescent="0.4">
      <c r="A81" s="30">
        <v>50</v>
      </c>
      <c r="B81" s="53">
        <v>11.333947</v>
      </c>
      <c r="C81" s="53">
        <v>10.647665999999999</v>
      </c>
      <c r="D81" s="53">
        <v>11.030707</v>
      </c>
      <c r="E81" s="53">
        <v>11.412874</v>
      </c>
      <c r="F81" s="53">
        <v>10.826902</v>
      </c>
      <c r="G81" s="53">
        <v>11.797140000000001</v>
      </c>
      <c r="H81" s="53">
        <v>16.789082000000001</v>
      </c>
      <c r="I81" s="53">
        <v>13.246886</v>
      </c>
      <c r="J81" s="53">
        <v>14.513688999999999</v>
      </c>
      <c r="K81" s="53">
        <v>9.3180049999999994</v>
      </c>
      <c r="L81" s="53">
        <v>12.492651</v>
      </c>
      <c r="M81" s="53">
        <v>11.782913000000001</v>
      </c>
      <c r="N81" s="53">
        <v>14.340878</v>
      </c>
      <c r="O81" s="53">
        <v>10.95966</v>
      </c>
      <c r="P81" s="53">
        <v>5.262372</v>
      </c>
    </row>
    <row r="82" spans="1:32" ht="13.9" x14ac:dyDescent="0.4">
      <c r="A82" s="30">
        <v>70</v>
      </c>
      <c r="B82" s="53">
        <v>7.1926969999999999</v>
      </c>
      <c r="C82" s="53">
        <v>6.7301279999999997</v>
      </c>
      <c r="D82" s="53">
        <v>7.2863389999999999</v>
      </c>
      <c r="E82" s="53">
        <v>7.574916</v>
      </c>
      <c r="F82" s="53">
        <v>6.4759039999999999</v>
      </c>
      <c r="G82" s="53">
        <v>7.3869939999999996</v>
      </c>
      <c r="H82" s="53">
        <v>11.803233000000001</v>
      </c>
      <c r="I82" s="53">
        <v>7.4513740000000004</v>
      </c>
      <c r="J82" s="53">
        <v>8.2789350000000006</v>
      </c>
      <c r="K82" s="53">
        <v>5.9389479999999999</v>
      </c>
      <c r="L82" s="53">
        <v>8.4021369999999997</v>
      </c>
      <c r="M82" s="53">
        <v>7.5820480000000003</v>
      </c>
      <c r="N82" s="53">
        <v>9.86571</v>
      </c>
      <c r="O82" s="53">
        <v>7.2375109999999996</v>
      </c>
      <c r="P82" s="53">
        <v>3.0230640000000002</v>
      </c>
    </row>
    <row r="85" spans="1:32" ht="13.15" x14ac:dyDescent="0.4">
      <c r="B85" s="30" t="s">
        <v>106</v>
      </c>
    </row>
    <row r="86" spans="1:32" ht="13.5" x14ac:dyDescent="0.35">
      <c r="A86">
        <v>1</v>
      </c>
      <c r="B86" s="53">
        <v>9.1759740000000001</v>
      </c>
      <c r="C86" s="53">
        <v>14492.739258</v>
      </c>
      <c r="D86" s="53">
        <v>12684.974609000001</v>
      </c>
      <c r="E86" s="53">
        <v>11073.702148</v>
      </c>
      <c r="F86" s="53">
        <v>9649.9833980000003</v>
      </c>
      <c r="G86" s="53">
        <v>8344.8359380000002</v>
      </c>
      <c r="H86" s="53">
        <v>7211.1147460000002</v>
      </c>
      <c r="I86" s="53">
        <v>6191.0595700000003</v>
      </c>
      <c r="J86" s="53">
        <v>5263.6376950000003</v>
      </c>
      <c r="K86" s="53">
        <v>4441.4902339999999</v>
      </c>
      <c r="L86" s="53">
        <v>3692.578125</v>
      </c>
      <c r="M86" s="53">
        <v>3010.0346679999998</v>
      </c>
      <c r="N86" s="53">
        <v>2418.5988769999999</v>
      </c>
      <c r="O86" s="53">
        <v>1902.577393</v>
      </c>
      <c r="P86" s="53">
        <v>1466.765259</v>
      </c>
      <c r="Q86" s="53">
        <v>1125.3302000000001</v>
      </c>
      <c r="R86" s="53">
        <v>860.50811799999997</v>
      </c>
      <c r="S86" s="53">
        <v>650.83007799999996</v>
      </c>
      <c r="T86" s="53">
        <v>498.91162100000003</v>
      </c>
      <c r="U86" s="53">
        <v>381.648865</v>
      </c>
      <c r="V86" s="53">
        <v>285.09234600000002</v>
      </c>
      <c r="W86" s="53">
        <v>213.27436800000001</v>
      </c>
      <c r="X86" s="53">
        <v>158.021378</v>
      </c>
      <c r="Y86" s="53">
        <v>116.39091500000001</v>
      </c>
      <c r="Z86" s="53">
        <v>84.350723000000002</v>
      </c>
      <c r="AA86" s="53">
        <v>59.176281000000003</v>
      </c>
      <c r="AB86" s="53">
        <v>41.630459000000002</v>
      </c>
      <c r="AC86" s="53">
        <v>28.334866999999999</v>
      </c>
      <c r="AD86" s="53">
        <v>17.872762999999999</v>
      </c>
      <c r="AE86" s="53">
        <v>11.333947</v>
      </c>
      <c r="AF86" s="53">
        <v>7.1926969999999999</v>
      </c>
    </row>
    <row r="87" spans="1:32" ht="13.5" x14ac:dyDescent="0.35">
      <c r="A87">
        <v>2</v>
      </c>
      <c r="B87" s="53">
        <v>9.9552340000000008</v>
      </c>
      <c r="C87" s="53">
        <v>12860.973633</v>
      </c>
      <c r="D87" s="53">
        <v>11269.248046999999</v>
      </c>
      <c r="E87" s="53">
        <v>9866.6699219999991</v>
      </c>
      <c r="F87" s="53">
        <v>8628.4267579999996</v>
      </c>
      <c r="G87" s="53">
        <v>7482.3959960000002</v>
      </c>
      <c r="H87" s="53">
        <v>6489.3505859999996</v>
      </c>
      <c r="I87" s="53">
        <v>5588.3168949999999</v>
      </c>
      <c r="J87" s="53">
        <v>4755.9907229999999</v>
      </c>
      <c r="K87" s="53">
        <v>4004.6271969999998</v>
      </c>
      <c r="L87" s="53">
        <v>3340.1525879999999</v>
      </c>
      <c r="M87" s="53">
        <v>2735.6464839999999</v>
      </c>
      <c r="N87" s="53">
        <v>2209.491211</v>
      </c>
      <c r="O87" s="53">
        <v>1751.1392820000001</v>
      </c>
      <c r="P87" s="53">
        <v>1362.901245</v>
      </c>
      <c r="Q87" s="53">
        <v>1045.480225</v>
      </c>
      <c r="R87" s="53">
        <v>785.01422100000002</v>
      </c>
      <c r="S87" s="53">
        <v>591.34722899999997</v>
      </c>
      <c r="T87" s="53">
        <v>448.40734900000001</v>
      </c>
      <c r="U87" s="53">
        <v>337.51092499999999</v>
      </c>
      <c r="V87" s="53">
        <v>252.83183299999999</v>
      </c>
      <c r="W87" s="53">
        <v>191.85888700000001</v>
      </c>
      <c r="X87" s="53">
        <v>142.136292</v>
      </c>
      <c r="Y87" s="53">
        <v>106.376205</v>
      </c>
      <c r="Z87" s="53">
        <v>77.848502999999994</v>
      </c>
      <c r="AA87" s="53">
        <v>54.845523999999997</v>
      </c>
      <c r="AB87" s="53">
        <v>37.869529999999997</v>
      </c>
      <c r="AC87" s="53">
        <v>24.911519999999999</v>
      </c>
      <c r="AD87" s="53">
        <v>17.478245000000001</v>
      </c>
      <c r="AE87" s="53">
        <v>10.647665999999999</v>
      </c>
      <c r="AF87" s="53">
        <v>6.7301279999999997</v>
      </c>
    </row>
    <row r="88" spans="1:32" ht="13.5" x14ac:dyDescent="0.35">
      <c r="A88">
        <v>3</v>
      </c>
      <c r="B88" s="53">
        <v>9.8815059999999999</v>
      </c>
      <c r="C88" s="53">
        <v>14234.571289</v>
      </c>
      <c r="D88" s="53">
        <v>12412.885742</v>
      </c>
      <c r="E88" s="53">
        <v>10847.03125</v>
      </c>
      <c r="F88" s="53">
        <v>9437.9335940000001</v>
      </c>
      <c r="G88" s="53">
        <v>8178.9150390000004</v>
      </c>
      <c r="H88" s="53">
        <v>7063.8017579999996</v>
      </c>
      <c r="I88" s="53">
        <v>6058.6918949999999</v>
      </c>
      <c r="J88" s="53">
        <v>5160.6503910000001</v>
      </c>
      <c r="K88" s="53">
        <v>4344.8842770000001</v>
      </c>
      <c r="L88" s="53">
        <v>3602.4873050000001</v>
      </c>
      <c r="M88" s="53">
        <v>2951.6755370000001</v>
      </c>
      <c r="N88" s="53">
        <v>2383.7458499999998</v>
      </c>
      <c r="O88" s="53">
        <v>1875.5238039999999</v>
      </c>
      <c r="P88" s="53">
        <v>1449.880249</v>
      </c>
      <c r="Q88" s="53">
        <v>1107.928345</v>
      </c>
      <c r="R88" s="53">
        <v>836.00616500000001</v>
      </c>
      <c r="S88" s="53">
        <v>638.97143600000004</v>
      </c>
      <c r="T88" s="53">
        <v>490.81588699999998</v>
      </c>
      <c r="U88" s="53">
        <v>370.79367100000002</v>
      </c>
      <c r="V88" s="53">
        <v>274.35089099999999</v>
      </c>
      <c r="W88" s="53">
        <v>201.99350000000001</v>
      </c>
      <c r="X88" s="53">
        <v>149.774734</v>
      </c>
      <c r="Y88" s="53">
        <v>110.205872</v>
      </c>
      <c r="Z88" s="53">
        <v>79.441329999999994</v>
      </c>
      <c r="AA88" s="53">
        <v>56.671523999999998</v>
      </c>
      <c r="AB88" s="53">
        <v>39.771267000000002</v>
      </c>
      <c r="AC88" s="53">
        <v>27.323771000000001</v>
      </c>
      <c r="AD88" s="53">
        <v>17.001456999999998</v>
      </c>
      <c r="AE88" s="53">
        <v>11.030707</v>
      </c>
      <c r="AF88" s="53">
        <v>7.2863389999999999</v>
      </c>
    </row>
    <row r="89" spans="1:32" ht="13.5" x14ac:dyDescent="0.35">
      <c r="A89">
        <v>4</v>
      </c>
      <c r="B89" s="53">
        <v>9.9010990000000003</v>
      </c>
      <c r="C89" s="53">
        <v>13788.266602</v>
      </c>
      <c r="D89" s="53">
        <v>12033.007812</v>
      </c>
      <c r="E89" s="53">
        <v>10526.002930000001</v>
      </c>
      <c r="F89" s="53">
        <v>9153.2265619999998</v>
      </c>
      <c r="G89" s="53">
        <v>7934.5737300000001</v>
      </c>
      <c r="H89" s="53">
        <v>6853.3803710000002</v>
      </c>
      <c r="I89" s="53">
        <v>5904.1928710000002</v>
      </c>
      <c r="J89" s="53">
        <v>5031.1586909999996</v>
      </c>
      <c r="K89" s="53">
        <v>4240.5390619999998</v>
      </c>
      <c r="L89" s="53">
        <v>3531.7290039999998</v>
      </c>
      <c r="M89" s="53">
        <v>2884.5283199999999</v>
      </c>
      <c r="N89" s="53">
        <v>2315.0964359999998</v>
      </c>
      <c r="O89" s="53">
        <v>1835.250732</v>
      </c>
      <c r="P89" s="53">
        <v>1416.408447</v>
      </c>
      <c r="Q89" s="53">
        <v>1074.3251949999999</v>
      </c>
      <c r="R89" s="53">
        <v>828.49389599999995</v>
      </c>
      <c r="S89" s="53">
        <v>632.15203899999995</v>
      </c>
      <c r="T89" s="53">
        <v>480.85571299999998</v>
      </c>
      <c r="U89" s="53">
        <v>362.88900799999999</v>
      </c>
      <c r="V89" s="53">
        <v>278.655914</v>
      </c>
      <c r="W89" s="53">
        <v>207.24970999999999</v>
      </c>
      <c r="X89" s="53">
        <v>155.84127799999999</v>
      </c>
      <c r="Y89" s="53">
        <v>115.441727</v>
      </c>
      <c r="Z89" s="53">
        <v>85.950050000000005</v>
      </c>
      <c r="AA89" s="53">
        <v>62.013317000000001</v>
      </c>
      <c r="AB89" s="53">
        <v>41.207546000000001</v>
      </c>
      <c r="AC89" s="53">
        <v>27.067701</v>
      </c>
      <c r="AD89" s="53">
        <v>17.775804999999998</v>
      </c>
      <c r="AE89" s="53">
        <v>11.412874</v>
      </c>
      <c r="AF89" s="53">
        <v>7.574916</v>
      </c>
    </row>
    <row r="90" spans="1:32" ht="13.5" x14ac:dyDescent="0.35">
      <c r="A90">
        <v>5</v>
      </c>
      <c r="B90" s="53">
        <v>9.88279</v>
      </c>
      <c r="C90" s="53">
        <v>13677.616211</v>
      </c>
      <c r="D90" s="53">
        <v>11935.293944999999</v>
      </c>
      <c r="E90" s="53">
        <v>10454.538086</v>
      </c>
      <c r="F90" s="53">
        <v>9129.0009769999997</v>
      </c>
      <c r="G90" s="53">
        <v>7917.298828</v>
      </c>
      <c r="H90" s="53">
        <v>6851.1020509999998</v>
      </c>
      <c r="I90" s="53">
        <v>5891.8588870000003</v>
      </c>
      <c r="J90" s="53">
        <v>5023.2778319999998</v>
      </c>
      <c r="K90" s="53">
        <v>4219.4565430000002</v>
      </c>
      <c r="L90" s="53">
        <v>3512.4697270000001</v>
      </c>
      <c r="M90" s="53">
        <v>2860.4272460000002</v>
      </c>
      <c r="N90" s="53">
        <v>2305.219482</v>
      </c>
      <c r="O90" s="53">
        <v>1822.865845</v>
      </c>
      <c r="P90" s="53">
        <v>1408.205688</v>
      </c>
      <c r="Q90" s="53">
        <v>1078.8452150000001</v>
      </c>
      <c r="R90" s="53">
        <v>828.20745799999997</v>
      </c>
      <c r="S90" s="53">
        <v>624.621216</v>
      </c>
      <c r="T90" s="53">
        <v>466.265106</v>
      </c>
      <c r="U90" s="53">
        <v>350.10357699999997</v>
      </c>
      <c r="V90" s="53">
        <v>261.56582600000002</v>
      </c>
      <c r="W90" s="53">
        <v>192.86051900000001</v>
      </c>
      <c r="X90" s="53">
        <v>141.76159699999999</v>
      </c>
      <c r="Y90" s="53">
        <v>104.32276899999999</v>
      </c>
      <c r="Z90" s="53">
        <v>72.955108999999993</v>
      </c>
      <c r="AA90" s="53">
        <v>53.729767000000002</v>
      </c>
      <c r="AB90" s="53">
        <v>37.135264999999997</v>
      </c>
      <c r="AC90" s="53">
        <v>23.171595</v>
      </c>
      <c r="AD90" s="53">
        <v>15.987389</v>
      </c>
      <c r="AE90" s="53">
        <v>10.826902</v>
      </c>
      <c r="AF90" s="53">
        <v>6.4759039999999999</v>
      </c>
    </row>
    <row r="91" spans="1:32" ht="13.5" x14ac:dyDescent="0.35">
      <c r="A91">
        <v>1</v>
      </c>
      <c r="B91" s="53">
        <v>9.0699950000000005</v>
      </c>
      <c r="C91" s="53">
        <v>15339.479492</v>
      </c>
      <c r="D91" s="53">
        <v>13298.794921999999</v>
      </c>
      <c r="E91" s="53">
        <v>11565.055664</v>
      </c>
      <c r="F91" s="53">
        <v>10015.110352</v>
      </c>
      <c r="G91" s="53">
        <v>8657.3369139999995</v>
      </c>
      <c r="H91" s="53">
        <v>7468.9125979999999</v>
      </c>
      <c r="I91" s="53">
        <v>6408.2724609999996</v>
      </c>
      <c r="J91" s="53">
        <v>5429.2202150000003</v>
      </c>
      <c r="K91" s="53">
        <v>4560.6420900000003</v>
      </c>
      <c r="L91" s="53">
        <v>3771.7770999999998</v>
      </c>
      <c r="M91" s="53">
        <v>3055.5695799999999</v>
      </c>
      <c r="N91" s="53">
        <v>2430.100586</v>
      </c>
      <c r="O91" s="53">
        <v>1895.9216309999999</v>
      </c>
      <c r="P91" s="53">
        <v>1461.3017580000001</v>
      </c>
      <c r="Q91" s="53">
        <v>1105.7337649999999</v>
      </c>
      <c r="R91" s="53">
        <v>836.71490500000004</v>
      </c>
      <c r="S91" s="53">
        <v>628.66625999999997</v>
      </c>
      <c r="T91" s="53">
        <v>470.34204099999999</v>
      </c>
      <c r="U91" s="53">
        <v>357.77307100000002</v>
      </c>
      <c r="V91" s="53">
        <v>271.66497800000002</v>
      </c>
      <c r="W91" s="53">
        <v>202.53595000000001</v>
      </c>
      <c r="X91" s="53">
        <v>157.33195499999999</v>
      </c>
      <c r="Y91" s="53">
        <v>116.20734400000001</v>
      </c>
      <c r="Z91" s="53">
        <v>87.541397000000003</v>
      </c>
      <c r="AA91" s="53">
        <v>60.860011999999998</v>
      </c>
      <c r="AB91" s="53">
        <v>40.132328000000001</v>
      </c>
      <c r="AC91" s="53">
        <v>27.783918</v>
      </c>
      <c r="AD91" s="53">
        <v>18.853373000000001</v>
      </c>
      <c r="AE91" s="53">
        <v>11.797140000000001</v>
      </c>
      <c r="AF91" s="53">
        <v>7.3869939999999996</v>
      </c>
    </row>
    <row r="92" spans="1:32" ht="13.5" x14ac:dyDescent="0.35">
      <c r="A92">
        <v>2</v>
      </c>
      <c r="B92" s="53">
        <v>9.8278160000000003</v>
      </c>
      <c r="C92" s="53">
        <v>14935.872069999999</v>
      </c>
      <c r="D92" s="53">
        <v>12989.253906</v>
      </c>
      <c r="E92" s="53">
        <v>11358.169921999999</v>
      </c>
      <c r="F92" s="53">
        <v>9886.4287110000005</v>
      </c>
      <c r="G92" s="53">
        <v>8580.6445309999999</v>
      </c>
      <c r="H92" s="53">
        <v>7421.486328</v>
      </c>
      <c r="I92" s="53">
        <v>6355.4301759999998</v>
      </c>
      <c r="J92" s="53">
        <v>5403.3369140000004</v>
      </c>
      <c r="K92" s="53">
        <v>4538.75</v>
      </c>
      <c r="L92" s="53">
        <v>3752.3088379999999</v>
      </c>
      <c r="M92" s="53">
        <v>3043.8095699999999</v>
      </c>
      <c r="N92" s="53">
        <v>2427.4975589999999</v>
      </c>
      <c r="O92" s="53">
        <v>1908.2570800000001</v>
      </c>
      <c r="P92" s="53">
        <v>1462.0745850000001</v>
      </c>
      <c r="Q92" s="53">
        <v>1109.7073969999999</v>
      </c>
      <c r="R92" s="53">
        <v>834.56994599999996</v>
      </c>
      <c r="S92" s="53">
        <v>624.65557899999999</v>
      </c>
      <c r="T92" s="53">
        <v>472.94332900000001</v>
      </c>
      <c r="U92" s="53">
        <v>357.55654900000002</v>
      </c>
      <c r="V92" s="53">
        <v>272.28836100000001</v>
      </c>
      <c r="W92" s="53">
        <v>204.82678200000001</v>
      </c>
      <c r="X92" s="53">
        <v>155.782318</v>
      </c>
      <c r="Y92" s="53">
        <v>115.99728399999999</v>
      </c>
      <c r="Z92" s="53">
        <v>86.082199000000003</v>
      </c>
      <c r="AA92" s="53">
        <v>62.679237000000001</v>
      </c>
      <c r="AB92" s="53">
        <v>44.974387999999998</v>
      </c>
      <c r="AC92" s="53">
        <v>31.543120999999999</v>
      </c>
      <c r="AD92" s="53">
        <v>23.504712999999999</v>
      </c>
      <c r="AE92" s="53">
        <v>16.789082000000001</v>
      </c>
      <c r="AF92" s="53">
        <v>11.803233000000001</v>
      </c>
    </row>
    <row r="93" spans="1:32" ht="13.5" x14ac:dyDescent="0.35">
      <c r="A93">
        <v>3</v>
      </c>
      <c r="B93" s="53">
        <v>9.6626480000000008</v>
      </c>
      <c r="C93" s="53">
        <v>15886.638671999999</v>
      </c>
      <c r="D93" s="53">
        <v>13805.221680000001</v>
      </c>
      <c r="E93" s="53">
        <v>12015.339844</v>
      </c>
      <c r="F93" s="53">
        <v>10425.816406</v>
      </c>
      <c r="G93" s="53">
        <v>9025.0625</v>
      </c>
      <c r="H93" s="53">
        <v>7797.3447269999997</v>
      </c>
      <c r="I93" s="53">
        <v>6682.1225590000004</v>
      </c>
      <c r="J93" s="53">
        <v>5660.1459960000002</v>
      </c>
      <c r="K93" s="53">
        <v>4727.2753910000001</v>
      </c>
      <c r="L93" s="53">
        <v>3894.3774410000001</v>
      </c>
      <c r="M93" s="53">
        <v>3142.5131839999999</v>
      </c>
      <c r="N93" s="53">
        <v>2497.451904</v>
      </c>
      <c r="O93" s="53">
        <v>1951.224976</v>
      </c>
      <c r="P93" s="53">
        <v>1502.6936040000001</v>
      </c>
      <c r="Q93" s="53">
        <v>1133.3332519999999</v>
      </c>
      <c r="R93" s="53">
        <v>856.49395800000002</v>
      </c>
      <c r="S93" s="53">
        <v>645.26824999999997</v>
      </c>
      <c r="T93" s="53">
        <v>487.03005999999999</v>
      </c>
      <c r="U93" s="53">
        <v>363.56494099999998</v>
      </c>
      <c r="V93" s="53">
        <v>270.73324600000001</v>
      </c>
      <c r="W93" s="53">
        <v>205.11975100000001</v>
      </c>
      <c r="X93" s="53">
        <v>149.33793600000001</v>
      </c>
      <c r="Y93" s="53">
        <v>108.458878</v>
      </c>
      <c r="Z93" s="53">
        <v>77.101012999999995</v>
      </c>
      <c r="AA93" s="53">
        <v>56.092284999999997</v>
      </c>
      <c r="AB93" s="53">
        <v>40.154625000000003</v>
      </c>
      <c r="AC93" s="53">
        <v>28.460106</v>
      </c>
      <c r="AD93" s="53">
        <v>20.284293999999999</v>
      </c>
      <c r="AE93" s="53">
        <v>13.246886</v>
      </c>
      <c r="AF93" s="53">
        <v>7.4513740000000004</v>
      </c>
    </row>
    <row r="94" spans="1:32" ht="13.5" x14ac:dyDescent="0.35">
      <c r="A94">
        <v>4</v>
      </c>
      <c r="B94" s="53">
        <v>9.7838670000000008</v>
      </c>
      <c r="C94" s="53">
        <v>15922.333984000001</v>
      </c>
      <c r="D94" s="53">
        <v>13851.374023</v>
      </c>
      <c r="E94" s="53">
        <v>12044.113281</v>
      </c>
      <c r="F94" s="53">
        <v>10443.416992</v>
      </c>
      <c r="G94" s="53">
        <v>9028.1279300000006</v>
      </c>
      <c r="H94" s="53">
        <v>7771.6713870000003</v>
      </c>
      <c r="I94" s="53">
        <v>6636.9462890000004</v>
      </c>
      <c r="J94" s="53">
        <v>5610.3583980000003</v>
      </c>
      <c r="K94" s="53">
        <v>4691.4990230000003</v>
      </c>
      <c r="L94" s="53">
        <v>3883.7404790000001</v>
      </c>
      <c r="M94" s="53">
        <v>3146.7109380000002</v>
      </c>
      <c r="N94" s="53">
        <v>2500.0339359999998</v>
      </c>
      <c r="O94" s="53">
        <v>1966.502686</v>
      </c>
      <c r="P94" s="53">
        <v>1511.161255</v>
      </c>
      <c r="Q94" s="53">
        <v>1139.1201169999999</v>
      </c>
      <c r="R94" s="53">
        <v>861.82690400000001</v>
      </c>
      <c r="S94" s="53">
        <v>645.45031700000004</v>
      </c>
      <c r="T94" s="53">
        <v>492.64773600000001</v>
      </c>
      <c r="U94" s="53">
        <v>371.32556199999999</v>
      </c>
      <c r="V94" s="53">
        <v>278.21310399999999</v>
      </c>
      <c r="W94" s="53">
        <v>213.51475500000001</v>
      </c>
      <c r="X94" s="53">
        <v>163.125687</v>
      </c>
      <c r="Y94" s="53">
        <v>117.438232</v>
      </c>
      <c r="Z94" s="53">
        <v>89.024108999999996</v>
      </c>
      <c r="AA94" s="53">
        <v>64.289512999999999</v>
      </c>
      <c r="AB94" s="53">
        <v>43.949902000000002</v>
      </c>
      <c r="AC94" s="53">
        <v>30.356096000000001</v>
      </c>
      <c r="AD94" s="53">
        <v>21.463905</v>
      </c>
      <c r="AE94" s="53">
        <v>14.513688999999999</v>
      </c>
      <c r="AF94" s="53">
        <v>8.2789350000000006</v>
      </c>
    </row>
    <row r="95" spans="1:32" ht="13.5" x14ac:dyDescent="0.35">
      <c r="A95">
        <v>5</v>
      </c>
      <c r="B95" s="53">
        <v>9.7660389999999992</v>
      </c>
      <c r="C95" s="53">
        <v>14797.708984000001</v>
      </c>
      <c r="D95" s="53">
        <v>12902.160156</v>
      </c>
      <c r="E95" s="53">
        <v>11246.525390999999</v>
      </c>
      <c r="F95" s="53">
        <v>9748.4765619999998</v>
      </c>
      <c r="G95" s="53">
        <v>8444.6728519999997</v>
      </c>
      <c r="H95" s="53">
        <v>7281.1503910000001</v>
      </c>
      <c r="I95" s="53">
        <v>6245.5209960000002</v>
      </c>
      <c r="J95" s="53">
        <v>5273.6835940000001</v>
      </c>
      <c r="K95" s="53">
        <v>4417.7583009999998</v>
      </c>
      <c r="L95" s="53">
        <v>3648.9716800000001</v>
      </c>
      <c r="M95" s="53">
        <v>2952.7836910000001</v>
      </c>
      <c r="N95" s="53">
        <v>2351.6186520000001</v>
      </c>
      <c r="O95" s="53">
        <v>1837.6949460000001</v>
      </c>
      <c r="P95" s="53">
        <v>1403.3325199999999</v>
      </c>
      <c r="Q95" s="53">
        <v>1065.734009</v>
      </c>
      <c r="R95" s="53">
        <v>804.11309800000004</v>
      </c>
      <c r="S95" s="53">
        <v>601.77929700000004</v>
      </c>
      <c r="T95" s="53">
        <v>455.04632600000002</v>
      </c>
      <c r="U95" s="53">
        <v>342.30868500000003</v>
      </c>
      <c r="V95" s="53">
        <v>258.24185199999999</v>
      </c>
      <c r="W95" s="53">
        <v>190.25112899999999</v>
      </c>
      <c r="X95" s="53">
        <v>142.329971</v>
      </c>
      <c r="Y95" s="53">
        <v>100.14295199999999</v>
      </c>
      <c r="Z95" s="53">
        <v>71.676963999999998</v>
      </c>
      <c r="AA95" s="53">
        <v>49.969082</v>
      </c>
      <c r="AB95" s="53">
        <v>34.404941999999998</v>
      </c>
      <c r="AC95" s="53">
        <v>23.039024000000001</v>
      </c>
      <c r="AD95" s="53">
        <v>14.847371000000001</v>
      </c>
      <c r="AE95" s="53">
        <v>9.3180049999999994</v>
      </c>
      <c r="AF95" s="53">
        <v>5.9389479999999999</v>
      </c>
    </row>
    <row r="96" spans="1:32" ht="13.5" x14ac:dyDescent="0.35">
      <c r="A96">
        <v>1</v>
      </c>
      <c r="B96" s="53">
        <v>9.045318</v>
      </c>
      <c r="C96" s="53">
        <v>15891.647461</v>
      </c>
      <c r="D96" s="53">
        <v>13821.183594</v>
      </c>
      <c r="E96" s="53">
        <v>12019.920898</v>
      </c>
      <c r="F96" s="53">
        <v>10432.027344</v>
      </c>
      <c r="G96" s="53">
        <v>9033.734375</v>
      </c>
      <c r="H96" s="53">
        <v>7777.9467770000001</v>
      </c>
      <c r="I96" s="53">
        <v>6693.8500979999999</v>
      </c>
      <c r="J96" s="53">
        <v>5686.9204099999997</v>
      </c>
      <c r="K96" s="53">
        <v>4759.2578119999998</v>
      </c>
      <c r="L96" s="53">
        <v>3926.2302249999998</v>
      </c>
      <c r="M96" s="53">
        <v>3192.0383299999999</v>
      </c>
      <c r="N96" s="53">
        <v>2548.2797850000002</v>
      </c>
      <c r="O96" s="53">
        <v>1996.7236330000001</v>
      </c>
      <c r="P96" s="53">
        <v>1531.621216</v>
      </c>
      <c r="Q96" s="53">
        <v>1165.35437</v>
      </c>
      <c r="R96" s="53">
        <v>881.11883499999999</v>
      </c>
      <c r="S96" s="53">
        <v>672.72375499999998</v>
      </c>
      <c r="T96" s="53">
        <v>507.33431999999999</v>
      </c>
      <c r="U96" s="53">
        <v>384.61889600000001</v>
      </c>
      <c r="V96" s="53">
        <v>290.09484900000001</v>
      </c>
      <c r="W96" s="53">
        <v>217.792236</v>
      </c>
      <c r="X96" s="53">
        <v>163.73112499999999</v>
      </c>
      <c r="Y96" s="53">
        <v>122.383759</v>
      </c>
      <c r="Z96" s="53">
        <v>87.448562999999993</v>
      </c>
      <c r="AA96" s="53">
        <v>60.583832000000001</v>
      </c>
      <c r="AB96" s="53">
        <v>43.779555999999999</v>
      </c>
      <c r="AC96" s="53">
        <v>32.392448000000002</v>
      </c>
      <c r="AD96" s="53">
        <v>20.452570000000001</v>
      </c>
      <c r="AE96" s="53">
        <v>12.492651</v>
      </c>
      <c r="AF96" s="53">
        <v>8.4021369999999997</v>
      </c>
    </row>
    <row r="97" spans="1:32" ht="13.5" x14ac:dyDescent="0.35">
      <c r="A97">
        <v>2</v>
      </c>
      <c r="B97" s="53">
        <v>9.7598950000000002</v>
      </c>
      <c r="C97" s="53">
        <v>15092.375</v>
      </c>
      <c r="D97" s="53">
        <v>13170.018555000001</v>
      </c>
      <c r="E97" s="53">
        <v>11503.197265999999</v>
      </c>
      <c r="F97" s="53">
        <v>10012.915039</v>
      </c>
      <c r="G97" s="53">
        <v>8675.6054690000001</v>
      </c>
      <c r="H97" s="53">
        <v>7487.8876950000003</v>
      </c>
      <c r="I97" s="53">
        <v>6428.6547849999997</v>
      </c>
      <c r="J97" s="53">
        <v>5450.6733400000003</v>
      </c>
      <c r="K97" s="53">
        <v>4580.5820309999999</v>
      </c>
      <c r="L97" s="53">
        <v>3790.921875</v>
      </c>
      <c r="M97" s="53">
        <v>3075.955078</v>
      </c>
      <c r="N97" s="53">
        <v>2445.5180660000001</v>
      </c>
      <c r="O97" s="53">
        <v>1918.4632570000001</v>
      </c>
      <c r="P97" s="53">
        <v>1479.2166749999999</v>
      </c>
      <c r="Q97" s="53">
        <v>1125.2170410000001</v>
      </c>
      <c r="R97" s="53">
        <v>849.29187000000002</v>
      </c>
      <c r="S97" s="53">
        <v>633.81829800000003</v>
      </c>
      <c r="T97" s="53">
        <v>483.919128</v>
      </c>
      <c r="U97" s="53">
        <v>371.41790800000001</v>
      </c>
      <c r="V97" s="53">
        <v>280.63824499999998</v>
      </c>
      <c r="W97" s="53">
        <v>207.891571</v>
      </c>
      <c r="X97" s="53">
        <v>153.17787200000001</v>
      </c>
      <c r="Y97" s="53">
        <v>114.03810900000001</v>
      </c>
      <c r="Z97" s="53">
        <v>81.865630999999993</v>
      </c>
      <c r="AA97" s="53">
        <v>57.787506</v>
      </c>
      <c r="AB97" s="53">
        <v>39.652065</v>
      </c>
      <c r="AC97" s="53">
        <v>27.869152</v>
      </c>
      <c r="AD97" s="53">
        <v>17.828060000000001</v>
      </c>
      <c r="AE97" s="53">
        <v>11.782913000000001</v>
      </c>
      <c r="AF97" s="53">
        <v>7.5820480000000003</v>
      </c>
    </row>
    <row r="98" spans="1:32" ht="13.5" x14ac:dyDescent="0.35">
      <c r="A98">
        <v>3</v>
      </c>
      <c r="B98" s="53">
        <v>9.8320340000000002</v>
      </c>
      <c r="C98" s="53">
        <v>15371.793944999999</v>
      </c>
      <c r="D98" s="53">
        <v>13428.350586</v>
      </c>
      <c r="E98" s="53">
        <v>11750.875</v>
      </c>
      <c r="F98" s="53">
        <v>10237.962890999999</v>
      </c>
      <c r="G98" s="53">
        <v>8870.3925780000009</v>
      </c>
      <c r="H98" s="53">
        <v>7678.0654299999997</v>
      </c>
      <c r="I98" s="53">
        <v>6619.7900390000004</v>
      </c>
      <c r="J98" s="53">
        <v>5605.2490230000003</v>
      </c>
      <c r="K98" s="53">
        <v>4694.3491210000002</v>
      </c>
      <c r="L98" s="53">
        <v>3868.4772950000001</v>
      </c>
      <c r="M98" s="53">
        <v>3151.5351559999999</v>
      </c>
      <c r="N98" s="53">
        <v>2524.1979980000001</v>
      </c>
      <c r="O98" s="53">
        <v>1977.9223629999999</v>
      </c>
      <c r="P98" s="53">
        <v>1527.5577390000001</v>
      </c>
      <c r="Q98" s="53">
        <v>1161.509399</v>
      </c>
      <c r="R98" s="53">
        <v>880.59094200000004</v>
      </c>
      <c r="S98" s="53">
        <v>660.90087900000003</v>
      </c>
      <c r="T98" s="53">
        <v>507.52468900000002</v>
      </c>
      <c r="U98" s="53">
        <v>383.338776</v>
      </c>
      <c r="V98" s="53">
        <v>289.97052000000002</v>
      </c>
      <c r="W98" s="53">
        <v>216.53707900000001</v>
      </c>
      <c r="X98" s="53">
        <v>162.123108</v>
      </c>
      <c r="Y98" s="53">
        <v>120.21927599999999</v>
      </c>
      <c r="Z98" s="53">
        <v>86.757225000000005</v>
      </c>
      <c r="AA98" s="53">
        <v>60.923305999999997</v>
      </c>
      <c r="AB98" s="53">
        <v>41.903843000000002</v>
      </c>
      <c r="AC98" s="53">
        <v>27.868089999999999</v>
      </c>
      <c r="AD98" s="53">
        <v>20.138254</v>
      </c>
      <c r="AE98" s="53">
        <v>14.340878</v>
      </c>
      <c r="AF98" s="53">
        <v>9.86571</v>
      </c>
    </row>
    <row r="99" spans="1:32" ht="13.5" x14ac:dyDescent="0.35">
      <c r="A99">
        <v>4</v>
      </c>
      <c r="B99" s="53">
        <v>9.6718329999999995</v>
      </c>
      <c r="C99" s="53">
        <v>15648.740234000001</v>
      </c>
      <c r="D99" s="53">
        <v>13642.501953000001</v>
      </c>
      <c r="E99" s="53">
        <v>11892.264648</v>
      </c>
      <c r="F99" s="53">
        <v>10337.647461</v>
      </c>
      <c r="G99" s="53">
        <v>8956.5234380000002</v>
      </c>
      <c r="H99" s="53">
        <v>7722.6313479999999</v>
      </c>
      <c r="I99" s="53">
        <v>6621.5991210000002</v>
      </c>
      <c r="J99" s="53">
        <v>5620.1342770000001</v>
      </c>
      <c r="K99" s="53">
        <v>4713.0673829999996</v>
      </c>
      <c r="L99" s="53">
        <v>3907.0153810000002</v>
      </c>
      <c r="M99" s="53">
        <v>3168.6857909999999</v>
      </c>
      <c r="N99" s="53">
        <v>2529.5102539999998</v>
      </c>
      <c r="O99" s="53">
        <v>1980.079712</v>
      </c>
      <c r="P99" s="53">
        <v>1518.0162350000001</v>
      </c>
      <c r="Q99" s="53">
        <v>1150.9710689999999</v>
      </c>
      <c r="R99" s="53">
        <v>870.67260699999997</v>
      </c>
      <c r="S99" s="53">
        <v>651.78955099999996</v>
      </c>
      <c r="T99" s="53">
        <v>485.430206</v>
      </c>
      <c r="U99" s="53">
        <v>363.323059</v>
      </c>
      <c r="V99" s="53">
        <v>272.027039</v>
      </c>
      <c r="W99" s="53">
        <v>203.68424999999999</v>
      </c>
      <c r="X99" s="53">
        <v>151.26397700000001</v>
      </c>
      <c r="Y99" s="53">
        <v>106.908379</v>
      </c>
      <c r="Z99" s="53">
        <v>78.061729</v>
      </c>
      <c r="AA99" s="53">
        <v>56.555981000000003</v>
      </c>
      <c r="AB99" s="53">
        <v>40.013095999999997</v>
      </c>
      <c r="AC99" s="53">
        <v>26.675398000000001</v>
      </c>
      <c r="AD99" s="53">
        <v>17.7836</v>
      </c>
      <c r="AE99" s="53">
        <v>10.95966</v>
      </c>
      <c r="AF99" s="53">
        <v>7.2375109999999996</v>
      </c>
    </row>
    <row r="100" spans="1:32" ht="13.5" x14ac:dyDescent="0.35">
      <c r="A100">
        <v>0</v>
      </c>
      <c r="B100" s="53">
        <v>8.9313339999999997</v>
      </c>
      <c r="C100" s="53">
        <v>14286.21875</v>
      </c>
      <c r="D100" s="53">
        <v>12427.146484000001</v>
      </c>
      <c r="E100" s="53">
        <v>10793.907227</v>
      </c>
      <c r="F100" s="53">
        <v>9380.4570309999999</v>
      </c>
      <c r="G100" s="53">
        <v>8094.1992190000001</v>
      </c>
      <c r="H100" s="53">
        <v>6957.3027339999999</v>
      </c>
      <c r="I100" s="53">
        <v>5929.6850590000004</v>
      </c>
      <c r="J100" s="53">
        <v>4987.4965819999998</v>
      </c>
      <c r="K100" s="53">
        <v>4144.2856449999999</v>
      </c>
      <c r="L100" s="53">
        <v>3388.5192870000001</v>
      </c>
      <c r="M100" s="53">
        <v>2732.0664059999999</v>
      </c>
      <c r="N100" s="53">
        <v>2149.95874</v>
      </c>
      <c r="O100" s="53">
        <v>1657.087158</v>
      </c>
      <c r="P100" s="53">
        <v>1242.031616</v>
      </c>
      <c r="Q100" s="53">
        <v>926.28936799999997</v>
      </c>
      <c r="R100" s="53">
        <v>680.97326699999996</v>
      </c>
      <c r="S100" s="53">
        <v>494.32702599999999</v>
      </c>
      <c r="T100" s="53">
        <v>360.75234999999998</v>
      </c>
      <c r="U100" s="53">
        <v>258.527985</v>
      </c>
      <c r="V100" s="53">
        <v>189.44537399999999</v>
      </c>
      <c r="W100" s="53">
        <v>134.35841400000001</v>
      </c>
      <c r="X100" s="53">
        <v>95.730377000000004</v>
      </c>
      <c r="Y100" s="53">
        <v>67.067245</v>
      </c>
      <c r="Z100" s="53">
        <v>45.345965999999997</v>
      </c>
      <c r="AA100" s="53">
        <v>28.775095</v>
      </c>
      <c r="AB100" s="53">
        <v>17.802489999999999</v>
      </c>
      <c r="AC100" s="53">
        <v>10.860639000000001</v>
      </c>
      <c r="AD100" s="53">
        <v>7.2777479999999999</v>
      </c>
      <c r="AE100" s="53">
        <v>5.262372</v>
      </c>
      <c r="AF100" s="53">
        <v>3.0230640000000002</v>
      </c>
    </row>
    <row r="101" spans="1:32" x14ac:dyDescent="0.35">
      <c r="B101">
        <v>9.4074550000000006</v>
      </c>
      <c r="C101">
        <v>11308.371094</v>
      </c>
      <c r="D101">
        <v>9871.9570309999999</v>
      </c>
      <c r="E101">
        <v>8621.2470699999994</v>
      </c>
      <c r="F101">
        <v>7490.6547849999997</v>
      </c>
      <c r="G101">
        <v>6521.4233400000003</v>
      </c>
      <c r="H101">
        <v>5642.8647460000002</v>
      </c>
      <c r="I101">
        <v>4847.5380859999996</v>
      </c>
      <c r="J101">
        <v>4126.6206050000001</v>
      </c>
      <c r="K101">
        <v>3467.3562010000001</v>
      </c>
      <c r="L101">
        <v>2871.2333979999999</v>
      </c>
      <c r="M101">
        <v>2343.5668949999999</v>
      </c>
      <c r="N101">
        <v>1886.1635739999999</v>
      </c>
      <c r="O101">
        <v>1488.8192140000001</v>
      </c>
      <c r="P101">
        <v>1156.5295410000001</v>
      </c>
      <c r="Q101">
        <v>885.68054199999995</v>
      </c>
      <c r="R101">
        <v>676.272156</v>
      </c>
      <c r="S101">
        <v>513.95404099999996</v>
      </c>
      <c r="T101">
        <v>389.90353399999998</v>
      </c>
      <c r="U101">
        <v>303.37640399999998</v>
      </c>
      <c r="V101">
        <v>234.17596399999999</v>
      </c>
      <c r="W101">
        <v>181.87702899999999</v>
      </c>
      <c r="X101">
        <v>141.27093500000001</v>
      </c>
      <c r="Y101">
        <v>104.491592</v>
      </c>
      <c r="Z101">
        <v>75.897246999999993</v>
      </c>
      <c r="AA101">
        <v>56.869788999999997</v>
      </c>
      <c r="AB101">
        <v>39.436805999999997</v>
      </c>
      <c r="AC101">
        <v>26.680965</v>
      </c>
      <c r="AD101">
        <v>17.964476000000001</v>
      </c>
      <c r="AE101">
        <v>12.118048999999999</v>
      </c>
      <c r="AF101">
        <v>7.6535039999999999</v>
      </c>
    </row>
    <row r="102" spans="1:32" x14ac:dyDescent="0.35">
      <c r="B102">
        <v>10.178953999999999</v>
      </c>
      <c r="C102">
        <v>11747.572265999999</v>
      </c>
      <c r="D102">
        <v>10248.007812</v>
      </c>
      <c r="E102">
        <v>8934.8076170000004</v>
      </c>
      <c r="F102">
        <v>7784.4931640000004</v>
      </c>
      <c r="G102">
        <v>6752.0688479999999</v>
      </c>
      <c r="H102">
        <v>5853.1552730000003</v>
      </c>
      <c r="I102">
        <v>5023.9936520000001</v>
      </c>
      <c r="J102">
        <v>4259.4750979999999</v>
      </c>
      <c r="K102">
        <v>3590.938721</v>
      </c>
      <c r="L102">
        <v>2975.158203</v>
      </c>
      <c r="M102">
        <v>2421.6633299999999</v>
      </c>
      <c r="N102">
        <v>1927.7030030000001</v>
      </c>
      <c r="O102">
        <v>1504.7714840000001</v>
      </c>
      <c r="P102">
        <v>1159.0582280000001</v>
      </c>
      <c r="Q102">
        <v>897.34167500000001</v>
      </c>
      <c r="R102">
        <v>681.209473</v>
      </c>
      <c r="S102">
        <v>521.46813999999995</v>
      </c>
      <c r="T102">
        <v>400.82702599999999</v>
      </c>
      <c r="U102">
        <v>315.55304000000001</v>
      </c>
      <c r="V102">
        <v>242.166336</v>
      </c>
      <c r="W102">
        <v>184.89129600000001</v>
      </c>
      <c r="X102">
        <v>141.27188100000001</v>
      </c>
      <c r="Y102">
        <v>106.199516</v>
      </c>
      <c r="Z102">
        <v>79.772437999999994</v>
      </c>
      <c r="AA102">
        <v>59.043396000000001</v>
      </c>
      <c r="AB102">
        <v>45.093040000000002</v>
      </c>
      <c r="AC102">
        <v>32.223351000000001</v>
      </c>
      <c r="AD102">
        <v>23.578060000000001</v>
      </c>
      <c r="AE102">
        <v>16.209917000000001</v>
      </c>
      <c r="AF102">
        <v>12.083755999999999</v>
      </c>
    </row>
    <row r="103" spans="1:32" x14ac:dyDescent="0.35">
      <c r="B103">
        <v>10.128242999999999</v>
      </c>
      <c r="C103">
        <v>11756.333008</v>
      </c>
      <c r="D103">
        <v>10229.118164</v>
      </c>
      <c r="E103">
        <v>8912.1083980000003</v>
      </c>
      <c r="F103">
        <v>7751.689453</v>
      </c>
      <c r="G103">
        <v>6729.0048829999996</v>
      </c>
      <c r="H103">
        <v>5831.0209960000002</v>
      </c>
      <c r="I103">
        <v>5019.5278319999998</v>
      </c>
      <c r="J103">
        <v>4266.2875979999999</v>
      </c>
      <c r="K103">
        <v>3599.8344729999999</v>
      </c>
      <c r="L103">
        <v>2987.586182</v>
      </c>
      <c r="M103">
        <v>2430.530029</v>
      </c>
      <c r="N103">
        <v>1929.1597899999999</v>
      </c>
      <c r="O103">
        <v>1502.8272710000001</v>
      </c>
      <c r="P103">
        <v>1158.246216</v>
      </c>
      <c r="Q103">
        <v>884.45739700000001</v>
      </c>
      <c r="R103">
        <v>674.25317399999994</v>
      </c>
      <c r="S103">
        <v>507.88668799999999</v>
      </c>
      <c r="T103">
        <v>386.24664300000001</v>
      </c>
      <c r="U103">
        <v>297.87988300000001</v>
      </c>
      <c r="V103">
        <v>228.47001599999999</v>
      </c>
      <c r="W103">
        <v>170.315811</v>
      </c>
      <c r="X103">
        <v>128.057739</v>
      </c>
      <c r="Y103">
        <v>95.080650000000006</v>
      </c>
      <c r="Z103">
        <v>71.68074</v>
      </c>
      <c r="AA103">
        <v>53.809921000000003</v>
      </c>
      <c r="AB103">
        <v>40.678325999999998</v>
      </c>
      <c r="AC103">
        <v>29.126472</v>
      </c>
      <c r="AD103">
        <v>20.042963</v>
      </c>
      <c r="AE103">
        <v>14.908804</v>
      </c>
      <c r="AF103">
        <v>9.9721150000000005</v>
      </c>
    </row>
    <row r="104" spans="1:32" x14ac:dyDescent="0.35">
      <c r="B104">
        <v>10.183923999999999</v>
      </c>
      <c r="C104">
        <v>11884.711914</v>
      </c>
      <c r="D104">
        <v>10345.128906</v>
      </c>
      <c r="E104">
        <v>9038.9521480000003</v>
      </c>
      <c r="F104">
        <v>7887.5297849999997</v>
      </c>
      <c r="G104">
        <v>6849.3247069999998</v>
      </c>
      <c r="H104">
        <v>5943.6816410000001</v>
      </c>
      <c r="I104">
        <v>5111.7822269999997</v>
      </c>
      <c r="J104">
        <v>4358.732422</v>
      </c>
      <c r="K104">
        <v>3659.1003420000002</v>
      </c>
      <c r="L104">
        <v>3031.3464359999998</v>
      </c>
      <c r="M104">
        <v>2468.3020019999999</v>
      </c>
      <c r="N104">
        <v>1973.2080080000001</v>
      </c>
      <c r="O104">
        <v>1538.20874</v>
      </c>
      <c r="P104">
        <v>1187.6561280000001</v>
      </c>
      <c r="Q104">
        <v>900.83154300000001</v>
      </c>
      <c r="R104">
        <v>681.85900900000001</v>
      </c>
      <c r="S104">
        <v>515.518372</v>
      </c>
      <c r="T104">
        <v>392.97232100000002</v>
      </c>
      <c r="U104">
        <v>296.93859900000001</v>
      </c>
      <c r="V104">
        <v>232.13056900000001</v>
      </c>
      <c r="W104">
        <v>179.400406</v>
      </c>
      <c r="X104">
        <v>135.114914</v>
      </c>
      <c r="Y104">
        <v>102.121742</v>
      </c>
      <c r="Z104">
        <v>76.002144000000001</v>
      </c>
      <c r="AA104">
        <v>53.515720000000002</v>
      </c>
      <c r="AB104">
        <v>39.179397999999999</v>
      </c>
      <c r="AC104">
        <v>27.985285000000001</v>
      </c>
      <c r="AD104">
        <v>18.853245000000001</v>
      </c>
      <c r="AE104">
        <v>12.961605</v>
      </c>
      <c r="AF104">
        <v>8.3464880000000008</v>
      </c>
    </row>
    <row r="105" spans="1:32" x14ac:dyDescent="0.35">
      <c r="B105">
        <v>10.246387</v>
      </c>
      <c r="C105">
        <v>11761.122069999999</v>
      </c>
      <c r="D105">
        <v>10246.929688</v>
      </c>
      <c r="E105">
        <v>8926.8544920000004</v>
      </c>
      <c r="F105">
        <v>7776.9853519999997</v>
      </c>
      <c r="G105">
        <v>6745.6953119999998</v>
      </c>
      <c r="H105">
        <v>5848.1103519999997</v>
      </c>
      <c r="I105">
        <v>5031.3344729999999</v>
      </c>
      <c r="J105">
        <v>4284.4370120000003</v>
      </c>
      <c r="K105">
        <v>3596.1945799999999</v>
      </c>
      <c r="L105">
        <v>2977.9279790000001</v>
      </c>
      <c r="M105">
        <v>2410.8010250000002</v>
      </c>
      <c r="N105">
        <v>1921.9458010000001</v>
      </c>
      <c r="O105">
        <v>1494.5756839999999</v>
      </c>
      <c r="P105">
        <v>1157.871582</v>
      </c>
      <c r="Q105">
        <v>885.09252900000001</v>
      </c>
      <c r="R105">
        <v>673.31054700000004</v>
      </c>
      <c r="S105">
        <v>509.74066199999999</v>
      </c>
      <c r="T105">
        <v>386.282532</v>
      </c>
      <c r="U105">
        <v>293.37170400000002</v>
      </c>
      <c r="V105">
        <v>225.44532799999999</v>
      </c>
      <c r="W105">
        <v>171.377487</v>
      </c>
      <c r="X105">
        <v>126.48361199999999</v>
      </c>
      <c r="Y105">
        <v>94.179542999999995</v>
      </c>
      <c r="Z105">
        <v>68.023978999999997</v>
      </c>
      <c r="AA105">
        <v>49.285666999999997</v>
      </c>
      <c r="AB105">
        <v>36.403075999999999</v>
      </c>
      <c r="AC105">
        <v>25.179608999999999</v>
      </c>
      <c r="AD105">
        <v>17.469574000000001</v>
      </c>
      <c r="AE105">
        <v>11.516254999999999</v>
      </c>
      <c r="AF105">
        <v>7.6124400000000003</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F33" sqref="F3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2" t="s">
        <v>107</v>
      </c>
      <c r="O2" s="32"/>
    </row>
    <row r="3" spans="1:49" ht="13.15" x14ac:dyDescent="0.4">
      <c r="A3" t="str">
        <f>'6 - B1'!$A$3</f>
        <v>Serial #</v>
      </c>
      <c r="B3" s="29" t="str">
        <f>'6 - B1'!$B$3</f>
        <v>11171-00001</v>
      </c>
    </row>
    <row r="4" spans="1:49" ht="19.149999999999999" customHeight="1" x14ac:dyDescent="1.05">
      <c r="A4" s="30" t="str">
        <f>'6 - B1'!$A$4</f>
        <v>Date</v>
      </c>
      <c r="B4" s="31">
        <f>'6 - B1'!$B$4</f>
        <v>46013</v>
      </c>
      <c r="O4" s="32"/>
    </row>
    <row r="5" spans="1:49" ht="13.15" x14ac:dyDescent="0.4">
      <c r="A5" s="30" t="str">
        <f>'6 - B1'!$A$5</f>
        <v>RM</v>
      </c>
      <c r="B5" s="54" t="str">
        <f>'6 - B1'!$B$5</f>
        <v>SRM2806d</v>
      </c>
      <c r="O5" s="33"/>
    </row>
    <row r="6" spans="1:49" ht="13.15" x14ac:dyDescent="0.4">
      <c r="B6" s="30"/>
      <c r="C6" s="30"/>
      <c r="D6" s="30"/>
      <c r="E6" s="30"/>
      <c r="F6" s="30"/>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9" t="s">
        <v>51</v>
      </c>
      <c r="P7" s="89" t="s">
        <v>52</v>
      </c>
      <c r="Q7" s="89" t="s">
        <v>53</v>
      </c>
      <c r="R7" s="89" t="s">
        <v>54</v>
      </c>
      <c r="S7" s="89" t="s">
        <v>55</v>
      </c>
    </row>
    <row r="8" spans="1:49" ht="13.15" x14ac:dyDescent="0.4">
      <c r="A8" s="11" t="s">
        <v>63</v>
      </c>
      <c r="B8" s="34">
        <f>G52</f>
        <v>9.0699950000000005</v>
      </c>
      <c r="C8" s="34">
        <f t="shared" ref="C8:F8" si="0">H52</f>
        <v>9.8278160000000003</v>
      </c>
      <c r="D8" s="34">
        <f t="shared" si="0"/>
        <v>9.6626480000000008</v>
      </c>
      <c r="E8" s="34">
        <f t="shared" si="0"/>
        <v>9.7838670000000008</v>
      </c>
      <c r="F8" s="34">
        <f t="shared" si="0"/>
        <v>9.7660389999999992</v>
      </c>
      <c r="G8" s="35">
        <f>AVERAGE(B$8:F$8)*5</f>
        <v>48.110365000000002</v>
      </c>
      <c r="I8" s="36"/>
      <c r="K8" s="36"/>
      <c r="O8" s="90"/>
      <c r="P8" s="90"/>
      <c r="Q8" s="90"/>
      <c r="R8" s="90"/>
      <c r="S8" s="90"/>
    </row>
    <row r="9" spans="1:49" ht="13.15" x14ac:dyDescent="0.4">
      <c r="A9" s="11" t="s">
        <v>64</v>
      </c>
      <c r="B9" s="34">
        <f t="shared" ref="B9:F9" si="1">G53</f>
        <v>15339.479492</v>
      </c>
      <c r="C9" s="34">
        <f t="shared" si="1"/>
        <v>14935.872069999999</v>
      </c>
      <c r="D9" s="34">
        <f t="shared" si="1"/>
        <v>15886.638671999999</v>
      </c>
      <c r="E9" s="34">
        <f t="shared" si="1"/>
        <v>15922.333984000001</v>
      </c>
      <c r="F9" s="34">
        <f t="shared" si="1"/>
        <v>14797.708984000001</v>
      </c>
      <c r="G9" s="37">
        <f t="shared" ref="G9:G38" si="2">AVERAGE(B9:F9)</f>
        <v>15376.406640399999</v>
      </c>
      <c r="H9" s="38">
        <f t="shared" ref="H9:H38" si="3">G9*G$8</f>
        <v>739764.53585806768</v>
      </c>
      <c r="I9" s="36">
        <f t="shared" ref="I9:I38" si="4">STDEVP(B9:F9)/AVERAGE(B9:F9)</f>
        <v>3.034687615344895E-2</v>
      </c>
      <c r="J9" s="36">
        <f t="shared" ref="J9:J38" si="5">IF(H9&gt;$A$43, $C$43, IF(H9&gt;$A$44, $C$44, IF(H9&gt;$A$45,$C$45,IF(H9&gt;$A$46,$C$46, IF(H9&gt;$A$47,$C$47,IF(H9&gt;$A$48,$C$48,$C$49))))))/100</f>
        <v>0.11</v>
      </c>
      <c r="K9" s="36">
        <f t="shared" ref="K9:K38" si="6">(MAX(B9:F9)-MIN(B9:F9))/G9</f>
        <v>7.3139650004127643E-2</v>
      </c>
      <c r="L9" s="16">
        <f>G9/'Clause 6'!$H$11</f>
        <v>15376.406640399999</v>
      </c>
      <c r="M9">
        <f t="shared" ref="M9:M38" si="7">COUNTA(B9:F9)</f>
        <v>5</v>
      </c>
      <c r="O9" s="91">
        <f>IF(ISNUMBER(B9), (B9/$G9-1), 0)</f>
        <v>-2.4015460350128581E-3</v>
      </c>
      <c r="P9" s="91">
        <f t="shared" ref="P9:S38" si="8">IF(ISNUMBER(C9), (C9/$G9-1), 0)</f>
        <v>-2.8650033827964605E-2</v>
      </c>
      <c r="Q9" s="91">
        <f t="shared" si="8"/>
        <v>3.3182787339885778E-2</v>
      </c>
      <c r="R9" s="91">
        <f t="shared" si="8"/>
        <v>3.5504221263609859E-2</v>
      </c>
      <c r="S9" s="91">
        <f t="shared" si="8"/>
        <v>-3.7635428740517729E-2</v>
      </c>
    </row>
    <row r="10" spans="1:49" ht="13.15" x14ac:dyDescent="0.4">
      <c r="A10" s="11" t="s">
        <v>65</v>
      </c>
      <c r="B10" s="34">
        <f t="shared" ref="B10:F10" si="9">G54</f>
        <v>13298.794921999999</v>
      </c>
      <c r="C10" s="34">
        <f t="shared" si="9"/>
        <v>12989.253906</v>
      </c>
      <c r="D10" s="34">
        <f t="shared" si="9"/>
        <v>13805.221680000001</v>
      </c>
      <c r="E10" s="34">
        <f t="shared" si="9"/>
        <v>13851.374023</v>
      </c>
      <c r="F10" s="34">
        <f t="shared" si="9"/>
        <v>12902.160156</v>
      </c>
      <c r="G10" s="37">
        <f t="shared" si="2"/>
        <v>13369.360937399999</v>
      </c>
      <c r="H10" s="38">
        <f t="shared" si="3"/>
        <v>643204.83451505611</v>
      </c>
      <c r="I10" s="36">
        <f t="shared" si="4"/>
        <v>2.9732489769905432E-2</v>
      </c>
      <c r="J10" s="36">
        <f t="shared" si="5"/>
        <v>0.11</v>
      </c>
      <c r="K10" s="36">
        <f t="shared" si="6"/>
        <v>7.0999195207949742E-2</v>
      </c>
      <c r="L10" s="16">
        <f>G10/'Clause 6'!$H$11</f>
        <v>13369.360937399999</v>
      </c>
      <c r="M10">
        <f t="shared" si="7"/>
        <v>5</v>
      </c>
      <c r="O10" s="91">
        <f t="shared" ref="O10:O38" si="10">IF(ISNUMBER(B10), (B10/$G10-1), 0)</f>
        <v>-5.2781891169230155E-3</v>
      </c>
      <c r="P10" s="91">
        <f t="shared" si="8"/>
        <v>-2.8431204242281516E-2</v>
      </c>
      <c r="Q10" s="91">
        <f t="shared" si="8"/>
        <v>3.2601464246559964E-2</v>
      </c>
      <c r="R10" s="91">
        <f t="shared" si="8"/>
        <v>3.6053562160297314E-2</v>
      </c>
      <c r="S10" s="91">
        <f t="shared" si="8"/>
        <v>-3.4945633047652414E-2</v>
      </c>
    </row>
    <row r="11" spans="1:49" ht="13.15" x14ac:dyDescent="0.4">
      <c r="A11" s="11" t="s">
        <v>66</v>
      </c>
      <c r="B11" s="34">
        <f t="shared" ref="B11:F11" si="11">G55</f>
        <v>11565.055664</v>
      </c>
      <c r="C11" s="34">
        <f t="shared" si="11"/>
        <v>11358.169921999999</v>
      </c>
      <c r="D11" s="34">
        <f t="shared" si="11"/>
        <v>12015.339844</v>
      </c>
      <c r="E11" s="34">
        <f t="shared" si="11"/>
        <v>12044.113281</v>
      </c>
      <c r="F11" s="34">
        <f t="shared" si="11"/>
        <v>11246.525390999999</v>
      </c>
      <c r="G11" s="37">
        <f t="shared" si="2"/>
        <v>11645.840820400001</v>
      </c>
      <c r="H11" s="38">
        <f t="shared" si="3"/>
        <v>560285.65260134346</v>
      </c>
      <c r="I11" s="36">
        <f t="shared" si="4"/>
        <v>2.832026558486862E-2</v>
      </c>
      <c r="J11" s="36">
        <f t="shared" si="5"/>
        <v>0.11</v>
      </c>
      <c r="K11" s="36">
        <f t="shared" si="6"/>
        <v>6.8486930424368098E-2</v>
      </c>
      <c r="L11" s="16">
        <f>G11/'Clause 6'!$H$11</f>
        <v>11645.840820400001</v>
      </c>
      <c r="M11">
        <f t="shared" si="7"/>
        <v>5</v>
      </c>
      <c r="O11" s="91">
        <f t="shared" si="10"/>
        <v>-6.9368247124320659E-3</v>
      </c>
      <c r="P11" s="91">
        <f t="shared" si="8"/>
        <v>-2.4701599724434531E-2</v>
      </c>
      <c r="Q11" s="91">
        <f t="shared" si="8"/>
        <v>3.1727981628664192E-2</v>
      </c>
      <c r="R11" s="91">
        <f t="shared" si="8"/>
        <v>3.4198686616285112E-2</v>
      </c>
      <c r="S11" s="91">
        <f t="shared" si="8"/>
        <v>-3.4288243808083041E-2</v>
      </c>
    </row>
    <row r="12" spans="1:49" ht="13.15" x14ac:dyDescent="0.4">
      <c r="A12" s="11" t="s">
        <v>67</v>
      </c>
      <c r="B12" s="34">
        <f t="shared" ref="B12:F12" si="12">G56</f>
        <v>10015.110352</v>
      </c>
      <c r="C12" s="34">
        <f t="shared" si="12"/>
        <v>9886.4287110000005</v>
      </c>
      <c r="D12" s="34">
        <f t="shared" si="12"/>
        <v>10425.816406</v>
      </c>
      <c r="E12" s="34">
        <f t="shared" si="12"/>
        <v>10443.416992</v>
      </c>
      <c r="F12" s="34">
        <f t="shared" si="12"/>
        <v>9748.4765619999998</v>
      </c>
      <c r="G12" s="37">
        <f t="shared" si="2"/>
        <v>10103.849804599999</v>
      </c>
      <c r="H12" s="38">
        <f t="shared" si="3"/>
        <v>486099.90200448461</v>
      </c>
      <c r="I12" s="36">
        <f t="shared" si="4"/>
        <v>2.8007731427052002E-2</v>
      </c>
      <c r="J12" s="36">
        <f t="shared" si="5"/>
        <v>0.11</v>
      </c>
      <c r="K12" s="36">
        <f t="shared" si="6"/>
        <v>6.877976646917433E-2</v>
      </c>
      <c r="L12" s="16">
        <f>G12/'Clause 6'!$H$11</f>
        <v>10103.849804599999</v>
      </c>
      <c r="M12">
        <f t="shared" si="7"/>
        <v>5</v>
      </c>
      <c r="O12" s="91">
        <f t="shared" si="10"/>
        <v>-8.7827367108721521E-3</v>
      </c>
      <c r="P12" s="91">
        <f t="shared" si="8"/>
        <v>-2.1518638717393901E-2</v>
      </c>
      <c r="Q12" s="91">
        <f t="shared" si="8"/>
        <v>3.1865735103605575E-2</v>
      </c>
      <c r="R12" s="91">
        <f t="shared" si="8"/>
        <v>3.3607703396917765E-2</v>
      </c>
      <c r="S12" s="91">
        <f t="shared" si="8"/>
        <v>-3.5172063072256621E-2</v>
      </c>
    </row>
    <row r="13" spans="1:49" ht="13.15" x14ac:dyDescent="0.4">
      <c r="A13" s="11" t="s">
        <v>68</v>
      </c>
      <c r="B13" s="34">
        <f t="shared" ref="B13:F13" si="13">G57</f>
        <v>8657.3369139999995</v>
      </c>
      <c r="C13" s="34">
        <f t="shared" si="13"/>
        <v>8580.6445309999999</v>
      </c>
      <c r="D13" s="34">
        <f t="shared" si="13"/>
        <v>9025.0625</v>
      </c>
      <c r="E13" s="34">
        <f t="shared" si="13"/>
        <v>9028.1279300000006</v>
      </c>
      <c r="F13" s="34">
        <f t="shared" si="13"/>
        <v>8444.6728519999997</v>
      </c>
      <c r="G13" s="37">
        <f t="shared" si="2"/>
        <v>8747.1689454000007</v>
      </c>
      <c r="H13" s="38">
        <f t="shared" si="3"/>
        <v>420829.49067985913</v>
      </c>
      <c r="I13" s="36">
        <f t="shared" si="4"/>
        <v>2.7220657684281203E-2</v>
      </c>
      <c r="J13" s="36">
        <f t="shared" si="5"/>
        <v>0.11</v>
      </c>
      <c r="K13" s="36">
        <f t="shared" si="6"/>
        <v>6.6702161767074455E-2</v>
      </c>
      <c r="L13" s="16">
        <f>G13/'Clause 6'!$H$11</f>
        <v>8747.1689454000007</v>
      </c>
      <c r="M13">
        <f t="shared" si="7"/>
        <v>5</v>
      </c>
      <c r="O13" s="91">
        <f t="shared" si="10"/>
        <v>-1.0269840671963015E-2</v>
      </c>
      <c r="P13" s="91">
        <f t="shared" si="8"/>
        <v>-1.9037521218516429E-2</v>
      </c>
      <c r="Q13" s="91">
        <f t="shared" si="8"/>
        <v>3.1769542389613825E-2</v>
      </c>
      <c r="R13" s="91">
        <f t="shared" si="8"/>
        <v>3.2119990633969753E-2</v>
      </c>
      <c r="S13" s="91">
        <f t="shared" si="8"/>
        <v>-3.4582171133104578E-2</v>
      </c>
    </row>
    <row r="14" spans="1:49" ht="13.15" x14ac:dyDescent="0.4">
      <c r="A14" s="11" t="s">
        <v>69</v>
      </c>
      <c r="B14" s="34">
        <f t="shared" ref="B14:F14" si="14">G58</f>
        <v>7468.9125979999999</v>
      </c>
      <c r="C14" s="34">
        <f t="shared" si="14"/>
        <v>7421.486328</v>
      </c>
      <c r="D14" s="34">
        <f t="shared" si="14"/>
        <v>7797.3447269999997</v>
      </c>
      <c r="E14" s="34">
        <f t="shared" si="14"/>
        <v>7771.6713870000003</v>
      </c>
      <c r="F14" s="34">
        <f t="shared" si="14"/>
        <v>7281.1503910000001</v>
      </c>
      <c r="G14" s="37">
        <f t="shared" si="2"/>
        <v>7548.1130862000009</v>
      </c>
      <c r="H14" s="38">
        <f t="shared" si="3"/>
        <v>363142.4756383585</v>
      </c>
      <c r="I14" s="36">
        <f t="shared" si="4"/>
        <v>2.6869710055411992E-2</v>
      </c>
      <c r="J14" s="36">
        <f t="shared" si="5"/>
        <v>0.11</v>
      </c>
      <c r="K14" s="36">
        <f t="shared" si="6"/>
        <v>6.8387202219286153E-2</v>
      </c>
      <c r="L14" s="16">
        <f>G14/'Clause 6'!$H$11</f>
        <v>7548.1130862000009</v>
      </c>
      <c r="M14">
        <f t="shared" si="7"/>
        <v>5</v>
      </c>
      <c r="O14" s="91">
        <f t="shared" si="10"/>
        <v>-1.0492753261050258E-2</v>
      </c>
      <c r="P14" s="91">
        <f t="shared" si="8"/>
        <v>-1.677594873763999E-2</v>
      </c>
      <c r="Q14" s="91">
        <f t="shared" si="8"/>
        <v>3.3019065553702598E-2</v>
      </c>
      <c r="R14" s="91">
        <f t="shared" si="8"/>
        <v>2.9617773110570456E-2</v>
      </c>
      <c r="S14" s="91">
        <f t="shared" si="8"/>
        <v>-3.5368136665583472E-2</v>
      </c>
    </row>
    <row r="15" spans="1:49" ht="13.15" x14ac:dyDescent="0.4">
      <c r="A15" s="11" t="s">
        <v>70</v>
      </c>
      <c r="B15" s="34">
        <f t="shared" ref="B15:F15" si="15">G59</f>
        <v>6408.2724609999996</v>
      </c>
      <c r="C15" s="34">
        <f t="shared" si="15"/>
        <v>6355.4301759999998</v>
      </c>
      <c r="D15" s="34">
        <f t="shared" si="15"/>
        <v>6682.1225590000004</v>
      </c>
      <c r="E15" s="34">
        <f t="shared" si="15"/>
        <v>6636.9462890000004</v>
      </c>
      <c r="F15" s="34">
        <f t="shared" si="15"/>
        <v>6245.5209960000002</v>
      </c>
      <c r="G15" s="37">
        <f t="shared" si="2"/>
        <v>6465.6584961999997</v>
      </c>
      <c r="H15" s="38">
        <f t="shared" si="3"/>
        <v>311065.19021753309</v>
      </c>
      <c r="I15" s="36">
        <f t="shared" si="4"/>
        <v>2.5889373834069283E-2</v>
      </c>
      <c r="J15" s="36">
        <f t="shared" si="5"/>
        <v>0.11</v>
      </c>
      <c r="K15" s="36">
        <f t="shared" si="6"/>
        <v>6.7526233137212538E-2</v>
      </c>
      <c r="L15" s="16">
        <f>G15/'Clause 6'!$H$11</f>
        <v>6465.6584961999997</v>
      </c>
      <c r="M15">
        <f t="shared" si="7"/>
        <v>5</v>
      </c>
      <c r="O15" s="91">
        <f t="shared" si="10"/>
        <v>-8.8755128706112796E-3</v>
      </c>
      <c r="P15" s="91">
        <f t="shared" si="8"/>
        <v>-1.7048274396920804E-2</v>
      </c>
      <c r="Q15" s="91">
        <f t="shared" si="8"/>
        <v>3.3479043615932014E-2</v>
      </c>
      <c r="R15" s="91">
        <f t="shared" si="8"/>
        <v>2.649193317288101E-2</v>
      </c>
      <c r="S15" s="91">
        <f t="shared" si="8"/>
        <v>-3.4047189521280607E-2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34">
        <f t="shared" ref="B16:F16" si="16">G60</f>
        <v>5429.2202150000003</v>
      </c>
      <c r="C16" s="34">
        <f t="shared" si="16"/>
        <v>5403.3369140000004</v>
      </c>
      <c r="D16" s="34">
        <f t="shared" si="16"/>
        <v>5660.1459960000002</v>
      </c>
      <c r="E16" s="34">
        <f t="shared" si="16"/>
        <v>5610.3583980000003</v>
      </c>
      <c r="F16" s="34">
        <f t="shared" si="16"/>
        <v>5273.6835940000001</v>
      </c>
      <c r="G16" s="37">
        <f t="shared" si="2"/>
        <v>5475.3490234000001</v>
      </c>
      <c r="H16" s="38">
        <f t="shared" si="3"/>
        <v>263421.04001816758</v>
      </c>
      <c r="I16" s="36">
        <f t="shared" si="4"/>
        <v>2.5875189224702933E-2</v>
      </c>
      <c r="J16" s="36">
        <f t="shared" si="5"/>
        <v>0.11</v>
      </c>
      <c r="K16" s="36">
        <f t="shared" si="6"/>
        <v>7.0582240574687691E-2</v>
      </c>
      <c r="L16" s="16">
        <f>G16/'Clause 6'!$H$11</f>
        <v>5475.3490234000001</v>
      </c>
      <c r="M16">
        <f t="shared" si="7"/>
        <v>5</v>
      </c>
      <c r="O16" s="91">
        <f t="shared" si="10"/>
        <v>-8.4248160624754709E-3</v>
      </c>
      <c r="P16" s="91">
        <f t="shared" si="8"/>
        <v>-1.3152058269206512E-2</v>
      </c>
      <c r="Q16" s="91">
        <f t="shared" si="8"/>
        <v>3.3750720147744495E-2</v>
      </c>
      <c r="R16" s="91">
        <f t="shared" si="8"/>
        <v>2.4657674610880642E-2</v>
      </c>
      <c r="S16" s="91">
        <f t="shared" si="8"/>
        <v>-3.6831520426943043E-2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34">
        <f t="shared" ref="B17:F17" si="17">G61</f>
        <v>4560.6420900000003</v>
      </c>
      <c r="C17" s="34">
        <f t="shared" si="17"/>
        <v>4538.75</v>
      </c>
      <c r="D17" s="34">
        <f t="shared" si="17"/>
        <v>4727.2753910000001</v>
      </c>
      <c r="E17" s="34">
        <f t="shared" si="17"/>
        <v>4691.4990230000003</v>
      </c>
      <c r="F17" s="34">
        <f t="shared" si="17"/>
        <v>4417.7583009999998</v>
      </c>
      <c r="G17" s="37">
        <f t="shared" si="2"/>
        <v>4587.1849610000008</v>
      </c>
      <c r="H17" s="38">
        <f t="shared" si="3"/>
        <v>220691.14279622081</v>
      </c>
      <c r="I17" s="36">
        <f t="shared" si="4"/>
        <v>2.4326656531285074E-2</v>
      </c>
      <c r="J17" s="36">
        <f t="shared" si="5"/>
        <v>0.11</v>
      </c>
      <c r="K17" s="36">
        <f t="shared" si="6"/>
        <v>6.7474299081353356E-2</v>
      </c>
      <c r="L17" s="16">
        <f>G17/'Clause 6'!$H$11</f>
        <v>4587.1849610000008</v>
      </c>
      <c r="M17">
        <f t="shared" si="7"/>
        <v>5</v>
      </c>
      <c r="O17" s="91">
        <f t="shared" si="10"/>
        <v>-5.7863092998574617E-3</v>
      </c>
      <c r="P17" s="91">
        <f t="shared" si="8"/>
        <v>-1.0558754750853105E-2</v>
      </c>
      <c r="Q17" s="91">
        <f t="shared" si="8"/>
        <v>3.0539520684480959E-2</v>
      </c>
      <c r="R17" s="91">
        <f t="shared" si="8"/>
        <v>2.2740321763101257E-2</v>
      </c>
      <c r="S17" s="91">
        <f t="shared" si="8"/>
        <v>-3.6934778396872425E-2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34">
        <f t="shared" ref="B18:F18" si="18">G62</f>
        <v>3771.7770999999998</v>
      </c>
      <c r="C18" s="34">
        <f t="shared" si="18"/>
        <v>3752.3088379999999</v>
      </c>
      <c r="D18" s="34">
        <f t="shared" si="18"/>
        <v>3894.3774410000001</v>
      </c>
      <c r="E18" s="34">
        <f t="shared" si="18"/>
        <v>3883.7404790000001</v>
      </c>
      <c r="F18" s="34">
        <f t="shared" si="18"/>
        <v>3648.9716800000001</v>
      </c>
      <c r="G18" s="37">
        <f t="shared" si="2"/>
        <v>3790.2351076</v>
      </c>
      <c r="H18" s="38">
        <f t="shared" si="3"/>
        <v>182349.59446245027</v>
      </c>
      <c r="I18" s="36">
        <f t="shared" si="4"/>
        <v>2.3985376237747574E-2</v>
      </c>
      <c r="J18" s="36">
        <f t="shared" si="5"/>
        <v>0.11</v>
      </c>
      <c r="K18" s="36">
        <f t="shared" si="6"/>
        <v>6.4746843937972073E-2</v>
      </c>
      <c r="L18" s="16">
        <f>G18/'Clause 6'!$H$11</f>
        <v>3790.2351076</v>
      </c>
      <c r="M18">
        <f t="shared" si="7"/>
        <v>5</v>
      </c>
      <c r="O18" s="91">
        <f t="shared" si="10"/>
        <v>-4.86988460504445E-3</v>
      </c>
      <c r="P18" s="91">
        <f t="shared" si="8"/>
        <v>-1.0006310564733112E-2</v>
      </c>
      <c r="Q18" s="91">
        <f t="shared" si="8"/>
        <v>2.7476483765130677E-2</v>
      </c>
      <c r="R18" s="91">
        <f t="shared" si="8"/>
        <v>2.4670071577488129E-2</v>
      </c>
      <c r="S18" s="91">
        <f t="shared" si="8"/>
        <v>-3.7270360172841244E-2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34">
        <f t="shared" ref="B19:F19" si="19">G63</f>
        <v>3055.5695799999999</v>
      </c>
      <c r="C19" s="34">
        <f t="shared" si="19"/>
        <v>3043.8095699999999</v>
      </c>
      <c r="D19" s="34">
        <f t="shared" si="19"/>
        <v>3142.5131839999999</v>
      </c>
      <c r="E19" s="34">
        <f t="shared" si="19"/>
        <v>3146.7109380000002</v>
      </c>
      <c r="F19" s="34">
        <f t="shared" si="19"/>
        <v>2952.7836910000001</v>
      </c>
      <c r="G19" s="37">
        <f t="shared" si="2"/>
        <v>3068.2773926</v>
      </c>
      <c r="H19" s="38">
        <f t="shared" si="3"/>
        <v>147615.94527923429</v>
      </c>
      <c r="I19" s="36">
        <f t="shared" si="4"/>
        <v>2.3394184156729347E-2</v>
      </c>
      <c r="J19" s="36">
        <f t="shared" si="5"/>
        <v>0.11</v>
      </c>
      <c r="K19" s="36">
        <f t="shared" si="6"/>
        <v>6.3203948726314407E-2</v>
      </c>
      <c r="L19" s="16">
        <f>G19/'Clause 6'!$H$11</f>
        <v>3068.2773926</v>
      </c>
      <c r="M19">
        <f t="shared" si="7"/>
        <v>5</v>
      </c>
      <c r="O19" s="91">
        <f t="shared" si="10"/>
        <v>-4.1416765741743022E-3</v>
      </c>
      <c r="P19" s="91">
        <f t="shared" si="8"/>
        <v>-7.9744493307584152E-3</v>
      </c>
      <c r="Q19" s="91">
        <f t="shared" si="8"/>
        <v>2.4194615382246765E-2</v>
      </c>
      <c r="R19" s="91">
        <f t="shared" si="8"/>
        <v>2.5562729624500236E-2</v>
      </c>
      <c r="S19" s="91">
        <f t="shared" si="8"/>
        <v>-3.7641219101814283E-2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34">
        <f t="shared" ref="B20:F20" si="20">G64</f>
        <v>2430.100586</v>
      </c>
      <c r="C20" s="34">
        <f t="shared" si="20"/>
        <v>2427.4975589999999</v>
      </c>
      <c r="D20" s="34">
        <f t="shared" si="20"/>
        <v>2497.451904</v>
      </c>
      <c r="E20" s="34">
        <f t="shared" si="20"/>
        <v>2500.0339359999998</v>
      </c>
      <c r="F20" s="34">
        <f t="shared" si="20"/>
        <v>2351.6186520000001</v>
      </c>
      <c r="G20" s="37">
        <f t="shared" si="2"/>
        <v>2441.3405273999997</v>
      </c>
      <c r="H20" s="38">
        <f t="shared" si="3"/>
        <v>117453.78386250649</v>
      </c>
      <c r="I20" s="36">
        <f t="shared" si="4"/>
        <v>2.2406420896581687E-2</v>
      </c>
      <c r="J20" s="36">
        <f t="shared" si="5"/>
        <v>0.11</v>
      </c>
      <c r="K20" s="36">
        <f t="shared" si="6"/>
        <v>6.0792536860091499E-2</v>
      </c>
      <c r="L20" s="16">
        <f>G20/'Clause 6'!$H$11</f>
        <v>2441.3405273999997</v>
      </c>
      <c r="M20">
        <f t="shared" si="7"/>
        <v>5</v>
      </c>
      <c r="O20" s="91">
        <f t="shared" si="10"/>
        <v>-4.6040039371197938E-3</v>
      </c>
      <c r="P20" s="91">
        <f t="shared" si="8"/>
        <v>-5.670232499168204E-3</v>
      </c>
      <c r="Q20" s="91">
        <f t="shared" si="8"/>
        <v>2.2983838579765159E-2</v>
      </c>
      <c r="R20" s="91">
        <f t="shared" si="8"/>
        <v>2.4041467358307367E-2</v>
      </c>
      <c r="S20" s="91">
        <f t="shared" si="8"/>
        <v>-3.6751069501784084E-2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34">
        <f t="shared" ref="B21:F21" si="21">G65</f>
        <v>1895.9216309999999</v>
      </c>
      <c r="C21" s="34">
        <f t="shared" si="21"/>
        <v>1908.2570800000001</v>
      </c>
      <c r="D21" s="34">
        <f t="shared" si="21"/>
        <v>1951.224976</v>
      </c>
      <c r="E21" s="34">
        <f t="shared" si="21"/>
        <v>1966.502686</v>
      </c>
      <c r="F21" s="34">
        <f t="shared" si="21"/>
        <v>1837.6949460000001</v>
      </c>
      <c r="G21" s="37">
        <f t="shared" si="2"/>
        <v>1911.9202637999999</v>
      </c>
      <c r="H21" s="38">
        <f t="shared" si="3"/>
        <v>91983.181742314293</v>
      </c>
      <c r="I21" s="36">
        <f t="shared" si="4"/>
        <v>2.374238919535674E-2</v>
      </c>
      <c r="J21" s="36">
        <f t="shared" si="5"/>
        <v>0.11</v>
      </c>
      <c r="K21" s="36">
        <f t="shared" si="6"/>
        <v>6.7370874423387642E-2</v>
      </c>
      <c r="L21" s="16">
        <f>G21/'Clause 6'!$H$11</f>
        <v>1911.9202637999999</v>
      </c>
      <c r="M21">
        <f t="shared" si="7"/>
        <v>5</v>
      </c>
      <c r="O21" s="91">
        <f t="shared" si="10"/>
        <v>-8.3678347381507256E-3</v>
      </c>
      <c r="P21" s="91">
        <f t="shared" si="8"/>
        <v>-1.9159710105897121E-3</v>
      </c>
      <c r="Q21" s="91">
        <f t="shared" si="8"/>
        <v>2.0557715164271961E-2</v>
      </c>
      <c r="R21" s="91">
        <f t="shared" si="8"/>
        <v>2.8548482503928163E-2</v>
      </c>
      <c r="S21" s="91">
        <f t="shared" si="8"/>
        <v>-3.8822391919459465E-2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34">
        <f t="shared" ref="B22:F22" si="22">G66</f>
        <v>1461.3017580000001</v>
      </c>
      <c r="C22" s="34">
        <f t="shared" si="22"/>
        <v>1462.0745850000001</v>
      </c>
      <c r="D22" s="34">
        <f t="shared" si="22"/>
        <v>1502.6936040000001</v>
      </c>
      <c r="E22" s="34">
        <f t="shared" si="22"/>
        <v>1511.161255</v>
      </c>
      <c r="F22" s="34">
        <f t="shared" si="22"/>
        <v>1403.3325199999999</v>
      </c>
      <c r="G22" s="37">
        <f t="shared" si="2"/>
        <v>1468.1127443999999</v>
      </c>
      <c r="H22" s="38">
        <f t="shared" si="3"/>
        <v>70631.439994235698</v>
      </c>
      <c r="I22" s="36">
        <f t="shared" si="4"/>
        <v>2.6077039832642826E-2</v>
      </c>
      <c r="J22" s="36">
        <f t="shared" si="5"/>
        <v>0.11</v>
      </c>
      <c r="K22" s="36">
        <f t="shared" si="6"/>
        <v>7.3447175914318735E-2</v>
      </c>
      <c r="L22" s="16">
        <f>G22/'Clause 6'!$H$11</f>
        <v>1468.1127443999999</v>
      </c>
      <c r="M22">
        <f t="shared" si="7"/>
        <v>5</v>
      </c>
      <c r="O22" s="91">
        <f t="shared" si="10"/>
        <v>-4.6392802092208862E-3</v>
      </c>
      <c r="P22" s="91">
        <f t="shared" si="8"/>
        <v>-4.1128717280276561E-3</v>
      </c>
      <c r="Q22" s="91">
        <f t="shared" si="8"/>
        <v>2.3554634841163269E-2</v>
      </c>
      <c r="R22" s="91">
        <f t="shared" si="8"/>
        <v>2.9322346505202157E-2</v>
      </c>
      <c r="S22" s="91">
        <f t="shared" si="8"/>
        <v>-4.412482940911655E-2</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78</v>
      </c>
      <c r="B23" s="34">
        <f t="shared" ref="B23:F23" si="23">G67</f>
        <v>1105.7337649999999</v>
      </c>
      <c r="C23" s="34">
        <f t="shared" si="23"/>
        <v>1109.7073969999999</v>
      </c>
      <c r="D23" s="34">
        <f t="shared" si="23"/>
        <v>1133.3332519999999</v>
      </c>
      <c r="E23" s="34">
        <f t="shared" si="23"/>
        <v>1139.1201169999999</v>
      </c>
      <c r="F23" s="34">
        <f t="shared" si="23"/>
        <v>1065.734009</v>
      </c>
      <c r="G23" s="37">
        <f t="shared" si="2"/>
        <v>1110.7257079999999</v>
      </c>
      <c r="H23" s="38">
        <f t="shared" si="3"/>
        <v>53437.419226763421</v>
      </c>
      <c r="I23" s="36">
        <f t="shared" si="4"/>
        <v>2.3364978722638919E-2</v>
      </c>
      <c r="J23" s="36">
        <f t="shared" si="5"/>
        <v>0.11</v>
      </c>
      <c r="K23" s="36">
        <f t="shared" si="6"/>
        <v>6.6070414568994498E-2</v>
      </c>
      <c r="L23" s="16">
        <f>G23/'Clause 6'!$H$11</f>
        <v>1110.7257079999999</v>
      </c>
      <c r="M23">
        <f t="shared" si="7"/>
        <v>5</v>
      </c>
      <c r="O23" s="91">
        <f t="shared" si="10"/>
        <v>-4.4943076081209732E-3</v>
      </c>
      <c r="P23" s="91">
        <f t="shared" si="8"/>
        <v>-9.1679790308774045E-4</v>
      </c>
      <c r="Q23" s="91">
        <f t="shared" si="8"/>
        <v>2.0353849593260698E-2</v>
      </c>
      <c r="R23" s="91">
        <f t="shared" si="8"/>
        <v>2.5563835243471278E-2</v>
      </c>
      <c r="S23" s="91">
        <f t="shared" si="8"/>
        <v>-4.0506579325523262E-2</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ht="13.15" x14ac:dyDescent="0.4">
      <c r="A24" s="11" t="s">
        <v>79</v>
      </c>
      <c r="B24" s="34">
        <f t="shared" ref="B24:F24" si="24">G68</f>
        <v>836.71490500000004</v>
      </c>
      <c r="C24" s="34">
        <f t="shared" si="24"/>
        <v>834.56994599999996</v>
      </c>
      <c r="D24" s="34">
        <f t="shared" si="24"/>
        <v>856.49395800000002</v>
      </c>
      <c r="E24" s="34">
        <f t="shared" si="24"/>
        <v>861.82690400000001</v>
      </c>
      <c r="F24" s="34">
        <f t="shared" si="24"/>
        <v>804.11309800000004</v>
      </c>
      <c r="G24" s="37">
        <f t="shared" si="2"/>
        <v>838.74376219999999</v>
      </c>
      <c r="H24" s="38">
        <f t="shared" si="3"/>
        <v>40352.268540915204</v>
      </c>
      <c r="I24" s="36">
        <f t="shared" si="4"/>
        <v>2.4251389914674033E-2</v>
      </c>
      <c r="J24" s="36">
        <f t="shared" si="5"/>
        <v>0.11</v>
      </c>
      <c r="K24" s="36">
        <f t="shared" si="6"/>
        <v>6.8809818446361234E-2</v>
      </c>
      <c r="L24" s="16">
        <f>G24/'Clause 6'!$H$11</f>
        <v>838.74376219999999</v>
      </c>
      <c r="M24">
        <f t="shared" si="7"/>
        <v>5</v>
      </c>
      <c r="O24" s="91">
        <f t="shared" si="10"/>
        <v>-2.4189237421907706E-3</v>
      </c>
      <c r="P24" s="91">
        <f t="shared" si="8"/>
        <v>-4.9762709281464534E-3</v>
      </c>
      <c r="Q24" s="91">
        <f t="shared" si="8"/>
        <v>2.1162834944300268E-2</v>
      </c>
      <c r="R24" s="91">
        <f t="shared" si="8"/>
        <v>2.7521089086199213E-2</v>
      </c>
      <c r="S24" s="91">
        <f t="shared" si="8"/>
        <v>-4.1288729360162146E-2</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ht="13.15" x14ac:dyDescent="0.4">
      <c r="A25" s="11" t="s">
        <v>80</v>
      </c>
      <c r="B25" s="34">
        <f t="shared" ref="B25:F25" si="25">G69</f>
        <v>628.66625999999997</v>
      </c>
      <c r="C25" s="34">
        <f t="shared" si="25"/>
        <v>624.65557899999999</v>
      </c>
      <c r="D25" s="34">
        <f t="shared" si="25"/>
        <v>645.26824999999997</v>
      </c>
      <c r="E25" s="34">
        <f t="shared" si="25"/>
        <v>645.45031700000004</v>
      </c>
      <c r="F25" s="34">
        <f t="shared" si="25"/>
        <v>601.77929700000004</v>
      </c>
      <c r="G25" s="37">
        <f t="shared" si="2"/>
        <v>629.16394060000005</v>
      </c>
      <c r="H25" s="38">
        <f t="shared" si="3"/>
        <v>30269.306827104323</v>
      </c>
      <c r="I25" s="36">
        <f t="shared" si="4"/>
        <v>2.5580001817296007E-2</v>
      </c>
      <c r="J25" s="36">
        <f t="shared" si="5"/>
        <v>0.11</v>
      </c>
      <c r="K25" s="36">
        <f t="shared" si="6"/>
        <v>6.9411193461521775E-2</v>
      </c>
      <c r="L25" s="16">
        <f>G25/'Clause 6'!$H$11</f>
        <v>629.16394060000005</v>
      </c>
      <c r="M25">
        <f t="shared" si="7"/>
        <v>5</v>
      </c>
      <c r="O25" s="91">
        <f t="shared" si="10"/>
        <v>-7.9101895052258175E-4</v>
      </c>
      <c r="P25" s="91">
        <f t="shared" si="8"/>
        <v>-7.1656388884917543E-3</v>
      </c>
      <c r="Q25" s="91">
        <f t="shared" si="8"/>
        <v>2.5596364255462634E-2</v>
      </c>
      <c r="R25" s="91">
        <f t="shared" si="8"/>
        <v>2.5885743522536586E-2</v>
      </c>
      <c r="S25" s="91">
        <f t="shared" si="8"/>
        <v>-4.3525449938985217E-2</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ht="13.15" x14ac:dyDescent="0.4">
      <c r="A26" s="11" t="s">
        <v>81</v>
      </c>
      <c r="B26" s="34">
        <f t="shared" ref="B26:F26" si="26">G70</f>
        <v>470.34204099999999</v>
      </c>
      <c r="C26" s="34">
        <f t="shared" si="26"/>
        <v>472.94332900000001</v>
      </c>
      <c r="D26" s="34">
        <f t="shared" si="26"/>
        <v>487.03005999999999</v>
      </c>
      <c r="E26" s="34">
        <f t="shared" si="26"/>
        <v>492.64773600000001</v>
      </c>
      <c r="F26" s="34">
        <f t="shared" si="26"/>
        <v>455.04632600000002</v>
      </c>
      <c r="G26" s="37">
        <f t="shared" si="2"/>
        <v>475.60189840000004</v>
      </c>
      <c r="H26" s="38">
        <f t="shared" si="3"/>
        <v>22881.38092671692</v>
      </c>
      <c r="I26" s="36">
        <f t="shared" si="4"/>
        <v>2.7869217615019211E-2</v>
      </c>
      <c r="J26" s="36">
        <f t="shared" si="5"/>
        <v>0.11</v>
      </c>
      <c r="K26" s="36">
        <f t="shared" si="6"/>
        <v>7.9060681058038401E-2</v>
      </c>
      <c r="L26" s="16">
        <f>G26/'Clause 6'!$H$11</f>
        <v>475.60189840000004</v>
      </c>
      <c r="M26">
        <f t="shared" si="7"/>
        <v>5</v>
      </c>
      <c r="O26" s="91">
        <f t="shared" si="10"/>
        <v>-1.1059370069158803E-2</v>
      </c>
      <c r="P26" s="91">
        <f t="shared" si="8"/>
        <v>-5.5899049371835874E-3</v>
      </c>
      <c r="Q26" s="91">
        <f t="shared" si="8"/>
        <v>2.4028839326432738E-2</v>
      </c>
      <c r="R26" s="91">
        <f t="shared" si="8"/>
        <v>3.5840558368973818E-2</v>
      </c>
      <c r="S26" s="91">
        <f t="shared" si="8"/>
        <v>-4.32201226890645E-2</v>
      </c>
    </row>
    <row r="27" spans="1:49" ht="13.15" x14ac:dyDescent="0.4">
      <c r="A27" s="11" t="s">
        <v>82</v>
      </c>
      <c r="B27" s="34">
        <f t="shared" ref="B27:F27" si="27">G71</f>
        <v>357.77307100000002</v>
      </c>
      <c r="C27" s="34">
        <f t="shared" si="27"/>
        <v>357.55654900000002</v>
      </c>
      <c r="D27" s="34">
        <f t="shared" si="27"/>
        <v>363.56494099999998</v>
      </c>
      <c r="E27" s="34">
        <f t="shared" si="27"/>
        <v>371.32556199999999</v>
      </c>
      <c r="F27" s="34">
        <f t="shared" si="27"/>
        <v>342.30868500000003</v>
      </c>
      <c r="G27" s="37">
        <f t="shared" si="2"/>
        <v>358.50576160000003</v>
      </c>
      <c r="H27" s="38">
        <f t="shared" si="3"/>
        <v>17247.843045178986</v>
      </c>
      <c r="I27" s="36">
        <f t="shared" si="4"/>
        <v>2.6571468212668946E-2</v>
      </c>
      <c r="J27" s="36">
        <f t="shared" si="5"/>
        <v>0.11</v>
      </c>
      <c r="K27" s="36">
        <f t="shared" si="6"/>
        <v>8.0938384003923808E-2</v>
      </c>
      <c r="L27" s="16">
        <f>G27/'Clause 6'!$H$11</f>
        <v>358.50576160000003</v>
      </c>
      <c r="M27">
        <f t="shared" si="7"/>
        <v>5</v>
      </c>
      <c r="O27" s="91">
        <f t="shared" si="10"/>
        <v>-2.0437345183241806E-3</v>
      </c>
      <c r="P27" s="91">
        <f t="shared" si="8"/>
        <v>-2.6476913390839352E-3</v>
      </c>
      <c r="Q27" s="91">
        <f t="shared" si="8"/>
        <v>1.4111849632265194E-2</v>
      </c>
      <c r="R27" s="91">
        <f t="shared" si="8"/>
        <v>3.5758980114533045E-2</v>
      </c>
      <c r="S27" s="91">
        <f t="shared" si="8"/>
        <v>-4.5179403889390679E-2</v>
      </c>
    </row>
    <row r="28" spans="1:49" ht="13.15" x14ac:dyDescent="0.4">
      <c r="A28" s="11" t="s">
        <v>83</v>
      </c>
      <c r="B28" s="34">
        <f t="shared" ref="B28:F28" si="28">G72</f>
        <v>271.66497800000002</v>
      </c>
      <c r="C28" s="34">
        <f t="shared" si="28"/>
        <v>272.28836100000001</v>
      </c>
      <c r="D28" s="34">
        <f t="shared" si="28"/>
        <v>270.73324600000001</v>
      </c>
      <c r="E28" s="34">
        <f t="shared" si="28"/>
        <v>278.21310399999999</v>
      </c>
      <c r="F28" s="34">
        <f t="shared" si="28"/>
        <v>258.24185199999999</v>
      </c>
      <c r="G28" s="37">
        <f t="shared" si="2"/>
        <v>270.22830820000001</v>
      </c>
      <c r="H28" s="38">
        <f t="shared" si="3"/>
        <v>13000.782540834494</v>
      </c>
      <c r="I28" s="36">
        <f t="shared" si="4"/>
        <v>2.4209502402916572E-2</v>
      </c>
      <c r="J28" s="36">
        <f t="shared" si="5"/>
        <v>0.11</v>
      </c>
      <c r="K28" s="36">
        <f t="shared" si="6"/>
        <v>7.39051068817667E-2</v>
      </c>
      <c r="L28" s="16">
        <f>G28/'Clause 6'!$H$11</f>
        <v>270.22830820000001</v>
      </c>
      <c r="M28">
        <f t="shared" si="7"/>
        <v>5</v>
      </c>
      <c r="O28" s="91">
        <f t="shared" si="10"/>
        <v>5.3165036985567404E-3</v>
      </c>
      <c r="P28" s="91">
        <f t="shared" si="8"/>
        <v>7.6233789632258464E-3</v>
      </c>
      <c r="Q28" s="91">
        <f t="shared" si="8"/>
        <v>1.8685599719858725E-3</v>
      </c>
      <c r="R28" s="91">
        <f t="shared" si="8"/>
        <v>2.9548332123999099E-2</v>
      </c>
      <c r="S28" s="91">
        <f t="shared" si="8"/>
        <v>-4.435677475776767E-2</v>
      </c>
    </row>
    <row r="29" spans="1:49" ht="13.15" x14ac:dyDescent="0.4">
      <c r="A29" s="11" t="s">
        <v>84</v>
      </c>
      <c r="B29" s="34">
        <f t="shared" ref="B29:E29" si="29">G73</f>
        <v>202.53595000000001</v>
      </c>
      <c r="C29" s="34">
        <f t="shared" si="29"/>
        <v>204.82678200000001</v>
      </c>
      <c r="D29" s="34">
        <f t="shared" si="29"/>
        <v>205.11975100000001</v>
      </c>
      <c r="E29" s="34">
        <f t="shared" si="29"/>
        <v>213.51475500000001</v>
      </c>
      <c r="F29" s="34"/>
      <c r="G29" s="37">
        <f t="shared" si="2"/>
        <v>206.49930950000001</v>
      </c>
      <c r="H29" s="38">
        <f t="shared" si="3"/>
        <v>9934.7571522929684</v>
      </c>
      <c r="I29" s="36">
        <f t="shared" si="4"/>
        <v>2.0203876409730051E-2</v>
      </c>
      <c r="J29" s="36">
        <f t="shared" si="5"/>
        <v>0.113</v>
      </c>
      <c r="K29" s="36">
        <f t="shared" si="6"/>
        <v>5.316630368684111E-2</v>
      </c>
      <c r="L29" s="16">
        <f>G29/'Clause 6'!$H$11</f>
        <v>206.49930950000001</v>
      </c>
      <c r="M29">
        <f t="shared" si="7"/>
        <v>4</v>
      </c>
      <c r="O29" s="91">
        <f t="shared" si="10"/>
        <v>-1.9193088391416646E-2</v>
      </c>
      <c r="P29" s="91">
        <f t="shared" si="8"/>
        <v>-8.0994338627558005E-3</v>
      </c>
      <c r="Q29" s="91">
        <f t="shared" si="8"/>
        <v>-6.6806930412520726E-3</v>
      </c>
      <c r="R29" s="91">
        <f t="shared" si="8"/>
        <v>3.3973215295424408E-2</v>
      </c>
      <c r="S29" s="91">
        <f t="shared" si="8"/>
        <v>0</v>
      </c>
    </row>
    <row r="30" spans="1:49" ht="13.15" x14ac:dyDescent="0.4">
      <c r="A30" s="11" t="s">
        <v>85</v>
      </c>
      <c r="B30" s="34">
        <f t="shared" ref="B30:E30" si="30">G74</f>
        <v>157.33195499999999</v>
      </c>
      <c r="C30" s="34">
        <f t="shared" si="30"/>
        <v>155.782318</v>
      </c>
      <c r="D30" s="34">
        <f t="shared" si="30"/>
        <v>149.33793600000001</v>
      </c>
      <c r="E30" s="34">
        <f t="shared" si="30"/>
        <v>163.125687</v>
      </c>
      <c r="F30" s="34"/>
      <c r="G30" s="37">
        <f t="shared" si="2"/>
        <v>156.394474</v>
      </c>
      <c r="H30" s="38">
        <f t="shared" si="3"/>
        <v>7524.1952281230106</v>
      </c>
      <c r="I30" s="36">
        <f t="shared" si="4"/>
        <v>3.1382786586482463E-2</v>
      </c>
      <c r="J30" s="36">
        <f t="shared" si="5"/>
        <v>0.113</v>
      </c>
      <c r="K30" s="36">
        <f t="shared" si="6"/>
        <v>8.8160090618035425E-2</v>
      </c>
      <c r="L30" s="16">
        <f>G30/'Clause 6'!$H$11</f>
        <v>156.394474</v>
      </c>
      <c r="M30">
        <f t="shared" si="7"/>
        <v>4</v>
      </c>
      <c r="O30" s="91">
        <f t="shared" si="10"/>
        <v>5.9943358356766563E-3</v>
      </c>
      <c r="P30" s="91">
        <f t="shared" si="8"/>
        <v>-3.914179218378222E-3</v>
      </c>
      <c r="Q30" s="91">
        <f t="shared" si="8"/>
        <v>-4.512012361766693E-2</v>
      </c>
      <c r="R30" s="91">
        <f t="shared" si="8"/>
        <v>4.3039967000368495E-2</v>
      </c>
      <c r="S30" s="91">
        <f t="shared" si="8"/>
        <v>0</v>
      </c>
    </row>
    <row r="31" spans="1:49" ht="13.15" x14ac:dyDescent="0.4">
      <c r="A31" s="11" t="s">
        <v>86</v>
      </c>
      <c r="B31" s="34">
        <f t="shared" ref="B31:E31" si="31">G75</f>
        <v>116.20734400000001</v>
      </c>
      <c r="C31" s="34">
        <f t="shared" si="31"/>
        <v>115.99728399999999</v>
      </c>
      <c r="D31" s="34">
        <f t="shared" si="31"/>
        <v>108.458878</v>
      </c>
      <c r="E31" s="34">
        <f t="shared" si="31"/>
        <v>117.438232</v>
      </c>
      <c r="F31" s="34"/>
      <c r="G31" s="37">
        <f t="shared" si="2"/>
        <v>114.52543449999999</v>
      </c>
      <c r="H31" s="38">
        <f t="shared" si="3"/>
        <v>5509.8604555785923</v>
      </c>
      <c r="I31" s="36">
        <f t="shared" si="4"/>
        <v>3.0958304515123141E-2</v>
      </c>
      <c r="J31" s="36">
        <f t="shared" si="5"/>
        <v>0.113</v>
      </c>
      <c r="K31" s="36">
        <f t="shared" si="6"/>
        <v>7.8404889177696169E-2</v>
      </c>
      <c r="L31" s="16">
        <f>G31/'Clause 6'!$H$11</f>
        <v>114.52543449999999</v>
      </c>
      <c r="M31">
        <f t="shared" si="7"/>
        <v>4</v>
      </c>
      <c r="O31" s="91">
        <f t="shared" si="10"/>
        <v>1.4685903680199619E-2</v>
      </c>
      <c r="P31" s="91">
        <f t="shared" si="8"/>
        <v>1.2851725963109129E-2</v>
      </c>
      <c r="Q31" s="91">
        <f t="shared" si="8"/>
        <v>-5.2971259410502292E-2</v>
      </c>
      <c r="R31" s="91">
        <f t="shared" si="8"/>
        <v>2.5433629767193766E-2</v>
      </c>
      <c r="S31" s="91">
        <f t="shared" si="8"/>
        <v>0</v>
      </c>
    </row>
    <row r="32" spans="1:49" ht="13.15" x14ac:dyDescent="0.4">
      <c r="A32" s="11" t="s">
        <v>87</v>
      </c>
      <c r="B32" s="34">
        <f t="shared" ref="B32:F32" si="32">G76</f>
        <v>87.541397000000003</v>
      </c>
      <c r="C32" s="34">
        <f t="shared" si="32"/>
        <v>86.082199000000003</v>
      </c>
      <c r="D32" s="34">
        <f t="shared" si="32"/>
        <v>77.101012999999995</v>
      </c>
      <c r="E32" s="34">
        <f t="shared" si="32"/>
        <v>89.024108999999996</v>
      </c>
      <c r="F32" s="34">
        <f t="shared" si="32"/>
        <v>71.676963999999998</v>
      </c>
      <c r="G32" s="37">
        <f t="shared" si="2"/>
        <v>82.285136399999999</v>
      </c>
      <c r="H32" s="38">
        <f t="shared" si="3"/>
        <v>3958.767946278786</v>
      </c>
      <c r="I32" s="36">
        <f t="shared" si="4"/>
        <v>8.1861629851866916E-2</v>
      </c>
      <c r="J32" s="36">
        <f t="shared" si="5"/>
        <v>0.11900000000000001</v>
      </c>
      <c r="K32" s="36">
        <f t="shared" si="6"/>
        <v>0.21081747881747448</v>
      </c>
      <c r="L32" s="16">
        <f>G32/'Clause 6'!$H$11</f>
        <v>82.285136399999999</v>
      </c>
      <c r="M32">
        <f t="shared" si="7"/>
        <v>5</v>
      </c>
      <c r="O32" s="91">
        <f t="shared" si="10"/>
        <v>6.387861562808328E-2</v>
      </c>
      <c r="P32" s="91">
        <f t="shared" si="8"/>
        <v>4.6145182059879275E-2</v>
      </c>
      <c r="Q32" s="91">
        <f t="shared" si="8"/>
        <v>-6.3001942110167075E-2</v>
      </c>
      <c r="R32" s="91">
        <f t="shared" si="8"/>
        <v>8.1897811619839445E-2</v>
      </c>
      <c r="S32" s="91">
        <f t="shared" si="8"/>
        <v>-0.12891966719763504</v>
      </c>
    </row>
    <row r="33" spans="1:19" ht="13.15" x14ac:dyDescent="0.4">
      <c r="A33" s="11" t="s">
        <v>88</v>
      </c>
      <c r="B33" s="34">
        <f t="shared" ref="B33:F33" si="33">G77</f>
        <v>60.860011999999998</v>
      </c>
      <c r="C33" s="34">
        <f t="shared" si="33"/>
        <v>62.679237000000001</v>
      </c>
      <c r="D33" s="34">
        <f t="shared" si="33"/>
        <v>56.092284999999997</v>
      </c>
      <c r="E33" s="34">
        <f t="shared" si="33"/>
        <v>64.289512999999999</v>
      </c>
      <c r="F33" s="34">
        <f t="shared" si="33"/>
        <v>49.969082</v>
      </c>
      <c r="G33" s="37">
        <f t="shared" si="2"/>
        <v>58.778025800000002</v>
      </c>
      <c r="H33" s="38">
        <f t="shared" si="3"/>
        <v>2827.8322752174172</v>
      </c>
      <c r="I33" s="36">
        <f t="shared" si="4"/>
        <v>8.8318232889642967E-2</v>
      </c>
      <c r="J33" s="36">
        <f t="shared" si="5"/>
        <v>0.11900000000000001</v>
      </c>
      <c r="K33" s="36">
        <f t="shared" si="6"/>
        <v>0.24363579424608708</v>
      </c>
      <c r="L33" s="16">
        <f>G33/'Clause 6'!$H$11</f>
        <v>58.778025800000002</v>
      </c>
      <c r="M33">
        <f t="shared" si="7"/>
        <v>5</v>
      </c>
      <c r="O33" s="91">
        <f t="shared" si="10"/>
        <v>3.54211658466419E-2</v>
      </c>
      <c r="P33" s="91">
        <f t="shared" si="8"/>
        <v>6.6371933165540131E-2</v>
      </c>
      <c r="Q33" s="91">
        <f t="shared" si="8"/>
        <v>-4.5692939894555029E-2</v>
      </c>
      <c r="R33" s="91">
        <f t="shared" si="8"/>
        <v>9.3767817564229805E-2</v>
      </c>
      <c r="S33" s="91">
        <f t="shared" si="8"/>
        <v>-0.14986797668185725</v>
      </c>
    </row>
    <row r="34" spans="1:19" ht="13.15" x14ac:dyDescent="0.4">
      <c r="A34" s="11" t="s">
        <v>89</v>
      </c>
      <c r="B34" s="34">
        <f t="shared" ref="B34:F34" si="34">G78</f>
        <v>40.132328000000001</v>
      </c>
      <c r="C34" s="34">
        <f t="shared" si="34"/>
        <v>44.974387999999998</v>
      </c>
      <c r="D34" s="34">
        <f t="shared" si="34"/>
        <v>40.154625000000003</v>
      </c>
      <c r="E34" s="34">
        <f t="shared" si="34"/>
        <v>43.949902000000002</v>
      </c>
      <c r="F34" s="34">
        <f t="shared" si="34"/>
        <v>34.404941999999998</v>
      </c>
      <c r="G34" s="37">
        <f t="shared" si="2"/>
        <v>40.723237000000005</v>
      </c>
      <c r="H34" s="38">
        <f t="shared" si="3"/>
        <v>1959.2097960515052</v>
      </c>
      <c r="I34" s="36">
        <f t="shared" si="4"/>
        <v>9.1272391369205591E-2</v>
      </c>
      <c r="J34" s="36">
        <f t="shared" si="5"/>
        <v>0.13400000000000001</v>
      </c>
      <c r="K34" s="36">
        <f t="shared" si="6"/>
        <v>0.2595433658675021</v>
      </c>
      <c r="L34" s="16">
        <f>G34/'Clause 6'!$H$11</f>
        <v>40.723237000000005</v>
      </c>
      <c r="M34">
        <f t="shared" si="7"/>
        <v>5</v>
      </c>
      <c r="O34" s="91">
        <f t="shared" si="10"/>
        <v>-1.451036419329832E-2</v>
      </c>
      <c r="P34" s="91">
        <f t="shared" si="8"/>
        <v>0.10439128402292752</v>
      </c>
      <c r="Q34" s="91">
        <f t="shared" si="8"/>
        <v>-1.3962838956048662E-2</v>
      </c>
      <c r="R34" s="91">
        <f t="shared" si="8"/>
        <v>7.9234000970993534E-2</v>
      </c>
      <c r="S34" s="91">
        <f t="shared" si="8"/>
        <v>-0.15515208184457452</v>
      </c>
    </row>
    <row r="35" spans="1:19" ht="13.15" x14ac:dyDescent="0.4">
      <c r="A35" s="11" t="s">
        <v>90</v>
      </c>
      <c r="B35" s="34">
        <f t="shared" ref="B35:F35" si="35">G79</f>
        <v>27.783918</v>
      </c>
      <c r="C35" s="34">
        <f t="shared" si="35"/>
        <v>31.543120999999999</v>
      </c>
      <c r="D35" s="34">
        <f t="shared" si="35"/>
        <v>28.460106</v>
      </c>
      <c r="E35" s="34">
        <f t="shared" si="35"/>
        <v>30.356096000000001</v>
      </c>
      <c r="F35" s="34">
        <f t="shared" si="35"/>
        <v>23.039024000000001</v>
      </c>
      <c r="G35" s="37">
        <f t="shared" si="2"/>
        <v>28.236453000000001</v>
      </c>
      <c r="H35" s="38">
        <f t="shared" si="3"/>
        <v>1358.4660601353451</v>
      </c>
      <c r="I35" s="36">
        <f t="shared" si="4"/>
        <v>0.10348882356998923</v>
      </c>
      <c r="J35" s="36">
        <f t="shared" si="5"/>
        <v>0.13400000000000001</v>
      </c>
      <c r="K35" s="36">
        <f t="shared" si="6"/>
        <v>0.30117440742291524</v>
      </c>
      <c r="L35" s="16">
        <f>G35/'Clause 6'!$H$11</f>
        <v>28.236453000000001</v>
      </c>
      <c r="M35">
        <f t="shared" si="7"/>
        <v>5</v>
      </c>
      <c r="O35" s="91">
        <f t="shared" si="10"/>
        <v>-1.6026623457273459E-2</v>
      </c>
      <c r="P35" s="91">
        <f t="shared" si="8"/>
        <v>0.11710635184950458</v>
      </c>
      <c r="Q35" s="91">
        <f t="shared" si="8"/>
        <v>7.9207186540037888E-3</v>
      </c>
      <c r="R35" s="91">
        <f t="shared" si="8"/>
        <v>7.5067608527175755E-2</v>
      </c>
      <c r="S35" s="91">
        <f t="shared" si="8"/>
        <v>-0.18406805557341066</v>
      </c>
    </row>
    <row r="36" spans="1:19" ht="13.15" x14ac:dyDescent="0.4">
      <c r="A36" s="11" t="s">
        <v>91</v>
      </c>
      <c r="B36" s="34">
        <f t="shared" ref="B36:F36" si="36">G80</f>
        <v>18.853373000000001</v>
      </c>
      <c r="C36" s="34">
        <f t="shared" si="36"/>
        <v>23.504712999999999</v>
      </c>
      <c r="D36" s="34">
        <f t="shared" si="36"/>
        <v>20.284293999999999</v>
      </c>
      <c r="E36" s="34">
        <f t="shared" si="36"/>
        <v>21.463905</v>
      </c>
      <c r="F36" s="34">
        <f t="shared" si="36"/>
        <v>14.847371000000001</v>
      </c>
      <c r="G36" s="37">
        <f t="shared" si="2"/>
        <v>19.7907312</v>
      </c>
      <c r="H36" s="38">
        <f t="shared" si="3"/>
        <v>952.13930164888802</v>
      </c>
      <c r="I36" s="36">
        <f t="shared" si="4"/>
        <v>0.14671124921783732</v>
      </c>
      <c r="J36" s="36">
        <f t="shared" si="5"/>
        <v>0.156</v>
      </c>
      <c r="K36" s="36">
        <f t="shared" si="6"/>
        <v>0.43744427189228857</v>
      </c>
      <c r="L36" s="16">
        <f>G36/'Clause 6'!$H$11</f>
        <v>19.7907312</v>
      </c>
      <c r="M36">
        <f t="shared" si="7"/>
        <v>5</v>
      </c>
      <c r="O36" s="91">
        <f t="shared" si="10"/>
        <v>-4.7363495089054575E-2</v>
      </c>
      <c r="P36" s="91">
        <f t="shared" si="8"/>
        <v>0.18766268726847235</v>
      </c>
      <c r="Q36" s="91">
        <f t="shared" si="8"/>
        <v>2.4939088657825792E-2</v>
      </c>
      <c r="R36" s="91">
        <f t="shared" si="8"/>
        <v>8.4543303786572599E-2</v>
      </c>
      <c r="S36" s="91">
        <f t="shared" si="8"/>
        <v>-0.24978158462381617</v>
      </c>
    </row>
    <row r="37" spans="1:19" ht="13.15" x14ac:dyDescent="0.4">
      <c r="A37" s="11" t="s">
        <v>92</v>
      </c>
      <c r="B37" s="34">
        <f t="shared" ref="B37:F37" si="37">G81</f>
        <v>11.797140000000001</v>
      </c>
      <c r="C37" s="34">
        <f t="shared" si="37"/>
        <v>16.789082000000001</v>
      </c>
      <c r="D37" s="34">
        <f t="shared" si="37"/>
        <v>13.246886</v>
      </c>
      <c r="E37" s="34">
        <f t="shared" si="37"/>
        <v>14.513688999999999</v>
      </c>
      <c r="F37" s="34">
        <f t="shared" si="37"/>
        <v>9.3180049999999994</v>
      </c>
      <c r="G37" s="37">
        <f t="shared" si="2"/>
        <v>13.132960399999998</v>
      </c>
      <c r="H37" s="38">
        <f t="shared" si="3"/>
        <v>631.83151837454591</v>
      </c>
      <c r="I37" s="36">
        <f t="shared" si="4"/>
        <v>0.19149924096155385</v>
      </c>
      <c r="J37" s="36">
        <f t="shared" si="5"/>
        <v>0.156</v>
      </c>
      <c r="K37" s="36">
        <f t="shared" si="6"/>
        <v>0.56887988484302454</v>
      </c>
      <c r="L37" s="16">
        <f>G37/'Clause 6'!$H$11</f>
        <v>13.132960399999998</v>
      </c>
      <c r="M37">
        <f t="shared" si="7"/>
        <v>5</v>
      </c>
      <c r="O37" s="91">
        <f t="shared" si="10"/>
        <v>-0.10171510149379559</v>
      </c>
      <c r="P37" s="91">
        <f t="shared" si="8"/>
        <v>0.27839279862596733</v>
      </c>
      <c r="Q37" s="91">
        <f t="shared" si="8"/>
        <v>8.6747843997154739E-3</v>
      </c>
      <c r="R37" s="91">
        <f t="shared" si="8"/>
        <v>0.10513460468517066</v>
      </c>
      <c r="S37" s="91">
        <f t="shared" si="8"/>
        <v>-0.29048708621705732</v>
      </c>
    </row>
    <row r="38" spans="1:19" ht="13.15" x14ac:dyDescent="0.4">
      <c r="A38" s="11" t="s">
        <v>93</v>
      </c>
      <c r="B38" s="34">
        <f t="shared" ref="B38:F38" si="38">G82</f>
        <v>7.3869939999999996</v>
      </c>
      <c r="C38" s="34"/>
      <c r="D38" s="34">
        <f t="shared" si="38"/>
        <v>7.4513740000000004</v>
      </c>
      <c r="E38" s="34">
        <f t="shared" si="38"/>
        <v>8.2789350000000006</v>
      </c>
      <c r="F38" s="34">
        <f t="shared" si="38"/>
        <v>5.9389479999999999</v>
      </c>
      <c r="G38" s="37">
        <f t="shared" si="2"/>
        <v>7.2640627499999999</v>
      </c>
      <c r="H38" s="38">
        <f t="shared" si="3"/>
        <v>349.47671028540378</v>
      </c>
      <c r="I38" s="36">
        <f t="shared" si="4"/>
        <v>0.11591792643496149</v>
      </c>
      <c r="J38" s="36">
        <f t="shared" si="5"/>
        <v>0.193</v>
      </c>
      <c r="K38" s="36">
        <f t="shared" si="6"/>
        <v>0.32213199149470462</v>
      </c>
      <c r="L38" s="16">
        <f>G38/'Clause 6'!$H$11</f>
        <v>7.2640627499999999</v>
      </c>
      <c r="M38">
        <f t="shared" si="7"/>
        <v>4</v>
      </c>
      <c r="O38" s="91">
        <f t="shared" si="10"/>
        <v>1.6923208709891613E-2</v>
      </c>
      <c r="P38" s="91">
        <f t="shared" si="8"/>
        <v>0</v>
      </c>
      <c r="Q38" s="91">
        <f t="shared" si="8"/>
        <v>2.578601761115018E-2</v>
      </c>
      <c r="R38" s="91">
        <f t="shared" si="8"/>
        <v>0.13971138258683147</v>
      </c>
      <c r="S38" s="91">
        <f t="shared" si="8"/>
        <v>-0.18242060890787326</v>
      </c>
    </row>
    <row r="40" spans="1:19" x14ac:dyDescent="0.35">
      <c r="A40" t="s">
        <v>94</v>
      </c>
    </row>
    <row r="41" spans="1:19" ht="15" x14ac:dyDescent="0.5">
      <c r="A41" s="40"/>
      <c r="B41" s="41" t="s">
        <v>95</v>
      </c>
      <c r="C41" s="40"/>
      <c r="D41" s="42" t="s">
        <v>96</v>
      </c>
      <c r="E41" s="43"/>
      <c r="F41" s="43"/>
      <c r="G41" s="43"/>
      <c r="H41" s="44"/>
    </row>
    <row r="42" spans="1:19" ht="15" x14ac:dyDescent="0.5">
      <c r="A42" s="45" t="s">
        <v>97</v>
      </c>
      <c r="B42" s="46" t="s">
        <v>98</v>
      </c>
      <c r="C42" s="45" t="s">
        <v>99</v>
      </c>
      <c r="D42" s="45" t="s">
        <v>100</v>
      </c>
      <c r="E42" s="46" t="s">
        <v>101</v>
      </c>
      <c r="F42" s="46" t="s">
        <v>102</v>
      </c>
      <c r="G42" s="46" t="s">
        <v>103</v>
      </c>
      <c r="H42" s="47" t="s">
        <v>104</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x14ac:dyDescent="0.35">
      <c r="A51" s="55">
        <f>'6 - B1'!A51</f>
        <v>0</v>
      </c>
      <c r="B51" s="56" t="str">
        <f>'6 - B1'!B51</f>
        <v>Portion 1</v>
      </c>
      <c r="C51" s="56" t="str">
        <f>'6 - B1'!C51</f>
        <v>Portion 2</v>
      </c>
      <c r="D51" s="56" t="str">
        <f>'6 - B1'!D51</f>
        <v>Portion 3</v>
      </c>
      <c r="E51" s="56" t="str">
        <f>'6 - B1'!E51</f>
        <v>Portion 4</v>
      </c>
      <c r="F51" s="56" t="str">
        <f>'6 - B1'!F51</f>
        <v>Portion 5</v>
      </c>
      <c r="G51" s="56" t="str">
        <f>'6 - B1'!G51</f>
        <v>Portion 1</v>
      </c>
      <c r="H51" s="56" t="str">
        <f>'6 - B1'!H51</f>
        <v>Portion 2</v>
      </c>
      <c r="I51" s="56" t="str">
        <f>'6 - B1'!I51</f>
        <v>Portion 3</v>
      </c>
      <c r="J51" s="56" t="str">
        <f>'6 - B1'!J51</f>
        <v>Portion 4</v>
      </c>
      <c r="K51" s="56" t="str">
        <f>'6 - B1'!K51</f>
        <v>Portion 5</v>
      </c>
      <c r="L51" s="56" t="str">
        <f>'6 - B1'!L51</f>
        <v>Portion 1</v>
      </c>
      <c r="M51" s="56" t="str">
        <f>'6 - B1'!M51</f>
        <v>Portion 2</v>
      </c>
      <c r="N51" s="56" t="str">
        <f>'6 - B1'!N51</f>
        <v>Portion 3</v>
      </c>
      <c r="O51" s="56" t="str">
        <f>'6 - B1'!O51</f>
        <v>Portion 4</v>
      </c>
      <c r="P51" s="56" t="str">
        <f>'6 - B1'!P51</f>
        <v>Portion 5</v>
      </c>
    </row>
    <row r="52" spans="1:16" x14ac:dyDescent="0.35">
      <c r="A52" s="57" t="str">
        <f>'6 - B1'!A52</f>
        <v>NAME\mL</v>
      </c>
      <c r="B52" s="55">
        <f>'6 - B1'!B52</f>
        <v>9.1759740000000001</v>
      </c>
      <c r="C52" s="55">
        <f>'6 - B1'!C52</f>
        <v>9.9552340000000008</v>
      </c>
      <c r="D52" s="55">
        <f>'6 - B1'!D52</f>
        <v>9.8815059999999999</v>
      </c>
      <c r="E52" s="55">
        <f>'6 - B1'!E52</f>
        <v>9.9010990000000003</v>
      </c>
      <c r="F52" s="55">
        <f>'6 - B1'!F52</f>
        <v>9.88279</v>
      </c>
      <c r="G52" s="55">
        <f>'6 - B1'!G52</f>
        <v>9.0699950000000005</v>
      </c>
      <c r="H52" s="55">
        <f>'6 - B1'!H52</f>
        <v>9.8278160000000003</v>
      </c>
      <c r="I52" s="55">
        <f>'6 - B1'!I52</f>
        <v>9.6626480000000008</v>
      </c>
      <c r="J52" s="55">
        <f>'6 - B1'!J52</f>
        <v>9.7838670000000008</v>
      </c>
      <c r="K52" s="55">
        <f>'6 - B1'!K52</f>
        <v>9.7660389999999992</v>
      </c>
      <c r="L52" s="55">
        <f>'6 - B1'!L52</f>
        <v>9.045318</v>
      </c>
      <c r="M52" s="55">
        <f>'6 - B1'!M52</f>
        <v>9.7598950000000002</v>
      </c>
      <c r="N52" s="55">
        <f>'6 - B1'!N52</f>
        <v>9.8320340000000002</v>
      </c>
      <c r="O52" s="55">
        <f>'6 - B1'!O52</f>
        <v>9.6718329999999995</v>
      </c>
      <c r="P52" s="55">
        <f>'6 - B1'!P52</f>
        <v>8.9313339999999997</v>
      </c>
    </row>
    <row r="53" spans="1:16" x14ac:dyDescent="0.35">
      <c r="A53" s="57">
        <f>'6 - B1'!A53</f>
        <v>4</v>
      </c>
      <c r="B53" s="55">
        <f>'6 - B1'!B53</f>
        <v>14492.739258</v>
      </c>
      <c r="C53" s="55">
        <f>'6 - B1'!C53</f>
        <v>12860.973633</v>
      </c>
      <c r="D53" s="55">
        <f>'6 - B1'!D53</f>
        <v>14234.571289</v>
      </c>
      <c r="E53" s="55">
        <f>'6 - B1'!E53</f>
        <v>13788.266602</v>
      </c>
      <c r="F53" s="55">
        <f>'6 - B1'!F53</f>
        <v>13677.616211</v>
      </c>
      <c r="G53" s="55">
        <f>'6 - B1'!G53</f>
        <v>15339.479492</v>
      </c>
      <c r="H53" s="55">
        <f>'6 - B1'!H53</f>
        <v>14935.872069999999</v>
      </c>
      <c r="I53" s="55">
        <f>'6 - B1'!I53</f>
        <v>15886.638671999999</v>
      </c>
      <c r="J53" s="55">
        <f>'6 - B1'!J53</f>
        <v>15922.333984000001</v>
      </c>
      <c r="K53" s="55">
        <f>'6 - B1'!K53</f>
        <v>14797.708984000001</v>
      </c>
      <c r="L53" s="55">
        <f>'6 - B1'!L53</f>
        <v>15891.647461</v>
      </c>
      <c r="M53" s="55">
        <f>'6 - B1'!M53</f>
        <v>15092.375</v>
      </c>
      <c r="N53" s="55">
        <f>'6 - B1'!N53</f>
        <v>15371.793944999999</v>
      </c>
      <c r="O53" s="55">
        <f>'6 - B1'!O53</f>
        <v>15648.740234000001</v>
      </c>
      <c r="P53" s="55">
        <f>'6 - B1'!P53</f>
        <v>14286.21875</v>
      </c>
    </row>
    <row r="54" spans="1:16" x14ac:dyDescent="0.35">
      <c r="A54" s="57">
        <f>'6 - B1'!A54</f>
        <v>5</v>
      </c>
      <c r="B54" s="55">
        <f>'6 - B1'!B54</f>
        <v>12684.974609000001</v>
      </c>
      <c r="C54" s="55">
        <f>'6 - B1'!C54</f>
        <v>11269.248046999999</v>
      </c>
      <c r="D54" s="55">
        <f>'6 - B1'!D54</f>
        <v>12412.885742</v>
      </c>
      <c r="E54" s="55">
        <f>'6 - B1'!E54</f>
        <v>12033.007812</v>
      </c>
      <c r="F54" s="55">
        <f>'6 - B1'!F54</f>
        <v>11935.293944999999</v>
      </c>
      <c r="G54" s="55">
        <f>'6 - B1'!G54</f>
        <v>13298.794921999999</v>
      </c>
      <c r="H54" s="55">
        <f>'6 - B1'!H54</f>
        <v>12989.253906</v>
      </c>
      <c r="I54" s="55">
        <f>'6 - B1'!I54</f>
        <v>13805.221680000001</v>
      </c>
      <c r="J54" s="55">
        <f>'6 - B1'!J54</f>
        <v>13851.374023</v>
      </c>
      <c r="K54" s="55">
        <f>'6 - B1'!K54</f>
        <v>12902.160156</v>
      </c>
      <c r="L54" s="55">
        <f>'6 - B1'!L54</f>
        <v>13821.183594</v>
      </c>
      <c r="M54" s="55">
        <f>'6 - B1'!M54</f>
        <v>13170.018555000001</v>
      </c>
      <c r="N54" s="55">
        <f>'6 - B1'!N54</f>
        <v>13428.350586</v>
      </c>
      <c r="O54" s="55">
        <f>'6 - B1'!O54</f>
        <v>13642.501953000001</v>
      </c>
      <c r="P54" s="55">
        <f>'6 - B1'!P54</f>
        <v>12427.146484000001</v>
      </c>
    </row>
    <row r="55" spans="1:16" x14ac:dyDescent="0.35">
      <c r="A55" s="57">
        <f>'6 - B1'!A55</f>
        <v>6</v>
      </c>
      <c r="B55" s="55">
        <f>'6 - B1'!B55</f>
        <v>11073.702148</v>
      </c>
      <c r="C55" s="55">
        <f>'6 - B1'!C55</f>
        <v>9866.6699219999991</v>
      </c>
      <c r="D55" s="55">
        <f>'6 - B1'!D55</f>
        <v>10847.03125</v>
      </c>
      <c r="E55" s="55">
        <f>'6 - B1'!E55</f>
        <v>10526.002930000001</v>
      </c>
      <c r="F55" s="55">
        <f>'6 - B1'!F55</f>
        <v>10454.538086</v>
      </c>
      <c r="G55" s="55">
        <f>'6 - B1'!G55</f>
        <v>11565.055664</v>
      </c>
      <c r="H55" s="55">
        <f>'6 - B1'!H55</f>
        <v>11358.169921999999</v>
      </c>
      <c r="I55" s="55">
        <f>'6 - B1'!I55</f>
        <v>12015.339844</v>
      </c>
      <c r="J55" s="55">
        <f>'6 - B1'!J55</f>
        <v>12044.113281</v>
      </c>
      <c r="K55" s="55">
        <f>'6 - B1'!K55</f>
        <v>11246.525390999999</v>
      </c>
      <c r="L55" s="55">
        <f>'6 - B1'!L55</f>
        <v>12019.920898</v>
      </c>
      <c r="M55" s="55">
        <f>'6 - B1'!M55</f>
        <v>11503.197265999999</v>
      </c>
      <c r="N55" s="55">
        <f>'6 - B1'!N55</f>
        <v>11750.875</v>
      </c>
      <c r="O55" s="55">
        <f>'6 - B1'!O55</f>
        <v>11892.264648</v>
      </c>
      <c r="P55" s="55">
        <f>'6 - B1'!P55</f>
        <v>10793.907227</v>
      </c>
    </row>
    <row r="56" spans="1:16" x14ac:dyDescent="0.35">
      <c r="A56" s="57">
        <f>'6 - B1'!A56</f>
        <v>7</v>
      </c>
      <c r="B56" s="55">
        <f>'6 - B1'!B56</f>
        <v>9649.9833980000003</v>
      </c>
      <c r="C56" s="55">
        <f>'6 - B1'!C56</f>
        <v>8628.4267579999996</v>
      </c>
      <c r="D56" s="55">
        <f>'6 - B1'!D56</f>
        <v>9437.9335940000001</v>
      </c>
      <c r="E56" s="55">
        <f>'6 - B1'!E56</f>
        <v>9153.2265619999998</v>
      </c>
      <c r="F56" s="55">
        <f>'6 - B1'!F56</f>
        <v>9129.0009769999997</v>
      </c>
      <c r="G56" s="55">
        <f>'6 - B1'!G56</f>
        <v>10015.110352</v>
      </c>
      <c r="H56" s="55">
        <f>'6 - B1'!H56</f>
        <v>9886.4287110000005</v>
      </c>
      <c r="I56" s="55">
        <f>'6 - B1'!I56</f>
        <v>10425.816406</v>
      </c>
      <c r="J56" s="55">
        <f>'6 - B1'!J56</f>
        <v>10443.416992</v>
      </c>
      <c r="K56" s="55">
        <f>'6 - B1'!K56</f>
        <v>9748.4765619999998</v>
      </c>
      <c r="L56" s="55">
        <f>'6 - B1'!L56</f>
        <v>10432.027344</v>
      </c>
      <c r="M56" s="55">
        <f>'6 - B1'!M56</f>
        <v>10012.915039</v>
      </c>
      <c r="N56" s="55">
        <f>'6 - B1'!N56</f>
        <v>10237.962890999999</v>
      </c>
      <c r="O56" s="55">
        <f>'6 - B1'!O56</f>
        <v>10337.647461</v>
      </c>
      <c r="P56" s="55">
        <f>'6 - B1'!P56</f>
        <v>9380.4570309999999</v>
      </c>
    </row>
    <row r="57" spans="1:16" x14ac:dyDescent="0.35">
      <c r="A57" s="57">
        <f>'6 - B1'!A57</f>
        <v>8</v>
      </c>
      <c r="B57" s="55">
        <f>'6 - B1'!B57</f>
        <v>8344.8359380000002</v>
      </c>
      <c r="C57" s="55">
        <f>'6 - B1'!C57</f>
        <v>7482.3959960000002</v>
      </c>
      <c r="D57" s="55">
        <f>'6 - B1'!D57</f>
        <v>8178.9150390000004</v>
      </c>
      <c r="E57" s="55">
        <f>'6 - B1'!E57</f>
        <v>7934.5737300000001</v>
      </c>
      <c r="F57" s="55">
        <f>'6 - B1'!F57</f>
        <v>7917.298828</v>
      </c>
      <c r="G57" s="55">
        <f>'6 - B1'!G57</f>
        <v>8657.3369139999995</v>
      </c>
      <c r="H57" s="55">
        <f>'6 - B1'!H57</f>
        <v>8580.6445309999999</v>
      </c>
      <c r="I57" s="55">
        <f>'6 - B1'!I57</f>
        <v>9025.0625</v>
      </c>
      <c r="J57" s="55">
        <f>'6 - B1'!J57</f>
        <v>9028.1279300000006</v>
      </c>
      <c r="K57" s="55">
        <f>'6 - B1'!K57</f>
        <v>8444.6728519999997</v>
      </c>
      <c r="L57" s="55">
        <f>'6 - B1'!L57</f>
        <v>9033.734375</v>
      </c>
      <c r="M57" s="55">
        <f>'6 - B1'!M57</f>
        <v>8675.6054690000001</v>
      </c>
      <c r="N57" s="55">
        <f>'6 - B1'!N57</f>
        <v>8870.3925780000009</v>
      </c>
      <c r="O57" s="55">
        <f>'6 - B1'!O57</f>
        <v>8956.5234380000002</v>
      </c>
      <c r="P57" s="55">
        <f>'6 - B1'!P57</f>
        <v>8094.1992190000001</v>
      </c>
    </row>
    <row r="58" spans="1:16" x14ac:dyDescent="0.35">
      <c r="A58" s="57">
        <f>'6 - B1'!A58</f>
        <v>9</v>
      </c>
      <c r="B58" s="55">
        <f>'6 - B1'!B58</f>
        <v>7211.1147460000002</v>
      </c>
      <c r="C58" s="55">
        <f>'6 - B1'!C58</f>
        <v>6489.3505859999996</v>
      </c>
      <c r="D58" s="55">
        <f>'6 - B1'!D58</f>
        <v>7063.8017579999996</v>
      </c>
      <c r="E58" s="55">
        <f>'6 - B1'!E58</f>
        <v>6853.3803710000002</v>
      </c>
      <c r="F58" s="55">
        <f>'6 - B1'!F58</f>
        <v>6851.1020509999998</v>
      </c>
      <c r="G58" s="55">
        <f>'6 - B1'!G58</f>
        <v>7468.9125979999999</v>
      </c>
      <c r="H58" s="55">
        <f>'6 - B1'!H58</f>
        <v>7421.486328</v>
      </c>
      <c r="I58" s="55">
        <f>'6 - B1'!I58</f>
        <v>7797.3447269999997</v>
      </c>
      <c r="J58" s="55">
        <f>'6 - B1'!J58</f>
        <v>7771.6713870000003</v>
      </c>
      <c r="K58" s="55">
        <f>'6 - B1'!K58</f>
        <v>7281.1503910000001</v>
      </c>
      <c r="L58" s="55">
        <f>'6 - B1'!L58</f>
        <v>7777.9467770000001</v>
      </c>
      <c r="M58" s="55">
        <f>'6 - B1'!M58</f>
        <v>7487.8876950000003</v>
      </c>
      <c r="N58" s="55">
        <f>'6 - B1'!N58</f>
        <v>7678.0654299999997</v>
      </c>
      <c r="O58" s="55">
        <f>'6 - B1'!O58</f>
        <v>7722.6313479999999</v>
      </c>
      <c r="P58" s="55">
        <f>'6 - B1'!P58</f>
        <v>6957.3027339999999</v>
      </c>
    </row>
    <row r="59" spans="1:16" x14ac:dyDescent="0.35">
      <c r="A59" s="57">
        <f>'6 - B1'!A59</f>
        <v>10</v>
      </c>
      <c r="B59" s="55">
        <f>'6 - B1'!B59</f>
        <v>6191.0595700000003</v>
      </c>
      <c r="C59" s="55">
        <f>'6 - B1'!C59</f>
        <v>5588.3168949999999</v>
      </c>
      <c r="D59" s="55">
        <f>'6 - B1'!D59</f>
        <v>6058.6918949999999</v>
      </c>
      <c r="E59" s="55">
        <f>'6 - B1'!E59</f>
        <v>5904.1928710000002</v>
      </c>
      <c r="F59" s="55">
        <f>'6 - B1'!F59</f>
        <v>5891.8588870000003</v>
      </c>
      <c r="G59" s="55">
        <f>'6 - B1'!G59</f>
        <v>6408.2724609999996</v>
      </c>
      <c r="H59" s="55">
        <f>'6 - B1'!H59</f>
        <v>6355.4301759999998</v>
      </c>
      <c r="I59" s="55">
        <f>'6 - B1'!I59</f>
        <v>6682.1225590000004</v>
      </c>
      <c r="J59" s="55">
        <f>'6 - B1'!J59</f>
        <v>6636.9462890000004</v>
      </c>
      <c r="K59" s="55">
        <f>'6 - B1'!K59</f>
        <v>6245.5209960000002</v>
      </c>
      <c r="L59" s="55">
        <f>'6 - B1'!L59</f>
        <v>6693.8500979999999</v>
      </c>
      <c r="M59" s="55">
        <f>'6 - B1'!M59</f>
        <v>6428.6547849999997</v>
      </c>
      <c r="N59" s="55">
        <f>'6 - B1'!N59</f>
        <v>6619.7900390000004</v>
      </c>
      <c r="O59" s="55">
        <f>'6 - B1'!O59</f>
        <v>6621.5991210000002</v>
      </c>
      <c r="P59" s="55">
        <f>'6 - B1'!P59</f>
        <v>5929.6850590000004</v>
      </c>
    </row>
    <row r="60" spans="1:16" x14ac:dyDescent="0.35">
      <c r="A60" s="57">
        <f>'6 - B1'!A60</f>
        <v>11</v>
      </c>
      <c r="B60" s="55">
        <f>'6 - B1'!B60</f>
        <v>5263.6376950000003</v>
      </c>
      <c r="C60" s="55">
        <f>'6 - B1'!C60</f>
        <v>4755.9907229999999</v>
      </c>
      <c r="D60" s="55">
        <f>'6 - B1'!D60</f>
        <v>5160.6503910000001</v>
      </c>
      <c r="E60" s="55">
        <f>'6 - B1'!E60</f>
        <v>5031.1586909999996</v>
      </c>
      <c r="F60" s="55">
        <f>'6 - B1'!F60</f>
        <v>5023.2778319999998</v>
      </c>
      <c r="G60" s="55">
        <f>'6 - B1'!G60</f>
        <v>5429.2202150000003</v>
      </c>
      <c r="H60" s="55">
        <f>'6 - B1'!H60</f>
        <v>5403.3369140000004</v>
      </c>
      <c r="I60" s="55">
        <f>'6 - B1'!I60</f>
        <v>5660.1459960000002</v>
      </c>
      <c r="J60" s="55">
        <f>'6 - B1'!J60</f>
        <v>5610.3583980000003</v>
      </c>
      <c r="K60" s="55">
        <f>'6 - B1'!K60</f>
        <v>5273.6835940000001</v>
      </c>
      <c r="L60" s="55">
        <f>'6 - B1'!L60</f>
        <v>5686.9204099999997</v>
      </c>
      <c r="M60" s="55">
        <f>'6 - B1'!M60</f>
        <v>5450.6733400000003</v>
      </c>
      <c r="N60" s="55">
        <f>'6 - B1'!N60</f>
        <v>5605.2490230000003</v>
      </c>
      <c r="O60" s="55">
        <f>'6 - B1'!O60</f>
        <v>5620.1342770000001</v>
      </c>
      <c r="P60" s="55">
        <f>'6 - B1'!P60</f>
        <v>4987.4965819999998</v>
      </c>
    </row>
    <row r="61" spans="1:16" x14ac:dyDescent="0.35">
      <c r="A61" s="57">
        <f>'6 - B1'!A61</f>
        <v>12</v>
      </c>
      <c r="B61" s="55">
        <f>'6 - B1'!B61</f>
        <v>4441.4902339999999</v>
      </c>
      <c r="C61" s="55">
        <f>'6 - B1'!C61</f>
        <v>4004.6271969999998</v>
      </c>
      <c r="D61" s="55">
        <f>'6 - B1'!D61</f>
        <v>4344.8842770000001</v>
      </c>
      <c r="E61" s="55">
        <f>'6 - B1'!E61</f>
        <v>4240.5390619999998</v>
      </c>
      <c r="F61" s="55">
        <f>'6 - B1'!F61</f>
        <v>4219.4565430000002</v>
      </c>
      <c r="G61" s="55">
        <f>'6 - B1'!G61</f>
        <v>4560.6420900000003</v>
      </c>
      <c r="H61" s="55">
        <f>'6 - B1'!H61</f>
        <v>4538.75</v>
      </c>
      <c r="I61" s="55">
        <f>'6 - B1'!I61</f>
        <v>4727.2753910000001</v>
      </c>
      <c r="J61" s="55">
        <f>'6 - B1'!J61</f>
        <v>4691.4990230000003</v>
      </c>
      <c r="K61" s="55">
        <f>'6 - B1'!K61</f>
        <v>4417.7583009999998</v>
      </c>
      <c r="L61" s="55">
        <f>'6 - B1'!L61</f>
        <v>4759.2578119999998</v>
      </c>
      <c r="M61" s="55">
        <f>'6 - B1'!M61</f>
        <v>4580.5820309999999</v>
      </c>
      <c r="N61" s="55">
        <f>'6 - B1'!N61</f>
        <v>4694.3491210000002</v>
      </c>
      <c r="O61" s="55">
        <f>'6 - B1'!O61</f>
        <v>4713.0673829999996</v>
      </c>
      <c r="P61" s="55">
        <f>'6 - B1'!P61</f>
        <v>4144.2856449999999</v>
      </c>
    </row>
    <row r="62" spans="1:16" x14ac:dyDescent="0.35">
      <c r="A62" s="57">
        <f>'6 - B1'!A62</f>
        <v>13</v>
      </c>
      <c r="B62" s="55">
        <f>'6 - B1'!B62</f>
        <v>3692.578125</v>
      </c>
      <c r="C62" s="55">
        <f>'6 - B1'!C62</f>
        <v>3340.1525879999999</v>
      </c>
      <c r="D62" s="55">
        <f>'6 - B1'!D62</f>
        <v>3602.4873050000001</v>
      </c>
      <c r="E62" s="55">
        <f>'6 - B1'!E62</f>
        <v>3531.7290039999998</v>
      </c>
      <c r="F62" s="55">
        <f>'6 - B1'!F62</f>
        <v>3512.4697270000001</v>
      </c>
      <c r="G62" s="55">
        <f>'6 - B1'!G62</f>
        <v>3771.7770999999998</v>
      </c>
      <c r="H62" s="55">
        <f>'6 - B1'!H62</f>
        <v>3752.3088379999999</v>
      </c>
      <c r="I62" s="55">
        <f>'6 - B1'!I62</f>
        <v>3894.3774410000001</v>
      </c>
      <c r="J62" s="55">
        <f>'6 - B1'!J62</f>
        <v>3883.7404790000001</v>
      </c>
      <c r="K62" s="55">
        <f>'6 - B1'!K62</f>
        <v>3648.9716800000001</v>
      </c>
      <c r="L62" s="55">
        <f>'6 - B1'!L62</f>
        <v>3926.2302249999998</v>
      </c>
      <c r="M62" s="55">
        <f>'6 - B1'!M62</f>
        <v>3790.921875</v>
      </c>
      <c r="N62" s="55">
        <f>'6 - B1'!N62</f>
        <v>3868.4772950000001</v>
      </c>
      <c r="O62" s="55">
        <f>'6 - B1'!O62</f>
        <v>3907.0153810000002</v>
      </c>
      <c r="P62" s="55">
        <f>'6 - B1'!P62</f>
        <v>3388.5192870000001</v>
      </c>
    </row>
    <row r="63" spans="1:16" x14ac:dyDescent="0.35">
      <c r="A63" s="57">
        <f>'6 - B1'!A63</f>
        <v>14</v>
      </c>
      <c r="B63" s="55">
        <f>'6 - B1'!B63</f>
        <v>3010.0346679999998</v>
      </c>
      <c r="C63" s="55">
        <f>'6 - B1'!C63</f>
        <v>2735.6464839999999</v>
      </c>
      <c r="D63" s="55">
        <f>'6 - B1'!D63</f>
        <v>2951.6755370000001</v>
      </c>
      <c r="E63" s="55">
        <f>'6 - B1'!E63</f>
        <v>2884.5283199999999</v>
      </c>
      <c r="F63" s="55">
        <f>'6 - B1'!F63</f>
        <v>2860.4272460000002</v>
      </c>
      <c r="G63" s="55">
        <f>'6 - B1'!G63</f>
        <v>3055.5695799999999</v>
      </c>
      <c r="H63" s="55">
        <f>'6 - B1'!H63</f>
        <v>3043.8095699999999</v>
      </c>
      <c r="I63" s="55">
        <f>'6 - B1'!I63</f>
        <v>3142.5131839999999</v>
      </c>
      <c r="J63" s="55">
        <f>'6 - B1'!J63</f>
        <v>3146.7109380000002</v>
      </c>
      <c r="K63" s="55">
        <f>'6 - B1'!K63</f>
        <v>2952.7836910000001</v>
      </c>
      <c r="L63" s="55">
        <f>'6 - B1'!L63</f>
        <v>3192.0383299999999</v>
      </c>
      <c r="M63" s="55">
        <f>'6 - B1'!M63</f>
        <v>3075.955078</v>
      </c>
      <c r="N63" s="55">
        <f>'6 - B1'!N63</f>
        <v>3151.5351559999999</v>
      </c>
      <c r="O63" s="55">
        <f>'6 - B1'!O63</f>
        <v>3168.6857909999999</v>
      </c>
      <c r="P63" s="55">
        <f>'6 - B1'!P63</f>
        <v>2732.0664059999999</v>
      </c>
    </row>
    <row r="64" spans="1:16" x14ac:dyDescent="0.35">
      <c r="A64" s="57">
        <f>'6 - B1'!A64</f>
        <v>15</v>
      </c>
      <c r="B64" s="55">
        <f>'6 - B1'!B64</f>
        <v>2418.5988769999999</v>
      </c>
      <c r="C64" s="55">
        <f>'6 - B1'!C64</f>
        <v>2209.491211</v>
      </c>
      <c r="D64" s="55">
        <f>'6 - B1'!D64</f>
        <v>2383.7458499999998</v>
      </c>
      <c r="E64" s="55">
        <f>'6 - B1'!E64</f>
        <v>2315.0964359999998</v>
      </c>
      <c r="F64" s="55">
        <f>'6 - B1'!F64</f>
        <v>2305.219482</v>
      </c>
      <c r="G64" s="55">
        <f>'6 - B1'!G64</f>
        <v>2430.100586</v>
      </c>
      <c r="H64" s="55">
        <f>'6 - B1'!H64</f>
        <v>2427.4975589999999</v>
      </c>
      <c r="I64" s="55">
        <f>'6 - B1'!I64</f>
        <v>2497.451904</v>
      </c>
      <c r="J64" s="55">
        <f>'6 - B1'!J64</f>
        <v>2500.0339359999998</v>
      </c>
      <c r="K64" s="55">
        <f>'6 - B1'!K64</f>
        <v>2351.6186520000001</v>
      </c>
      <c r="L64" s="55">
        <f>'6 - B1'!L64</f>
        <v>2548.2797850000002</v>
      </c>
      <c r="M64" s="55">
        <f>'6 - B1'!M64</f>
        <v>2445.5180660000001</v>
      </c>
      <c r="N64" s="55">
        <f>'6 - B1'!N64</f>
        <v>2524.1979980000001</v>
      </c>
      <c r="O64" s="55">
        <f>'6 - B1'!O64</f>
        <v>2529.5102539999998</v>
      </c>
      <c r="P64" s="55">
        <f>'6 - B1'!P64</f>
        <v>2149.95874</v>
      </c>
    </row>
    <row r="65" spans="1:16" x14ac:dyDescent="0.35">
      <c r="A65" s="57">
        <f>'6 - B1'!A65</f>
        <v>16</v>
      </c>
      <c r="B65" s="55">
        <f>'6 - B1'!B65</f>
        <v>1902.577393</v>
      </c>
      <c r="C65" s="55">
        <f>'6 - B1'!C65</f>
        <v>1751.1392820000001</v>
      </c>
      <c r="D65" s="55">
        <f>'6 - B1'!D65</f>
        <v>1875.5238039999999</v>
      </c>
      <c r="E65" s="55">
        <f>'6 - B1'!E65</f>
        <v>1835.250732</v>
      </c>
      <c r="F65" s="55">
        <f>'6 - B1'!F65</f>
        <v>1822.865845</v>
      </c>
      <c r="G65" s="55">
        <f>'6 - B1'!G65</f>
        <v>1895.9216309999999</v>
      </c>
      <c r="H65" s="55">
        <f>'6 - B1'!H65</f>
        <v>1908.2570800000001</v>
      </c>
      <c r="I65" s="55">
        <f>'6 - B1'!I65</f>
        <v>1951.224976</v>
      </c>
      <c r="J65" s="55">
        <f>'6 - B1'!J65</f>
        <v>1966.502686</v>
      </c>
      <c r="K65" s="55">
        <f>'6 - B1'!K65</f>
        <v>1837.6949460000001</v>
      </c>
      <c r="L65" s="55">
        <f>'6 - B1'!L65</f>
        <v>1996.7236330000001</v>
      </c>
      <c r="M65" s="55">
        <f>'6 - B1'!M65</f>
        <v>1918.4632570000001</v>
      </c>
      <c r="N65" s="55">
        <f>'6 - B1'!N65</f>
        <v>1977.9223629999999</v>
      </c>
      <c r="O65" s="55">
        <f>'6 - B1'!O65</f>
        <v>1980.079712</v>
      </c>
      <c r="P65" s="55">
        <f>'6 - B1'!P65</f>
        <v>1657.087158</v>
      </c>
    </row>
    <row r="66" spans="1:16" x14ac:dyDescent="0.35">
      <c r="A66" s="57">
        <f>'6 - B1'!A66</f>
        <v>17</v>
      </c>
      <c r="B66" s="55">
        <f>'6 - B1'!B66</f>
        <v>1466.765259</v>
      </c>
      <c r="C66" s="55">
        <f>'6 - B1'!C66</f>
        <v>1362.901245</v>
      </c>
      <c r="D66" s="55">
        <f>'6 - B1'!D66</f>
        <v>1449.880249</v>
      </c>
      <c r="E66" s="55">
        <f>'6 - B1'!E66</f>
        <v>1416.408447</v>
      </c>
      <c r="F66" s="55">
        <f>'6 - B1'!F66</f>
        <v>1408.205688</v>
      </c>
      <c r="G66" s="55">
        <f>'6 - B1'!G66</f>
        <v>1461.3017580000001</v>
      </c>
      <c r="H66" s="55">
        <f>'6 - B1'!H66</f>
        <v>1462.0745850000001</v>
      </c>
      <c r="I66" s="55">
        <f>'6 - B1'!I66</f>
        <v>1502.6936040000001</v>
      </c>
      <c r="J66" s="55">
        <f>'6 - B1'!J66</f>
        <v>1511.161255</v>
      </c>
      <c r="K66" s="55">
        <f>'6 - B1'!K66</f>
        <v>1403.3325199999999</v>
      </c>
      <c r="L66" s="55">
        <f>'6 - B1'!L66</f>
        <v>1531.621216</v>
      </c>
      <c r="M66" s="55">
        <f>'6 - B1'!M66</f>
        <v>1479.2166749999999</v>
      </c>
      <c r="N66" s="55">
        <f>'6 - B1'!N66</f>
        <v>1527.5577390000001</v>
      </c>
      <c r="O66" s="55">
        <f>'6 - B1'!O66</f>
        <v>1518.0162350000001</v>
      </c>
      <c r="P66" s="55">
        <f>'6 - B1'!P66</f>
        <v>1242.031616</v>
      </c>
    </row>
    <row r="67" spans="1:16" x14ac:dyDescent="0.35">
      <c r="A67" s="57">
        <f>'6 - B1'!A67</f>
        <v>18</v>
      </c>
      <c r="B67" s="55">
        <f>'6 - B1'!B67</f>
        <v>1125.3302000000001</v>
      </c>
      <c r="C67" s="55">
        <f>'6 - B1'!C67</f>
        <v>1045.480225</v>
      </c>
      <c r="D67" s="55">
        <f>'6 - B1'!D67</f>
        <v>1107.928345</v>
      </c>
      <c r="E67" s="55">
        <f>'6 - B1'!E67</f>
        <v>1074.3251949999999</v>
      </c>
      <c r="F67" s="55">
        <f>'6 - B1'!F67</f>
        <v>1078.8452150000001</v>
      </c>
      <c r="G67" s="55">
        <f>'6 - B1'!G67</f>
        <v>1105.7337649999999</v>
      </c>
      <c r="H67" s="55">
        <f>'6 - B1'!H67</f>
        <v>1109.7073969999999</v>
      </c>
      <c r="I67" s="55">
        <f>'6 - B1'!I67</f>
        <v>1133.3332519999999</v>
      </c>
      <c r="J67" s="55">
        <f>'6 - B1'!J67</f>
        <v>1139.1201169999999</v>
      </c>
      <c r="K67" s="55">
        <f>'6 - B1'!K67</f>
        <v>1065.734009</v>
      </c>
      <c r="L67" s="55">
        <f>'6 - B1'!L67</f>
        <v>1165.35437</v>
      </c>
      <c r="M67" s="55">
        <f>'6 - B1'!M67</f>
        <v>1125.2170410000001</v>
      </c>
      <c r="N67" s="55">
        <f>'6 - B1'!N67</f>
        <v>1161.509399</v>
      </c>
      <c r="O67" s="55">
        <f>'6 - B1'!O67</f>
        <v>1150.9710689999999</v>
      </c>
      <c r="P67" s="55">
        <f>'6 - B1'!P67</f>
        <v>926.28936799999997</v>
      </c>
    </row>
    <row r="68" spans="1:16" x14ac:dyDescent="0.35">
      <c r="A68" s="57">
        <f>'6 - B1'!A68</f>
        <v>19</v>
      </c>
      <c r="B68" s="55">
        <f>'6 - B1'!B68</f>
        <v>860.50811799999997</v>
      </c>
      <c r="C68" s="55">
        <f>'6 - B1'!C68</f>
        <v>785.01422100000002</v>
      </c>
      <c r="D68" s="55">
        <f>'6 - B1'!D68</f>
        <v>836.00616500000001</v>
      </c>
      <c r="E68" s="55">
        <f>'6 - B1'!E68</f>
        <v>828.49389599999995</v>
      </c>
      <c r="F68" s="55">
        <f>'6 - B1'!F68</f>
        <v>828.20745799999997</v>
      </c>
      <c r="G68" s="55">
        <f>'6 - B1'!G68</f>
        <v>836.71490500000004</v>
      </c>
      <c r="H68" s="55">
        <f>'6 - B1'!H68</f>
        <v>834.56994599999996</v>
      </c>
      <c r="I68" s="55">
        <f>'6 - B1'!I68</f>
        <v>856.49395800000002</v>
      </c>
      <c r="J68" s="55">
        <f>'6 - B1'!J68</f>
        <v>861.82690400000001</v>
      </c>
      <c r="K68" s="55">
        <f>'6 - B1'!K68</f>
        <v>804.11309800000004</v>
      </c>
      <c r="L68" s="55">
        <f>'6 - B1'!L68</f>
        <v>881.11883499999999</v>
      </c>
      <c r="M68" s="55">
        <f>'6 - B1'!M68</f>
        <v>849.29187000000002</v>
      </c>
      <c r="N68" s="55">
        <f>'6 - B1'!N68</f>
        <v>880.59094200000004</v>
      </c>
      <c r="O68" s="55">
        <f>'6 - B1'!O68</f>
        <v>870.67260699999997</v>
      </c>
      <c r="P68" s="55">
        <f>'6 - B1'!P68</f>
        <v>680.97326699999996</v>
      </c>
    </row>
    <row r="69" spans="1:16" x14ac:dyDescent="0.35">
      <c r="A69" s="57">
        <f>'6 - B1'!A69</f>
        <v>20</v>
      </c>
      <c r="B69" s="55">
        <f>'6 - B1'!B69</f>
        <v>650.83007799999996</v>
      </c>
      <c r="C69" s="55">
        <f>'6 - B1'!C69</f>
        <v>591.34722899999997</v>
      </c>
      <c r="D69" s="55">
        <f>'6 - B1'!D69</f>
        <v>638.97143600000004</v>
      </c>
      <c r="E69" s="55">
        <f>'6 - B1'!E69</f>
        <v>632.15203899999995</v>
      </c>
      <c r="F69" s="55">
        <f>'6 - B1'!F69</f>
        <v>624.621216</v>
      </c>
      <c r="G69" s="55">
        <f>'6 - B1'!G69</f>
        <v>628.66625999999997</v>
      </c>
      <c r="H69" s="55">
        <f>'6 - B1'!H69</f>
        <v>624.65557899999999</v>
      </c>
      <c r="I69" s="55">
        <f>'6 - B1'!I69</f>
        <v>645.26824999999997</v>
      </c>
      <c r="J69" s="55">
        <f>'6 - B1'!J69</f>
        <v>645.45031700000004</v>
      </c>
      <c r="K69" s="55">
        <f>'6 - B1'!K69</f>
        <v>601.77929700000004</v>
      </c>
      <c r="L69" s="55">
        <f>'6 - B1'!L69</f>
        <v>672.72375499999998</v>
      </c>
      <c r="M69" s="55">
        <f>'6 - B1'!M69</f>
        <v>633.81829800000003</v>
      </c>
      <c r="N69" s="55">
        <f>'6 - B1'!N69</f>
        <v>660.90087900000003</v>
      </c>
      <c r="O69" s="55">
        <f>'6 - B1'!O69</f>
        <v>651.78955099999996</v>
      </c>
      <c r="P69" s="55">
        <f>'6 - B1'!P69</f>
        <v>494.32702599999999</v>
      </c>
    </row>
    <row r="70" spans="1:16" x14ac:dyDescent="0.35">
      <c r="A70" s="57">
        <f>'6 - B1'!A70</f>
        <v>21</v>
      </c>
      <c r="B70" s="55">
        <f>'6 - B1'!B70</f>
        <v>498.91162100000003</v>
      </c>
      <c r="C70" s="55">
        <f>'6 - B1'!C70</f>
        <v>448.40734900000001</v>
      </c>
      <c r="D70" s="55">
        <f>'6 - B1'!D70</f>
        <v>490.81588699999998</v>
      </c>
      <c r="E70" s="55">
        <f>'6 - B1'!E70</f>
        <v>480.85571299999998</v>
      </c>
      <c r="F70" s="55">
        <f>'6 - B1'!F70</f>
        <v>466.265106</v>
      </c>
      <c r="G70" s="55">
        <f>'6 - B1'!G70</f>
        <v>470.34204099999999</v>
      </c>
      <c r="H70" s="55">
        <f>'6 - B1'!H70</f>
        <v>472.94332900000001</v>
      </c>
      <c r="I70" s="55">
        <f>'6 - B1'!I70</f>
        <v>487.03005999999999</v>
      </c>
      <c r="J70" s="55">
        <f>'6 - B1'!J70</f>
        <v>492.64773600000001</v>
      </c>
      <c r="K70" s="55">
        <f>'6 - B1'!K70</f>
        <v>455.04632600000002</v>
      </c>
      <c r="L70" s="55">
        <f>'6 - B1'!L70</f>
        <v>507.33431999999999</v>
      </c>
      <c r="M70" s="55">
        <f>'6 - B1'!M70</f>
        <v>483.919128</v>
      </c>
      <c r="N70" s="55">
        <f>'6 - B1'!N70</f>
        <v>507.52468900000002</v>
      </c>
      <c r="O70" s="55">
        <f>'6 - B1'!O70</f>
        <v>485.430206</v>
      </c>
      <c r="P70" s="55">
        <f>'6 - B1'!P70</f>
        <v>360.75234999999998</v>
      </c>
    </row>
    <row r="71" spans="1:16" x14ac:dyDescent="0.35">
      <c r="A71" s="57">
        <f>'6 - B1'!A71</f>
        <v>22</v>
      </c>
      <c r="B71" s="55">
        <f>'6 - B1'!B71</f>
        <v>381.648865</v>
      </c>
      <c r="C71" s="55">
        <f>'6 - B1'!C71</f>
        <v>337.51092499999999</v>
      </c>
      <c r="D71" s="55">
        <f>'6 - B1'!D71</f>
        <v>370.79367100000002</v>
      </c>
      <c r="E71" s="55">
        <f>'6 - B1'!E71</f>
        <v>362.88900799999999</v>
      </c>
      <c r="F71" s="55">
        <f>'6 - B1'!F71</f>
        <v>350.10357699999997</v>
      </c>
      <c r="G71" s="55">
        <f>'6 - B1'!G71</f>
        <v>357.77307100000002</v>
      </c>
      <c r="H71" s="55">
        <f>'6 - B1'!H71</f>
        <v>357.55654900000002</v>
      </c>
      <c r="I71" s="55">
        <f>'6 - B1'!I71</f>
        <v>363.56494099999998</v>
      </c>
      <c r="J71" s="55">
        <f>'6 - B1'!J71</f>
        <v>371.32556199999999</v>
      </c>
      <c r="K71" s="55">
        <f>'6 - B1'!K71</f>
        <v>342.30868500000003</v>
      </c>
      <c r="L71" s="55">
        <f>'6 - B1'!L71</f>
        <v>384.61889600000001</v>
      </c>
      <c r="M71" s="55">
        <f>'6 - B1'!M71</f>
        <v>371.41790800000001</v>
      </c>
      <c r="N71" s="55">
        <f>'6 - B1'!N71</f>
        <v>383.338776</v>
      </c>
      <c r="O71" s="55">
        <f>'6 - B1'!O71</f>
        <v>363.323059</v>
      </c>
      <c r="P71" s="55">
        <f>'6 - B1'!P71</f>
        <v>258.527985</v>
      </c>
    </row>
    <row r="72" spans="1:16" x14ac:dyDescent="0.35">
      <c r="A72" s="57">
        <f>'6 - B1'!A72</f>
        <v>23</v>
      </c>
      <c r="B72" s="55">
        <f>'6 - B1'!B72</f>
        <v>285.09234600000002</v>
      </c>
      <c r="C72" s="55">
        <f>'6 - B1'!C72</f>
        <v>252.83183299999999</v>
      </c>
      <c r="D72" s="55">
        <f>'6 - B1'!D72</f>
        <v>274.35089099999999</v>
      </c>
      <c r="E72" s="55">
        <f>'6 - B1'!E72</f>
        <v>278.655914</v>
      </c>
      <c r="F72" s="55">
        <f>'6 - B1'!F72</f>
        <v>261.56582600000002</v>
      </c>
      <c r="G72" s="55">
        <f>'6 - B1'!G72</f>
        <v>271.66497800000002</v>
      </c>
      <c r="H72" s="55">
        <f>'6 - B1'!H72</f>
        <v>272.28836100000001</v>
      </c>
      <c r="I72" s="55">
        <f>'6 - B1'!I72</f>
        <v>270.73324600000001</v>
      </c>
      <c r="J72" s="55">
        <f>'6 - B1'!J72</f>
        <v>278.21310399999999</v>
      </c>
      <c r="K72" s="55">
        <f>'6 - B1'!K72</f>
        <v>258.24185199999999</v>
      </c>
      <c r="L72" s="55">
        <f>'6 - B1'!L72</f>
        <v>290.09484900000001</v>
      </c>
      <c r="M72" s="55">
        <f>'6 - B1'!M72</f>
        <v>280.63824499999998</v>
      </c>
      <c r="N72" s="55">
        <f>'6 - B1'!N72</f>
        <v>289.97052000000002</v>
      </c>
      <c r="O72" s="55">
        <f>'6 - B1'!O72</f>
        <v>272.027039</v>
      </c>
      <c r="P72" s="55">
        <f>'6 - B1'!P72</f>
        <v>189.44537399999999</v>
      </c>
    </row>
    <row r="73" spans="1:16" x14ac:dyDescent="0.35">
      <c r="A73" s="57">
        <f>'6 - B1'!A73</f>
        <v>24</v>
      </c>
      <c r="B73" s="55">
        <f>'6 - B1'!B73</f>
        <v>213.27436800000001</v>
      </c>
      <c r="C73" s="55">
        <f>'6 - B1'!C73</f>
        <v>191.85888700000001</v>
      </c>
      <c r="D73" s="55">
        <f>'6 - B1'!D73</f>
        <v>201.99350000000001</v>
      </c>
      <c r="E73" s="55">
        <f>'6 - B1'!E73</f>
        <v>207.24970999999999</v>
      </c>
      <c r="F73" s="55">
        <f>'6 - B1'!F73</f>
        <v>192.86051900000001</v>
      </c>
      <c r="G73" s="55">
        <f>'6 - B1'!G73</f>
        <v>202.53595000000001</v>
      </c>
      <c r="H73" s="55">
        <f>'6 - B1'!H73</f>
        <v>204.82678200000001</v>
      </c>
      <c r="I73" s="55">
        <f>'6 - B1'!I73</f>
        <v>205.11975100000001</v>
      </c>
      <c r="J73" s="55">
        <f>'6 - B1'!J73</f>
        <v>213.51475500000001</v>
      </c>
      <c r="K73" s="55">
        <f>'6 - B1'!K73</f>
        <v>190.25112899999999</v>
      </c>
      <c r="L73" s="55">
        <f>'6 - B1'!L73</f>
        <v>217.792236</v>
      </c>
      <c r="M73" s="55">
        <f>'6 - B1'!M73</f>
        <v>207.891571</v>
      </c>
      <c r="N73" s="55">
        <f>'6 - B1'!N73</f>
        <v>216.53707900000001</v>
      </c>
      <c r="O73" s="55">
        <f>'6 - B1'!O73</f>
        <v>203.68424999999999</v>
      </c>
      <c r="P73" s="55">
        <f>'6 - B1'!P73</f>
        <v>134.35841400000001</v>
      </c>
    </row>
    <row r="74" spans="1:16" x14ac:dyDescent="0.35">
      <c r="A74" s="57">
        <f>'6 - B1'!A74</f>
        <v>25</v>
      </c>
      <c r="B74" s="55">
        <f>'6 - B1'!B74</f>
        <v>158.021378</v>
      </c>
      <c r="C74" s="55">
        <f>'6 - B1'!C74</f>
        <v>142.136292</v>
      </c>
      <c r="D74" s="55">
        <f>'6 - B1'!D74</f>
        <v>149.774734</v>
      </c>
      <c r="E74" s="55">
        <f>'6 - B1'!E74</f>
        <v>155.84127799999999</v>
      </c>
      <c r="F74" s="55">
        <f>'6 - B1'!F74</f>
        <v>141.76159699999999</v>
      </c>
      <c r="G74" s="55">
        <f>'6 - B1'!G74</f>
        <v>157.33195499999999</v>
      </c>
      <c r="H74" s="55">
        <f>'6 - B1'!H74</f>
        <v>155.782318</v>
      </c>
      <c r="I74" s="55">
        <f>'6 - B1'!I74</f>
        <v>149.33793600000001</v>
      </c>
      <c r="J74" s="55">
        <f>'6 - B1'!J74</f>
        <v>163.125687</v>
      </c>
      <c r="K74" s="55">
        <f>'6 - B1'!K74</f>
        <v>142.329971</v>
      </c>
      <c r="L74" s="55">
        <f>'6 - B1'!L74</f>
        <v>163.73112499999999</v>
      </c>
      <c r="M74" s="55">
        <f>'6 - B1'!M74</f>
        <v>153.17787200000001</v>
      </c>
      <c r="N74" s="55">
        <f>'6 - B1'!N74</f>
        <v>162.123108</v>
      </c>
      <c r="O74" s="55">
        <f>'6 - B1'!O74</f>
        <v>151.26397700000001</v>
      </c>
      <c r="P74" s="55">
        <f>'6 - B1'!P74</f>
        <v>95.730377000000004</v>
      </c>
    </row>
    <row r="75" spans="1:16" x14ac:dyDescent="0.35">
      <c r="A75" s="57">
        <f>'6 - B1'!A75</f>
        <v>26</v>
      </c>
      <c r="B75" s="55">
        <f>'6 - B1'!B75</f>
        <v>116.39091500000001</v>
      </c>
      <c r="C75" s="55">
        <f>'6 - B1'!C75</f>
        <v>106.376205</v>
      </c>
      <c r="D75" s="55">
        <f>'6 - B1'!D75</f>
        <v>110.205872</v>
      </c>
      <c r="E75" s="55">
        <f>'6 - B1'!E75</f>
        <v>115.441727</v>
      </c>
      <c r="F75" s="55">
        <f>'6 - B1'!F75</f>
        <v>104.32276899999999</v>
      </c>
      <c r="G75" s="55">
        <f>'6 - B1'!G75</f>
        <v>116.20734400000001</v>
      </c>
      <c r="H75" s="55">
        <f>'6 - B1'!H75</f>
        <v>115.99728399999999</v>
      </c>
      <c r="I75" s="55">
        <f>'6 - B1'!I75</f>
        <v>108.458878</v>
      </c>
      <c r="J75" s="55">
        <f>'6 - B1'!J75</f>
        <v>117.438232</v>
      </c>
      <c r="K75" s="55">
        <f>'6 - B1'!K75</f>
        <v>100.14295199999999</v>
      </c>
      <c r="L75" s="55">
        <f>'6 - B1'!L75</f>
        <v>122.383759</v>
      </c>
      <c r="M75" s="55">
        <f>'6 - B1'!M75</f>
        <v>114.03810900000001</v>
      </c>
      <c r="N75" s="55">
        <f>'6 - B1'!N75</f>
        <v>120.21927599999999</v>
      </c>
      <c r="O75" s="55">
        <f>'6 - B1'!O75</f>
        <v>106.908379</v>
      </c>
      <c r="P75" s="55">
        <f>'6 - B1'!P75</f>
        <v>67.067245</v>
      </c>
    </row>
    <row r="76" spans="1:16" x14ac:dyDescent="0.35">
      <c r="A76" s="57">
        <f>'6 - B1'!A76</f>
        <v>27</v>
      </c>
      <c r="B76" s="55">
        <f>'6 - B1'!B76</f>
        <v>84.350723000000002</v>
      </c>
      <c r="C76" s="55">
        <f>'6 - B1'!C76</f>
        <v>77.848502999999994</v>
      </c>
      <c r="D76" s="55">
        <f>'6 - B1'!D76</f>
        <v>79.441329999999994</v>
      </c>
      <c r="E76" s="55">
        <f>'6 - B1'!E76</f>
        <v>85.950050000000005</v>
      </c>
      <c r="F76" s="55">
        <f>'6 - B1'!F76</f>
        <v>72.955108999999993</v>
      </c>
      <c r="G76" s="55">
        <f>'6 - B1'!G76</f>
        <v>87.541397000000003</v>
      </c>
      <c r="H76" s="55">
        <f>'6 - B1'!H76</f>
        <v>86.082199000000003</v>
      </c>
      <c r="I76" s="55">
        <f>'6 - B1'!I76</f>
        <v>77.101012999999995</v>
      </c>
      <c r="J76" s="55">
        <f>'6 - B1'!J76</f>
        <v>89.024108999999996</v>
      </c>
      <c r="K76" s="55">
        <f>'6 - B1'!K76</f>
        <v>71.676963999999998</v>
      </c>
      <c r="L76" s="55">
        <f>'6 - B1'!L76</f>
        <v>87.448562999999993</v>
      </c>
      <c r="M76" s="55">
        <f>'6 - B1'!M76</f>
        <v>81.865630999999993</v>
      </c>
      <c r="N76" s="55">
        <f>'6 - B1'!N76</f>
        <v>86.757225000000005</v>
      </c>
      <c r="O76" s="55">
        <f>'6 - B1'!O76</f>
        <v>78.061729</v>
      </c>
      <c r="P76" s="55">
        <f>'6 - B1'!P76</f>
        <v>45.345965999999997</v>
      </c>
    </row>
    <row r="77" spans="1:16" x14ac:dyDescent="0.35">
      <c r="A77" s="57">
        <f>'6 - B1'!A77</f>
        <v>28</v>
      </c>
      <c r="B77" s="55">
        <f>'6 - B1'!B77</f>
        <v>59.176281000000003</v>
      </c>
      <c r="C77" s="55">
        <f>'6 - B1'!C77</f>
        <v>54.845523999999997</v>
      </c>
      <c r="D77" s="55">
        <f>'6 - B1'!D77</f>
        <v>56.671523999999998</v>
      </c>
      <c r="E77" s="55">
        <f>'6 - B1'!E77</f>
        <v>62.013317000000001</v>
      </c>
      <c r="F77" s="55">
        <f>'6 - B1'!F77</f>
        <v>53.729767000000002</v>
      </c>
      <c r="G77" s="55">
        <f>'6 - B1'!G77</f>
        <v>60.860011999999998</v>
      </c>
      <c r="H77" s="55">
        <f>'6 - B1'!H77</f>
        <v>62.679237000000001</v>
      </c>
      <c r="I77" s="55">
        <f>'6 - B1'!I77</f>
        <v>56.092284999999997</v>
      </c>
      <c r="J77" s="55">
        <f>'6 - B1'!J77</f>
        <v>64.289512999999999</v>
      </c>
      <c r="K77" s="55">
        <f>'6 - B1'!K77</f>
        <v>49.969082</v>
      </c>
      <c r="L77" s="55">
        <f>'6 - B1'!L77</f>
        <v>60.583832000000001</v>
      </c>
      <c r="M77" s="55">
        <f>'6 - B1'!M77</f>
        <v>57.787506</v>
      </c>
      <c r="N77" s="55">
        <f>'6 - B1'!N77</f>
        <v>60.923305999999997</v>
      </c>
      <c r="O77" s="55">
        <f>'6 - B1'!O77</f>
        <v>56.555981000000003</v>
      </c>
      <c r="P77" s="55">
        <f>'6 - B1'!P77</f>
        <v>28.775095</v>
      </c>
    </row>
    <row r="78" spans="1:16" x14ac:dyDescent="0.35">
      <c r="A78" s="57">
        <f>'6 - B1'!A78</f>
        <v>29</v>
      </c>
      <c r="B78" s="55">
        <f>'6 - B1'!B78</f>
        <v>41.630459000000002</v>
      </c>
      <c r="C78" s="55">
        <f>'6 - B1'!C78</f>
        <v>37.869529999999997</v>
      </c>
      <c r="D78" s="55">
        <f>'6 - B1'!D78</f>
        <v>39.771267000000002</v>
      </c>
      <c r="E78" s="55">
        <f>'6 - B1'!E78</f>
        <v>41.207546000000001</v>
      </c>
      <c r="F78" s="55">
        <f>'6 - B1'!F78</f>
        <v>37.135264999999997</v>
      </c>
      <c r="G78" s="55">
        <f>'6 - B1'!G78</f>
        <v>40.132328000000001</v>
      </c>
      <c r="H78" s="55">
        <f>'6 - B1'!H78</f>
        <v>44.974387999999998</v>
      </c>
      <c r="I78" s="55">
        <f>'6 - B1'!I78</f>
        <v>40.154625000000003</v>
      </c>
      <c r="J78" s="55">
        <f>'6 - B1'!J78</f>
        <v>43.949902000000002</v>
      </c>
      <c r="K78" s="55">
        <f>'6 - B1'!K78</f>
        <v>34.404941999999998</v>
      </c>
      <c r="L78" s="55">
        <f>'6 - B1'!L78</f>
        <v>43.779555999999999</v>
      </c>
      <c r="M78" s="55">
        <f>'6 - B1'!M78</f>
        <v>39.652065</v>
      </c>
      <c r="N78" s="55">
        <f>'6 - B1'!N78</f>
        <v>41.903843000000002</v>
      </c>
      <c r="O78" s="55">
        <f>'6 - B1'!O78</f>
        <v>40.013095999999997</v>
      </c>
      <c r="P78" s="55">
        <f>'6 - B1'!P78</f>
        <v>17.802489999999999</v>
      </c>
    </row>
    <row r="79" spans="1:16" x14ac:dyDescent="0.35">
      <c r="A79" s="57">
        <f>'6 - B1'!A79</f>
        <v>30</v>
      </c>
      <c r="B79" s="55">
        <f>'6 - B1'!B79</f>
        <v>28.334866999999999</v>
      </c>
      <c r="C79" s="55">
        <f>'6 - B1'!C79</f>
        <v>24.911519999999999</v>
      </c>
      <c r="D79" s="55">
        <f>'6 - B1'!D79</f>
        <v>27.323771000000001</v>
      </c>
      <c r="E79" s="55">
        <f>'6 - B1'!E79</f>
        <v>27.067701</v>
      </c>
      <c r="F79" s="55">
        <f>'6 - B1'!F79</f>
        <v>23.171595</v>
      </c>
      <c r="G79" s="55">
        <f>'6 - B1'!G79</f>
        <v>27.783918</v>
      </c>
      <c r="H79" s="55">
        <f>'6 - B1'!H79</f>
        <v>31.543120999999999</v>
      </c>
      <c r="I79" s="55">
        <f>'6 - B1'!I79</f>
        <v>28.460106</v>
      </c>
      <c r="J79" s="55">
        <f>'6 - B1'!J79</f>
        <v>30.356096000000001</v>
      </c>
      <c r="K79" s="55">
        <f>'6 - B1'!K79</f>
        <v>23.039024000000001</v>
      </c>
      <c r="L79" s="55">
        <f>'6 - B1'!L79</f>
        <v>32.392448000000002</v>
      </c>
      <c r="M79" s="55">
        <f>'6 - B1'!M79</f>
        <v>27.869152</v>
      </c>
      <c r="N79" s="55">
        <f>'6 - B1'!N79</f>
        <v>27.868089999999999</v>
      </c>
      <c r="O79" s="55">
        <f>'6 - B1'!O79</f>
        <v>26.675398000000001</v>
      </c>
      <c r="P79" s="55">
        <f>'6 - B1'!P79</f>
        <v>10.860639000000001</v>
      </c>
    </row>
    <row r="80" spans="1:16" x14ac:dyDescent="0.35">
      <c r="A80" s="57">
        <f>'6 - B1'!A80</f>
        <v>38</v>
      </c>
      <c r="B80" s="55">
        <f>'6 - B1'!B80</f>
        <v>17.872762999999999</v>
      </c>
      <c r="C80" s="55">
        <f>'6 - B1'!C80</f>
        <v>17.478245000000001</v>
      </c>
      <c r="D80" s="55">
        <f>'6 - B1'!D80</f>
        <v>17.001456999999998</v>
      </c>
      <c r="E80" s="55">
        <f>'6 - B1'!E80</f>
        <v>17.775804999999998</v>
      </c>
      <c r="F80" s="55">
        <f>'6 - B1'!F80</f>
        <v>15.987389</v>
      </c>
      <c r="G80" s="55">
        <f>'6 - B1'!G80</f>
        <v>18.853373000000001</v>
      </c>
      <c r="H80" s="55">
        <f>'6 - B1'!H80</f>
        <v>23.504712999999999</v>
      </c>
      <c r="I80" s="55">
        <f>'6 - B1'!I80</f>
        <v>20.284293999999999</v>
      </c>
      <c r="J80" s="55">
        <f>'6 - B1'!J80</f>
        <v>21.463905</v>
      </c>
      <c r="K80" s="55">
        <f>'6 - B1'!K80</f>
        <v>14.847371000000001</v>
      </c>
      <c r="L80" s="55">
        <f>'6 - B1'!L80</f>
        <v>20.452570000000001</v>
      </c>
      <c r="M80" s="55">
        <f>'6 - B1'!M80</f>
        <v>17.828060000000001</v>
      </c>
      <c r="N80" s="55">
        <f>'6 - B1'!N80</f>
        <v>20.138254</v>
      </c>
      <c r="O80" s="55">
        <f>'6 - B1'!O80</f>
        <v>17.7836</v>
      </c>
      <c r="P80" s="55">
        <f>'6 - B1'!P80</f>
        <v>7.2777479999999999</v>
      </c>
    </row>
    <row r="81" spans="1:16" x14ac:dyDescent="0.35">
      <c r="A81" s="57">
        <f>'6 - B1'!A81</f>
        <v>50</v>
      </c>
      <c r="B81" s="55">
        <f>'6 - B1'!B81</f>
        <v>11.333947</v>
      </c>
      <c r="C81" s="55">
        <f>'6 - B1'!C81</f>
        <v>10.647665999999999</v>
      </c>
      <c r="D81" s="55">
        <f>'6 - B1'!D81</f>
        <v>11.030707</v>
      </c>
      <c r="E81" s="55">
        <f>'6 - B1'!E81</f>
        <v>11.412874</v>
      </c>
      <c r="F81" s="55">
        <f>'6 - B1'!F81</f>
        <v>10.826902</v>
      </c>
      <c r="G81" s="55">
        <f>'6 - B1'!G81</f>
        <v>11.797140000000001</v>
      </c>
      <c r="H81" s="55">
        <f>'6 - B1'!H81</f>
        <v>16.789082000000001</v>
      </c>
      <c r="I81" s="55">
        <f>'6 - B1'!I81</f>
        <v>13.246886</v>
      </c>
      <c r="J81" s="55">
        <f>'6 - B1'!J81</f>
        <v>14.513688999999999</v>
      </c>
      <c r="K81" s="55">
        <f>'6 - B1'!K81</f>
        <v>9.3180049999999994</v>
      </c>
      <c r="L81" s="55">
        <f>'6 - B1'!L81</f>
        <v>12.492651</v>
      </c>
      <c r="M81" s="55">
        <f>'6 - B1'!M81</f>
        <v>11.782913000000001</v>
      </c>
      <c r="N81" s="55">
        <f>'6 - B1'!N81</f>
        <v>14.340878</v>
      </c>
      <c r="O81" s="55">
        <f>'6 - B1'!O81</f>
        <v>10.95966</v>
      </c>
      <c r="P81" s="55">
        <f>'6 - B1'!P81</f>
        <v>5.262372</v>
      </c>
    </row>
    <row r="82" spans="1:16" x14ac:dyDescent="0.35">
      <c r="A82" s="57">
        <f>'6 - B1'!A82</f>
        <v>70</v>
      </c>
      <c r="B82" s="55">
        <f>'6 - B1'!B82</f>
        <v>7.1926969999999999</v>
      </c>
      <c r="C82" s="55">
        <f>'6 - B1'!C82</f>
        <v>6.7301279999999997</v>
      </c>
      <c r="D82" s="55">
        <f>'6 - B1'!D82</f>
        <v>7.2863389999999999</v>
      </c>
      <c r="E82" s="55">
        <f>'6 - B1'!E82</f>
        <v>7.574916</v>
      </c>
      <c r="F82" s="55">
        <f>'6 - B1'!F82</f>
        <v>6.4759039999999999</v>
      </c>
      <c r="G82" s="55">
        <f>'6 - B1'!G82</f>
        <v>7.3869939999999996</v>
      </c>
      <c r="H82" s="55">
        <f>'6 - B1'!H82</f>
        <v>11.803233000000001</v>
      </c>
      <c r="I82" s="55">
        <f>'6 - B1'!I82</f>
        <v>7.4513740000000004</v>
      </c>
      <c r="J82" s="55">
        <f>'6 - B1'!J82</f>
        <v>8.2789350000000006</v>
      </c>
      <c r="K82" s="55">
        <f>'6 - B1'!K82</f>
        <v>5.9389479999999999</v>
      </c>
      <c r="L82" s="55">
        <f>'6 - B1'!L82</f>
        <v>8.4021369999999997</v>
      </c>
      <c r="M82" s="55">
        <f>'6 - B1'!M82</f>
        <v>7.5820480000000003</v>
      </c>
      <c r="N82" s="55">
        <f>'6 - B1'!N82</f>
        <v>9.86571</v>
      </c>
      <c r="O82" s="55">
        <f>'6 - B1'!O82</f>
        <v>7.2375109999999996</v>
      </c>
      <c r="P82" s="55">
        <f>'6 - B1'!P82</f>
        <v>3.0230640000000002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H31" sqref="H31"/>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2" t="s">
        <v>108</v>
      </c>
      <c r="O2" s="32"/>
    </row>
    <row r="3" spans="1:49" ht="13.15" x14ac:dyDescent="0.4">
      <c r="A3" t="str">
        <f>'6 - B1'!$A$3</f>
        <v>Serial #</v>
      </c>
      <c r="B3" s="29" t="str">
        <f>'6 - B1'!$B$3</f>
        <v>11171-00001</v>
      </c>
    </row>
    <row r="4" spans="1:49" ht="17.100000000000001" customHeight="1" x14ac:dyDescent="1.05">
      <c r="A4" s="30" t="str">
        <f>'6 - B1'!$A$4</f>
        <v>Date</v>
      </c>
      <c r="B4" s="31">
        <f>'6 - B1'!$B$4</f>
        <v>46013</v>
      </c>
      <c r="O4" s="32"/>
    </row>
    <row r="5" spans="1:49" ht="13.15" x14ac:dyDescent="0.4">
      <c r="A5" s="30" t="str">
        <f>'6 - B1'!$A$5</f>
        <v>RM</v>
      </c>
      <c r="B5" s="54" t="str">
        <f>'6 - B1'!$B$5</f>
        <v>SRM2806d</v>
      </c>
    </row>
    <row r="6" spans="1:49" ht="13.15" x14ac:dyDescent="0.4">
      <c r="B6" s="30"/>
      <c r="C6" s="30"/>
      <c r="D6" s="30"/>
      <c r="E6" s="30"/>
      <c r="F6" s="30"/>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9" t="s">
        <v>51</v>
      </c>
      <c r="P7" s="89" t="s">
        <v>52</v>
      </c>
      <c r="Q7" s="89" t="s">
        <v>53</v>
      </c>
      <c r="R7" s="89" t="s">
        <v>54</v>
      </c>
      <c r="S7" s="89" t="s">
        <v>55</v>
      </c>
    </row>
    <row r="8" spans="1:49" ht="13.15" x14ac:dyDescent="0.4">
      <c r="A8" s="11" t="s">
        <v>63</v>
      </c>
      <c r="B8" s="34">
        <f>L52</f>
        <v>9.045318</v>
      </c>
      <c r="C8" s="34">
        <f t="shared" ref="C8:F8" si="0">M52</f>
        <v>9.7598950000000002</v>
      </c>
      <c r="D8" s="34">
        <f t="shared" si="0"/>
        <v>9.8320340000000002</v>
      </c>
      <c r="E8" s="34">
        <f t="shared" si="0"/>
        <v>9.6718329999999995</v>
      </c>
      <c r="F8" s="34">
        <f t="shared" si="0"/>
        <v>8.9313339999999997</v>
      </c>
      <c r="G8" s="35">
        <f>AVERAGE(B$8:F$8)*5</f>
        <v>47.240414000000001</v>
      </c>
      <c r="I8" s="36"/>
      <c r="K8" s="36"/>
      <c r="O8" s="90"/>
      <c r="P8" s="90"/>
      <c r="Q8" s="90"/>
      <c r="R8" s="90"/>
      <c r="S8" s="90"/>
    </row>
    <row r="9" spans="1:49" x14ac:dyDescent="0.35">
      <c r="A9" s="11" t="s">
        <v>64</v>
      </c>
      <c r="B9" s="34">
        <f t="shared" ref="B9:E9" si="1">L53</f>
        <v>15891.647461</v>
      </c>
      <c r="C9" s="34">
        <f t="shared" si="1"/>
        <v>15092.375</v>
      </c>
      <c r="D9" s="34">
        <f t="shared" si="1"/>
        <v>15371.793944999999</v>
      </c>
      <c r="E9" s="34">
        <f t="shared" si="1"/>
        <v>15648.740234000001</v>
      </c>
      <c r="F9" s="34"/>
      <c r="G9" s="24">
        <f t="shared" ref="G9:G38" si="2">AVERAGE(B9:F9)</f>
        <v>15501.139159999999</v>
      </c>
      <c r="H9" s="38">
        <f t="shared" ref="H9:H38" si="3">G9*G$8</f>
        <v>732280.2313900122</v>
      </c>
      <c r="I9" s="36">
        <f t="shared" ref="I9:I38" si="4">STDEVP(B9:F9)/G9</f>
        <v>1.9302307810723094E-2</v>
      </c>
      <c r="J9" s="36">
        <f t="shared" ref="J9:J38" si="5">IF(H9&gt;$A$43, $C$43, IF(H9&gt;$A$44, $C$44, IF(H9&gt;$A$45,$C$45,IF(H9&gt;$A$46,$C$46, IF(H9&gt;$A$47,$C$47,IF(H9&gt;$A$48,$C$48,$C$49))))))/100</f>
        <v>0.11</v>
      </c>
      <c r="K9" s="36">
        <f t="shared" ref="K9:K38" si="6">(MAX(B9:F9)-MIN(B9:F9))/G9</f>
        <v>5.1562175705285429E-2</v>
      </c>
      <c r="L9" s="16">
        <f>G9/'Clause 6'!$I$11</f>
        <v>15501.139159999999</v>
      </c>
      <c r="M9">
        <f t="shared" ref="M9:M38" si="7">COUNTA(B9:F9)</f>
        <v>4</v>
      </c>
      <c r="O9" s="91">
        <f>IF(ISNUMBER(B9), (B9/$G9-1), 0)</f>
        <v>2.51922324526761E-2</v>
      </c>
      <c r="P9" s="91">
        <f t="shared" ref="P9:S38" si="8">IF(ISNUMBER(C9), (C9/$G9-1), 0)</f>
        <v>-2.6369943252609218E-2</v>
      </c>
      <c r="Q9" s="91">
        <f t="shared" si="8"/>
        <v>-8.3442393275049431E-3</v>
      </c>
      <c r="R9" s="91">
        <f t="shared" si="8"/>
        <v>9.5219501274383944E-3</v>
      </c>
      <c r="S9" s="91">
        <f t="shared" si="8"/>
        <v>0</v>
      </c>
    </row>
    <row r="10" spans="1:49" x14ac:dyDescent="0.35">
      <c r="A10" s="11" t="s">
        <v>65</v>
      </c>
      <c r="B10" s="34">
        <f t="shared" ref="B10:E10" si="9">L54</f>
        <v>13821.183594</v>
      </c>
      <c r="C10" s="34">
        <f t="shared" si="9"/>
        <v>13170.018555000001</v>
      </c>
      <c r="D10" s="34">
        <f t="shared" si="9"/>
        <v>13428.350586</v>
      </c>
      <c r="E10" s="34">
        <f t="shared" si="9"/>
        <v>13642.501953000001</v>
      </c>
      <c r="F10" s="34"/>
      <c r="G10" s="24">
        <f t="shared" si="2"/>
        <v>13515.513672000001</v>
      </c>
      <c r="H10" s="38">
        <f t="shared" si="3"/>
        <v>638478.46128794027</v>
      </c>
      <c r="I10" s="36">
        <f t="shared" si="4"/>
        <v>1.7991833636677144E-2</v>
      </c>
      <c r="J10" s="36">
        <f t="shared" si="5"/>
        <v>0.11</v>
      </c>
      <c r="K10" s="36">
        <f t="shared" si="6"/>
        <v>4.8179081816846797E-2</v>
      </c>
      <c r="L10" s="16">
        <f>G10/'Clause 6'!$I$11</f>
        <v>13515.513672000001</v>
      </c>
      <c r="M10">
        <f t="shared" si="7"/>
        <v>4</v>
      </c>
      <c r="O10" s="91">
        <f t="shared" ref="O10:O38" si="10">IF(ISNUMBER(B10), (B10/$G10-1), 0)</f>
        <v>2.2616226761196234E-2</v>
      </c>
      <c r="P10" s="91">
        <f t="shared" si="8"/>
        <v>-2.5562855055650591E-2</v>
      </c>
      <c r="Q10" s="91">
        <f t="shared" si="8"/>
        <v>-6.4491138195195141E-3</v>
      </c>
      <c r="R10" s="91">
        <f t="shared" si="8"/>
        <v>9.3957421139738706E-3</v>
      </c>
      <c r="S10" s="91">
        <f t="shared" si="8"/>
        <v>0</v>
      </c>
    </row>
    <row r="11" spans="1:49" x14ac:dyDescent="0.35">
      <c r="A11" s="11" t="s">
        <v>66</v>
      </c>
      <c r="B11" s="34">
        <f t="shared" ref="B11:E11" si="11">L55</f>
        <v>12019.920898</v>
      </c>
      <c r="C11" s="34">
        <f t="shared" si="11"/>
        <v>11503.197265999999</v>
      </c>
      <c r="D11" s="34">
        <f t="shared" si="11"/>
        <v>11750.875</v>
      </c>
      <c r="E11" s="34">
        <f t="shared" si="11"/>
        <v>11892.264648</v>
      </c>
      <c r="F11" s="34"/>
      <c r="G11" s="24">
        <f t="shared" si="2"/>
        <v>11791.564452999999</v>
      </c>
      <c r="H11" s="38">
        <f t="shared" si="3"/>
        <v>557038.3864674035</v>
      </c>
      <c r="I11" s="36">
        <f t="shared" si="4"/>
        <v>1.6263074076864711E-2</v>
      </c>
      <c r="J11" s="36">
        <f t="shared" si="5"/>
        <v>0.11</v>
      </c>
      <c r="K11" s="36">
        <f t="shared" si="6"/>
        <v>4.3821465256761304E-2</v>
      </c>
      <c r="L11" s="16">
        <f>G11/'Clause 6'!$I$11</f>
        <v>11791.564452999999</v>
      </c>
      <c r="M11">
        <f t="shared" si="7"/>
        <v>4</v>
      </c>
      <c r="O11" s="91">
        <f t="shared" si="10"/>
        <v>1.9366085468150329E-2</v>
      </c>
      <c r="P11" s="91">
        <f t="shared" si="8"/>
        <v>-2.4455379788611009E-2</v>
      </c>
      <c r="Q11" s="91">
        <f t="shared" si="8"/>
        <v>-3.4507255726907715E-3</v>
      </c>
      <c r="R11" s="91">
        <f t="shared" si="8"/>
        <v>8.5400198931517846E-3</v>
      </c>
      <c r="S11" s="91">
        <f t="shared" si="8"/>
        <v>0</v>
      </c>
    </row>
    <row r="12" spans="1:49" x14ac:dyDescent="0.35">
      <c r="A12" s="11" t="s">
        <v>67</v>
      </c>
      <c r="B12" s="34">
        <f t="shared" ref="B12:E12" si="12">L56</f>
        <v>10432.027344</v>
      </c>
      <c r="C12" s="34">
        <f t="shared" si="12"/>
        <v>10012.915039</v>
      </c>
      <c r="D12" s="34">
        <f t="shared" si="12"/>
        <v>10237.962890999999</v>
      </c>
      <c r="E12" s="34">
        <f t="shared" si="12"/>
        <v>10337.647461</v>
      </c>
      <c r="F12" s="34"/>
      <c r="G12" s="24">
        <f t="shared" si="2"/>
        <v>10255.138183750001</v>
      </c>
      <c r="H12" s="38">
        <f t="shared" si="3"/>
        <v>484456.97342755814</v>
      </c>
      <c r="I12" s="36">
        <f t="shared" si="4"/>
        <v>1.5190040039152976E-2</v>
      </c>
      <c r="J12" s="36">
        <f t="shared" si="5"/>
        <v>0.11</v>
      </c>
      <c r="K12" s="36">
        <f t="shared" si="6"/>
        <v>4.0868518540697375E-2</v>
      </c>
      <c r="L12" s="16">
        <f>G12/'Clause 6'!$I$11</f>
        <v>10255.138183750001</v>
      </c>
      <c r="M12">
        <f t="shared" si="7"/>
        <v>4</v>
      </c>
      <c r="O12" s="91">
        <f t="shared" si="10"/>
        <v>1.7248832446772111E-2</v>
      </c>
      <c r="P12" s="91">
        <f t="shared" si="8"/>
        <v>-2.3619686093925285E-2</v>
      </c>
      <c r="Q12" s="91">
        <f t="shared" si="8"/>
        <v>-1.6747987635327144E-3</v>
      </c>
      <c r="R12" s="91">
        <f t="shared" si="8"/>
        <v>8.0456524106853333E-3</v>
      </c>
      <c r="S12" s="91">
        <f t="shared" si="8"/>
        <v>0</v>
      </c>
    </row>
    <row r="13" spans="1:49" x14ac:dyDescent="0.35">
      <c r="A13" s="11" t="s">
        <v>68</v>
      </c>
      <c r="B13" s="34">
        <f t="shared" ref="B13:E13" si="13">L57</f>
        <v>9033.734375</v>
      </c>
      <c r="C13" s="34">
        <f t="shared" si="13"/>
        <v>8675.6054690000001</v>
      </c>
      <c r="D13" s="34">
        <f t="shared" si="13"/>
        <v>8870.3925780000009</v>
      </c>
      <c r="E13" s="34">
        <f t="shared" si="13"/>
        <v>8956.5234380000002</v>
      </c>
      <c r="F13" s="34"/>
      <c r="G13" s="24">
        <f t="shared" si="2"/>
        <v>8884.0639650000012</v>
      </c>
      <c r="H13" s="38">
        <f t="shared" si="3"/>
        <v>419686.85970908159</v>
      </c>
      <c r="I13" s="36">
        <f t="shared" si="4"/>
        <v>1.5027376529163534E-2</v>
      </c>
      <c r="J13" s="36">
        <f t="shared" si="5"/>
        <v>0.11</v>
      </c>
      <c r="K13" s="36">
        <f t="shared" si="6"/>
        <v>4.0311383102474077E-2</v>
      </c>
      <c r="L13" s="16">
        <f>G13/'Clause 6'!$I$11</f>
        <v>8884.0639650000012</v>
      </c>
      <c r="M13">
        <f t="shared" si="7"/>
        <v>4</v>
      </c>
      <c r="O13" s="91">
        <f t="shared" si="10"/>
        <v>1.6847065778639925E-2</v>
      </c>
      <c r="P13" s="91">
        <f t="shared" si="8"/>
        <v>-2.346431732383425E-2</v>
      </c>
      <c r="Q13" s="91">
        <f t="shared" si="8"/>
        <v>-1.5388663402088332E-3</v>
      </c>
      <c r="R13" s="91">
        <f t="shared" si="8"/>
        <v>8.1561178854028249E-3</v>
      </c>
      <c r="S13" s="91">
        <f t="shared" si="8"/>
        <v>0</v>
      </c>
    </row>
    <row r="14" spans="1:49" x14ac:dyDescent="0.35">
      <c r="A14" s="11" t="s">
        <v>69</v>
      </c>
      <c r="B14" s="34">
        <f t="shared" ref="B14:E14" si="14">L58</f>
        <v>7777.9467770000001</v>
      </c>
      <c r="C14" s="34">
        <f t="shared" si="14"/>
        <v>7487.8876950000003</v>
      </c>
      <c r="D14" s="34">
        <f t="shared" si="14"/>
        <v>7678.0654299999997</v>
      </c>
      <c r="E14" s="34">
        <f t="shared" si="14"/>
        <v>7722.6313479999999</v>
      </c>
      <c r="F14" s="34"/>
      <c r="G14" s="24">
        <f t="shared" si="2"/>
        <v>7666.6328125</v>
      </c>
      <c r="H14" s="38">
        <f t="shared" si="3"/>
        <v>362174.90804848436</v>
      </c>
      <c r="I14" s="36">
        <f t="shared" si="4"/>
        <v>1.422988734205803E-2</v>
      </c>
      <c r="J14" s="36">
        <f t="shared" si="5"/>
        <v>0.11</v>
      </c>
      <c r="K14" s="36">
        <f t="shared" si="6"/>
        <v>3.7833960370069537E-2</v>
      </c>
      <c r="L14" s="16">
        <f>G14/'Clause 6'!$I$11</f>
        <v>7666.6328125</v>
      </c>
      <c r="M14">
        <f t="shared" si="7"/>
        <v>4</v>
      </c>
      <c r="O14" s="91">
        <f t="shared" si="10"/>
        <v>1.4519276874524367E-2</v>
      </c>
      <c r="P14" s="91">
        <f t="shared" si="8"/>
        <v>-2.331468349554533E-2</v>
      </c>
      <c r="Q14" s="91">
        <f t="shared" si="8"/>
        <v>1.4912175631209834E-3</v>
      </c>
      <c r="R14" s="91">
        <f t="shared" si="8"/>
        <v>7.3041890578999791E-3</v>
      </c>
      <c r="S14" s="91">
        <f t="shared" si="8"/>
        <v>0</v>
      </c>
    </row>
    <row r="15" spans="1:49" x14ac:dyDescent="0.35">
      <c r="A15" s="11" t="s">
        <v>70</v>
      </c>
      <c r="B15" s="34">
        <f t="shared" ref="B15:E15" si="15">L59</f>
        <v>6693.8500979999999</v>
      </c>
      <c r="C15" s="34">
        <f t="shared" si="15"/>
        <v>6428.6547849999997</v>
      </c>
      <c r="D15" s="34">
        <f t="shared" si="15"/>
        <v>6619.7900390000004</v>
      </c>
      <c r="E15" s="34">
        <f t="shared" si="15"/>
        <v>6621.5991210000002</v>
      </c>
      <c r="F15" s="34"/>
      <c r="G15" s="24">
        <f t="shared" si="2"/>
        <v>6590.9735107500001</v>
      </c>
      <c r="H15" s="38">
        <f t="shared" si="3"/>
        <v>311360.31731086347</v>
      </c>
      <c r="I15" s="36">
        <f t="shared" si="4"/>
        <v>1.492354115523156E-2</v>
      </c>
      <c r="J15" s="36">
        <f t="shared" si="5"/>
        <v>0.11</v>
      </c>
      <c r="K15" s="36">
        <f t="shared" si="6"/>
        <v>4.0236136978469374E-2</v>
      </c>
      <c r="L15" s="16">
        <f>G15/'Clause 6'!$I$11</f>
        <v>6590.9735107500001</v>
      </c>
      <c r="M15">
        <f t="shared" si="7"/>
        <v>4</v>
      </c>
      <c r="O15" s="91">
        <f t="shared" si="10"/>
        <v>1.5608708953572137E-2</v>
      </c>
      <c r="P15" s="91">
        <f t="shared" si="8"/>
        <v>-2.4627428024897258E-2</v>
      </c>
      <c r="Q15" s="91">
        <f t="shared" si="8"/>
        <v>4.3721201735980042E-3</v>
      </c>
      <c r="R15" s="91">
        <f t="shared" si="8"/>
        <v>4.6465988977271167E-3</v>
      </c>
      <c r="S15" s="91">
        <f t="shared" si="8"/>
        <v>0</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71</v>
      </c>
      <c r="B16" s="34">
        <f t="shared" ref="B16:E16" si="16">L60</f>
        <v>5686.9204099999997</v>
      </c>
      <c r="C16" s="34">
        <f t="shared" si="16"/>
        <v>5450.6733400000003</v>
      </c>
      <c r="D16" s="34">
        <f t="shared" si="16"/>
        <v>5605.2490230000003</v>
      </c>
      <c r="E16" s="34">
        <f t="shared" si="16"/>
        <v>5620.1342770000001</v>
      </c>
      <c r="F16" s="34"/>
      <c r="G16" s="24">
        <f t="shared" si="2"/>
        <v>5590.7442625000003</v>
      </c>
      <c r="H16" s="38">
        <f t="shared" si="3"/>
        <v>264109.07352862472</v>
      </c>
      <c r="I16" s="36">
        <f t="shared" si="4"/>
        <v>1.5475845424889511E-2</v>
      </c>
      <c r="J16" s="36">
        <f t="shared" si="5"/>
        <v>0.11</v>
      </c>
      <c r="K16" s="36">
        <f t="shared" si="6"/>
        <v>4.2256819290524543E-2</v>
      </c>
      <c r="L16" s="16">
        <f>G16/'Clause 6'!$I$11</f>
        <v>5590.7442625000003</v>
      </c>
      <c r="M16">
        <f t="shared" si="7"/>
        <v>4</v>
      </c>
      <c r="O16" s="91">
        <f t="shared" si="10"/>
        <v>1.7202744927022007E-2</v>
      </c>
      <c r="P16" s="91">
        <f t="shared" si="8"/>
        <v>-2.5054074363502488E-2</v>
      </c>
      <c r="Q16" s="91">
        <f t="shared" si="8"/>
        <v>2.594423894022535E-3</v>
      </c>
      <c r="R16" s="91">
        <f t="shared" si="8"/>
        <v>5.2569055424576128E-3</v>
      </c>
      <c r="S16" s="91">
        <f t="shared" si="8"/>
        <v>0</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72</v>
      </c>
      <c r="B17" s="34">
        <f t="shared" ref="B17:E17" si="17">L61</f>
        <v>4759.2578119999998</v>
      </c>
      <c r="C17" s="34">
        <f t="shared" si="17"/>
        <v>4580.5820309999999</v>
      </c>
      <c r="D17" s="34">
        <f t="shared" si="17"/>
        <v>4694.3491210000002</v>
      </c>
      <c r="E17" s="34">
        <f t="shared" si="17"/>
        <v>4713.0673829999996</v>
      </c>
      <c r="F17" s="34"/>
      <c r="G17" s="24">
        <f t="shared" si="2"/>
        <v>4686.8140867500006</v>
      </c>
      <c r="H17" s="38">
        <f t="shared" si="3"/>
        <v>221407.03779910193</v>
      </c>
      <c r="I17" s="36">
        <f t="shared" si="4"/>
        <v>1.402348793378346E-2</v>
      </c>
      <c r="J17" s="36">
        <f t="shared" si="5"/>
        <v>0.11</v>
      </c>
      <c r="K17" s="36">
        <f t="shared" si="6"/>
        <v>3.812307842658634E-2</v>
      </c>
      <c r="L17" s="16">
        <f>G17/'Clause 6'!$I$11</f>
        <v>4686.8140867500006</v>
      </c>
      <c r="M17">
        <f t="shared" si="7"/>
        <v>4</v>
      </c>
      <c r="O17" s="91">
        <f t="shared" si="10"/>
        <v>1.5456923169793191E-2</v>
      </c>
      <c r="P17" s="91">
        <f t="shared" si="8"/>
        <v>-2.2666155256793163E-2</v>
      </c>
      <c r="Q17" s="91">
        <f t="shared" si="8"/>
        <v>1.6077092264661363E-3</v>
      </c>
      <c r="R17" s="91">
        <f t="shared" si="8"/>
        <v>5.6015228605332812E-3</v>
      </c>
      <c r="S17" s="91">
        <f t="shared" si="8"/>
        <v>0</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73</v>
      </c>
      <c r="B18" s="34">
        <f t="shared" ref="B18:E18" si="18">L62</f>
        <v>3926.2302249999998</v>
      </c>
      <c r="C18" s="34">
        <f t="shared" si="18"/>
        <v>3790.921875</v>
      </c>
      <c r="D18" s="34">
        <f t="shared" si="18"/>
        <v>3868.4772950000001</v>
      </c>
      <c r="E18" s="34">
        <f t="shared" si="18"/>
        <v>3907.0153810000002</v>
      </c>
      <c r="F18" s="34"/>
      <c r="G18" s="24">
        <f t="shared" si="2"/>
        <v>3873.1611940000003</v>
      </c>
      <c r="H18" s="38">
        <f t="shared" si="3"/>
        <v>182969.73829329433</v>
      </c>
      <c r="I18" s="36">
        <f t="shared" si="4"/>
        <v>1.3383251677420658E-2</v>
      </c>
      <c r="J18" s="36">
        <f t="shared" si="5"/>
        <v>0.11</v>
      </c>
      <c r="K18" s="36">
        <f t="shared" si="6"/>
        <v>3.4934861531094798E-2</v>
      </c>
      <c r="L18" s="16">
        <f>G18/'Clause 6'!$I$11</f>
        <v>3873.1611940000003</v>
      </c>
      <c r="M18">
        <f t="shared" si="7"/>
        <v>4</v>
      </c>
      <c r="O18" s="91">
        <f t="shared" si="10"/>
        <v>1.3701735699048534E-2</v>
      </c>
      <c r="P18" s="91">
        <f t="shared" si="8"/>
        <v>-2.1233125832046174E-2</v>
      </c>
      <c r="Q18" s="91">
        <f t="shared" si="8"/>
        <v>-1.2093219892980178E-3</v>
      </c>
      <c r="R18" s="91">
        <f t="shared" si="8"/>
        <v>8.7407121222953243E-3</v>
      </c>
      <c r="S18" s="91">
        <f t="shared" si="8"/>
        <v>0</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74</v>
      </c>
      <c r="B19" s="34">
        <f t="shared" ref="B19:E19" si="19">L63</f>
        <v>3192.0383299999999</v>
      </c>
      <c r="C19" s="34">
        <f t="shared" si="19"/>
        <v>3075.955078</v>
      </c>
      <c r="D19" s="34">
        <f t="shared" si="19"/>
        <v>3151.5351559999999</v>
      </c>
      <c r="E19" s="34">
        <f t="shared" si="19"/>
        <v>3168.6857909999999</v>
      </c>
      <c r="F19" s="34"/>
      <c r="G19" s="24">
        <f t="shared" si="2"/>
        <v>3147.05358875</v>
      </c>
      <c r="H19" s="38">
        <f t="shared" si="3"/>
        <v>148668.11441273574</v>
      </c>
      <c r="I19" s="36">
        <f t="shared" si="4"/>
        <v>1.3820317727589418E-2</v>
      </c>
      <c r="J19" s="36">
        <f t="shared" si="5"/>
        <v>0.11</v>
      </c>
      <c r="K19" s="36">
        <f t="shared" si="6"/>
        <v>3.6886328346924596E-2</v>
      </c>
      <c r="L19" s="16">
        <f>G19/'Clause 6'!$I$11</f>
        <v>3147.05358875</v>
      </c>
      <c r="M19">
        <f t="shared" si="7"/>
        <v>4</v>
      </c>
      <c r="O19" s="91">
        <f t="shared" si="10"/>
        <v>1.4294240622660492E-2</v>
      </c>
      <c r="P19" s="91">
        <f t="shared" si="8"/>
        <v>-2.2592087724264021E-2</v>
      </c>
      <c r="Q19" s="91">
        <f t="shared" si="8"/>
        <v>1.4240517752923676E-3</v>
      </c>
      <c r="R19" s="91">
        <f t="shared" si="8"/>
        <v>6.8737953263109386E-3</v>
      </c>
      <c r="S19" s="91">
        <f t="shared" si="8"/>
        <v>0</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75</v>
      </c>
      <c r="B20" s="34">
        <f t="shared" ref="B20:E20" si="20">L64</f>
        <v>2548.2797850000002</v>
      </c>
      <c r="C20" s="34">
        <f t="shared" si="20"/>
        <v>2445.5180660000001</v>
      </c>
      <c r="D20" s="34">
        <f t="shared" si="20"/>
        <v>2524.1979980000001</v>
      </c>
      <c r="E20" s="34">
        <f t="shared" si="20"/>
        <v>2529.5102539999998</v>
      </c>
      <c r="F20" s="34"/>
      <c r="G20" s="24">
        <f t="shared" si="2"/>
        <v>2511.8765257499999</v>
      </c>
      <c r="H20" s="38">
        <f t="shared" si="3"/>
        <v>118662.08699331166</v>
      </c>
      <c r="I20" s="36">
        <f t="shared" si="4"/>
        <v>1.5662694680540913E-2</v>
      </c>
      <c r="J20" s="36">
        <f t="shared" si="5"/>
        <v>0.11</v>
      </c>
      <c r="K20" s="36">
        <f t="shared" si="6"/>
        <v>4.0910338524429393E-2</v>
      </c>
      <c r="L20" s="16">
        <f>G20/'Clause 6'!$I$11</f>
        <v>2511.8765257499999</v>
      </c>
      <c r="M20">
        <f t="shared" si="7"/>
        <v>4</v>
      </c>
      <c r="O20" s="91">
        <f t="shared" si="10"/>
        <v>1.4492455690723549E-2</v>
      </c>
      <c r="P20" s="91">
        <f t="shared" si="8"/>
        <v>-2.6417882833705941E-2</v>
      </c>
      <c r="Q20" s="91">
        <f t="shared" si="8"/>
        <v>4.9052857987599285E-3</v>
      </c>
      <c r="R20" s="91">
        <f t="shared" si="8"/>
        <v>7.0201413442225746E-3</v>
      </c>
      <c r="S20" s="91">
        <f t="shared" si="8"/>
        <v>0</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76</v>
      </c>
      <c r="B21" s="34">
        <f t="shared" ref="B21:E21" si="21">L65</f>
        <v>1996.7236330000001</v>
      </c>
      <c r="C21" s="34">
        <f t="shared" si="21"/>
        <v>1918.4632570000001</v>
      </c>
      <c r="D21" s="34">
        <f t="shared" si="21"/>
        <v>1977.9223629999999</v>
      </c>
      <c r="E21" s="34">
        <f t="shared" si="21"/>
        <v>1980.079712</v>
      </c>
      <c r="F21" s="34"/>
      <c r="G21" s="24">
        <f t="shared" si="2"/>
        <v>1968.2972412499998</v>
      </c>
      <c r="H21" s="38">
        <f t="shared" si="3"/>
        <v>92983.176551707875</v>
      </c>
      <c r="I21" s="36">
        <f t="shared" si="4"/>
        <v>1.5077623282758003E-2</v>
      </c>
      <c r="J21" s="36">
        <f t="shared" si="5"/>
        <v>0.11</v>
      </c>
      <c r="K21" s="36">
        <f t="shared" si="6"/>
        <v>3.9760445912274608E-2</v>
      </c>
      <c r="L21" s="16">
        <f>G21/'Clause 6'!$I$11</f>
        <v>1968.2972412499998</v>
      </c>
      <c r="M21">
        <f t="shared" si="7"/>
        <v>4</v>
      </c>
      <c r="O21" s="91">
        <f t="shared" si="10"/>
        <v>1.4442123452831579E-2</v>
      </c>
      <c r="P21" s="91">
        <f t="shared" si="8"/>
        <v>-2.5318322459443099E-2</v>
      </c>
      <c r="Q21" s="91">
        <f t="shared" si="8"/>
        <v>4.8900753139742292E-3</v>
      </c>
      <c r="R21" s="91">
        <f t="shared" si="8"/>
        <v>5.9861236926377348E-3</v>
      </c>
      <c r="S21" s="91">
        <f t="shared" si="8"/>
        <v>0</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77</v>
      </c>
      <c r="B22" s="34">
        <f t="shared" ref="B22:E22" si="22">L66</f>
        <v>1531.621216</v>
      </c>
      <c r="C22" s="34">
        <f t="shared" si="22"/>
        <v>1479.2166749999999</v>
      </c>
      <c r="D22" s="34">
        <f t="shared" si="22"/>
        <v>1527.5577390000001</v>
      </c>
      <c r="E22" s="34">
        <f t="shared" si="22"/>
        <v>1518.0162350000001</v>
      </c>
      <c r="F22" s="34"/>
      <c r="G22" s="24">
        <f t="shared" si="2"/>
        <v>1514.10296625</v>
      </c>
      <c r="H22" s="38">
        <f t="shared" si="3"/>
        <v>71526.850964278026</v>
      </c>
      <c r="I22" s="36">
        <f t="shared" si="4"/>
        <v>1.3696671646582856E-2</v>
      </c>
      <c r="J22" s="36">
        <f t="shared" si="5"/>
        <v>0.11</v>
      </c>
      <c r="K22" s="36">
        <f t="shared" si="6"/>
        <v>3.4610949300093619E-2</v>
      </c>
      <c r="L22" s="16">
        <f>G22/'Clause 6'!$I$11</f>
        <v>1514.10296625</v>
      </c>
      <c r="M22">
        <f t="shared" si="7"/>
        <v>4</v>
      </c>
      <c r="O22" s="91">
        <f t="shared" si="10"/>
        <v>1.1570051799969505E-2</v>
      </c>
      <c r="P22" s="91">
        <f t="shared" si="8"/>
        <v>-2.3040897500124058E-2</v>
      </c>
      <c r="Q22" s="91">
        <f t="shared" si="8"/>
        <v>8.8862997100678243E-3</v>
      </c>
      <c r="R22" s="91">
        <f t="shared" si="8"/>
        <v>2.5845459900868395E-3</v>
      </c>
      <c r="S22" s="91">
        <f t="shared" si="8"/>
        <v>0</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x14ac:dyDescent="0.35">
      <c r="A23" s="11" t="s">
        <v>78</v>
      </c>
      <c r="B23" s="34">
        <f t="shared" ref="B23:E23" si="23">L67</f>
        <v>1165.35437</v>
      </c>
      <c r="C23" s="34">
        <f t="shared" si="23"/>
        <v>1125.2170410000001</v>
      </c>
      <c r="D23" s="34">
        <f t="shared" si="23"/>
        <v>1161.509399</v>
      </c>
      <c r="E23" s="34">
        <f t="shared" si="23"/>
        <v>1150.9710689999999</v>
      </c>
      <c r="F23" s="34"/>
      <c r="G23" s="24">
        <f t="shared" si="2"/>
        <v>1150.7629697499999</v>
      </c>
      <c r="H23" s="38">
        <f t="shared" si="3"/>
        <v>54362.519106859472</v>
      </c>
      <c r="I23" s="36">
        <f t="shared" si="4"/>
        <v>1.3608987650367591E-2</v>
      </c>
      <c r="J23" s="36">
        <f t="shared" si="5"/>
        <v>0.11</v>
      </c>
      <c r="K23" s="36">
        <f t="shared" si="6"/>
        <v>3.4878884753060516E-2</v>
      </c>
      <c r="L23" s="16">
        <f>G23/'Clause 6'!$I$11</f>
        <v>1150.7629697499999</v>
      </c>
      <c r="M23">
        <f t="shared" si="7"/>
        <v>4</v>
      </c>
      <c r="O23" s="91">
        <f t="shared" si="10"/>
        <v>1.267976171771501E-2</v>
      </c>
      <c r="P23" s="91">
        <f t="shared" si="8"/>
        <v>-2.2199123035345436E-2</v>
      </c>
      <c r="Q23" s="91">
        <f t="shared" si="8"/>
        <v>9.3385254239930493E-3</v>
      </c>
      <c r="R23" s="91">
        <f t="shared" si="8"/>
        <v>1.8083589363770969E-4</v>
      </c>
      <c r="S23" s="91">
        <f t="shared" si="8"/>
        <v>0</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x14ac:dyDescent="0.35">
      <c r="A24" s="11" t="s">
        <v>79</v>
      </c>
      <c r="B24" s="34">
        <f t="shared" ref="B24:E24" si="24">L68</f>
        <v>881.11883499999999</v>
      </c>
      <c r="C24" s="34">
        <f t="shared" si="24"/>
        <v>849.29187000000002</v>
      </c>
      <c r="D24" s="34">
        <f t="shared" si="24"/>
        <v>880.59094200000004</v>
      </c>
      <c r="E24" s="34">
        <f t="shared" si="24"/>
        <v>870.67260699999997</v>
      </c>
      <c r="F24" s="34"/>
      <c r="G24" s="24">
        <f t="shared" si="2"/>
        <v>870.4185635</v>
      </c>
      <c r="H24" s="38">
        <f t="shared" si="3"/>
        <v>41118.933293025293</v>
      </c>
      <c r="I24" s="36">
        <f t="shared" si="4"/>
        <v>1.4806364575337882E-2</v>
      </c>
      <c r="J24" s="36">
        <f t="shared" si="5"/>
        <v>0.11</v>
      </c>
      <c r="K24" s="36">
        <f t="shared" si="6"/>
        <v>3.6565126635192645E-2</v>
      </c>
      <c r="L24" s="16">
        <f>G24/'Clause 6'!$I$11</f>
        <v>870.4185635</v>
      </c>
      <c r="M24">
        <f t="shared" si="7"/>
        <v>4</v>
      </c>
      <c r="O24" s="91">
        <f t="shared" si="10"/>
        <v>1.2293248270089263E-2</v>
      </c>
      <c r="P24" s="91">
        <f t="shared" si="8"/>
        <v>-2.4271878365103361E-2</v>
      </c>
      <c r="Q24" s="91">
        <f t="shared" si="8"/>
        <v>1.1686766489786615E-2</v>
      </c>
      <c r="R24" s="91">
        <f t="shared" si="8"/>
        <v>2.9186360522737154E-4</v>
      </c>
      <c r="S24" s="91">
        <f t="shared" si="8"/>
        <v>0</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x14ac:dyDescent="0.35">
      <c r="A25" s="11" t="s">
        <v>80</v>
      </c>
      <c r="B25" s="34">
        <f t="shared" ref="B25:E25" si="25">L69</f>
        <v>672.72375499999998</v>
      </c>
      <c r="C25" s="34">
        <f t="shared" si="25"/>
        <v>633.81829800000003</v>
      </c>
      <c r="D25" s="34">
        <f t="shared" si="25"/>
        <v>660.90087900000003</v>
      </c>
      <c r="E25" s="34">
        <f t="shared" si="25"/>
        <v>651.78955099999996</v>
      </c>
      <c r="F25" s="34"/>
      <c r="G25" s="24">
        <f t="shared" si="2"/>
        <v>654.80812075000006</v>
      </c>
      <c r="H25" s="38">
        <f t="shared" si="3"/>
        <v>30933.406714791992</v>
      </c>
      <c r="I25" s="36">
        <f t="shared" si="4"/>
        <v>2.1702084034705027E-2</v>
      </c>
      <c r="J25" s="36">
        <f t="shared" si="5"/>
        <v>0.11</v>
      </c>
      <c r="K25" s="36">
        <f t="shared" si="6"/>
        <v>5.9415049641471561E-2</v>
      </c>
      <c r="L25" s="16">
        <f>G25/'Clause 6'!$I$11</f>
        <v>654.80812075000006</v>
      </c>
      <c r="M25">
        <f t="shared" si="7"/>
        <v>4</v>
      </c>
      <c r="O25" s="91">
        <f t="shared" si="10"/>
        <v>2.7360128383074667E-2</v>
      </c>
      <c r="P25" s="91">
        <f t="shared" si="8"/>
        <v>-3.2054921258396818E-2</v>
      </c>
      <c r="Q25" s="91">
        <f t="shared" si="8"/>
        <v>9.3046467460138338E-3</v>
      </c>
      <c r="R25" s="91">
        <f t="shared" si="8"/>
        <v>-4.6098538706922376E-3</v>
      </c>
      <c r="S25" s="91">
        <f t="shared" si="8"/>
        <v>0</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x14ac:dyDescent="0.35">
      <c r="A26" s="11" t="s">
        <v>81</v>
      </c>
      <c r="B26" s="34">
        <f t="shared" ref="B26:E26" si="26">L70</f>
        <v>507.33431999999999</v>
      </c>
      <c r="C26" s="34">
        <f t="shared" si="26"/>
        <v>483.919128</v>
      </c>
      <c r="D26" s="34">
        <f t="shared" si="26"/>
        <v>507.52468900000002</v>
      </c>
      <c r="E26" s="34">
        <f t="shared" si="26"/>
        <v>485.430206</v>
      </c>
      <c r="F26" s="34"/>
      <c r="G26" s="24">
        <f t="shared" si="2"/>
        <v>496.05208575</v>
      </c>
      <c r="H26" s="38">
        <f t="shared" si="3"/>
        <v>23433.705896393501</v>
      </c>
      <c r="I26" s="36">
        <f t="shared" si="4"/>
        <v>2.2961608829168392E-2</v>
      </c>
      <c r="J26" s="36">
        <f t="shared" si="5"/>
        <v>0.11</v>
      </c>
      <c r="K26" s="36">
        <f t="shared" si="6"/>
        <v>4.7586859682909863E-2</v>
      </c>
      <c r="L26" s="16">
        <f>G26/'Clause 6'!$I$11</f>
        <v>496.05208575</v>
      </c>
      <c r="M26">
        <f t="shared" si="7"/>
        <v>4</v>
      </c>
      <c r="O26" s="91">
        <f t="shared" si="10"/>
        <v>2.274405163107418E-2</v>
      </c>
      <c r="P26" s="91">
        <f t="shared" si="8"/>
        <v>-2.4459039884200284E-2</v>
      </c>
      <c r="Q26" s="91">
        <f t="shared" si="8"/>
        <v>2.3127819798709481E-2</v>
      </c>
      <c r="R26" s="91">
        <f t="shared" si="8"/>
        <v>-2.1412831545583377E-2</v>
      </c>
      <c r="S26" s="91">
        <f t="shared" si="8"/>
        <v>0</v>
      </c>
    </row>
    <row r="27" spans="1:49" x14ac:dyDescent="0.35">
      <c r="A27" s="11" t="s">
        <v>82</v>
      </c>
      <c r="B27" s="34">
        <f t="shared" ref="B27:E27" si="27">L71</f>
        <v>384.61889600000001</v>
      </c>
      <c r="C27" s="34">
        <f t="shared" si="27"/>
        <v>371.41790800000001</v>
      </c>
      <c r="D27" s="34">
        <f t="shared" si="27"/>
        <v>383.338776</v>
      </c>
      <c r="E27" s="34">
        <f t="shared" si="27"/>
        <v>363.323059</v>
      </c>
      <c r="F27" s="34"/>
      <c r="G27" s="24">
        <f t="shared" si="2"/>
        <v>375.67465975000005</v>
      </c>
      <c r="H27" s="38">
        <f t="shared" si="3"/>
        <v>17747.02645589914</v>
      </c>
      <c r="I27" s="36">
        <f t="shared" si="4"/>
        <v>2.3411665214406813E-2</v>
      </c>
      <c r="J27" s="36">
        <f t="shared" si="5"/>
        <v>0.11</v>
      </c>
      <c r="K27" s="36">
        <f t="shared" si="6"/>
        <v>5.6686913656012181E-2</v>
      </c>
      <c r="L27" s="16">
        <f>G27/'Clause 6'!$I$11</f>
        <v>375.67465975000005</v>
      </c>
      <c r="M27">
        <f t="shared" si="7"/>
        <v>4</v>
      </c>
      <c r="O27" s="91">
        <f t="shared" si="10"/>
        <v>2.3808463035414951E-2</v>
      </c>
      <c r="P27" s="91">
        <f t="shared" si="8"/>
        <v>-1.1330952566331653E-2</v>
      </c>
      <c r="Q27" s="91">
        <f t="shared" si="8"/>
        <v>2.0400940151513502E-2</v>
      </c>
      <c r="R27" s="91">
        <f t="shared" si="8"/>
        <v>-3.2878450620597244E-2</v>
      </c>
      <c r="S27" s="91">
        <f t="shared" si="8"/>
        <v>0</v>
      </c>
    </row>
    <row r="28" spans="1:49" x14ac:dyDescent="0.35">
      <c r="A28" s="11" t="s">
        <v>83</v>
      </c>
      <c r="B28" s="34">
        <f t="shared" ref="B28:E28" si="28">L72</f>
        <v>290.09484900000001</v>
      </c>
      <c r="C28" s="34">
        <f t="shared" si="28"/>
        <v>280.63824499999998</v>
      </c>
      <c r="D28" s="34">
        <f t="shared" si="28"/>
        <v>289.97052000000002</v>
      </c>
      <c r="E28" s="34">
        <f t="shared" si="28"/>
        <v>272.027039</v>
      </c>
      <c r="F28" s="34"/>
      <c r="G28" s="24">
        <f t="shared" si="2"/>
        <v>283.18266325000002</v>
      </c>
      <c r="H28" s="38">
        <f t="shared" si="3"/>
        <v>13377.666249552587</v>
      </c>
      <c r="I28" s="36">
        <f t="shared" si="4"/>
        <v>2.6471445818925007E-2</v>
      </c>
      <c r="J28" s="36">
        <f t="shared" si="5"/>
        <v>0.11</v>
      </c>
      <c r="K28" s="36">
        <f t="shared" si="6"/>
        <v>6.3802669953878288E-2</v>
      </c>
      <c r="L28" s="16">
        <f>G28/'Clause 6'!$I$11</f>
        <v>283.18266325000002</v>
      </c>
      <c r="M28">
        <f t="shared" si="7"/>
        <v>4</v>
      </c>
      <c r="O28" s="91">
        <f t="shared" si="10"/>
        <v>2.440892980760534E-2</v>
      </c>
      <c r="P28" s="91">
        <f t="shared" si="8"/>
        <v>-8.9850777614650656E-3</v>
      </c>
      <c r="Q28" s="91">
        <f t="shared" si="8"/>
        <v>2.3969888100132453E-2</v>
      </c>
      <c r="R28" s="91">
        <f t="shared" si="8"/>
        <v>-3.9393740146272949E-2</v>
      </c>
      <c r="S28" s="91">
        <f t="shared" si="8"/>
        <v>0</v>
      </c>
    </row>
    <row r="29" spans="1:49" x14ac:dyDescent="0.35">
      <c r="A29" s="11" t="s">
        <v>84</v>
      </c>
      <c r="B29" s="34">
        <f t="shared" ref="B29:E29" si="29">L73</f>
        <v>217.792236</v>
      </c>
      <c r="C29" s="34">
        <f t="shared" si="29"/>
        <v>207.891571</v>
      </c>
      <c r="D29" s="34">
        <f t="shared" si="29"/>
        <v>216.53707900000001</v>
      </c>
      <c r="E29" s="34">
        <f t="shared" si="29"/>
        <v>203.68424999999999</v>
      </c>
      <c r="F29" s="34"/>
      <c r="G29" s="24">
        <f t="shared" si="2"/>
        <v>211.47628400000002</v>
      </c>
      <c r="H29" s="38">
        <f t="shared" si="3"/>
        <v>9990.227207341577</v>
      </c>
      <c r="I29" s="36">
        <f t="shared" si="4"/>
        <v>2.7881958484291758E-2</v>
      </c>
      <c r="J29" s="36">
        <f t="shared" si="5"/>
        <v>0.113</v>
      </c>
      <c r="K29" s="36">
        <f t="shared" si="6"/>
        <v>6.6711906097234097E-2</v>
      </c>
      <c r="L29" s="16">
        <f>G29/'Clause 6'!$I$11</f>
        <v>211.47628400000002</v>
      </c>
      <c r="M29">
        <f t="shared" si="7"/>
        <v>4</v>
      </c>
      <c r="O29" s="91">
        <f t="shared" si="10"/>
        <v>2.9866006156983538E-2</v>
      </c>
      <c r="P29" s="91">
        <f t="shared" si="8"/>
        <v>-1.695089838064312E-2</v>
      </c>
      <c r="Q29" s="91">
        <f t="shared" si="8"/>
        <v>2.3930792163909809E-2</v>
      </c>
      <c r="R29" s="91">
        <f t="shared" si="8"/>
        <v>-3.684589994025067E-2</v>
      </c>
      <c r="S29" s="91">
        <f t="shared" si="8"/>
        <v>0</v>
      </c>
    </row>
    <row r="30" spans="1:49" x14ac:dyDescent="0.35">
      <c r="A30" s="11" t="s">
        <v>85</v>
      </c>
      <c r="B30" s="34">
        <f t="shared" ref="B30:E30" si="30">L74</f>
        <v>163.73112499999999</v>
      </c>
      <c r="C30" s="34">
        <f t="shared" si="30"/>
        <v>153.17787200000001</v>
      </c>
      <c r="D30" s="34">
        <f t="shared" si="30"/>
        <v>162.123108</v>
      </c>
      <c r="E30" s="34">
        <f t="shared" si="30"/>
        <v>151.26397700000001</v>
      </c>
      <c r="F30" s="34"/>
      <c r="G30" s="24">
        <f t="shared" si="2"/>
        <v>157.57402050000002</v>
      </c>
      <c r="H30" s="38">
        <f t="shared" si="3"/>
        <v>7443.8619640644883</v>
      </c>
      <c r="I30" s="36">
        <f t="shared" si="4"/>
        <v>3.443183239573331E-2</v>
      </c>
      <c r="J30" s="36">
        <f t="shared" si="5"/>
        <v>0.113</v>
      </c>
      <c r="K30" s="36">
        <f t="shared" si="6"/>
        <v>7.9119311422278391E-2</v>
      </c>
      <c r="L30" s="16">
        <f>G30/'Clause 6'!$I$11</f>
        <v>157.57402050000002</v>
      </c>
      <c r="M30">
        <f t="shared" si="7"/>
        <v>4</v>
      </c>
      <c r="O30" s="91">
        <f t="shared" si="10"/>
        <v>3.9074363149856683E-2</v>
      </c>
      <c r="P30" s="91">
        <f t="shared" si="8"/>
        <v>-2.7898942262503335E-2</v>
      </c>
      <c r="Q30" s="91">
        <f t="shared" si="8"/>
        <v>2.8869527385067872E-2</v>
      </c>
      <c r="R30" s="91">
        <f t="shared" si="8"/>
        <v>-4.0044948272421665E-2</v>
      </c>
      <c r="S30" s="91">
        <f t="shared" si="8"/>
        <v>0</v>
      </c>
    </row>
    <row r="31" spans="1:49" x14ac:dyDescent="0.35">
      <c r="A31" s="11" t="s">
        <v>86</v>
      </c>
      <c r="B31" s="34">
        <f t="shared" ref="B31:E31" si="31">L75</f>
        <v>122.383759</v>
      </c>
      <c r="C31" s="34">
        <f t="shared" si="31"/>
        <v>114.03810900000001</v>
      </c>
      <c r="D31" s="34">
        <f t="shared" si="31"/>
        <v>120.21927599999999</v>
      </c>
      <c r="E31" s="34">
        <f t="shared" si="31"/>
        <v>106.908379</v>
      </c>
      <c r="F31" s="34"/>
      <c r="G31" s="24">
        <f t="shared" si="2"/>
        <v>115.88738075000001</v>
      </c>
      <c r="H31" s="38">
        <f t="shared" si="3"/>
        <v>5474.5678440056308</v>
      </c>
      <c r="I31" s="36">
        <f t="shared" si="4"/>
        <v>5.1955750187774132E-2</v>
      </c>
      <c r="J31" s="36">
        <f t="shared" si="5"/>
        <v>0.113</v>
      </c>
      <c r="K31" s="36">
        <f t="shared" si="6"/>
        <v>0.13353809448316487</v>
      </c>
      <c r="L31" s="16">
        <f>G31/'Clause 6'!$I$11</f>
        <v>115.88738075000001</v>
      </c>
      <c r="M31">
        <f t="shared" si="7"/>
        <v>4</v>
      </c>
      <c r="O31" s="91">
        <f t="shared" si="10"/>
        <v>5.6057684693162635E-2</v>
      </c>
      <c r="P31" s="91">
        <f t="shared" si="8"/>
        <v>-1.5957490263666996E-2</v>
      </c>
      <c r="Q31" s="91">
        <f t="shared" si="8"/>
        <v>3.7380215360506286E-2</v>
      </c>
      <c r="R31" s="91">
        <f t="shared" si="8"/>
        <v>-7.7480409790002147E-2</v>
      </c>
      <c r="S31" s="91">
        <f t="shared" si="8"/>
        <v>0</v>
      </c>
    </row>
    <row r="32" spans="1:49" x14ac:dyDescent="0.35">
      <c r="A32" s="11" t="s">
        <v>87</v>
      </c>
      <c r="B32" s="34">
        <f t="shared" ref="B32:E32" si="32">L76</f>
        <v>87.448562999999993</v>
      </c>
      <c r="C32" s="34">
        <f t="shared" si="32"/>
        <v>81.865630999999993</v>
      </c>
      <c r="D32" s="34">
        <f t="shared" si="32"/>
        <v>86.757225000000005</v>
      </c>
      <c r="E32" s="34">
        <f t="shared" si="32"/>
        <v>78.061729</v>
      </c>
      <c r="F32" s="34"/>
      <c r="G32" s="24">
        <f t="shared" si="2"/>
        <v>83.533287000000001</v>
      </c>
      <c r="H32" s="38">
        <f t="shared" si="3"/>
        <v>3946.1470606608182</v>
      </c>
      <c r="I32" s="36">
        <f t="shared" si="4"/>
        <v>4.575869801434769E-2</v>
      </c>
      <c r="J32" s="36">
        <f t="shared" si="5"/>
        <v>0.11900000000000001</v>
      </c>
      <c r="K32" s="36">
        <f t="shared" si="6"/>
        <v>0.11237237677478193</v>
      </c>
      <c r="L32" s="16">
        <f>G32/'Clause 6'!$I$11</f>
        <v>83.533287000000001</v>
      </c>
      <c r="M32">
        <f t="shared" si="7"/>
        <v>4</v>
      </c>
      <c r="O32" s="91">
        <f t="shared" si="10"/>
        <v>4.6870848024931577E-2</v>
      </c>
      <c r="P32" s="91">
        <f t="shared" si="8"/>
        <v>-1.9963969572991958E-2</v>
      </c>
      <c r="Q32" s="91">
        <f t="shared" si="8"/>
        <v>3.8594650297910649E-2</v>
      </c>
      <c r="R32" s="91">
        <f t="shared" si="8"/>
        <v>-6.550152874985038E-2</v>
      </c>
      <c r="S32" s="91">
        <f t="shared" si="8"/>
        <v>0</v>
      </c>
    </row>
    <row r="33" spans="1:19" x14ac:dyDescent="0.35">
      <c r="A33" s="11" t="s">
        <v>88</v>
      </c>
      <c r="B33" s="34">
        <f t="shared" ref="B33:E33" si="33">L77</f>
        <v>60.583832000000001</v>
      </c>
      <c r="C33" s="34">
        <f t="shared" si="33"/>
        <v>57.787506</v>
      </c>
      <c r="D33" s="34">
        <f t="shared" si="33"/>
        <v>60.923305999999997</v>
      </c>
      <c r="E33" s="34">
        <f t="shared" si="33"/>
        <v>56.555981000000003</v>
      </c>
      <c r="F33" s="34"/>
      <c r="G33" s="24">
        <f t="shared" si="2"/>
        <v>58.962656250000002</v>
      </c>
      <c r="H33" s="38">
        <f t="shared" si="3"/>
        <v>2785.4202917896878</v>
      </c>
      <c r="I33" s="36">
        <f t="shared" si="4"/>
        <v>3.1324666201125069E-2</v>
      </c>
      <c r="J33" s="36">
        <f t="shared" si="5"/>
        <v>0.11900000000000001</v>
      </c>
      <c r="K33" s="36">
        <f t="shared" si="6"/>
        <v>7.4069339438892629E-2</v>
      </c>
      <c r="L33" s="16">
        <f>G33/'Clause 6'!$I$11</f>
        <v>58.962656250000002</v>
      </c>
      <c r="M33">
        <f t="shared" si="7"/>
        <v>4</v>
      </c>
      <c r="O33" s="91">
        <f t="shared" si="10"/>
        <v>2.749495787853018E-2</v>
      </c>
      <c r="P33" s="91">
        <f t="shared" si="8"/>
        <v>-1.9930415702735571E-2</v>
      </c>
      <c r="Q33" s="91">
        <f t="shared" si="8"/>
        <v>3.3252398631548941E-2</v>
      </c>
      <c r="R33" s="91">
        <f t="shared" si="8"/>
        <v>-4.081694080734366E-2</v>
      </c>
      <c r="S33" s="91">
        <f t="shared" si="8"/>
        <v>0</v>
      </c>
    </row>
    <row r="34" spans="1:19" x14ac:dyDescent="0.35">
      <c r="A34" s="11" t="s">
        <v>89</v>
      </c>
      <c r="B34" s="34">
        <f t="shared" ref="B34:E34" si="34">L78</f>
        <v>43.779555999999999</v>
      </c>
      <c r="C34" s="34">
        <f t="shared" si="34"/>
        <v>39.652065</v>
      </c>
      <c r="D34" s="34">
        <f t="shared" si="34"/>
        <v>41.903843000000002</v>
      </c>
      <c r="E34" s="34">
        <f t="shared" si="34"/>
        <v>40.013095999999997</v>
      </c>
      <c r="F34" s="34"/>
      <c r="G34" s="24">
        <f t="shared" si="2"/>
        <v>41.337139999999998</v>
      </c>
      <c r="H34" s="38">
        <f t="shared" si="3"/>
        <v>1952.78360717596</v>
      </c>
      <c r="I34" s="36">
        <f t="shared" si="4"/>
        <v>3.9895731445179966E-2</v>
      </c>
      <c r="J34" s="36">
        <f t="shared" si="5"/>
        <v>0.13400000000000001</v>
      </c>
      <c r="K34" s="36">
        <f t="shared" si="6"/>
        <v>9.9849457412873738E-2</v>
      </c>
      <c r="L34" s="16">
        <f>G34/'Clause 6'!$I$11</f>
        <v>41.337139999999998</v>
      </c>
      <c r="M34">
        <f t="shared" si="7"/>
        <v>4</v>
      </c>
      <c r="O34" s="91">
        <f t="shared" si="10"/>
        <v>5.908526811482373E-2</v>
      </c>
      <c r="P34" s="91">
        <f t="shared" si="8"/>
        <v>-4.0764189298050035E-2</v>
      </c>
      <c r="Q34" s="91">
        <f t="shared" si="8"/>
        <v>1.3709293869871075E-2</v>
      </c>
      <c r="R34" s="91">
        <f t="shared" si="8"/>
        <v>-3.2030372686644548E-2</v>
      </c>
      <c r="S34" s="91">
        <f t="shared" si="8"/>
        <v>0</v>
      </c>
    </row>
    <row r="35" spans="1:19" x14ac:dyDescent="0.35">
      <c r="A35" s="11" t="s">
        <v>90</v>
      </c>
      <c r="B35" s="34">
        <f t="shared" ref="B35:E35" si="35">L79</f>
        <v>32.392448000000002</v>
      </c>
      <c r="C35" s="34">
        <f t="shared" si="35"/>
        <v>27.869152</v>
      </c>
      <c r="D35" s="34">
        <f t="shared" si="35"/>
        <v>27.868089999999999</v>
      </c>
      <c r="E35" s="34">
        <f t="shared" si="35"/>
        <v>26.675398000000001</v>
      </c>
      <c r="F35" s="34"/>
      <c r="G35" s="24">
        <f t="shared" si="2"/>
        <v>28.701271999999999</v>
      </c>
      <c r="H35" s="38">
        <f t="shared" si="3"/>
        <v>1355.859971606608</v>
      </c>
      <c r="I35" s="36">
        <f t="shared" si="4"/>
        <v>7.6166218011564993E-2</v>
      </c>
      <c r="J35" s="36">
        <f t="shared" si="5"/>
        <v>0.13400000000000001</v>
      </c>
      <c r="K35" s="36">
        <f t="shared" si="6"/>
        <v>0.19919152015283506</v>
      </c>
      <c r="L35" s="16">
        <f>G35/'Clause 6'!$I$11</f>
        <v>28.701271999999999</v>
      </c>
      <c r="M35">
        <f t="shared" si="7"/>
        <v>4</v>
      </c>
      <c r="O35" s="91">
        <f t="shared" si="10"/>
        <v>0.12860670426035492</v>
      </c>
      <c r="P35" s="91">
        <f t="shared" si="8"/>
        <v>-2.8992443261748102E-2</v>
      </c>
      <c r="Q35" s="91">
        <f t="shared" si="8"/>
        <v>-2.9029445106126373E-2</v>
      </c>
      <c r="R35" s="91">
        <f t="shared" si="8"/>
        <v>-7.0584815892480224E-2</v>
      </c>
      <c r="S35" s="91">
        <f t="shared" si="8"/>
        <v>0</v>
      </c>
    </row>
    <row r="36" spans="1:19" x14ac:dyDescent="0.35">
      <c r="A36" s="11" t="s">
        <v>91</v>
      </c>
      <c r="B36" s="34">
        <f t="shared" ref="B36:E36" si="36">L80</f>
        <v>20.452570000000001</v>
      </c>
      <c r="C36" s="34">
        <f t="shared" si="36"/>
        <v>17.828060000000001</v>
      </c>
      <c r="D36" s="34">
        <f t="shared" si="36"/>
        <v>20.138254</v>
      </c>
      <c r="E36" s="34">
        <f t="shared" si="36"/>
        <v>17.7836</v>
      </c>
      <c r="F36" s="34"/>
      <c r="G36" s="24">
        <f t="shared" si="2"/>
        <v>19.050621</v>
      </c>
      <c r="H36" s="38">
        <f t="shared" si="3"/>
        <v>899.959222997094</v>
      </c>
      <c r="I36" s="36">
        <f t="shared" si="4"/>
        <v>6.560628156200303E-2</v>
      </c>
      <c r="J36" s="36">
        <f t="shared" si="5"/>
        <v>0.156</v>
      </c>
      <c r="K36" s="36">
        <f t="shared" si="6"/>
        <v>0.14009884507176967</v>
      </c>
      <c r="L36" s="16">
        <f>G36/'Clause 6'!$I$11</f>
        <v>19.050621</v>
      </c>
      <c r="M36">
        <f t="shared" si="7"/>
        <v>4</v>
      </c>
      <c r="O36" s="91">
        <f t="shared" si="10"/>
        <v>7.359072441785508E-2</v>
      </c>
      <c r="P36" s="91">
        <f t="shared" si="8"/>
        <v>-6.4174338463822145E-2</v>
      </c>
      <c r="Q36" s="91">
        <f t="shared" si="8"/>
        <v>5.7091734699882046E-2</v>
      </c>
      <c r="R36" s="91">
        <f t="shared" si="8"/>
        <v>-6.6508120653914649E-2</v>
      </c>
      <c r="S36" s="91">
        <f t="shared" si="8"/>
        <v>0</v>
      </c>
    </row>
    <row r="37" spans="1:19" x14ac:dyDescent="0.35">
      <c r="A37" s="11" t="s">
        <v>92</v>
      </c>
      <c r="B37" s="34">
        <f t="shared" ref="B37:E37" si="37">L81</f>
        <v>12.492651</v>
      </c>
      <c r="C37" s="34">
        <f t="shared" si="37"/>
        <v>11.782913000000001</v>
      </c>
      <c r="D37" s="34">
        <f t="shared" si="37"/>
        <v>14.340878</v>
      </c>
      <c r="E37" s="34">
        <f t="shared" si="37"/>
        <v>10.95966</v>
      </c>
      <c r="F37" s="34"/>
      <c r="G37" s="24">
        <f t="shared" si="2"/>
        <v>12.394025500000001</v>
      </c>
      <c r="H37" s="38">
        <f t="shared" si="3"/>
        <v>585.49889574655708</v>
      </c>
      <c r="I37" s="36">
        <f t="shared" si="4"/>
        <v>0.10070021068366898</v>
      </c>
      <c r="J37" s="36">
        <f t="shared" si="5"/>
        <v>0.156</v>
      </c>
      <c r="K37" s="36">
        <f t="shared" si="6"/>
        <v>0.27281031493762864</v>
      </c>
      <c r="L37" s="16">
        <f>G37/'Clause 6'!$I$11</f>
        <v>12.394025500000001</v>
      </c>
      <c r="M37">
        <f t="shared" si="7"/>
        <v>4</v>
      </c>
      <c r="O37" s="91">
        <f t="shared" si="10"/>
        <v>7.9575033954866203E-3</v>
      </c>
      <c r="P37" s="91">
        <f t="shared" si="8"/>
        <v>-4.930702296844558E-2</v>
      </c>
      <c r="Q37" s="91">
        <f t="shared" si="8"/>
        <v>0.15707991725529347</v>
      </c>
      <c r="R37" s="91">
        <f t="shared" si="8"/>
        <v>-0.11573039768233506</v>
      </c>
      <c r="S37" s="91">
        <f t="shared" si="8"/>
        <v>0</v>
      </c>
    </row>
    <row r="38" spans="1:19" x14ac:dyDescent="0.35">
      <c r="A38" s="11" t="s">
        <v>93</v>
      </c>
      <c r="B38" s="34">
        <f t="shared" ref="B38:E38" si="38">L82</f>
        <v>8.4021369999999997</v>
      </c>
      <c r="C38" s="34">
        <f t="shared" si="38"/>
        <v>7.5820480000000003</v>
      </c>
      <c r="D38" s="34">
        <f t="shared" si="38"/>
        <v>9.86571</v>
      </c>
      <c r="E38" s="34">
        <f t="shared" si="38"/>
        <v>7.2375109999999996</v>
      </c>
      <c r="F38" s="34"/>
      <c r="G38" s="24">
        <f t="shared" si="2"/>
        <v>8.2718515000000004</v>
      </c>
      <c r="H38" s="38">
        <f t="shared" si="3"/>
        <v>390.76568940652101</v>
      </c>
      <c r="I38" s="36">
        <f t="shared" si="4"/>
        <v>0.1224392310543693</v>
      </c>
      <c r="J38" s="36">
        <f t="shared" si="5"/>
        <v>0.193</v>
      </c>
      <c r="K38" s="36">
        <f t="shared" si="6"/>
        <v>0.31772802014156082</v>
      </c>
      <c r="L38" s="16">
        <f>G38/'Clause 6'!$I$11</f>
        <v>8.2718515000000004</v>
      </c>
      <c r="M38">
        <f t="shared" si="7"/>
        <v>4</v>
      </c>
      <c r="O38" s="91">
        <f t="shared" si="10"/>
        <v>1.5750464088964744E-2</v>
      </c>
      <c r="P38" s="91">
        <f t="shared" si="8"/>
        <v>-8.3391668721325529E-2</v>
      </c>
      <c r="Q38" s="91">
        <f t="shared" si="8"/>
        <v>0.19268461238696077</v>
      </c>
      <c r="R38" s="91">
        <f t="shared" si="8"/>
        <v>-0.1250434077546001</v>
      </c>
      <c r="S38" s="91">
        <f t="shared" si="8"/>
        <v>0</v>
      </c>
    </row>
    <row r="40" spans="1:19" x14ac:dyDescent="0.35">
      <c r="A40" t="s">
        <v>94</v>
      </c>
    </row>
    <row r="41" spans="1:19" ht="15" x14ac:dyDescent="0.5">
      <c r="A41" s="40"/>
      <c r="B41" s="41" t="s">
        <v>95</v>
      </c>
      <c r="C41" s="40"/>
      <c r="D41" s="42" t="s">
        <v>96</v>
      </c>
      <c r="E41" s="43"/>
      <c r="F41" s="43"/>
      <c r="G41" s="43"/>
      <c r="H41" s="44"/>
    </row>
    <row r="42" spans="1:19" ht="15" x14ac:dyDescent="0.5">
      <c r="A42" s="45" t="s">
        <v>97</v>
      </c>
      <c r="B42" s="46" t="s">
        <v>98</v>
      </c>
      <c r="C42" s="45" t="s">
        <v>99</v>
      </c>
      <c r="D42" s="45" t="s">
        <v>100</v>
      </c>
      <c r="E42" s="46" t="s">
        <v>101</v>
      </c>
      <c r="F42" s="46" t="s">
        <v>102</v>
      </c>
      <c r="G42" s="46" t="s">
        <v>103</v>
      </c>
      <c r="H42" s="47" t="s">
        <v>104</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x14ac:dyDescent="0.35">
      <c r="A51" s="55">
        <f>'6 - B1'!A51</f>
        <v>0</v>
      </c>
      <c r="B51" s="56" t="str">
        <f>'6 - B1'!B51</f>
        <v>Portion 1</v>
      </c>
      <c r="C51" s="56" t="str">
        <f>'6 - B1'!C51</f>
        <v>Portion 2</v>
      </c>
      <c r="D51" s="56" t="str">
        <f>'6 - B1'!D51</f>
        <v>Portion 3</v>
      </c>
      <c r="E51" s="56" t="str">
        <f>'6 - B1'!E51</f>
        <v>Portion 4</v>
      </c>
      <c r="F51" s="56" t="str">
        <f>'6 - B1'!F51</f>
        <v>Portion 5</v>
      </c>
      <c r="G51" s="56" t="str">
        <f>'6 - B1'!G51</f>
        <v>Portion 1</v>
      </c>
      <c r="H51" s="56" t="str">
        <f>'6 - B1'!H51</f>
        <v>Portion 2</v>
      </c>
      <c r="I51" s="56" t="str">
        <f>'6 - B1'!I51</f>
        <v>Portion 3</v>
      </c>
      <c r="J51" s="56" t="str">
        <f>'6 - B1'!J51</f>
        <v>Portion 4</v>
      </c>
      <c r="K51" s="56" t="str">
        <f>'6 - B1'!K51</f>
        <v>Portion 5</v>
      </c>
      <c r="L51" s="56" t="str">
        <f>'6 - B1'!L51</f>
        <v>Portion 1</v>
      </c>
      <c r="M51" s="56" t="str">
        <f>'6 - B1'!M51</f>
        <v>Portion 2</v>
      </c>
      <c r="N51" s="56" t="str">
        <f>'6 - B1'!N51</f>
        <v>Portion 3</v>
      </c>
      <c r="O51" s="56" t="str">
        <f>'6 - B1'!O51</f>
        <v>Portion 4</v>
      </c>
      <c r="P51" s="56" t="str">
        <f>'6 - B1'!P51</f>
        <v>Portion 5</v>
      </c>
    </row>
    <row r="52" spans="1:16" x14ac:dyDescent="0.35">
      <c r="A52" s="55" t="str">
        <f>'6 - B1'!A52</f>
        <v>NAME\mL</v>
      </c>
      <c r="B52" s="55">
        <f>'6 - B1'!B52</f>
        <v>9.1759740000000001</v>
      </c>
      <c r="C52" s="55">
        <f>'6 - B1'!C52</f>
        <v>9.9552340000000008</v>
      </c>
      <c r="D52" s="55">
        <f>'6 - B1'!D52</f>
        <v>9.8815059999999999</v>
      </c>
      <c r="E52" s="55">
        <f>'6 - B1'!E52</f>
        <v>9.9010990000000003</v>
      </c>
      <c r="F52" s="55">
        <f>'6 - B1'!F52</f>
        <v>9.88279</v>
      </c>
      <c r="G52" s="55">
        <f>'6 - B1'!G52</f>
        <v>9.0699950000000005</v>
      </c>
      <c r="H52" s="55">
        <f>'6 - B1'!H52</f>
        <v>9.8278160000000003</v>
      </c>
      <c r="I52" s="55">
        <f>'6 - B1'!I52</f>
        <v>9.6626480000000008</v>
      </c>
      <c r="J52" s="55">
        <f>'6 - B1'!J52</f>
        <v>9.7838670000000008</v>
      </c>
      <c r="K52" s="55">
        <f>'6 - B1'!K52</f>
        <v>9.7660389999999992</v>
      </c>
      <c r="L52" s="55">
        <f>'6 - B1'!L52</f>
        <v>9.045318</v>
      </c>
      <c r="M52" s="55">
        <f>'6 - B1'!M52</f>
        <v>9.7598950000000002</v>
      </c>
      <c r="N52" s="55">
        <f>'6 - B1'!N52</f>
        <v>9.8320340000000002</v>
      </c>
      <c r="O52" s="55">
        <f>'6 - B1'!O52</f>
        <v>9.6718329999999995</v>
      </c>
      <c r="P52" s="55">
        <f>'6 - B1'!P52</f>
        <v>8.9313339999999997</v>
      </c>
    </row>
    <row r="53" spans="1:16" x14ac:dyDescent="0.35">
      <c r="A53" s="55">
        <f>'6 - B1'!A53</f>
        <v>4</v>
      </c>
      <c r="B53" s="55">
        <f>'6 - B1'!B53</f>
        <v>14492.739258</v>
      </c>
      <c r="C53" s="55">
        <f>'6 - B1'!C53</f>
        <v>12860.973633</v>
      </c>
      <c r="D53" s="55">
        <f>'6 - B1'!D53</f>
        <v>14234.571289</v>
      </c>
      <c r="E53" s="55">
        <f>'6 - B1'!E53</f>
        <v>13788.266602</v>
      </c>
      <c r="F53" s="55">
        <f>'6 - B1'!F53</f>
        <v>13677.616211</v>
      </c>
      <c r="G53" s="55">
        <f>'6 - B1'!G53</f>
        <v>15339.479492</v>
      </c>
      <c r="H53" s="55">
        <f>'6 - B1'!H53</f>
        <v>14935.872069999999</v>
      </c>
      <c r="I53" s="55">
        <f>'6 - B1'!I53</f>
        <v>15886.638671999999</v>
      </c>
      <c r="J53" s="55">
        <f>'6 - B1'!J53</f>
        <v>15922.333984000001</v>
      </c>
      <c r="K53" s="55">
        <f>'6 - B1'!K53</f>
        <v>14797.708984000001</v>
      </c>
      <c r="L53" s="55">
        <f>'6 - B1'!L53</f>
        <v>15891.647461</v>
      </c>
      <c r="M53" s="55">
        <f>'6 - B1'!M53</f>
        <v>15092.375</v>
      </c>
      <c r="N53" s="55">
        <f>'6 - B1'!N53</f>
        <v>15371.793944999999</v>
      </c>
      <c r="O53" s="55">
        <f>'6 - B1'!O53</f>
        <v>15648.740234000001</v>
      </c>
      <c r="P53" s="55">
        <f>'6 - B1'!P53</f>
        <v>14286.21875</v>
      </c>
    </row>
    <row r="54" spans="1:16" x14ac:dyDescent="0.35">
      <c r="A54" s="55">
        <f>'6 - B1'!A54</f>
        <v>5</v>
      </c>
      <c r="B54" s="55">
        <f>'6 - B1'!B54</f>
        <v>12684.974609000001</v>
      </c>
      <c r="C54" s="55">
        <f>'6 - B1'!C54</f>
        <v>11269.248046999999</v>
      </c>
      <c r="D54" s="55">
        <f>'6 - B1'!D54</f>
        <v>12412.885742</v>
      </c>
      <c r="E54" s="55">
        <f>'6 - B1'!E54</f>
        <v>12033.007812</v>
      </c>
      <c r="F54" s="55">
        <f>'6 - B1'!F54</f>
        <v>11935.293944999999</v>
      </c>
      <c r="G54" s="55">
        <f>'6 - B1'!G54</f>
        <v>13298.794921999999</v>
      </c>
      <c r="H54" s="55">
        <f>'6 - B1'!H54</f>
        <v>12989.253906</v>
      </c>
      <c r="I54" s="55">
        <f>'6 - B1'!I54</f>
        <v>13805.221680000001</v>
      </c>
      <c r="J54" s="55">
        <f>'6 - B1'!J54</f>
        <v>13851.374023</v>
      </c>
      <c r="K54" s="55">
        <f>'6 - B1'!K54</f>
        <v>12902.160156</v>
      </c>
      <c r="L54" s="55">
        <f>'6 - B1'!L54</f>
        <v>13821.183594</v>
      </c>
      <c r="M54" s="55">
        <f>'6 - B1'!M54</f>
        <v>13170.018555000001</v>
      </c>
      <c r="N54" s="55">
        <f>'6 - B1'!N54</f>
        <v>13428.350586</v>
      </c>
      <c r="O54" s="55">
        <f>'6 - B1'!O54</f>
        <v>13642.501953000001</v>
      </c>
      <c r="P54" s="55">
        <f>'6 - B1'!P54</f>
        <v>12427.146484000001</v>
      </c>
    </row>
    <row r="55" spans="1:16" x14ac:dyDescent="0.35">
      <c r="A55" s="55">
        <f>'6 - B1'!A55</f>
        <v>6</v>
      </c>
      <c r="B55" s="55">
        <f>'6 - B1'!B55</f>
        <v>11073.702148</v>
      </c>
      <c r="C55" s="55">
        <f>'6 - B1'!C55</f>
        <v>9866.6699219999991</v>
      </c>
      <c r="D55" s="55">
        <f>'6 - B1'!D55</f>
        <v>10847.03125</v>
      </c>
      <c r="E55" s="55">
        <f>'6 - B1'!E55</f>
        <v>10526.002930000001</v>
      </c>
      <c r="F55" s="55">
        <f>'6 - B1'!F55</f>
        <v>10454.538086</v>
      </c>
      <c r="G55" s="55">
        <f>'6 - B1'!G55</f>
        <v>11565.055664</v>
      </c>
      <c r="H55" s="55">
        <f>'6 - B1'!H55</f>
        <v>11358.169921999999</v>
      </c>
      <c r="I55" s="55">
        <f>'6 - B1'!I55</f>
        <v>12015.339844</v>
      </c>
      <c r="J55" s="55">
        <f>'6 - B1'!J55</f>
        <v>12044.113281</v>
      </c>
      <c r="K55" s="55">
        <f>'6 - B1'!K55</f>
        <v>11246.525390999999</v>
      </c>
      <c r="L55" s="55">
        <f>'6 - B1'!L55</f>
        <v>12019.920898</v>
      </c>
      <c r="M55" s="55">
        <f>'6 - B1'!M55</f>
        <v>11503.197265999999</v>
      </c>
      <c r="N55" s="55">
        <f>'6 - B1'!N55</f>
        <v>11750.875</v>
      </c>
      <c r="O55" s="55">
        <f>'6 - B1'!O55</f>
        <v>11892.264648</v>
      </c>
      <c r="P55" s="55">
        <f>'6 - B1'!P55</f>
        <v>10793.907227</v>
      </c>
    </row>
    <row r="56" spans="1:16" x14ac:dyDescent="0.35">
      <c r="A56" s="55">
        <f>'6 - B1'!A56</f>
        <v>7</v>
      </c>
      <c r="B56" s="55">
        <f>'6 - B1'!B56</f>
        <v>9649.9833980000003</v>
      </c>
      <c r="C56" s="55">
        <f>'6 - B1'!C56</f>
        <v>8628.4267579999996</v>
      </c>
      <c r="D56" s="55">
        <f>'6 - B1'!D56</f>
        <v>9437.9335940000001</v>
      </c>
      <c r="E56" s="55">
        <f>'6 - B1'!E56</f>
        <v>9153.2265619999998</v>
      </c>
      <c r="F56" s="55">
        <f>'6 - B1'!F56</f>
        <v>9129.0009769999997</v>
      </c>
      <c r="G56" s="55">
        <f>'6 - B1'!G56</f>
        <v>10015.110352</v>
      </c>
      <c r="H56" s="55">
        <f>'6 - B1'!H56</f>
        <v>9886.4287110000005</v>
      </c>
      <c r="I56" s="55">
        <f>'6 - B1'!I56</f>
        <v>10425.816406</v>
      </c>
      <c r="J56" s="55">
        <f>'6 - B1'!J56</f>
        <v>10443.416992</v>
      </c>
      <c r="K56" s="55">
        <f>'6 - B1'!K56</f>
        <v>9748.4765619999998</v>
      </c>
      <c r="L56" s="55">
        <f>'6 - B1'!L56</f>
        <v>10432.027344</v>
      </c>
      <c r="M56" s="55">
        <f>'6 - B1'!M56</f>
        <v>10012.915039</v>
      </c>
      <c r="N56" s="55">
        <f>'6 - B1'!N56</f>
        <v>10237.962890999999</v>
      </c>
      <c r="O56" s="55">
        <f>'6 - B1'!O56</f>
        <v>10337.647461</v>
      </c>
      <c r="P56" s="55">
        <f>'6 - B1'!P56</f>
        <v>9380.4570309999999</v>
      </c>
    </row>
    <row r="57" spans="1:16" x14ac:dyDescent="0.35">
      <c r="A57" s="55">
        <f>'6 - B1'!A57</f>
        <v>8</v>
      </c>
      <c r="B57" s="55">
        <f>'6 - B1'!B57</f>
        <v>8344.8359380000002</v>
      </c>
      <c r="C57" s="55">
        <f>'6 - B1'!C57</f>
        <v>7482.3959960000002</v>
      </c>
      <c r="D57" s="55">
        <f>'6 - B1'!D57</f>
        <v>8178.9150390000004</v>
      </c>
      <c r="E57" s="55">
        <f>'6 - B1'!E57</f>
        <v>7934.5737300000001</v>
      </c>
      <c r="F57" s="55">
        <f>'6 - B1'!F57</f>
        <v>7917.298828</v>
      </c>
      <c r="G57" s="55">
        <f>'6 - B1'!G57</f>
        <v>8657.3369139999995</v>
      </c>
      <c r="H57" s="55">
        <f>'6 - B1'!H57</f>
        <v>8580.6445309999999</v>
      </c>
      <c r="I57" s="55">
        <f>'6 - B1'!I57</f>
        <v>9025.0625</v>
      </c>
      <c r="J57" s="55">
        <f>'6 - B1'!J57</f>
        <v>9028.1279300000006</v>
      </c>
      <c r="K57" s="55">
        <f>'6 - B1'!K57</f>
        <v>8444.6728519999997</v>
      </c>
      <c r="L57" s="55">
        <f>'6 - B1'!L57</f>
        <v>9033.734375</v>
      </c>
      <c r="M57" s="55">
        <f>'6 - B1'!M57</f>
        <v>8675.6054690000001</v>
      </c>
      <c r="N57" s="55">
        <f>'6 - B1'!N57</f>
        <v>8870.3925780000009</v>
      </c>
      <c r="O57" s="55">
        <f>'6 - B1'!O57</f>
        <v>8956.5234380000002</v>
      </c>
      <c r="P57" s="55">
        <f>'6 - B1'!P57</f>
        <v>8094.1992190000001</v>
      </c>
    </row>
    <row r="58" spans="1:16" x14ac:dyDescent="0.35">
      <c r="A58" s="55">
        <f>'6 - B1'!A58</f>
        <v>9</v>
      </c>
      <c r="B58" s="55">
        <f>'6 - B1'!B58</f>
        <v>7211.1147460000002</v>
      </c>
      <c r="C58" s="55">
        <f>'6 - B1'!C58</f>
        <v>6489.3505859999996</v>
      </c>
      <c r="D58" s="55">
        <f>'6 - B1'!D58</f>
        <v>7063.8017579999996</v>
      </c>
      <c r="E58" s="55">
        <f>'6 - B1'!E58</f>
        <v>6853.3803710000002</v>
      </c>
      <c r="F58" s="55">
        <f>'6 - B1'!F58</f>
        <v>6851.1020509999998</v>
      </c>
      <c r="G58" s="55">
        <f>'6 - B1'!G58</f>
        <v>7468.9125979999999</v>
      </c>
      <c r="H58" s="55">
        <f>'6 - B1'!H58</f>
        <v>7421.486328</v>
      </c>
      <c r="I58" s="55">
        <f>'6 - B1'!I58</f>
        <v>7797.3447269999997</v>
      </c>
      <c r="J58" s="55">
        <f>'6 - B1'!J58</f>
        <v>7771.6713870000003</v>
      </c>
      <c r="K58" s="55">
        <f>'6 - B1'!K58</f>
        <v>7281.1503910000001</v>
      </c>
      <c r="L58" s="55">
        <f>'6 - B1'!L58</f>
        <v>7777.9467770000001</v>
      </c>
      <c r="M58" s="55">
        <f>'6 - B1'!M58</f>
        <v>7487.8876950000003</v>
      </c>
      <c r="N58" s="55">
        <f>'6 - B1'!N58</f>
        <v>7678.0654299999997</v>
      </c>
      <c r="O58" s="55">
        <f>'6 - B1'!O58</f>
        <v>7722.6313479999999</v>
      </c>
      <c r="P58" s="55">
        <f>'6 - B1'!P58</f>
        <v>6957.3027339999999</v>
      </c>
    </row>
    <row r="59" spans="1:16" x14ac:dyDescent="0.35">
      <c r="A59" s="55">
        <f>'6 - B1'!A59</f>
        <v>10</v>
      </c>
      <c r="B59" s="55">
        <f>'6 - B1'!B59</f>
        <v>6191.0595700000003</v>
      </c>
      <c r="C59" s="55">
        <f>'6 - B1'!C59</f>
        <v>5588.3168949999999</v>
      </c>
      <c r="D59" s="55">
        <f>'6 - B1'!D59</f>
        <v>6058.6918949999999</v>
      </c>
      <c r="E59" s="55">
        <f>'6 - B1'!E59</f>
        <v>5904.1928710000002</v>
      </c>
      <c r="F59" s="55">
        <f>'6 - B1'!F59</f>
        <v>5891.8588870000003</v>
      </c>
      <c r="G59" s="55">
        <f>'6 - B1'!G59</f>
        <v>6408.2724609999996</v>
      </c>
      <c r="H59" s="55">
        <f>'6 - B1'!H59</f>
        <v>6355.4301759999998</v>
      </c>
      <c r="I59" s="55">
        <f>'6 - B1'!I59</f>
        <v>6682.1225590000004</v>
      </c>
      <c r="J59" s="55">
        <f>'6 - B1'!J59</f>
        <v>6636.9462890000004</v>
      </c>
      <c r="K59" s="55">
        <f>'6 - B1'!K59</f>
        <v>6245.5209960000002</v>
      </c>
      <c r="L59" s="55">
        <f>'6 - B1'!L59</f>
        <v>6693.8500979999999</v>
      </c>
      <c r="M59" s="55">
        <f>'6 - B1'!M59</f>
        <v>6428.6547849999997</v>
      </c>
      <c r="N59" s="55">
        <f>'6 - B1'!N59</f>
        <v>6619.7900390000004</v>
      </c>
      <c r="O59" s="55">
        <f>'6 - B1'!O59</f>
        <v>6621.5991210000002</v>
      </c>
      <c r="P59" s="55">
        <f>'6 - B1'!P59</f>
        <v>5929.6850590000004</v>
      </c>
    </row>
    <row r="60" spans="1:16" x14ac:dyDescent="0.35">
      <c r="A60" s="55">
        <f>'6 - B1'!A60</f>
        <v>11</v>
      </c>
      <c r="B60" s="55">
        <f>'6 - B1'!B60</f>
        <v>5263.6376950000003</v>
      </c>
      <c r="C60" s="55">
        <f>'6 - B1'!C60</f>
        <v>4755.9907229999999</v>
      </c>
      <c r="D60" s="55">
        <f>'6 - B1'!D60</f>
        <v>5160.6503910000001</v>
      </c>
      <c r="E60" s="55">
        <f>'6 - B1'!E60</f>
        <v>5031.1586909999996</v>
      </c>
      <c r="F60" s="55">
        <f>'6 - B1'!F60</f>
        <v>5023.2778319999998</v>
      </c>
      <c r="G60" s="55">
        <f>'6 - B1'!G60</f>
        <v>5429.2202150000003</v>
      </c>
      <c r="H60" s="55">
        <f>'6 - B1'!H60</f>
        <v>5403.3369140000004</v>
      </c>
      <c r="I60" s="55">
        <f>'6 - B1'!I60</f>
        <v>5660.1459960000002</v>
      </c>
      <c r="J60" s="55">
        <f>'6 - B1'!J60</f>
        <v>5610.3583980000003</v>
      </c>
      <c r="K60" s="55">
        <f>'6 - B1'!K60</f>
        <v>5273.6835940000001</v>
      </c>
      <c r="L60" s="55">
        <f>'6 - B1'!L60</f>
        <v>5686.9204099999997</v>
      </c>
      <c r="M60" s="55">
        <f>'6 - B1'!M60</f>
        <v>5450.6733400000003</v>
      </c>
      <c r="N60" s="55">
        <f>'6 - B1'!N60</f>
        <v>5605.2490230000003</v>
      </c>
      <c r="O60" s="55">
        <f>'6 - B1'!O60</f>
        <v>5620.1342770000001</v>
      </c>
      <c r="P60" s="55">
        <f>'6 - B1'!P60</f>
        <v>4987.4965819999998</v>
      </c>
    </row>
    <row r="61" spans="1:16" x14ac:dyDescent="0.35">
      <c r="A61" s="55">
        <f>'6 - B1'!A61</f>
        <v>12</v>
      </c>
      <c r="B61" s="55">
        <f>'6 - B1'!B61</f>
        <v>4441.4902339999999</v>
      </c>
      <c r="C61" s="55">
        <f>'6 - B1'!C61</f>
        <v>4004.6271969999998</v>
      </c>
      <c r="D61" s="55">
        <f>'6 - B1'!D61</f>
        <v>4344.8842770000001</v>
      </c>
      <c r="E61" s="55">
        <f>'6 - B1'!E61</f>
        <v>4240.5390619999998</v>
      </c>
      <c r="F61" s="55">
        <f>'6 - B1'!F61</f>
        <v>4219.4565430000002</v>
      </c>
      <c r="G61" s="55">
        <f>'6 - B1'!G61</f>
        <v>4560.6420900000003</v>
      </c>
      <c r="H61" s="55">
        <f>'6 - B1'!H61</f>
        <v>4538.75</v>
      </c>
      <c r="I61" s="55">
        <f>'6 - B1'!I61</f>
        <v>4727.2753910000001</v>
      </c>
      <c r="J61" s="55">
        <f>'6 - B1'!J61</f>
        <v>4691.4990230000003</v>
      </c>
      <c r="K61" s="55">
        <f>'6 - B1'!K61</f>
        <v>4417.7583009999998</v>
      </c>
      <c r="L61" s="55">
        <f>'6 - B1'!L61</f>
        <v>4759.2578119999998</v>
      </c>
      <c r="M61" s="55">
        <f>'6 - B1'!M61</f>
        <v>4580.5820309999999</v>
      </c>
      <c r="N61" s="55">
        <f>'6 - B1'!N61</f>
        <v>4694.3491210000002</v>
      </c>
      <c r="O61" s="55">
        <f>'6 - B1'!O61</f>
        <v>4713.0673829999996</v>
      </c>
      <c r="P61" s="55">
        <f>'6 - B1'!P61</f>
        <v>4144.2856449999999</v>
      </c>
    </row>
    <row r="62" spans="1:16" x14ac:dyDescent="0.35">
      <c r="A62" s="55">
        <f>'6 - B1'!A62</f>
        <v>13</v>
      </c>
      <c r="B62" s="55">
        <f>'6 - B1'!B62</f>
        <v>3692.578125</v>
      </c>
      <c r="C62" s="55">
        <f>'6 - B1'!C62</f>
        <v>3340.1525879999999</v>
      </c>
      <c r="D62" s="55">
        <f>'6 - B1'!D62</f>
        <v>3602.4873050000001</v>
      </c>
      <c r="E62" s="55">
        <f>'6 - B1'!E62</f>
        <v>3531.7290039999998</v>
      </c>
      <c r="F62" s="55">
        <f>'6 - B1'!F62</f>
        <v>3512.4697270000001</v>
      </c>
      <c r="G62" s="55">
        <f>'6 - B1'!G62</f>
        <v>3771.7770999999998</v>
      </c>
      <c r="H62" s="55">
        <f>'6 - B1'!H62</f>
        <v>3752.3088379999999</v>
      </c>
      <c r="I62" s="55">
        <f>'6 - B1'!I62</f>
        <v>3894.3774410000001</v>
      </c>
      <c r="J62" s="55">
        <f>'6 - B1'!J62</f>
        <v>3883.7404790000001</v>
      </c>
      <c r="K62" s="55">
        <f>'6 - B1'!K62</f>
        <v>3648.9716800000001</v>
      </c>
      <c r="L62" s="55">
        <f>'6 - B1'!L62</f>
        <v>3926.2302249999998</v>
      </c>
      <c r="M62" s="55">
        <f>'6 - B1'!M62</f>
        <v>3790.921875</v>
      </c>
      <c r="N62" s="55">
        <f>'6 - B1'!N62</f>
        <v>3868.4772950000001</v>
      </c>
      <c r="O62" s="55">
        <f>'6 - B1'!O62</f>
        <v>3907.0153810000002</v>
      </c>
      <c r="P62" s="55">
        <f>'6 - B1'!P62</f>
        <v>3388.5192870000001</v>
      </c>
    </row>
    <row r="63" spans="1:16" x14ac:dyDescent="0.35">
      <c r="A63" s="55">
        <f>'6 - B1'!A63</f>
        <v>14</v>
      </c>
      <c r="B63" s="55">
        <f>'6 - B1'!B63</f>
        <v>3010.0346679999998</v>
      </c>
      <c r="C63" s="55">
        <f>'6 - B1'!C63</f>
        <v>2735.6464839999999</v>
      </c>
      <c r="D63" s="55">
        <f>'6 - B1'!D63</f>
        <v>2951.6755370000001</v>
      </c>
      <c r="E63" s="55">
        <f>'6 - B1'!E63</f>
        <v>2884.5283199999999</v>
      </c>
      <c r="F63" s="55">
        <f>'6 - B1'!F63</f>
        <v>2860.4272460000002</v>
      </c>
      <c r="G63" s="55">
        <f>'6 - B1'!G63</f>
        <v>3055.5695799999999</v>
      </c>
      <c r="H63" s="55">
        <f>'6 - B1'!H63</f>
        <v>3043.8095699999999</v>
      </c>
      <c r="I63" s="55">
        <f>'6 - B1'!I63</f>
        <v>3142.5131839999999</v>
      </c>
      <c r="J63" s="55">
        <f>'6 - B1'!J63</f>
        <v>3146.7109380000002</v>
      </c>
      <c r="K63" s="55">
        <f>'6 - B1'!K63</f>
        <v>2952.7836910000001</v>
      </c>
      <c r="L63" s="55">
        <f>'6 - B1'!L63</f>
        <v>3192.0383299999999</v>
      </c>
      <c r="M63" s="55">
        <f>'6 - B1'!M63</f>
        <v>3075.955078</v>
      </c>
      <c r="N63" s="55">
        <f>'6 - B1'!N63</f>
        <v>3151.5351559999999</v>
      </c>
      <c r="O63" s="55">
        <f>'6 - B1'!O63</f>
        <v>3168.6857909999999</v>
      </c>
      <c r="P63" s="55">
        <f>'6 - B1'!P63</f>
        <v>2732.0664059999999</v>
      </c>
    </row>
    <row r="64" spans="1:16" x14ac:dyDescent="0.35">
      <c r="A64" s="55">
        <f>'6 - B1'!A64</f>
        <v>15</v>
      </c>
      <c r="B64" s="55">
        <f>'6 - B1'!B64</f>
        <v>2418.5988769999999</v>
      </c>
      <c r="C64" s="55">
        <f>'6 - B1'!C64</f>
        <v>2209.491211</v>
      </c>
      <c r="D64" s="55">
        <f>'6 - B1'!D64</f>
        <v>2383.7458499999998</v>
      </c>
      <c r="E64" s="55">
        <f>'6 - B1'!E64</f>
        <v>2315.0964359999998</v>
      </c>
      <c r="F64" s="55">
        <f>'6 - B1'!F64</f>
        <v>2305.219482</v>
      </c>
      <c r="G64" s="55">
        <f>'6 - B1'!G64</f>
        <v>2430.100586</v>
      </c>
      <c r="H64" s="55">
        <f>'6 - B1'!H64</f>
        <v>2427.4975589999999</v>
      </c>
      <c r="I64" s="55">
        <f>'6 - B1'!I64</f>
        <v>2497.451904</v>
      </c>
      <c r="J64" s="55">
        <f>'6 - B1'!J64</f>
        <v>2500.0339359999998</v>
      </c>
      <c r="K64" s="55">
        <f>'6 - B1'!K64</f>
        <v>2351.6186520000001</v>
      </c>
      <c r="L64" s="55">
        <f>'6 - B1'!L64</f>
        <v>2548.2797850000002</v>
      </c>
      <c r="M64" s="55">
        <f>'6 - B1'!M64</f>
        <v>2445.5180660000001</v>
      </c>
      <c r="N64" s="55">
        <f>'6 - B1'!N64</f>
        <v>2524.1979980000001</v>
      </c>
      <c r="O64" s="55">
        <f>'6 - B1'!O64</f>
        <v>2529.5102539999998</v>
      </c>
      <c r="P64" s="55">
        <f>'6 - B1'!P64</f>
        <v>2149.95874</v>
      </c>
    </row>
    <row r="65" spans="1:16" x14ac:dyDescent="0.35">
      <c r="A65" s="55">
        <f>'6 - B1'!A65</f>
        <v>16</v>
      </c>
      <c r="B65" s="55">
        <f>'6 - B1'!B65</f>
        <v>1902.577393</v>
      </c>
      <c r="C65" s="55">
        <f>'6 - B1'!C65</f>
        <v>1751.1392820000001</v>
      </c>
      <c r="D65" s="55">
        <f>'6 - B1'!D65</f>
        <v>1875.5238039999999</v>
      </c>
      <c r="E65" s="55">
        <f>'6 - B1'!E65</f>
        <v>1835.250732</v>
      </c>
      <c r="F65" s="55">
        <f>'6 - B1'!F65</f>
        <v>1822.865845</v>
      </c>
      <c r="G65" s="55">
        <f>'6 - B1'!G65</f>
        <v>1895.9216309999999</v>
      </c>
      <c r="H65" s="55">
        <f>'6 - B1'!H65</f>
        <v>1908.2570800000001</v>
      </c>
      <c r="I65" s="55">
        <f>'6 - B1'!I65</f>
        <v>1951.224976</v>
      </c>
      <c r="J65" s="55">
        <f>'6 - B1'!J65</f>
        <v>1966.502686</v>
      </c>
      <c r="K65" s="55">
        <f>'6 - B1'!K65</f>
        <v>1837.6949460000001</v>
      </c>
      <c r="L65" s="55">
        <f>'6 - B1'!L65</f>
        <v>1996.7236330000001</v>
      </c>
      <c r="M65" s="55">
        <f>'6 - B1'!M65</f>
        <v>1918.4632570000001</v>
      </c>
      <c r="N65" s="55">
        <f>'6 - B1'!N65</f>
        <v>1977.9223629999999</v>
      </c>
      <c r="O65" s="55">
        <f>'6 - B1'!O65</f>
        <v>1980.079712</v>
      </c>
      <c r="P65" s="55">
        <f>'6 - B1'!P65</f>
        <v>1657.087158</v>
      </c>
    </row>
    <row r="66" spans="1:16" x14ac:dyDescent="0.35">
      <c r="A66" s="55">
        <f>'6 - B1'!A66</f>
        <v>17</v>
      </c>
      <c r="B66" s="55">
        <f>'6 - B1'!B66</f>
        <v>1466.765259</v>
      </c>
      <c r="C66" s="55">
        <f>'6 - B1'!C66</f>
        <v>1362.901245</v>
      </c>
      <c r="D66" s="55">
        <f>'6 - B1'!D66</f>
        <v>1449.880249</v>
      </c>
      <c r="E66" s="55">
        <f>'6 - B1'!E66</f>
        <v>1416.408447</v>
      </c>
      <c r="F66" s="55">
        <f>'6 - B1'!F66</f>
        <v>1408.205688</v>
      </c>
      <c r="G66" s="55">
        <f>'6 - B1'!G66</f>
        <v>1461.3017580000001</v>
      </c>
      <c r="H66" s="55">
        <f>'6 - B1'!H66</f>
        <v>1462.0745850000001</v>
      </c>
      <c r="I66" s="55">
        <f>'6 - B1'!I66</f>
        <v>1502.6936040000001</v>
      </c>
      <c r="J66" s="55">
        <f>'6 - B1'!J66</f>
        <v>1511.161255</v>
      </c>
      <c r="K66" s="55">
        <f>'6 - B1'!K66</f>
        <v>1403.3325199999999</v>
      </c>
      <c r="L66" s="55">
        <f>'6 - B1'!L66</f>
        <v>1531.621216</v>
      </c>
      <c r="M66" s="55">
        <f>'6 - B1'!M66</f>
        <v>1479.2166749999999</v>
      </c>
      <c r="N66" s="55">
        <f>'6 - B1'!N66</f>
        <v>1527.5577390000001</v>
      </c>
      <c r="O66" s="55">
        <f>'6 - B1'!O66</f>
        <v>1518.0162350000001</v>
      </c>
      <c r="P66" s="55">
        <f>'6 - B1'!P66</f>
        <v>1242.031616</v>
      </c>
    </row>
    <row r="67" spans="1:16" x14ac:dyDescent="0.35">
      <c r="A67" s="55">
        <f>'6 - B1'!A67</f>
        <v>18</v>
      </c>
      <c r="B67" s="55">
        <f>'6 - B1'!B67</f>
        <v>1125.3302000000001</v>
      </c>
      <c r="C67" s="55">
        <f>'6 - B1'!C67</f>
        <v>1045.480225</v>
      </c>
      <c r="D67" s="55">
        <f>'6 - B1'!D67</f>
        <v>1107.928345</v>
      </c>
      <c r="E67" s="55">
        <f>'6 - B1'!E67</f>
        <v>1074.3251949999999</v>
      </c>
      <c r="F67" s="55">
        <f>'6 - B1'!F67</f>
        <v>1078.8452150000001</v>
      </c>
      <c r="G67" s="55">
        <f>'6 - B1'!G67</f>
        <v>1105.7337649999999</v>
      </c>
      <c r="H67" s="55">
        <f>'6 - B1'!H67</f>
        <v>1109.7073969999999</v>
      </c>
      <c r="I67" s="55">
        <f>'6 - B1'!I67</f>
        <v>1133.3332519999999</v>
      </c>
      <c r="J67" s="55">
        <f>'6 - B1'!J67</f>
        <v>1139.1201169999999</v>
      </c>
      <c r="K67" s="55">
        <f>'6 - B1'!K67</f>
        <v>1065.734009</v>
      </c>
      <c r="L67" s="55">
        <f>'6 - B1'!L67</f>
        <v>1165.35437</v>
      </c>
      <c r="M67" s="55">
        <f>'6 - B1'!M67</f>
        <v>1125.2170410000001</v>
      </c>
      <c r="N67" s="55">
        <f>'6 - B1'!N67</f>
        <v>1161.509399</v>
      </c>
      <c r="O67" s="55">
        <f>'6 - B1'!O67</f>
        <v>1150.9710689999999</v>
      </c>
      <c r="P67" s="55">
        <f>'6 - B1'!P67</f>
        <v>926.28936799999997</v>
      </c>
    </row>
    <row r="68" spans="1:16" x14ac:dyDescent="0.35">
      <c r="A68" s="55">
        <f>'6 - B1'!A68</f>
        <v>19</v>
      </c>
      <c r="B68" s="55">
        <f>'6 - B1'!B68</f>
        <v>860.50811799999997</v>
      </c>
      <c r="C68" s="55">
        <f>'6 - B1'!C68</f>
        <v>785.01422100000002</v>
      </c>
      <c r="D68" s="55">
        <f>'6 - B1'!D68</f>
        <v>836.00616500000001</v>
      </c>
      <c r="E68" s="55">
        <f>'6 - B1'!E68</f>
        <v>828.49389599999995</v>
      </c>
      <c r="F68" s="55">
        <f>'6 - B1'!F68</f>
        <v>828.20745799999997</v>
      </c>
      <c r="G68" s="55">
        <f>'6 - B1'!G68</f>
        <v>836.71490500000004</v>
      </c>
      <c r="H68" s="55">
        <f>'6 - B1'!H68</f>
        <v>834.56994599999996</v>
      </c>
      <c r="I68" s="55">
        <f>'6 - B1'!I68</f>
        <v>856.49395800000002</v>
      </c>
      <c r="J68" s="55">
        <f>'6 - B1'!J68</f>
        <v>861.82690400000001</v>
      </c>
      <c r="K68" s="55">
        <f>'6 - B1'!K68</f>
        <v>804.11309800000004</v>
      </c>
      <c r="L68" s="55">
        <f>'6 - B1'!L68</f>
        <v>881.11883499999999</v>
      </c>
      <c r="M68" s="55">
        <f>'6 - B1'!M68</f>
        <v>849.29187000000002</v>
      </c>
      <c r="N68" s="55">
        <f>'6 - B1'!N68</f>
        <v>880.59094200000004</v>
      </c>
      <c r="O68" s="55">
        <f>'6 - B1'!O68</f>
        <v>870.67260699999997</v>
      </c>
      <c r="P68" s="55">
        <f>'6 - B1'!P68</f>
        <v>680.97326699999996</v>
      </c>
    </row>
    <row r="69" spans="1:16" x14ac:dyDescent="0.35">
      <c r="A69" s="55">
        <f>'6 - B1'!A69</f>
        <v>20</v>
      </c>
      <c r="B69" s="55">
        <f>'6 - B1'!B69</f>
        <v>650.83007799999996</v>
      </c>
      <c r="C69" s="55">
        <f>'6 - B1'!C69</f>
        <v>591.34722899999997</v>
      </c>
      <c r="D69" s="55">
        <f>'6 - B1'!D69</f>
        <v>638.97143600000004</v>
      </c>
      <c r="E69" s="55">
        <f>'6 - B1'!E69</f>
        <v>632.15203899999995</v>
      </c>
      <c r="F69" s="55">
        <f>'6 - B1'!F69</f>
        <v>624.621216</v>
      </c>
      <c r="G69" s="55">
        <f>'6 - B1'!G69</f>
        <v>628.66625999999997</v>
      </c>
      <c r="H69" s="55">
        <f>'6 - B1'!H69</f>
        <v>624.65557899999999</v>
      </c>
      <c r="I69" s="55">
        <f>'6 - B1'!I69</f>
        <v>645.26824999999997</v>
      </c>
      <c r="J69" s="55">
        <f>'6 - B1'!J69</f>
        <v>645.45031700000004</v>
      </c>
      <c r="K69" s="55">
        <f>'6 - B1'!K69</f>
        <v>601.77929700000004</v>
      </c>
      <c r="L69" s="55">
        <f>'6 - B1'!L69</f>
        <v>672.72375499999998</v>
      </c>
      <c r="M69" s="55">
        <f>'6 - B1'!M69</f>
        <v>633.81829800000003</v>
      </c>
      <c r="N69" s="55">
        <f>'6 - B1'!N69</f>
        <v>660.90087900000003</v>
      </c>
      <c r="O69" s="55">
        <f>'6 - B1'!O69</f>
        <v>651.78955099999996</v>
      </c>
      <c r="P69" s="55">
        <f>'6 - B1'!P69</f>
        <v>494.32702599999999</v>
      </c>
    </row>
    <row r="70" spans="1:16" x14ac:dyDescent="0.35">
      <c r="A70" s="55">
        <f>'6 - B1'!A70</f>
        <v>21</v>
      </c>
      <c r="B70" s="55">
        <f>'6 - B1'!B70</f>
        <v>498.91162100000003</v>
      </c>
      <c r="C70" s="55">
        <f>'6 - B1'!C70</f>
        <v>448.40734900000001</v>
      </c>
      <c r="D70" s="55">
        <f>'6 - B1'!D70</f>
        <v>490.81588699999998</v>
      </c>
      <c r="E70" s="55">
        <f>'6 - B1'!E70</f>
        <v>480.85571299999998</v>
      </c>
      <c r="F70" s="55">
        <f>'6 - B1'!F70</f>
        <v>466.265106</v>
      </c>
      <c r="G70" s="55">
        <f>'6 - B1'!G70</f>
        <v>470.34204099999999</v>
      </c>
      <c r="H70" s="55">
        <f>'6 - B1'!H70</f>
        <v>472.94332900000001</v>
      </c>
      <c r="I70" s="55">
        <f>'6 - B1'!I70</f>
        <v>487.03005999999999</v>
      </c>
      <c r="J70" s="55">
        <f>'6 - B1'!J70</f>
        <v>492.64773600000001</v>
      </c>
      <c r="K70" s="55">
        <f>'6 - B1'!K70</f>
        <v>455.04632600000002</v>
      </c>
      <c r="L70" s="55">
        <f>'6 - B1'!L70</f>
        <v>507.33431999999999</v>
      </c>
      <c r="M70" s="55">
        <f>'6 - B1'!M70</f>
        <v>483.919128</v>
      </c>
      <c r="N70" s="55">
        <f>'6 - B1'!N70</f>
        <v>507.52468900000002</v>
      </c>
      <c r="O70" s="55">
        <f>'6 - B1'!O70</f>
        <v>485.430206</v>
      </c>
      <c r="P70" s="55">
        <f>'6 - B1'!P70</f>
        <v>360.75234999999998</v>
      </c>
    </row>
    <row r="71" spans="1:16" x14ac:dyDescent="0.35">
      <c r="A71" s="55">
        <f>'6 - B1'!A71</f>
        <v>22</v>
      </c>
      <c r="B71" s="55">
        <f>'6 - B1'!B71</f>
        <v>381.648865</v>
      </c>
      <c r="C71" s="55">
        <f>'6 - B1'!C71</f>
        <v>337.51092499999999</v>
      </c>
      <c r="D71" s="55">
        <f>'6 - B1'!D71</f>
        <v>370.79367100000002</v>
      </c>
      <c r="E71" s="55">
        <f>'6 - B1'!E71</f>
        <v>362.88900799999999</v>
      </c>
      <c r="F71" s="55">
        <f>'6 - B1'!F71</f>
        <v>350.10357699999997</v>
      </c>
      <c r="G71" s="55">
        <f>'6 - B1'!G71</f>
        <v>357.77307100000002</v>
      </c>
      <c r="H71" s="55">
        <f>'6 - B1'!H71</f>
        <v>357.55654900000002</v>
      </c>
      <c r="I71" s="55">
        <f>'6 - B1'!I71</f>
        <v>363.56494099999998</v>
      </c>
      <c r="J71" s="55">
        <f>'6 - B1'!J71</f>
        <v>371.32556199999999</v>
      </c>
      <c r="K71" s="55">
        <f>'6 - B1'!K71</f>
        <v>342.30868500000003</v>
      </c>
      <c r="L71" s="55">
        <f>'6 - B1'!L71</f>
        <v>384.61889600000001</v>
      </c>
      <c r="M71" s="55">
        <f>'6 - B1'!M71</f>
        <v>371.41790800000001</v>
      </c>
      <c r="N71" s="55">
        <f>'6 - B1'!N71</f>
        <v>383.338776</v>
      </c>
      <c r="O71" s="55">
        <f>'6 - B1'!O71</f>
        <v>363.323059</v>
      </c>
      <c r="P71" s="55">
        <f>'6 - B1'!P71</f>
        <v>258.527985</v>
      </c>
    </row>
    <row r="72" spans="1:16" x14ac:dyDescent="0.35">
      <c r="A72" s="55">
        <f>'6 - B1'!A72</f>
        <v>23</v>
      </c>
      <c r="B72" s="55">
        <f>'6 - B1'!B72</f>
        <v>285.09234600000002</v>
      </c>
      <c r="C72" s="55">
        <f>'6 - B1'!C72</f>
        <v>252.83183299999999</v>
      </c>
      <c r="D72" s="55">
        <f>'6 - B1'!D72</f>
        <v>274.35089099999999</v>
      </c>
      <c r="E72" s="55">
        <f>'6 - B1'!E72</f>
        <v>278.655914</v>
      </c>
      <c r="F72" s="55">
        <f>'6 - B1'!F72</f>
        <v>261.56582600000002</v>
      </c>
      <c r="G72" s="55">
        <f>'6 - B1'!G72</f>
        <v>271.66497800000002</v>
      </c>
      <c r="H72" s="55">
        <f>'6 - B1'!H72</f>
        <v>272.28836100000001</v>
      </c>
      <c r="I72" s="55">
        <f>'6 - B1'!I72</f>
        <v>270.73324600000001</v>
      </c>
      <c r="J72" s="55">
        <f>'6 - B1'!J72</f>
        <v>278.21310399999999</v>
      </c>
      <c r="K72" s="55">
        <f>'6 - B1'!K72</f>
        <v>258.24185199999999</v>
      </c>
      <c r="L72" s="55">
        <f>'6 - B1'!L72</f>
        <v>290.09484900000001</v>
      </c>
      <c r="M72" s="55">
        <f>'6 - B1'!M72</f>
        <v>280.63824499999998</v>
      </c>
      <c r="N72" s="55">
        <f>'6 - B1'!N72</f>
        <v>289.97052000000002</v>
      </c>
      <c r="O72" s="55">
        <f>'6 - B1'!O72</f>
        <v>272.027039</v>
      </c>
      <c r="P72" s="55">
        <f>'6 - B1'!P72</f>
        <v>189.44537399999999</v>
      </c>
    </row>
    <row r="73" spans="1:16" x14ac:dyDescent="0.35">
      <c r="A73" s="55">
        <f>'6 - B1'!A73</f>
        <v>24</v>
      </c>
      <c r="B73" s="55">
        <f>'6 - B1'!B73</f>
        <v>213.27436800000001</v>
      </c>
      <c r="C73" s="55">
        <f>'6 - B1'!C73</f>
        <v>191.85888700000001</v>
      </c>
      <c r="D73" s="55">
        <f>'6 - B1'!D73</f>
        <v>201.99350000000001</v>
      </c>
      <c r="E73" s="55">
        <f>'6 - B1'!E73</f>
        <v>207.24970999999999</v>
      </c>
      <c r="F73" s="55">
        <f>'6 - B1'!F73</f>
        <v>192.86051900000001</v>
      </c>
      <c r="G73" s="55">
        <f>'6 - B1'!G73</f>
        <v>202.53595000000001</v>
      </c>
      <c r="H73" s="55">
        <f>'6 - B1'!H73</f>
        <v>204.82678200000001</v>
      </c>
      <c r="I73" s="55">
        <f>'6 - B1'!I73</f>
        <v>205.11975100000001</v>
      </c>
      <c r="J73" s="55">
        <f>'6 - B1'!J73</f>
        <v>213.51475500000001</v>
      </c>
      <c r="K73" s="55">
        <f>'6 - B1'!K73</f>
        <v>190.25112899999999</v>
      </c>
      <c r="L73" s="55">
        <f>'6 - B1'!L73</f>
        <v>217.792236</v>
      </c>
      <c r="M73" s="55">
        <f>'6 - B1'!M73</f>
        <v>207.891571</v>
      </c>
      <c r="N73" s="55">
        <f>'6 - B1'!N73</f>
        <v>216.53707900000001</v>
      </c>
      <c r="O73" s="55">
        <f>'6 - B1'!O73</f>
        <v>203.68424999999999</v>
      </c>
      <c r="P73" s="55">
        <f>'6 - B1'!P73</f>
        <v>134.35841400000001</v>
      </c>
    </row>
    <row r="74" spans="1:16" x14ac:dyDescent="0.35">
      <c r="A74" s="55">
        <f>'6 - B1'!A74</f>
        <v>25</v>
      </c>
      <c r="B74" s="55">
        <f>'6 - B1'!B74</f>
        <v>158.021378</v>
      </c>
      <c r="C74" s="55">
        <f>'6 - B1'!C74</f>
        <v>142.136292</v>
      </c>
      <c r="D74" s="55">
        <f>'6 - B1'!D74</f>
        <v>149.774734</v>
      </c>
      <c r="E74" s="55">
        <f>'6 - B1'!E74</f>
        <v>155.84127799999999</v>
      </c>
      <c r="F74" s="55">
        <f>'6 - B1'!F74</f>
        <v>141.76159699999999</v>
      </c>
      <c r="G74" s="55">
        <f>'6 - B1'!G74</f>
        <v>157.33195499999999</v>
      </c>
      <c r="H74" s="55">
        <f>'6 - B1'!H74</f>
        <v>155.782318</v>
      </c>
      <c r="I74" s="55">
        <f>'6 - B1'!I74</f>
        <v>149.33793600000001</v>
      </c>
      <c r="J74" s="55">
        <f>'6 - B1'!J74</f>
        <v>163.125687</v>
      </c>
      <c r="K74" s="55">
        <f>'6 - B1'!K74</f>
        <v>142.329971</v>
      </c>
      <c r="L74" s="55">
        <f>'6 - B1'!L74</f>
        <v>163.73112499999999</v>
      </c>
      <c r="M74" s="55">
        <f>'6 - B1'!M74</f>
        <v>153.17787200000001</v>
      </c>
      <c r="N74" s="55">
        <f>'6 - B1'!N74</f>
        <v>162.123108</v>
      </c>
      <c r="O74" s="55">
        <f>'6 - B1'!O74</f>
        <v>151.26397700000001</v>
      </c>
      <c r="P74" s="55">
        <f>'6 - B1'!P74</f>
        <v>95.730377000000004</v>
      </c>
    </row>
    <row r="75" spans="1:16" x14ac:dyDescent="0.35">
      <c r="A75" s="55">
        <f>'6 - B1'!A75</f>
        <v>26</v>
      </c>
      <c r="B75" s="55">
        <f>'6 - B1'!B75</f>
        <v>116.39091500000001</v>
      </c>
      <c r="C75" s="55">
        <f>'6 - B1'!C75</f>
        <v>106.376205</v>
      </c>
      <c r="D75" s="55">
        <f>'6 - B1'!D75</f>
        <v>110.205872</v>
      </c>
      <c r="E75" s="55">
        <f>'6 - B1'!E75</f>
        <v>115.441727</v>
      </c>
      <c r="F75" s="55">
        <f>'6 - B1'!F75</f>
        <v>104.32276899999999</v>
      </c>
      <c r="G75" s="55">
        <f>'6 - B1'!G75</f>
        <v>116.20734400000001</v>
      </c>
      <c r="H75" s="55">
        <f>'6 - B1'!H75</f>
        <v>115.99728399999999</v>
      </c>
      <c r="I75" s="55">
        <f>'6 - B1'!I75</f>
        <v>108.458878</v>
      </c>
      <c r="J75" s="55">
        <f>'6 - B1'!J75</f>
        <v>117.438232</v>
      </c>
      <c r="K75" s="55">
        <f>'6 - B1'!K75</f>
        <v>100.14295199999999</v>
      </c>
      <c r="L75" s="55">
        <f>'6 - B1'!L75</f>
        <v>122.383759</v>
      </c>
      <c r="M75" s="55">
        <f>'6 - B1'!M75</f>
        <v>114.03810900000001</v>
      </c>
      <c r="N75" s="55">
        <f>'6 - B1'!N75</f>
        <v>120.21927599999999</v>
      </c>
      <c r="O75" s="55">
        <f>'6 - B1'!O75</f>
        <v>106.908379</v>
      </c>
      <c r="P75" s="55">
        <f>'6 - B1'!P75</f>
        <v>67.067245</v>
      </c>
    </row>
    <row r="76" spans="1:16" x14ac:dyDescent="0.35">
      <c r="A76" s="55">
        <f>'6 - B1'!A76</f>
        <v>27</v>
      </c>
      <c r="B76" s="55">
        <f>'6 - B1'!B76</f>
        <v>84.350723000000002</v>
      </c>
      <c r="C76" s="55">
        <f>'6 - B1'!C76</f>
        <v>77.848502999999994</v>
      </c>
      <c r="D76" s="55">
        <f>'6 - B1'!D76</f>
        <v>79.441329999999994</v>
      </c>
      <c r="E76" s="55">
        <f>'6 - B1'!E76</f>
        <v>85.950050000000005</v>
      </c>
      <c r="F76" s="55">
        <f>'6 - B1'!F76</f>
        <v>72.955108999999993</v>
      </c>
      <c r="G76" s="55">
        <f>'6 - B1'!G76</f>
        <v>87.541397000000003</v>
      </c>
      <c r="H76" s="55">
        <f>'6 - B1'!H76</f>
        <v>86.082199000000003</v>
      </c>
      <c r="I76" s="55">
        <f>'6 - B1'!I76</f>
        <v>77.101012999999995</v>
      </c>
      <c r="J76" s="55">
        <f>'6 - B1'!J76</f>
        <v>89.024108999999996</v>
      </c>
      <c r="K76" s="55">
        <f>'6 - B1'!K76</f>
        <v>71.676963999999998</v>
      </c>
      <c r="L76" s="55">
        <f>'6 - B1'!L76</f>
        <v>87.448562999999993</v>
      </c>
      <c r="M76" s="55">
        <f>'6 - B1'!M76</f>
        <v>81.865630999999993</v>
      </c>
      <c r="N76" s="55">
        <f>'6 - B1'!N76</f>
        <v>86.757225000000005</v>
      </c>
      <c r="O76" s="55">
        <f>'6 - B1'!O76</f>
        <v>78.061729</v>
      </c>
      <c r="P76" s="55">
        <f>'6 - B1'!P76</f>
        <v>45.345965999999997</v>
      </c>
    </row>
    <row r="77" spans="1:16" x14ac:dyDescent="0.35">
      <c r="A77" s="55">
        <f>'6 - B1'!A77</f>
        <v>28</v>
      </c>
      <c r="B77" s="55">
        <f>'6 - B1'!B77</f>
        <v>59.176281000000003</v>
      </c>
      <c r="C77" s="55">
        <f>'6 - B1'!C77</f>
        <v>54.845523999999997</v>
      </c>
      <c r="D77" s="55">
        <f>'6 - B1'!D77</f>
        <v>56.671523999999998</v>
      </c>
      <c r="E77" s="55">
        <f>'6 - B1'!E77</f>
        <v>62.013317000000001</v>
      </c>
      <c r="F77" s="55">
        <f>'6 - B1'!F77</f>
        <v>53.729767000000002</v>
      </c>
      <c r="G77" s="55">
        <f>'6 - B1'!G77</f>
        <v>60.860011999999998</v>
      </c>
      <c r="H77" s="55">
        <f>'6 - B1'!H77</f>
        <v>62.679237000000001</v>
      </c>
      <c r="I77" s="55">
        <f>'6 - B1'!I77</f>
        <v>56.092284999999997</v>
      </c>
      <c r="J77" s="55">
        <f>'6 - B1'!J77</f>
        <v>64.289512999999999</v>
      </c>
      <c r="K77" s="55">
        <f>'6 - B1'!K77</f>
        <v>49.969082</v>
      </c>
      <c r="L77" s="55">
        <f>'6 - B1'!L77</f>
        <v>60.583832000000001</v>
      </c>
      <c r="M77" s="55">
        <f>'6 - B1'!M77</f>
        <v>57.787506</v>
      </c>
      <c r="N77" s="55">
        <f>'6 - B1'!N77</f>
        <v>60.923305999999997</v>
      </c>
      <c r="O77" s="55">
        <f>'6 - B1'!O77</f>
        <v>56.555981000000003</v>
      </c>
      <c r="P77" s="55">
        <f>'6 - B1'!P77</f>
        <v>28.775095</v>
      </c>
    </row>
    <row r="78" spans="1:16" x14ac:dyDescent="0.35">
      <c r="A78" s="55">
        <f>'6 - B1'!A78</f>
        <v>29</v>
      </c>
      <c r="B78" s="55">
        <f>'6 - B1'!B78</f>
        <v>41.630459000000002</v>
      </c>
      <c r="C78" s="55">
        <f>'6 - B1'!C78</f>
        <v>37.869529999999997</v>
      </c>
      <c r="D78" s="55">
        <f>'6 - B1'!D78</f>
        <v>39.771267000000002</v>
      </c>
      <c r="E78" s="55">
        <f>'6 - B1'!E78</f>
        <v>41.207546000000001</v>
      </c>
      <c r="F78" s="55">
        <f>'6 - B1'!F78</f>
        <v>37.135264999999997</v>
      </c>
      <c r="G78" s="55">
        <f>'6 - B1'!G78</f>
        <v>40.132328000000001</v>
      </c>
      <c r="H78" s="55">
        <f>'6 - B1'!H78</f>
        <v>44.974387999999998</v>
      </c>
      <c r="I78" s="55">
        <f>'6 - B1'!I78</f>
        <v>40.154625000000003</v>
      </c>
      <c r="J78" s="55">
        <f>'6 - B1'!J78</f>
        <v>43.949902000000002</v>
      </c>
      <c r="K78" s="55">
        <f>'6 - B1'!K78</f>
        <v>34.404941999999998</v>
      </c>
      <c r="L78" s="55">
        <f>'6 - B1'!L78</f>
        <v>43.779555999999999</v>
      </c>
      <c r="M78" s="55">
        <f>'6 - B1'!M78</f>
        <v>39.652065</v>
      </c>
      <c r="N78" s="55">
        <f>'6 - B1'!N78</f>
        <v>41.903843000000002</v>
      </c>
      <c r="O78" s="55">
        <f>'6 - B1'!O78</f>
        <v>40.013095999999997</v>
      </c>
      <c r="P78" s="55">
        <f>'6 - B1'!P78</f>
        <v>17.802489999999999</v>
      </c>
    </row>
    <row r="79" spans="1:16" x14ac:dyDescent="0.35">
      <c r="A79" s="55">
        <f>'6 - B1'!A79</f>
        <v>30</v>
      </c>
      <c r="B79" s="55">
        <f>'6 - B1'!B79</f>
        <v>28.334866999999999</v>
      </c>
      <c r="C79" s="55">
        <f>'6 - B1'!C79</f>
        <v>24.911519999999999</v>
      </c>
      <c r="D79" s="55">
        <f>'6 - B1'!D79</f>
        <v>27.323771000000001</v>
      </c>
      <c r="E79" s="55">
        <f>'6 - B1'!E79</f>
        <v>27.067701</v>
      </c>
      <c r="F79" s="55">
        <f>'6 - B1'!F79</f>
        <v>23.171595</v>
      </c>
      <c r="G79" s="55">
        <f>'6 - B1'!G79</f>
        <v>27.783918</v>
      </c>
      <c r="H79" s="55">
        <f>'6 - B1'!H79</f>
        <v>31.543120999999999</v>
      </c>
      <c r="I79" s="55">
        <f>'6 - B1'!I79</f>
        <v>28.460106</v>
      </c>
      <c r="J79" s="55">
        <f>'6 - B1'!J79</f>
        <v>30.356096000000001</v>
      </c>
      <c r="K79" s="55">
        <f>'6 - B1'!K79</f>
        <v>23.039024000000001</v>
      </c>
      <c r="L79" s="55">
        <f>'6 - B1'!L79</f>
        <v>32.392448000000002</v>
      </c>
      <c r="M79" s="55">
        <f>'6 - B1'!M79</f>
        <v>27.869152</v>
      </c>
      <c r="N79" s="55">
        <f>'6 - B1'!N79</f>
        <v>27.868089999999999</v>
      </c>
      <c r="O79" s="55">
        <f>'6 - B1'!O79</f>
        <v>26.675398000000001</v>
      </c>
      <c r="P79" s="55">
        <f>'6 - B1'!P79</f>
        <v>10.860639000000001</v>
      </c>
    </row>
    <row r="80" spans="1:16" x14ac:dyDescent="0.35">
      <c r="A80" s="55">
        <f>'6 - B1'!A80</f>
        <v>38</v>
      </c>
      <c r="B80" s="55">
        <f>'6 - B1'!B80</f>
        <v>17.872762999999999</v>
      </c>
      <c r="C80" s="55">
        <f>'6 - B1'!C80</f>
        <v>17.478245000000001</v>
      </c>
      <c r="D80" s="55">
        <f>'6 - B1'!D80</f>
        <v>17.001456999999998</v>
      </c>
      <c r="E80" s="55">
        <f>'6 - B1'!E80</f>
        <v>17.775804999999998</v>
      </c>
      <c r="F80" s="55">
        <f>'6 - B1'!F80</f>
        <v>15.987389</v>
      </c>
      <c r="G80" s="55">
        <f>'6 - B1'!G80</f>
        <v>18.853373000000001</v>
      </c>
      <c r="H80" s="55">
        <f>'6 - B1'!H80</f>
        <v>23.504712999999999</v>
      </c>
      <c r="I80" s="55">
        <f>'6 - B1'!I80</f>
        <v>20.284293999999999</v>
      </c>
      <c r="J80" s="55">
        <f>'6 - B1'!J80</f>
        <v>21.463905</v>
      </c>
      <c r="K80" s="55">
        <f>'6 - B1'!K80</f>
        <v>14.847371000000001</v>
      </c>
      <c r="L80" s="55">
        <f>'6 - B1'!L80</f>
        <v>20.452570000000001</v>
      </c>
      <c r="M80" s="55">
        <f>'6 - B1'!M80</f>
        <v>17.828060000000001</v>
      </c>
      <c r="N80" s="55">
        <f>'6 - B1'!N80</f>
        <v>20.138254</v>
      </c>
      <c r="O80" s="55">
        <f>'6 - B1'!O80</f>
        <v>17.7836</v>
      </c>
      <c r="P80" s="55">
        <f>'6 - B1'!P80</f>
        <v>7.2777479999999999</v>
      </c>
    </row>
    <row r="81" spans="1:16" x14ac:dyDescent="0.35">
      <c r="A81" s="55">
        <f>'6 - B1'!A81</f>
        <v>50</v>
      </c>
      <c r="B81" s="55">
        <f>'6 - B1'!B81</f>
        <v>11.333947</v>
      </c>
      <c r="C81" s="55">
        <f>'6 - B1'!C81</f>
        <v>10.647665999999999</v>
      </c>
      <c r="D81" s="55">
        <f>'6 - B1'!D81</f>
        <v>11.030707</v>
      </c>
      <c r="E81" s="55">
        <f>'6 - B1'!E81</f>
        <v>11.412874</v>
      </c>
      <c r="F81" s="55">
        <f>'6 - B1'!F81</f>
        <v>10.826902</v>
      </c>
      <c r="G81" s="55">
        <f>'6 - B1'!G81</f>
        <v>11.797140000000001</v>
      </c>
      <c r="H81" s="55">
        <f>'6 - B1'!H81</f>
        <v>16.789082000000001</v>
      </c>
      <c r="I81" s="55">
        <f>'6 - B1'!I81</f>
        <v>13.246886</v>
      </c>
      <c r="J81" s="55">
        <f>'6 - B1'!J81</f>
        <v>14.513688999999999</v>
      </c>
      <c r="K81" s="55">
        <f>'6 - B1'!K81</f>
        <v>9.3180049999999994</v>
      </c>
      <c r="L81" s="55">
        <f>'6 - B1'!L81</f>
        <v>12.492651</v>
      </c>
      <c r="M81" s="55">
        <f>'6 - B1'!M81</f>
        <v>11.782913000000001</v>
      </c>
      <c r="N81" s="55">
        <f>'6 - B1'!N81</f>
        <v>14.340878</v>
      </c>
      <c r="O81" s="55">
        <f>'6 - B1'!O81</f>
        <v>10.95966</v>
      </c>
      <c r="P81" s="55">
        <f>'6 - B1'!P81</f>
        <v>5.262372</v>
      </c>
    </row>
    <row r="82" spans="1:16" x14ac:dyDescent="0.35">
      <c r="A82" s="55">
        <f>'6 - B1'!A82</f>
        <v>70</v>
      </c>
      <c r="B82" s="55">
        <f>'6 - B1'!B82</f>
        <v>7.1926969999999999</v>
      </c>
      <c r="C82" s="55">
        <f>'6 - B1'!C82</f>
        <v>6.7301279999999997</v>
      </c>
      <c r="D82" s="55">
        <f>'6 - B1'!D82</f>
        <v>7.2863389999999999</v>
      </c>
      <c r="E82" s="55">
        <f>'6 - B1'!E82</f>
        <v>7.574916</v>
      </c>
      <c r="F82" s="55">
        <f>'6 - B1'!F82</f>
        <v>6.4759039999999999</v>
      </c>
      <c r="G82" s="55">
        <f>'6 - B1'!G82</f>
        <v>7.3869939999999996</v>
      </c>
      <c r="H82" s="55">
        <f>'6 - B1'!H82</f>
        <v>11.803233000000001</v>
      </c>
      <c r="I82" s="55">
        <f>'6 - B1'!I82</f>
        <v>7.4513740000000004</v>
      </c>
      <c r="J82" s="55">
        <f>'6 - B1'!J82</f>
        <v>8.2789350000000006</v>
      </c>
      <c r="K82" s="55">
        <f>'6 - B1'!K82</f>
        <v>5.9389479999999999</v>
      </c>
      <c r="L82" s="55">
        <f>'6 - B1'!L82</f>
        <v>8.4021369999999997</v>
      </c>
      <c r="M82" s="55">
        <f>'6 - B1'!M82</f>
        <v>7.5820480000000003</v>
      </c>
      <c r="N82" s="55">
        <f>'6 - B1'!N82</f>
        <v>9.86571</v>
      </c>
      <c r="O82" s="55">
        <f>'6 - B1'!O82</f>
        <v>7.2375109999999996</v>
      </c>
      <c r="P82" s="55">
        <f>'6 - B1'!P82</f>
        <v>3.0230640000000002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heetViews>
  <sheetFormatPr defaultColWidth="11.53125" defaultRowHeight="12.75" x14ac:dyDescent="0.35"/>
  <cols>
    <col min="11" max="11" width="27.6640625" customWidth="1"/>
    <col min="12" max="12" width="15.3984375" customWidth="1"/>
  </cols>
  <sheetData>
    <row r="1" spans="1:16" ht="37.25" customHeight="1" x14ac:dyDescent="0.7">
      <c r="B1" s="58"/>
      <c r="K1" s="150"/>
      <c r="L1" s="150"/>
      <c r="M1" s="150"/>
      <c r="N1" s="150"/>
      <c r="O1" s="150"/>
    </row>
    <row r="2" spans="1:16" ht="52.15" x14ac:dyDescent="0.5">
      <c r="B2" s="59" t="s">
        <v>109</v>
      </c>
      <c r="C2" s="59" t="s">
        <v>110</v>
      </c>
      <c r="D2" s="59" t="s">
        <v>111</v>
      </c>
      <c r="E2" s="59" t="s">
        <v>112</v>
      </c>
      <c r="F2" s="60" t="s">
        <v>113</v>
      </c>
      <c r="G2" s="61" t="s">
        <v>62</v>
      </c>
      <c r="H2" s="62" t="s">
        <v>114</v>
      </c>
      <c r="K2" s="63" t="s">
        <v>115</v>
      </c>
      <c r="L2" s="64" t="s">
        <v>116</v>
      </c>
      <c r="M2" s="64" t="s">
        <v>117</v>
      </c>
      <c r="O2" s="11"/>
      <c r="P2" s="11"/>
    </row>
    <row r="3" spans="1:16" ht="26.25" x14ac:dyDescent="0.45">
      <c r="B3" s="60" t="s">
        <v>118</v>
      </c>
      <c r="C3" s="60" t="s">
        <v>118</v>
      </c>
      <c r="D3" s="60" t="s">
        <v>118</v>
      </c>
      <c r="E3" s="60" t="s">
        <v>118</v>
      </c>
      <c r="F3" s="60"/>
      <c r="G3" s="65" t="s">
        <v>119</v>
      </c>
      <c r="H3" s="65" t="s">
        <v>120</v>
      </c>
      <c r="K3" s="66" t="s">
        <v>121</v>
      </c>
      <c r="L3" s="64" t="str">
        <f>"/ml"</f>
        <v>/ml</v>
      </c>
      <c r="M3" s="64"/>
      <c r="O3" s="67"/>
      <c r="P3" s="68"/>
    </row>
    <row r="4" spans="1:16" ht="13.9" x14ac:dyDescent="0.4">
      <c r="A4" s="90">
        <v>30</v>
      </c>
      <c r="B4" s="92">
        <f>'6 - B1'!$L38</f>
        <v>7.1960200000000007</v>
      </c>
      <c r="C4" s="92">
        <f>'6 - B2'!$L38</f>
        <v>7.2640627499999999</v>
      </c>
      <c r="D4" s="92">
        <f>'6 - B3'!$L38</f>
        <v>8.2718515000000004</v>
      </c>
      <c r="E4" s="93">
        <f t="shared" ref="E4:E33" si="0">AVERAGE(B4:D4)</f>
        <v>7.5773114166666673</v>
      </c>
      <c r="F4" s="94">
        <f>'Clause 6'!D19</f>
        <v>16000.000000000053</v>
      </c>
      <c r="G4" s="90">
        <f>'6 - B1'!$M38+'6 - B2'!$M38+'6 - B3'!$M38</f>
        <v>12</v>
      </c>
      <c r="H4" s="24">
        <f>STDEVP('6 - B1'!$B38:F38,'6 - B2'!B38:F38,'6 - B3'!B38:F38)/SQRT(G4)</f>
        <v>0.26629534099510849</v>
      </c>
      <c r="K4" s="69">
        <v>4</v>
      </c>
      <c r="L4" s="70">
        <v>10563.4</v>
      </c>
      <c r="M4" s="88">
        <f>CubicSpline(L4,$E$4:$E$33,$F$4:$F$33)</f>
        <v>183.18284739105366</v>
      </c>
    </row>
    <row r="5" spans="1:16" ht="13.9" x14ac:dyDescent="0.4">
      <c r="A5" s="90">
        <v>29</v>
      </c>
      <c r="B5" s="92">
        <f>'6 - B1'!$L37</f>
        <v>11.106298500000001</v>
      </c>
      <c r="C5" s="92">
        <f>'6 - B2'!$L37</f>
        <v>13.132960399999998</v>
      </c>
      <c r="D5" s="92">
        <f>'6 - B3'!$L37</f>
        <v>12.394025500000001</v>
      </c>
      <c r="E5" s="93">
        <f t="shared" si="0"/>
        <v>12.2110948</v>
      </c>
      <c r="F5" s="94">
        <f>'Clause 6'!D20</f>
        <v>13515.939313205179</v>
      </c>
      <c r="G5" s="90">
        <f>'6 - B1'!$M37+'6 - B2'!$M37+'6 - B3'!$M37</f>
        <v>13</v>
      </c>
      <c r="H5" s="24">
        <f>STDEVP('6 - B1'!$B37:F37,'6 - B2'!B37:F37,'6 - B3'!B37:F37)/SQRT(G5)</f>
        <v>0.52969553709594319</v>
      </c>
      <c r="K5" s="69">
        <v>5</v>
      </c>
      <c r="L5" s="70">
        <v>6899.8</v>
      </c>
      <c r="M5" s="88">
        <f t="shared" ref="M5:M9" si="1">CubicSpline(L5,$E$4:$E$33,$F$4:$F$33)</f>
        <v>300.3900692626413</v>
      </c>
    </row>
    <row r="6" spans="1:16" ht="13.9" x14ac:dyDescent="0.4">
      <c r="A6" s="90">
        <v>28</v>
      </c>
      <c r="B6" s="92">
        <f>'6 - B1'!$L36</f>
        <v>17.532067499999997</v>
      </c>
      <c r="C6" s="92">
        <f>'6 - B2'!$L36</f>
        <v>19.7907312</v>
      </c>
      <c r="D6" s="92">
        <f>'6 - B3'!$L36</f>
        <v>19.050621</v>
      </c>
      <c r="E6" s="93">
        <f t="shared" si="0"/>
        <v>18.791139899999997</v>
      </c>
      <c r="F6" s="94">
        <f>'Clause 6'!D21</f>
        <v>11417.538469890293</v>
      </c>
      <c r="G6" s="90">
        <f>'6 - B1'!$M36+'6 - B2'!$M36+'6 - B3'!$M36</f>
        <v>13</v>
      </c>
      <c r="H6" s="24">
        <f>STDEVP('6 - B1'!$B36:F36,'6 - B2'!B36:F36,'6 - B3'!B36:F36)/SQRT(G6)</f>
        <v>0.59777687060316631</v>
      </c>
      <c r="K6" s="69">
        <v>6</v>
      </c>
      <c r="L6" s="70">
        <v>4593.5</v>
      </c>
      <c r="M6" s="88">
        <f t="shared" si="1"/>
        <v>454.78503914749967</v>
      </c>
    </row>
    <row r="7" spans="1:16" ht="13.9" x14ac:dyDescent="0.4">
      <c r="A7" s="90">
        <v>27</v>
      </c>
      <c r="B7" s="92">
        <f>'6 - B1'!$L35</f>
        <v>26.909464749999998</v>
      </c>
      <c r="C7" s="92">
        <f>'6 - B2'!$L35</f>
        <v>28.236453000000001</v>
      </c>
      <c r="D7" s="92">
        <f>'6 - B3'!$L35</f>
        <v>28.701271999999999</v>
      </c>
      <c r="E7" s="93">
        <f t="shared" si="0"/>
        <v>27.949063249999998</v>
      </c>
      <c r="F7" s="94">
        <f>'Clause 6'!D22</f>
        <v>9644.9223165763869</v>
      </c>
      <c r="G7" s="90">
        <f>'6 - B1'!$M35+'6 - B2'!$M35+'6 - B3'!$M35</f>
        <v>13</v>
      </c>
      <c r="H7" s="24">
        <f>STDEVP('6 - B1'!$B35:F35,'6 - B2'!B35:F35,'6 - B3'!B35:F35)/SQRT(G7)</f>
        <v>0.66627892136459443</v>
      </c>
      <c r="K7" s="69">
        <v>7</v>
      </c>
      <c r="L7" s="70">
        <v>3202.3</v>
      </c>
      <c r="M7" s="88">
        <f t="shared" si="1"/>
        <v>621.61355680723011</v>
      </c>
    </row>
    <row r="8" spans="1:16" ht="13.9" x14ac:dyDescent="0.4">
      <c r="A8" s="90">
        <v>26</v>
      </c>
      <c r="B8" s="92">
        <f>'6 - B1'!$L34</f>
        <v>40.1197005</v>
      </c>
      <c r="C8" s="92">
        <f>'6 - B2'!$L34</f>
        <v>40.723237000000005</v>
      </c>
      <c r="D8" s="92">
        <f>'6 - B3'!$L34</f>
        <v>41.337139999999998</v>
      </c>
      <c r="E8" s="93">
        <f t="shared" si="0"/>
        <v>40.726692500000006</v>
      </c>
      <c r="F8" s="94">
        <f>'Clause 6'!D23</f>
        <v>8147.5115444640205</v>
      </c>
      <c r="G8" s="90">
        <f>'6 - B1'!$M34+'6 - B2'!$M34+'6 - B3'!$M34</f>
        <v>13</v>
      </c>
      <c r="H8" s="24">
        <f>STDEVP('6 - B1'!$B34:F34,'6 - B2'!B34:F34,'6 - B3'!B34:F34)/SQRT(G8)</f>
        <v>0.7360979316481947</v>
      </c>
      <c r="K8" s="69">
        <v>8</v>
      </c>
      <c r="L8" s="70">
        <v>2184.8000000000002</v>
      </c>
      <c r="M8" s="88">
        <f t="shared" si="1"/>
        <v>828.3795433267162</v>
      </c>
    </row>
    <row r="9" spans="1:16" ht="13.9" x14ac:dyDescent="0.4">
      <c r="A9" s="90">
        <v>25</v>
      </c>
      <c r="B9" s="92">
        <f>'6 - B1'!$L33</f>
        <v>58.176661500000002</v>
      </c>
      <c r="C9" s="92">
        <f>'6 - B2'!$L33</f>
        <v>58.778025800000002</v>
      </c>
      <c r="D9" s="92">
        <f>'6 - B3'!$L33</f>
        <v>58.962656250000002</v>
      </c>
      <c r="E9" s="93">
        <f t="shared" si="0"/>
        <v>58.639114516666666</v>
      </c>
      <c r="F9" s="94">
        <f>'Clause 6'!D24</f>
        <v>6882.5794742883709</v>
      </c>
      <c r="G9" s="90">
        <f>'6 - B1'!$M33+'6 - B2'!$M33+'6 - B3'!$M33</f>
        <v>13</v>
      </c>
      <c r="H9" s="24">
        <f>STDEVP('6 - B1'!$B33:F33,'6 - B2'!B33:F33,'6 - B3'!B33:F33)/SQRT(G9)</f>
        <v>1.0286918482138361</v>
      </c>
      <c r="K9" s="69">
        <v>9</v>
      </c>
      <c r="L9" s="70">
        <v>1501.7</v>
      </c>
      <c r="M9" s="88">
        <f t="shared" si="1"/>
        <v>1062.7881919825702</v>
      </c>
    </row>
    <row r="10" spans="1:16" ht="13.9" x14ac:dyDescent="0.4">
      <c r="A10" s="90">
        <v>24</v>
      </c>
      <c r="B10" s="92">
        <f>'6 - B1'!$L32</f>
        <v>81.897651499999995</v>
      </c>
      <c r="C10" s="92">
        <f>'6 - B2'!$L32</f>
        <v>82.285136399999999</v>
      </c>
      <c r="D10" s="92">
        <f>'6 - B3'!$L32</f>
        <v>83.533287000000001</v>
      </c>
      <c r="E10" s="93">
        <f t="shared" si="0"/>
        <v>82.57202496666666</v>
      </c>
      <c r="F10" s="94">
        <f>'Clause 6'!D25</f>
        <v>5814.0329057995577</v>
      </c>
      <c r="G10" s="90">
        <f>'6 - B1'!$M32+'6 - B2'!$M32+'6 - B3'!$M32</f>
        <v>13</v>
      </c>
      <c r="H10" s="24">
        <f>STDEVP('6 - B1'!$B32:F32,'6 - B2'!B32:F32,'6 - B3'!B32:F32)/SQRT(G10)</f>
        <v>1.4102317950988832</v>
      </c>
      <c r="K10" s="69">
        <v>10</v>
      </c>
      <c r="L10" s="70">
        <v>1069.5</v>
      </c>
      <c r="M10" s="88">
        <f t="shared" ref="M10:M30" si="2">CubicSpline(L10,$E$4:$E$33,$F$4:$F$33)</f>
        <v>1309.2045779490284</v>
      </c>
    </row>
    <row r="11" spans="1:16" ht="13.9" x14ac:dyDescent="0.4">
      <c r="A11" s="90">
        <v>23</v>
      </c>
      <c r="B11" s="92">
        <f>'6 - B1'!$L31</f>
        <v>112.10367975</v>
      </c>
      <c r="C11" s="92">
        <f>'6 - B2'!$L31</f>
        <v>114.52543449999999</v>
      </c>
      <c r="D11" s="92">
        <f>'6 - B3'!$L31</f>
        <v>115.88738075000001</v>
      </c>
      <c r="E11" s="93">
        <f t="shared" si="0"/>
        <v>114.17216499999999</v>
      </c>
      <c r="F11" s="94">
        <f>'Clause 6'!D26</f>
        <v>4911.3822449852833</v>
      </c>
      <c r="G11" s="90">
        <f>'6 - B1'!$M31+'6 - B2'!$M31+'6 - B3'!$M31</f>
        <v>12</v>
      </c>
      <c r="H11" s="24">
        <f>STDEVP('6 - B1'!$B31:F31,'6 - B2'!B31:F31,'6 - B3'!B31:F31)/SQRT(G11)</f>
        <v>1.4205910159178614</v>
      </c>
      <c r="K11" s="69">
        <v>11</v>
      </c>
      <c r="L11" s="70">
        <v>779</v>
      </c>
      <c r="M11" s="88">
        <f t="shared" si="2"/>
        <v>1587.2572540818981</v>
      </c>
    </row>
    <row r="12" spans="1:16" ht="13.9" x14ac:dyDescent="0.4">
      <c r="A12" s="90">
        <v>22</v>
      </c>
      <c r="B12" s="92">
        <f>'6 - B1'!$L30</f>
        <v>149.50705579999999</v>
      </c>
      <c r="C12" s="92">
        <f>'6 - B2'!$L30</f>
        <v>156.394474</v>
      </c>
      <c r="D12" s="92">
        <f>'6 - B3'!$L30</f>
        <v>157.57402050000002</v>
      </c>
      <c r="E12" s="93">
        <f t="shared" si="0"/>
        <v>154.49185009999999</v>
      </c>
      <c r="F12" s="94">
        <f>'Clause 6'!D27</f>
        <v>4148.8715229483923</v>
      </c>
      <c r="G12" s="90">
        <f>'6 - B1'!$M30+'6 - B2'!$M30+'6 - B3'!$M30</f>
        <v>13</v>
      </c>
      <c r="H12" s="24">
        <f>STDEVP('6 - B1'!$B30:F30,'6 - B2'!B30:F30,'6 - B3'!B30:F30)/SQRT(G12)</f>
        <v>1.9090580463496454</v>
      </c>
      <c r="K12" s="69">
        <v>12</v>
      </c>
      <c r="L12" s="70">
        <v>583.4</v>
      </c>
      <c r="M12" s="88">
        <f t="shared" si="2"/>
        <v>1887.8616393043033</v>
      </c>
    </row>
    <row r="13" spans="1:16" ht="13.9" x14ac:dyDescent="0.4">
      <c r="A13" s="90">
        <v>21</v>
      </c>
      <c r="B13" s="92">
        <f>'6 - B1'!$L29</f>
        <v>201.44739680000004</v>
      </c>
      <c r="C13" s="92">
        <f>'6 - B2'!$L29</f>
        <v>206.49930950000001</v>
      </c>
      <c r="D13" s="92">
        <f>'6 - B3'!$L29</f>
        <v>211.47628400000002</v>
      </c>
      <c r="E13" s="93">
        <f t="shared" si="0"/>
        <v>206.4743301</v>
      </c>
      <c r="F13" s="94">
        <f>'Clause 6'!D28</f>
        <v>3504.7434826534645</v>
      </c>
      <c r="G13" s="90">
        <f>'6 - B1'!$M29+'6 - B2'!$M29+'6 - B3'!$M29</f>
        <v>13</v>
      </c>
      <c r="H13" s="24">
        <f>STDEVP('6 - B1'!$B29:F29,'6 - B2'!B29:F29,'6 - B3'!B29:F29)/SQRT(G13)</f>
        <v>2.1382643722452093</v>
      </c>
      <c r="K13" s="69">
        <v>13</v>
      </c>
      <c r="L13" s="70">
        <v>453.2</v>
      </c>
      <c r="M13" s="88">
        <f t="shared" si="2"/>
        <v>2201.3984240344853</v>
      </c>
    </row>
    <row r="14" spans="1:16" ht="13.9" x14ac:dyDescent="0.4">
      <c r="A14" s="90">
        <v>20</v>
      </c>
      <c r="B14" s="92">
        <f>'6 - B1'!$L28</f>
        <v>274.91624424999998</v>
      </c>
      <c r="C14" s="92">
        <f>'6 - B2'!$L28</f>
        <v>270.22830820000001</v>
      </c>
      <c r="D14" s="92">
        <f>'6 - B3'!$L28</f>
        <v>283.18266325000002</v>
      </c>
      <c r="E14" s="93">
        <f t="shared" si="0"/>
        <v>276.1090719</v>
      </c>
      <c r="F14" s="94">
        <f>'Clause 6'!D29</f>
        <v>2960.618763743465</v>
      </c>
      <c r="G14" s="90">
        <f>'6 - B1'!$M28+'6 - B2'!$M28+'6 - B3'!$M28</f>
        <v>13</v>
      </c>
      <c r="H14" s="24">
        <f>STDEVP('6 - B1'!$B28:F28,'6 - B2'!B28:F28,'6 - B3'!B28:F28)/SQRT(G14)</f>
        <v>2.5639195102389318</v>
      </c>
      <c r="K14" s="69">
        <v>14</v>
      </c>
      <c r="L14" s="70">
        <v>364.1</v>
      </c>
      <c r="M14" s="88">
        <f t="shared" si="2"/>
        <v>2511.9941464035228</v>
      </c>
    </row>
    <row r="15" spans="1:16" ht="13.9" x14ac:dyDescent="0.4">
      <c r="A15" s="90">
        <v>19</v>
      </c>
      <c r="B15" s="92">
        <f>'6 - B1'!$L27</f>
        <v>366.35878025</v>
      </c>
      <c r="C15" s="92">
        <f>'6 - B2'!$L27</f>
        <v>358.50576160000003</v>
      </c>
      <c r="D15" s="92">
        <f>'6 - B3'!$L27</f>
        <v>375.67465975000005</v>
      </c>
      <c r="E15" s="93">
        <f t="shared" si="0"/>
        <v>366.84640053333334</v>
      </c>
      <c r="F15" s="94">
        <f>'Clause 6'!D30</f>
        <v>2500.9714712683176</v>
      </c>
      <c r="G15" s="90">
        <f>'6 - B1'!$M27+'6 - B2'!$M27+'6 - B3'!$M27</f>
        <v>13</v>
      </c>
      <c r="H15" s="24">
        <f>STDEVP('6 - B1'!$B27:F27,'6 - B2'!B27:F27,'6 - B3'!B27:F27)/SQRT(G15)</f>
        <v>3.3951369686956148</v>
      </c>
      <c r="K15" s="69">
        <v>15</v>
      </c>
      <c r="L15" s="70">
        <v>296.89999999999998</v>
      </c>
      <c r="M15" s="88">
        <f t="shared" si="2"/>
        <v>2837.9587198394238</v>
      </c>
    </row>
    <row r="16" spans="1:16" ht="13.9" x14ac:dyDescent="0.4">
      <c r="A16" s="90">
        <v>18</v>
      </c>
      <c r="B16" s="92">
        <f>'6 - B1'!$L26</f>
        <v>484.21208174999998</v>
      </c>
      <c r="C16" s="92">
        <f>'6 - B2'!$L26</f>
        <v>475.60189840000004</v>
      </c>
      <c r="D16" s="92">
        <f>'6 - B3'!$L26</f>
        <v>496.05208575</v>
      </c>
      <c r="E16" s="93">
        <f t="shared" si="0"/>
        <v>485.28868863333332</v>
      </c>
      <c r="F16" s="94">
        <f>'Clause 6'!D31</f>
        <v>2112.6861643574962</v>
      </c>
      <c r="G16" s="90">
        <f>'6 - B1'!$M26+'6 - B2'!$M26+'6 - B3'!$M26</f>
        <v>13</v>
      </c>
      <c r="H16" s="24">
        <f>STDEVP('6 - B1'!$B26:F26,'6 - B2'!B26:F26,'6 - B3'!B26:F26)/SQRT(G16)</f>
        <v>4.156984649563733</v>
      </c>
      <c r="K16" s="69">
        <v>16</v>
      </c>
      <c r="L16" s="70">
        <v>246.4</v>
      </c>
      <c r="M16" s="88">
        <f t="shared" si="2"/>
        <v>3163.6160321266739</v>
      </c>
    </row>
    <row r="17" spans="1:13" ht="13.9" x14ac:dyDescent="0.4">
      <c r="A17" s="90">
        <v>17</v>
      </c>
      <c r="B17" s="92">
        <f>'6 - B1'!$L25</f>
        <v>636.64369224999996</v>
      </c>
      <c r="C17" s="92">
        <f>'6 - B2'!$L25</f>
        <v>629.16394060000005</v>
      </c>
      <c r="D17" s="92">
        <f>'6 - B3'!$L25</f>
        <v>654.80812075000006</v>
      </c>
      <c r="E17" s="93">
        <f t="shared" si="0"/>
        <v>640.20525120000002</v>
      </c>
      <c r="F17" s="94">
        <f>'Clause 6'!D32</f>
        <v>1784.683624081503</v>
      </c>
      <c r="G17" s="90">
        <f>'6 - B1'!$M25+'6 - B2'!$M25+'6 - B3'!$M25</f>
        <v>13</v>
      </c>
      <c r="H17" s="24">
        <f>STDEVP('6 - B1'!$B25:F25,'6 - B2'!B25:F25,'6 - B3'!B25:F25)/SQRT(G17)</f>
        <v>4.8517296462442481</v>
      </c>
      <c r="K17" s="69">
        <v>17</v>
      </c>
      <c r="L17" s="70">
        <v>208.5</v>
      </c>
      <c r="M17" s="88">
        <f t="shared" si="2"/>
        <v>3485.4393431279459</v>
      </c>
    </row>
    <row r="18" spans="1:13" ht="13.9" x14ac:dyDescent="0.4">
      <c r="A18" s="90">
        <v>16</v>
      </c>
      <c r="B18" s="92">
        <f>'6 - B1'!$L24</f>
        <v>838.30390924999995</v>
      </c>
      <c r="C18" s="92">
        <f>'6 - B2'!$L24</f>
        <v>838.74376219999999</v>
      </c>
      <c r="D18" s="92">
        <f>'6 - B3'!$L24</f>
        <v>870.4185635</v>
      </c>
      <c r="E18" s="93">
        <f t="shared" si="0"/>
        <v>849.15541165000002</v>
      </c>
      <c r="F18" s="94">
        <f>'Clause 6'!D33</f>
        <v>1507.6047222722875</v>
      </c>
      <c r="G18" s="90">
        <f>'6 - B1'!$M24+'6 - B2'!$M24+'6 - B3'!$M24</f>
        <v>13</v>
      </c>
      <c r="H18" s="24">
        <f>STDEVP('6 - B1'!$B24:F24,'6 - B2'!B24:F24,'6 - B3'!B24:F24)/SQRT(G18)</f>
        <v>6.0777785675764342</v>
      </c>
      <c r="K18" s="69">
        <v>18</v>
      </c>
      <c r="L18" s="70">
        <v>178.7</v>
      </c>
      <c r="M18" s="88">
        <f t="shared" si="2"/>
        <v>3814.1558418446971</v>
      </c>
    </row>
    <row r="19" spans="1:13" ht="13.9" x14ac:dyDescent="0.4">
      <c r="A19" s="90">
        <v>15</v>
      </c>
      <c r="B19" s="92">
        <f>'6 - B1'!$L23</f>
        <v>1096.6072387500001</v>
      </c>
      <c r="C19" s="92">
        <f>'6 - B2'!$L23</f>
        <v>1110.7257079999999</v>
      </c>
      <c r="D19" s="92">
        <f>'6 - B3'!$L23</f>
        <v>1150.7629697499999</v>
      </c>
      <c r="E19" s="93">
        <f t="shared" si="0"/>
        <v>1119.3653054999997</v>
      </c>
      <c r="F19" s="94">
        <f>'Clause 6'!D34</f>
        <v>1273.5433709083575</v>
      </c>
      <c r="G19" s="90">
        <f>'6 - B1'!$M23+'6 - B2'!$M23+'6 - B3'!$M23</f>
        <v>13</v>
      </c>
      <c r="H19" s="24">
        <f>STDEVP('6 - B1'!$B23:F23,'6 - B2'!B23:F23,'6 - B3'!B23:F23)/SQRT(G19)</f>
        <v>8.5989484383017043</v>
      </c>
      <c r="K19" s="69">
        <v>19</v>
      </c>
      <c r="L19" s="70">
        <v>153.30000000000001</v>
      </c>
      <c r="M19" s="88">
        <f t="shared" si="2"/>
        <v>4166.8583134430874</v>
      </c>
    </row>
    <row r="20" spans="1:13" ht="13.9" x14ac:dyDescent="0.4">
      <c r="A20" s="90">
        <v>14</v>
      </c>
      <c r="B20" s="92">
        <f>'6 - B1'!$L22</f>
        <v>1435.3149107500001</v>
      </c>
      <c r="C20" s="92">
        <f>'6 - B2'!$L22</f>
        <v>1468.1127443999999</v>
      </c>
      <c r="D20" s="92">
        <f>'6 - B3'!$L22</f>
        <v>1514.10296625</v>
      </c>
      <c r="E20" s="93">
        <f t="shared" si="0"/>
        <v>1472.5102071333331</v>
      </c>
      <c r="F20" s="94">
        <f>'Clause 6'!D35</f>
        <v>1075.8209321207535</v>
      </c>
      <c r="G20" s="90">
        <f>'6 - B1'!$M22+'6 - B2'!$M22+'6 - B3'!$M22</f>
        <v>13</v>
      </c>
      <c r="H20" s="24">
        <f>STDEVP('6 - B1'!$B22:F22,'6 - B2'!B22:F22,'6 - B3'!B22:F22)/SQRT(G20)</f>
        <v>11.889842737566671</v>
      </c>
      <c r="K20" s="69">
        <v>20</v>
      </c>
      <c r="L20" s="70">
        <v>130.4</v>
      </c>
      <c r="M20" s="88">
        <f t="shared" si="2"/>
        <v>4566.8354598946016</v>
      </c>
    </row>
    <row r="21" spans="1:13" ht="13.9" x14ac:dyDescent="0.4">
      <c r="A21" s="90">
        <v>13</v>
      </c>
      <c r="B21" s="92">
        <f>'6 - B1'!$L21</f>
        <v>1859.0544435000002</v>
      </c>
      <c r="C21" s="92">
        <f>'6 - B2'!$L21</f>
        <v>1911.9202637999999</v>
      </c>
      <c r="D21" s="92">
        <f>'6 - B3'!$L21</f>
        <v>1968.2972412499998</v>
      </c>
      <c r="E21" s="93">
        <f t="shared" si="0"/>
        <v>1913.0906495166666</v>
      </c>
      <c r="F21" s="94">
        <f>'Clause 6'!D36</f>
        <v>908.79565190124276</v>
      </c>
      <c r="G21" s="90">
        <f>'6 - B1'!$M21+'6 - B2'!$M21+'6 - B3'!$M21</f>
        <v>13</v>
      </c>
      <c r="H21" s="24">
        <f>STDEVP('6 - B1'!$B21:F21,'6 - B2'!B21:F21,'6 - B3'!B21:F21)/SQRT(G21)</f>
        <v>15.716611794563308</v>
      </c>
      <c r="K21" s="69">
        <v>21</v>
      </c>
      <c r="L21" s="70">
        <v>109.4</v>
      </c>
      <c r="M21" s="88">
        <f t="shared" si="2"/>
        <v>5023.8815380590686</v>
      </c>
    </row>
    <row r="22" spans="1:13" ht="13.9" x14ac:dyDescent="0.4">
      <c r="A22" s="90">
        <v>12</v>
      </c>
      <c r="B22" s="92">
        <f>'6 - B1'!$L20</f>
        <v>2326.4303712000001</v>
      </c>
      <c r="C22" s="92">
        <f>'6 - B2'!$L20</f>
        <v>2441.3405273999997</v>
      </c>
      <c r="D22" s="92">
        <f>'6 - B3'!$L20</f>
        <v>2511.8765257499999</v>
      </c>
      <c r="E22" s="93">
        <f t="shared" si="0"/>
        <v>2426.5491414499998</v>
      </c>
      <c r="F22" s="94">
        <f>'Clause 6'!D37</f>
        <v>767.70167995011843</v>
      </c>
      <c r="G22" s="90">
        <f>'6 - B1'!$M20+'6 - B2'!$M20+'6 - B3'!$M20</f>
        <v>14</v>
      </c>
      <c r="H22" s="24">
        <f>STDEVP('6 - B1'!$B20:F20,'6 - B2'!B20:F20,'6 - B3'!B20:F20)/SQRT(G22)</f>
        <v>25.455220567931381</v>
      </c>
      <c r="K22" s="69">
        <v>22</v>
      </c>
      <c r="L22" s="70">
        <v>91.3</v>
      </c>
      <c r="M22" s="88">
        <f t="shared" si="2"/>
        <v>5525.8945521173164</v>
      </c>
    </row>
    <row r="23" spans="1:13" ht="13.9" x14ac:dyDescent="0.4">
      <c r="A23" s="90">
        <v>11</v>
      </c>
      <c r="B23" s="92">
        <f>'6 - B1'!$L19</f>
        <v>2888.4624510000003</v>
      </c>
      <c r="C23" s="92">
        <f>'6 - B2'!$L19</f>
        <v>3068.2773926</v>
      </c>
      <c r="D23" s="92">
        <f>'6 - B3'!$L19</f>
        <v>3147.05358875</v>
      </c>
      <c r="E23" s="93">
        <f t="shared" si="0"/>
        <v>3034.5978107833339</v>
      </c>
      <c r="F23" s="94">
        <f>'Clause 6'!D38</f>
        <v>648.51308230321445</v>
      </c>
      <c r="G23" s="90">
        <f>'6 - B1'!$M19+'6 - B2'!$M19+'6 - B3'!$M19</f>
        <v>14</v>
      </c>
      <c r="H23" s="24">
        <f>STDEVP('6 - B1'!$B19:F19,'6 - B2'!B19:F19,'6 - B3'!B19:F19)/SQRT(G23)</f>
        <v>34.875101516936091</v>
      </c>
      <c r="K23" s="69">
        <v>23</v>
      </c>
      <c r="L23" s="70">
        <v>76.099999999999994</v>
      </c>
      <c r="M23" s="88">
        <f t="shared" si="2"/>
        <v>6056.3607650990525</v>
      </c>
    </row>
    <row r="24" spans="1:13" ht="13.9" x14ac:dyDescent="0.4">
      <c r="A24" s="90">
        <v>10</v>
      </c>
      <c r="B24" s="92">
        <f>'6 - B1'!$L18</f>
        <v>3535.8833497999999</v>
      </c>
      <c r="C24" s="92">
        <f>'6 - B2'!$L18</f>
        <v>3790.2351076</v>
      </c>
      <c r="D24" s="92">
        <f>'6 - B3'!$L18</f>
        <v>3873.1611940000003</v>
      </c>
      <c r="E24" s="93">
        <f t="shared" si="0"/>
        <v>3733.0932171333334</v>
      </c>
      <c r="F24" s="94">
        <f>'Clause 6'!D39</f>
        <v>547.82896651436579</v>
      </c>
      <c r="G24" s="90">
        <f>'6 - B1'!$M18+'6 - B2'!$M18+'6 - B3'!$M18</f>
        <v>14</v>
      </c>
      <c r="H24" s="24">
        <f>STDEVP('6 - B1'!$B18:F18,'6 - B2'!B18:F18,'6 - B3'!B18:F18)/SQRT(G24)</f>
        <v>45.613491851817614</v>
      </c>
      <c r="K24" s="69">
        <v>24</v>
      </c>
      <c r="L24" s="70">
        <v>63.1</v>
      </c>
      <c r="M24" s="88">
        <f t="shared" si="2"/>
        <v>6647.072139173185</v>
      </c>
    </row>
    <row r="25" spans="1:13" ht="13.9" x14ac:dyDescent="0.4">
      <c r="A25" s="90">
        <v>9</v>
      </c>
      <c r="B25" s="92">
        <f>'6 - B1'!$L17</f>
        <v>4250.1994625999996</v>
      </c>
      <c r="C25" s="92">
        <f>'6 - B2'!$L17</f>
        <v>4587.1849610000008</v>
      </c>
      <c r="D25" s="92">
        <f>'6 - B3'!$L17</f>
        <v>4686.8140867500006</v>
      </c>
      <c r="E25" s="93">
        <f t="shared" si="0"/>
        <v>4508.0661701166673</v>
      </c>
      <c r="F25" s="94">
        <f>'Clause 6'!D40</f>
        <v>462.77644158900353</v>
      </c>
      <c r="G25" s="90">
        <f>'6 - B1'!$M17+'6 - B2'!$M17+'6 - B3'!$M17</f>
        <v>14</v>
      </c>
      <c r="H25" s="24">
        <f>STDEVP('6 - B1'!$B17:F17,'6 - B2'!B17:F17,'6 - B3'!B17:F17)/SQRT(G25)</f>
        <v>58.716706175155714</v>
      </c>
      <c r="K25" s="69">
        <v>25</v>
      </c>
      <c r="L25" s="70">
        <v>52.1</v>
      </c>
      <c r="M25" s="88">
        <f t="shared" si="2"/>
        <v>7275.8692150550169</v>
      </c>
    </row>
    <row r="26" spans="1:13" ht="13.9" x14ac:dyDescent="0.4">
      <c r="A26" s="90">
        <v>8</v>
      </c>
      <c r="B26" s="92">
        <f>'6 - B1'!$L16</f>
        <v>5046.9430664000001</v>
      </c>
      <c r="C26" s="92">
        <f>'6 - B2'!$L16</f>
        <v>5475.3490234000001</v>
      </c>
      <c r="D26" s="92">
        <f>'6 - B3'!$L16</f>
        <v>5590.7442625000003</v>
      </c>
      <c r="E26" s="93">
        <f t="shared" si="0"/>
        <v>5371.0121174333335</v>
      </c>
      <c r="F26" s="94">
        <f>'Clause 6'!D41</f>
        <v>390.92864375612453</v>
      </c>
      <c r="G26" s="90">
        <f>'6 - B1'!$M16+'6 - B2'!$M16+'6 - B3'!$M16</f>
        <v>14</v>
      </c>
      <c r="H26" s="24">
        <f>STDEVP('6 - B1'!$B16:F16,'6 - B2'!B16:F16,'6 - B3'!B16:F16)/SQRT(G26)</f>
        <v>73.013386022037352</v>
      </c>
      <c r="K26" s="69">
        <v>26</v>
      </c>
      <c r="L26" s="70">
        <v>43</v>
      </c>
      <c r="M26" s="88">
        <f t="shared" si="2"/>
        <v>7952.6221634826607</v>
      </c>
    </row>
    <row r="27" spans="1:13" ht="13.9" x14ac:dyDescent="0.4">
      <c r="A27" s="90">
        <v>7</v>
      </c>
      <c r="B27" s="92">
        <f>'6 - B1'!$L15</f>
        <v>5926.8240236000001</v>
      </c>
      <c r="C27" s="92">
        <f>'6 - B2'!$L15</f>
        <v>6465.6584961999997</v>
      </c>
      <c r="D27" s="92">
        <f>'6 - B3'!$L15</f>
        <v>6590.9735107500001</v>
      </c>
      <c r="E27" s="93">
        <f t="shared" si="0"/>
        <v>6327.8186768499991</v>
      </c>
      <c r="F27" s="94">
        <f>'Clause 6'!D42</f>
        <v>330.2354890500855</v>
      </c>
      <c r="G27" s="90">
        <f>'6 - B1'!$M15+'6 - B2'!$M15+'6 - B3'!$M15</f>
        <v>14</v>
      </c>
      <c r="H27" s="24">
        <f>STDEVP('6 - B1'!$B15:F15,'6 - B2'!B15:F15,'6 - B3'!B15:F15)/SQRT(G27)</f>
        <v>89.024441923582415</v>
      </c>
      <c r="K27" s="69">
        <v>27</v>
      </c>
      <c r="L27" s="70">
        <v>35.700000000000003</v>
      </c>
      <c r="M27" s="88">
        <f t="shared" si="2"/>
        <v>8648.2894367881618</v>
      </c>
    </row>
    <row r="28" spans="1:13" ht="13.9" x14ac:dyDescent="0.4">
      <c r="A28" s="90">
        <v>6</v>
      </c>
      <c r="B28" s="92">
        <f>'6 - B1'!$L14</f>
        <v>6893.7499024000008</v>
      </c>
      <c r="C28" s="92">
        <f>'6 - B2'!$L14</f>
        <v>7548.1130862000009</v>
      </c>
      <c r="D28" s="92">
        <f>'6 - B3'!$L14</f>
        <v>7666.6328125</v>
      </c>
      <c r="E28" s="93">
        <f t="shared" si="0"/>
        <v>7369.4986003666672</v>
      </c>
      <c r="F28" s="94">
        <f>'Clause 6'!D43</f>
        <v>278.96517681672339</v>
      </c>
      <c r="G28" s="90">
        <f>'6 - B1'!$M14+'6 - B2'!$M14+'6 - B3'!$M14</f>
        <v>14</v>
      </c>
      <c r="H28" s="24">
        <f>STDEVP('6 - B1'!$B14:F14,'6 - B2'!B14:F14,'6 - B3'!B14:F14)/SQRT(G28)</f>
        <v>105.65519222426701</v>
      </c>
      <c r="K28" s="69">
        <v>28</v>
      </c>
      <c r="L28" s="70">
        <v>29.8</v>
      </c>
      <c r="M28" s="88">
        <f t="shared" si="2"/>
        <v>9382.3649228581125</v>
      </c>
    </row>
    <row r="29" spans="1:13" ht="13.9" x14ac:dyDescent="0.4">
      <c r="A29" s="90">
        <v>5</v>
      </c>
      <c r="B29" s="92">
        <f>'6 - B1'!$L13</f>
        <v>7971.6039062</v>
      </c>
      <c r="C29" s="92">
        <f>'6 - B2'!$L13</f>
        <v>8747.1689454000007</v>
      </c>
      <c r="D29" s="92">
        <f>'6 - B3'!$L13</f>
        <v>8884.0639650000012</v>
      </c>
      <c r="E29" s="93">
        <f t="shared" si="0"/>
        <v>8534.2789388666661</v>
      </c>
      <c r="F29" s="94">
        <f>'Clause 6'!D44</f>
        <v>235.6547750220233</v>
      </c>
      <c r="G29" s="90">
        <f>'6 - B1'!$M13+'6 - B2'!$M13+'6 - B3'!$M13</f>
        <v>14</v>
      </c>
      <c r="H29" s="24">
        <f>STDEVP('6 - B1'!$B13:F13,'6 - B2'!B13:F13,'6 - B3'!B13:F13)/SQRT(G29)</f>
        <v>125.17275303178073</v>
      </c>
      <c r="K29" s="69">
        <v>29</v>
      </c>
      <c r="L29" s="70">
        <v>25.2</v>
      </c>
      <c r="M29" s="88">
        <f t="shared" si="2"/>
        <v>10085.647840748252</v>
      </c>
    </row>
    <row r="30" spans="1:13" ht="13.9" x14ac:dyDescent="0.4">
      <c r="A30" s="90">
        <v>4</v>
      </c>
      <c r="B30" s="92">
        <f>'6 - B1'!$L12</f>
        <v>9199.7142578000003</v>
      </c>
      <c r="C30" s="92">
        <f>'6 - B2'!$L12</f>
        <v>10103.849804599999</v>
      </c>
      <c r="D30" s="92">
        <f>'6 - B3'!$L12</f>
        <v>10255.138183750001</v>
      </c>
      <c r="E30" s="93">
        <f t="shared" si="0"/>
        <v>9852.9007487166673</v>
      </c>
      <c r="F30" s="94">
        <f>'Clause 6'!D45</f>
        <v>199.06847737904226</v>
      </c>
      <c r="G30" s="90">
        <f>'6 - B1'!$M12+'6 - B2'!$M12+'6 - B3'!$M12</f>
        <v>14</v>
      </c>
      <c r="H30" s="24">
        <f>STDEVP('6 - B1'!$B12:F12,'6 - B2'!B12:F12,'6 - B3'!B12:F12)/SQRT(G30)</f>
        <v>145.93565989674406</v>
      </c>
      <c r="K30" s="69">
        <v>30</v>
      </c>
      <c r="L30" s="70">
        <v>21.1</v>
      </c>
      <c r="M30" s="88">
        <f t="shared" si="2"/>
        <v>10888.784949945904</v>
      </c>
    </row>
    <row r="31" spans="1:13" ht="13.9" x14ac:dyDescent="0.4">
      <c r="A31" s="90">
        <v>3</v>
      </c>
      <c r="B31" s="92">
        <f>'6 - B1'!$L11</f>
        <v>10553.5888672</v>
      </c>
      <c r="C31" s="92">
        <f>'6 - B2'!$L11</f>
        <v>11645.840820400001</v>
      </c>
      <c r="D31" s="92">
        <f>'6 - B3'!$L11</f>
        <v>11791.564452999999</v>
      </c>
      <c r="E31" s="93">
        <f t="shared" si="0"/>
        <v>11330.331380199999</v>
      </c>
      <c r="F31" s="94">
        <f>'Clause 6'!D46</f>
        <v>168.16234121420527</v>
      </c>
      <c r="G31" s="90">
        <f>'6 - B1'!$M11+'6 - B2'!$M11+'6 - B3'!$M11</f>
        <v>14</v>
      </c>
      <c r="H31" s="24">
        <f>STDEVP('6 - B1'!$B11:F11,'6 - B2'!B11:F11,'6 - B3'!B11:F11)/SQRT(G31)</f>
        <v>173.20747459681436</v>
      </c>
    </row>
    <row r="32" spans="1:13" ht="13.9" x14ac:dyDescent="0.4">
      <c r="A32" s="90">
        <v>2</v>
      </c>
      <c r="B32" s="92">
        <f>'6 - B1'!$L10</f>
        <v>11912.608886499998</v>
      </c>
      <c r="C32" s="92">
        <f>'6 - B2'!$L10</f>
        <v>13369.360937399999</v>
      </c>
      <c r="D32" s="92">
        <f>'6 - B3'!$L10</f>
        <v>13515.513672000001</v>
      </c>
      <c r="E32" s="93">
        <f t="shared" si="0"/>
        <v>12932.494498633334</v>
      </c>
      <c r="F32" s="94">
        <f>'Clause 6'!D47</f>
        <v>142.05449991360581</v>
      </c>
      <c r="G32" s="90">
        <f>'6 - B1'!$M10+'6 - B2'!$M10+'6 - B3'!$M10</f>
        <v>13</v>
      </c>
      <c r="H32" s="24">
        <f>STDEVP('6 - B1'!$B10:F10,'6 - B2'!B10:F10,'6 - B3'!B10:F10)/SQRT(G32)</f>
        <v>219.812537988819</v>
      </c>
      <c r="K32" s="30" t="s">
        <v>122</v>
      </c>
    </row>
    <row r="33" spans="1:40" ht="13.9" x14ac:dyDescent="0.4">
      <c r="A33" s="90">
        <v>1</v>
      </c>
      <c r="B33" s="92">
        <f>'6 - B1'!$L9</f>
        <v>13640.356933750001</v>
      </c>
      <c r="C33" s="92">
        <f>'6 - B2'!$L9</f>
        <v>15376.406640399999</v>
      </c>
      <c r="D33" s="92">
        <f>'6 - B3'!$L9</f>
        <v>15501.139159999999</v>
      </c>
      <c r="E33" s="93">
        <f t="shared" si="0"/>
        <v>14839.300911383332</v>
      </c>
      <c r="F33" s="94">
        <f>'Clause 6'!D48</f>
        <v>120</v>
      </c>
      <c r="G33" s="90">
        <f>'6 - B1'!$M9+'6 - B2'!$M9+'6 - B3'!$M9</f>
        <v>13</v>
      </c>
      <c r="H33" s="24">
        <f>STDEVP('6 - B1'!$B9:F9,'6 - B2'!B9:F9,'6 - B3'!B9:F9)/SQRT(G33)</f>
        <v>259.18399881881271</v>
      </c>
    </row>
    <row r="34" spans="1:40" x14ac:dyDescent="0.35">
      <c r="B34" s="24"/>
      <c r="C34" s="24"/>
      <c r="D34" s="24"/>
      <c r="E34" s="24"/>
      <c r="F34" s="24"/>
    </row>
    <row r="35" spans="1:40" x14ac:dyDescent="0.35">
      <c r="B35" s="24"/>
      <c r="C35" s="24"/>
      <c r="D35" s="24"/>
      <c r="E35" s="24"/>
      <c r="F35" s="24"/>
    </row>
    <row r="36" spans="1:40" x14ac:dyDescent="0.35">
      <c r="B36" s="24"/>
      <c r="C36" s="24"/>
      <c r="D36" s="24"/>
      <c r="E36" s="24"/>
      <c r="F36" s="24"/>
    </row>
    <row r="37" spans="1:40" x14ac:dyDescent="0.35">
      <c r="B37" s="24"/>
      <c r="C37" s="24"/>
      <c r="D37" s="24"/>
      <c r="E37" s="24"/>
      <c r="F37" s="24"/>
    </row>
    <row r="38" spans="1:40" x14ac:dyDescent="0.35">
      <c r="B38" s="24"/>
      <c r="C38" s="24"/>
      <c r="D38" s="24"/>
      <c r="E38" s="24"/>
      <c r="F38" s="24"/>
    </row>
    <row r="42" spans="1:40" x14ac:dyDescent="0.35">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row>
    <row r="45" spans="1:40" x14ac:dyDescent="0.35">
      <c r="M45" s="71"/>
    </row>
    <row r="46" spans="1:40" x14ac:dyDescent="0.35">
      <c r="M46" s="71"/>
    </row>
    <row r="47" spans="1:40" x14ac:dyDescent="0.35">
      <c r="M47" s="71"/>
    </row>
    <row r="48" spans="1:40" x14ac:dyDescent="0.35">
      <c r="M48" s="71"/>
    </row>
    <row r="49" spans="13:13" x14ac:dyDescent="0.35">
      <c r="M49" s="71"/>
    </row>
    <row r="50" spans="13:13" x14ac:dyDescent="0.35">
      <c r="M50" s="71"/>
    </row>
    <row r="51" spans="13:13" x14ac:dyDescent="0.35">
      <c r="M51" s="71"/>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election activeCell="J6" sqref="J6"/>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72" t="s">
        <v>123</v>
      </c>
    </row>
    <row r="2" spans="1:17" ht="13.15" x14ac:dyDescent="0.4">
      <c r="A2" s="7" t="s">
        <v>24</v>
      </c>
      <c r="B2" s="7"/>
      <c r="C2" s="7"/>
      <c r="D2" s="7" t="s">
        <v>124</v>
      </c>
    </row>
    <row r="3" spans="1:17" ht="13.15" x14ac:dyDescent="0.4">
      <c r="A3" s="7" t="s">
        <v>8</v>
      </c>
      <c r="B3" s="7"/>
      <c r="C3" s="7"/>
      <c r="D3" s="73"/>
    </row>
    <row r="4" spans="1:17" ht="13.15" x14ac:dyDescent="0.4">
      <c r="A4" s="7" t="s">
        <v>28</v>
      </c>
      <c r="B4" s="7"/>
      <c r="C4" s="7"/>
      <c r="D4" s="7" t="s">
        <v>124</v>
      </c>
    </row>
    <row r="5" spans="1:17" ht="13.15" x14ac:dyDescent="0.4">
      <c r="A5" s="7" t="s">
        <v>26</v>
      </c>
      <c r="B5" s="7"/>
      <c r="C5" s="7"/>
      <c r="D5" s="72" t="s">
        <v>123</v>
      </c>
    </row>
    <row r="6" spans="1:17" ht="13.15" x14ac:dyDescent="0.4">
      <c r="A6" s="17" t="s">
        <v>30</v>
      </c>
      <c r="B6" s="7"/>
      <c r="C6" s="7"/>
      <c r="D6" s="74" t="s">
        <v>125</v>
      </c>
    </row>
    <row r="7" spans="1:17" ht="13.15" x14ac:dyDescent="0.4">
      <c r="A7" s="7" t="s">
        <v>16</v>
      </c>
      <c r="B7" s="7"/>
      <c r="C7" s="7"/>
      <c r="D7" s="75" t="s">
        <v>17</v>
      </c>
    </row>
    <row r="10" spans="1:17" x14ac:dyDescent="0.35">
      <c r="A10" s="76" t="s">
        <v>126</v>
      </c>
      <c r="B10" s="76"/>
      <c r="C10" s="76"/>
      <c r="D10" s="76"/>
    </row>
    <row r="11" spans="1:17" ht="13.5" thickBot="1" x14ac:dyDescent="0.45">
      <c r="A11" s="76"/>
      <c r="B11" s="76"/>
      <c r="C11" s="76"/>
      <c r="D11" s="76"/>
      <c r="H11" s="30"/>
    </row>
    <row r="12" spans="1:17" ht="13.15" x14ac:dyDescent="0.4">
      <c r="A12" s="117">
        <v>49.4</v>
      </c>
      <c r="B12" s="137" t="s">
        <v>127</v>
      </c>
      <c r="C12" s="137" t="s">
        <v>128</v>
      </c>
      <c r="D12" s="138"/>
      <c r="F12" s="117">
        <v>39</v>
      </c>
      <c r="G12" s="77" t="s">
        <v>127</v>
      </c>
      <c r="H12" s="77" t="s">
        <v>128</v>
      </c>
      <c r="I12" s="43"/>
      <c r="J12" s="44"/>
      <c r="M12" s="117">
        <v>69.7</v>
      </c>
      <c r="N12" s="77" t="s">
        <v>127</v>
      </c>
      <c r="O12" s="77" t="s">
        <v>128</v>
      </c>
      <c r="P12" s="43"/>
      <c r="Q12" s="44"/>
    </row>
    <row r="13" spans="1:17" x14ac:dyDescent="0.35">
      <c r="A13" s="139">
        <f>(4/3)*(3.1415936)*((A12*0.000001/2)^3)</f>
        <v>6.3121832711697054E-14</v>
      </c>
      <c r="B13" s="76" t="s">
        <v>129</v>
      </c>
      <c r="C13" s="76" t="s">
        <v>130</v>
      </c>
      <c r="D13" s="140"/>
      <c r="F13" s="78">
        <f>(4/3)*(3.1415936)*((F12*0.000001/2)^3)</f>
        <v>3.1059365126399994E-14</v>
      </c>
      <c r="G13" s="76" t="s">
        <v>129</v>
      </c>
      <c r="H13" s="76" t="s">
        <v>130</v>
      </c>
      <c r="J13" s="49"/>
      <c r="M13" s="78">
        <f>(4/3)*(3.1415936)*((M12*0.000001/2)^3)</f>
        <v>1.7729524472000214E-13</v>
      </c>
      <c r="N13" s="76" t="s">
        <v>129</v>
      </c>
      <c r="O13" s="76" t="s">
        <v>130</v>
      </c>
      <c r="Q13" s="49"/>
    </row>
    <row r="14" spans="1:17" x14ac:dyDescent="0.35">
      <c r="A14" s="139">
        <f>A13*1.05*1000</f>
        <v>6.6277924347281912E-11</v>
      </c>
      <c r="B14" s="76" t="s">
        <v>131</v>
      </c>
      <c r="C14" s="76" t="s">
        <v>132</v>
      </c>
      <c r="D14" s="140"/>
      <c r="F14" s="78">
        <f>F13*1.05*1000</f>
        <v>3.2612333382719997E-11</v>
      </c>
      <c r="G14" s="76" t="s">
        <v>131</v>
      </c>
      <c r="H14" s="76" t="s">
        <v>132</v>
      </c>
      <c r="J14" s="49"/>
      <c r="M14" s="78">
        <f>M13*1.05*1000</f>
        <v>1.8616000695600225E-10</v>
      </c>
      <c r="N14" s="76" t="s">
        <v>131</v>
      </c>
      <c r="O14" s="76" t="s">
        <v>132</v>
      </c>
      <c r="Q14" s="49"/>
    </row>
    <row r="15" spans="1:17" x14ac:dyDescent="0.35">
      <c r="A15" s="139">
        <f>0.000001/A14</f>
        <v>15087.980045364991</v>
      </c>
      <c r="B15" s="76" t="s">
        <v>43</v>
      </c>
      <c r="C15" s="76" t="s">
        <v>133</v>
      </c>
      <c r="D15" s="140"/>
      <c r="F15" s="78">
        <f>0.000001/F14</f>
        <v>30663.245964787693</v>
      </c>
      <c r="G15" s="76" t="s">
        <v>43</v>
      </c>
      <c r="H15" s="76" t="s">
        <v>133</v>
      </c>
      <c r="J15" s="49"/>
      <c r="M15" s="78">
        <f>0.000001/M14</f>
        <v>5371.7230480999269</v>
      </c>
      <c r="N15" s="76" t="s">
        <v>43</v>
      </c>
      <c r="O15" s="76" t="s">
        <v>133</v>
      </c>
      <c r="Q15" s="49"/>
    </row>
    <row r="16" spans="1:17" ht="13.15" x14ac:dyDescent="0.4">
      <c r="A16" s="141">
        <v>5000</v>
      </c>
      <c r="B16" s="76"/>
      <c r="C16" s="76" t="s">
        <v>134</v>
      </c>
      <c r="D16" s="140"/>
      <c r="F16" s="79">
        <v>3000</v>
      </c>
      <c r="G16" s="76"/>
      <c r="H16" s="76" t="s">
        <v>134</v>
      </c>
      <c r="J16" s="49"/>
      <c r="M16" s="79">
        <v>2000</v>
      </c>
      <c r="N16" s="76"/>
      <c r="O16" s="76" t="s">
        <v>134</v>
      </c>
      <c r="Q16" s="49"/>
    </row>
    <row r="17" spans="1:17" x14ac:dyDescent="0.35">
      <c r="A17" s="142">
        <f>A16/A15*1000</f>
        <v>331.38962173640959</v>
      </c>
      <c r="B17" s="76" t="s">
        <v>135</v>
      </c>
      <c r="C17" s="76" t="s">
        <v>136</v>
      </c>
      <c r="D17" s="140"/>
      <c r="F17" s="80">
        <f>F16/F15*1000</f>
        <v>97.837000148159987</v>
      </c>
      <c r="G17" s="76" t="s">
        <v>135</v>
      </c>
      <c r="H17" s="76" t="s">
        <v>136</v>
      </c>
      <c r="J17" s="49"/>
      <c r="M17" s="80">
        <f>M16/M15*1000</f>
        <v>372.32001391200447</v>
      </c>
      <c r="N17" s="76" t="s">
        <v>135</v>
      </c>
      <c r="O17" s="76" t="s">
        <v>136</v>
      </c>
      <c r="Q17" s="49"/>
    </row>
    <row r="18" spans="1:17" ht="13.15" x14ac:dyDescent="0.4">
      <c r="A18" s="141">
        <v>0.20280000000000001</v>
      </c>
      <c r="B18" s="76" t="s">
        <v>137</v>
      </c>
      <c r="C18" s="76" t="s">
        <v>138</v>
      </c>
      <c r="D18" s="140"/>
      <c r="F18" s="79">
        <v>0.2</v>
      </c>
      <c r="G18" s="76" t="s">
        <v>137</v>
      </c>
      <c r="H18" s="76" t="s">
        <v>138</v>
      </c>
      <c r="J18" s="49"/>
      <c r="M18" s="79">
        <v>0.2</v>
      </c>
      <c r="N18" s="76" t="s">
        <v>137</v>
      </c>
      <c r="O18" s="76" t="s">
        <v>138</v>
      </c>
      <c r="Q18" s="49"/>
    </row>
    <row r="19" spans="1:17" x14ac:dyDescent="0.35">
      <c r="A19" s="142">
        <f>A18*A17</f>
        <v>67.205815288143867</v>
      </c>
      <c r="B19" s="76" t="s">
        <v>139</v>
      </c>
      <c r="C19" s="76" t="s">
        <v>140</v>
      </c>
      <c r="D19" s="140"/>
      <c r="F19" s="80">
        <f>F18*F17</f>
        <v>19.567400029631997</v>
      </c>
      <c r="G19" s="76" t="s">
        <v>139</v>
      </c>
      <c r="H19" s="76" t="s">
        <v>140</v>
      </c>
      <c r="J19" s="49"/>
      <c r="M19" s="80">
        <f>M18*M17</f>
        <v>74.464002782400897</v>
      </c>
      <c r="N19" s="76" t="s">
        <v>139</v>
      </c>
      <c r="O19" s="76" t="s">
        <v>140</v>
      </c>
      <c r="Q19" s="49"/>
    </row>
    <row r="20" spans="1:17" ht="13.15" x14ac:dyDescent="0.4">
      <c r="A20" s="141">
        <v>67.2</v>
      </c>
      <c r="B20" s="76" t="s">
        <v>139</v>
      </c>
      <c r="C20" s="76" t="s">
        <v>141</v>
      </c>
      <c r="D20" s="140"/>
      <c r="F20" s="79">
        <v>20.8</v>
      </c>
      <c r="G20" s="76" t="s">
        <v>139</v>
      </c>
      <c r="H20" s="76" t="s">
        <v>141</v>
      </c>
      <c r="J20" s="49"/>
      <c r="M20" s="79">
        <v>77.569999999999993</v>
      </c>
      <c r="N20" s="76" t="s">
        <v>139</v>
      </c>
      <c r="O20" s="76" t="s">
        <v>141</v>
      </c>
      <c r="Q20" s="49"/>
    </row>
    <row r="21" spans="1:17" ht="13.15" x14ac:dyDescent="0.4">
      <c r="A21" s="143">
        <f>A20/A19*A16</f>
        <v>4999.5673523102923</v>
      </c>
      <c r="B21" s="76" t="s">
        <v>142</v>
      </c>
      <c r="C21" s="76" t="s">
        <v>143</v>
      </c>
      <c r="D21" s="140"/>
      <c r="F21" s="82">
        <f>F20/F19*F16</f>
        <v>3188.9775803379202</v>
      </c>
      <c r="G21" s="76" t="s">
        <v>142</v>
      </c>
      <c r="H21" s="76" t="s">
        <v>143</v>
      </c>
      <c r="J21" s="49"/>
      <c r="M21" s="81">
        <f>M20/M19*M16</f>
        <v>2083.4227842055566</v>
      </c>
      <c r="N21" s="76" t="s">
        <v>142</v>
      </c>
      <c r="O21" s="76" t="s">
        <v>143</v>
      </c>
      <c r="Q21" s="49"/>
    </row>
    <row r="22" spans="1:17" x14ac:dyDescent="0.35">
      <c r="A22" s="83">
        <f>A20*A15</f>
        <v>1013912.2590485275</v>
      </c>
      <c r="C22" t="s">
        <v>144</v>
      </c>
      <c r="D22" s="12"/>
      <c r="F22" s="83">
        <f>F20*F15</f>
        <v>637795.51606758405</v>
      </c>
      <c r="H22" t="s">
        <v>144</v>
      </c>
      <c r="J22" s="49"/>
      <c r="M22" s="83">
        <f>M20*M15</f>
        <v>416684.55684111128</v>
      </c>
      <c r="O22" t="s">
        <v>144</v>
      </c>
      <c r="Q22" s="49"/>
    </row>
    <row r="23" spans="1:17" x14ac:dyDescent="0.35">
      <c r="A23" s="83">
        <f>A21/A16*A18*1000</f>
        <v>202.78245180970546</v>
      </c>
      <c r="B23" t="s">
        <v>7</v>
      </c>
      <c r="C23" t="s">
        <v>145</v>
      </c>
      <c r="D23" s="12"/>
      <c r="F23" s="83">
        <f>F21/F16*F18*1000</f>
        <v>212.59850535586136</v>
      </c>
      <c r="G23" t="s">
        <v>7</v>
      </c>
      <c r="H23" t="s">
        <v>145</v>
      </c>
      <c r="J23" s="49"/>
      <c r="M23" s="83">
        <f>M21/M16*M18*1000</f>
        <v>208.34227842055566</v>
      </c>
      <c r="N23" t="s">
        <v>7</v>
      </c>
      <c r="O23" t="s">
        <v>145</v>
      </c>
      <c r="Q23" s="49"/>
    </row>
    <row r="24" spans="1:17" x14ac:dyDescent="0.35">
      <c r="A24" s="83">
        <f>A23-A18*1000</f>
        <v>-1.7548190294547794E-2</v>
      </c>
      <c r="B24" t="s">
        <v>7</v>
      </c>
      <c r="C24" t="s">
        <v>146</v>
      </c>
      <c r="D24" s="12"/>
      <c r="F24" s="83">
        <f>F23-F18*1000</f>
        <v>12.598505355861363</v>
      </c>
      <c r="G24" t="s">
        <v>7</v>
      </c>
      <c r="H24" t="s">
        <v>146</v>
      </c>
      <c r="J24" s="49"/>
      <c r="M24" s="83">
        <f>M23-M18*1000</f>
        <v>8.3422784205556582</v>
      </c>
      <c r="N24" t="s">
        <v>7</v>
      </c>
      <c r="O24" t="s">
        <v>146</v>
      </c>
      <c r="Q24" s="49"/>
    </row>
    <row r="25" spans="1:17" ht="13.15" x14ac:dyDescent="0.4">
      <c r="A25" s="84">
        <f>A22/(A23)</f>
        <v>5000.0000000000009</v>
      </c>
      <c r="C25" t="s">
        <v>33</v>
      </c>
      <c r="D25" s="12"/>
      <c r="F25" s="84">
        <f>F22/(F23)</f>
        <v>3000</v>
      </c>
      <c r="H25" t="s">
        <v>33</v>
      </c>
      <c r="J25" s="49"/>
      <c r="M25" s="48">
        <f>M22/(M23)</f>
        <v>1999.9999999999998</v>
      </c>
      <c r="O25" t="s">
        <v>33</v>
      </c>
      <c r="Q25" s="49"/>
    </row>
    <row r="26" spans="1:17" x14ac:dyDescent="0.35">
      <c r="A26" s="15"/>
      <c r="D26" s="12"/>
      <c r="F26" s="48"/>
      <c r="J26" s="49"/>
      <c r="M26" s="48"/>
      <c r="Q26" s="49"/>
    </row>
    <row r="27" spans="1:17" x14ac:dyDescent="0.35">
      <c r="A27" s="15" t="s">
        <v>147</v>
      </c>
      <c r="D27" s="12"/>
      <c r="F27" s="48" t="s">
        <v>147</v>
      </c>
      <c r="J27" s="49"/>
      <c r="M27" s="48" t="s">
        <v>147</v>
      </c>
      <c r="Q27" s="49"/>
    </row>
    <row r="28" spans="1:17" x14ac:dyDescent="0.35">
      <c r="A28" s="15">
        <v>100</v>
      </c>
      <c r="B28" t="s">
        <v>7</v>
      </c>
      <c r="C28" t="s">
        <v>148</v>
      </c>
      <c r="D28" s="12"/>
      <c r="F28" s="48">
        <v>100</v>
      </c>
      <c r="G28" t="s">
        <v>7</v>
      </c>
      <c r="H28" t="s">
        <v>148</v>
      </c>
      <c r="J28" s="49"/>
      <c r="M28" s="48">
        <v>100</v>
      </c>
      <c r="N28" t="s">
        <v>7</v>
      </c>
      <c r="O28" t="s">
        <v>148</v>
      </c>
      <c r="Q28" s="49"/>
    </row>
    <row r="29" spans="1:17" x14ac:dyDescent="0.35">
      <c r="A29" s="15">
        <v>300</v>
      </c>
      <c r="B29" t="s">
        <v>120</v>
      </c>
      <c r="C29" t="s">
        <v>149</v>
      </c>
      <c r="D29" s="12"/>
      <c r="F29" s="48">
        <v>300</v>
      </c>
      <c r="G29" t="s">
        <v>120</v>
      </c>
      <c r="H29" t="s">
        <v>150</v>
      </c>
      <c r="J29" s="49"/>
      <c r="M29" s="48">
        <v>300</v>
      </c>
      <c r="N29" t="s">
        <v>120</v>
      </c>
      <c r="O29" t="s">
        <v>150</v>
      </c>
      <c r="Q29" s="49"/>
    </row>
    <row r="30" spans="1:17" x14ac:dyDescent="0.35">
      <c r="A30" s="15">
        <f>A28*A29</f>
        <v>30000</v>
      </c>
      <c r="B30" t="s">
        <v>151</v>
      </c>
      <c r="C30" t="s">
        <v>152</v>
      </c>
      <c r="D30" s="12"/>
      <c r="F30" s="48">
        <f>F28*F29</f>
        <v>30000</v>
      </c>
      <c r="G30" t="s">
        <v>151</v>
      </c>
      <c r="H30" t="s">
        <v>152</v>
      </c>
      <c r="J30" s="49"/>
      <c r="M30" s="48">
        <f>M28*M29</f>
        <v>30000</v>
      </c>
      <c r="N30" t="s">
        <v>151</v>
      </c>
      <c r="O30" t="s">
        <v>152</v>
      </c>
      <c r="Q30" s="49"/>
    </row>
    <row r="31" spans="1:17" x14ac:dyDescent="0.35">
      <c r="A31" s="144">
        <f>A30/A21</f>
        <v>6.0005192221557024</v>
      </c>
      <c r="B31" t="s">
        <v>7</v>
      </c>
      <c r="C31" t="s">
        <v>153</v>
      </c>
      <c r="D31" s="12"/>
      <c r="F31" s="83">
        <f>F30/F25</f>
        <v>10</v>
      </c>
      <c r="G31" t="s">
        <v>7</v>
      </c>
      <c r="H31" t="s">
        <v>153</v>
      </c>
      <c r="J31" s="49"/>
      <c r="M31" s="83">
        <f>M30/M25</f>
        <v>15.000000000000002</v>
      </c>
      <c r="N31" t="s">
        <v>7</v>
      </c>
      <c r="O31" t="s">
        <v>153</v>
      </c>
      <c r="Q31" s="49"/>
    </row>
    <row r="32" spans="1:17" x14ac:dyDescent="0.35">
      <c r="A32" s="144">
        <f>A28-A31</f>
        <v>93.999480777844298</v>
      </c>
      <c r="B32" t="s">
        <v>7</v>
      </c>
      <c r="C32" t="s">
        <v>154</v>
      </c>
      <c r="D32" s="12"/>
      <c r="F32" s="83">
        <f>F28-F31</f>
        <v>90</v>
      </c>
      <c r="G32" t="s">
        <v>7</v>
      </c>
      <c r="H32" t="s">
        <v>154</v>
      </c>
      <c r="J32" s="49"/>
      <c r="M32" s="83">
        <f>M28-M31</f>
        <v>85</v>
      </c>
      <c r="N32" t="s">
        <v>7</v>
      </c>
      <c r="O32" t="s">
        <v>154</v>
      </c>
      <c r="Q32" s="49"/>
    </row>
    <row r="33" spans="1:17" x14ac:dyDescent="0.35">
      <c r="A33" s="15"/>
      <c r="D33" s="12"/>
      <c r="F33" s="48"/>
      <c r="J33" s="49"/>
      <c r="M33" s="48"/>
      <c r="Q33" s="49"/>
    </row>
    <row r="34" spans="1:17" ht="13.15" thickBot="1" x14ac:dyDescent="0.4">
      <c r="A34" s="25"/>
      <c r="B34" s="145"/>
      <c r="C34" s="145"/>
      <c r="D34" s="27"/>
      <c r="F34" s="50"/>
      <c r="G34" s="51"/>
      <c r="H34" s="51"/>
      <c r="I34" s="51"/>
      <c r="J34" s="52"/>
      <c r="M34" s="50"/>
      <c r="N34" s="51"/>
      <c r="O34" s="51"/>
      <c r="P34" s="51"/>
      <c r="Q34" s="52"/>
    </row>
    <row r="37" spans="1:17" ht="13.15" x14ac:dyDescent="0.4">
      <c r="A37" s="30" t="s">
        <v>155</v>
      </c>
    </row>
    <row r="39" spans="1:17" x14ac:dyDescent="0.35">
      <c r="F39" s="33"/>
    </row>
    <row r="40" spans="1:17" ht="13.15" x14ac:dyDescent="0.4">
      <c r="A40" t="s">
        <v>156</v>
      </c>
      <c r="C40" s="30">
        <f>A12</f>
        <v>49.4</v>
      </c>
      <c r="D40" t="s">
        <v>157</v>
      </c>
      <c r="G40" s="30">
        <f>F12</f>
        <v>39</v>
      </c>
      <c r="H40" t="s">
        <v>157</v>
      </c>
      <c r="N40" s="30">
        <v>70</v>
      </c>
    </row>
    <row r="42" spans="1:17" ht="13.15" x14ac:dyDescent="0.4">
      <c r="A42" t="s">
        <v>158</v>
      </c>
      <c r="B42" s="147">
        <f>0.56*C42</f>
        <v>8736</v>
      </c>
      <c r="C42" s="117">
        <v>15600</v>
      </c>
      <c r="D42" s="147">
        <f>1.56*C42</f>
        <v>24336</v>
      </c>
      <c r="F42" s="147">
        <f>0.56*G42</f>
        <v>5600.0000000000009</v>
      </c>
      <c r="G42" s="117">
        <v>10000</v>
      </c>
      <c r="H42" s="147">
        <f>1.56*G42</f>
        <v>15600</v>
      </c>
      <c r="M42" s="147">
        <f>0.56*N42</f>
        <v>14000.000000000002</v>
      </c>
      <c r="N42" s="117">
        <v>25000</v>
      </c>
      <c r="O42" s="147">
        <f>1.56*N42</f>
        <v>39000</v>
      </c>
    </row>
    <row r="43" spans="1:17" x14ac:dyDescent="0.35">
      <c r="B43" s="50"/>
      <c r="C43" s="51"/>
      <c r="D43" s="52"/>
      <c r="F43" s="50"/>
      <c r="G43" s="51"/>
      <c r="H43" s="52"/>
      <c r="M43" s="50"/>
      <c r="N43" s="51"/>
      <c r="O43" s="52"/>
    </row>
    <row r="44" spans="1:17" x14ac:dyDescent="0.35">
      <c r="A44" t="s">
        <v>159</v>
      </c>
      <c r="B44" s="85">
        <v>13047</v>
      </c>
      <c r="C44" s="85">
        <v>13354</v>
      </c>
      <c r="D44" s="85"/>
      <c r="F44" s="85">
        <v>10000</v>
      </c>
      <c r="G44" s="85">
        <v>10000</v>
      </c>
      <c r="H44" s="85"/>
      <c r="M44" s="85">
        <v>10000</v>
      </c>
      <c r="N44" s="85">
        <v>10000</v>
      </c>
      <c r="O44" s="85"/>
    </row>
    <row r="46" spans="1:17" ht="13.9" x14ac:dyDescent="0.4">
      <c r="A46" t="s">
        <v>160</v>
      </c>
      <c r="B46" s="146">
        <f>(1-B44/C44)</f>
        <v>2.2989366481952933E-2</v>
      </c>
      <c r="F46" s="146">
        <f>(1-F44/G44)</f>
        <v>0</v>
      </c>
      <c r="M46" s="146">
        <f>(1-M44/N44)</f>
        <v>0</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sqref="A1:B1"/>
    </sheetView>
  </sheetViews>
  <sheetFormatPr defaultColWidth="11.53125" defaultRowHeight="12.75" x14ac:dyDescent="0.35"/>
  <sheetData>
    <row r="1" spans="1:4" ht="14.25" x14ac:dyDescent="0.45">
      <c r="A1" s="151" t="s">
        <v>161</v>
      </c>
      <c r="B1" s="152"/>
      <c r="C1" s="151" t="s">
        <v>162</v>
      </c>
      <c r="D1" s="152"/>
    </row>
    <row r="2" spans="1:4" ht="92.85" customHeight="1" x14ac:dyDescent="0.45">
      <c r="A2" s="153" t="s">
        <v>163</v>
      </c>
      <c r="B2" s="154"/>
      <c r="C2" s="153" t="s">
        <v>164</v>
      </c>
      <c r="D2" s="154"/>
    </row>
    <row r="3" spans="1:4" ht="57" x14ac:dyDescent="0.45">
      <c r="A3" s="95" t="s">
        <v>165</v>
      </c>
      <c r="B3" s="96" t="s">
        <v>166</v>
      </c>
      <c r="C3" s="95" t="s">
        <v>115</v>
      </c>
      <c r="D3" s="97" t="s">
        <v>117</v>
      </c>
    </row>
    <row r="4" spans="1:4" ht="14.25" x14ac:dyDescent="0.45">
      <c r="A4" s="98" t="s">
        <v>121</v>
      </c>
      <c r="B4" s="97" t="s">
        <v>167</v>
      </c>
      <c r="C4" s="98" t="s">
        <v>121</v>
      </c>
      <c r="D4" s="97" t="s">
        <v>167</v>
      </c>
    </row>
    <row r="5" spans="1:4" x14ac:dyDescent="0.35">
      <c r="A5" s="104">
        <v>4</v>
      </c>
      <c r="B5" s="99">
        <f>'6 - Thresholds'!$M4</f>
        <v>183.18284739105366</v>
      </c>
      <c r="C5" s="100">
        <v>4</v>
      </c>
      <c r="D5" s="105">
        <f>CubicSpline(C5,$A$5:$A$34,$B$5:$B$34)</f>
        <v>183.18284739105366</v>
      </c>
    </row>
    <row r="6" spans="1:4" x14ac:dyDescent="0.35">
      <c r="A6" s="106">
        <v>5</v>
      </c>
      <c r="B6" s="94">
        <f>'6 - Thresholds'!$M5</f>
        <v>300.3900692626413</v>
      </c>
      <c r="C6" s="90">
        <v>5</v>
      </c>
      <c r="D6" s="107">
        <f t="shared" ref="D6:D30" si="0">CubicSpline(C6,$A$5:$A$34,$B$5:$B$34)</f>
        <v>300.3900692626413</v>
      </c>
    </row>
    <row r="7" spans="1:4" x14ac:dyDescent="0.35">
      <c r="A7" s="106">
        <v>6</v>
      </c>
      <c r="B7" s="94">
        <f>'6 - Thresholds'!$M6</f>
        <v>454.78503914749967</v>
      </c>
      <c r="C7" s="101">
        <v>6</v>
      </c>
      <c r="D7" s="107">
        <f t="shared" si="0"/>
        <v>454.78503914749967</v>
      </c>
    </row>
    <row r="8" spans="1:4" x14ac:dyDescent="0.35">
      <c r="A8" s="106">
        <v>7</v>
      </c>
      <c r="B8" s="94">
        <f>'6 - Thresholds'!$M7</f>
        <v>621.61355680723011</v>
      </c>
      <c r="C8" s="90">
        <v>7</v>
      </c>
      <c r="D8" s="107">
        <f t="shared" si="0"/>
        <v>621.61355680723022</v>
      </c>
    </row>
    <row r="9" spans="1:4" x14ac:dyDescent="0.35">
      <c r="A9" s="106">
        <v>8</v>
      </c>
      <c r="B9" s="94">
        <f>'6 - Thresholds'!$M8</f>
        <v>828.3795433267162</v>
      </c>
      <c r="C9" s="90">
        <v>8</v>
      </c>
      <c r="D9" s="107">
        <f t="shared" si="0"/>
        <v>828.37954332671643</v>
      </c>
    </row>
    <row r="10" spans="1:4" x14ac:dyDescent="0.35">
      <c r="A10" s="106">
        <v>9</v>
      </c>
      <c r="B10" s="94">
        <f>'6 - Thresholds'!$M9</f>
        <v>1062.7881919825702</v>
      </c>
      <c r="C10" s="90">
        <v>9</v>
      </c>
      <c r="D10" s="107">
        <f t="shared" si="0"/>
        <v>1062.78819198257</v>
      </c>
    </row>
    <row r="11" spans="1:4" x14ac:dyDescent="0.35">
      <c r="A11" s="106">
        <v>10</v>
      </c>
      <c r="B11" s="94">
        <f>'6 - Thresholds'!$M10</f>
        <v>1309.2045779490284</v>
      </c>
      <c r="C11" s="90">
        <v>10</v>
      </c>
      <c r="D11" s="107">
        <f t="shared" si="0"/>
        <v>1309.2045779490281</v>
      </c>
    </row>
    <row r="12" spans="1:4" x14ac:dyDescent="0.35">
      <c r="A12" s="106">
        <v>11</v>
      </c>
      <c r="B12" s="94">
        <f>'6 - Thresholds'!$M11</f>
        <v>1587.2572540818981</v>
      </c>
      <c r="C12" s="90">
        <v>11</v>
      </c>
      <c r="D12" s="107">
        <f t="shared" si="0"/>
        <v>1587.2572540818976</v>
      </c>
    </row>
    <row r="13" spans="1:4" x14ac:dyDescent="0.35">
      <c r="A13" s="106">
        <v>12</v>
      </c>
      <c r="B13" s="94">
        <f>'6 - Thresholds'!$M12</f>
        <v>1887.8616393043033</v>
      </c>
      <c r="C13" s="90">
        <v>12</v>
      </c>
      <c r="D13" s="107">
        <f t="shared" si="0"/>
        <v>1887.861639304303</v>
      </c>
    </row>
    <row r="14" spans="1:4" x14ac:dyDescent="0.35">
      <c r="A14" s="106">
        <v>13</v>
      </c>
      <c r="B14" s="94">
        <f>'6 - Thresholds'!$M13</f>
        <v>2201.3984240344853</v>
      </c>
      <c r="C14" s="90">
        <v>13</v>
      </c>
      <c r="D14" s="107">
        <f t="shared" si="0"/>
        <v>2201.3984240344862</v>
      </c>
    </row>
    <row r="15" spans="1:4" x14ac:dyDescent="0.35">
      <c r="A15" s="106">
        <v>14</v>
      </c>
      <c r="B15" s="94">
        <f>'6 - Thresholds'!$M14</f>
        <v>2511.9941464035228</v>
      </c>
      <c r="C15" s="101">
        <v>14</v>
      </c>
      <c r="D15" s="107">
        <f t="shared" si="0"/>
        <v>2511.9941464035237</v>
      </c>
    </row>
    <row r="16" spans="1:4" x14ac:dyDescent="0.35">
      <c r="A16" s="106">
        <v>15</v>
      </c>
      <c r="B16" s="94">
        <f>'6 - Thresholds'!$M15</f>
        <v>2837.9587198394238</v>
      </c>
      <c r="C16" s="90">
        <v>15</v>
      </c>
      <c r="D16" s="107">
        <f t="shared" si="0"/>
        <v>2837.9587198394233</v>
      </c>
    </row>
    <row r="17" spans="1:36" x14ac:dyDescent="0.35">
      <c r="A17" s="106">
        <v>16</v>
      </c>
      <c r="B17" s="94">
        <f>'6 - Thresholds'!$M16</f>
        <v>3163.6160321266739</v>
      </c>
      <c r="C17" s="90">
        <v>16</v>
      </c>
      <c r="D17" s="107">
        <f t="shared" si="0"/>
        <v>3163.6160321266743</v>
      </c>
    </row>
    <row r="18" spans="1:36" x14ac:dyDescent="0.35">
      <c r="A18" s="106">
        <v>17</v>
      </c>
      <c r="B18" s="94">
        <f>'6 - Thresholds'!$M17</f>
        <v>3485.4393431279459</v>
      </c>
      <c r="C18" s="90">
        <v>17</v>
      </c>
      <c r="D18" s="107">
        <f t="shared" si="0"/>
        <v>3485.439343127945</v>
      </c>
    </row>
    <row r="19" spans="1:36" x14ac:dyDescent="0.35">
      <c r="A19" s="106">
        <v>18</v>
      </c>
      <c r="B19" s="94">
        <f>'6 - Thresholds'!$M18</f>
        <v>3814.1558418446971</v>
      </c>
      <c r="C19" s="90">
        <v>18</v>
      </c>
      <c r="D19" s="107">
        <f t="shared" si="0"/>
        <v>3814.1558418446975</v>
      </c>
    </row>
    <row r="20" spans="1:36" x14ac:dyDescent="0.35">
      <c r="A20" s="106">
        <v>19</v>
      </c>
      <c r="B20" s="94">
        <f>'6 - Thresholds'!$M19</f>
        <v>4166.8583134430874</v>
      </c>
      <c r="C20" s="90">
        <v>19</v>
      </c>
      <c r="D20" s="107">
        <f t="shared" si="0"/>
        <v>4166.8583134430855</v>
      </c>
      <c r="G20" s="94">
        <f>'6 - Curve'!$D$5</f>
        <v>183.18284739105366</v>
      </c>
      <c r="H20" s="94">
        <f>'6 - Curve'!$D$6</f>
        <v>300.3900692626413</v>
      </c>
      <c r="I20" s="94">
        <f>'6 - Curve'!$D$7</f>
        <v>454.78503914749967</v>
      </c>
      <c r="J20" s="94">
        <f>'6 - Curve'!$D$8</f>
        <v>621.61355680723022</v>
      </c>
      <c r="K20" s="94">
        <f>'6 - Curve'!$D$9</f>
        <v>828.37954332671643</v>
      </c>
      <c r="L20" s="94">
        <f>'6 - Curve'!$D$10</f>
        <v>1062.78819198257</v>
      </c>
      <c r="M20" s="94">
        <f>'6 - Curve'!$D$11</f>
        <v>1309.2045779490281</v>
      </c>
      <c r="N20" s="94">
        <f>'6 - Curve'!$D$12</f>
        <v>1587.2572540818976</v>
      </c>
      <c r="O20" s="94">
        <f>'6 - Curve'!$D$13</f>
        <v>1887.861639304303</v>
      </c>
      <c r="P20" s="94">
        <f>'6 - Curve'!$D$14</f>
        <v>2201.3984240344862</v>
      </c>
      <c r="Q20" s="94">
        <f>'6 - Curve'!$D$15</f>
        <v>2511.9941464035237</v>
      </c>
      <c r="R20" s="94">
        <f>'6 - Curve'!$D$16</f>
        <v>2837.9587198394233</v>
      </c>
      <c r="S20" s="94">
        <f>'6 - Curve'!$D$17</f>
        <v>3163.6160321266743</v>
      </c>
      <c r="T20" s="94">
        <f>'6 - Curve'!$D$18</f>
        <v>3485.439343127945</v>
      </c>
      <c r="U20" s="94">
        <f>'6 - Curve'!$D$19</f>
        <v>3814.1558418446975</v>
      </c>
      <c r="V20" s="94">
        <f>'6 - Curve'!$D$20</f>
        <v>4166.8583134430855</v>
      </c>
      <c r="W20" s="94">
        <f>'6 - Curve'!$D$21</f>
        <v>4566.8354598946016</v>
      </c>
      <c r="X20" s="94">
        <f>'6 - Curve'!$D$22</f>
        <v>5023.8815380590731</v>
      </c>
      <c r="Y20" s="94">
        <f>'6 - Curve'!$D$23</f>
        <v>5525.8945521173209</v>
      </c>
      <c r="Z20" s="94">
        <f>'6 - Curve'!$D$24</f>
        <v>6056.3607650990562</v>
      </c>
      <c r="AA20" s="94">
        <f>'6 - Curve'!$D$25</f>
        <v>6647.0721391731713</v>
      </c>
      <c r="AB20" s="94">
        <f>'6 - Curve'!$D$26</f>
        <v>7275.8692150550178</v>
      </c>
      <c r="AC20" s="94">
        <f>'6 - Curve'!$D$27</f>
        <v>7952.6221634826497</v>
      </c>
      <c r="AD20" s="94">
        <f>'6 - Curve'!$D$28</f>
        <v>8648.2894367881636</v>
      </c>
      <c r="AE20" s="94">
        <f>'6 - Curve'!$D$29</f>
        <v>9382.3649228581198</v>
      </c>
      <c r="AF20" s="94">
        <f>'6 - Curve'!$D$30</f>
        <v>10085.647840748228</v>
      </c>
      <c r="AG20" s="94">
        <f>'6 - Curve'!$D$31</f>
        <v>10888.784949944562</v>
      </c>
      <c r="AH20" s="115">
        <f>'6 - Curve'!$D$32</f>
        <v>10030.479593619546</v>
      </c>
      <c r="AI20" s="115">
        <f>'6 - Curve'!$D$33</f>
        <v>15895.418171796442</v>
      </c>
      <c r="AJ20" s="115">
        <f>'6 - Curve'!$D$34</f>
        <v>24999.999999999996</v>
      </c>
    </row>
    <row r="21" spans="1:36" ht="13.15" thickBot="1" x14ac:dyDescent="0.4">
      <c r="A21" s="106">
        <v>20</v>
      </c>
      <c r="B21" s="94">
        <f>'6 - Thresholds'!$M20</f>
        <v>4566.8354598946016</v>
      </c>
      <c r="C21" s="90">
        <v>20</v>
      </c>
      <c r="D21" s="107">
        <f t="shared" si="0"/>
        <v>4566.8354598946016</v>
      </c>
    </row>
    <row r="22" spans="1:36" x14ac:dyDescent="0.35">
      <c r="A22" s="106">
        <v>21</v>
      </c>
      <c r="B22" s="94">
        <f>'6 - Thresholds'!$M21</f>
        <v>5023.8815380590686</v>
      </c>
      <c r="C22" s="101">
        <v>21</v>
      </c>
      <c r="D22" s="107">
        <f t="shared" si="0"/>
        <v>5023.8815380590731</v>
      </c>
      <c r="F22" s="11" t="s">
        <v>174</v>
      </c>
      <c r="G22" s="110">
        <v>4</v>
      </c>
      <c r="H22" s="111">
        <v>5</v>
      </c>
      <c r="I22" s="111">
        <v>6</v>
      </c>
      <c r="J22" s="111">
        <v>7</v>
      </c>
      <c r="K22" s="111">
        <v>8</v>
      </c>
      <c r="L22" s="111">
        <v>9</v>
      </c>
      <c r="M22" s="111">
        <v>10</v>
      </c>
      <c r="N22" s="111">
        <v>11</v>
      </c>
      <c r="O22" s="111">
        <v>12</v>
      </c>
      <c r="P22" s="111">
        <v>13</v>
      </c>
      <c r="Q22" s="111">
        <v>14</v>
      </c>
      <c r="R22" s="111">
        <v>15</v>
      </c>
      <c r="S22" s="111">
        <v>16</v>
      </c>
      <c r="T22" s="111">
        <v>17</v>
      </c>
      <c r="U22" s="111">
        <v>18</v>
      </c>
      <c r="V22" s="111">
        <v>19</v>
      </c>
      <c r="W22" s="111">
        <v>20</v>
      </c>
      <c r="X22" s="111">
        <v>21</v>
      </c>
      <c r="Y22" s="111">
        <v>22</v>
      </c>
      <c r="Z22" s="111">
        <v>23</v>
      </c>
      <c r="AA22" s="111">
        <v>24</v>
      </c>
      <c r="AB22" s="111">
        <v>25</v>
      </c>
      <c r="AC22" s="111">
        <v>26</v>
      </c>
      <c r="AD22" s="111">
        <v>27</v>
      </c>
      <c r="AE22" s="111">
        <v>28</v>
      </c>
      <c r="AF22" s="111">
        <v>29</v>
      </c>
      <c r="AG22" s="111">
        <v>30</v>
      </c>
      <c r="AH22" s="111">
        <v>38</v>
      </c>
      <c r="AI22" s="111">
        <v>50</v>
      </c>
      <c r="AJ22" s="5">
        <v>70</v>
      </c>
    </row>
    <row r="23" spans="1:36" ht="14.25" thickBot="1" x14ac:dyDescent="0.45">
      <c r="A23" s="106">
        <v>22</v>
      </c>
      <c r="B23" s="94">
        <f>'6 - Thresholds'!$M22</f>
        <v>5525.8945521173164</v>
      </c>
      <c r="C23" s="90">
        <v>22</v>
      </c>
      <c r="D23" s="107">
        <f t="shared" si="0"/>
        <v>5525.8945521173209</v>
      </c>
      <c r="F23" s="11" t="s">
        <v>175</v>
      </c>
      <c r="G23" s="112">
        <f t="shared" ref="G23:AJ23" si="1">INT(G20+0.5)</f>
        <v>183</v>
      </c>
      <c r="H23" s="113">
        <f t="shared" si="1"/>
        <v>300</v>
      </c>
      <c r="I23" s="113">
        <f t="shared" si="1"/>
        <v>455</v>
      </c>
      <c r="J23" s="113">
        <f t="shared" si="1"/>
        <v>622</v>
      </c>
      <c r="K23" s="113">
        <f t="shared" si="1"/>
        <v>828</v>
      </c>
      <c r="L23" s="113">
        <f t="shared" si="1"/>
        <v>1063</v>
      </c>
      <c r="M23" s="113">
        <f t="shared" si="1"/>
        <v>1309</v>
      </c>
      <c r="N23" s="113">
        <f t="shared" si="1"/>
        <v>1587</v>
      </c>
      <c r="O23" s="113">
        <f t="shared" si="1"/>
        <v>1888</v>
      </c>
      <c r="P23" s="113">
        <f t="shared" si="1"/>
        <v>2201</v>
      </c>
      <c r="Q23" s="113">
        <f t="shared" si="1"/>
        <v>2512</v>
      </c>
      <c r="R23" s="113">
        <f t="shared" si="1"/>
        <v>2838</v>
      </c>
      <c r="S23" s="113">
        <f t="shared" si="1"/>
        <v>3164</v>
      </c>
      <c r="T23" s="113">
        <f t="shared" si="1"/>
        <v>3485</v>
      </c>
      <c r="U23" s="113">
        <f t="shared" si="1"/>
        <v>3814</v>
      </c>
      <c r="V23" s="113">
        <f t="shared" si="1"/>
        <v>4167</v>
      </c>
      <c r="W23" s="113">
        <f t="shared" si="1"/>
        <v>4567</v>
      </c>
      <c r="X23" s="113">
        <f t="shared" si="1"/>
        <v>5024</v>
      </c>
      <c r="Y23" s="113">
        <f t="shared" si="1"/>
        <v>5526</v>
      </c>
      <c r="Z23" s="113">
        <f t="shared" si="1"/>
        <v>6056</v>
      </c>
      <c r="AA23" s="113">
        <f t="shared" si="1"/>
        <v>6647</v>
      </c>
      <c r="AB23" s="113">
        <f t="shared" si="1"/>
        <v>7276</v>
      </c>
      <c r="AC23" s="113">
        <f t="shared" si="1"/>
        <v>7953</v>
      </c>
      <c r="AD23" s="113">
        <f t="shared" si="1"/>
        <v>8648</v>
      </c>
      <c r="AE23" s="113">
        <f t="shared" si="1"/>
        <v>9382</v>
      </c>
      <c r="AF23" s="113">
        <f t="shared" si="1"/>
        <v>10086</v>
      </c>
      <c r="AG23" s="113">
        <f t="shared" si="1"/>
        <v>10889</v>
      </c>
      <c r="AH23" s="113">
        <f t="shared" si="1"/>
        <v>10030</v>
      </c>
      <c r="AI23" s="113">
        <f t="shared" si="1"/>
        <v>15895</v>
      </c>
      <c r="AJ23" s="114">
        <f t="shared" si="1"/>
        <v>25000</v>
      </c>
    </row>
    <row r="24" spans="1:36" x14ac:dyDescent="0.35">
      <c r="A24" s="106">
        <v>23</v>
      </c>
      <c r="B24" s="94">
        <f>'6 - Thresholds'!$M23</f>
        <v>6056.3607650990525</v>
      </c>
      <c r="C24" s="90">
        <v>23</v>
      </c>
      <c r="D24" s="107">
        <f t="shared" si="0"/>
        <v>6056.3607650990562</v>
      </c>
    </row>
    <row r="25" spans="1:36" x14ac:dyDescent="0.35">
      <c r="A25" s="106">
        <v>24</v>
      </c>
      <c r="B25" s="94">
        <f>'6 - Thresholds'!$M24</f>
        <v>6647.072139173185</v>
      </c>
      <c r="C25" s="90">
        <v>24</v>
      </c>
      <c r="D25" s="107">
        <f t="shared" si="0"/>
        <v>6647.0721391731713</v>
      </c>
    </row>
    <row r="26" spans="1:36" x14ac:dyDescent="0.35">
      <c r="A26" s="106">
        <v>25</v>
      </c>
      <c r="B26" s="94">
        <f>'6 - Thresholds'!$M25</f>
        <v>7275.8692150550169</v>
      </c>
      <c r="C26" s="101">
        <v>25</v>
      </c>
      <c r="D26" s="107">
        <f t="shared" si="0"/>
        <v>7275.8692150550178</v>
      </c>
    </row>
    <row r="27" spans="1:36" x14ac:dyDescent="0.35">
      <c r="A27" s="106">
        <v>26</v>
      </c>
      <c r="B27" s="94">
        <f>'6 - Thresholds'!$M26</f>
        <v>7952.6221634826607</v>
      </c>
      <c r="C27" s="90">
        <v>26</v>
      </c>
      <c r="D27" s="107">
        <f t="shared" si="0"/>
        <v>7952.6221634826497</v>
      </c>
      <c r="F27" s="86">
        <v>10</v>
      </c>
      <c r="G27">
        <f>CubicSpline(F27, $A$5:$A$107, $B$5:$B$107)</f>
        <v>1309.2045779490281</v>
      </c>
    </row>
    <row r="28" spans="1:36" x14ac:dyDescent="0.35">
      <c r="A28" s="106">
        <v>27</v>
      </c>
      <c r="B28" s="94">
        <f>'6 - Thresholds'!$M27</f>
        <v>8648.2894367881618</v>
      </c>
      <c r="C28" s="90">
        <v>27</v>
      </c>
      <c r="D28" s="107">
        <f t="shared" si="0"/>
        <v>8648.2894367881636</v>
      </c>
      <c r="F28" s="86">
        <v>11</v>
      </c>
      <c r="G28">
        <f>CubicSpline(F28, $A$5:$A$107, $B$5:$B$107)</f>
        <v>1587.2572540818976</v>
      </c>
    </row>
    <row r="29" spans="1:36" x14ac:dyDescent="0.35">
      <c r="A29" s="106">
        <v>28</v>
      </c>
      <c r="B29" s="94">
        <f>'6 - Thresholds'!$M28</f>
        <v>9382.3649228581125</v>
      </c>
      <c r="C29" s="90">
        <v>28</v>
      </c>
      <c r="D29" s="107">
        <f t="shared" si="0"/>
        <v>9382.3649228581198</v>
      </c>
      <c r="F29">
        <v>9</v>
      </c>
      <c r="G29">
        <f>CubicSpline(F29, $A$5:$A$107, $B$5:$B$107)</f>
        <v>1062.78819198257</v>
      </c>
    </row>
    <row r="30" spans="1:36" x14ac:dyDescent="0.35">
      <c r="A30" s="106">
        <v>29</v>
      </c>
      <c r="B30" s="94">
        <f>'6 - Thresholds'!$M29</f>
        <v>10085.647840748252</v>
      </c>
      <c r="C30" s="90">
        <v>29</v>
      </c>
      <c r="D30" s="107">
        <f t="shared" si="0"/>
        <v>10085.647840748228</v>
      </c>
    </row>
    <row r="31" spans="1:36" x14ac:dyDescent="0.35">
      <c r="A31" s="106">
        <v>30</v>
      </c>
      <c r="B31" s="94">
        <f>'6 - Thresholds'!$M30</f>
        <v>10888.784949945904</v>
      </c>
      <c r="C31" s="90">
        <v>30</v>
      </c>
      <c r="D31" s="107">
        <f>CubicSpline(C31,$A$5:$A$34,$B$5:$B$34)</f>
        <v>10888.784949944562</v>
      </c>
    </row>
    <row r="32" spans="1:36" x14ac:dyDescent="0.35">
      <c r="A32" s="106">
        <f>'6 - Spheres'!$G$40</f>
        <v>39</v>
      </c>
      <c r="B32" s="90">
        <f>'6 - Spheres'!$G$42</f>
        <v>10000</v>
      </c>
      <c r="C32" s="101">
        <v>38</v>
      </c>
      <c r="D32" s="107">
        <f t="shared" ref="D32:D34" si="2">CubicSpline(C32,$A$5:$A$34,$B$5:$B$34)</f>
        <v>10030.479593619546</v>
      </c>
    </row>
    <row r="33" spans="1:4" x14ac:dyDescent="0.35">
      <c r="A33" s="106">
        <f>'6 - Spheres'!$C$40</f>
        <v>49.4</v>
      </c>
      <c r="B33" s="90">
        <f>'6 - Spheres'!$C$42</f>
        <v>15600</v>
      </c>
      <c r="C33" s="101">
        <v>50</v>
      </c>
      <c r="D33" s="107">
        <f t="shared" si="2"/>
        <v>15895.418171796442</v>
      </c>
    </row>
    <row r="34" spans="1:4" x14ac:dyDescent="0.35">
      <c r="A34" s="108">
        <f>'6 - Spheres'!$N$40</f>
        <v>70</v>
      </c>
      <c r="B34" s="102">
        <f>'6 - Spheres'!$N$42</f>
        <v>25000</v>
      </c>
      <c r="C34" s="103">
        <v>70</v>
      </c>
      <c r="D34" s="109">
        <f t="shared" si="2"/>
        <v>24999.999999999996</v>
      </c>
    </row>
    <row r="36" spans="1:4" ht="40.15" x14ac:dyDescent="0.35">
      <c r="A36" s="87" t="s">
        <v>168</v>
      </c>
    </row>
    <row r="39" spans="1:4" ht="13.15" x14ac:dyDescent="0.4">
      <c r="A39" t="s">
        <v>169</v>
      </c>
    </row>
    <row r="40" spans="1:4" ht="13.15" x14ac:dyDescent="0.4">
      <c r="A40" t="s">
        <v>170</v>
      </c>
    </row>
    <row r="41" spans="1:4" x14ac:dyDescent="0.35">
      <c r="A41" t="s">
        <v>171</v>
      </c>
    </row>
    <row r="42" spans="1:4" x14ac:dyDescent="0.35">
      <c r="A42" t="s">
        <v>172</v>
      </c>
    </row>
    <row r="44" spans="1:4" x14ac:dyDescent="0.35">
      <c r="A44" t="s">
        <v>173</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2025-12-23T11:34:57Z</dcterms:modified>
</cp:coreProperties>
</file>