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11171-00001\"/>
    </mc:Choice>
  </mc:AlternateContent>
  <xr:revisionPtr revIDLastSave="0" documentId="13_ncr:1_{87C3C3D3-2479-478B-B3CE-A48FED55A5FD}" xr6:coauthVersionLast="47" xr6:coauthVersionMax="47" xr10:uidLastSave="{00000000-0000-0000-0000-000000000000}"/>
  <bookViews>
    <workbookView xWindow="-98" yWindow="-98" windowWidth="28996" windowHeight="17745" activeTab="1"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8" i="4" l="1"/>
  <c r="D38" i="4"/>
  <c r="C38" i="4"/>
  <c r="B38" i="4"/>
  <c r="E37" i="4"/>
  <c r="D37" i="4"/>
  <c r="C37" i="4"/>
  <c r="B37" i="4"/>
  <c r="E36" i="4"/>
  <c r="D36" i="4"/>
  <c r="C36" i="4"/>
  <c r="B36" i="4"/>
  <c r="E35" i="4"/>
  <c r="D35" i="4"/>
  <c r="C35" i="4"/>
  <c r="B35"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F38" i="3"/>
  <c r="E38" i="3"/>
  <c r="D38" i="3"/>
  <c r="C38" i="3"/>
  <c r="B38" i="3"/>
  <c r="F37" i="3"/>
  <c r="E37" i="3"/>
  <c r="D37" i="3"/>
  <c r="C37" i="3"/>
  <c r="B37" i="3"/>
  <c r="F36" i="3"/>
  <c r="E36" i="3"/>
  <c r="D36" i="3"/>
  <c r="C36" i="3"/>
  <c r="B36" i="3"/>
  <c r="F35" i="3"/>
  <c r="E35" i="3"/>
  <c r="D35" i="3"/>
  <c r="C35" i="3"/>
  <c r="B35" i="3"/>
  <c r="F34" i="3"/>
  <c r="E34" i="3"/>
  <c r="D34" i="3"/>
  <c r="C34" i="3"/>
  <c r="B34" i="3"/>
  <c r="F33" i="3"/>
  <c r="E33" i="3"/>
  <c r="D33" i="3"/>
  <c r="C33" i="3"/>
  <c r="B33" i="3"/>
  <c r="F32" i="3"/>
  <c r="E32" i="3"/>
  <c r="D32" i="3"/>
  <c r="C32" i="3"/>
  <c r="B32" i="3"/>
  <c r="F31" i="3"/>
  <c r="E31" i="3"/>
  <c r="D31" i="3"/>
  <c r="C31" i="3"/>
  <c r="B31" i="3"/>
  <c r="F30" i="3"/>
  <c r="E30" i="3"/>
  <c r="D30" i="3"/>
  <c r="C30" i="3"/>
  <c r="B30" i="3"/>
  <c r="F29" i="3"/>
  <c r="E29" i="3"/>
  <c r="D29" i="3"/>
  <c r="C29" i="3"/>
  <c r="B29" i="3"/>
  <c r="F28" i="3"/>
  <c r="E28" i="3"/>
  <c r="D28" i="3"/>
  <c r="C28" i="3"/>
  <c r="B28" i="3"/>
  <c r="F27" i="3"/>
  <c r="E27" i="3"/>
  <c r="D27" i="3"/>
  <c r="C27" i="3"/>
  <c r="B27" i="3"/>
  <c r="F26" i="3"/>
  <c r="E26" i="3"/>
  <c r="D26" i="3"/>
  <c r="C26" i="3"/>
  <c r="B26" i="3"/>
  <c r="F25" i="3"/>
  <c r="E25" i="3"/>
  <c r="D25" i="3"/>
  <c r="C25" i="3"/>
  <c r="B25" i="3"/>
  <c r="F24" i="3"/>
  <c r="E24" i="3"/>
  <c r="D24" i="3"/>
  <c r="C24" i="3"/>
  <c r="B24" i="3"/>
  <c r="F23" i="3"/>
  <c r="E23" i="3"/>
  <c r="D23" i="3"/>
  <c r="C23" i="3"/>
  <c r="B23" i="3"/>
  <c r="F22" i="3"/>
  <c r="E22" i="3"/>
  <c r="D22" i="3"/>
  <c r="C22" i="3"/>
  <c r="B22" i="3"/>
  <c r="F21" i="3"/>
  <c r="E21" i="3"/>
  <c r="D21" i="3"/>
  <c r="C21" i="3"/>
  <c r="B21" i="3"/>
  <c r="F20" i="3"/>
  <c r="E20" i="3"/>
  <c r="D20" i="3"/>
  <c r="C20" i="3"/>
  <c r="B20" i="3"/>
  <c r="F19" i="3"/>
  <c r="E19" i="3"/>
  <c r="D19" i="3"/>
  <c r="C19" i="3"/>
  <c r="B19" i="3"/>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C13" i="3"/>
  <c r="B13" i="3"/>
  <c r="F12" i="3"/>
  <c r="E12" i="3"/>
  <c r="D12" i="3"/>
  <c r="C12" i="3"/>
  <c r="B12" i="3"/>
  <c r="F11" i="3"/>
  <c r="E11" i="3"/>
  <c r="D11" i="3"/>
  <c r="C11" i="3"/>
  <c r="B11" i="3"/>
  <c r="F10" i="3"/>
  <c r="E10" i="3"/>
  <c r="D10" i="3"/>
  <c r="C10" i="3"/>
  <c r="B10" i="3"/>
  <c r="F9" i="3"/>
  <c r="E9" i="3"/>
  <c r="D9" i="3"/>
  <c r="C9" i="3"/>
  <c r="B9" i="3"/>
  <c r="F8" i="3"/>
  <c r="E8" i="3"/>
  <c r="D8" i="3"/>
  <c r="C8" i="3"/>
  <c r="B8" i="4"/>
  <c r="E38" i="2"/>
  <c r="D38" i="2"/>
  <c r="C38" i="2"/>
  <c r="B38" i="2"/>
  <c r="E37" i="2"/>
  <c r="D37" i="2"/>
  <c r="C37" i="2"/>
  <c r="B37" i="2"/>
  <c r="E36" i="2"/>
  <c r="D36" i="2"/>
  <c r="C36" i="2"/>
  <c r="I36" i="2" s="1"/>
  <c r="B36" i="2"/>
  <c r="G35" i="2"/>
  <c r="E35" i="2"/>
  <c r="D35" i="2"/>
  <c r="C35" i="2"/>
  <c r="B35" i="2"/>
  <c r="E34" i="2"/>
  <c r="D34" i="2"/>
  <c r="C34" i="2"/>
  <c r="B34" i="2"/>
  <c r="E33" i="2"/>
  <c r="D33" i="2"/>
  <c r="C33" i="2"/>
  <c r="B33" i="2"/>
  <c r="G33" i="2" s="1"/>
  <c r="E32" i="2"/>
  <c r="M32" i="2" s="1"/>
  <c r="D32" i="2"/>
  <c r="C32" i="2"/>
  <c r="B32" i="2"/>
  <c r="E31" i="2"/>
  <c r="D31" i="2"/>
  <c r="C31" i="2"/>
  <c r="B31" i="2"/>
  <c r="E30" i="2"/>
  <c r="D30" i="2"/>
  <c r="C30" i="2"/>
  <c r="B30" i="2"/>
  <c r="F29" i="2"/>
  <c r="E29" i="2"/>
  <c r="D29" i="2"/>
  <c r="I29" i="2" s="1"/>
  <c r="C29" i="2"/>
  <c r="B29" i="2"/>
  <c r="F28" i="2"/>
  <c r="E28" i="2"/>
  <c r="D28" i="2"/>
  <c r="C28" i="2"/>
  <c r="B28" i="2"/>
  <c r="F27" i="2"/>
  <c r="E27" i="2"/>
  <c r="D27" i="2"/>
  <c r="C27" i="2"/>
  <c r="B27" i="2"/>
  <c r="F26" i="2"/>
  <c r="E26" i="2"/>
  <c r="D26" i="2"/>
  <c r="C26" i="2"/>
  <c r="G26" i="2" s="1"/>
  <c r="B26" i="2"/>
  <c r="F25" i="2"/>
  <c r="E25" i="2"/>
  <c r="D25" i="2"/>
  <c r="C25" i="2"/>
  <c r="B25" i="2"/>
  <c r="F24" i="2"/>
  <c r="E24" i="2"/>
  <c r="D24" i="2"/>
  <c r="C24" i="2"/>
  <c r="B24" i="2"/>
  <c r="F23" i="2"/>
  <c r="E23" i="2"/>
  <c r="D23" i="2"/>
  <c r="C23" i="2"/>
  <c r="B23" i="2"/>
  <c r="F22" i="2"/>
  <c r="E22" i="2"/>
  <c r="D22" i="2"/>
  <c r="C22" i="2"/>
  <c r="B22" i="2"/>
  <c r="F21" i="2"/>
  <c r="E21" i="2"/>
  <c r="D21" i="2"/>
  <c r="C21" i="2"/>
  <c r="B21" i="2"/>
  <c r="F20" i="2"/>
  <c r="E20" i="2"/>
  <c r="D20" i="2"/>
  <c r="C20" i="2"/>
  <c r="I20" i="2" s="1"/>
  <c r="B20" i="2"/>
  <c r="F19" i="2"/>
  <c r="I19" i="2" s="1"/>
  <c r="E19" i="2"/>
  <c r="D19" i="2"/>
  <c r="C19" i="2"/>
  <c r="B19" i="2"/>
  <c r="G19" i="2" s="1"/>
  <c r="F18" i="2"/>
  <c r="E18" i="2"/>
  <c r="D18" i="2"/>
  <c r="C18" i="2"/>
  <c r="B18" i="2"/>
  <c r="F17" i="2"/>
  <c r="E17" i="2"/>
  <c r="D17" i="2"/>
  <c r="C17" i="2"/>
  <c r="B17" i="2"/>
  <c r="G17" i="2" s="1"/>
  <c r="F16" i="2"/>
  <c r="E16" i="2"/>
  <c r="G16" i="2" s="1"/>
  <c r="H16" i="2" s="1"/>
  <c r="J16" i="2" s="1"/>
  <c r="D16" i="2"/>
  <c r="C16" i="2"/>
  <c r="B16" i="2"/>
  <c r="F15" i="2"/>
  <c r="G15" i="2" s="1"/>
  <c r="E15" i="2"/>
  <c r="D15" i="2"/>
  <c r="C15" i="2"/>
  <c r="B15" i="2"/>
  <c r="F14" i="2"/>
  <c r="E14" i="2"/>
  <c r="D14" i="2"/>
  <c r="Q14" i="2" s="1"/>
  <c r="C14" i="2"/>
  <c r="B14" i="2"/>
  <c r="M14" i="2" s="1"/>
  <c r="F13" i="2"/>
  <c r="S13" i="2" s="1"/>
  <c r="E13" i="2"/>
  <c r="R13" i="2" s="1"/>
  <c r="D13" i="2"/>
  <c r="I13" i="2" s="1"/>
  <c r="C13" i="2"/>
  <c r="B13" i="2"/>
  <c r="F12" i="2"/>
  <c r="E12" i="2"/>
  <c r="G12" i="2" s="1"/>
  <c r="D12" i="2"/>
  <c r="C12" i="2"/>
  <c r="B12" i="2"/>
  <c r="F11" i="2"/>
  <c r="E11" i="2"/>
  <c r="D11" i="2"/>
  <c r="C11" i="2"/>
  <c r="B11" i="2"/>
  <c r="G11" i="2" s="1"/>
  <c r="F10" i="2"/>
  <c r="E10" i="2"/>
  <c r="D10" i="2"/>
  <c r="C10" i="2"/>
  <c r="G10" i="2" s="1"/>
  <c r="B10" i="2"/>
  <c r="F9" i="2"/>
  <c r="E9" i="2"/>
  <c r="D9" i="2"/>
  <c r="C9" i="2"/>
  <c r="B9" i="2"/>
  <c r="O9" i="2" s="1"/>
  <c r="F8" i="2"/>
  <c r="E8" i="2"/>
  <c r="D8" i="2"/>
  <c r="C8" i="2"/>
  <c r="B8" i="2"/>
  <c r="G8" i="2"/>
  <c r="G9" i="2"/>
  <c r="P9" i="2" s="1"/>
  <c r="I9" i="2"/>
  <c r="M9" i="2"/>
  <c r="M11" i="2"/>
  <c r="M12" i="2"/>
  <c r="G13" i="2"/>
  <c r="H13" i="2" s="1"/>
  <c r="J13" i="2" s="1"/>
  <c r="G14" i="2"/>
  <c r="L14" i="2" s="1"/>
  <c r="H14" i="2"/>
  <c r="J14" i="2" s="1"/>
  <c r="I14" i="2"/>
  <c r="K14" i="2"/>
  <c r="I15" i="2"/>
  <c r="M15" i="2"/>
  <c r="G18" i="2"/>
  <c r="H18" i="2" s="1"/>
  <c r="J18" i="2" s="1"/>
  <c r="I18" i="2"/>
  <c r="M18" i="2"/>
  <c r="S18" i="2"/>
  <c r="M20" i="2"/>
  <c r="G21" i="2"/>
  <c r="K21" i="2" s="1"/>
  <c r="H21" i="2"/>
  <c r="J21" i="2" s="1"/>
  <c r="I21" i="2"/>
  <c r="M21" i="2"/>
  <c r="O21" i="2"/>
  <c r="P21" i="2"/>
  <c r="Q21" i="2"/>
  <c r="R21" i="2"/>
  <c r="S21" i="2"/>
  <c r="G22" i="2"/>
  <c r="K22" i="2" s="1"/>
  <c r="I22" i="2"/>
  <c r="M22" i="2"/>
  <c r="M23" i="2"/>
  <c r="G24" i="2"/>
  <c r="K24" i="2" s="1"/>
  <c r="H24" i="2"/>
  <c r="J24" i="2" s="1"/>
  <c r="I24" i="2"/>
  <c r="M24" i="2"/>
  <c r="O24" i="2"/>
  <c r="P24" i="2"/>
  <c r="G25" i="2"/>
  <c r="L25" i="2" s="1"/>
  <c r="H25" i="2"/>
  <c r="J25" i="2" s="1"/>
  <c r="I25" i="2"/>
  <c r="K25" i="2"/>
  <c r="M25" i="2"/>
  <c r="G27" i="2"/>
  <c r="K27" i="2" s="1"/>
  <c r="I27" i="2"/>
  <c r="M27" i="2"/>
  <c r="G28" i="2"/>
  <c r="H28" i="2" s="1"/>
  <c r="J28" i="2" s="1"/>
  <c r="I28" i="2"/>
  <c r="K28" i="2"/>
  <c r="L28" i="2"/>
  <c r="M28" i="2"/>
  <c r="O28" i="2"/>
  <c r="P28" i="2"/>
  <c r="G29" i="2"/>
  <c r="H29" i="2" s="1"/>
  <c r="J29" i="2" s="1"/>
  <c r="G30" i="2"/>
  <c r="P30" i="2" s="1"/>
  <c r="I30" i="2"/>
  <c r="K30" i="2"/>
  <c r="L30" i="2"/>
  <c r="M30" i="2"/>
  <c r="O30" i="2"/>
  <c r="G31" i="2"/>
  <c r="H31" i="2" s="1"/>
  <c r="J31" i="2" s="1"/>
  <c r="I31" i="2"/>
  <c r="M31" i="2"/>
  <c r="G34" i="2"/>
  <c r="K34" i="2" s="1"/>
  <c r="I34" i="2"/>
  <c r="M34" i="2"/>
  <c r="G37" i="2"/>
  <c r="H37" i="2" s="1"/>
  <c r="J37" i="2" s="1"/>
  <c r="I37" i="2"/>
  <c r="K37" i="2"/>
  <c r="M37" i="2"/>
  <c r="O37" i="2"/>
  <c r="P37" i="2"/>
  <c r="G38" i="2"/>
  <c r="H38" i="2" s="1"/>
  <c r="J38" i="2" s="1"/>
  <c r="I38" i="2"/>
  <c r="M38" i="2"/>
  <c r="A23" i="6"/>
  <c r="A24" i="6" s="1"/>
  <c r="A22" i="6"/>
  <c r="A25" i="6" s="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P19" i="1"/>
  <c r="Q19" i="1" s="1"/>
  <c r="P20" i="1"/>
  <c r="Q20" i="1" s="1"/>
  <c r="L37" i="2" l="1"/>
  <c r="P38" i="2"/>
  <c r="O38" i="2"/>
  <c r="L38" i="2"/>
  <c r="K38" i="2"/>
  <c r="O31" i="2"/>
  <c r="H34" i="2"/>
  <c r="J34" i="2" s="1"/>
  <c r="P10" i="2"/>
  <c r="L10" i="2"/>
  <c r="O10" i="2"/>
  <c r="P35" i="2"/>
  <c r="H35" i="2"/>
  <c r="J35" i="2" s="1"/>
  <c r="L35" i="2"/>
  <c r="O35" i="2"/>
  <c r="H33" i="2"/>
  <c r="J33" i="2" s="1"/>
  <c r="L33" i="2"/>
  <c r="P33" i="2"/>
  <c r="Q11" i="2"/>
  <c r="L11" i="2"/>
  <c r="R11" i="2"/>
  <c r="S11" i="2"/>
  <c r="O11" i="2"/>
  <c r="H11" i="2"/>
  <c r="J11" i="2" s="1"/>
  <c r="K11" i="2"/>
  <c r="S10" i="2"/>
  <c r="L17" i="2"/>
  <c r="H17" i="2"/>
  <c r="J17" i="2" s="1"/>
  <c r="Q17" i="2"/>
  <c r="R17" i="2"/>
  <c r="P11" i="2"/>
  <c r="H26" i="2"/>
  <c r="J26" i="2" s="1"/>
  <c r="L26" i="2"/>
  <c r="O26" i="2"/>
  <c r="H12" i="2"/>
  <c r="J12" i="2" s="1"/>
  <c r="R12" i="2"/>
  <c r="L12" i="2"/>
  <c r="O12" i="2"/>
  <c r="P12" i="2"/>
  <c r="Q12" i="2"/>
  <c r="S12" i="2"/>
  <c r="R15" i="2"/>
  <c r="S15" i="2"/>
  <c r="O15" i="2"/>
  <c r="Q15" i="2"/>
  <c r="H15" i="2"/>
  <c r="J15" i="2" s="1"/>
  <c r="K15" i="2"/>
  <c r="L15" i="2"/>
  <c r="P15" i="2"/>
  <c r="K19" i="2"/>
  <c r="H19" i="2"/>
  <c r="J19" i="2" s="1"/>
  <c r="L19" i="2"/>
  <c r="O19" i="2"/>
  <c r="P19" i="2"/>
  <c r="Q19" i="2"/>
  <c r="R19" i="2"/>
  <c r="G36" i="2"/>
  <c r="P36" i="2" s="1"/>
  <c r="H27" i="2"/>
  <c r="J27" i="2" s="1"/>
  <c r="H22" i="2"/>
  <c r="J22" i="2" s="1"/>
  <c r="L9" i="2"/>
  <c r="I23" i="2"/>
  <c r="M35" i="2"/>
  <c r="O33" i="2"/>
  <c r="G32" i="2"/>
  <c r="K32" i="2" s="1"/>
  <c r="M26" i="2"/>
  <c r="G20" i="2"/>
  <c r="I11" i="2"/>
  <c r="P26" i="2"/>
  <c r="K35" i="2"/>
  <c r="M33" i="2"/>
  <c r="P31" i="2"/>
  <c r="H30" i="2"/>
  <c r="J30" i="2" s="1"/>
  <c r="G23" i="2"/>
  <c r="S19" i="2"/>
  <c r="M17" i="2"/>
  <c r="K26" i="2"/>
  <c r="S22" i="2"/>
  <c r="K17" i="2"/>
  <c r="Q13" i="2"/>
  <c r="I35" i="2"/>
  <c r="K33" i="2"/>
  <c r="P29" i="2"/>
  <c r="L24" i="2"/>
  <c r="R22" i="2"/>
  <c r="I17" i="2"/>
  <c r="P13" i="2"/>
  <c r="K12" i="2"/>
  <c r="I32" i="2"/>
  <c r="L31" i="2"/>
  <c r="O29" i="2"/>
  <c r="I26" i="2"/>
  <c r="Q22" i="2"/>
  <c r="L21" i="2"/>
  <c r="S14" i="2"/>
  <c r="O13" i="2"/>
  <c r="I12" i="2"/>
  <c r="I33" i="2"/>
  <c r="K31" i="2"/>
  <c r="M29" i="2"/>
  <c r="P27" i="2"/>
  <c r="P22" i="2"/>
  <c r="R14" i="2"/>
  <c r="M13" i="2"/>
  <c r="M10" i="2"/>
  <c r="M36" i="2"/>
  <c r="P34" i="2"/>
  <c r="L29" i="2"/>
  <c r="O27" i="2"/>
  <c r="O22" i="2"/>
  <c r="M19" i="2"/>
  <c r="M16" i="2"/>
  <c r="L13" i="2"/>
  <c r="K29" i="2"/>
  <c r="P25" i="2"/>
  <c r="I16" i="2"/>
  <c r="P14" i="2"/>
  <c r="K13" i="2"/>
  <c r="I10" i="2"/>
  <c r="K36" i="2"/>
  <c r="L27" i="2"/>
  <c r="O25" i="2"/>
  <c r="L22" i="2"/>
  <c r="O14" i="2"/>
  <c r="L34" i="2"/>
  <c r="S9" i="2"/>
  <c r="K23" i="2"/>
  <c r="O34" i="2"/>
  <c r="R20" i="2"/>
  <c r="K10" i="2"/>
  <c r="K9" i="2"/>
  <c r="P20" i="2"/>
  <c r="R18" i="2"/>
  <c r="S17" i="2"/>
  <c r="Q18" i="2"/>
  <c r="S16" i="2"/>
  <c r="H10" i="2"/>
  <c r="J10" i="2" s="1"/>
  <c r="H9" i="2"/>
  <c r="J9" i="2" s="1"/>
  <c r="P18" i="2"/>
  <c r="R16" i="2"/>
  <c r="O18" i="2"/>
  <c r="P17" i="2"/>
  <c r="Q16" i="2"/>
  <c r="O17" i="2"/>
  <c r="P16" i="2"/>
  <c r="L18" i="2"/>
  <c r="O16" i="2"/>
  <c r="K18" i="2"/>
  <c r="K16" i="2"/>
  <c r="R10" i="2"/>
  <c r="R9" i="2"/>
  <c r="L16" i="2"/>
  <c r="Q10" i="2"/>
  <c r="Q9" i="2"/>
  <c r="B34" i="7"/>
  <c r="A34" i="7"/>
  <c r="B33" i="7"/>
  <c r="B32" i="7"/>
  <c r="B46" i="6"/>
  <c r="M46" i="6"/>
  <c r="O42" i="6"/>
  <c r="M42" i="6"/>
  <c r="H42" i="6"/>
  <c r="F42" i="6"/>
  <c r="D42" i="6"/>
  <c r="B42" i="6"/>
  <c r="G40" i="6"/>
  <c r="A32" i="7" s="1"/>
  <c r="C40" i="6"/>
  <c r="A33" i="7" s="1"/>
  <c r="M30" i="6"/>
  <c r="F30" i="6"/>
  <c r="A30" i="6"/>
  <c r="M13" i="6"/>
  <c r="M14" i="6" s="1"/>
  <c r="M15" i="6" s="1"/>
  <c r="F13" i="6"/>
  <c r="F14" i="6" s="1"/>
  <c r="F15" i="6" s="1"/>
  <c r="A13" i="6"/>
  <c r="A14" i="6" s="1"/>
  <c r="A15" i="6" s="1"/>
  <c r="A17" i="6" s="1"/>
  <c r="A19" i="6" s="1"/>
  <c r="A21"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48"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19" i="1"/>
  <c r="C19" i="1" s="1"/>
  <c r="P18" i="1"/>
  <c r="Q18" i="1" s="1"/>
  <c r="P17" i="1"/>
  <c r="Q17" i="1" s="1"/>
  <c r="P16" i="1"/>
  <c r="Q16" i="1" s="1"/>
  <c r="P15" i="1"/>
  <c r="Q15" i="1" s="1"/>
  <c r="P14" i="1"/>
  <c r="Q14" i="1" s="1"/>
  <c r="B14" i="1"/>
  <c r="B16" i="1" s="1"/>
  <c r="P13" i="1"/>
  <c r="Q13" i="1" s="1"/>
  <c r="P12" i="1"/>
  <c r="Q12" i="1" s="1"/>
  <c r="P11" i="1"/>
  <c r="Q11" i="1" s="1"/>
  <c r="I11" i="1"/>
  <c r="H11" i="1"/>
  <c r="G11" i="1"/>
  <c r="E3" i="2" s="1"/>
  <c r="F11" i="1"/>
  <c r="P10" i="1"/>
  <c r="Q10" i="1" s="1"/>
  <c r="P9" i="1"/>
  <c r="Q9" i="1" s="1"/>
  <c r="I9" i="1"/>
  <c r="H9" i="1"/>
  <c r="G9" i="1"/>
  <c r="F9" i="1"/>
  <c r="P8" i="1"/>
  <c r="Q8" i="1" s="1"/>
  <c r="P7" i="1"/>
  <c r="Q7" i="1" s="1"/>
  <c r="I7" i="1"/>
  <c r="H7" i="1"/>
  <c r="G7" i="1"/>
  <c r="F7" i="1"/>
  <c r="P6" i="1"/>
  <c r="Q6" i="1" s="1"/>
  <c r="P5" i="1"/>
  <c r="Q5" i="1" s="1"/>
  <c r="K20" i="2" l="1"/>
  <c r="S20" i="2"/>
  <c r="Q20" i="2"/>
  <c r="H20" i="2"/>
  <c r="J20" i="2" s="1"/>
  <c r="O20" i="2"/>
  <c r="O32" i="2"/>
  <c r="P32" i="2"/>
  <c r="H32" i="2"/>
  <c r="J32" i="2" s="1"/>
  <c r="L32" i="2"/>
  <c r="L20" i="2"/>
  <c r="P23" i="2"/>
  <c r="H23" i="2"/>
  <c r="J23" i="2" s="1"/>
  <c r="L23" i="2"/>
  <c r="O23" i="2"/>
  <c r="L36" i="2"/>
  <c r="O36" i="2"/>
  <c r="H36" i="2"/>
  <c r="J36" i="2" s="1"/>
  <c r="F46" i="6"/>
  <c r="B21" i="5"/>
  <c r="M23" i="4"/>
  <c r="G28" i="4"/>
  <c r="I28" i="4" s="1"/>
  <c r="M37" i="4"/>
  <c r="B26" i="5"/>
  <c r="M31" i="4"/>
  <c r="M38" i="4"/>
  <c r="G8" i="4"/>
  <c r="G11" i="4"/>
  <c r="P11" i="4" s="1"/>
  <c r="G31" i="4"/>
  <c r="P31" i="4" s="1"/>
  <c r="M24" i="4"/>
  <c r="G9" i="4"/>
  <c r="Q9" i="4" s="1"/>
  <c r="G12" i="4"/>
  <c r="O12" i="4" s="1"/>
  <c r="G25" i="4"/>
  <c r="Q25" i="4" s="1"/>
  <c r="M22" i="4"/>
  <c r="M9" i="4"/>
  <c r="G33" i="4"/>
  <c r="R33" i="4" s="1"/>
  <c r="G10" i="4"/>
  <c r="P10" i="4" s="1"/>
  <c r="G26" i="4"/>
  <c r="R26" i="4" s="1"/>
  <c r="M30" i="4"/>
  <c r="D47" i="1"/>
  <c r="F32" i="5" s="1"/>
  <c r="G22" i="4"/>
  <c r="P22" i="4" s="1"/>
  <c r="G13" i="4"/>
  <c r="R13" i="4" s="1"/>
  <c r="G23" i="4"/>
  <c r="L23" i="4" s="1"/>
  <c r="D19" i="5" s="1"/>
  <c r="G30" i="4"/>
  <c r="K30" i="4" s="1"/>
  <c r="G14" i="4"/>
  <c r="S14" i="4" s="1"/>
  <c r="Q38" i="2"/>
  <c r="B52" i="1"/>
  <c r="R23" i="2"/>
  <c r="G8" i="3"/>
  <c r="M9" i="3"/>
  <c r="I9" i="3"/>
  <c r="G9" i="3"/>
  <c r="O9" i="3" s="1"/>
  <c r="M10" i="3"/>
  <c r="I10" i="3"/>
  <c r="G10" i="3"/>
  <c r="R10" i="3" s="1"/>
  <c r="M11" i="3"/>
  <c r="I11" i="3"/>
  <c r="G11" i="3"/>
  <c r="S11" i="3" s="1"/>
  <c r="M12" i="3"/>
  <c r="I12" i="3"/>
  <c r="G12" i="3"/>
  <c r="I13" i="3"/>
  <c r="G13" i="3"/>
  <c r="O13" i="3" s="1"/>
  <c r="M13" i="3"/>
  <c r="I14" i="3"/>
  <c r="G14" i="3"/>
  <c r="O14" i="3" s="1"/>
  <c r="M14" i="3"/>
  <c r="I15" i="3"/>
  <c r="G15" i="3"/>
  <c r="O15" i="3" s="1"/>
  <c r="M15" i="3"/>
  <c r="I16" i="3"/>
  <c r="G16" i="3"/>
  <c r="O16" i="3" s="1"/>
  <c r="M16" i="3"/>
  <c r="G17" i="3"/>
  <c r="O17" i="3" s="1"/>
  <c r="M17" i="3"/>
  <c r="I17" i="3"/>
  <c r="G18" i="3"/>
  <c r="O18" i="3" s="1"/>
  <c r="M18" i="3"/>
  <c r="I18" i="3"/>
  <c r="M19" i="3"/>
  <c r="I19" i="3"/>
  <c r="G19" i="3"/>
  <c r="P19" i="3" s="1"/>
  <c r="M20" i="3"/>
  <c r="I20" i="3"/>
  <c r="G20" i="3"/>
  <c r="R20" i="3" s="1"/>
  <c r="M21" i="3"/>
  <c r="I21" i="3"/>
  <c r="G21" i="3"/>
  <c r="P21" i="3" s="1"/>
  <c r="M23" i="3"/>
  <c r="I23" i="3"/>
  <c r="G23" i="3"/>
  <c r="P23" i="3" s="1"/>
  <c r="M24" i="3"/>
  <c r="I24" i="3"/>
  <c r="G24" i="3"/>
  <c r="O24" i="3" s="1"/>
  <c r="M25" i="3"/>
  <c r="I25" i="3"/>
  <c r="G25" i="3"/>
  <c r="O25" i="3" s="1"/>
  <c r="M26" i="3"/>
  <c r="I26" i="3"/>
  <c r="G26" i="3"/>
  <c r="O26" i="3" s="1"/>
  <c r="M27" i="3"/>
  <c r="I27" i="3"/>
  <c r="G27" i="3"/>
  <c r="S27" i="3" s="1"/>
  <c r="M28" i="3"/>
  <c r="I28" i="3"/>
  <c r="G28" i="3"/>
  <c r="O28" i="3" s="1"/>
  <c r="I29" i="3"/>
  <c r="G29" i="3"/>
  <c r="R29" i="3" s="1"/>
  <c r="M29" i="3"/>
  <c r="I30" i="3"/>
  <c r="G30" i="3"/>
  <c r="O30" i="3" s="1"/>
  <c r="M30" i="3"/>
  <c r="I31" i="3"/>
  <c r="G31" i="3"/>
  <c r="P31" i="3" s="1"/>
  <c r="M31" i="3"/>
  <c r="I32" i="3"/>
  <c r="G32" i="3"/>
  <c r="P32" i="3" s="1"/>
  <c r="M32" i="3"/>
  <c r="I33" i="3"/>
  <c r="G33" i="3"/>
  <c r="M33" i="3"/>
  <c r="I34" i="3"/>
  <c r="G34" i="3"/>
  <c r="P34" i="3" s="1"/>
  <c r="M34" i="3"/>
  <c r="I35" i="3"/>
  <c r="G35" i="3"/>
  <c r="M35" i="3"/>
  <c r="I36" i="3"/>
  <c r="G36" i="3"/>
  <c r="P36" i="3" s="1"/>
  <c r="M36" i="3"/>
  <c r="I37" i="3"/>
  <c r="G37" i="3"/>
  <c r="M37" i="3"/>
  <c r="I38" i="3"/>
  <c r="G38" i="3"/>
  <c r="M38" i="3"/>
  <c r="R11" i="4"/>
  <c r="G27" i="4"/>
  <c r="P27" i="4" s="1"/>
  <c r="F22" i="6"/>
  <c r="F25" i="6" s="1"/>
  <c r="F17" i="6"/>
  <c r="F19" i="6" s="1"/>
  <c r="F21" i="6" s="1"/>
  <c r="F23" i="6" s="1"/>
  <c r="F24" i="6" s="1"/>
  <c r="M34" i="4"/>
  <c r="M35" i="4"/>
  <c r="M36" i="4"/>
  <c r="M17" i="6"/>
  <c r="M19" i="6" s="1"/>
  <c r="M21" i="6" s="1"/>
  <c r="M23" i="6" s="1"/>
  <c r="M24" i="6" s="1"/>
  <c r="M22" i="6"/>
  <c r="M32" i="4"/>
  <c r="S33" i="4"/>
  <c r="M33" i="4"/>
  <c r="A31" i="6"/>
  <c r="A32" i="6" s="1"/>
  <c r="F31" i="6"/>
  <c r="F32" i="6" s="1"/>
  <c r="K25" i="4"/>
  <c r="O10" i="4"/>
  <c r="L10" i="4"/>
  <c r="D32" i="5" s="1"/>
  <c r="G29" i="4"/>
  <c r="O29" i="4" s="1"/>
  <c r="G32" i="4"/>
  <c r="B20" i="1"/>
  <c r="G15" i="4"/>
  <c r="R15" i="4" s="1"/>
  <c r="M25" i="4"/>
  <c r="M10" i="4"/>
  <c r="G16" i="4"/>
  <c r="S16" i="4" s="1"/>
  <c r="M26" i="4"/>
  <c r="R25" i="2"/>
  <c r="M11" i="4"/>
  <c r="G17" i="4"/>
  <c r="S17" i="4" s="1"/>
  <c r="S22" i="4"/>
  <c r="M27" i="4"/>
  <c r="R32" i="2"/>
  <c r="G22" i="3"/>
  <c r="Q22" i="3" s="1"/>
  <c r="M12" i="4"/>
  <c r="G18" i="4"/>
  <c r="M28" i="4"/>
  <c r="G34" i="4"/>
  <c r="O34" i="4" s="1"/>
  <c r="G35" i="4"/>
  <c r="G36" i="4"/>
  <c r="G37" i="4"/>
  <c r="S37" i="4" s="1"/>
  <c r="G38" i="4"/>
  <c r="M13" i="4"/>
  <c r="G19" i="4"/>
  <c r="O19" i="4" s="1"/>
  <c r="M29" i="4"/>
  <c r="I22" i="3"/>
  <c r="M14" i="4"/>
  <c r="G20" i="4"/>
  <c r="M15" i="4"/>
  <c r="G21" i="4"/>
  <c r="M16" i="4"/>
  <c r="M17" i="4"/>
  <c r="M22" i="3"/>
  <c r="S13" i="4"/>
  <c r="M18" i="4"/>
  <c r="G24" i="4"/>
  <c r="S24" i="4" s="1"/>
  <c r="M19" i="4"/>
  <c r="M20" i="4"/>
  <c r="M21" i="4"/>
  <c r="S28" i="4" l="1"/>
  <c r="Q10" i="4"/>
  <c r="H10" i="4"/>
  <c r="J10" i="4" s="1"/>
  <c r="S11" i="4"/>
  <c r="S26" i="4"/>
  <c r="K13" i="4"/>
  <c r="P26" i="4"/>
  <c r="R31" i="4"/>
  <c r="I31" i="4"/>
  <c r="K11" i="4"/>
  <c r="O11" i="4"/>
  <c r="L11" i="4"/>
  <c r="D31" i="5" s="1"/>
  <c r="H11" i="4"/>
  <c r="J11" i="4" s="1"/>
  <c r="Q11" i="4"/>
  <c r="I11" i="4"/>
  <c r="Q22" i="4"/>
  <c r="L22" i="4"/>
  <c r="D20" i="5" s="1"/>
  <c r="K22" i="4"/>
  <c r="O22" i="4"/>
  <c r="I22" i="4"/>
  <c r="H22" i="4"/>
  <c r="J22" i="4" s="1"/>
  <c r="R22" i="4"/>
  <c r="L26" i="4"/>
  <c r="D16" i="5" s="1"/>
  <c r="O26" i="4"/>
  <c r="Q26" i="4"/>
  <c r="H28" i="4"/>
  <c r="J28" i="4" s="1"/>
  <c r="K28" i="4"/>
  <c r="P28" i="4"/>
  <c r="Q28" i="4"/>
  <c r="O28" i="4"/>
  <c r="L28" i="4"/>
  <c r="D14" i="5" s="1"/>
  <c r="R28" i="4"/>
  <c r="O38" i="4"/>
  <c r="S38" i="4"/>
  <c r="S9" i="4"/>
  <c r="R36" i="4"/>
  <c r="P36" i="4"/>
  <c r="R35" i="4"/>
  <c r="P35" i="4"/>
  <c r="S23" i="4"/>
  <c r="H9" i="4"/>
  <c r="J9" i="4" s="1"/>
  <c r="I9" i="4"/>
  <c r="L9" i="4"/>
  <c r="D33" i="5" s="1"/>
  <c r="I13" i="4"/>
  <c r="G18" i="5"/>
  <c r="H18" i="5" s="1"/>
  <c r="L13" i="4"/>
  <c r="D29" i="5" s="1"/>
  <c r="L31" i="4"/>
  <c r="D11" i="5" s="1"/>
  <c r="I23" i="4"/>
  <c r="Q31" i="4"/>
  <c r="R23" i="4"/>
  <c r="P13" i="4"/>
  <c r="Q13" i="4"/>
  <c r="K9" i="4"/>
  <c r="H23" i="4"/>
  <c r="J23" i="4" s="1"/>
  <c r="K23" i="4"/>
  <c r="O23" i="4"/>
  <c r="H13" i="4"/>
  <c r="J13" i="4" s="1"/>
  <c r="R9" i="4"/>
  <c r="H26" i="4"/>
  <c r="J26" i="4" s="1"/>
  <c r="L12" i="4"/>
  <c r="D30" i="5" s="1"/>
  <c r="R12" i="4"/>
  <c r="I12" i="4"/>
  <c r="O9" i="4"/>
  <c r="P9" i="4"/>
  <c r="P23" i="4"/>
  <c r="Q23" i="4"/>
  <c r="I33" i="4"/>
  <c r="L33" i="4"/>
  <c r="D9" i="5" s="1"/>
  <c r="Q33" i="4"/>
  <c r="O25" i="4"/>
  <c r="P25" i="4"/>
  <c r="H25" i="4"/>
  <c r="J25" i="4" s="1"/>
  <c r="I25" i="4"/>
  <c r="P33" i="4"/>
  <c r="L25" i="4"/>
  <c r="D17" i="5" s="1"/>
  <c r="Q13" i="3"/>
  <c r="Q27" i="4"/>
  <c r="S10" i="4"/>
  <c r="Q11" i="3"/>
  <c r="K12" i="4"/>
  <c r="Q16" i="3"/>
  <c r="I10" i="4"/>
  <c r="Q12" i="4"/>
  <c r="P12" i="4"/>
  <c r="S12" i="4"/>
  <c r="O27" i="4"/>
  <c r="K10" i="4"/>
  <c r="P16" i="3"/>
  <c r="H12" i="4"/>
  <c r="J12" i="4" s="1"/>
  <c r="S25" i="4"/>
  <c r="H30" i="4"/>
  <c r="J30" i="4" s="1"/>
  <c r="G33" i="5"/>
  <c r="H33" i="5" s="1"/>
  <c r="S30" i="4"/>
  <c r="H31" i="4"/>
  <c r="J31" i="4" s="1"/>
  <c r="I30" i="4"/>
  <c r="H33" i="4"/>
  <c r="J33" i="4" s="1"/>
  <c r="L30" i="4"/>
  <c r="D12" i="5" s="1"/>
  <c r="G8" i="5"/>
  <c r="H8" i="5" s="1"/>
  <c r="K31" i="4"/>
  <c r="O30" i="4"/>
  <c r="K33" i="4"/>
  <c r="P30" i="4"/>
  <c r="O31" i="4"/>
  <c r="Q30" i="4"/>
  <c r="O33" i="4"/>
  <c r="S31" i="4"/>
  <c r="R30" i="4"/>
  <c r="D46" i="1"/>
  <c r="G4" i="5"/>
  <c r="H4" i="5" s="1"/>
  <c r="B4" i="5"/>
  <c r="H14" i="4"/>
  <c r="J14" i="4" s="1"/>
  <c r="I14" i="4"/>
  <c r="K14" i="4"/>
  <c r="L14" i="4"/>
  <c r="D28" i="5" s="1"/>
  <c r="O13" i="4"/>
  <c r="O14" i="4"/>
  <c r="P14" i="4"/>
  <c r="Q14" i="4"/>
  <c r="R10" i="4"/>
  <c r="R14" i="4"/>
  <c r="R25" i="4"/>
  <c r="I26" i="4"/>
  <c r="K26" i="4"/>
  <c r="S13" i="3"/>
  <c r="G9" i="5"/>
  <c r="H9" i="5" s="1"/>
  <c r="G13" i="5"/>
  <c r="H13" i="5" s="1"/>
  <c r="R13" i="3"/>
  <c r="Q21" i="3"/>
  <c r="S29" i="3"/>
  <c r="O29" i="3"/>
  <c r="O35" i="3"/>
  <c r="Q35" i="3"/>
  <c r="O34" i="3"/>
  <c r="Q34" i="3"/>
  <c r="P33" i="3"/>
  <c r="Q33" i="3"/>
  <c r="O38" i="3"/>
  <c r="S38" i="3"/>
  <c r="Q37" i="3"/>
  <c r="S37" i="3"/>
  <c r="G19" i="5"/>
  <c r="H19" i="5" s="1"/>
  <c r="Q32" i="3"/>
  <c r="S36" i="3"/>
  <c r="Q31" i="3"/>
  <c r="Q20" i="3"/>
  <c r="O33" i="3"/>
  <c r="P15" i="3"/>
  <c r="G11" i="5"/>
  <c r="H11" i="5" s="1"/>
  <c r="O20" i="3"/>
  <c r="P17" i="3"/>
  <c r="O37" i="3"/>
  <c r="S9" i="3"/>
  <c r="P35" i="3"/>
  <c r="G12" i="5"/>
  <c r="H12" i="5" s="1"/>
  <c r="O31" i="3"/>
  <c r="P20" i="3"/>
  <c r="S19" i="3"/>
  <c r="Q19" i="3"/>
  <c r="S20" i="3"/>
  <c r="R19" i="3"/>
  <c r="R30" i="3"/>
  <c r="Q30" i="3"/>
  <c r="P38" i="3"/>
  <c r="O36" i="3"/>
  <c r="O32" i="3"/>
  <c r="O35" i="4"/>
  <c r="P30" i="3"/>
  <c r="G10" i="5"/>
  <c r="H10" i="5" s="1"/>
  <c r="R24" i="4"/>
  <c r="R16" i="4"/>
  <c r="Q15" i="3"/>
  <c r="S18" i="3"/>
  <c r="Q38" i="3"/>
  <c r="P22" i="3"/>
  <c r="R21" i="3"/>
  <c r="R28" i="3"/>
  <c r="S14" i="3"/>
  <c r="Q18" i="3"/>
  <c r="G30" i="5"/>
  <c r="H30" i="5" s="1"/>
  <c r="S35" i="4"/>
  <c r="R18" i="3"/>
  <c r="Q14" i="3"/>
  <c r="R14" i="3"/>
  <c r="G24" i="5"/>
  <c r="H24" i="5" s="1"/>
  <c r="G7" i="5"/>
  <c r="H7" i="5" s="1"/>
  <c r="G14" i="5"/>
  <c r="H14" i="5" s="1"/>
  <c r="P14" i="3"/>
  <c r="S28" i="3"/>
  <c r="O21" i="3"/>
  <c r="R15" i="3"/>
  <c r="G21" i="5"/>
  <c r="H21" i="5" s="1"/>
  <c r="S27" i="4"/>
  <c r="Q16" i="4"/>
  <c r="G5" i="5"/>
  <c r="H5" i="5" s="1"/>
  <c r="G23" i="5"/>
  <c r="H23" i="5" s="1"/>
  <c r="R28" i="2"/>
  <c r="B32" i="5"/>
  <c r="R26" i="2"/>
  <c r="R29" i="2"/>
  <c r="S38" i="2"/>
  <c r="R33" i="2"/>
  <c r="R31" i="2"/>
  <c r="R38" i="2"/>
  <c r="R30" i="2"/>
  <c r="G6" i="5"/>
  <c r="H6" i="5" s="1"/>
  <c r="Q27" i="2"/>
  <c r="P32" i="4"/>
  <c r="O32" i="4"/>
  <c r="L32" i="4"/>
  <c r="D10" i="5" s="1"/>
  <c r="K32" i="4"/>
  <c r="I32" i="4"/>
  <c r="H32" i="4"/>
  <c r="J32" i="4" s="1"/>
  <c r="L12" i="3"/>
  <c r="C30" i="5" s="1"/>
  <c r="K12" i="3"/>
  <c r="H12" i="3"/>
  <c r="J12" i="3" s="1"/>
  <c r="Q12" i="3"/>
  <c r="H29" i="4"/>
  <c r="J29" i="4" s="1"/>
  <c r="R29" i="4"/>
  <c r="Q29" i="4"/>
  <c r="P29" i="4"/>
  <c r="L29" i="4"/>
  <c r="D13" i="5" s="1"/>
  <c r="K29" i="4"/>
  <c r="I29" i="4"/>
  <c r="B22" i="5"/>
  <c r="G27" i="5"/>
  <c r="H27"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B28" i="5"/>
  <c r="Q21" i="4"/>
  <c r="P21" i="4"/>
  <c r="L21" i="4"/>
  <c r="D21" i="5" s="1"/>
  <c r="K21" i="4"/>
  <c r="I21" i="4"/>
  <c r="H21" i="4"/>
  <c r="J21" i="4" s="1"/>
  <c r="S21" i="4"/>
  <c r="R21" i="4"/>
  <c r="O17" i="4"/>
  <c r="L17" i="4"/>
  <c r="D25" i="5" s="1"/>
  <c r="K17" i="4"/>
  <c r="I17" i="4"/>
  <c r="H17" i="4"/>
  <c r="J17" i="4" s="1"/>
  <c r="Q32" i="4"/>
  <c r="Q19" i="4"/>
  <c r="P19" i="4"/>
  <c r="G31" i="5"/>
  <c r="H31" i="5" s="1"/>
  <c r="B24" i="5"/>
  <c r="S17" i="3"/>
  <c r="S16" i="3"/>
  <c r="B29" i="5"/>
  <c r="B5" i="5"/>
  <c r="S37" i="2"/>
  <c r="Q37" i="2"/>
  <c r="S18" i="4"/>
  <c r="L18" i="4"/>
  <c r="D24" i="5" s="1"/>
  <c r="K18" i="4"/>
  <c r="I18" i="4"/>
  <c r="H18" i="4"/>
  <c r="J18" i="4" s="1"/>
  <c r="S15" i="4"/>
  <c r="G29" i="5"/>
  <c r="H29" i="5" s="1"/>
  <c r="R24" i="3"/>
  <c r="Q24" i="3"/>
  <c r="P24" i="3"/>
  <c r="L24" i="3"/>
  <c r="C18" i="5" s="1"/>
  <c r="K24" i="3"/>
  <c r="H24" i="3"/>
  <c r="J24" i="3" s="1"/>
  <c r="S24" i="3"/>
  <c r="L19" i="3"/>
  <c r="C23" i="5" s="1"/>
  <c r="K19" i="3"/>
  <c r="H19" i="3"/>
  <c r="J19" i="3" s="1"/>
  <c r="L11" i="3"/>
  <c r="C31" i="5" s="1"/>
  <c r="K11" i="3"/>
  <c r="H11" i="3"/>
  <c r="J11" i="3" s="1"/>
  <c r="R11" i="3"/>
  <c r="P11" i="3"/>
  <c r="S12" i="3"/>
  <c r="P12" i="3"/>
  <c r="B33" i="5"/>
  <c r="L28" i="3"/>
  <c r="C14" i="5" s="1"/>
  <c r="K28" i="3"/>
  <c r="H28" i="3"/>
  <c r="J28" i="3" s="1"/>
  <c r="Q28" i="3"/>
  <c r="P28" i="3"/>
  <c r="Q36" i="2"/>
  <c r="B6" i="5"/>
  <c r="R36" i="2"/>
  <c r="S19" i="4"/>
  <c r="R19" i="4"/>
  <c r="L19" i="4"/>
  <c r="D23" i="5" s="1"/>
  <c r="K19" i="4"/>
  <c r="I19" i="4"/>
  <c r="H19" i="4"/>
  <c r="J19" i="4" s="1"/>
  <c r="S26" i="2"/>
  <c r="B16" i="5"/>
  <c r="S36" i="4"/>
  <c r="P34" i="4"/>
  <c r="Q17" i="4"/>
  <c r="H36" i="3"/>
  <c r="J36" i="3" s="1"/>
  <c r="R36" i="3"/>
  <c r="L36" i="3"/>
  <c r="C6" i="5" s="1"/>
  <c r="K36" i="3"/>
  <c r="H32" i="3"/>
  <c r="J32" i="3" s="1"/>
  <c r="S32" i="3"/>
  <c r="R32" i="3"/>
  <c r="L32" i="3"/>
  <c r="C10" i="5" s="1"/>
  <c r="K32" i="3"/>
  <c r="H15" i="3"/>
  <c r="J15" i="3" s="1"/>
  <c r="S15" i="3"/>
  <c r="L15" i="3"/>
  <c r="C27" i="5" s="1"/>
  <c r="K15" i="3"/>
  <c r="G15" i="5"/>
  <c r="H15" i="5" s="1"/>
  <c r="S25" i="2"/>
  <c r="B17" i="5"/>
  <c r="R18" i="4"/>
  <c r="M25" i="6"/>
  <c r="M31" i="6" s="1"/>
  <c r="M32" i="6" s="1"/>
  <c r="I27" i="4"/>
  <c r="H27" i="4"/>
  <c r="J27" i="4" s="1"/>
  <c r="R27" i="4"/>
  <c r="L27" i="4"/>
  <c r="D15" i="5" s="1"/>
  <c r="K27" i="4"/>
  <c r="O19" i="3"/>
  <c r="O11" i="3"/>
  <c r="S22" i="3"/>
  <c r="R22" i="3"/>
  <c r="L22" i="3"/>
  <c r="C20" i="5" s="1"/>
  <c r="K22" i="3"/>
  <c r="H22" i="3"/>
  <c r="J22" i="3" s="1"/>
  <c r="S24" i="2"/>
  <c r="B18" i="5"/>
  <c r="R24" i="2"/>
  <c r="S34" i="4"/>
  <c r="P18" i="4"/>
  <c r="O18" i="4"/>
  <c r="R17" i="4"/>
  <c r="P37" i="3"/>
  <c r="L27" i="3"/>
  <c r="C15" i="5" s="1"/>
  <c r="K27" i="3"/>
  <c r="H27" i="3"/>
  <c r="J27" i="3" s="1"/>
  <c r="R27" i="3"/>
  <c r="Q27" i="3"/>
  <c r="P27" i="3"/>
  <c r="S23" i="3"/>
  <c r="R23" i="3"/>
  <c r="Q23" i="3"/>
  <c r="L23" i="3"/>
  <c r="C19" i="5" s="1"/>
  <c r="K23" i="3"/>
  <c r="H23" i="3"/>
  <c r="J23" i="3" s="1"/>
  <c r="P10" i="3"/>
  <c r="L10" i="3"/>
  <c r="C32" i="5" s="1"/>
  <c r="K10" i="3"/>
  <c r="H10" i="3"/>
  <c r="J10" i="3" s="1"/>
  <c r="S10" i="3"/>
  <c r="Q10" i="3"/>
  <c r="R32" i="4"/>
  <c r="D45" i="1"/>
  <c r="F31" i="5"/>
  <c r="R20" i="4"/>
  <c r="Q20" i="4"/>
  <c r="L20" i="4"/>
  <c r="D22" i="5" s="1"/>
  <c r="K20" i="4"/>
  <c r="I20" i="4"/>
  <c r="H20" i="4"/>
  <c r="J20" i="4" s="1"/>
  <c r="S20" i="4"/>
  <c r="S34" i="2"/>
  <c r="R34" i="2"/>
  <c r="Q34" i="2"/>
  <c r="B8" i="5"/>
  <c r="O20" i="4"/>
  <c r="Q15" i="4"/>
  <c r="P15" i="4"/>
  <c r="O15" i="4"/>
  <c r="L15" i="4"/>
  <c r="D27" i="5" s="1"/>
  <c r="K15" i="4"/>
  <c r="I15" i="4"/>
  <c r="H15" i="4"/>
  <c r="J15" i="4" s="1"/>
  <c r="S33" i="2"/>
  <c r="Q33" i="2"/>
  <c r="B9" i="5"/>
  <c r="R37" i="2"/>
  <c r="C52" i="1"/>
  <c r="C20" i="1"/>
  <c r="B21" i="1"/>
  <c r="G22" i="5"/>
  <c r="H22" i="5" s="1"/>
  <c r="Q24" i="2"/>
  <c r="Q29" i="3"/>
  <c r="H35" i="3"/>
  <c r="J35" i="3" s="1"/>
  <c r="S35" i="3"/>
  <c r="R35" i="3"/>
  <c r="L35" i="3"/>
  <c r="C7" i="5" s="1"/>
  <c r="K35" i="3"/>
  <c r="H31" i="3"/>
  <c r="J31" i="3" s="1"/>
  <c r="S31" i="3"/>
  <c r="R31" i="3"/>
  <c r="L31" i="3"/>
  <c r="C11" i="5" s="1"/>
  <c r="K31" i="3"/>
  <c r="K14" i="3"/>
  <c r="H14" i="3"/>
  <c r="J14" i="3" s="1"/>
  <c r="L14" i="3"/>
  <c r="C28" i="5" s="1"/>
  <c r="L24" i="4"/>
  <c r="D18" i="5" s="1"/>
  <c r="K24" i="4"/>
  <c r="I24" i="4"/>
  <c r="H24" i="4"/>
  <c r="J24" i="4" s="1"/>
  <c r="Q24" i="4"/>
  <c r="P24" i="4"/>
  <c r="O24" i="4"/>
  <c r="R38" i="4"/>
  <c r="Q38" i="4"/>
  <c r="P38" i="4"/>
  <c r="L38" i="4"/>
  <c r="D4" i="5" s="1"/>
  <c r="K38" i="4"/>
  <c r="I38" i="4"/>
  <c r="H38" i="4"/>
  <c r="J38" i="4" s="1"/>
  <c r="S32" i="2"/>
  <c r="Q32" i="2"/>
  <c r="B10" i="5"/>
  <c r="P16" i="4"/>
  <c r="O16" i="4"/>
  <c r="L16" i="4"/>
  <c r="D26" i="5" s="1"/>
  <c r="K16" i="4"/>
  <c r="I16" i="4"/>
  <c r="H16" i="4"/>
  <c r="J16" i="4" s="1"/>
  <c r="B23" i="5"/>
  <c r="G28" i="5"/>
  <c r="H28" i="5" s="1"/>
  <c r="G32" i="5"/>
  <c r="H32" i="5" s="1"/>
  <c r="Q23" i="2"/>
  <c r="P20" i="4"/>
  <c r="O27" i="3"/>
  <c r="O23" i="3"/>
  <c r="P18" i="3"/>
  <c r="L18" i="3"/>
  <c r="C24" i="5" s="1"/>
  <c r="K18" i="3"/>
  <c r="H18" i="3"/>
  <c r="J18" i="3" s="1"/>
  <c r="O10" i="3"/>
  <c r="Q25" i="2"/>
  <c r="Q36" i="3"/>
  <c r="G16" i="5"/>
  <c r="H16" i="5" s="1"/>
  <c r="R35" i="2"/>
  <c r="Q35" i="2"/>
  <c r="B7" i="5"/>
  <c r="S35" i="2"/>
  <c r="R37" i="4"/>
  <c r="Q37" i="4"/>
  <c r="P37" i="4"/>
  <c r="L37" i="4"/>
  <c r="D5" i="5" s="1"/>
  <c r="K37" i="4"/>
  <c r="I37" i="4"/>
  <c r="H37" i="4"/>
  <c r="J37" i="4" s="1"/>
  <c r="S31" i="2"/>
  <c r="Q31" i="2"/>
  <c r="B11" i="5"/>
  <c r="S36" i="2"/>
  <c r="S32" i="4"/>
  <c r="Q26" i="2"/>
  <c r="R17" i="3"/>
  <c r="P26" i="3"/>
  <c r="L26" i="3"/>
  <c r="C16" i="5" s="1"/>
  <c r="K26" i="3"/>
  <c r="H26" i="3"/>
  <c r="J26" i="3" s="1"/>
  <c r="S26" i="3"/>
  <c r="R26" i="3"/>
  <c r="Q26" i="3"/>
  <c r="S21" i="3"/>
  <c r="L21" i="3"/>
  <c r="C21" i="5" s="1"/>
  <c r="K21" i="3"/>
  <c r="H21" i="3"/>
  <c r="J21" i="3" s="1"/>
  <c r="Q9" i="3"/>
  <c r="P9" i="3"/>
  <c r="L9" i="3"/>
  <c r="C33" i="5" s="1"/>
  <c r="K9" i="3"/>
  <c r="H9" i="3"/>
  <c r="J9" i="3" s="1"/>
  <c r="R9" i="3"/>
  <c r="G17" i="5"/>
  <c r="H17" i="5" s="1"/>
  <c r="Q36" i="4"/>
  <c r="L36" i="4"/>
  <c r="D6" i="5" s="1"/>
  <c r="K36" i="4"/>
  <c r="I36" i="4"/>
  <c r="H36" i="4"/>
  <c r="J36" i="4" s="1"/>
  <c r="S30" i="2"/>
  <c r="Q30" i="2"/>
  <c r="B12" i="5"/>
  <c r="G25" i="5"/>
  <c r="H25" i="5" s="1"/>
  <c r="S29" i="4"/>
  <c r="G26" i="5"/>
  <c r="H26" i="5" s="1"/>
  <c r="R12" i="3"/>
  <c r="Q35" i="4"/>
  <c r="L35" i="4"/>
  <c r="D7" i="5" s="1"/>
  <c r="K35" i="4"/>
  <c r="I35" i="4"/>
  <c r="H35" i="4"/>
  <c r="J35" i="4" s="1"/>
  <c r="S29" i="2"/>
  <c r="Q29" i="2"/>
  <c r="B13" i="5"/>
  <c r="G20" i="5"/>
  <c r="H20" i="5" s="1"/>
  <c r="B25" i="5"/>
  <c r="B20" i="5"/>
  <c r="R34" i="4"/>
  <c r="H38" i="3"/>
  <c r="J38" i="3" s="1"/>
  <c r="R38" i="3"/>
  <c r="L38" i="3"/>
  <c r="C4" i="5" s="1"/>
  <c r="K38" i="3"/>
  <c r="H34" i="3"/>
  <c r="J34" i="3" s="1"/>
  <c r="S34" i="3"/>
  <c r="R34" i="3"/>
  <c r="L34" i="3"/>
  <c r="C8" i="5" s="1"/>
  <c r="K34" i="3"/>
  <c r="K30" i="3"/>
  <c r="H30" i="3"/>
  <c r="J30" i="3" s="1"/>
  <c r="S30" i="3"/>
  <c r="L30" i="3"/>
  <c r="C12" i="5" s="1"/>
  <c r="L13" i="3"/>
  <c r="C29" i="5" s="1"/>
  <c r="K13" i="3"/>
  <c r="H13" i="3"/>
  <c r="J13" i="3" s="1"/>
  <c r="P13" i="3"/>
  <c r="Q34" i="4"/>
  <c r="L34" i="4"/>
  <c r="D8" i="5" s="1"/>
  <c r="K34" i="4"/>
  <c r="I34" i="4"/>
  <c r="H34" i="4"/>
  <c r="J34" i="4" s="1"/>
  <c r="S28" i="2"/>
  <c r="Q28" i="2"/>
  <c r="B14" i="5"/>
  <c r="H17" i="3"/>
  <c r="J17" i="3" s="1"/>
  <c r="Q17" i="3"/>
  <c r="L17" i="3"/>
  <c r="C25" i="5" s="1"/>
  <c r="K17" i="3"/>
  <c r="S23" i="2"/>
  <c r="B19" i="5"/>
  <c r="B31" i="5"/>
  <c r="S27" i="2"/>
  <c r="R27" i="2"/>
  <c r="B15" i="5"/>
  <c r="O37" i="4"/>
  <c r="O36" i="4"/>
  <c r="B30" i="5"/>
  <c r="Q18" i="4"/>
  <c r="B27" i="5"/>
  <c r="O21" i="4"/>
  <c r="P17" i="4"/>
  <c r="Q25" i="3"/>
  <c r="P25" i="3"/>
  <c r="L25" i="3"/>
  <c r="C17" i="5" s="1"/>
  <c r="K25" i="3"/>
  <c r="H25" i="3"/>
  <c r="J25" i="3" s="1"/>
  <c r="S25" i="3"/>
  <c r="R25" i="3"/>
  <c r="L20" i="3"/>
  <c r="C22" i="5" s="1"/>
  <c r="K20" i="3"/>
  <c r="H20" i="3"/>
  <c r="J20" i="3" s="1"/>
  <c r="O12" i="3"/>
  <c r="E4" i="5" l="1"/>
  <c r="E26" i="5"/>
  <c r="E31" i="5"/>
  <c r="E30" i="5"/>
  <c r="E15" i="5"/>
  <c r="E20" i="5"/>
  <c r="E25" i="5"/>
  <c r="E19" i="5"/>
  <c r="E32" i="5"/>
  <c r="E13" i="5"/>
  <c r="E16" i="5"/>
  <c r="E12" i="5"/>
  <c r="E11" i="5"/>
  <c r="E10" i="5"/>
  <c r="E27" i="5"/>
  <c r="E5" i="5"/>
  <c r="C21" i="1"/>
  <c r="B22" i="1"/>
  <c r="D52" i="1"/>
  <c r="E23" i="5"/>
  <c r="E17" i="5"/>
  <c r="E6" i="5"/>
  <c r="F30" i="5"/>
  <c r="D44" i="1"/>
  <c r="E8" i="5"/>
  <c r="E29" i="5"/>
  <c r="E9" i="5"/>
  <c r="E28" i="5"/>
  <c r="E21" i="5"/>
  <c r="E7" i="5"/>
  <c r="E22" i="5"/>
  <c r="E14" i="5"/>
  <c r="E24" i="5"/>
  <c r="E18" i="5"/>
  <c r="E33" i="5"/>
  <c r="F29" i="5" l="1"/>
  <c r="D43" i="1"/>
  <c r="C22" i="1"/>
  <c r="B23" i="1"/>
  <c r="E52" i="1"/>
  <c r="B24" i="1" l="1"/>
  <c r="C23" i="1"/>
  <c r="F52" i="1"/>
  <c r="F28" i="5"/>
  <c r="D42" i="1"/>
  <c r="F27" i="5" l="1"/>
  <c r="D41" i="1"/>
  <c r="C24" i="1"/>
  <c r="B25" i="1"/>
  <c r="G52" i="1"/>
  <c r="H52" i="1" l="1"/>
  <c r="B26" i="1"/>
  <c r="C25" i="1"/>
  <c r="D40" i="1"/>
  <c r="F26" i="5"/>
  <c r="I52" i="1" l="1"/>
  <c r="B27" i="1"/>
  <c r="C26" i="1"/>
  <c r="F25" i="5"/>
  <c r="D39" i="1"/>
  <c r="F24" i="5" l="1"/>
  <c r="D38" i="1"/>
  <c r="C27" i="1"/>
  <c r="B28" i="1"/>
  <c r="J52" i="1"/>
  <c r="K52" i="1" l="1"/>
  <c r="B29" i="1"/>
  <c r="C28" i="1"/>
  <c r="F23" i="5"/>
  <c r="D37" i="1"/>
  <c r="C29" i="1" l="1"/>
  <c r="B30" i="1"/>
  <c r="L52" i="1"/>
  <c r="F22" i="5"/>
  <c r="D36" i="1"/>
  <c r="F21" i="5" l="1"/>
  <c r="D35" i="1"/>
  <c r="B31" i="1"/>
  <c r="C30" i="1"/>
  <c r="M52" i="1"/>
  <c r="F20" i="5" l="1"/>
  <c r="D34" i="1"/>
  <c r="B32" i="1"/>
  <c r="C31" i="1"/>
  <c r="N52" i="1"/>
  <c r="F19" i="5" l="1"/>
  <c r="D33" i="1"/>
  <c r="O52" i="1"/>
  <c r="B33" i="1"/>
  <c r="C32" i="1"/>
  <c r="P52" i="1" l="1"/>
  <c r="B34" i="1"/>
  <c r="C33" i="1"/>
  <c r="F18" i="5"/>
  <c r="D32" i="1"/>
  <c r="F17" i="5" l="1"/>
  <c r="D31" i="1"/>
  <c r="B35" i="1"/>
  <c r="Q52" i="1"/>
  <c r="C34" i="1"/>
  <c r="C35" i="1" l="1"/>
  <c r="R52" i="1"/>
  <c r="B36" i="1"/>
  <c r="D30" i="1"/>
  <c r="F16" i="5"/>
  <c r="F15" i="5" l="1"/>
  <c r="D29" i="1"/>
  <c r="S52" i="1"/>
  <c r="B37" i="1"/>
  <c r="C36" i="1"/>
  <c r="B38" i="1" l="1"/>
  <c r="T52" i="1"/>
  <c r="C37" i="1"/>
  <c r="F14" i="5"/>
  <c r="D28" i="1"/>
  <c r="F13" i="5" l="1"/>
  <c r="D27" i="1"/>
  <c r="U52" i="1"/>
  <c r="B39" i="1"/>
  <c r="C38" i="1"/>
  <c r="B40" i="1" l="1"/>
  <c r="C39" i="1"/>
  <c r="V52" i="1"/>
  <c r="F12" i="5"/>
  <c r="D26" i="1"/>
  <c r="D25" i="1" l="1"/>
  <c r="F11" i="5"/>
  <c r="C40" i="1"/>
  <c r="B41" i="1"/>
  <c r="W52" i="1"/>
  <c r="X52" i="1" l="1"/>
  <c r="B42" i="1"/>
  <c r="C41" i="1"/>
  <c r="F10" i="5"/>
  <c r="D24" i="1"/>
  <c r="F9" i="5" l="1"/>
  <c r="D23" i="1"/>
  <c r="Y52" i="1"/>
  <c r="C42" i="1"/>
  <c r="B43" i="1"/>
  <c r="C43" i="1" l="1"/>
  <c r="B44" i="1"/>
  <c r="Z52" i="1"/>
  <c r="D22" i="1"/>
  <c r="F8" i="5"/>
  <c r="B45" i="1" l="1"/>
  <c r="C44" i="1"/>
  <c r="AA52" i="1"/>
  <c r="F7" i="5"/>
  <c r="D21" i="1"/>
  <c r="F6" i="5" l="1"/>
  <c r="D20" i="1"/>
  <c r="B46" i="1"/>
  <c r="C45" i="1"/>
  <c r="AB52" i="1"/>
  <c r="B47" i="1" l="1"/>
  <c r="C46" i="1"/>
  <c r="AC52" i="1"/>
  <c r="F5" i="5"/>
  <c r="D19" i="1"/>
  <c r="F4" i="5" s="1"/>
  <c r="M18" i="5"/>
  <c r="M21" i="5"/>
  <c r="M17" i="5"/>
  <c r="M4" i="5"/>
  <c r="M9" i="5"/>
  <c r="M7" i="5"/>
  <c r="M11" i="5"/>
  <c r="M19" i="5"/>
  <c r="M12" i="5"/>
  <c r="M5" i="5"/>
  <c r="M24" i="5"/>
  <c r="M13" i="5"/>
  <c r="M22" i="5"/>
  <c r="M14" i="5"/>
  <c r="M25" i="5"/>
  <c r="M29" i="5"/>
  <c r="M10" i="5"/>
  <c r="M16" i="5"/>
  <c r="M8" i="5"/>
  <c r="M6" i="5"/>
  <c r="M23" i="5"/>
  <c r="M30" i="5"/>
  <c r="M20" i="5"/>
  <c r="M26" i="5"/>
  <c r="M27" i="5"/>
  <c r="M15" i="5"/>
  <c r="M28" i="5"/>
  <c r="B13" i="7" l="1"/>
  <c r="B29" i="7"/>
  <c r="B14" i="7"/>
  <c r="B30" i="7"/>
  <c r="B16" i="7"/>
  <c r="B17" i="7"/>
  <c r="B18" i="7"/>
  <c r="B19" i="7"/>
  <c r="B20" i="7"/>
  <c r="B15" i="7"/>
  <c r="B21" i="7"/>
  <c r="B6" i="7"/>
  <c r="B22" i="7"/>
  <c r="B7" i="7"/>
  <c r="B23" i="7"/>
  <c r="B8" i="7"/>
  <c r="B24" i="7"/>
  <c r="B9" i="7"/>
  <c r="B25" i="7"/>
  <c r="B31" i="7"/>
  <c r="B10" i="7"/>
  <c r="B26" i="7"/>
  <c r="B11" i="7"/>
  <c r="B27" i="7"/>
  <c r="B12" i="7"/>
  <c r="B28" i="7"/>
  <c r="B5" i="7"/>
  <c r="B48" i="1"/>
  <c r="C47" i="1"/>
  <c r="AD52" i="1"/>
  <c r="D9" i="7"/>
  <c r="D23" i="7"/>
  <c r="D31" i="7"/>
  <c r="G27" i="7"/>
  <c r="D29" i="7"/>
  <c r="D33" i="7"/>
  <c r="D24" i="7"/>
  <c r="D28" i="7"/>
  <c r="D26" i="7"/>
  <c r="D5" i="7"/>
  <c r="D34" i="7"/>
  <c r="D22" i="7"/>
  <c r="D13" i="7"/>
  <c r="D16" i="7"/>
  <c r="D25" i="7"/>
  <c r="D10" i="7"/>
  <c r="G28" i="7"/>
  <c r="G29" i="7"/>
  <c r="D11" i="7"/>
  <c r="D7" i="7"/>
  <c r="D27" i="7"/>
  <c r="D21" i="7"/>
  <c r="D8" i="7"/>
  <c r="D6" i="7"/>
  <c r="D17" i="7"/>
  <c r="D15" i="7"/>
  <c r="D20" i="7"/>
  <c r="D30" i="7"/>
  <c r="D14" i="7"/>
  <c r="D32" i="7"/>
  <c r="D12" i="7"/>
  <c r="D18" i="7"/>
  <c r="D19" i="7"/>
  <c r="G25" i="1" l="1"/>
  <c r="G48" i="1"/>
  <c r="G33" i="1"/>
  <c r="G24" i="1"/>
  <c r="G32" i="1"/>
  <c r="G38" i="1"/>
  <c r="G39" i="1"/>
  <c r="G23" i="1"/>
  <c r="G31" i="1"/>
  <c r="G40" i="1"/>
  <c r="G28" i="1"/>
  <c r="G22" i="1"/>
  <c r="G30" i="1"/>
  <c r="G26" i="1"/>
  <c r="G34" i="1"/>
  <c r="G44" i="1"/>
  <c r="G37" i="1"/>
  <c r="G29" i="1"/>
  <c r="G42" i="1"/>
  <c r="G20" i="1"/>
  <c r="G35" i="1"/>
  <c r="G41" i="1"/>
  <c r="G45" i="1"/>
  <c r="G43" i="1"/>
  <c r="G47" i="1"/>
  <c r="G21" i="1"/>
  <c r="G36" i="1"/>
  <c r="G46" i="1"/>
  <c r="G27" i="1"/>
  <c r="G19"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48" i="1"/>
  <c r="AE52" i="1"/>
  <c r="I27" i="1"/>
  <c r="I33" i="1"/>
  <c r="I37" i="1"/>
  <c r="I41" i="1"/>
  <c r="I44" i="1"/>
  <c r="I35" i="1"/>
  <c r="I32" i="1"/>
  <c r="I43" i="1"/>
  <c r="I20" i="1"/>
  <c r="I45" i="1"/>
  <c r="I23" i="1"/>
  <c r="I29" i="1"/>
  <c r="I19" i="1"/>
  <c r="I40" i="1"/>
  <c r="I31" i="1"/>
  <c r="I22" i="1"/>
  <c r="I47" i="1"/>
  <c r="I46" i="1"/>
  <c r="I21" i="1"/>
  <c r="I30" i="1"/>
  <c r="I25" i="1"/>
  <c r="I48" i="1"/>
  <c r="I24" i="1"/>
  <c r="I38" i="1"/>
  <c r="I42" i="1"/>
  <c r="I28" i="1"/>
  <c r="I36" i="1"/>
  <c r="I26" i="1"/>
  <c r="I34" i="1"/>
  <c r="I39" i="1"/>
</calcChain>
</file>

<file path=xl/sharedStrings.xml><?xml version="1.0" encoding="utf-8"?>
<sst xmlns="http://schemas.openxmlformats.org/spreadsheetml/2006/main" count="429" uniqueCount="184">
  <si>
    <t>Clause 6 - Sizing Calibration - Initial Threshold Setting</t>
  </si>
  <si>
    <t>Reference Fluid Dilution Calculator</t>
  </si>
  <si>
    <t>Dilution to</t>
  </si>
  <si>
    <t>Captured</t>
  </si>
  <si>
    <t>RM</t>
  </si>
  <si>
    <t>37D</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</si>
  <si>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</si>
  <si>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</si>
  <si>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</si>
  <si>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</si>
  <si>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</si>
  <si>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</si>
  <si>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</si>
  <si>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</si>
  <si>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</si>
  <si>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</si>
  <si>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</si>
  <si>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</si>
  <si>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</si>
  <si>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</si>
  <si>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</si>
  <si>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</si>
  <si>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</si>
  <si>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</si>
  <si>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</si>
  <si>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</si>
  <si>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</si>
  <si>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</si>
  <si>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</si>
  <si>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</si>
  <si>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</si>
  <si>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</si>
  <si>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</si>
  <si>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</si>
  <si>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</si>
  <si>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</si>
  <si>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</si>
  <si>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</si>
  <si>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</si>
  <si>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</si>
  <si>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</si>
  <si>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</si>
  <si>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</si>
  <si>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</si>
  <si>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</si>
  <si>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</si>
  <si>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ENSURE CALIBRATION THRESHOLDS LOADED INTO INSTRUMENT</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</si>
  <si>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</si>
  <si>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</si>
  <si>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</si>
  <si>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</si>
  <si>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</si>
  <si>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</si>
  <si>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</si>
  <si>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</si>
  <si>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</si>
  <si>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</si>
  <si>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</si>
  <si>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</si>
  <si>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</si>
  <si>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</si>
  <si>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</si>
  <si>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</si>
  <si>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</si>
  <si>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</si>
  <si>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</si>
  <si>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</si>
  <si>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</si>
  <si>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</si>
  <si>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</si>
  <si>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</si>
  <si>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</si>
  <si>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</si>
  <si>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</si>
  <si>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</si>
  <si>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</si>
  <si>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</si>
  <si>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</si>
  <si>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</si>
  <si>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</si>
  <si>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</si>
  <si>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</si>
  <si>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</si>
  <si>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</si>
  <si>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</si>
  <si>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</si>
  <si>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</si>
  <si>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</si>
  <si>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</si>
  <si>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</si>
  <si>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</si>
  <si>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</si>
  <si>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</si>
  <si>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</si>
  <si>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</si>
  <si>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</si>
  <si>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</si>
  <si>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</si>
  <si>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</si>
  <si>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</si>
  <si>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</si>
  <si>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</si>
  <si>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</si>
  <si>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</si>
  <si>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</si>
  <si>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</si>
  <si>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</si>
  <si>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</si>
  <si>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</si>
  <si>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</si>
  <si>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</si>
  <si>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</si>
  <si>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</si>
  <si>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</si>
  <si>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</si>
  <si>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</si>
  <si>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</si>
  <si>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</si>
  <si>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</si>
  <si>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</si>
  <si>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</si>
  <si>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</si>
  <si>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</si>
  <si>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</si>
  <si>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</si>
  <si>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</si>
  <si>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</si>
  <si>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</si>
  <si>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</si>
  <si>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</si>
  <si>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</si>
  <si>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</si>
  <si>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</si>
  <si>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</si>
  <si>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</si>
  <si>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</si>
  <si>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</si>
  <si>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</si>
  <si>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</si>
  <si>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</si>
  <si>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</si>
  <si>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</si>
  <si>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</si>
  <si>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</si>
  <si>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</si>
  <si>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</si>
  <si>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</si>
  <si>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</si>
  <si>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</si>
  <si>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</si>
  <si>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</si>
  <si>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</si>
  <si>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</si>
  <si>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</si>
  <si>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</si>
  <si>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</si>
  <si>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</si>
  <si>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</si>
  <si>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</si>
  <si>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</si>
  <si>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</si>
  <si>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</si>
  <si>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</si>
  <si>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</si>
  <si>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</si>
  <si>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</si>
  <si>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</si>
  <si>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</si>
  <si>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</si>
  <si>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</si>
  <si>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</si>
  <si>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</si>
  <si>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</si>
  <si>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</si>
  <si>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</si>
  <si>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</si>
  <si>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</si>
  <si>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</si>
  <si>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</si>
  <si>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</si>
  <si>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</si>
  <si>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</si>
  <si>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SRM2806d</t>
  </si>
  <si>
    <t>Beam Flow Correction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</si>
</sst>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1" x14ac:knownFonts="1">
    <font>
      <sz val="10"/>
      <name val="Arial"/>
      <family val="2"/>
    </font>
    <font>
      <sz val="11"/>
      <color theme="1"/>
      <name val="Arial"/>
      <family val="2"/>
      <scheme val="minor"/>
    </font>
    <font>
      <sz val="11"/>
      <color theme="1"/>
      <name val="Arial"/>
      <family val="2"/>
      <scheme val="minor"/>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s>
  <cellStyleXfs count="6">
    <xf numFmtId="0" fontId="0" fillId="0" borderId="0"/>
    <xf numFmtId="9" fontId="5" fillId="0" borderId="0" applyFont="0" applyFill="0" applyBorder="0" applyAlignment="0" applyProtection="0"/>
    <xf numFmtId="0" fontId="4" fillId="2" borderId="1" applyNumberFormat="0" applyAlignment="0" applyProtection="0"/>
    <xf numFmtId="0" fontId="3" fillId="3" borderId="0" applyNumberFormat="0" applyBorder="0" applyAlignment="0" applyProtection="0"/>
    <xf numFmtId="0" fontId="25" fillId="0" borderId="22" applyNumberFormat="0" applyFill="0" applyAlignment="0" applyProtection="0"/>
    <xf numFmtId="0" fontId="30" fillId="0" borderId="0"/>
  </cellStyleXfs>
  <cellXfs count="158">
    <xf numFmtId="0" fontId="0" fillId="0" borderId="0" xfId="0"/>
    <xf numFmtId="0" fontId="6"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7" fillId="0" borderId="0" xfId="0" applyFont="1"/>
    <xf numFmtId="0" fontId="8" fillId="0" borderId="0" xfId="0" applyFont="1"/>
    <xf numFmtId="0" fontId="0" fillId="0" borderId="0" xfId="0" applyAlignment="1">
      <alignment horizontal="right" vertical="center"/>
    </xf>
    <xf numFmtId="0" fontId="5"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10" fillId="0" borderId="5" xfId="0" applyFont="1" applyBorder="1" applyAlignment="1">
      <alignment horizontal="right"/>
    </xf>
    <xf numFmtId="0" fontId="10" fillId="0" borderId="0" xfId="0" applyFont="1" applyAlignment="1">
      <alignment horizontal="right"/>
    </xf>
    <xf numFmtId="0" fontId="0" fillId="0" borderId="5" xfId="0" applyBorder="1"/>
    <xf numFmtId="1" fontId="0" fillId="0" borderId="0" xfId="0" applyNumberFormat="1"/>
    <xf numFmtId="0" fontId="9" fillId="0" borderId="0" xfId="0" applyFont="1"/>
    <xf numFmtId="164" fontId="0" fillId="0" borderId="0" xfId="0" applyNumberFormat="1" applyAlignment="1">
      <alignment horizontal="right" vertical="center"/>
    </xf>
    <xf numFmtId="2" fontId="5" fillId="0" borderId="0" xfId="0" applyNumberFormat="1" applyFont="1"/>
    <xf numFmtId="0" fontId="0" fillId="0" borderId="0" xfId="0" applyAlignment="1">
      <alignment horizontal="left"/>
    </xf>
    <xf numFmtId="0" fontId="3" fillId="3" borderId="0" xfId="3" applyAlignment="1">
      <alignment horizontal="left"/>
    </xf>
    <xf numFmtId="0" fontId="0" fillId="0" borderId="5" xfId="0" applyBorder="1" applyAlignment="1">
      <alignment horizontal="right"/>
    </xf>
    <xf numFmtId="165" fontId="0" fillId="0" borderId="0" xfId="0" applyNumberFormat="1" applyAlignment="1">
      <alignment horizontal="lef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2" fillId="0" borderId="0" xfId="0" applyFont="1"/>
    <xf numFmtId="0" fontId="10" fillId="0" borderId="10" xfId="0" applyFont="1" applyBorder="1"/>
    <xf numFmtId="0" fontId="10" fillId="0" borderId="0" xfId="0" applyFont="1"/>
    <xf numFmtId="164" fontId="10" fillId="0" borderId="11" xfId="0" applyNumberFormat="1" applyFont="1" applyBorder="1"/>
    <xf numFmtId="0" fontId="11" fillId="0" borderId="0" xfId="0" applyFont="1"/>
    <xf numFmtId="164" fontId="0" fillId="0" borderId="0" xfId="0" applyNumberFormat="1"/>
    <xf numFmtId="165" fontId="0" fillId="0" borderId="0" xfId="0" applyNumberFormat="1"/>
    <xf numFmtId="166" fontId="10" fillId="0" borderId="0" xfId="0" applyNumberFormat="1" applyFont="1" applyAlignment="1">
      <alignment horizontal="right"/>
    </xf>
    <xf numFmtId="167" fontId="0" fillId="0" borderId="0" xfId="0" applyNumberFormat="1"/>
    <xf numFmtId="166" fontId="10" fillId="0" borderId="0" xfId="0" applyNumberFormat="1" applyFont="1"/>
    <xf numFmtId="1" fontId="0" fillId="0" borderId="0" xfId="0" applyNumberFormat="1" applyAlignment="1">
      <alignment horizontal="right"/>
    </xf>
    <xf numFmtId="10" fontId="0" fillId="0" borderId="0" xfId="0" applyNumberFormat="1"/>
    <xf numFmtId="0" fontId="0" fillId="0" borderId="13" xfId="0" applyBorder="1"/>
    <xf numFmtId="0" fontId="0" fillId="0" borderId="14" xfId="0" applyBorder="1" applyAlignment="1">
      <alignment horizontal="right"/>
    </xf>
    <xf numFmtId="0" fontId="0" fillId="0" borderId="13" xfId="0" applyBorder="1" applyAlignment="1">
      <alignment horizontal="right"/>
    </xf>
    <xf numFmtId="0" fontId="0" fillId="0" borderId="14" xfId="0" applyBorder="1"/>
    <xf numFmtId="0" fontId="0" fillId="0" borderId="15" xfId="0" applyBorder="1"/>
    <xf numFmtId="0" fontId="0" fillId="0" borderId="16" xfId="0" applyBorder="1" applyAlignment="1">
      <alignment horizontal="right"/>
    </xf>
    <xf numFmtId="0" fontId="0" fillId="0" borderId="17" xfId="0" applyBorder="1" applyAlignment="1">
      <alignment horizontal="right"/>
    </xf>
    <xf numFmtId="0" fontId="0" fillId="0" borderId="18" xfId="0" applyBorder="1" applyAlignment="1">
      <alignment horizontal="right"/>
    </xf>
    <xf numFmtId="0" fontId="0" fillId="0" borderId="19" xfId="0" applyBorder="1"/>
    <xf numFmtId="0" fontId="0" fillId="0" borderId="20" xfId="0" applyBorder="1"/>
    <xf numFmtId="0" fontId="0" fillId="0" borderId="16" xfId="0" applyBorder="1"/>
    <xf numFmtId="0" fontId="0" fillId="0" borderId="17" xfId="0" applyBorder="1"/>
    <xf numFmtId="0" fontId="0" fillId="0" borderId="18" xfId="0" applyBorder="1"/>
    <xf numFmtId="0" fontId="3" fillId="3" borderId="0" xfId="3"/>
    <xf numFmtId="0" fontId="10" fillId="0" borderId="12" xfId="0" applyFont="1" applyBorder="1" applyAlignment="1">
      <alignment horizontal="right"/>
    </xf>
    <xf numFmtId="0" fontId="15" fillId="0" borderId="0" xfId="0" applyFont="1"/>
    <xf numFmtId="0" fontId="16" fillId="0" borderId="0" xfId="0" applyFont="1" applyAlignment="1">
      <alignment horizontal="right"/>
    </xf>
    <xf numFmtId="0" fontId="16" fillId="0" borderId="0" xfId="0" applyFont="1"/>
    <xf numFmtId="0" fontId="17" fillId="0" borderId="0" xfId="0" applyFont="1"/>
    <xf numFmtId="0" fontId="0" fillId="4" borderId="21" xfId="0" applyFill="1" applyBorder="1" applyAlignment="1">
      <alignment horizontal="center" vertical="center" wrapText="1"/>
    </xf>
    <xf numFmtId="0" fontId="0" fillId="4" borderId="21" xfId="0" applyFill="1" applyBorder="1" applyAlignment="1">
      <alignment horizontal="center" wrapText="1"/>
    </xf>
    <xf numFmtId="0" fontId="10" fillId="5" borderId="21" xfId="0" applyFont="1" applyFill="1" applyBorder="1" applyAlignment="1">
      <alignment horizontal="center"/>
    </xf>
    <xf numFmtId="0" fontId="10" fillId="5" borderId="21" xfId="0" applyFont="1" applyFill="1" applyBorder="1" applyAlignment="1">
      <alignment horizontal="center" wrapText="1"/>
    </xf>
    <xf numFmtId="0" fontId="0" fillId="5" borderId="21" xfId="0" applyFill="1" applyBorder="1" applyAlignment="1">
      <alignment horizontal="center" vertical="center"/>
    </xf>
    <xf numFmtId="0" fontId="0" fillId="5" borderId="21" xfId="0" applyFill="1" applyBorder="1" applyAlignment="1">
      <alignment horizontal="center" wrapText="1"/>
    </xf>
    <xf numFmtId="0" fontId="0" fillId="5" borderId="21" xfId="0" applyFill="1" applyBorder="1" applyAlignment="1">
      <alignment horizontal="center"/>
    </xf>
    <xf numFmtId="0" fontId="19" fillId="5" borderId="21" xfId="0" applyFont="1" applyFill="1" applyBorder="1" applyAlignment="1">
      <alignment horizontal="center"/>
    </xf>
    <xf numFmtId="0" fontId="20" fillId="0" borderId="0" xfId="0" applyFont="1" applyAlignment="1">
      <alignment horizontal="right"/>
    </xf>
    <xf numFmtId="10" fontId="21" fillId="0" borderId="0" xfId="0" applyNumberFormat="1" applyFont="1" applyAlignment="1">
      <alignment horizontal="right"/>
    </xf>
    <xf numFmtId="0" fontId="0" fillId="6" borderId="21" xfId="0" applyFill="1" applyBorder="1"/>
    <xf numFmtId="0" fontId="0" fillId="0" borderId="21" xfId="0" applyBorder="1"/>
    <xf numFmtId="3" fontId="0" fillId="0" borderId="0" xfId="0" applyNumberFormat="1"/>
    <xf numFmtId="0" fontId="9" fillId="0" borderId="0" xfId="0" applyFont="1" applyAlignment="1">
      <alignment horizontal="right"/>
    </xf>
    <xf numFmtId="164" fontId="9" fillId="0" borderId="0" xfId="0" applyNumberFormat="1" applyFont="1" applyAlignment="1">
      <alignment horizontal="right"/>
    </xf>
    <xf numFmtId="0" fontId="8" fillId="0" borderId="0" xfId="0" applyFont="1" applyAlignment="1">
      <alignment horizontal="right"/>
    </xf>
    <xf numFmtId="164" fontId="8" fillId="0" borderId="0" xfId="0" applyNumberFormat="1" applyFont="1" applyAlignment="1">
      <alignment horizontal="right"/>
    </xf>
    <xf numFmtId="0" fontId="0" fillId="0" borderId="0" xfId="0" applyProtection="1">
      <protection locked="0"/>
    </xf>
    <xf numFmtId="0" fontId="0" fillId="0" borderId="14" xfId="0" applyBorder="1" applyProtection="1">
      <protection locked="0"/>
    </xf>
    <xf numFmtId="168" fontId="0" fillId="0" borderId="19" xfId="0" applyNumberFormat="1" applyBorder="1" applyProtection="1">
      <protection locked="0"/>
    </xf>
    <xf numFmtId="0" fontId="10" fillId="0" borderId="19" xfId="0" applyFont="1" applyBorder="1" applyProtection="1">
      <protection locked="0"/>
    </xf>
    <xf numFmtId="2" fontId="0" fillId="0" borderId="19" xfId="0" applyNumberFormat="1" applyBorder="1" applyProtection="1">
      <protection locked="0"/>
    </xf>
    <xf numFmtId="1" fontId="10" fillId="0" borderId="19" xfId="0" applyNumberFormat="1" applyFont="1" applyBorder="1" applyProtection="1">
      <protection locked="0"/>
    </xf>
    <xf numFmtId="1" fontId="0" fillId="0" borderId="19" xfId="0" applyNumberFormat="1" applyBorder="1" applyProtection="1">
      <protection locked="0"/>
    </xf>
    <xf numFmtId="166" fontId="0" fillId="0" borderId="19" xfId="0" applyNumberFormat="1" applyBorder="1"/>
    <xf numFmtId="0" fontId="10" fillId="0" borderId="19" xfId="0" applyFont="1" applyBorder="1"/>
    <xf numFmtId="0" fontId="22" fillId="0" borderId="0" xfId="0" applyFont="1"/>
    <xf numFmtId="2" fontId="0" fillId="0" borderId="0" xfId="0" applyNumberFormat="1"/>
    <xf numFmtId="0" fontId="24" fillId="0" borderId="0" xfId="0" applyFont="1" applyAlignment="1">
      <alignment vertical="center"/>
    </xf>
    <xf numFmtId="1" fontId="4" fillId="2" borderId="1" xfId="2" applyNumberFormat="1"/>
    <xf numFmtId="164" fontId="3" fillId="3" borderId="11" xfId="3" applyNumberFormat="1" applyBorder="1"/>
    <xf numFmtId="0" fontId="3" fillId="3" borderId="11" xfId="3" applyBorder="1" applyAlignment="1">
      <alignment horizontal="right"/>
    </xf>
    <xf numFmtId="0" fontId="2" fillId="3" borderId="10" xfId="3" applyFont="1" applyBorder="1"/>
    <xf numFmtId="0" fontId="26" fillId="0" borderId="0" xfId="0" applyFont="1" applyAlignment="1">
      <alignment horizontal="right"/>
    </xf>
    <xf numFmtId="0" fontId="27" fillId="0" borderId="0" xfId="0" applyFont="1"/>
    <xf numFmtId="167" fontId="27" fillId="0" borderId="0" xfId="1" applyNumberFormat="1" applyFont="1"/>
    <xf numFmtId="166" fontId="27" fillId="0" borderId="0" xfId="0" applyNumberFormat="1" applyFont="1"/>
    <xf numFmtId="166" fontId="4" fillId="2" borderId="1" xfId="2" applyNumberFormat="1"/>
    <xf numFmtId="1" fontId="27" fillId="0" borderId="0" xfId="0" applyNumberFormat="1" applyFont="1"/>
    <xf numFmtId="0" fontId="19" fillId="0" borderId="21" xfId="0" applyFont="1" applyBorder="1" applyAlignment="1">
      <alignment horizontal="center" vertical="center"/>
    </xf>
    <xf numFmtId="0" fontId="19" fillId="0" borderId="21" xfId="0" applyFont="1" applyBorder="1" applyAlignment="1">
      <alignment horizontal="center" vertical="center" wrapText="1"/>
    </xf>
    <xf numFmtId="0" fontId="19" fillId="0" borderId="21" xfId="0" applyFont="1" applyBorder="1" applyAlignment="1">
      <alignment horizontal="center" wrapText="1"/>
    </xf>
    <xf numFmtId="0" fontId="19" fillId="0" borderId="21" xfId="0" applyFont="1" applyBorder="1" applyAlignment="1">
      <alignment horizontal="center"/>
    </xf>
    <xf numFmtId="1" fontId="27" fillId="0" borderId="14" xfId="0" applyNumberFormat="1" applyFont="1" applyBorder="1"/>
    <xf numFmtId="0" fontId="26" fillId="0" borderId="14" xfId="0" applyFont="1" applyBorder="1"/>
    <xf numFmtId="0" fontId="26" fillId="0" borderId="0" xfId="0" applyFont="1"/>
    <xf numFmtId="0" fontId="27" fillId="0" borderId="17" xfId="0" applyFont="1" applyBorder="1"/>
    <xf numFmtId="0" fontId="26" fillId="0" borderId="17" xfId="0" applyFont="1" applyBorder="1"/>
    <xf numFmtId="0" fontId="27" fillId="0" borderId="13" xfId="0" applyFont="1" applyBorder="1"/>
    <xf numFmtId="1" fontId="26" fillId="0" borderId="15" xfId="0" applyNumberFormat="1" applyFont="1" applyBorder="1"/>
    <xf numFmtId="0" fontId="27" fillId="0" borderId="19" xfId="0" applyFont="1" applyBorder="1"/>
    <xf numFmtId="1" fontId="26" fillId="0" borderId="20" xfId="0" applyNumberFormat="1" applyFont="1" applyBorder="1"/>
    <xf numFmtId="0" fontId="27" fillId="0" borderId="16" xfId="0" applyFont="1" applyBorder="1"/>
    <xf numFmtId="1" fontId="26" fillId="0" borderId="18" xfId="0" applyNumberFormat="1" applyFont="1" applyBorder="1"/>
    <xf numFmtId="0" fontId="0" fillId="0" borderId="2" xfId="0" applyBorder="1"/>
    <xf numFmtId="0" fontId="0" fillId="0" borderId="3" xfId="0" applyBorder="1"/>
    <xf numFmtId="0" fontId="4" fillId="2" borderId="25" xfId="2" applyBorder="1"/>
    <xf numFmtId="0" fontId="4" fillId="2" borderId="26" xfId="2" applyBorder="1"/>
    <xf numFmtId="0" fontId="4" fillId="2" borderId="27" xfId="2" applyBorder="1"/>
    <xf numFmtId="1" fontId="26" fillId="0" borderId="0" xfId="0" applyNumberFormat="1" applyFont="1"/>
    <xf numFmtId="165" fontId="4" fillId="2" borderId="1" xfId="2" applyNumberFormat="1"/>
    <xf numFmtId="0" fontId="30" fillId="0" borderId="0" xfId="5"/>
    <xf numFmtId="0" fontId="10"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4" fillId="2" borderId="25" xfId="2" applyNumberFormat="1" applyBorder="1"/>
    <xf numFmtId="1" fontId="4" fillId="2" borderId="26" xfId="2" applyNumberFormat="1" applyBorder="1"/>
    <xf numFmtId="1" fontId="4" fillId="2" borderId="27" xfId="2" applyNumberFormat="1" applyBorder="1"/>
    <xf numFmtId="164" fontId="3" fillId="3" borderId="0" xfId="3" applyNumberFormat="1" applyAlignment="1">
      <alignment horizontal="left"/>
    </xf>
    <xf numFmtId="166" fontId="28" fillId="2" borderId="1" xfId="2" applyNumberFormat="1" applyFont="1"/>
    <xf numFmtId="0" fontId="27" fillId="0" borderId="0" xfId="0" applyFont="1" applyAlignment="1">
      <alignment horizontal="right"/>
    </xf>
    <xf numFmtId="0" fontId="27" fillId="0" borderId="2" xfId="0" applyFont="1" applyBorder="1"/>
    <xf numFmtId="166" fontId="27" fillId="0" borderId="4" xfId="0" applyNumberFormat="1" applyFont="1" applyBorder="1"/>
    <xf numFmtId="0" fontId="27" fillId="0" borderId="5" xfId="0" applyFont="1" applyBorder="1"/>
    <xf numFmtId="166" fontId="27" fillId="0" borderId="6" xfId="0" applyNumberFormat="1" applyFont="1" applyBorder="1"/>
    <xf numFmtId="0" fontId="27" fillId="0" borderId="7" xfId="0" applyFont="1" applyBorder="1"/>
    <xf numFmtId="166" fontId="27" fillId="0" borderId="9" xfId="0" applyNumberFormat="1" applyFont="1" applyBorder="1"/>
    <xf numFmtId="0" fontId="25" fillId="0" borderId="22" xfId="4"/>
    <xf numFmtId="0" fontId="25" fillId="0" borderId="28" xfId="4" applyBorder="1" applyAlignment="1">
      <alignment horizontal="left"/>
    </xf>
    <xf numFmtId="0" fontId="30"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0" fontId="10" fillId="0" borderId="5" xfId="0" applyFont="1" applyBorder="1" applyProtection="1">
      <protection locked="0"/>
    </xf>
    <xf numFmtId="2" fontId="0" fillId="0" borderId="5" xfId="0" applyNumberFormat="1" applyBorder="1" applyProtection="1">
      <protection locked="0"/>
    </xf>
    <xf numFmtId="1" fontId="10" fillId="0" borderId="5" xfId="0" applyNumberFormat="1" applyFont="1" applyBorder="1" applyProtection="1">
      <protection locked="0"/>
    </xf>
    <xf numFmtId="166" fontId="0" fillId="0" borderId="5" xfId="0" applyNumberFormat="1" applyBorder="1"/>
    <xf numFmtId="0" fontId="0" fillId="0" borderId="8" xfId="0" applyBorder="1"/>
    <xf numFmtId="10" fontId="4" fillId="2" borderId="1" xfId="2" applyNumberFormat="1"/>
    <xf numFmtId="0" fontId="29" fillId="2" borderId="1" xfId="2" applyFont="1"/>
    <xf numFmtId="0" fontId="1" fillId="3" borderId="0" xfId="3" applyFont="1"/>
    <xf numFmtId="0" fontId="11" fillId="0" borderId="0" xfId="0" applyFont="1" applyAlignment="1">
      <alignment horizontal="left" vertical="center"/>
    </xf>
    <xf numFmtId="0" fontId="0" fillId="0" borderId="0" xfId="0" applyAlignment="1">
      <alignment vertical="center" wrapText="1"/>
    </xf>
    <xf numFmtId="0" fontId="19" fillId="0" borderId="23" xfId="0" applyFont="1" applyBorder="1" applyAlignment="1">
      <alignment horizontal="center"/>
    </xf>
    <xf numFmtId="0" fontId="19" fillId="0" borderId="24" xfId="0" applyFont="1" applyBorder="1" applyAlignment="1">
      <alignment horizontal="center"/>
    </xf>
    <xf numFmtId="0" fontId="0" fillId="0" borderId="23" xfId="0" applyBorder="1" applyAlignment="1">
      <alignment wrapText="1"/>
    </xf>
    <xf numFmtId="0" fontId="0" fillId="0" borderId="24" xfId="0" applyBorder="1" applyAlignment="1">
      <alignment wrapText="1"/>
    </xf>
  </cellXfs>
  <cellStyles count="6">
    <cellStyle name="20% - Accent2" xfId="3" builtinId="34"/>
    <cellStyle name="Calculation" xfId="2" builtinId="22"/>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5.5328130665617259E-3</c:v>
                </c:pt>
                <c:pt idx="1">
                  <c:v>1.7101373696310596E-2</c:v>
                </c:pt>
                <c:pt idx="2">
                  <c:v>-2.3417612905973662E-2</c:v>
                </c:pt>
                <c:pt idx="3">
                  <c:v>-1.909899114886926E-3</c:v>
                </c:pt>
                <c:pt idx="4">
                  <c:v>2.6933252579883771E-3</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3.9054251148551433E-3</c:v>
                </c:pt>
                <c:pt idx="1">
                  <c:v>1.669359468672571E-2</c:v>
                </c:pt>
                <c:pt idx="2">
                  <c:v>-2.3464125726515017E-2</c:v>
                </c:pt>
                <c:pt idx="3">
                  <c:v>-2.5561461931701279E-3</c:v>
                </c:pt>
                <c:pt idx="4">
                  <c:v>5.4212521181045137E-3</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2.2061141355425029E-3</c:v>
                </c:pt>
                <c:pt idx="1">
                  <c:v>1.8037763224598047E-2</c:v>
                </c:pt>
                <c:pt idx="2">
                  <c:v>-2.4667469615255677E-2</c:v>
                </c:pt>
                <c:pt idx="3">
                  <c:v>-2.6302819669736799E-3</c:v>
                </c:pt>
                <c:pt idx="4">
                  <c:v>7.0538742220886963E-3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8.3775218317061473E-4</c:v>
                </c:pt>
                <c:pt idx="1">
                  <c:v>1.8205106736824739E-2</c:v>
                </c:pt>
                <c:pt idx="2">
                  <c:v>-2.3421684104969587E-2</c:v>
                </c:pt>
                <c:pt idx="3">
                  <c:v>-3.150084622224214E-3</c:v>
                </c:pt>
                <c:pt idx="4">
                  <c:v>7.5289098071982252E-3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5.9044526054785607E-4</c:v>
                </c:pt>
                <c:pt idx="1">
                  <c:v>1.7429900972431467E-2</c:v>
                </c:pt>
                <c:pt idx="2">
                  <c:v>-2.2379962543436771E-2</c:v>
                </c:pt>
                <c:pt idx="3">
                  <c:v>-3.791025814560145E-3</c:v>
                </c:pt>
                <c:pt idx="4">
                  <c:v>8.1506421250174821E-3</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1.6282488084904401E-3</c:v>
                </c:pt>
                <c:pt idx="1">
                  <c:v>1.7722253864577597E-2</c:v>
                </c:pt>
                <c:pt idx="2">
                  <c:v>-2.0756061626996614E-2</c:v>
                </c:pt>
                <c:pt idx="3">
                  <c:v>-6.7395601939110872E-3</c:v>
                </c:pt>
                <c:pt idx="4">
                  <c:v>8.1451191478396634E-3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2.1997064260010912E-3</c:v>
                </c:pt>
                <c:pt idx="1">
                  <c:v>1.5849198037738876E-2</c:v>
                </c:pt>
                <c:pt idx="2">
                  <c:v>-2.1394142245618863E-2</c:v>
                </c:pt>
                <c:pt idx="3">
                  <c:v>-5.0700447311412544E-3</c:v>
                </c:pt>
                <c:pt idx="4">
                  <c:v>8.4152825130201503E-3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-1.122137429407366E-3</c:v>
                </c:pt>
                <c:pt idx="1">
                  <c:v>1.6795753942622449E-2</c:v>
                </c:pt>
                <c:pt idx="2">
                  <c:v>-2.0555237400552984E-2</c:v>
                </c:pt>
                <c:pt idx="3">
                  <c:v>-4.0600149913967432E-3</c:v>
                </c:pt>
                <c:pt idx="4">
                  <c:v>8.941635878735088E-3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1.896491309572923E-3</c:v>
                </c:pt>
                <c:pt idx="1">
                  <c:v>1.5765980213240605E-2</c:v>
                </c:pt>
                <c:pt idx="2">
                  <c:v>-1.7745639183985973E-2</c:v>
                </c:pt>
                <c:pt idx="3">
                  <c:v>-7.6414195790813766E-3</c:v>
                </c:pt>
                <c:pt idx="4">
                  <c:v>7.7245872402542659E-3</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1.2180429423214179E-3</c:v>
                </c:pt>
                <c:pt idx="1">
                  <c:v>1.5882562072639717E-2</c:v>
                </c:pt>
                <c:pt idx="2">
                  <c:v>-1.4321748382252419E-2</c:v>
                </c:pt>
                <c:pt idx="3">
                  <c:v>-1.0613023884091022E-2</c:v>
                </c:pt>
                <c:pt idx="4">
                  <c:v>7.834167251383084E-3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3.2495181585681099E-3</c:v>
                </c:pt>
                <c:pt idx="1">
                  <c:v>1.7221859109825433E-2</c:v>
                </c:pt>
                <c:pt idx="2">
                  <c:v>-1.5474654684293099E-2</c:v>
                </c:pt>
                <c:pt idx="3">
                  <c:v>-9.2869190414507363E-3</c:v>
                </c:pt>
                <c:pt idx="4">
                  <c:v>4.2901964573509588E-3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7.0080560312848483E-3</c:v>
                </c:pt>
                <c:pt idx="1">
                  <c:v>1.6446212112996905E-2</c:v>
                </c:pt>
                <c:pt idx="2">
                  <c:v>-1.5715107874954115E-2</c:v>
                </c:pt>
                <c:pt idx="3">
                  <c:v>-1.2431617808703277E-2</c:v>
                </c:pt>
                <c:pt idx="4">
                  <c:v>4.6924575393751944E-3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4.4328033231442188E-3</c:v>
                </c:pt>
                <c:pt idx="1">
                  <c:v>1.7976479443601923E-2</c:v>
                </c:pt>
                <c:pt idx="2">
                  <c:v>-1.1051196936010532E-2</c:v>
                </c:pt>
                <c:pt idx="3">
                  <c:v>-9.886862143136943E-3</c:v>
                </c:pt>
                <c:pt idx="4">
                  <c:v>-1.4712236875982221E-3</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2.3256390870531884E-3</c:v>
                </c:pt>
                <c:pt idx="1">
                  <c:v>1.5099306185825112E-2</c:v>
                </c:pt>
                <c:pt idx="2">
                  <c:v>-9.3183108285016525E-3</c:v>
                </c:pt>
                <c:pt idx="3">
                  <c:v>-1.1865854301863932E-2</c:v>
                </c:pt>
                <c:pt idx="4">
                  <c:v>3.7592198574876168E-3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8.399869166519025E-3</c:v>
                </c:pt>
                <c:pt idx="1">
                  <c:v>1.5548899844185726E-2</c:v>
                </c:pt>
                <c:pt idx="2">
                  <c:v>-8.7702915757916777E-3</c:v>
                </c:pt>
                <c:pt idx="3">
                  <c:v>-1.8069536343297887E-2</c:v>
                </c:pt>
                <c:pt idx="4">
                  <c:v>2.8910589083852578E-3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1.3911692461986203E-2</c:v>
                </c:pt>
                <c:pt idx="1">
                  <c:v>1.1329339281043849E-2</c:v>
                </c:pt>
                <c:pt idx="2">
                  <c:v>-1.2061813030637691E-2</c:v>
                </c:pt>
                <c:pt idx="3">
                  <c:v>-1.5470495340396684E-2</c:v>
                </c:pt>
                <c:pt idx="4">
                  <c:v>2.291276628004324E-3</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6.9407570636339511E-3</c:v>
                </c:pt>
                <c:pt idx="1">
                  <c:v>4.2101004628620764E-3</c:v>
                </c:pt>
                <c:pt idx="2">
                  <c:v>-6.617158132035339E-3</c:v>
                </c:pt>
                <c:pt idx="3">
                  <c:v>-1.1320703909019514E-2</c:v>
                </c:pt>
                <c:pt idx="4">
                  <c:v>6.7870045145586033E-3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1.5296669230873139E-3</c:v>
                </c:pt>
                <c:pt idx="1">
                  <c:v>8.69009574332269E-3</c:v>
                </c:pt>
                <c:pt idx="2">
                  <c:v>-9.0729407578595822E-3</c:v>
                </c:pt>
                <c:pt idx="3">
                  <c:v>-4.0167545003336746E-3</c:v>
                </c:pt>
                <c:pt idx="4">
                  <c:v>2.8699325917835861E-3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1.7882659108336973E-4</c:v>
                </c:pt>
                <c:pt idx="1">
                  <c:v>1.416476182831139E-2</c:v>
                </c:pt>
                <c:pt idx="2">
                  <c:v>-6.0292018869632091E-3</c:v>
                </c:pt>
                <c:pt idx="3">
                  <c:v>-9.4333844649330256E-3</c:v>
                </c:pt>
                <c:pt idx="4">
                  <c:v>1.1189979325014754E-3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-8.9988152395982235E-3</c:v>
                </c:pt>
                <c:pt idx="1">
                  <c:v>1.8318979001893165E-2</c:v>
                </c:pt>
                <c:pt idx="2">
                  <c:v>6.7468371848788955E-4</c:v>
                </c:pt>
                <c:pt idx="3">
                  <c:v>-5.7945169517711337E-3</c:v>
                </c:pt>
                <c:pt idx="4">
                  <c:v>-4.2003305290119197E-3</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-7.9549160521577011E-3</c:v>
                </c:pt>
                <c:pt idx="1">
                  <c:v>9.5089642306909195E-3</c:v>
                </c:pt>
                <c:pt idx="2">
                  <c:v>3.6462621009745178E-3</c:v>
                </c:pt>
                <c:pt idx="3">
                  <c:v>-3.2187017501500437E-3</c:v>
                </c:pt>
                <c:pt idx="4">
                  <c:v>-1.9816085293578034E-3</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-2.1482382514387277E-3</c:v>
                </c:pt>
                <c:pt idx="1">
                  <c:v>8.1893856433883361E-3</c:v>
                </c:pt>
                <c:pt idx="2">
                  <c:v>4.1771588450065789E-3</c:v>
                </c:pt>
                <c:pt idx="3">
                  <c:v>-1.021830623695652E-2</c:v>
                </c:pt>
                <c:pt idx="4">
                  <c:v>0</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-1.273157038170325E-2</c:v>
                </c:pt>
                <c:pt idx="1">
                  <c:v>2.6547714675797751E-2</c:v>
                </c:pt>
                <c:pt idx="2">
                  <c:v>6.9474816025754116E-3</c:v>
                </c:pt>
                <c:pt idx="3">
                  <c:v>-2.0763625896670468E-2</c:v>
                </c:pt>
                <c:pt idx="4">
                  <c:v>0</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-3.7966566603013119E-2</c:v>
                </c:pt>
                <c:pt idx="1">
                  <c:v>5.4022416749130775E-2</c:v>
                </c:pt>
                <c:pt idx="2">
                  <c:v>-1.3359791054099013E-2</c:v>
                </c:pt>
                <c:pt idx="3">
                  <c:v>-2.6960590920180882E-3</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-3.7277346510034115E-2</c:v>
                </c:pt>
                <c:pt idx="1">
                  <c:v>3.9422585590443537E-2</c:v>
                </c:pt>
                <c:pt idx="2">
                  <c:v>-2.6884342648438531E-2</c:v>
                </c:pt>
                <c:pt idx="3">
                  <c:v>2.473910356802933E-2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-4.3846884323173185E-3</c:v>
                </c:pt>
                <c:pt idx="1">
                  <c:v>6.5397258650423673E-2</c:v>
                </c:pt>
                <c:pt idx="2">
                  <c:v>-5.8929412005492177E-2</c:v>
                </c:pt>
                <c:pt idx="3">
                  <c:v>-2.0831582126140669E-3</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-2.0541564597524986E-2</c:v>
                </c:pt>
                <c:pt idx="1">
                  <c:v>5.542958548520005E-2</c:v>
                </c:pt>
                <c:pt idx="2">
                  <c:v>-2.250619864468173E-2</c:v>
                </c:pt>
                <c:pt idx="3">
                  <c:v>-1.2381822242993223E-2</c:v>
                </c:pt>
                <c:pt idx="4">
                  <c:v>0</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-4.7865819972928714E-2</c:v>
                </c:pt>
                <c:pt idx="1">
                  <c:v>7.9084566561789416E-2</c:v>
                </c:pt>
                <c:pt idx="2">
                  <c:v>-5.8786541202406783E-2</c:v>
                </c:pt>
                <c:pt idx="3">
                  <c:v>2.7567794613546193E-2</c:v>
                </c:pt>
                <c:pt idx="4">
                  <c:v>0</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-5.5366733239240462E-3</c:v>
                </c:pt>
                <c:pt idx="1">
                  <c:v>6.9148994281687193E-2</c:v>
                </c:pt>
                <c:pt idx="2">
                  <c:v>-6.1312759960545637E-3</c:v>
                </c:pt>
                <c:pt idx="3">
                  <c:v>-5.7481044961709027E-2</c:v>
                </c:pt>
                <c:pt idx="4">
                  <c:v>0</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-6.738565332371671E-2</c:v>
                </c:pt>
                <c:pt idx="1">
                  <c:v>4.2599320831830711E-2</c:v>
                </c:pt>
                <c:pt idx="2">
                  <c:v>4.3689295588412058E-2</c:v>
                </c:pt>
                <c:pt idx="3">
                  <c:v>-1.8902963096525949E-2</c:v>
                </c:pt>
                <c:pt idx="4">
                  <c:v>0</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-1.2363357624825766E-2</c:v>
                </c:pt>
                <c:pt idx="1">
                  <c:v>-9.035498563091604E-3</c:v>
                </c:pt>
                <c:pt idx="2">
                  <c:v>9.6294916215675652E-3</c:v>
                </c:pt>
                <c:pt idx="3">
                  <c:v>-9.7188149594943374E-3</c:v>
                </c:pt>
                <c:pt idx="4">
                  <c:v>2.1488179525844142E-2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-1.2963596973307734E-2</c:v>
                </c:pt>
                <c:pt idx="1">
                  <c:v>-1.1459264123947599E-2</c:v>
                </c:pt>
                <c:pt idx="2">
                  <c:v>1.1293228403074007E-2</c:v>
                </c:pt>
                <c:pt idx="3">
                  <c:v>-9.6123078408262286E-3</c:v>
                </c:pt>
                <c:pt idx="4">
                  <c:v>2.2741940535006888E-2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-1.218412176106809E-2</c:v>
                </c:pt>
                <c:pt idx="1">
                  <c:v>-1.1658321179836895E-2</c:v>
                </c:pt>
                <c:pt idx="2">
                  <c:v>1.1480611248267492E-2</c:v>
                </c:pt>
                <c:pt idx="3">
                  <c:v>-9.1007561909354218E-3</c:v>
                </c:pt>
                <c:pt idx="4">
                  <c:v>2.1462587883573248E-2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-1.59240518913073E-2</c:v>
                </c:pt>
                <c:pt idx="1">
                  <c:v>-1.1977100622692749E-2</c:v>
                </c:pt>
                <c:pt idx="2">
                  <c:v>1.2398235520299172E-2</c:v>
                </c:pt>
                <c:pt idx="3">
                  <c:v>-5.4184620707421471E-3</c:v>
                </c:pt>
                <c:pt idx="4">
                  <c:v>2.0921379064442469E-2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-1.7240443373229053E-2</c:v>
                </c:pt>
                <c:pt idx="1">
                  <c:v>-9.9841484564942018E-3</c:v>
                </c:pt>
                <c:pt idx="2">
                  <c:v>1.2246411497540466E-2</c:v>
                </c:pt>
                <c:pt idx="3">
                  <c:v>-4.6916726951532484E-3</c:v>
                </c:pt>
                <c:pt idx="4">
                  <c:v>1.9669853027336259E-2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-1.9137765782650806E-2</c:v>
                </c:pt>
                <c:pt idx="1">
                  <c:v>-1.0317776596401318E-2</c:v>
                </c:pt>
                <c:pt idx="2">
                  <c:v>1.369582859977081E-2</c:v>
                </c:pt>
                <c:pt idx="3">
                  <c:v>-4.5229706764335909E-3</c:v>
                </c:pt>
                <c:pt idx="4">
                  <c:v>2.0282684455714461E-2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-1.8896331740892891E-2</c:v>
                </c:pt>
                <c:pt idx="1">
                  <c:v>-7.6683209108577843E-3</c:v>
                </c:pt>
                <c:pt idx="2">
                  <c:v>1.2413982277727831E-2</c:v>
                </c:pt>
                <c:pt idx="3">
                  <c:v>-6.3183423813473194E-3</c:v>
                </c:pt>
                <c:pt idx="4">
                  <c:v>2.0469012755369942E-2</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-1.4946026691414205E-2</c:v>
                </c:pt>
                <c:pt idx="1">
                  <c:v>-7.7875881422578841E-3</c:v>
                </c:pt>
                <c:pt idx="2">
                  <c:v>1.2152468188422194E-2</c:v>
                </c:pt>
                <c:pt idx="3">
                  <c:v>-6.5629368159659807E-3</c:v>
                </c:pt>
                <c:pt idx="4">
                  <c:v>1.7144083461216653E-2</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-1.1081669826675689E-2</c:v>
                </c:pt>
                <c:pt idx="1">
                  <c:v>-5.8778434595196938E-3</c:v>
                </c:pt>
                <c:pt idx="2">
                  <c:v>1.2678648901221612E-2</c:v>
                </c:pt>
                <c:pt idx="3">
                  <c:v>-1.2180011893121567E-2</c:v>
                </c:pt>
                <c:pt idx="4">
                  <c:v>1.6460876278095116E-2</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-1.0710682949008121E-2</c:v>
                </c:pt>
                <c:pt idx="1">
                  <c:v>-5.3725097422987478E-3</c:v>
                </c:pt>
                <c:pt idx="2">
                  <c:v>1.0023800369710623E-2</c:v>
                </c:pt>
                <c:pt idx="3">
                  <c:v>-1.1283033380976804E-2</c:v>
                </c:pt>
                <c:pt idx="4">
                  <c:v>1.7342425702572717E-2</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-1.0318379920238097E-2</c:v>
                </c:pt>
                <c:pt idx="1">
                  <c:v>-4.2029727802568306E-3</c:v>
                </c:pt>
                <c:pt idx="2">
                  <c:v>8.6847927682194292E-3</c:v>
                </c:pt>
                <c:pt idx="3">
                  <c:v>-1.000644060291811E-2</c:v>
                </c:pt>
                <c:pt idx="4">
                  <c:v>1.5843000535193941E-2</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-9.4940197178674524E-3</c:v>
                </c:pt>
                <c:pt idx="1">
                  <c:v>-8.9800406855485848E-3</c:v>
                </c:pt>
                <c:pt idx="2">
                  <c:v>1.135043669128688E-2</c:v>
                </c:pt>
                <c:pt idx="3">
                  <c:v>-7.3055229394967114E-3</c:v>
                </c:pt>
                <c:pt idx="4">
                  <c:v>1.4429146651626201E-2</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-8.5070991712947741E-3</c:v>
                </c:pt>
                <c:pt idx="1">
                  <c:v>-8.0243844356586713E-3</c:v>
                </c:pt>
                <c:pt idx="2">
                  <c:v>1.1378025044959994E-2</c:v>
                </c:pt>
                <c:pt idx="3">
                  <c:v>-7.8949621863311226E-3</c:v>
                </c:pt>
                <c:pt idx="4">
                  <c:v>1.3048420748324352E-2</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-7.4265461617134543E-3</c:v>
                </c:pt>
                <c:pt idx="1">
                  <c:v>-3.8716247061019171E-3</c:v>
                </c:pt>
                <c:pt idx="2">
                  <c:v>1.1845880666476738E-2</c:v>
                </c:pt>
                <c:pt idx="3">
                  <c:v>-6.4484275211802444E-3</c:v>
                </c:pt>
                <c:pt idx="4">
                  <c:v>5.9007177225192109E-3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-1.1728068732210772E-3</c:v>
                </c:pt>
                <c:pt idx="1">
                  <c:v>-5.176364795663857E-3</c:v>
                </c:pt>
                <c:pt idx="2">
                  <c:v>8.9625288606147713E-3</c:v>
                </c:pt>
                <c:pt idx="3">
                  <c:v>-1.3293365083162811E-2</c:v>
                </c:pt>
                <c:pt idx="4">
                  <c:v>1.0680007891432419E-2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-1.0564516500233267E-3</c:v>
                </c:pt>
                <c:pt idx="1">
                  <c:v>-1.620777440425325E-3</c:v>
                </c:pt>
                <c:pt idx="2">
                  <c:v>1.0631965847305525E-2</c:v>
                </c:pt>
                <c:pt idx="3">
                  <c:v>-1.4430450952905294E-2</c:v>
                </c:pt>
                <c:pt idx="4">
                  <c:v>6.475714196048532E-3</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3.5224753427693933E-3</c:v>
                </c:pt>
                <c:pt idx="1">
                  <c:v>-2.631099688662486E-4</c:v>
                </c:pt>
                <c:pt idx="2">
                  <c:v>1.19004708815722E-2</c:v>
                </c:pt>
                <c:pt idx="3">
                  <c:v>-2.0885039807901906E-2</c:v>
                </c:pt>
                <c:pt idx="4">
                  <c:v>5.7252035524262279E-3</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8.0156759236620356E-3</c:v>
                </c:pt>
                <c:pt idx="1">
                  <c:v>-1.8563829745926741E-3</c:v>
                </c:pt>
                <c:pt idx="2">
                  <c:v>2.0849809959465837E-2</c:v>
                </c:pt>
                <c:pt idx="3">
                  <c:v>-2.1674668292976595E-2</c:v>
                </c:pt>
                <c:pt idx="4">
                  <c:v>-5.3344346155584921E-3</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1.3697991360208661E-3</c:v>
                </c:pt>
                <c:pt idx="1">
                  <c:v>1.3646501139381595E-3</c:v>
                </c:pt>
                <c:pt idx="2">
                  <c:v>1.8131316919239193E-2</c:v>
                </c:pt>
                <c:pt idx="3">
                  <c:v>-2.0311528266539813E-2</c:v>
                </c:pt>
                <c:pt idx="4">
                  <c:v>-5.5423790265907158E-4</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1.9872736329473728E-3</c:v>
                </c:pt>
                <c:pt idx="1">
                  <c:v>-1.2715526183100234E-3</c:v>
                </c:pt>
                <c:pt idx="2">
                  <c:v>1.6185494471811612E-2</c:v>
                </c:pt>
                <c:pt idx="3">
                  <c:v>-1.6108105689194963E-2</c:v>
                </c:pt>
                <c:pt idx="4">
                  <c:v>-7.9310979725388808E-4</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3.1855817376045259E-3</c:v>
                </c:pt>
                <c:pt idx="1">
                  <c:v>7.1572263181556295E-3</c:v>
                </c:pt>
                <c:pt idx="2">
                  <c:v>8.9950901596660415E-3</c:v>
                </c:pt>
                <c:pt idx="3">
                  <c:v>-1.6696726873753898E-2</c:v>
                </c:pt>
                <c:pt idx="4">
                  <c:v>-2.6411713416725213E-3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-3.2904216274053377E-3</c:v>
                </c:pt>
                <c:pt idx="1">
                  <c:v>1.3630821094781753E-2</c:v>
                </c:pt>
                <c:pt idx="2">
                  <c:v>-1.0734678707477463E-2</c:v>
                </c:pt>
                <c:pt idx="3">
                  <c:v>-1.4307229197958127E-2</c:v>
                </c:pt>
                <c:pt idx="4">
                  <c:v>1.4701508438058841E-2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-1.6642972271402101E-2</c:v>
                </c:pt>
                <c:pt idx="1">
                  <c:v>1.4120106517767184E-2</c:v>
                </c:pt>
                <c:pt idx="2">
                  <c:v>-1.573744792603049E-2</c:v>
                </c:pt>
                <c:pt idx="3">
                  <c:v>-1.9834193721896209E-2</c:v>
                </c:pt>
                <c:pt idx="4">
                  <c:v>3.809450740156195E-2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-2.5485102680341987E-2</c:v>
                </c:pt>
                <c:pt idx="1">
                  <c:v>-8.9188380039514348E-3</c:v>
                </c:pt>
                <c:pt idx="2">
                  <c:v>2.6354377724768785E-3</c:v>
                </c:pt>
                <c:pt idx="3">
                  <c:v>9.3512779548481362E-3</c:v>
                </c:pt>
                <c:pt idx="4">
                  <c:v>2.241722495696763E-2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1.6488737648837404E-2</c:v>
                </c:pt>
                <c:pt idx="1">
                  <c:v>-1.8826970528802667E-2</c:v>
                </c:pt>
                <c:pt idx="2">
                  <c:v>-1.3219520445502342E-2</c:v>
                </c:pt>
                <c:pt idx="3">
                  <c:v>-4.9544094313691556E-3</c:v>
                </c:pt>
                <c:pt idx="4">
                  <c:v>2.0512162756836982E-2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1.695846151014635E-2</c:v>
                </c:pt>
                <c:pt idx="1">
                  <c:v>-2.2408436280409005E-2</c:v>
                </c:pt>
                <c:pt idx="2">
                  <c:v>-2.3700578606957845E-2</c:v>
                </c:pt>
                <c:pt idx="3">
                  <c:v>4.3703653028654976E-3</c:v>
                </c:pt>
                <c:pt idx="4">
                  <c:v>2.4780188074354781E-2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3.5585150028422108E-2</c:v>
                </c:pt>
                <c:pt idx="1">
                  <c:v>-3.9038785582392266E-2</c:v>
                </c:pt>
                <c:pt idx="2">
                  <c:v>1.2542133659389165E-2</c:v>
                </c:pt>
                <c:pt idx="3">
                  <c:v>9.8846235345044775E-3</c:v>
                </c:pt>
                <c:pt idx="4">
                  <c:v>-1.8973121639923041E-2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1.4676938830856967E-2</c:v>
                </c:pt>
                <c:pt idx="1">
                  <c:v>-7.5619262715897806E-2</c:v>
                </c:pt>
                <c:pt idx="2">
                  <c:v>6.153001317196205E-3</c:v>
                </c:pt>
                <c:pt idx="3">
                  <c:v>6.337272885466172E-2</c:v>
                </c:pt>
                <c:pt idx="4">
                  <c:v>-8.5834062868167527E-3</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3.5907103006381558E-2</c:v>
                </c:pt>
                <c:pt idx="1">
                  <c:v>-7.5276424204516301E-2</c:v>
                </c:pt>
                <c:pt idx="2">
                  <c:v>-7.1239709911067317E-3</c:v>
                </c:pt>
                <c:pt idx="3">
                  <c:v>1.5091563522515949E-2</c:v>
                </c:pt>
                <c:pt idx="4">
                  <c:v>3.1401728666725415E-2</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5.1667287443821763E-2</c:v>
                </c:pt>
                <c:pt idx="1">
                  <c:v>-7.0627215238196928E-2</c:v>
                </c:pt>
                <c:pt idx="2">
                  <c:v>2.1219401806940485E-2</c:v>
                </c:pt>
                <c:pt idx="3">
                  <c:v>-7.6201290887465523E-2</c:v>
                </c:pt>
                <c:pt idx="4">
                  <c:v>7.3941816874900423E-2</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1.7135317441558051E-2</c:v>
                </c:pt>
                <c:pt idx="1">
                  <c:v>2.4655338959123085E-5</c:v>
                </c:pt>
                <c:pt idx="2">
                  <c:v>-3.1686522585225751E-2</c:v>
                </c:pt>
                <c:pt idx="3">
                  <c:v>2.3971091625381913E-2</c:v>
                </c:pt>
                <c:pt idx="4">
                  <c:v>-9.4445418206738907E-3</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1.5576069818864946E-2</c:v>
                </c:pt>
                <c:pt idx="1">
                  <c:v>-2.8432310151061957E-3</c:v>
                </c:pt>
                <c:pt idx="2">
                  <c:v>-3.0105676927023262E-2</c:v>
                </c:pt>
                <c:pt idx="3">
                  <c:v>2.4442063788749469E-2</c:v>
                </c:pt>
                <c:pt idx="4">
                  <c:v>-7.0692256654846242E-3</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1.166633791124605E-2</c:v>
                </c:pt>
                <c:pt idx="1">
                  <c:v>-2.8155734069602589E-3</c:v>
                </c:pt>
                <c:pt idx="2">
                  <c:v>-2.8494393224703485E-2</c:v>
                </c:pt>
                <c:pt idx="3">
                  <c:v>2.3247835509450088E-2</c:v>
                </c:pt>
                <c:pt idx="4">
                  <c:v>-3.6042067890319496E-3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9.1322075926256741E-3</c:v>
                </c:pt>
                <c:pt idx="1">
                  <c:v>-1.8253715559923833E-3</c:v>
                </c:pt>
                <c:pt idx="2">
                  <c:v>-2.8258153511473427E-2</c:v>
                </c:pt>
                <c:pt idx="3">
                  <c:v>2.2162736757671109E-2</c:v>
                </c:pt>
                <c:pt idx="4">
                  <c:v>-1.2114192828313053E-3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8.0331804219542224E-3</c:v>
                </c:pt>
                <c:pt idx="1">
                  <c:v>-3.1093538945193844E-3</c:v>
                </c:pt>
                <c:pt idx="2">
                  <c:v>-2.70625537274235E-2</c:v>
                </c:pt>
                <c:pt idx="3">
                  <c:v>2.0759993998642701E-2</c:v>
                </c:pt>
                <c:pt idx="4">
                  <c:v>1.3787332013461828E-3</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8.1620174583649785E-3</c:v>
                </c:pt>
                <c:pt idx="1">
                  <c:v>-3.0778546933942774E-3</c:v>
                </c:pt>
                <c:pt idx="2">
                  <c:v>-2.7373371301536609E-2</c:v>
                </c:pt>
                <c:pt idx="3">
                  <c:v>1.9408897981051609E-2</c:v>
                </c:pt>
                <c:pt idx="4">
                  <c:v>2.8803105555139652E-3</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7.5150819192493223E-3</c:v>
                </c:pt>
                <c:pt idx="1">
                  <c:v>-1.8529734845010859E-3</c:v>
                </c:pt>
                <c:pt idx="2">
                  <c:v>-2.7065031805765138E-2</c:v>
                </c:pt>
                <c:pt idx="3">
                  <c:v>1.8489646547233285E-2</c:v>
                </c:pt>
                <c:pt idx="4">
                  <c:v>2.9132768237840612E-3</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9.3209144303227909E-3</c:v>
                </c:pt>
                <c:pt idx="1">
                  <c:v>-5.1966552748139438E-4</c:v>
                </c:pt>
                <c:pt idx="2">
                  <c:v>-3.0463883733304886E-2</c:v>
                </c:pt>
                <c:pt idx="3">
                  <c:v>1.8302551802950484E-2</c:v>
                </c:pt>
                <c:pt idx="4">
                  <c:v>3.3600830275126725E-3</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1.289100660061826E-2</c:v>
                </c:pt>
                <c:pt idx="1">
                  <c:v>3.6548131821478869E-4</c:v>
                </c:pt>
                <c:pt idx="2">
                  <c:v>-2.9766131371692706E-2</c:v>
                </c:pt>
                <c:pt idx="3">
                  <c:v>1.6365807305028346E-2</c:v>
                </c:pt>
                <c:pt idx="4">
                  <c:v>1.4383614783120002E-4</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1.466722206845672E-2</c:v>
                </c:pt>
                <c:pt idx="1">
                  <c:v>1.2781466431195376E-3</c:v>
                </c:pt>
                <c:pt idx="2">
                  <c:v>-3.1342981716594109E-2</c:v>
                </c:pt>
                <c:pt idx="3">
                  <c:v>1.8398531266288431E-2</c:v>
                </c:pt>
                <c:pt idx="4">
                  <c:v>-3.0009182612710239E-3</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1.775929080073313E-2</c:v>
                </c:pt>
                <c:pt idx="1">
                  <c:v>-2.7787641015508679E-4</c:v>
                </c:pt>
                <c:pt idx="2">
                  <c:v>-3.0708203088980257E-2</c:v>
                </c:pt>
                <c:pt idx="3">
                  <c:v>1.9609372533658131E-2</c:v>
                </c:pt>
                <c:pt idx="4">
                  <c:v>-6.3825838352558062E-3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1.5926065901678221E-2</c:v>
                </c:pt>
                <c:pt idx="1">
                  <c:v>-5.4857036911892809E-4</c:v>
                </c:pt>
                <c:pt idx="2">
                  <c:v>-3.3316669848706626E-2</c:v>
                </c:pt>
                <c:pt idx="3">
                  <c:v>2.1217448735925126E-2</c:v>
                </c:pt>
                <c:pt idx="4">
                  <c:v>-3.2782744197787927E-3</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2.2041864510056852E-2</c:v>
                </c:pt>
                <c:pt idx="1">
                  <c:v>-9.619780410136114E-4</c:v>
                </c:pt>
                <c:pt idx="2">
                  <c:v>-3.464701872551279E-2</c:v>
                </c:pt>
                <c:pt idx="3">
                  <c:v>2.1528476049066825E-2</c:v>
                </c:pt>
                <c:pt idx="4">
                  <c:v>-7.9613437925971642E-3</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2.3569773912754721E-2</c:v>
                </c:pt>
                <c:pt idx="1">
                  <c:v>-2.2116850493708595E-3</c:v>
                </c:pt>
                <c:pt idx="2">
                  <c:v>-3.6327133520719035E-2</c:v>
                </c:pt>
                <c:pt idx="3">
                  <c:v>1.516640066609054E-2</c:v>
                </c:pt>
                <c:pt idx="4">
                  <c:v>-1.973560087559223E-4</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3.1498970147236349E-2</c:v>
                </c:pt>
                <c:pt idx="1">
                  <c:v>-6.842002073868092E-3</c:v>
                </c:pt>
                <c:pt idx="2">
                  <c:v>-3.7890918451045419E-2</c:v>
                </c:pt>
                <c:pt idx="3">
                  <c:v>1.1597675107805294E-2</c:v>
                </c:pt>
                <c:pt idx="4">
                  <c:v>1.6362752698722005E-3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3.7042865549017145E-2</c:v>
                </c:pt>
                <c:pt idx="1">
                  <c:v>-3.1154661385206506E-3</c:v>
                </c:pt>
                <c:pt idx="2">
                  <c:v>-4.0636533502606098E-2</c:v>
                </c:pt>
                <c:pt idx="3">
                  <c:v>1.2899048313690598E-2</c:v>
                </c:pt>
                <c:pt idx="4">
                  <c:v>-6.1899142215809944E-3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4.2418418600145502E-2</c:v>
                </c:pt>
                <c:pt idx="1">
                  <c:v>3.4379194910250099E-4</c:v>
                </c:pt>
                <c:pt idx="2">
                  <c:v>-4.1956878559486821E-2</c:v>
                </c:pt>
                <c:pt idx="3">
                  <c:v>4.6171364373013279E-3</c:v>
                </c:pt>
                <c:pt idx="4">
                  <c:v>-5.4224684270623991E-3</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4.4237996523758039E-2</c:v>
                </c:pt>
                <c:pt idx="1">
                  <c:v>6.1735968577565359E-3</c:v>
                </c:pt>
                <c:pt idx="2">
                  <c:v>-4.4188868036385887E-2</c:v>
                </c:pt>
                <c:pt idx="3">
                  <c:v>2.1434520282657132E-3</c:v>
                </c:pt>
                <c:pt idx="4">
                  <c:v>-8.3661773733945122E-3</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4.6694432398608265E-2</c:v>
                </c:pt>
                <c:pt idx="1">
                  <c:v>-7.1992176938595609E-4</c:v>
                </c:pt>
                <c:pt idx="2">
                  <c:v>-3.8210988696476655E-2</c:v>
                </c:pt>
                <c:pt idx="3">
                  <c:v>2.7760422941480734E-3</c:v>
                </c:pt>
                <c:pt idx="4">
                  <c:v>-1.0539564226894171E-2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0</c:v>
                </c:pt>
                <c:pt idx="1">
                  <c:v>5.5151188336479695E-3</c:v>
                </c:pt>
                <c:pt idx="2">
                  <c:v>-4.4041864784940876E-2</c:v>
                </c:pt>
                <c:pt idx="3">
                  <c:v>3.7298030052049125E-2</c:v>
                </c:pt>
                <c:pt idx="4">
                  <c:v>1.2287158992438929E-3</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1.2870404931332846E-2</c:v>
                </c:pt>
                <c:pt idx="1">
                  <c:v>4.67730256127874E-3</c:v>
                </c:pt>
                <c:pt idx="2">
                  <c:v>-3.9011350345585449E-2</c:v>
                </c:pt>
                <c:pt idx="3">
                  <c:v>2.2125031208299895E-2</c:v>
                </c:pt>
                <c:pt idx="4">
                  <c:v>-6.6138835532547624E-4</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1.9282156823668961E-2</c:v>
                </c:pt>
                <c:pt idx="1">
                  <c:v>-1.2944833301996583E-3</c:v>
                </c:pt>
                <c:pt idx="2">
                  <c:v>-3.0648252919921015E-2</c:v>
                </c:pt>
                <c:pt idx="3">
                  <c:v>1.7227155240468139E-2</c:v>
                </c:pt>
                <c:pt idx="4">
                  <c:v>-4.566575814016649E-3</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3.8557093684901789E-2</c:v>
                </c:pt>
                <c:pt idx="1">
                  <c:v>-2.959807667966674E-2</c:v>
                </c:pt>
                <c:pt idx="2">
                  <c:v>-2.7523888454057732E-2</c:v>
                </c:pt>
                <c:pt idx="3">
                  <c:v>3.6636854314869183E-2</c:v>
                </c:pt>
                <c:pt idx="4">
                  <c:v>-1.807198286604661E-2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5.2683275303639254E-2</c:v>
                </c:pt>
                <c:pt idx="1">
                  <c:v>-7.6586181326419034E-3</c:v>
                </c:pt>
                <c:pt idx="2">
                  <c:v>-3.6501775781428991E-2</c:v>
                </c:pt>
                <c:pt idx="3">
                  <c:v>2.9884582177707397E-2</c:v>
                </c:pt>
                <c:pt idx="4">
                  <c:v>-3.8407463567275868E-2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4.9526723797265193E-2</c:v>
                </c:pt>
                <c:pt idx="1">
                  <c:v>1.0107362648245521E-2</c:v>
                </c:pt>
                <c:pt idx="2">
                  <c:v>-4.8111208404910344E-2</c:v>
                </c:pt>
                <c:pt idx="3">
                  <c:v>3.1157676369095055E-2</c:v>
                </c:pt>
                <c:pt idx="4">
                  <c:v>-4.2680554409694871E-2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5.0107120065863375E-2</c:v>
                </c:pt>
                <c:pt idx="1">
                  <c:v>2.5577241471834711E-3</c:v>
                </c:pt>
                <c:pt idx="2">
                  <c:v>-5.3028746058802145E-2</c:v>
                </c:pt>
                <c:pt idx="3">
                  <c:v>3.6390184575529894E-4</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3.2880923482956348E-2</c:v>
                </c:pt>
                <c:pt idx="1">
                  <c:v>4.6050329698361869E-2</c:v>
                </c:pt>
                <c:pt idx="2">
                  <c:v>-5.0467876359440611E-2</c:v>
                </c:pt>
                <c:pt idx="3">
                  <c:v>-2.8463376821877495E-2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2.4320241832657796E-2</c:v>
                </c:pt>
                <c:pt idx="1">
                  <c:v>8.3707173830810389E-2</c:v>
                </c:pt>
                <c:pt idx="2">
                  <c:v>-7.4653816246490368E-2</c:v>
                </c:pt>
                <c:pt idx="3">
                  <c:v>-3.3373599416977373E-2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2.2044932232840875E-3</c:v>
                </c:pt>
                <c:pt idx="1">
                  <c:v>6.2629475317916183E-2</c:v>
                </c:pt>
                <c:pt idx="2">
                  <c:v>-5.0789734292787325E-2</c:v>
                </c:pt>
                <c:pt idx="3">
                  <c:v>-1.4044234248412613E-2</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-3.729078607005909E-2</c:v>
                </c:pt>
                <c:pt idx="1">
                  <c:v>0.12093236118260342</c:v>
                </c:pt>
                <c:pt idx="2">
                  <c:v>-9.1743141469153744E-2</c:v>
                </c:pt>
                <c:pt idx="3">
                  <c:v>8.1015663566097462E-3</c:v>
                </c:pt>
                <c:pt idx="4">
                  <c:v>0</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143.3576196750065</c:v>
                </c:pt>
                <c:pt idx="1">
                  <c:v>243.53284575436834</c:v>
                </c:pt>
                <c:pt idx="2">
                  <c:v>382.59218634917329</c:v>
                </c:pt>
                <c:pt idx="3">
                  <c:v>537.55539218408819</c:v>
                </c:pt>
                <c:pt idx="4">
                  <c:v>730.572311392948</c:v>
                </c:pt>
                <c:pt idx="5">
                  <c:v>948.08832363570195</c:v>
                </c:pt>
                <c:pt idx="6">
                  <c:v>1175.7576469195856</c:v>
                </c:pt>
                <c:pt idx="7">
                  <c:v>1425.9717392041091</c:v>
                </c:pt>
                <c:pt idx="8">
                  <c:v>1697.5399001563219</c:v>
                </c:pt>
                <c:pt idx="9">
                  <c:v>1976.6518029739339</c:v>
                </c:pt>
                <c:pt idx="10">
                  <c:v>2257.7184589334106</c:v>
                </c:pt>
                <c:pt idx="11">
                  <c:v>2557.297801144729</c:v>
                </c:pt>
                <c:pt idx="12">
                  <c:v>2861.4562905955972</c:v>
                </c:pt>
                <c:pt idx="13">
                  <c:v>3162.9192815089186</c:v>
                </c:pt>
                <c:pt idx="14">
                  <c:v>3471.9798245419729</c:v>
                </c:pt>
                <c:pt idx="15">
                  <c:v>3798.6559594662062</c:v>
                </c:pt>
                <c:pt idx="16">
                  <c:v>4167.4360991972662</c:v>
                </c:pt>
                <c:pt idx="17">
                  <c:v>4599.7189171017781</c:v>
                </c:pt>
                <c:pt idx="18">
                  <c:v>5072.2283259776568</c:v>
                </c:pt>
                <c:pt idx="19">
                  <c:v>5588.5901365765194</c:v>
                </c:pt>
                <c:pt idx="20">
                  <c:v>6145.5448899865805</c:v>
                </c:pt>
                <c:pt idx="21">
                  <c:v>6762.4770808018084</c:v>
                </c:pt>
                <c:pt idx="22">
                  <c:v>7449.9084644407967</c:v>
                </c:pt>
                <c:pt idx="23">
                  <c:v>8168.6556558452185</c:v>
                </c:pt>
                <c:pt idx="24">
                  <c:v>8873.8938617485928</c:v>
                </c:pt>
                <c:pt idx="25">
                  <c:v>9554.3619895929914</c:v>
                </c:pt>
                <c:pt idx="26">
                  <c:v>10328.465268705997</c:v>
                </c:pt>
                <c:pt idx="27">
                  <c:v>10011.26424103934</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6776</xdr:rowOff>
    </xdr:from>
    <xdr:to>
      <xdr:col>29</xdr:col>
      <xdr:colOff>555225</xdr:colOff>
      <xdr:row>77</xdr:row>
      <xdr:rowOff>83572</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85" zoomScaleNormal="85" workbookViewId="0"/>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37" t="s">
        <v>181</v>
      </c>
      <c r="F2" s="137" t="s">
        <v>1</v>
      </c>
      <c r="L2" s="138" t="s">
        <v>180</v>
      </c>
      <c r="M2" s="4"/>
      <c r="N2" s="4"/>
      <c r="O2" s="4"/>
      <c r="P2" s="4" t="s">
        <v>2</v>
      </c>
      <c r="Q2" s="139">
        <v>0.89</v>
      </c>
      <c r="R2" s="5" t="s">
        <v>3</v>
      </c>
    </row>
    <row r="3" spans="1:1024" ht="16.149999999999999" thickTop="1" x14ac:dyDescent="0.5">
      <c r="A3" s="6" t="s">
        <v>4</v>
      </c>
      <c r="B3" s="151" t="s">
        <v>182</v>
      </c>
      <c r="C3" s="7"/>
      <c r="E3" s="8" t="s">
        <v>6</v>
      </c>
      <c r="F3" s="120">
        <v>1</v>
      </c>
      <c r="G3" s="9"/>
      <c r="H3" s="9"/>
      <c r="L3" s="10" t="s">
        <v>7</v>
      </c>
      <c r="M3" s="11"/>
      <c r="N3" s="11"/>
      <c r="O3" s="11"/>
      <c r="P3" s="120">
        <v>1</v>
      </c>
      <c r="Q3" s="120">
        <v>50</v>
      </c>
      <c r="R3" s="12" t="s">
        <v>8</v>
      </c>
    </row>
    <row r="4" spans="1:1024" ht="13.9" x14ac:dyDescent="0.4">
      <c r="A4" s="7" t="s">
        <v>9</v>
      </c>
      <c r="B4" s="128">
        <v>46013</v>
      </c>
      <c r="C4" s="7"/>
      <c r="E4" s="8" t="s">
        <v>10</v>
      </c>
      <c r="F4" s="9">
        <v>0.86799999999999999</v>
      </c>
      <c r="G4" s="9"/>
      <c r="H4" s="9"/>
      <c r="L4" s="13" t="s">
        <v>11</v>
      </c>
      <c r="M4" s="14" t="s">
        <v>12</v>
      </c>
      <c r="N4" s="14" t="s">
        <v>13</v>
      </c>
      <c r="O4" s="14" t="s">
        <v>14</v>
      </c>
      <c r="P4" s="14" t="s">
        <v>15</v>
      </c>
      <c r="Q4" s="14" t="s">
        <v>16</v>
      </c>
      <c r="R4" s="12"/>
    </row>
    <row r="5" spans="1:1024" ht="13.9" x14ac:dyDescent="0.4">
      <c r="A5" s="7" t="s">
        <v>17</v>
      </c>
      <c r="B5" s="128" t="s">
        <v>18</v>
      </c>
      <c r="C5" s="7"/>
      <c r="L5" s="15">
        <v>1.5</v>
      </c>
      <c r="M5" s="16">
        <v>67392.070000000007</v>
      </c>
      <c r="N5" s="16"/>
      <c r="O5" s="16">
        <v>67392.070000000007</v>
      </c>
      <c r="P5" s="16">
        <f>O5*P$3</f>
        <v>67392.070000000007</v>
      </c>
      <c r="Q5" s="16">
        <f>P5*Q$2*Q$3</f>
        <v>2998947.1150000007</v>
      </c>
      <c r="R5" s="12"/>
    </row>
    <row r="6" spans="1:1024" ht="13.9" x14ac:dyDescent="0.4">
      <c r="A6" s="7" t="s">
        <v>19</v>
      </c>
      <c r="B6" s="21" t="s">
        <v>124</v>
      </c>
      <c r="C6" s="17"/>
      <c r="E6" s="11" t="s">
        <v>20</v>
      </c>
      <c r="F6" s="14" t="s">
        <v>21</v>
      </c>
      <c r="G6" s="14" t="s">
        <v>22</v>
      </c>
      <c r="H6" s="14" t="s">
        <v>23</v>
      </c>
      <c r="I6" s="14" t="s">
        <v>24</v>
      </c>
      <c r="L6" s="15">
        <v>2</v>
      </c>
      <c r="M6" s="16">
        <v>41165</v>
      </c>
      <c r="N6" s="16"/>
      <c r="O6" s="16">
        <v>41165</v>
      </c>
      <c r="P6" s="16">
        <f t="shared" ref="P6:P34" si="0">O6*P$3</f>
        <v>41165</v>
      </c>
      <c r="Q6" s="16">
        <f t="shared" ref="Q6:Q34" si="1">P6*Q$2*Q$3</f>
        <v>1831842.5</v>
      </c>
      <c r="R6" s="12"/>
    </row>
    <row r="7" spans="1:1024" ht="13.9" x14ac:dyDescent="0.4">
      <c r="A7" s="7" t="s">
        <v>25</v>
      </c>
      <c r="B7" s="21" t="s">
        <v>125</v>
      </c>
      <c r="C7" s="7"/>
      <c r="E7" s="8" t="s">
        <v>26</v>
      </c>
      <c r="F7" s="9">
        <f>$F3*$F4*100</f>
        <v>86.8</v>
      </c>
      <c r="G7" s="9">
        <f>$F3*$F4*100</f>
        <v>86.8</v>
      </c>
      <c r="H7" s="9">
        <f>$F3*$F4*100</f>
        <v>86.8</v>
      </c>
      <c r="I7" s="9">
        <f>$F3*$F4*100</f>
        <v>86.8</v>
      </c>
      <c r="L7" s="15">
        <v>3</v>
      </c>
      <c r="M7" s="16">
        <v>17975.47</v>
      </c>
      <c r="N7" s="16">
        <v>17634.099999999999</v>
      </c>
      <c r="O7" s="16">
        <v>17975.47</v>
      </c>
      <c r="P7" s="16">
        <f t="shared" si="0"/>
        <v>17975.47</v>
      </c>
      <c r="Q7" s="16">
        <f t="shared" si="1"/>
        <v>799908.41500000004</v>
      </c>
      <c r="R7" s="12"/>
    </row>
    <row r="8" spans="1:1024" ht="13.9" x14ac:dyDescent="0.4">
      <c r="A8" s="7" t="s">
        <v>27</v>
      </c>
      <c r="B8" s="21" t="s">
        <v>124</v>
      </c>
      <c r="C8" s="7"/>
      <c r="E8" s="8" t="s">
        <v>28</v>
      </c>
      <c r="F8" s="120">
        <v>26.08</v>
      </c>
      <c r="G8" s="120">
        <v>26.08</v>
      </c>
      <c r="H8" s="120">
        <v>26.11</v>
      </c>
      <c r="I8" s="120">
        <v>26.16</v>
      </c>
      <c r="L8" s="15">
        <v>4</v>
      </c>
      <c r="M8" s="16">
        <v>10898.56</v>
      </c>
      <c r="N8" s="16">
        <v>10750.3</v>
      </c>
      <c r="O8" s="16">
        <v>10898.56</v>
      </c>
      <c r="P8" s="16">
        <f t="shared" si="0"/>
        <v>10898.56</v>
      </c>
      <c r="Q8" s="16">
        <f t="shared" si="1"/>
        <v>484985.92</v>
      </c>
      <c r="R8" s="12"/>
    </row>
    <row r="9" spans="1:1024" ht="13.9" x14ac:dyDescent="0.4">
      <c r="A9" s="7" t="s">
        <v>29</v>
      </c>
      <c r="B9" s="21" t="s">
        <v>125</v>
      </c>
      <c r="C9" s="7"/>
      <c r="E9" s="18" t="s">
        <v>30</v>
      </c>
      <c r="F9" s="19">
        <f>(1/$F$3-1)*F8</f>
        <v>0</v>
      </c>
      <c r="G9" s="19">
        <f>(1/$F$3-1)*G8</f>
        <v>0</v>
      </c>
      <c r="H9" s="19">
        <f>(1/$F$3-1)*H8</f>
        <v>0</v>
      </c>
      <c r="I9" s="19">
        <f>(1/$F$3-1)*I8</f>
        <v>0</v>
      </c>
      <c r="L9" s="15">
        <v>5</v>
      </c>
      <c r="M9" s="16">
        <v>6986.32</v>
      </c>
      <c r="N9" s="16">
        <v>7121.1</v>
      </c>
      <c r="O9" s="16">
        <v>6986.32</v>
      </c>
      <c r="P9" s="16">
        <f t="shared" si="0"/>
        <v>6986.32</v>
      </c>
      <c r="Q9" s="16">
        <f t="shared" si="1"/>
        <v>310891.24</v>
      </c>
      <c r="R9" s="12"/>
    </row>
    <row r="10" spans="1:1024" ht="13.9" x14ac:dyDescent="0.4">
      <c r="A10" s="17" t="s">
        <v>31</v>
      </c>
      <c r="B10" s="21" t="s">
        <v>32</v>
      </c>
      <c r="C10" s="7"/>
      <c r="E10" s="8" t="s">
        <v>33</v>
      </c>
      <c r="F10" s="120">
        <v>61</v>
      </c>
      <c r="G10" s="120">
        <v>61.18</v>
      </c>
      <c r="H10" s="120">
        <v>61.2</v>
      </c>
      <c r="I10" s="120">
        <v>61.09</v>
      </c>
      <c r="L10" s="15">
        <v>6</v>
      </c>
      <c r="M10" s="16">
        <v>4679.6499999999996</v>
      </c>
      <c r="N10" s="16">
        <v>4729.1000000000004</v>
      </c>
      <c r="O10" s="16">
        <v>4679.6499999999996</v>
      </c>
      <c r="P10" s="16">
        <f t="shared" si="0"/>
        <v>4679.6499999999996</v>
      </c>
      <c r="Q10" s="16">
        <f t="shared" si="1"/>
        <v>208244.42499999999</v>
      </c>
      <c r="R10" s="12"/>
    </row>
    <row r="11" spans="1:1024" ht="13.9" x14ac:dyDescent="0.4">
      <c r="B11" s="20"/>
      <c r="E11" s="8" t="s">
        <v>34</v>
      </c>
      <c r="F11" s="119">
        <f>IF($F3=1, 1, F8/(F8+F10))</f>
        <v>1</v>
      </c>
      <c r="G11" s="119">
        <f>IF($F3=1, 1, G8/(G8+G10))</f>
        <v>1</v>
      </c>
      <c r="H11" s="119">
        <f>IF($F3=1, 1, H8/(H8+H10))</f>
        <v>1</v>
      </c>
      <c r="I11" s="119">
        <f>IF($F3=1, 1, I8/(I8+I10))</f>
        <v>1</v>
      </c>
      <c r="L11" s="15">
        <v>7</v>
      </c>
      <c r="M11" s="16">
        <v>3163.23</v>
      </c>
      <c r="N11" s="16">
        <v>3199.3</v>
      </c>
      <c r="O11" s="16">
        <v>3163.23</v>
      </c>
      <c r="P11" s="16">
        <f t="shared" si="0"/>
        <v>3163.23</v>
      </c>
      <c r="Q11" s="16">
        <f t="shared" si="1"/>
        <v>140763.73499999999</v>
      </c>
      <c r="R11" s="12"/>
    </row>
    <row r="12" spans="1:1024" ht="13.15" x14ac:dyDescent="0.4">
      <c r="A12" s="7" t="s">
        <v>35</v>
      </c>
      <c r="B12" s="120">
        <v>80</v>
      </c>
      <c r="C12" s="7"/>
      <c r="L12" s="15">
        <v>8</v>
      </c>
      <c r="M12" s="16">
        <v>2175.4699999999998</v>
      </c>
      <c r="N12" s="16">
        <v>2280.6</v>
      </c>
      <c r="O12" s="16">
        <v>2175.4699999999998</v>
      </c>
      <c r="P12" s="16">
        <f t="shared" si="0"/>
        <v>2175.4699999999998</v>
      </c>
      <c r="Q12" s="16">
        <f t="shared" si="1"/>
        <v>96808.414999999994</v>
      </c>
      <c r="R12" s="12"/>
    </row>
    <row r="13" spans="1:1024" hidden="1" x14ac:dyDescent="0.35">
      <c r="B13" s="20"/>
      <c r="L13" s="22">
        <v>9</v>
      </c>
      <c r="M13" s="16">
        <v>1512.11</v>
      </c>
      <c r="N13" s="16">
        <v>1615</v>
      </c>
      <c r="O13" s="16">
        <v>1512.11</v>
      </c>
      <c r="P13" s="16">
        <f t="shared" si="0"/>
        <v>1512.11</v>
      </c>
      <c r="Q13" s="16">
        <f t="shared" si="1"/>
        <v>67288.89499999999</v>
      </c>
      <c r="R13" s="12"/>
    </row>
    <row r="14" spans="1:1024" x14ac:dyDescent="0.35">
      <c r="A14" t="s">
        <v>36</v>
      </c>
      <c r="B14" s="20">
        <f>B12*1.5</f>
        <v>120</v>
      </c>
      <c r="L14" s="15">
        <v>10</v>
      </c>
      <c r="M14" s="16">
        <v>1079.78</v>
      </c>
      <c r="N14" s="16">
        <v>1130.5</v>
      </c>
      <c r="O14" s="16">
        <v>1079.78</v>
      </c>
      <c r="P14" s="16">
        <f t="shared" si="0"/>
        <v>1079.78</v>
      </c>
      <c r="Q14" s="16">
        <f t="shared" si="1"/>
        <v>48050.21</v>
      </c>
      <c r="R14" s="12"/>
    </row>
    <row r="15" spans="1:1024" ht="13.15" x14ac:dyDescent="0.4">
      <c r="A15" t="s">
        <v>37</v>
      </c>
      <c r="B15" s="120">
        <v>16000</v>
      </c>
      <c r="L15" s="15">
        <v>11</v>
      </c>
      <c r="M15" s="16">
        <v>786.62</v>
      </c>
      <c r="N15" s="16">
        <v>816.2</v>
      </c>
      <c r="O15" s="16">
        <v>786.62</v>
      </c>
      <c r="P15" s="16">
        <f t="shared" si="0"/>
        <v>786.62</v>
      </c>
      <c r="Q15" s="16">
        <f t="shared" si="1"/>
        <v>35004.590000000004</v>
      </c>
      <c r="R15" s="12"/>
    </row>
    <row r="16" spans="1:1024" x14ac:dyDescent="0.35">
      <c r="A16" t="s">
        <v>38</v>
      </c>
      <c r="B16" s="23">
        <f>10^((LOG(B15)-LOG(B14))/(30-1))</f>
        <v>1.1837874992800483</v>
      </c>
      <c r="L16" s="15">
        <v>12</v>
      </c>
      <c r="M16" s="16">
        <v>586.05999999999995</v>
      </c>
      <c r="N16" s="16">
        <v>618.6</v>
      </c>
      <c r="O16" s="16">
        <v>586.05999999999995</v>
      </c>
      <c r="P16" s="16">
        <f t="shared" si="0"/>
        <v>586.05999999999995</v>
      </c>
      <c r="Q16" s="16">
        <f t="shared" si="1"/>
        <v>26079.67</v>
      </c>
      <c r="R16" s="12"/>
    </row>
    <row r="17" spans="1:18" x14ac:dyDescent="0.35">
      <c r="A17" t="s">
        <v>183</v>
      </c>
      <c r="B17">
        <v>100</v>
      </c>
      <c r="G17" t="s">
        <v>179</v>
      </c>
      <c r="L17" s="15">
        <v>13</v>
      </c>
      <c r="M17" s="16">
        <v>449.93</v>
      </c>
      <c r="N17" s="16">
        <v>481.9</v>
      </c>
      <c r="O17" s="16">
        <v>449.93</v>
      </c>
      <c r="P17" s="16">
        <f t="shared" si="0"/>
        <v>449.93</v>
      </c>
      <c r="Q17" s="16">
        <f t="shared" si="1"/>
        <v>20021.885000000002</v>
      </c>
      <c r="R17" s="12"/>
    </row>
    <row r="18" spans="1:18" ht="13.15" thickBot="1" x14ac:dyDescent="0.4">
      <c r="A18" s="11" t="s">
        <v>39</v>
      </c>
      <c r="B18" s="130" t="s">
        <v>40</v>
      </c>
      <c r="C18" s="130" t="s">
        <v>41</v>
      </c>
      <c r="D18" s="130" t="s">
        <v>42</v>
      </c>
      <c r="G18" s="11" t="s">
        <v>178</v>
      </c>
      <c r="H18" s="11" t="str">
        <f>B18</f>
        <v>Initial Value</v>
      </c>
      <c r="I18" s="11" t="s">
        <v>175</v>
      </c>
      <c r="L18" s="15">
        <v>14</v>
      </c>
      <c r="M18" s="16">
        <v>352.62</v>
      </c>
      <c r="N18" s="16">
        <v>384.7</v>
      </c>
      <c r="O18" s="16">
        <v>352.62</v>
      </c>
      <c r="P18" s="16">
        <f t="shared" si="0"/>
        <v>352.62</v>
      </c>
      <c r="Q18" s="16">
        <f t="shared" si="1"/>
        <v>15691.59</v>
      </c>
      <c r="R18" s="12"/>
    </row>
    <row r="19" spans="1:18" x14ac:dyDescent="0.35">
      <c r="A19">
        <v>4</v>
      </c>
      <c r="B19" s="95">
        <f>B12*1.5</f>
        <v>120</v>
      </c>
      <c r="C19" s="97">
        <f t="shared" ref="C19:C48" si="2">INT($B19+0.5)</f>
        <v>120</v>
      </c>
      <c r="D19" s="97">
        <f t="shared" ref="D19:D47" si="3">D20*B$16</f>
        <v>16000.000000000053</v>
      </c>
      <c r="E19" s="11"/>
      <c r="F19" s="131">
        <f>'6 - Curve'!C5</f>
        <v>4</v>
      </c>
      <c r="G19" s="132">
        <f>'6 - Curve'!D5</f>
        <v>143.3576196750065</v>
      </c>
      <c r="H19" s="97">
        <f t="shared" ref="H19:H48" si="4">B19</f>
        <v>120</v>
      </c>
      <c r="I19" s="129">
        <f t="shared" ref="I19:I48" si="5">CubicSpline(B19,$G$19:$G$48, $F$19:$F$48)</f>
        <v>0</v>
      </c>
      <c r="L19" s="15">
        <v>15</v>
      </c>
      <c r="M19" s="16">
        <v>282.04000000000002</v>
      </c>
      <c r="N19" s="16">
        <v>314.60000000000002</v>
      </c>
      <c r="O19" s="16">
        <v>282.04000000000002</v>
      </c>
      <c r="P19" s="16">
        <f t="shared" si="0"/>
        <v>282.04000000000002</v>
      </c>
      <c r="Q19" s="16">
        <f t="shared" si="1"/>
        <v>12550.780000000002</v>
      </c>
      <c r="R19" s="12"/>
    </row>
    <row r="20" spans="1:18" x14ac:dyDescent="0.35">
      <c r="A20">
        <v>5</v>
      </c>
      <c r="B20" s="95">
        <f t="shared" ref="B20:B48" si="6">B19*B$16</f>
        <v>142.05449991360581</v>
      </c>
      <c r="C20" s="97">
        <f t="shared" si="2"/>
        <v>142</v>
      </c>
      <c r="D20" s="97">
        <f t="shared" si="3"/>
        <v>13515.939313205179</v>
      </c>
      <c r="F20" s="133">
        <f>'6 - Curve'!C6</f>
        <v>5</v>
      </c>
      <c r="G20" s="134">
        <f>'6 - Curve'!D6</f>
        <v>243.53284575436834</v>
      </c>
      <c r="H20" s="97">
        <f t="shared" si="4"/>
        <v>142.05449991360581</v>
      </c>
      <c r="I20" s="129">
        <f t="shared" si="5"/>
        <v>0</v>
      </c>
      <c r="L20" s="15">
        <v>16</v>
      </c>
      <c r="M20" s="16">
        <v>229.42</v>
      </c>
      <c r="N20" s="16">
        <v>261.8</v>
      </c>
      <c r="O20" s="16">
        <v>229.42</v>
      </c>
      <c r="P20" s="16">
        <f t="shared" si="0"/>
        <v>229.42</v>
      </c>
      <c r="Q20" s="16">
        <f t="shared" si="1"/>
        <v>10209.189999999999</v>
      </c>
      <c r="R20" s="12"/>
    </row>
    <row r="21" spans="1:18" x14ac:dyDescent="0.35">
      <c r="A21">
        <v>6</v>
      </c>
      <c r="B21" s="95">
        <f t="shared" si="6"/>
        <v>168.16234121420527</v>
      </c>
      <c r="C21" s="97">
        <f t="shared" si="2"/>
        <v>168</v>
      </c>
      <c r="D21" s="97">
        <f t="shared" si="3"/>
        <v>11417.538469890293</v>
      </c>
      <c r="F21" s="133">
        <f>'6 - Curve'!C7</f>
        <v>6</v>
      </c>
      <c r="G21" s="134">
        <f>'6 - Curve'!D7</f>
        <v>382.59218634917329</v>
      </c>
      <c r="H21" s="97">
        <f t="shared" si="4"/>
        <v>168.16234121420527</v>
      </c>
      <c r="I21" s="129">
        <f t="shared" si="5"/>
        <v>4.2665025255355378</v>
      </c>
      <c r="L21" s="15">
        <v>17</v>
      </c>
      <c r="M21" s="16">
        <v>186.1</v>
      </c>
      <c r="N21" s="16">
        <v>221.2</v>
      </c>
      <c r="O21" s="16">
        <v>186.1</v>
      </c>
      <c r="P21" s="16">
        <f t="shared" si="0"/>
        <v>186.1</v>
      </c>
      <c r="Q21" s="16">
        <f t="shared" si="1"/>
        <v>8281.4499999999989</v>
      </c>
      <c r="R21" s="12"/>
    </row>
    <row r="22" spans="1:18" x14ac:dyDescent="0.35">
      <c r="A22">
        <v>7</v>
      </c>
      <c r="B22" s="95">
        <f t="shared" si="6"/>
        <v>199.06847737904226</v>
      </c>
      <c r="C22" s="97">
        <f t="shared" si="2"/>
        <v>199</v>
      </c>
      <c r="D22" s="97">
        <f t="shared" si="3"/>
        <v>9644.9223165763869</v>
      </c>
      <c r="F22" s="133">
        <f>'6 - Curve'!C8</f>
        <v>7</v>
      </c>
      <c r="G22" s="134">
        <f>'6 - Curve'!D8</f>
        <v>537.55539218408819</v>
      </c>
      <c r="H22" s="97">
        <f t="shared" si="4"/>
        <v>199.06847737904226</v>
      </c>
      <c r="I22" s="129">
        <f t="shared" si="5"/>
        <v>4.5873514767026506</v>
      </c>
      <c r="L22" s="15">
        <v>18</v>
      </c>
      <c r="M22" s="16">
        <v>153.87</v>
      </c>
      <c r="N22" s="16">
        <v>188.7</v>
      </c>
      <c r="O22" s="16">
        <v>153.87</v>
      </c>
      <c r="P22" s="16">
        <f t="shared" si="0"/>
        <v>153.87</v>
      </c>
      <c r="Q22" s="16">
        <f t="shared" si="1"/>
        <v>6847.2150000000001</v>
      </c>
      <c r="R22" s="12"/>
    </row>
    <row r="23" spans="1:18" x14ac:dyDescent="0.35">
      <c r="A23">
        <v>8</v>
      </c>
      <c r="B23" s="95">
        <f t="shared" si="6"/>
        <v>235.6547750220233</v>
      </c>
      <c r="C23" s="97">
        <f t="shared" si="2"/>
        <v>236</v>
      </c>
      <c r="D23" s="97">
        <f t="shared" si="3"/>
        <v>8147.5115444640205</v>
      </c>
      <c r="F23" s="133">
        <f>'6 - Curve'!C9</f>
        <v>8</v>
      </c>
      <c r="G23" s="134">
        <f>'6 - Curve'!D9</f>
        <v>730.572311392948</v>
      </c>
      <c r="H23" s="97">
        <f t="shared" si="4"/>
        <v>235.6547750220233</v>
      </c>
      <c r="I23" s="129">
        <f t="shared" si="5"/>
        <v>4.9326710364387978</v>
      </c>
      <c r="L23" s="15">
        <v>19</v>
      </c>
      <c r="M23" s="16">
        <v>128.62</v>
      </c>
      <c r="N23" s="16">
        <v>161</v>
      </c>
      <c r="O23" s="16">
        <v>128.62</v>
      </c>
      <c r="P23" s="16">
        <f t="shared" si="0"/>
        <v>128.62</v>
      </c>
      <c r="Q23" s="16">
        <f t="shared" si="1"/>
        <v>5723.59</v>
      </c>
      <c r="R23" s="12"/>
    </row>
    <row r="24" spans="1:18" x14ac:dyDescent="0.35">
      <c r="A24">
        <v>9</v>
      </c>
      <c r="B24" s="95">
        <f t="shared" si="6"/>
        <v>278.96517681672339</v>
      </c>
      <c r="C24" s="97">
        <f t="shared" si="2"/>
        <v>279</v>
      </c>
      <c r="D24" s="97">
        <f t="shared" si="3"/>
        <v>6882.5794742883709</v>
      </c>
      <c r="F24" s="133">
        <f>'6 - Curve'!C10</f>
        <v>9</v>
      </c>
      <c r="G24" s="134">
        <f>'6 - Curve'!D10</f>
        <v>948.08832363570195</v>
      </c>
      <c r="H24" s="97">
        <f t="shared" si="4"/>
        <v>278.96517681672339</v>
      </c>
      <c r="I24" s="129">
        <f t="shared" si="5"/>
        <v>5.2804151994964634</v>
      </c>
      <c r="L24" s="15">
        <v>20</v>
      </c>
      <c r="M24" s="16">
        <v>107.35</v>
      </c>
      <c r="N24" s="16">
        <v>136.4</v>
      </c>
      <c r="O24" s="16">
        <v>107.35</v>
      </c>
      <c r="P24" s="16">
        <f t="shared" si="0"/>
        <v>107.35</v>
      </c>
      <c r="Q24" s="16">
        <f t="shared" si="1"/>
        <v>4777.0749999999998</v>
      </c>
      <c r="R24" s="12"/>
    </row>
    <row r="25" spans="1:18" x14ac:dyDescent="0.35">
      <c r="A25">
        <v>10</v>
      </c>
      <c r="B25" s="95">
        <f t="shared" si="6"/>
        <v>330.2354890500855</v>
      </c>
      <c r="C25" s="97">
        <f t="shared" si="2"/>
        <v>330</v>
      </c>
      <c r="D25" s="97">
        <f t="shared" si="3"/>
        <v>5814.0329057995577</v>
      </c>
      <c r="E25" s="24"/>
      <c r="F25" s="133">
        <f>'6 - Curve'!C11</f>
        <v>10</v>
      </c>
      <c r="G25" s="134">
        <f>'6 - Curve'!D11</f>
        <v>1175.7576469195856</v>
      </c>
      <c r="H25" s="97">
        <f t="shared" si="4"/>
        <v>330.2354890500855</v>
      </c>
      <c r="I25" s="129">
        <f t="shared" si="5"/>
        <v>5.6457764357211966</v>
      </c>
      <c r="L25" s="15">
        <v>21</v>
      </c>
      <c r="M25" s="16">
        <v>88.64</v>
      </c>
      <c r="N25" s="16">
        <v>114.4</v>
      </c>
      <c r="O25" s="16">
        <v>88.64</v>
      </c>
      <c r="P25" s="16">
        <f t="shared" si="0"/>
        <v>88.64</v>
      </c>
      <c r="Q25" s="16">
        <f t="shared" si="1"/>
        <v>3944.48</v>
      </c>
      <c r="R25" s="12"/>
    </row>
    <row r="26" spans="1:18" x14ac:dyDescent="0.35">
      <c r="A26">
        <v>11</v>
      </c>
      <c r="B26" s="95">
        <f t="shared" si="6"/>
        <v>390.92864375612453</v>
      </c>
      <c r="C26" s="97">
        <f t="shared" si="2"/>
        <v>391</v>
      </c>
      <c r="D26" s="97">
        <f t="shared" si="3"/>
        <v>4911.3822449852833</v>
      </c>
      <c r="E26" s="24"/>
      <c r="F26" s="133">
        <f>'6 - Curve'!C12</f>
        <v>11</v>
      </c>
      <c r="G26" s="134">
        <f>'6 - Curve'!D12</f>
        <v>1425.9717392041091</v>
      </c>
      <c r="H26" s="97">
        <f t="shared" si="4"/>
        <v>390.92864375612453</v>
      </c>
      <c r="I26" s="129">
        <f t="shared" si="5"/>
        <v>6.0567010413949633</v>
      </c>
      <c r="L26" s="15">
        <v>22</v>
      </c>
      <c r="M26" s="16">
        <v>75.56</v>
      </c>
      <c r="N26" s="16">
        <v>95.3</v>
      </c>
      <c r="O26" s="16">
        <v>75.56</v>
      </c>
      <c r="P26" s="16">
        <f t="shared" si="0"/>
        <v>75.56</v>
      </c>
      <c r="Q26" s="16">
        <f t="shared" si="1"/>
        <v>3362.42</v>
      </c>
      <c r="R26" s="12"/>
    </row>
    <row r="27" spans="1:18" x14ac:dyDescent="0.35">
      <c r="A27">
        <v>12</v>
      </c>
      <c r="B27" s="95">
        <f t="shared" si="6"/>
        <v>462.77644158900353</v>
      </c>
      <c r="C27" s="97">
        <f t="shared" si="2"/>
        <v>463</v>
      </c>
      <c r="D27" s="97">
        <f t="shared" si="3"/>
        <v>4148.8715229483923</v>
      </c>
      <c r="E27" s="24"/>
      <c r="F27" s="133">
        <f>'6 - Curve'!C13</f>
        <v>12</v>
      </c>
      <c r="G27" s="134">
        <f>'6 - Curve'!D13</f>
        <v>1697.5399001563219</v>
      </c>
      <c r="H27" s="97">
        <f t="shared" si="4"/>
        <v>462.77644158900353</v>
      </c>
      <c r="I27" s="129">
        <f t="shared" si="5"/>
        <v>6.5380872492242164</v>
      </c>
      <c r="L27" s="15">
        <v>23</v>
      </c>
      <c r="M27" s="16">
        <v>61.94</v>
      </c>
      <c r="N27" s="16">
        <v>79</v>
      </c>
      <c r="O27" s="16">
        <v>61.94</v>
      </c>
      <c r="P27" s="16">
        <f t="shared" si="0"/>
        <v>61.94</v>
      </c>
      <c r="Q27" s="16">
        <f t="shared" si="1"/>
        <v>2756.33</v>
      </c>
      <c r="R27" s="12"/>
    </row>
    <row r="28" spans="1:18" x14ac:dyDescent="0.35">
      <c r="A28">
        <v>13</v>
      </c>
      <c r="B28" s="95">
        <f t="shared" si="6"/>
        <v>547.82896651436579</v>
      </c>
      <c r="C28" s="97">
        <f t="shared" si="2"/>
        <v>548</v>
      </c>
      <c r="D28" s="97">
        <f t="shared" si="3"/>
        <v>3504.7434826534645</v>
      </c>
      <c r="E28" s="24"/>
      <c r="F28" s="133">
        <f>'6 - Curve'!C14</f>
        <v>13</v>
      </c>
      <c r="G28" s="134">
        <f>'6 - Curve'!D14</f>
        <v>1976.6518029739339</v>
      </c>
      <c r="H28" s="97">
        <f t="shared" si="4"/>
        <v>547.82896651436579</v>
      </c>
      <c r="I28" s="129">
        <f t="shared" si="5"/>
        <v>7.0586038401284936</v>
      </c>
      <c r="L28" s="15">
        <v>24</v>
      </c>
      <c r="M28" s="16">
        <v>50.86</v>
      </c>
      <c r="N28" s="16">
        <v>65.3</v>
      </c>
      <c r="O28" s="16">
        <v>50.86</v>
      </c>
      <c r="P28" s="16">
        <f t="shared" si="0"/>
        <v>50.86</v>
      </c>
      <c r="Q28" s="16">
        <f t="shared" si="1"/>
        <v>2263.27</v>
      </c>
      <c r="R28" s="12"/>
    </row>
    <row r="29" spans="1:18" x14ac:dyDescent="0.35">
      <c r="A29">
        <v>14</v>
      </c>
      <c r="B29" s="95">
        <f t="shared" si="6"/>
        <v>648.51308230321445</v>
      </c>
      <c r="C29" s="97">
        <f t="shared" si="2"/>
        <v>649</v>
      </c>
      <c r="D29" s="97">
        <f t="shared" si="3"/>
        <v>2960.618763743465</v>
      </c>
      <c r="E29" s="24"/>
      <c r="F29" s="133">
        <f>'6 - Curve'!C15</f>
        <v>14</v>
      </c>
      <c r="G29" s="134">
        <f>'6 - Curve'!D15</f>
        <v>2257.7184589334106</v>
      </c>
      <c r="H29" s="97">
        <f t="shared" si="4"/>
        <v>648.51308230321445</v>
      </c>
      <c r="I29" s="129">
        <f t="shared" si="5"/>
        <v>7.5946064139784983</v>
      </c>
      <c r="L29" s="15">
        <v>25</v>
      </c>
      <c r="M29" s="16">
        <v>41.61</v>
      </c>
      <c r="N29" s="16">
        <v>53.8</v>
      </c>
      <c r="O29" s="16">
        <v>41.61</v>
      </c>
      <c r="P29" s="16">
        <f t="shared" si="0"/>
        <v>41.61</v>
      </c>
      <c r="Q29" s="16">
        <f t="shared" si="1"/>
        <v>1851.645</v>
      </c>
      <c r="R29" s="12"/>
    </row>
    <row r="30" spans="1:18" x14ac:dyDescent="0.35">
      <c r="A30">
        <v>15</v>
      </c>
      <c r="B30" s="95">
        <f t="shared" si="6"/>
        <v>767.70167995011843</v>
      </c>
      <c r="C30" s="97">
        <f t="shared" si="2"/>
        <v>768</v>
      </c>
      <c r="D30" s="97">
        <f t="shared" si="3"/>
        <v>2500.9714712683176</v>
      </c>
      <c r="E30" s="24"/>
      <c r="F30" s="133">
        <f>'6 - Curve'!C16</f>
        <v>15</v>
      </c>
      <c r="G30" s="134">
        <f>'6 - Curve'!D16</f>
        <v>2557.297801144729</v>
      </c>
      <c r="H30" s="97">
        <f t="shared" si="4"/>
        <v>767.70167995011843</v>
      </c>
      <c r="I30" s="129">
        <f t="shared" si="5"/>
        <v>8.1782540265703343</v>
      </c>
      <c r="L30" s="15">
        <v>26</v>
      </c>
      <c r="M30" s="16">
        <v>33.44</v>
      </c>
      <c r="N30" s="16">
        <v>44.6</v>
      </c>
      <c r="O30" s="16">
        <v>33.44</v>
      </c>
      <c r="P30" s="16">
        <f t="shared" si="0"/>
        <v>33.44</v>
      </c>
      <c r="Q30" s="16">
        <f t="shared" si="1"/>
        <v>1488.08</v>
      </c>
      <c r="R30" s="12"/>
    </row>
    <row r="31" spans="1:18" x14ac:dyDescent="0.35">
      <c r="A31">
        <v>16</v>
      </c>
      <c r="B31" s="95">
        <f t="shared" si="6"/>
        <v>908.79565190124276</v>
      </c>
      <c r="C31" s="97">
        <f t="shared" si="2"/>
        <v>909</v>
      </c>
      <c r="D31" s="97">
        <f t="shared" si="3"/>
        <v>2112.6861643574962</v>
      </c>
      <c r="E31" s="24"/>
      <c r="F31" s="133">
        <f>'6 - Curve'!C17</f>
        <v>16</v>
      </c>
      <c r="G31" s="134">
        <f>'6 - Curve'!D17</f>
        <v>2861.4562905955972</v>
      </c>
      <c r="H31" s="97">
        <f t="shared" si="4"/>
        <v>908.79565190124276</v>
      </c>
      <c r="I31" s="129">
        <f t="shared" si="5"/>
        <v>8.8237187907238752</v>
      </c>
      <c r="L31" s="15">
        <v>27</v>
      </c>
      <c r="M31" s="16">
        <v>26.08</v>
      </c>
      <c r="N31" s="16">
        <v>37</v>
      </c>
      <c r="O31" s="16">
        <v>26.08</v>
      </c>
      <c r="P31" s="16">
        <f t="shared" si="0"/>
        <v>26.08</v>
      </c>
      <c r="Q31" s="16">
        <f t="shared" si="1"/>
        <v>1160.56</v>
      </c>
      <c r="R31" s="12"/>
    </row>
    <row r="32" spans="1:18" x14ac:dyDescent="0.35">
      <c r="A32">
        <v>17</v>
      </c>
      <c r="B32" s="95">
        <f t="shared" si="6"/>
        <v>1075.8209321207535</v>
      </c>
      <c r="C32" s="97">
        <f t="shared" si="2"/>
        <v>1076</v>
      </c>
      <c r="D32" s="97">
        <f t="shared" si="3"/>
        <v>1784.683624081503</v>
      </c>
      <c r="E32" s="24"/>
      <c r="F32" s="133">
        <f>'6 - Curve'!C18</f>
        <v>17</v>
      </c>
      <c r="G32" s="134">
        <f>'6 - Curve'!D18</f>
        <v>3162.9192815089186</v>
      </c>
      <c r="H32" s="97">
        <f t="shared" si="4"/>
        <v>1075.8209321207535</v>
      </c>
      <c r="I32" s="129">
        <f t="shared" si="5"/>
        <v>9.570028311888386</v>
      </c>
      <c r="L32" s="15">
        <v>28</v>
      </c>
      <c r="M32" s="16">
        <v>20.41</v>
      </c>
      <c r="N32" s="16">
        <v>30.7</v>
      </c>
      <c r="O32" s="16">
        <v>20.41</v>
      </c>
      <c r="P32" s="16">
        <f t="shared" si="0"/>
        <v>20.41</v>
      </c>
      <c r="Q32" s="16">
        <f t="shared" si="1"/>
        <v>908.245</v>
      </c>
      <c r="R32" s="12"/>
    </row>
    <row r="33" spans="1:18" x14ac:dyDescent="0.35">
      <c r="A33">
        <v>18</v>
      </c>
      <c r="B33" s="95">
        <f t="shared" si="6"/>
        <v>1273.5433709083575</v>
      </c>
      <c r="C33" s="97">
        <f t="shared" si="2"/>
        <v>1274</v>
      </c>
      <c r="D33" s="97">
        <f t="shared" si="3"/>
        <v>1507.6047222722875</v>
      </c>
      <c r="E33" s="24"/>
      <c r="F33" s="133">
        <f>'6 - Curve'!C19</f>
        <v>18</v>
      </c>
      <c r="G33" s="134">
        <f>'6 - Curve'!D19</f>
        <v>3471.9798245419729</v>
      </c>
      <c r="H33" s="97">
        <f t="shared" si="4"/>
        <v>1273.5433709083575</v>
      </c>
      <c r="I33" s="129">
        <f t="shared" si="5"/>
        <v>10.401458204964928</v>
      </c>
      <c r="L33" s="15">
        <v>29</v>
      </c>
      <c r="M33" s="16">
        <v>16.39</v>
      </c>
      <c r="N33" s="16">
        <v>25.2</v>
      </c>
      <c r="O33" s="16">
        <v>16.39</v>
      </c>
      <c r="P33" s="16">
        <f t="shared" si="0"/>
        <v>16.39</v>
      </c>
      <c r="Q33" s="16">
        <f t="shared" si="1"/>
        <v>729.35500000000002</v>
      </c>
      <c r="R33" s="12"/>
    </row>
    <row r="34" spans="1:18" ht="13.15" thickBot="1" x14ac:dyDescent="0.4">
      <c r="A34">
        <v>19</v>
      </c>
      <c r="B34" s="95">
        <f t="shared" si="6"/>
        <v>1507.6047222722875</v>
      </c>
      <c r="C34" s="97">
        <f t="shared" si="2"/>
        <v>1508</v>
      </c>
      <c r="D34" s="97">
        <f t="shared" si="3"/>
        <v>1273.5433709083575</v>
      </c>
      <c r="E34" s="24"/>
      <c r="F34" s="133">
        <f>'6 - Curve'!C20</f>
        <v>19</v>
      </c>
      <c r="G34" s="134">
        <f>'6 - Curve'!D20</f>
        <v>3798.6559594662062</v>
      </c>
      <c r="H34" s="97">
        <f t="shared" si="4"/>
        <v>1507.6047222722875</v>
      </c>
      <c r="I34" s="129">
        <f t="shared" si="5"/>
        <v>11.307481954967736</v>
      </c>
      <c r="L34" s="25">
        <v>30</v>
      </c>
      <c r="M34" s="26">
        <v>13.94</v>
      </c>
      <c r="N34" s="26">
        <v>20.100000000000001</v>
      </c>
      <c r="O34" s="26">
        <v>13.94</v>
      </c>
      <c r="P34" s="26">
        <f t="shared" si="0"/>
        <v>13.94</v>
      </c>
      <c r="Q34" s="26">
        <f t="shared" si="1"/>
        <v>620.32999999999993</v>
      </c>
      <c r="R34" s="27"/>
    </row>
    <row r="35" spans="1:18" x14ac:dyDescent="0.35">
      <c r="A35">
        <v>20</v>
      </c>
      <c r="B35" s="95">
        <f t="shared" si="6"/>
        <v>1784.683624081503</v>
      </c>
      <c r="C35" s="97">
        <f t="shared" si="2"/>
        <v>1785</v>
      </c>
      <c r="D35" s="97">
        <f t="shared" si="3"/>
        <v>1075.8209321207535</v>
      </c>
      <c r="E35" s="24"/>
      <c r="F35" s="133">
        <f>'6 - Curve'!C21</f>
        <v>20</v>
      </c>
      <c r="G35" s="134">
        <f>'6 - Curve'!D21</f>
        <v>4167.4360991972662</v>
      </c>
      <c r="H35" s="97">
        <f t="shared" si="4"/>
        <v>1784.683624081503</v>
      </c>
      <c r="I35" s="129">
        <f t="shared" si="5"/>
        <v>12.314475063333903</v>
      </c>
    </row>
    <row r="36" spans="1:18" x14ac:dyDescent="0.35">
      <c r="A36">
        <v>21</v>
      </c>
      <c r="B36" s="95">
        <f t="shared" si="6"/>
        <v>2112.6861643574962</v>
      </c>
      <c r="C36" s="97">
        <f t="shared" si="2"/>
        <v>2113</v>
      </c>
      <c r="D36" s="97">
        <f t="shared" si="3"/>
        <v>908.79565190124276</v>
      </c>
      <c r="E36" s="24"/>
      <c r="F36" s="133">
        <f>'6 - Curve'!C22</f>
        <v>21</v>
      </c>
      <c r="G36" s="134">
        <f>'6 - Curve'!D22</f>
        <v>4599.7189171017781</v>
      </c>
      <c r="H36" s="97">
        <f t="shared" si="4"/>
        <v>2112.6861643574962</v>
      </c>
      <c r="I36" s="129">
        <f t="shared" si="5"/>
        <v>13.488296757015545</v>
      </c>
    </row>
    <row r="37" spans="1:18" x14ac:dyDescent="0.35">
      <c r="A37">
        <v>22</v>
      </c>
      <c r="B37" s="95">
        <f t="shared" si="6"/>
        <v>2500.9714712683176</v>
      </c>
      <c r="C37" s="97">
        <f t="shared" si="2"/>
        <v>2501</v>
      </c>
      <c r="D37" s="97">
        <f t="shared" si="3"/>
        <v>767.70167995011843</v>
      </c>
      <c r="E37" s="24"/>
      <c r="F37" s="133">
        <f>'6 - Curve'!C23</f>
        <v>22</v>
      </c>
      <c r="G37" s="134">
        <f>'6 - Curve'!D23</f>
        <v>5072.2283259776568</v>
      </c>
      <c r="H37" s="97">
        <f t="shared" si="4"/>
        <v>2500.9714712683176</v>
      </c>
      <c r="I37" s="129">
        <f t="shared" si="5"/>
        <v>14.813837321216234</v>
      </c>
    </row>
    <row r="38" spans="1:18" x14ac:dyDescent="0.35">
      <c r="A38">
        <v>23</v>
      </c>
      <c r="B38" s="95">
        <f t="shared" si="6"/>
        <v>2960.618763743465</v>
      </c>
      <c r="C38" s="97">
        <f t="shared" si="2"/>
        <v>2961</v>
      </c>
      <c r="D38" s="97">
        <f t="shared" si="3"/>
        <v>648.51308230321445</v>
      </c>
      <c r="E38" s="24"/>
      <c r="F38" s="133">
        <f>'6 - Curve'!C24</f>
        <v>23</v>
      </c>
      <c r="G38" s="134">
        <f>'6 - Curve'!D24</f>
        <v>5588.5901365765194</v>
      </c>
      <c r="H38" s="97">
        <f t="shared" si="4"/>
        <v>2960.618763743465</v>
      </c>
      <c r="I38" s="129">
        <f t="shared" si="5"/>
        <v>16.329181745966626</v>
      </c>
    </row>
    <row r="39" spans="1:18" x14ac:dyDescent="0.35">
      <c r="A39">
        <v>24</v>
      </c>
      <c r="B39" s="95">
        <f t="shared" si="6"/>
        <v>3504.7434826534645</v>
      </c>
      <c r="C39" s="97">
        <f t="shared" si="2"/>
        <v>3505</v>
      </c>
      <c r="D39" s="97">
        <f t="shared" si="3"/>
        <v>547.82896651436579</v>
      </c>
      <c r="F39" s="133">
        <f>'6 - Curve'!C25</f>
        <v>24</v>
      </c>
      <c r="G39" s="134">
        <f>'6 - Curve'!D25</f>
        <v>6145.5448899865805</v>
      </c>
      <c r="H39" s="97">
        <f t="shared" si="4"/>
        <v>3504.7434826534645</v>
      </c>
      <c r="I39" s="129">
        <f t="shared" si="5"/>
        <v>18.103091461933094</v>
      </c>
    </row>
    <row r="40" spans="1:18" x14ac:dyDescent="0.35">
      <c r="A40">
        <v>25</v>
      </c>
      <c r="B40" s="95">
        <f t="shared" si="6"/>
        <v>4148.8715229483923</v>
      </c>
      <c r="C40" s="97">
        <f t="shared" si="2"/>
        <v>4149</v>
      </c>
      <c r="D40" s="97">
        <f t="shared" si="3"/>
        <v>462.77644158900353</v>
      </c>
      <c r="F40" s="133">
        <f>'6 - Curve'!C26</f>
        <v>25</v>
      </c>
      <c r="G40" s="134">
        <f>'6 - Curve'!D26</f>
        <v>6762.4770808018084</v>
      </c>
      <c r="H40" s="97">
        <f t="shared" si="4"/>
        <v>4148.8715229483923</v>
      </c>
      <c r="I40" s="129">
        <f t="shared" si="5"/>
        <v>19.953404174283371</v>
      </c>
    </row>
    <row r="41" spans="1:18" x14ac:dyDescent="0.35">
      <c r="A41">
        <v>26</v>
      </c>
      <c r="B41" s="95">
        <f t="shared" si="6"/>
        <v>4911.3822449852833</v>
      </c>
      <c r="C41" s="97">
        <f t="shared" si="2"/>
        <v>4911</v>
      </c>
      <c r="D41" s="97">
        <f t="shared" si="3"/>
        <v>390.92864375612453</v>
      </c>
      <c r="F41" s="133">
        <f>'6 - Curve'!C27</f>
        <v>26</v>
      </c>
      <c r="G41" s="134">
        <f>'6 - Curve'!D27</f>
        <v>7449.9084644407967</v>
      </c>
      <c r="H41" s="97">
        <f t="shared" si="4"/>
        <v>4911.3822449852833</v>
      </c>
      <c r="I41" s="129">
        <f t="shared" si="5"/>
        <v>21.669557481318968</v>
      </c>
    </row>
    <row r="42" spans="1:18" x14ac:dyDescent="0.35">
      <c r="A42">
        <v>27</v>
      </c>
      <c r="B42" s="95">
        <f t="shared" si="6"/>
        <v>5814.0329057995577</v>
      </c>
      <c r="C42" s="97">
        <f t="shared" si="2"/>
        <v>5814</v>
      </c>
      <c r="D42" s="97">
        <f t="shared" si="3"/>
        <v>330.2354890500855</v>
      </c>
      <c r="F42" s="133">
        <f>'6 - Curve'!C28</f>
        <v>27</v>
      </c>
      <c r="G42" s="134">
        <f>'6 - Curve'!D28</f>
        <v>8168.6556558452185</v>
      </c>
      <c r="H42" s="97">
        <f t="shared" si="4"/>
        <v>5814.0329057995577</v>
      </c>
      <c r="I42" s="129">
        <f t="shared" si="5"/>
        <v>23.41518405890519</v>
      </c>
    </row>
    <row r="43" spans="1:18" x14ac:dyDescent="0.35">
      <c r="A43">
        <v>28</v>
      </c>
      <c r="B43" s="95">
        <f t="shared" si="6"/>
        <v>6882.5794742883709</v>
      </c>
      <c r="C43" s="97">
        <f t="shared" si="2"/>
        <v>6883</v>
      </c>
      <c r="D43" s="97">
        <f t="shared" si="3"/>
        <v>278.96517681672339</v>
      </c>
      <c r="F43" s="133">
        <f>'6 - Curve'!C29</f>
        <v>28</v>
      </c>
      <c r="G43" s="134">
        <f>'6 - Curve'!D29</f>
        <v>8873.8938617485928</v>
      </c>
      <c r="H43" s="97">
        <f t="shared" si="4"/>
        <v>6882.5794742883709</v>
      </c>
      <c r="I43" s="129">
        <f t="shared" si="5"/>
        <v>25.181704441404321</v>
      </c>
    </row>
    <row r="44" spans="1:18" x14ac:dyDescent="0.35">
      <c r="A44">
        <v>29</v>
      </c>
      <c r="B44" s="95">
        <f t="shared" si="6"/>
        <v>8147.5115444640205</v>
      </c>
      <c r="C44" s="97">
        <f t="shared" si="2"/>
        <v>8148</v>
      </c>
      <c r="D44" s="97">
        <f t="shared" si="3"/>
        <v>235.6547750220233</v>
      </c>
      <c r="F44" s="133">
        <f>'6 - Curve'!C30</f>
        <v>29</v>
      </c>
      <c r="G44" s="134">
        <f>'6 - Curve'!D30</f>
        <v>9554.3619895929914</v>
      </c>
      <c r="H44" s="97">
        <f t="shared" si="4"/>
        <v>8147.5115444640205</v>
      </c>
      <c r="I44" s="129">
        <f t="shared" si="5"/>
        <v>26.970337794360763</v>
      </c>
    </row>
    <row r="45" spans="1:18" x14ac:dyDescent="0.35">
      <c r="A45">
        <v>30</v>
      </c>
      <c r="B45" s="95">
        <f t="shared" si="6"/>
        <v>9644.9223165763869</v>
      </c>
      <c r="C45" s="97">
        <f t="shared" si="2"/>
        <v>9645</v>
      </c>
      <c r="D45" s="97">
        <f t="shared" si="3"/>
        <v>199.06847737904226</v>
      </c>
      <c r="F45" s="133">
        <f>'6 - Curve'!C31</f>
        <v>30</v>
      </c>
      <c r="G45" s="134">
        <f>'6 - Curve'!D31</f>
        <v>10328.465268705997</v>
      </c>
      <c r="H45" s="97">
        <f t="shared" si="4"/>
        <v>9644.9223165763869</v>
      </c>
      <c r="I45" s="129">
        <f t="shared" si="5"/>
        <v>29.10946948020484</v>
      </c>
    </row>
    <row r="46" spans="1:18" x14ac:dyDescent="0.35">
      <c r="A46">
        <v>38</v>
      </c>
      <c r="B46" s="95">
        <f t="shared" si="6"/>
        <v>11417.538469890293</v>
      </c>
      <c r="C46" s="97">
        <f t="shared" si="2"/>
        <v>11418</v>
      </c>
      <c r="D46" s="97">
        <f t="shared" si="3"/>
        <v>168.16234121420527</v>
      </c>
      <c r="F46" s="133">
        <f>'6 - Curve'!C32</f>
        <v>38</v>
      </c>
      <c r="G46" s="134">
        <f>'6 - Curve'!D32</f>
        <v>10011.26424103934</v>
      </c>
      <c r="H46" s="97">
        <f t="shared" si="4"/>
        <v>11417.538469890293</v>
      </c>
      <c r="I46" s="129">
        <f t="shared" si="5"/>
        <v>42.801688719063385</v>
      </c>
    </row>
    <row r="47" spans="1:18" x14ac:dyDescent="0.35">
      <c r="A47">
        <v>50</v>
      </c>
      <c r="B47" s="95">
        <f t="shared" si="6"/>
        <v>13515.939313205179</v>
      </c>
      <c r="C47" s="97">
        <f t="shared" si="2"/>
        <v>13516</v>
      </c>
      <c r="D47" s="97">
        <f t="shared" si="3"/>
        <v>142.05449991360581</v>
      </c>
      <c r="F47" s="133">
        <f>'6 - Curve'!C33</f>
        <v>50</v>
      </c>
      <c r="G47" s="134">
        <f>'6 - Curve'!D33</f>
        <v>15895.418171796442</v>
      </c>
      <c r="H47" s="97">
        <f t="shared" si="4"/>
        <v>13515.939313205179</v>
      </c>
      <c r="I47" s="129">
        <f t="shared" si="5"/>
        <v>46.457867786938976</v>
      </c>
    </row>
    <row r="48" spans="1:18" ht="13.15" thickBot="1" x14ac:dyDescent="0.4">
      <c r="A48">
        <v>70</v>
      </c>
      <c r="B48" s="95">
        <f t="shared" si="6"/>
        <v>16000.000000000053</v>
      </c>
      <c r="C48" s="97">
        <f t="shared" si="2"/>
        <v>16000</v>
      </c>
      <c r="D48" s="97">
        <f>$B$12*1.5</f>
        <v>120</v>
      </c>
      <c r="E48" s="11"/>
      <c r="F48" s="135">
        <f>'6 - Curve'!C34</f>
        <v>70</v>
      </c>
      <c r="G48" s="136">
        <f>'6 - Curve'!D34</f>
        <v>24999.999999999996</v>
      </c>
      <c r="H48" s="97">
        <f t="shared" si="4"/>
        <v>16000.000000000053</v>
      </c>
      <c r="I48" s="129">
        <f t="shared" si="5"/>
        <v>50.221348992746961</v>
      </c>
    </row>
    <row r="49" spans="1:36" x14ac:dyDescent="0.35">
      <c r="C49" s="11"/>
      <c r="E49" s="24"/>
      <c r="F49" s="16"/>
      <c r="G49" s="16"/>
    </row>
    <row r="50" spans="1:36" ht="13.5" thickBot="1" x14ac:dyDescent="0.45">
      <c r="B50" s="121" t="s">
        <v>43</v>
      </c>
      <c r="E50" s="16"/>
    </row>
    <row r="51" spans="1:36" x14ac:dyDescent="0.35">
      <c r="A51" s="11" t="s">
        <v>177</v>
      </c>
      <c r="B51" s="122">
        <v>4</v>
      </c>
      <c r="C51" s="123">
        <v>5</v>
      </c>
      <c r="D51" s="123">
        <v>6</v>
      </c>
      <c r="E51" s="123">
        <v>7</v>
      </c>
      <c r="F51" s="123">
        <v>8</v>
      </c>
      <c r="G51" s="123">
        <v>9</v>
      </c>
      <c r="H51" s="123">
        <v>10</v>
      </c>
      <c r="I51" s="123">
        <v>11</v>
      </c>
      <c r="J51" s="123">
        <v>12</v>
      </c>
      <c r="K51" s="123">
        <v>13</v>
      </c>
      <c r="L51" s="123">
        <v>14</v>
      </c>
      <c r="M51" s="123">
        <v>15</v>
      </c>
      <c r="N51" s="123">
        <v>16</v>
      </c>
      <c r="O51" s="123">
        <v>17</v>
      </c>
      <c r="P51" s="123">
        <v>18</v>
      </c>
      <c r="Q51" s="123">
        <v>19</v>
      </c>
      <c r="R51" s="123">
        <v>20</v>
      </c>
      <c r="S51" s="123">
        <v>21</v>
      </c>
      <c r="T51" s="123">
        <v>22</v>
      </c>
      <c r="U51" s="123">
        <v>23</v>
      </c>
      <c r="V51" s="123">
        <v>24</v>
      </c>
      <c r="W51" s="123">
        <v>25</v>
      </c>
      <c r="X51" s="123">
        <v>26</v>
      </c>
      <c r="Y51" s="123">
        <v>27</v>
      </c>
      <c r="Z51" s="123">
        <v>28</v>
      </c>
      <c r="AA51" s="123">
        <v>29</v>
      </c>
      <c r="AB51" s="123">
        <v>30</v>
      </c>
      <c r="AC51" s="123">
        <v>38</v>
      </c>
      <c r="AD51" s="123">
        <v>50</v>
      </c>
      <c r="AE51" s="124">
        <v>70</v>
      </c>
    </row>
    <row r="52" spans="1:36" ht="14.25" thickBot="1" x14ac:dyDescent="0.45">
      <c r="A52" s="11" t="s">
        <v>45</v>
      </c>
      <c r="B52" s="125">
        <f>INT($B19+0.5)</f>
        <v>120</v>
      </c>
      <c r="C52" s="126">
        <f>INT($B20+0.5)</f>
        <v>142</v>
      </c>
      <c r="D52" s="126">
        <f>INT($B21+0.5)</f>
        <v>168</v>
      </c>
      <c r="E52" s="126">
        <f>INT($B22+0.5)</f>
        <v>199</v>
      </c>
      <c r="F52" s="126">
        <f>INT($B23+0.5)</f>
        <v>236</v>
      </c>
      <c r="G52" s="126">
        <f>INT($B24+0.5)</f>
        <v>279</v>
      </c>
      <c r="H52" s="126">
        <f>INT($B25+0.5)</f>
        <v>330</v>
      </c>
      <c r="I52" s="126">
        <f>INT($B26+0.5)</f>
        <v>391</v>
      </c>
      <c r="J52" s="126">
        <f>INT($B27+0.5)</f>
        <v>463</v>
      </c>
      <c r="K52" s="126">
        <f>INT($B28+0.5)</f>
        <v>548</v>
      </c>
      <c r="L52" s="126">
        <f>INT($B29+0.5)</f>
        <v>649</v>
      </c>
      <c r="M52" s="126">
        <f>INT($B30+0.5)</f>
        <v>768</v>
      </c>
      <c r="N52" s="126">
        <f>INT($B31+0.5)</f>
        <v>909</v>
      </c>
      <c r="O52" s="126">
        <f>INT($B32+0.5)</f>
        <v>1076</v>
      </c>
      <c r="P52" s="126">
        <f>INT($B33+0.5)</f>
        <v>1274</v>
      </c>
      <c r="Q52" s="126">
        <f>INT($B34+0.5)</f>
        <v>1508</v>
      </c>
      <c r="R52" s="126">
        <f>INT($B35+0.5)</f>
        <v>1785</v>
      </c>
      <c r="S52" s="126">
        <f>INT($B36+0.5)</f>
        <v>2113</v>
      </c>
      <c r="T52" s="126">
        <f>INT($B37+0.5)</f>
        <v>2501</v>
      </c>
      <c r="U52" s="126">
        <f>INT($B38+0.5)</f>
        <v>2961</v>
      </c>
      <c r="V52" s="126">
        <f>INT($B39+0.5)</f>
        <v>3505</v>
      </c>
      <c r="W52" s="126">
        <f>INT($B40+0.5)</f>
        <v>4149</v>
      </c>
      <c r="X52" s="126">
        <f>INT($B41+0.5)</f>
        <v>4911</v>
      </c>
      <c r="Y52" s="126">
        <f>INT($B42+0.5)</f>
        <v>5814</v>
      </c>
      <c r="Z52" s="126">
        <f>INT($B43+0.5)</f>
        <v>6883</v>
      </c>
      <c r="AA52" s="126">
        <f>INT($B44+0.5)</f>
        <v>8148</v>
      </c>
      <c r="AB52" s="126">
        <f>INT($B45+0.5)</f>
        <v>9645</v>
      </c>
      <c r="AC52" s="126">
        <f>INT($B46+0.5)</f>
        <v>11418</v>
      </c>
      <c r="AD52" s="126">
        <f>INT($B47+0.5)</f>
        <v>13516</v>
      </c>
      <c r="AE52" s="127">
        <f>INT($B48+0.5)</f>
        <v>16000</v>
      </c>
    </row>
    <row r="54" spans="1:36" ht="36.4" x14ac:dyDescent="0.35">
      <c r="B54" s="1" t="s">
        <v>46</v>
      </c>
    </row>
    <row r="56" spans="1:36" x14ac:dyDescent="0.35">
      <c r="G56" s="16">
        <v>4</v>
      </c>
      <c r="H56" s="16">
        <v>5</v>
      </c>
      <c r="I56" s="16">
        <v>6</v>
      </c>
      <c r="J56" s="16">
        <v>7</v>
      </c>
      <c r="K56" s="16">
        <v>8</v>
      </c>
      <c r="L56" s="16">
        <v>9</v>
      </c>
      <c r="M56" s="16">
        <v>10</v>
      </c>
      <c r="N56" s="16">
        <v>11</v>
      </c>
      <c r="O56" s="16">
        <v>12</v>
      </c>
      <c r="P56" s="16">
        <v>13</v>
      </c>
      <c r="Q56" s="16">
        <v>14</v>
      </c>
      <c r="R56" s="16">
        <v>15</v>
      </c>
      <c r="S56" s="16">
        <v>16</v>
      </c>
      <c r="T56" s="16">
        <v>17</v>
      </c>
      <c r="U56" s="16">
        <v>18</v>
      </c>
      <c r="V56" s="16">
        <v>19</v>
      </c>
      <c r="W56" s="16">
        <v>20</v>
      </c>
      <c r="X56" s="16">
        <v>21</v>
      </c>
      <c r="Y56" s="16">
        <v>22</v>
      </c>
      <c r="Z56" s="16">
        <v>23</v>
      </c>
      <c r="AA56" s="16">
        <v>24</v>
      </c>
      <c r="AB56" s="16">
        <v>25</v>
      </c>
      <c r="AC56" s="16">
        <v>26</v>
      </c>
      <c r="AD56" s="16">
        <v>27</v>
      </c>
      <c r="AE56" s="16">
        <v>28</v>
      </c>
      <c r="AF56" s="16">
        <v>29</v>
      </c>
      <c r="AG56" s="16">
        <v>30</v>
      </c>
      <c r="AH56" s="16">
        <v>38</v>
      </c>
      <c r="AI56" s="16">
        <v>50</v>
      </c>
      <c r="AJ56" s="16">
        <v>70</v>
      </c>
    </row>
    <row r="57" spans="1:36" x14ac:dyDescent="0.35">
      <c r="G57" s="16">
        <v>120</v>
      </c>
      <c r="H57" s="16">
        <v>142</v>
      </c>
      <c r="I57" s="16">
        <v>168</v>
      </c>
      <c r="J57" s="16">
        <v>199</v>
      </c>
      <c r="K57" s="16">
        <v>236</v>
      </c>
      <c r="L57" s="16">
        <v>279</v>
      </c>
      <c r="M57" s="16">
        <v>330</v>
      </c>
      <c r="N57" s="16">
        <v>391</v>
      </c>
      <c r="O57" s="16">
        <v>463</v>
      </c>
      <c r="P57" s="16">
        <v>548</v>
      </c>
      <c r="Q57" s="16">
        <v>649</v>
      </c>
      <c r="R57" s="16">
        <v>768</v>
      </c>
      <c r="S57" s="16">
        <v>909</v>
      </c>
      <c r="T57" s="16">
        <v>1076</v>
      </c>
      <c r="U57" s="16">
        <v>1274</v>
      </c>
      <c r="V57" s="16">
        <v>1508</v>
      </c>
      <c r="W57" s="16">
        <v>1785</v>
      </c>
      <c r="X57" s="16">
        <v>2113</v>
      </c>
      <c r="Y57" s="16">
        <v>2501</v>
      </c>
      <c r="Z57" s="16">
        <v>2961</v>
      </c>
      <c r="AA57" s="16">
        <v>3505</v>
      </c>
      <c r="AB57" s="16">
        <v>4149</v>
      </c>
      <c r="AC57" s="16">
        <v>4911</v>
      </c>
      <c r="AD57" s="16">
        <v>5814</v>
      </c>
      <c r="AE57" s="16">
        <v>6883</v>
      </c>
      <c r="AF57" s="16">
        <v>8148</v>
      </c>
      <c r="AG57" s="16">
        <v>9645</v>
      </c>
      <c r="AH57" s="16">
        <v>11418</v>
      </c>
      <c r="AI57" s="16">
        <v>13516</v>
      </c>
      <c r="AJ57" s="16">
        <v>16000</v>
      </c>
    </row>
    <row r="58" spans="1:36" x14ac:dyDescent="0.35">
      <c r="G58" s="24">
        <v>0</v>
      </c>
      <c r="H58" s="24">
        <v>0</v>
      </c>
      <c r="I58" s="24">
        <v>0</v>
      </c>
      <c r="J58" s="24">
        <v>4.1446428107357969</v>
      </c>
      <c r="K58" s="24">
        <v>4.4721909764763739</v>
      </c>
      <c r="L58" s="24">
        <v>4.8357888707085905</v>
      </c>
      <c r="M58" s="24">
        <v>5.2116962286441648</v>
      </c>
      <c r="N58" s="24">
        <v>5.6056482675924135</v>
      </c>
      <c r="O58" s="24">
        <v>6.049816192969006</v>
      </c>
      <c r="P58" s="24">
        <v>6.5766512699040121</v>
      </c>
      <c r="Q58" s="24">
        <v>7.141543151172896</v>
      </c>
      <c r="R58" s="24">
        <v>7.7222219632767271</v>
      </c>
      <c r="S58" s="24">
        <v>8.3542669285549174</v>
      </c>
      <c r="T58" s="24">
        <v>9.054233696608069</v>
      </c>
      <c r="U58" s="24">
        <v>9.8621137514152775</v>
      </c>
      <c r="V58" s="24">
        <v>10.722750505836441</v>
      </c>
      <c r="W58" s="24">
        <v>11.662897832532781</v>
      </c>
      <c r="X58" s="24">
        <v>12.717582749046439</v>
      </c>
      <c r="Y58" s="24">
        <v>13.965302548566246</v>
      </c>
      <c r="Z58" s="24">
        <v>15.376061079672171</v>
      </c>
      <c r="AA58" s="24">
        <v>17.05939139128003</v>
      </c>
      <c r="AB58" s="24">
        <v>18.951974499188289</v>
      </c>
      <c r="AC58" s="24">
        <v>20.763455742358104</v>
      </c>
      <c r="AD58" s="24">
        <v>22.553545632308534</v>
      </c>
      <c r="AE58" s="24">
        <v>24.382335030846679</v>
      </c>
      <c r="AF58" s="24">
        <v>26.283665773457798</v>
      </c>
      <c r="AG58" s="24">
        <v>28.375979807757929</v>
      </c>
      <c r="AH58" s="24">
        <v>43.404778175734116</v>
      </c>
      <c r="AI58" s="24">
        <v>46.904570997484129</v>
      </c>
      <c r="AJ58" s="24">
        <v>50.221717781972394</v>
      </c>
    </row>
    <row r="60" spans="1:36" x14ac:dyDescent="0.35">
      <c r="G60" s="24">
        <v>0</v>
      </c>
    </row>
    <row r="61" spans="1:36" x14ac:dyDescent="0.35">
      <c r="G61" s="24">
        <v>0</v>
      </c>
    </row>
    <row r="62" spans="1:36" x14ac:dyDescent="0.35">
      <c r="G62" s="24">
        <v>0</v>
      </c>
    </row>
    <row r="63" spans="1:36" x14ac:dyDescent="0.35">
      <c r="G63" s="24">
        <v>4.1446428107357969</v>
      </c>
    </row>
    <row r="64" spans="1:36" x14ac:dyDescent="0.35">
      <c r="G64" s="24">
        <v>4.4721909764763739</v>
      </c>
    </row>
    <row r="65" spans="7:7" x14ac:dyDescent="0.35">
      <c r="G65" s="24">
        <v>4.8357888707085905</v>
      </c>
    </row>
    <row r="66" spans="7:7" x14ac:dyDescent="0.35">
      <c r="G66" s="24">
        <v>5.2116962286441648</v>
      </c>
    </row>
    <row r="67" spans="7:7" x14ac:dyDescent="0.35">
      <c r="G67" s="24">
        <v>5.6056482675924135</v>
      </c>
    </row>
    <row r="68" spans="7:7" x14ac:dyDescent="0.35">
      <c r="G68" s="24">
        <v>6.049816192969006</v>
      </c>
    </row>
    <row r="69" spans="7:7" x14ac:dyDescent="0.35">
      <c r="G69" s="24">
        <v>6.5766512699040121</v>
      </c>
    </row>
    <row r="70" spans="7:7" x14ac:dyDescent="0.35">
      <c r="G70" s="24">
        <v>7.141543151172896</v>
      </c>
    </row>
    <row r="71" spans="7:7" x14ac:dyDescent="0.35">
      <c r="G71" s="24">
        <v>7.7222219632767271</v>
      </c>
    </row>
    <row r="72" spans="7:7" x14ac:dyDescent="0.35">
      <c r="G72" s="24">
        <v>8.3542669285549174</v>
      </c>
    </row>
    <row r="73" spans="7:7" x14ac:dyDescent="0.35">
      <c r="G73" s="24">
        <v>9.054233696608069</v>
      </c>
    </row>
    <row r="74" spans="7:7" x14ac:dyDescent="0.35">
      <c r="G74" s="24">
        <v>9.8621137514152775</v>
      </c>
    </row>
    <row r="75" spans="7:7" x14ac:dyDescent="0.35">
      <c r="G75" s="24">
        <v>10.722750505836441</v>
      </c>
    </row>
    <row r="76" spans="7:7" x14ac:dyDescent="0.35">
      <c r="G76" s="24">
        <v>11.662897832532781</v>
      </c>
    </row>
    <row r="77" spans="7:7" x14ac:dyDescent="0.35">
      <c r="G77" s="24">
        <v>12.717582749046439</v>
      </c>
    </row>
    <row r="78" spans="7:7" x14ac:dyDescent="0.35">
      <c r="G78" s="24">
        <v>13.965302548566246</v>
      </c>
    </row>
    <row r="79" spans="7:7" x14ac:dyDescent="0.35">
      <c r="G79" s="24">
        <v>15.376061079672171</v>
      </c>
    </row>
    <row r="80" spans="7:7" x14ac:dyDescent="0.35">
      <c r="G80" s="24">
        <v>17.05939139128003</v>
      </c>
    </row>
    <row r="81" spans="7:7" x14ac:dyDescent="0.35">
      <c r="G81" s="24">
        <v>18.951974499188289</v>
      </c>
    </row>
    <row r="82" spans="7:7" x14ac:dyDescent="0.35">
      <c r="G82" s="24">
        <v>20.763455742358104</v>
      </c>
    </row>
    <row r="83" spans="7:7" x14ac:dyDescent="0.35">
      <c r="G83" s="24">
        <v>22.553545632308534</v>
      </c>
    </row>
    <row r="84" spans="7:7" x14ac:dyDescent="0.35">
      <c r="G84" s="24">
        <v>24.382335030846679</v>
      </c>
    </row>
    <row r="85" spans="7:7" x14ac:dyDescent="0.35">
      <c r="G85" s="24">
        <v>26.283665773457798</v>
      </c>
    </row>
    <row r="86" spans="7:7" x14ac:dyDescent="0.35">
      <c r="G86" s="24">
        <v>28.375979807757929</v>
      </c>
    </row>
    <row r="87" spans="7:7" x14ac:dyDescent="0.35">
      <c r="G87" s="24">
        <v>43.404778175734116</v>
      </c>
    </row>
    <row r="88" spans="7:7" x14ac:dyDescent="0.35">
      <c r="G88" s="24">
        <v>46.904570997484129</v>
      </c>
    </row>
    <row r="89" spans="7:7" x14ac:dyDescent="0.35">
      <c r="G89" s="24">
        <v>50.221717781972394</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tabSelected="1" topLeftCell="A16" zoomScale="70" zoomScaleNormal="70" workbookViewId="0"/>
  </sheetViews>
  <sheetFormatPr defaultColWidth="11.53125" defaultRowHeight="12.75" x14ac:dyDescent="0.35"/>
  <cols>
    <col min="12" max="12" width="12.3984375" customWidth="1"/>
  </cols>
  <sheetData>
    <row r="1" spans="1:49" x14ac:dyDescent="0.35">
      <c r="A1" t="s">
        <v>47</v>
      </c>
    </row>
    <row r="2" spans="1:49" ht="40.15" x14ac:dyDescent="0.4">
      <c r="A2" s="152" t="s">
        <v>48</v>
      </c>
      <c r="B2" s="152"/>
      <c r="C2" s="152"/>
      <c r="D2" s="152"/>
      <c r="E2" s="152"/>
      <c r="H2" s="28" t="s">
        <v>49</v>
      </c>
    </row>
    <row r="3" spans="1:49" ht="13.9" x14ac:dyDescent="0.4">
      <c r="A3" t="s">
        <v>50</v>
      </c>
      <c r="B3" s="91" t="s">
        <v>125</v>
      </c>
      <c r="D3" t="s">
        <v>51</v>
      </c>
      <c r="E3" s="30">
        <f>'Clause 6'!$G$11</f>
        <v>1</v>
      </c>
    </row>
    <row r="4" spans="1:49" ht="18.100000000000001" customHeight="1" x14ac:dyDescent="1.05">
      <c r="A4" s="30" t="s">
        <v>9</v>
      </c>
      <c r="B4" s="89">
        <v>46010</v>
      </c>
      <c r="O4" s="32"/>
    </row>
    <row r="5" spans="1:49" ht="13.9" x14ac:dyDescent="0.4">
      <c r="A5" s="30" t="s">
        <v>4</v>
      </c>
      <c r="B5" s="90" t="s">
        <v>5</v>
      </c>
      <c r="O5" s="33"/>
    </row>
    <row r="6" spans="1:49" ht="13.15" x14ac:dyDescent="0.4">
      <c r="C6" s="30"/>
      <c r="D6" s="30"/>
      <c r="E6" s="30"/>
      <c r="F6" s="30"/>
    </row>
    <row r="7" spans="1:49" ht="14.65" x14ac:dyDescent="0.5">
      <c r="B7" s="14" t="s">
        <v>52</v>
      </c>
      <c r="C7" s="14" t="s">
        <v>53</v>
      </c>
      <c r="D7" s="14" t="s">
        <v>54</v>
      </c>
      <c r="E7" s="14" t="s">
        <v>55</v>
      </c>
      <c r="F7" s="14" t="s">
        <v>56</v>
      </c>
      <c r="G7" s="14" t="s">
        <v>57</v>
      </c>
      <c r="H7" s="14" t="s">
        <v>58</v>
      </c>
      <c r="I7" s="14" t="s">
        <v>59</v>
      </c>
      <c r="J7" s="14" t="s">
        <v>60</v>
      </c>
      <c r="K7" s="14" t="s">
        <v>61</v>
      </c>
      <c r="L7" s="14" t="s">
        <v>62</v>
      </c>
      <c r="M7" s="14" t="s">
        <v>63</v>
      </c>
      <c r="O7" s="92" t="s">
        <v>52</v>
      </c>
      <c r="P7" s="92" t="s">
        <v>53</v>
      </c>
      <c r="Q7" s="92" t="s">
        <v>54</v>
      </c>
      <c r="R7" s="92" t="s">
        <v>55</v>
      </c>
      <c r="S7" s="92" t="s">
        <v>56</v>
      </c>
    </row>
    <row r="8" spans="1:49" ht="13.15" x14ac:dyDescent="0.4">
      <c r="A8" s="11" t="s">
        <v>64</v>
      </c>
      <c r="B8" s="34">
        <f>B52</f>
        <v>10.794725</v>
      </c>
      <c r="C8" s="34">
        <f t="shared" ref="C8:F8" si="0">C52</f>
        <v>11.817764</v>
      </c>
      <c r="D8" s="34">
        <f t="shared" si="0"/>
        <v>11.661454000000001</v>
      </c>
      <c r="E8" s="34">
        <f t="shared" si="0"/>
        <v>11.792820000000001</v>
      </c>
      <c r="F8" s="34">
        <f t="shared" si="0"/>
        <v>11.778202</v>
      </c>
      <c r="G8" s="35">
        <f>AVERAGE(B$8:F$8)*5</f>
        <v>57.844965000000002</v>
      </c>
      <c r="I8" s="36"/>
      <c r="K8" s="36"/>
      <c r="O8" s="93"/>
      <c r="P8" s="93"/>
      <c r="Q8" s="93"/>
      <c r="R8" s="93"/>
      <c r="S8" s="93"/>
    </row>
    <row r="9" spans="1:49" ht="13.15" x14ac:dyDescent="0.4">
      <c r="A9" s="11" t="s">
        <v>65</v>
      </c>
      <c r="B9" s="34">
        <f t="shared" ref="B9:F9" si="1">B53</f>
        <v>11418.447265999999</v>
      </c>
      <c r="C9" s="34">
        <f t="shared" si="1"/>
        <v>11549.815430000001</v>
      </c>
      <c r="D9" s="34">
        <f t="shared" si="1"/>
        <v>11089.697265999999</v>
      </c>
      <c r="E9" s="34">
        <f t="shared" si="1"/>
        <v>11333.930664</v>
      </c>
      <c r="F9" s="34">
        <f t="shared" si="1"/>
        <v>11386.203125</v>
      </c>
      <c r="G9" s="37">
        <f t="shared" ref="G9:G38" si="2">AVERAGE(B9:F9)</f>
        <v>11355.618750199999</v>
      </c>
      <c r="H9" s="38">
        <f t="shared" ref="H9:H38" si="3">G9*G$8</f>
        <v>656865.36915866274</v>
      </c>
      <c r="I9" s="36">
        <f t="shared" ref="I9:I38" si="4">STDEVP(B9:F9)/AVERAGE(B9:F9)</f>
        <v>1.3284241133905752E-2</v>
      </c>
      <c r="J9" s="36">
        <f t="shared" ref="J9:J38" si="5">IF(H9&gt;$A$43, $C$43, IF(H9&gt;$A$44, $C$44, IF(H9&gt;$A$45,$C$45,IF(H9&gt;$A$46,$C$46, IF(H9&gt;$A$47,$C$47,IF(H9&gt;$A$48,$C$48,$C$49))))))/100</f>
        <v>0.11</v>
      </c>
      <c r="K9" s="36">
        <f t="shared" ref="K9:K38" si="6">(MAX(B9:F9)-MIN(B9:F9))/G9</f>
        <v>4.0518986602284229E-2</v>
      </c>
      <c r="L9" s="16">
        <f>G9/'Clause 6'!$G$11</f>
        <v>11355.618750199999</v>
      </c>
      <c r="M9">
        <f t="shared" ref="M9:M38" si="7">COUNTA(B9:F9)</f>
        <v>5</v>
      </c>
      <c r="O9" s="94">
        <f>IF(ISNUMBER(B9), (B9/$G9-1), 0)</f>
        <v>5.5328130665617259E-3</v>
      </c>
      <c r="P9" s="94">
        <f t="shared" ref="P9:S38" si="8">IF(ISNUMBER(C9), (C9/$G9-1), 0)</f>
        <v>1.7101373696310596E-2</v>
      </c>
      <c r="Q9" s="94">
        <f t="shared" si="8"/>
        <v>-2.3417612905973662E-2</v>
      </c>
      <c r="R9" s="94">
        <f t="shared" si="8"/>
        <v>-1.909899114886926E-3</v>
      </c>
      <c r="S9" s="94">
        <f t="shared" si="8"/>
        <v>2.6933252579883771E-3</v>
      </c>
    </row>
    <row r="10" spans="1:49" ht="13.15" x14ac:dyDescent="0.4">
      <c r="A10" s="11" t="s">
        <v>66</v>
      </c>
      <c r="B10" s="34">
        <f t="shared" ref="B10:F10" si="9">B54</f>
        <v>10016.373046999999</v>
      </c>
      <c r="C10" s="34">
        <f t="shared" si="9"/>
        <v>10143.965819999999</v>
      </c>
      <c r="D10" s="34">
        <f t="shared" si="9"/>
        <v>9743.2958980000003</v>
      </c>
      <c r="E10" s="34">
        <f t="shared" si="9"/>
        <v>9951.9033199999994</v>
      </c>
      <c r="F10" s="34">
        <f t="shared" si="9"/>
        <v>10031.497069999999</v>
      </c>
      <c r="G10" s="37">
        <f t="shared" si="2"/>
        <v>9977.4070309999988</v>
      </c>
      <c r="H10" s="38">
        <f t="shared" si="3"/>
        <v>577142.76049894886</v>
      </c>
      <c r="I10" s="36">
        <f t="shared" si="4"/>
        <v>1.3269645834693783E-2</v>
      </c>
      <c r="J10" s="36">
        <f t="shared" si="5"/>
        <v>0.11</v>
      </c>
      <c r="K10" s="36">
        <f t="shared" si="6"/>
        <v>4.0157720413240616E-2</v>
      </c>
      <c r="L10" s="16">
        <f>G10/'Clause 6'!$G$11</f>
        <v>9977.4070309999988</v>
      </c>
      <c r="M10">
        <f t="shared" si="7"/>
        <v>5</v>
      </c>
      <c r="O10" s="94">
        <f t="shared" ref="O10:O38" si="10">IF(ISNUMBER(B10), (B10/$G10-1), 0)</f>
        <v>3.9054251148551433E-3</v>
      </c>
      <c r="P10" s="94">
        <f t="shared" si="8"/>
        <v>1.669359468672571E-2</v>
      </c>
      <c r="Q10" s="94">
        <f t="shared" si="8"/>
        <v>-2.3464125726515017E-2</v>
      </c>
      <c r="R10" s="94">
        <f t="shared" si="8"/>
        <v>-2.5561461931701279E-3</v>
      </c>
      <c r="S10" s="94">
        <f t="shared" si="8"/>
        <v>5.4212521181045137E-3</v>
      </c>
    </row>
    <row r="11" spans="1:49" ht="13.15" x14ac:dyDescent="0.4">
      <c r="A11" s="11" t="s">
        <v>67</v>
      </c>
      <c r="B11" s="34">
        <f t="shared" ref="B11:F11" si="11">B55</f>
        <v>8784.6611329999996</v>
      </c>
      <c r="C11" s="34">
        <f t="shared" si="11"/>
        <v>8923.4306639999995</v>
      </c>
      <c r="D11" s="34">
        <f t="shared" si="11"/>
        <v>8549.1054690000001</v>
      </c>
      <c r="E11" s="34">
        <f t="shared" si="11"/>
        <v>8742.2685550000006</v>
      </c>
      <c r="F11" s="34">
        <f t="shared" si="11"/>
        <v>8827.1533199999994</v>
      </c>
      <c r="G11" s="37">
        <f t="shared" si="2"/>
        <v>8765.3238282000002</v>
      </c>
      <c r="H11" s="38">
        <f t="shared" si="3"/>
        <v>507029.85005589505</v>
      </c>
      <c r="I11" s="36">
        <f t="shared" si="4"/>
        <v>1.4109482086257452E-2</v>
      </c>
      <c r="J11" s="36">
        <f t="shared" si="5"/>
        <v>0.11</v>
      </c>
      <c r="K11" s="36">
        <f t="shared" si="6"/>
        <v>4.2705232839853773E-2</v>
      </c>
      <c r="L11" s="16">
        <f>G11/'Clause 6'!$G$11</f>
        <v>8765.3238282000002</v>
      </c>
      <c r="M11">
        <f t="shared" si="7"/>
        <v>5</v>
      </c>
      <c r="O11" s="94">
        <f t="shared" si="10"/>
        <v>2.2061141355425029E-3</v>
      </c>
      <c r="P11" s="94">
        <f t="shared" si="8"/>
        <v>1.8037763224598047E-2</v>
      </c>
      <c r="Q11" s="94">
        <f t="shared" si="8"/>
        <v>-2.4667469615255677E-2</v>
      </c>
      <c r="R11" s="94">
        <f t="shared" si="8"/>
        <v>-2.6302819669736799E-3</v>
      </c>
      <c r="S11" s="94">
        <f t="shared" si="8"/>
        <v>7.0538742220886963E-3</v>
      </c>
    </row>
    <row r="12" spans="1:49" ht="13.15" x14ac:dyDescent="0.4">
      <c r="A12" s="11" t="s">
        <v>68</v>
      </c>
      <c r="B12" s="34">
        <f t="shared" ref="B12:F12" si="12">B56</f>
        <v>7685.7905270000001</v>
      </c>
      <c r="C12" s="34">
        <f t="shared" si="12"/>
        <v>7819.1606449999999</v>
      </c>
      <c r="D12" s="34">
        <f t="shared" si="12"/>
        <v>7499.4936520000001</v>
      </c>
      <c r="E12" s="34">
        <f t="shared" si="12"/>
        <v>7655.1665039999998</v>
      </c>
      <c r="F12" s="34">
        <f t="shared" si="12"/>
        <v>7737.1743159999996</v>
      </c>
      <c r="G12" s="37">
        <f t="shared" si="2"/>
        <v>7679.3571288000003</v>
      </c>
      <c r="H12" s="38">
        <f t="shared" si="3"/>
        <v>444212.14433793654</v>
      </c>
      <c r="I12" s="36">
        <f t="shared" si="4"/>
        <v>1.3764523546746338E-2</v>
      </c>
      <c r="J12" s="36">
        <f t="shared" si="5"/>
        <v>0.11</v>
      </c>
      <c r="K12" s="36">
        <f t="shared" si="6"/>
        <v>4.1626790841794326E-2</v>
      </c>
      <c r="L12" s="16">
        <f>G12/'Clause 6'!$G$11</f>
        <v>7679.3571288000003</v>
      </c>
      <c r="M12">
        <f t="shared" si="7"/>
        <v>5</v>
      </c>
      <c r="O12" s="94">
        <f t="shared" si="10"/>
        <v>8.3775218317061473E-4</v>
      </c>
      <c r="P12" s="94">
        <f t="shared" si="8"/>
        <v>1.8205106736824739E-2</v>
      </c>
      <c r="Q12" s="94">
        <f t="shared" si="8"/>
        <v>-2.3421684104969587E-2</v>
      </c>
      <c r="R12" s="94">
        <f t="shared" si="8"/>
        <v>-3.150084622224214E-3</v>
      </c>
      <c r="S12" s="94">
        <f t="shared" si="8"/>
        <v>7.5289098071982252E-3</v>
      </c>
    </row>
    <row r="13" spans="1:49" ht="13.15" x14ac:dyDescent="0.4">
      <c r="A13" s="11" t="s">
        <v>69</v>
      </c>
      <c r="B13" s="34">
        <f t="shared" ref="B13:F13" si="13">B57</f>
        <v>6697.623047</v>
      </c>
      <c r="C13" s="34">
        <f t="shared" si="13"/>
        <v>6810.3408200000003</v>
      </c>
      <c r="D13" s="34">
        <f t="shared" si="13"/>
        <v>6543.8666990000002</v>
      </c>
      <c r="E13" s="34">
        <f t="shared" si="13"/>
        <v>6668.294922</v>
      </c>
      <c r="F13" s="34">
        <f t="shared" si="13"/>
        <v>6748.2285160000001</v>
      </c>
      <c r="G13" s="37">
        <f t="shared" si="2"/>
        <v>6693.6708008000005</v>
      </c>
      <c r="H13" s="38">
        <f t="shared" si="3"/>
        <v>387195.15319379803</v>
      </c>
      <c r="I13" s="36">
        <f t="shared" si="4"/>
        <v>1.3310279040928272E-2</v>
      </c>
      <c r="J13" s="36">
        <f t="shared" si="5"/>
        <v>0.11</v>
      </c>
      <c r="K13" s="36">
        <f t="shared" si="6"/>
        <v>3.9809863515868196E-2</v>
      </c>
      <c r="L13" s="16">
        <f>G13/'Clause 6'!$G$11</f>
        <v>6693.6708008000005</v>
      </c>
      <c r="M13">
        <f t="shared" si="7"/>
        <v>5</v>
      </c>
      <c r="O13" s="94">
        <f t="shared" si="10"/>
        <v>5.9044526054785607E-4</v>
      </c>
      <c r="P13" s="94">
        <f t="shared" si="8"/>
        <v>1.7429900972431467E-2</v>
      </c>
      <c r="Q13" s="94">
        <f t="shared" si="8"/>
        <v>-2.2379962543436771E-2</v>
      </c>
      <c r="R13" s="94">
        <f t="shared" si="8"/>
        <v>-3.791025814560145E-3</v>
      </c>
      <c r="S13" s="94">
        <f t="shared" si="8"/>
        <v>8.1506421250174821E-3</v>
      </c>
    </row>
    <row r="14" spans="1:49" ht="13.15" x14ac:dyDescent="0.4">
      <c r="A14" s="11" t="s">
        <v>70</v>
      </c>
      <c r="B14" s="34">
        <f t="shared" ref="B14:F14" si="14">B58</f>
        <v>5830.5327150000003</v>
      </c>
      <c r="C14" s="34">
        <f t="shared" si="14"/>
        <v>5924.216797</v>
      </c>
      <c r="D14" s="34">
        <f t="shared" si="14"/>
        <v>5700.232422</v>
      </c>
      <c r="E14" s="34">
        <f t="shared" si="14"/>
        <v>5781.8232420000004</v>
      </c>
      <c r="F14" s="34">
        <f t="shared" si="14"/>
        <v>5868.4677730000003</v>
      </c>
      <c r="G14" s="37">
        <f t="shared" si="2"/>
        <v>5821.0545898</v>
      </c>
      <c r="H14" s="38">
        <f t="shared" si="3"/>
        <v>336718.69901007036</v>
      </c>
      <c r="I14" s="36">
        <f t="shared" si="4"/>
        <v>1.3109601123042765E-2</v>
      </c>
      <c r="J14" s="36">
        <f t="shared" si="5"/>
        <v>0.11</v>
      </c>
      <c r="K14" s="36">
        <f t="shared" si="6"/>
        <v>3.8478315491574121E-2</v>
      </c>
      <c r="L14" s="16">
        <f>G14/'Clause 6'!$G$11</f>
        <v>5821.0545898</v>
      </c>
      <c r="M14">
        <f t="shared" si="7"/>
        <v>5</v>
      </c>
      <c r="O14" s="94">
        <f t="shared" si="10"/>
        <v>1.6282488084904401E-3</v>
      </c>
      <c r="P14" s="94">
        <f t="shared" si="8"/>
        <v>1.7722253864577597E-2</v>
      </c>
      <c r="Q14" s="94">
        <f t="shared" si="8"/>
        <v>-2.0756061626996614E-2</v>
      </c>
      <c r="R14" s="94">
        <f t="shared" si="8"/>
        <v>-6.7395601939110872E-3</v>
      </c>
      <c r="S14" s="94">
        <f t="shared" si="8"/>
        <v>8.1451191478396634E-3</v>
      </c>
    </row>
    <row r="15" spans="1:49" ht="13.15" x14ac:dyDescent="0.4">
      <c r="A15" s="11" t="s">
        <v>71</v>
      </c>
      <c r="B15" s="34">
        <f t="shared" ref="B15:F15" si="15">B59</f>
        <v>5028.7524409999996</v>
      </c>
      <c r="C15" s="34">
        <f t="shared" si="15"/>
        <v>5097.2416990000002</v>
      </c>
      <c r="D15" s="34">
        <f t="shared" si="15"/>
        <v>4910.3652339999999</v>
      </c>
      <c r="E15" s="34">
        <f t="shared" si="15"/>
        <v>4992.2749020000001</v>
      </c>
      <c r="F15" s="34">
        <f t="shared" si="15"/>
        <v>5059.9404299999997</v>
      </c>
      <c r="G15" s="37">
        <f t="shared" si="2"/>
        <v>5017.7149411999999</v>
      </c>
      <c r="H15" s="38">
        <f t="shared" si="3"/>
        <v>290249.54515369108</v>
      </c>
      <c r="I15" s="36">
        <f t="shared" si="4"/>
        <v>1.2730023115262178E-2</v>
      </c>
      <c r="J15" s="36">
        <f t="shared" si="5"/>
        <v>0.11</v>
      </c>
      <c r="K15" s="36">
        <f t="shared" si="6"/>
        <v>3.7243340283357802E-2</v>
      </c>
      <c r="L15" s="16">
        <f>G15/'Clause 6'!$G$11</f>
        <v>5017.7149411999999</v>
      </c>
      <c r="M15">
        <f t="shared" si="7"/>
        <v>5</v>
      </c>
      <c r="O15" s="94">
        <f t="shared" si="10"/>
        <v>2.1997064260010912E-3</v>
      </c>
      <c r="P15" s="94">
        <f t="shared" si="8"/>
        <v>1.5849198037738876E-2</v>
      </c>
      <c r="Q15" s="94">
        <f t="shared" si="8"/>
        <v>-2.1394142245618863E-2</v>
      </c>
      <c r="R15" s="94">
        <f t="shared" si="8"/>
        <v>-5.0700447311412544E-3</v>
      </c>
      <c r="S15" s="94">
        <f t="shared" si="8"/>
        <v>8.4152825130201503E-3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72</v>
      </c>
      <c r="B16" s="34">
        <f t="shared" ref="B16:F16" si="16">B60</f>
        <v>4274.4023440000001</v>
      </c>
      <c r="C16" s="34">
        <f t="shared" si="16"/>
        <v>4351.0766599999997</v>
      </c>
      <c r="D16" s="34">
        <f t="shared" si="16"/>
        <v>4191.2441410000001</v>
      </c>
      <c r="E16" s="34">
        <f t="shared" si="16"/>
        <v>4261.8305659999996</v>
      </c>
      <c r="F16" s="34">
        <f t="shared" si="16"/>
        <v>4317.4672849999997</v>
      </c>
      <c r="G16" s="37">
        <f t="shared" si="2"/>
        <v>4279.2041991999995</v>
      </c>
      <c r="H16" s="38">
        <f t="shared" si="3"/>
        <v>247530.417130577</v>
      </c>
      <c r="I16" s="36">
        <f t="shared" si="4"/>
        <v>1.266736674627318E-2</v>
      </c>
      <c r="J16" s="36">
        <f t="shared" si="5"/>
        <v>0.11</v>
      </c>
      <c r="K16" s="36">
        <f t="shared" si="6"/>
        <v>3.7350991343175537E-2</v>
      </c>
      <c r="L16" s="16">
        <f>G16/'Clause 6'!$G$11</f>
        <v>4279.2041991999995</v>
      </c>
      <c r="M16">
        <f t="shared" si="7"/>
        <v>5</v>
      </c>
      <c r="O16" s="94">
        <f t="shared" si="10"/>
        <v>-1.122137429407366E-3</v>
      </c>
      <c r="P16" s="94">
        <f t="shared" si="8"/>
        <v>1.6795753942622449E-2</v>
      </c>
      <c r="Q16" s="94">
        <f t="shared" si="8"/>
        <v>-2.0555237400552984E-2</v>
      </c>
      <c r="R16" s="94">
        <f t="shared" si="8"/>
        <v>-4.0600149913967432E-3</v>
      </c>
      <c r="S16" s="94">
        <f t="shared" si="8"/>
        <v>8.941635878735088E-3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73</v>
      </c>
      <c r="B17" s="34">
        <f t="shared" ref="B17:F17" si="17">B61</f>
        <v>3616.9516600000002</v>
      </c>
      <c r="C17" s="34">
        <f t="shared" si="17"/>
        <v>3667.0219729999999</v>
      </c>
      <c r="D17" s="34">
        <f t="shared" si="17"/>
        <v>3546.0415039999998</v>
      </c>
      <c r="E17" s="34">
        <f t="shared" si="17"/>
        <v>3582.5187989999999</v>
      </c>
      <c r="F17" s="34">
        <f t="shared" si="17"/>
        <v>3637.9916990000002</v>
      </c>
      <c r="G17" s="37">
        <f t="shared" si="2"/>
        <v>3610.1051269999998</v>
      </c>
      <c r="H17" s="38">
        <f t="shared" si="3"/>
        <v>208826.40471763554</v>
      </c>
      <c r="I17" s="36">
        <f t="shared" si="4"/>
        <v>1.1705819600828149E-2</v>
      </c>
      <c r="J17" s="36">
        <f t="shared" si="5"/>
        <v>0.11</v>
      </c>
      <c r="K17" s="36">
        <f t="shared" si="6"/>
        <v>3.3511619397226515E-2</v>
      </c>
      <c r="L17" s="16">
        <f>G17/'Clause 6'!$G$11</f>
        <v>3610.1051269999998</v>
      </c>
      <c r="M17">
        <f t="shared" si="7"/>
        <v>5</v>
      </c>
      <c r="O17" s="94">
        <f t="shared" si="10"/>
        <v>1.896491309572923E-3</v>
      </c>
      <c r="P17" s="94">
        <f t="shared" si="8"/>
        <v>1.5765980213240605E-2</v>
      </c>
      <c r="Q17" s="94">
        <f t="shared" si="8"/>
        <v>-1.7745639183985973E-2</v>
      </c>
      <c r="R17" s="94">
        <f t="shared" si="8"/>
        <v>-7.6414195790813766E-3</v>
      </c>
      <c r="S17" s="94">
        <f t="shared" si="8"/>
        <v>7.7245872402542659E-3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74</v>
      </c>
      <c r="B18" s="34">
        <f t="shared" ref="B18:F18" si="18">B62</f>
        <v>3011.3781739999999</v>
      </c>
      <c r="C18" s="34">
        <f t="shared" si="18"/>
        <v>3055.4848630000001</v>
      </c>
      <c r="D18" s="34">
        <f t="shared" si="18"/>
        <v>2964.6389159999999</v>
      </c>
      <c r="E18" s="34">
        <f t="shared" si="18"/>
        <v>2975.7937010000001</v>
      </c>
      <c r="F18" s="34">
        <f t="shared" si="18"/>
        <v>3031.2775879999999</v>
      </c>
      <c r="G18" s="37">
        <f t="shared" si="2"/>
        <v>3007.7146483999995</v>
      </c>
      <c r="H18" s="38">
        <f t="shared" si="3"/>
        <v>173981.1485666853</v>
      </c>
      <c r="I18" s="36">
        <f t="shared" si="4"/>
        <v>1.1250442976274932E-2</v>
      </c>
      <c r="J18" s="36">
        <f t="shared" si="5"/>
        <v>0.11</v>
      </c>
      <c r="K18" s="36">
        <f t="shared" si="6"/>
        <v>3.0204310454892108E-2</v>
      </c>
      <c r="L18" s="16">
        <f>G18/'Clause 6'!$G$11</f>
        <v>3007.7146483999995</v>
      </c>
      <c r="M18">
        <f t="shared" si="7"/>
        <v>5</v>
      </c>
      <c r="O18" s="94">
        <f t="shared" si="10"/>
        <v>1.2180429423214179E-3</v>
      </c>
      <c r="P18" s="94">
        <f t="shared" si="8"/>
        <v>1.5882562072639717E-2</v>
      </c>
      <c r="Q18" s="94">
        <f t="shared" si="8"/>
        <v>-1.4321748382252419E-2</v>
      </c>
      <c r="R18" s="94">
        <f t="shared" si="8"/>
        <v>-1.0613023884091022E-2</v>
      </c>
      <c r="S18" s="94">
        <f t="shared" si="8"/>
        <v>7.834167251383084E-3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75</v>
      </c>
      <c r="B19" s="34">
        <f t="shared" ref="B19:F19" si="19">B63</f>
        <v>2469.6320799999999</v>
      </c>
      <c r="C19" s="34">
        <f t="shared" si="19"/>
        <v>2504.0268550000001</v>
      </c>
      <c r="D19" s="34">
        <f t="shared" si="19"/>
        <v>2423.540039</v>
      </c>
      <c r="E19" s="34">
        <f t="shared" si="19"/>
        <v>2438.7719729999999</v>
      </c>
      <c r="F19" s="34">
        <f t="shared" si="19"/>
        <v>2472.1938479999999</v>
      </c>
      <c r="G19" s="37">
        <f t="shared" si="2"/>
        <v>2461.6329589999996</v>
      </c>
      <c r="H19" s="38">
        <f t="shared" si="3"/>
        <v>142393.07235620142</v>
      </c>
      <c r="I19" s="36">
        <f t="shared" si="4"/>
        <v>1.1412882089855999E-2</v>
      </c>
      <c r="J19" s="36">
        <f t="shared" si="5"/>
        <v>0.11</v>
      </c>
      <c r="K19" s="36">
        <f t="shared" si="6"/>
        <v>3.2696513794118448E-2</v>
      </c>
      <c r="L19" s="16">
        <f>G19/'Clause 6'!$G$11</f>
        <v>2461.6329589999996</v>
      </c>
      <c r="M19">
        <f t="shared" si="7"/>
        <v>5</v>
      </c>
      <c r="O19" s="94">
        <f t="shared" si="10"/>
        <v>3.2495181585681099E-3</v>
      </c>
      <c r="P19" s="94">
        <f t="shared" si="8"/>
        <v>1.7221859109825433E-2</v>
      </c>
      <c r="Q19" s="94">
        <f t="shared" si="8"/>
        <v>-1.5474654684293099E-2</v>
      </c>
      <c r="R19" s="94">
        <f t="shared" si="8"/>
        <v>-9.2869190414507363E-3</v>
      </c>
      <c r="S19" s="94">
        <f t="shared" si="8"/>
        <v>4.2901964573509588E-3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76</v>
      </c>
      <c r="B20" s="34">
        <f t="shared" ref="B20:F20" si="20">B64</f>
        <v>1989.7680660000001</v>
      </c>
      <c r="C20" s="34">
        <f t="shared" si="20"/>
        <v>2008.4171140000001</v>
      </c>
      <c r="D20" s="34">
        <f t="shared" si="20"/>
        <v>1944.8688959999999</v>
      </c>
      <c r="E20" s="34">
        <f t="shared" si="20"/>
        <v>1951.356812</v>
      </c>
      <c r="F20" s="34">
        <f t="shared" si="20"/>
        <v>1985.1926269999999</v>
      </c>
      <c r="G20" s="37">
        <f t="shared" si="2"/>
        <v>1975.9207030000002</v>
      </c>
      <c r="H20" s="38">
        <f t="shared" si="3"/>
        <v>114297.06390781041</v>
      </c>
      <c r="I20" s="36">
        <f t="shared" si="4"/>
        <v>1.2191141347923625E-2</v>
      </c>
      <c r="J20" s="36">
        <f t="shared" si="5"/>
        <v>0.11</v>
      </c>
      <c r="K20" s="36">
        <f t="shared" si="6"/>
        <v>3.216131998795102E-2</v>
      </c>
      <c r="L20" s="16">
        <f>G20/'Clause 6'!$G$11</f>
        <v>1975.9207030000002</v>
      </c>
      <c r="M20">
        <f t="shared" si="7"/>
        <v>5</v>
      </c>
      <c r="O20" s="94">
        <f t="shared" si="10"/>
        <v>7.0080560312848483E-3</v>
      </c>
      <c r="P20" s="94">
        <f t="shared" si="8"/>
        <v>1.6446212112996905E-2</v>
      </c>
      <c r="Q20" s="94">
        <f t="shared" si="8"/>
        <v>-1.5715107874954115E-2</v>
      </c>
      <c r="R20" s="94">
        <f t="shared" si="8"/>
        <v>-1.2431617808703277E-2</v>
      </c>
      <c r="S20" s="94">
        <f t="shared" si="8"/>
        <v>4.6924575393751944E-3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77</v>
      </c>
      <c r="B21" s="34">
        <f t="shared" ref="B21:F21" si="21">B65</f>
        <v>1566.320557</v>
      </c>
      <c r="C21" s="34">
        <f t="shared" si="21"/>
        <v>1587.4406739999999</v>
      </c>
      <c r="D21" s="34">
        <f t="shared" si="21"/>
        <v>1542.174683</v>
      </c>
      <c r="E21" s="34">
        <f t="shared" si="21"/>
        <v>1543.990356</v>
      </c>
      <c r="F21" s="34">
        <f t="shared" si="21"/>
        <v>1557.1137699999999</v>
      </c>
      <c r="G21" s="37">
        <f t="shared" si="2"/>
        <v>1559.4080079999999</v>
      </c>
      <c r="H21" s="38">
        <f t="shared" si="3"/>
        <v>90203.901643479723</v>
      </c>
      <c r="I21" s="36">
        <f t="shared" si="4"/>
        <v>1.0628706924012458E-2</v>
      </c>
      <c r="J21" s="36">
        <f t="shared" si="5"/>
        <v>0.11</v>
      </c>
      <c r="K21" s="36">
        <f t="shared" si="6"/>
        <v>2.9027676379612379E-2</v>
      </c>
      <c r="L21" s="16">
        <f>G21/'Clause 6'!$G$11</f>
        <v>1559.4080079999999</v>
      </c>
      <c r="M21">
        <f t="shared" si="7"/>
        <v>5</v>
      </c>
      <c r="O21" s="94">
        <f t="shared" si="10"/>
        <v>4.4328033231442188E-3</v>
      </c>
      <c r="P21" s="94">
        <f t="shared" si="8"/>
        <v>1.7976479443601923E-2</v>
      </c>
      <c r="Q21" s="94">
        <f t="shared" si="8"/>
        <v>-1.1051196936010532E-2</v>
      </c>
      <c r="R21" s="94">
        <f t="shared" si="8"/>
        <v>-9.886862143136943E-3</v>
      </c>
      <c r="S21" s="94">
        <f t="shared" si="8"/>
        <v>-1.4712236875982221E-3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78</v>
      </c>
      <c r="B22" s="34">
        <f t="shared" ref="B22:F22" si="22">B66</f>
        <v>1211.6102289999999</v>
      </c>
      <c r="C22" s="34">
        <f t="shared" si="22"/>
        <v>1227.051025</v>
      </c>
      <c r="D22" s="34">
        <f t="shared" si="22"/>
        <v>1197.535034</v>
      </c>
      <c r="E22" s="34">
        <f t="shared" si="22"/>
        <v>1194.4555660000001</v>
      </c>
      <c r="F22" s="34">
        <f t="shared" si="22"/>
        <v>1213.3431399999999</v>
      </c>
      <c r="G22" s="37">
        <f t="shared" si="2"/>
        <v>1208.7989987999999</v>
      </c>
      <c r="H22" s="38">
        <f t="shared" si="3"/>
        <v>69922.935777621038</v>
      </c>
      <c r="I22" s="36">
        <f t="shared" si="4"/>
        <v>9.7484233946119568E-3</v>
      </c>
      <c r="J22" s="36">
        <f t="shared" si="5"/>
        <v>0.11</v>
      </c>
      <c r="K22" s="36">
        <f t="shared" si="6"/>
        <v>2.6965160487689092E-2</v>
      </c>
      <c r="L22" s="16">
        <f>G22/'Clause 6'!$G$11</f>
        <v>1208.7989987999999</v>
      </c>
      <c r="M22">
        <f t="shared" si="7"/>
        <v>5</v>
      </c>
      <c r="O22" s="94">
        <f t="shared" si="10"/>
        <v>2.3256390870531884E-3</v>
      </c>
      <c r="P22" s="94">
        <f t="shared" si="8"/>
        <v>1.5099306185825112E-2</v>
      </c>
      <c r="Q22" s="94">
        <f t="shared" si="8"/>
        <v>-9.3183108285016525E-3</v>
      </c>
      <c r="R22" s="94">
        <f t="shared" si="8"/>
        <v>-1.1865854301863932E-2</v>
      </c>
      <c r="S22" s="94">
        <f t="shared" si="8"/>
        <v>3.7592198574876168E-3</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ht="13.15" x14ac:dyDescent="0.4">
      <c r="A23" s="11" t="s">
        <v>79</v>
      </c>
      <c r="B23" s="34">
        <f t="shared" ref="B23:F23" si="23">B67</f>
        <v>932.39984100000004</v>
      </c>
      <c r="C23" s="34">
        <f t="shared" si="23"/>
        <v>939.01007100000004</v>
      </c>
      <c r="D23" s="34">
        <f t="shared" si="23"/>
        <v>916.52374299999997</v>
      </c>
      <c r="E23" s="34">
        <f t="shared" si="23"/>
        <v>907.92535399999997</v>
      </c>
      <c r="F23" s="34">
        <f t="shared" si="23"/>
        <v>927.30621299999996</v>
      </c>
      <c r="G23" s="37">
        <f t="shared" si="2"/>
        <v>924.6330443999999</v>
      </c>
      <c r="H23" s="38">
        <f t="shared" si="3"/>
        <v>53485.366091161442</v>
      </c>
      <c r="I23" s="36">
        <f t="shared" si="4"/>
        <v>1.2034205150129974E-2</v>
      </c>
      <c r="J23" s="36">
        <f t="shared" si="5"/>
        <v>0.11</v>
      </c>
      <c r="K23" s="36">
        <f t="shared" si="6"/>
        <v>3.3618436187483579E-2</v>
      </c>
      <c r="L23" s="16">
        <f>G23/'Clause 6'!$G$11</f>
        <v>924.6330443999999</v>
      </c>
      <c r="M23">
        <f t="shared" si="7"/>
        <v>5</v>
      </c>
      <c r="O23" s="94">
        <f t="shared" si="10"/>
        <v>8.399869166519025E-3</v>
      </c>
      <c r="P23" s="94">
        <f t="shared" si="8"/>
        <v>1.5548899844185726E-2</v>
      </c>
      <c r="Q23" s="94">
        <f t="shared" si="8"/>
        <v>-8.7702915757916777E-3</v>
      </c>
      <c r="R23" s="94">
        <f t="shared" si="8"/>
        <v>-1.8069536343297887E-2</v>
      </c>
      <c r="S23" s="94">
        <f t="shared" si="8"/>
        <v>2.8910589083852578E-3</v>
      </c>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row>
    <row r="24" spans="1:49" ht="13.15" x14ac:dyDescent="0.4">
      <c r="A24" s="11" t="s">
        <v>80</v>
      </c>
      <c r="B24" s="34">
        <f t="shared" ref="B24:F24" si="24">B68</f>
        <v>713.03344700000002</v>
      </c>
      <c r="C24" s="34">
        <f t="shared" si="24"/>
        <v>711.21740699999998</v>
      </c>
      <c r="D24" s="34">
        <f t="shared" si="24"/>
        <v>694.76757799999996</v>
      </c>
      <c r="E24" s="34">
        <f t="shared" si="24"/>
        <v>692.37042199999996</v>
      </c>
      <c r="F24" s="34">
        <f t="shared" si="24"/>
        <v>704.86138900000003</v>
      </c>
      <c r="G24" s="37">
        <f t="shared" si="2"/>
        <v>703.25004860000001</v>
      </c>
      <c r="H24" s="38">
        <f t="shared" si="3"/>
        <v>40679.474447515298</v>
      </c>
      <c r="I24" s="36">
        <f t="shared" si="4"/>
        <v>1.1932833896030065E-2</v>
      </c>
      <c r="J24" s="36">
        <f t="shared" si="5"/>
        <v>0.11</v>
      </c>
      <c r="K24" s="36">
        <f t="shared" si="6"/>
        <v>2.9382187802382841E-2</v>
      </c>
      <c r="L24" s="16">
        <f>G24/'Clause 6'!$G$11</f>
        <v>703.25004860000001</v>
      </c>
      <c r="M24">
        <f t="shared" si="7"/>
        <v>5</v>
      </c>
      <c r="O24" s="94">
        <f t="shared" si="10"/>
        <v>1.3911692461986203E-2</v>
      </c>
      <c r="P24" s="94">
        <f t="shared" si="8"/>
        <v>1.1329339281043849E-2</v>
      </c>
      <c r="Q24" s="94">
        <f t="shared" si="8"/>
        <v>-1.2061813030637691E-2</v>
      </c>
      <c r="R24" s="94">
        <f t="shared" si="8"/>
        <v>-1.5470495340396684E-2</v>
      </c>
      <c r="S24" s="94">
        <f t="shared" si="8"/>
        <v>2.291276628004324E-3</v>
      </c>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row>
    <row r="25" spans="1:49" ht="13.15" x14ac:dyDescent="0.4">
      <c r="A25" s="11" t="s">
        <v>81</v>
      </c>
      <c r="B25" s="34">
        <f t="shared" ref="B25:F25" si="25">B69</f>
        <v>536.83624299999997</v>
      </c>
      <c r="C25" s="34">
        <f t="shared" si="25"/>
        <v>535.38043200000004</v>
      </c>
      <c r="D25" s="34">
        <f t="shared" si="25"/>
        <v>529.60803199999998</v>
      </c>
      <c r="E25" s="34">
        <f t="shared" si="25"/>
        <v>527.10040300000003</v>
      </c>
      <c r="F25" s="34">
        <f t="shared" si="25"/>
        <v>536.75427200000001</v>
      </c>
      <c r="G25" s="37">
        <f t="shared" si="2"/>
        <v>533.13587640000003</v>
      </c>
      <c r="H25" s="38">
        <f t="shared" si="3"/>
        <v>30839.226110602329</v>
      </c>
      <c r="I25" s="36">
        <f t="shared" si="4"/>
        <v>7.5353513991646692E-3</v>
      </c>
      <c r="J25" s="36">
        <f t="shared" si="5"/>
        <v>0.11</v>
      </c>
      <c r="K25" s="36">
        <f t="shared" si="6"/>
        <v>1.8261460972653347E-2</v>
      </c>
      <c r="L25" s="16">
        <f>G25/'Clause 6'!$G$11</f>
        <v>533.13587640000003</v>
      </c>
      <c r="M25">
        <f t="shared" si="7"/>
        <v>5</v>
      </c>
      <c r="O25" s="94">
        <f t="shared" si="10"/>
        <v>6.9407570636339511E-3</v>
      </c>
      <c r="P25" s="94">
        <f t="shared" si="8"/>
        <v>4.2101004628620764E-3</v>
      </c>
      <c r="Q25" s="94">
        <f t="shared" si="8"/>
        <v>-6.617158132035339E-3</v>
      </c>
      <c r="R25" s="94">
        <f t="shared" si="8"/>
        <v>-1.1320703909019514E-2</v>
      </c>
      <c r="S25" s="94">
        <f t="shared" si="8"/>
        <v>6.7870045145586033E-3</v>
      </c>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row>
    <row r="26" spans="1:49" ht="13.15" x14ac:dyDescent="0.4">
      <c r="A26" s="11" t="s">
        <v>82</v>
      </c>
      <c r="B26" s="34">
        <f t="shared" ref="B26:F26" si="26">B70</f>
        <v>406.30954000000003</v>
      </c>
      <c r="C26" s="34">
        <f t="shared" si="26"/>
        <v>409.21444700000001</v>
      </c>
      <c r="D26" s="34">
        <f t="shared" si="26"/>
        <v>402.00817899999998</v>
      </c>
      <c r="E26" s="34">
        <f t="shared" si="26"/>
        <v>404.05941799999999</v>
      </c>
      <c r="F26" s="34">
        <f t="shared" si="26"/>
        <v>406.85327100000001</v>
      </c>
      <c r="G26" s="37">
        <f t="shared" si="2"/>
        <v>405.68897099999998</v>
      </c>
      <c r="H26" s="38">
        <f t="shared" si="3"/>
        <v>23467.064328381013</v>
      </c>
      <c r="I26" s="36">
        <f t="shared" si="4"/>
        <v>6.0753062263010603E-3</v>
      </c>
      <c r="J26" s="36">
        <f t="shared" si="5"/>
        <v>0.11</v>
      </c>
      <c r="K26" s="36">
        <f t="shared" si="6"/>
        <v>1.776303650118214E-2</v>
      </c>
      <c r="L26" s="16">
        <f>G26/'Clause 6'!$G$11</f>
        <v>405.68897099999998</v>
      </c>
      <c r="M26">
        <f t="shared" si="7"/>
        <v>5</v>
      </c>
      <c r="O26" s="94">
        <f t="shared" si="10"/>
        <v>1.5296669230873139E-3</v>
      </c>
      <c r="P26" s="94">
        <f t="shared" si="8"/>
        <v>8.69009574332269E-3</v>
      </c>
      <c r="Q26" s="94">
        <f t="shared" si="8"/>
        <v>-9.0729407578595822E-3</v>
      </c>
      <c r="R26" s="94">
        <f t="shared" si="8"/>
        <v>-4.0167545003336746E-3</v>
      </c>
      <c r="S26" s="94">
        <f t="shared" si="8"/>
        <v>2.8699325917835861E-3</v>
      </c>
    </row>
    <row r="27" spans="1:49" ht="13.15" x14ac:dyDescent="0.4">
      <c r="A27" s="11" t="s">
        <v>83</v>
      </c>
      <c r="B27" s="34">
        <f t="shared" ref="B27:F27" si="27">B71</f>
        <v>309.68829299999999</v>
      </c>
      <c r="C27" s="34">
        <f t="shared" si="27"/>
        <v>314.018799</v>
      </c>
      <c r="D27" s="34">
        <f t="shared" si="27"/>
        <v>307.76608299999998</v>
      </c>
      <c r="E27" s="34">
        <f t="shared" si="27"/>
        <v>306.71203600000001</v>
      </c>
      <c r="F27" s="34">
        <f t="shared" si="27"/>
        <v>309.979401</v>
      </c>
      <c r="G27" s="37">
        <f t="shared" si="2"/>
        <v>309.63292239999998</v>
      </c>
      <c r="H27" s="38">
        <f t="shared" si="3"/>
        <v>17910.705559075715</v>
      </c>
      <c r="I27" s="36">
        <f t="shared" si="4"/>
        <v>8.090298274259217E-3</v>
      </c>
      <c r="J27" s="36">
        <f t="shared" si="5"/>
        <v>0.11</v>
      </c>
      <c r="K27" s="36">
        <f t="shared" si="6"/>
        <v>2.3598146293244398E-2</v>
      </c>
      <c r="L27" s="16">
        <f>G27/'Clause 6'!$G$11</f>
        <v>309.63292239999998</v>
      </c>
      <c r="M27">
        <f t="shared" si="7"/>
        <v>5</v>
      </c>
      <c r="O27" s="94">
        <f t="shared" si="10"/>
        <v>1.7882659108336973E-4</v>
      </c>
      <c r="P27" s="94">
        <f t="shared" si="8"/>
        <v>1.416476182831139E-2</v>
      </c>
      <c r="Q27" s="94">
        <f t="shared" si="8"/>
        <v>-6.0292018869632091E-3</v>
      </c>
      <c r="R27" s="94">
        <f t="shared" si="8"/>
        <v>-9.4333844649330256E-3</v>
      </c>
      <c r="S27" s="94">
        <f t="shared" si="8"/>
        <v>1.1189979325014754E-3</v>
      </c>
    </row>
    <row r="28" spans="1:49" ht="13.15" x14ac:dyDescent="0.4">
      <c r="A28" s="11" t="s">
        <v>84</v>
      </c>
      <c r="B28" s="34">
        <f t="shared" ref="B28:F28" si="28">B72</f>
        <v>233.53997799999999</v>
      </c>
      <c r="C28" s="34">
        <f t="shared" si="28"/>
        <v>239.97770700000001</v>
      </c>
      <c r="D28" s="34">
        <f t="shared" si="28"/>
        <v>235.81964099999999</v>
      </c>
      <c r="E28" s="34">
        <f t="shared" si="28"/>
        <v>234.29510500000001</v>
      </c>
      <c r="F28" s="34">
        <f t="shared" si="28"/>
        <v>234.67079200000001</v>
      </c>
      <c r="G28" s="37">
        <f t="shared" si="2"/>
        <v>235.66064460000001</v>
      </c>
      <c r="H28" s="38">
        <f t="shared" si="3"/>
        <v>13631.781738764441</v>
      </c>
      <c r="I28" s="36">
        <f t="shared" si="4"/>
        <v>9.6771697181100551E-3</v>
      </c>
      <c r="J28" s="36">
        <f t="shared" si="5"/>
        <v>0.11</v>
      </c>
      <c r="K28" s="36">
        <f t="shared" si="6"/>
        <v>2.7317794241491344E-2</v>
      </c>
      <c r="L28" s="16">
        <f>G28/'Clause 6'!$G$11</f>
        <v>235.66064460000001</v>
      </c>
      <c r="M28">
        <f t="shared" si="7"/>
        <v>5</v>
      </c>
      <c r="O28" s="94">
        <f t="shared" si="10"/>
        <v>-8.9988152395982235E-3</v>
      </c>
      <c r="P28" s="94">
        <f t="shared" si="8"/>
        <v>1.8318979001893165E-2</v>
      </c>
      <c r="Q28" s="94">
        <f t="shared" si="8"/>
        <v>6.7468371848788955E-4</v>
      </c>
      <c r="R28" s="94">
        <f t="shared" si="8"/>
        <v>-5.7945169517711337E-3</v>
      </c>
      <c r="S28" s="94">
        <f t="shared" si="8"/>
        <v>-4.2003305290119197E-3</v>
      </c>
    </row>
    <row r="29" spans="1:49" ht="13.15" x14ac:dyDescent="0.4">
      <c r="A29" s="11" t="s">
        <v>85</v>
      </c>
      <c r="B29" s="34">
        <f t="shared" ref="B29:F29" si="29">B73</f>
        <v>175.45605499999999</v>
      </c>
      <c r="C29" s="34">
        <f t="shared" si="29"/>
        <v>178.544769</v>
      </c>
      <c r="D29" s="34">
        <f t="shared" si="29"/>
        <v>177.50787399999999</v>
      </c>
      <c r="E29" s="34">
        <f t="shared" si="29"/>
        <v>176.29371599999999</v>
      </c>
      <c r="F29" s="34">
        <f t="shared" si="29"/>
        <v>176.51251199999999</v>
      </c>
      <c r="G29" s="37">
        <f t="shared" si="2"/>
        <v>176.8629852</v>
      </c>
      <c r="H29" s="38">
        <f t="shared" si="3"/>
        <v>10230.633188689519</v>
      </c>
      <c r="I29" s="36">
        <f t="shared" si="4"/>
        <v>6.0213475363323854E-3</v>
      </c>
      <c r="J29" s="36">
        <f t="shared" si="5"/>
        <v>0.11</v>
      </c>
      <c r="K29" s="36">
        <f t="shared" si="6"/>
        <v>1.7463880282848523E-2</v>
      </c>
      <c r="L29" s="16">
        <f>G29/'Clause 6'!$G$11</f>
        <v>176.8629852</v>
      </c>
      <c r="M29">
        <f t="shared" si="7"/>
        <v>5</v>
      </c>
      <c r="O29" s="94">
        <f t="shared" si="10"/>
        <v>-7.9549160521577011E-3</v>
      </c>
      <c r="P29" s="94">
        <f t="shared" si="8"/>
        <v>9.5089642306909195E-3</v>
      </c>
      <c r="Q29" s="94">
        <f t="shared" si="8"/>
        <v>3.6462621009745178E-3</v>
      </c>
      <c r="R29" s="94">
        <f t="shared" si="8"/>
        <v>-3.2187017501500437E-3</v>
      </c>
      <c r="S29" s="94">
        <f t="shared" si="8"/>
        <v>-1.9816085293578034E-3</v>
      </c>
    </row>
    <row r="30" spans="1:49" ht="13.15" x14ac:dyDescent="0.4">
      <c r="A30" s="11" t="s">
        <v>86</v>
      </c>
      <c r="B30" s="34">
        <f t="shared" ref="B30:E30" si="30">B74</f>
        <v>131.82363900000001</v>
      </c>
      <c r="C30" s="34">
        <f t="shared" si="30"/>
        <v>133.18931599999999</v>
      </c>
      <c r="D30" s="34">
        <f t="shared" si="30"/>
        <v>132.65927099999999</v>
      </c>
      <c r="E30" s="34">
        <f t="shared" si="30"/>
        <v>130.75752299999999</v>
      </c>
      <c r="F30" s="34"/>
      <c r="G30" s="37">
        <f t="shared" si="2"/>
        <v>132.10743725</v>
      </c>
      <c r="H30" s="38">
        <f t="shared" si="3"/>
        <v>7641.7500839659469</v>
      </c>
      <c r="I30" s="36">
        <f t="shared" si="4"/>
        <v>6.9559938752438728E-3</v>
      </c>
      <c r="J30" s="36">
        <f t="shared" si="5"/>
        <v>0.113</v>
      </c>
      <c r="K30" s="36">
        <f t="shared" si="6"/>
        <v>1.8407691880344905E-2</v>
      </c>
      <c r="L30" s="16">
        <f>G30/'Clause 6'!$G$11</f>
        <v>132.10743725</v>
      </c>
      <c r="M30">
        <f t="shared" si="7"/>
        <v>4</v>
      </c>
      <c r="O30" s="94">
        <f t="shared" si="10"/>
        <v>-2.1482382514387277E-3</v>
      </c>
      <c r="P30" s="94">
        <f t="shared" si="8"/>
        <v>8.1893856433883361E-3</v>
      </c>
      <c r="Q30" s="94">
        <f t="shared" si="8"/>
        <v>4.1771588450065789E-3</v>
      </c>
      <c r="R30" s="94">
        <f t="shared" si="8"/>
        <v>-1.021830623695652E-2</v>
      </c>
      <c r="S30" s="94">
        <f t="shared" si="8"/>
        <v>0</v>
      </c>
    </row>
    <row r="31" spans="1:49" ht="13.15" x14ac:dyDescent="0.4">
      <c r="A31" s="11" t="s">
        <v>87</v>
      </c>
      <c r="B31" s="34">
        <f t="shared" ref="B31:E31" si="31">B75</f>
        <v>96.435989000000006</v>
      </c>
      <c r="C31" s="34">
        <f t="shared" si="31"/>
        <v>100.272774</v>
      </c>
      <c r="D31" s="34">
        <f t="shared" si="31"/>
        <v>98.358231000000004</v>
      </c>
      <c r="E31" s="34">
        <f t="shared" si="31"/>
        <v>95.651420999999999</v>
      </c>
      <c r="F31" s="34"/>
      <c r="G31" s="37">
        <f t="shared" si="2"/>
        <v>97.679603750000012</v>
      </c>
      <c r="H31" s="38">
        <f t="shared" si="3"/>
        <v>5650.2732601326197</v>
      </c>
      <c r="I31" s="36">
        <f t="shared" si="4"/>
        <v>1.8345774035774847E-2</v>
      </c>
      <c r="J31" s="36">
        <f t="shared" si="5"/>
        <v>0.113</v>
      </c>
      <c r="K31" s="36">
        <f t="shared" si="6"/>
        <v>4.7311340572468268E-2</v>
      </c>
      <c r="L31" s="16">
        <f>G31/'Clause 6'!$G$11</f>
        <v>97.679603750000012</v>
      </c>
      <c r="M31">
        <f t="shared" si="7"/>
        <v>4</v>
      </c>
      <c r="O31" s="94">
        <f t="shared" si="10"/>
        <v>-1.273157038170325E-2</v>
      </c>
      <c r="P31" s="94">
        <f t="shared" si="8"/>
        <v>2.6547714675797751E-2</v>
      </c>
      <c r="Q31" s="94">
        <f t="shared" si="8"/>
        <v>6.9474816025754116E-3</v>
      </c>
      <c r="R31" s="94">
        <f t="shared" si="8"/>
        <v>-2.0763625896670468E-2</v>
      </c>
      <c r="S31" s="94">
        <f t="shared" si="8"/>
        <v>0</v>
      </c>
    </row>
    <row r="32" spans="1:49" ht="13.15" x14ac:dyDescent="0.4">
      <c r="A32" s="11" t="s">
        <v>88</v>
      </c>
      <c r="B32" s="34">
        <f t="shared" ref="B32:E32" si="32">B76</f>
        <v>67.810897999999995</v>
      </c>
      <c r="C32" s="34">
        <f t="shared" si="32"/>
        <v>74.294929999999994</v>
      </c>
      <c r="D32" s="34">
        <f t="shared" si="32"/>
        <v>69.545356999999996</v>
      </c>
      <c r="E32" s="34">
        <f t="shared" si="32"/>
        <v>70.297011999999995</v>
      </c>
      <c r="F32" s="34"/>
      <c r="G32" s="37">
        <f t="shared" si="2"/>
        <v>70.487049249999984</v>
      </c>
      <c r="H32" s="38">
        <f t="shared" si="3"/>
        <v>4077.3208968195254</v>
      </c>
      <c r="I32" s="36">
        <f t="shared" si="4"/>
        <v>3.37106601933077E-2</v>
      </c>
      <c r="J32" s="36">
        <f t="shared" si="5"/>
        <v>0.11900000000000001</v>
      </c>
      <c r="K32" s="36">
        <f t="shared" si="6"/>
        <v>9.1988983352143949E-2</v>
      </c>
      <c r="L32" s="16">
        <f>G32/'Clause 6'!$G$11</f>
        <v>70.487049249999984</v>
      </c>
      <c r="M32">
        <f t="shared" si="7"/>
        <v>4</v>
      </c>
      <c r="O32" s="94">
        <f t="shared" si="10"/>
        <v>-3.7966566603013119E-2</v>
      </c>
      <c r="P32" s="94">
        <f t="shared" si="8"/>
        <v>5.4022416749130775E-2</v>
      </c>
      <c r="Q32" s="94">
        <f t="shared" si="8"/>
        <v>-1.3359791054099013E-2</v>
      </c>
      <c r="R32" s="94">
        <f t="shared" si="8"/>
        <v>-2.6960590920180882E-3</v>
      </c>
      <c r="S32" s="94">
        <f t="shared" si="8"/>
        <v>0</v>
      </c>
    </row>
    <row r="33" spans="1:19" ht="13.15" x14ac:dyDescent="0.4">
      <c r="A33" s="11" t="s">
        <v>89</v>
      </c>
      <c r="B33" s="34">
        <f t="shared" ref="B33:E33" si="33">B77</f>
        <v>48.356949</v>
      </c>
      <c r="C33" s="34">
        <f t="shared" si="33"/>
        <v>52.209538000000002</v>
      </c>
      <c r="D33" s="34">
        <f t="shared" si="33"/>
        <v>48.878982999999998</v>
      </c>
      <c r="E33" s="34">
        <f t="shared" si="33"/>
        <v>51.471995999999997</v>
      </c>
      <c r="F33" s="34"/>
      <c r="G33" s="37">
        <f t="shared" si="2"/>
        <v>50.229366499999998</v>
      </c>
      <c r="H33" s="38">
        <f t="shared" si="3"/>
        <v>2905.5159471646725</v>
      </c>
      <c r="I33" s="36">
        <f t="shared" si="4"/>
        <v>3.2705244007854919E-2</v>
      </c>
      <c r="J33" s="36">
        <f t="shared" si="5"/>
        <v>0.11900000000000001</v>
      </c>
      <c r="K33" s="36">
        <f t="shared" si="6"/>
        <v>7.6699932100477555E-2</v>
      </c>
      <c r="L33" s="16">
        <f>G33/'Clause 6'!$G$11</f>
        <v>50.229366499999998</v>
      </c>
      <c r="M33">
        <f t="shared" si="7"/>
        <v>4</v>
      </c>
      <c r="O33" s="94">
        <f t="shared" si="10"/>
        <v>-3.7277346510034115E-2</v>
      </c>
      <c r="P33" s="94">
        <f t="shared" si="8"/>
        <v>3.9422585590443537E-2</v>
      </c>
      <c r="Q33" s="94">
        <f t="shared" si="8"/>
        <v>-2.6884342648438531E-2</v>
      </c>
      <c r="R33" s="94">
        <f t="shared" si="8"/>
        <v>2.473910356802933E-2</v>
      </c>
      <c r="S33" s="94">
        <f t="shared" si="8"/>
        <v>0</v>
      </c>
    </row>
    <row r="34" spans="1:19" ht="13.15" x14ac:dyDescent="0.4">
      <c r="A34" s="11" t="s">
        <v>90</v>
      </c>
      <c r="B34" s="34">
        <f t="shared" ref="B34:E34" si="34">B78</f>
        <v>35.109741</v>
      </c>
      <c r="C34" s="34">
        <f t="shared" si="34"/>
        <v>37.570557000000001</v>
      </c>
      <c r="D34" s="34">
        <f t="shared" si="34"/>
        <v>33.186256</v>
      </c>
      <c r="E34" s="34">
        <f t="shared" si="34"/>
        <v>35.190902999999999</v>
      </c>
      <c r="F34" s="34"/>
      <c r="G34" s="37">
        <f t="shared" si="2"/>
        <v>35.26436425</v>
      </c>
      <c r="H34" s="38">
        <f t="shared" si="3"/>
        <v>2039.8659157885013</v>
      </c>
      <c r="I34" s="36">
        <f t="shared" si="4"/>
        <v>4.4082428696394248E-2</v>
      </c>
      <c r="J34" s="36">
        <f t="shared" si="5"/>
        <v>0.11900000000000001</v>
      </c>
      <c r="K34" s="36">
        <f t="shared" si="6"/>
        <v>0.12432667065591578</v>
      </c>
      <c r="L34" s="16">
        <f>G34/'Clause 6'!$G$11</f>
        <v>35.26436425</v>
      </c>
      <c r="M34">
        <f t="shared" si="7"/>
        <v>4</v>
      </c>
      <c r="O34" s="94">
        <f t="shared" si="10"/>
        <v>-4.3846884323173185E-3</v>
      </c>
      <c r="P34" s="94">
        <f t="shared" si="8"/>
        <v>6.5397258650423673E-2</v>
      </c>
      <c r="Q34" s="94">
        <f t="shared" si="8"/>
        <v>-5.8929412005492177E-2</v>
      </c>
      <c r="R34" s="94">
        <f t="shared" si="8"/>
        <v>-2.0831582126140669E-3</v>
      </c>
      <c r="S34" s="94">
        <f t="shared" si="8"/>
        <v>0</v>
      </c>
    </row>
    <row r="35" spans="1:19" ht="13.15" x14ac:dyDescent="0.4">
      <c r="A35" s="11" t="s">
        <v>91</v>
      </c>
      <c r="B35" s="34">
        <f t="shared" ref="B35:E35" si="35">B79</f>
        <v>23.715285999999999</v>
      </c>
      <c r="C35" s="34">
        <f t="shared" si="35"/>
        <v>25.554749000000001</v>
      </c>
      <c r="D35" s="34">
        <f t="shared" si="35"/>
        <v>23.667717</v>
      </c>
      <c r="E35" s="34">
        <f t="shared" si="35"/>
        <v>23.912855</v>
      </c>
      <c r="F35" s="34"/>
      <c r="G35" s="37">
        <f t="shared" si="2"/>
        <v>24.212651749999999</v>
      </c>
      <c r="H35" s="38">
        <f t="shared" si="3"/>
        <v>1400.5799930359387</v>
      </c>
      <c r="I35" s="36">
        <f t="shared" si="4"/>
        <v>3.2226671107431874E-2</v>
      </c>
      <c r="J35" s="36">
        <f t="shared" si="5"/>
        <v>0.13400000000000001</v>
      </c>
      <c r="K35" s="36">
        <f t="shared" si="6"/>
        <v>7.7935784129881655E-2</v>
      </c>
      <c r="L35" s="16">
        <f>G35/'Clause 6'!$G$11</f>
        <v>24.212651749999999</v>
      </c>
      <c r="M35">
        <f t="shared" si="7"/>
        <v>4</v>
      </c>
      <c r="O35" s="94">
        <f t="shared" si="10"/>
        <v>-2.0541564597524986E-2</v>
      </c>
      <c r="P35" s="94">
        <f t="shared" si="8"/>
        <v>5.542958548520005E-2</v>
      </c>
      <c r="Q35" s="94">
        <f t="shared" si="8"/>
        <v>-2.250619864468173E-2</v>
      </c>
      <c r="R35" s="94">
        <f t="shared" si="8"/>
        <v>-1.2381822242993223E-2</v>
      </c>
      <c r="S35" s="94">
        <f t="shared" si="8"/>
        <v>0</v>
      </c>
    </row>
    <row r="36" spans="1:19" ht="13.15" x14ac:dyDescent="0.4">
      <c r="A36" s="11" t="s">
        <v>92</v>
      </c>
      <c r="B36" s="34">
        <f t="shared" ref="B36:E36" si="36">B80</f>
        <v>15.007329</v>
      </c>
      <c r="C36" s="34">
        <f t="shared" si="36"/>
        <v>17.008292999999998</v>
      </c>
      <c r="D36" s="34">
        <f t="shared" si="36"/>
        <v>14.835198999999999</v>
      </c>
      <c r="E36" s="34">
        <f t="shared" si="36"/>
        <v>16.196297000000001</v>
      </c>
      <c r="F36" s="34"/>
      <c r="G36" s="37">
        <f t="shared" si="2"/>
        <v>15.761779499999999</v>
      </c>
      <c r="H36" s="38">
        <f t="shared" si="3"/>
        <v>911.73958351521753</v>
      </c>
      <c r="I36" s="36">
        <f t="shared" si="4"/>
        <v>5.6483064090804835E-2</v>
      </c>
      <c r="J36" s="36">
        <f t="shared" si="5"/>
        <v>0.156</v>
      </c>
      <c r="K36" s="36">
        <f t="shared" si="6"/>
        <v>0.13787110776419623</v>
      </c>
      <c r="L36" s="16">
        <f>G36/'Clause 6'!$G$11</f>
        <v>15.761779499999999</v>
      </c>
      <c r="M36">
        <f t="shared" si="7"/>
        <v>4</v>
      </c>
      <c r="O36" s="94">
        <f t="shared" si="10"/>
        <v>-4.7865819972928714E-2</v>
      </c>
      <c r="P36" s="94">
        <f t="shared" si="8"/>
        <v>7.9084566561789416E-2</v>
      </c>
      <c r="Q36" s="94">
        <f t="shared" si="8"/>
        <v>-5.8786541202406783E-2</v>
      </c>
      <c r="R36" s="94">
        <f t="shared" si="8"/>
        <v>2.7567794613546193E-2</v>
      </c>
      <c r="S36" s="94">
        <f t="shared" si="8"/>
        <v>0</v>
      </c>
    </row>
    <row r="37" spans="1:19" ht="13.15" x14ac:dyDescent="0.4">
      <c r="A37" s="11" t="s">
        <v>93</v>
      </c>
      <c r="B37" s="34">
        <f t="shared" ref="B37:E37" si="37">B81</f>
        <v>10.468076</v>
      </c>
      <c r="C37" s="34">
        <f t="shared" si="37"/>
        <v>11.254244</v>
      </c>
      <c r="D37" s="34">
        <f t="shared" si="37"/>
        <v>10.461817</v>
      </c>
      <c r="E37" s="34">
        <f t="shared" si="37"/>
        <v>9.9212910000000001</v>
      </c>
      <c r="F37" s="34"/>
      <c r="G37" s="37">
        <f t="shared" si="2"/>
        <v>10.526357000000001</v>
      </c>
      <c r="H37" s="38">
        <f t="shared" si="3"/>
        <v>608.89675224250504</v>
      </c>
      <c r="I37" s="36">
        <f t="shared" si="4"/>
        <v>4.5149477397015587E-2</v>
      </c>
      <c r="J37" s="36">
        <f t="shared" si="5"/>
        <v>0.156</v>
      </c>
      <c r="K37" s="36">
        <f t="shared" si="6"/>
        <v>0.12663003924339633</v>
      </c>
      <c r="L37" s="16">
        <f>G37/'Clause 6'!$G$11</f>
        <v>10.526357000000001</v>
      </c>
      <c r="M37">
        <f t="shared" si="7"/>
        <v>4</v>
      </c>
      <c r="O37" s="94">
        <f t="shared" si="10"/>
        <v>-5.5366733239240462E-3</v>
      </c>
      <c r="P37" s="94">
        <f t="shared" si="8"/>
        <v>6.9148994281687193E-2</v>
      </c>
      <c r="Q37" s="94">
        <f t="shared" si="8"/>
        <v>-6.1312759960545637E-3</v>
      </c>
      <c r="R37" s="94">
        <f t="shared" si="8"/>
        <v>-5.7481044961709027E-2</v>
      </c>
      <c r="S37" s="94">
        <f t="shared" si="8"/>
        <v>0</v>
      </c>
    </row>
    <row r="38" spans="1:19" ht="13.15" x14ac:dyDescent="0.4">
      <c r="A38" s="11" t="s">
        <v>94</v>
      </c>
      <c r="B38" s="34">
        <f t="shared" ref="B38:E38" si="38">B82</f>
        <v>6.2067350000000001</v>
      </c>
      <c r="C38" s="34">
        <f t="shared" si="38"/>
        <v>6.938707</v>
      </c>
      <c r="D38" s="34">
        <f t="shared" si="38"/>
        <v>6.9459609999999996</v>
      </c>
      <c r="E38" s="34">
        <f t="shared" si="38"/>
        <v>6.5293970000000003</v>
      </c>
      <c r="F38" s="34"/>
      <c r="G38" s="37">
        <f t="shared" si="2"/>
        <v>6.6551999999999998</v>
      </c>
      <c r="H38" s="38">
        <f t="shared" si="3"/>
        <v>384.96981106800001</v>
      </c>
      <c r="I38" s="36">
        <f t="shared" si="4"/>
        <v>4.6426299044931556E-2</v>
      </c>
      <c r="J38" s="36">
        <f t="shared" si="5"/>
        <v>0.193</v>
      </c>
      <c r="K38" s="36">
        <f t="shared" si="6"/>
        <v>0.1110749489121288</v>
      </c>
      <c r="L38" s="16">
        <f>G38/'Clause 6'!$G$11</f>
        <v>6.6551999999999998</v>
      </c>
      <c r="M38">
        <f t="shared" si="7"/>
        <v>4</v>
      </c>
      <c r="O38" s="94">
        <f t="shared" si="10"/>
        <v>-6.738565332371671E-2</v>
      </c>
      <c r="P38" s="94">
        <f t="shared" si="8"/>
        <v>4.2599320831830711E-2</v>
      </c>
      <c r="Q38" s="94">
        <f t="shared" si="8"/>
        <v>4.3689295588412058E-2</v>
      </c>
      <c r="R38" s="94">
        <f t="shared" si="8"/>
        <v>-1.8902963096525949E-2</v>
      </c>
      <c r="S38" s="94">
        <f t="shared" si="8"/>
        <v>0</v>
      </c>
    </row>
    <row r="40" spans="1:19" x14ac:dyDescent="0.35">
      <c r="A40" t="s">
        <v>95</v>
      </c>
    </row>
    <row r="41" spans="1:19" ht="15" x14ac:dyDescent="0.5">
      <c r="A41" s="40"/>
      <c r="B41" s="41" t="s">
        <v>96</v>
      </c>
      <c r="C41" s="40"/>
      <c r="D41" s="42" t="s">
        <v>97</v>
      </c>
      <c r="E41" s="43"/>
      <c r="F41" s="43"/>
      <c r="G41" s="43"/>
      <c r="H41" s="44"/>
    </row>
    <row r="42" spans="1:19" ht="15" x14ac:dyDescent="0.5">
      <c r="A42" s="45" t="s">
        <v>98</v>
      </c>
      <c r="B42" s="46" t="s">
        <v>99</v>
      </c>
      <c r="C42" s="45" t="s">
        <v>100</v>
      </c>
      <c r="D42" s="45" t="s">
        <v>101</v>
      </c>
      <c r="E42" s="46" t="s">
        <v>102</v>
      </c>
      <c r="F42" s="46" t="s">
        <v>103</v>
      </c>
      <c r="G42" s="46" t="s">
        <v>104</v>
      </c>
      <c r="H42" s="47" t="s">
        <v>105</v>
      </c>
    </row>
    <row r="43" spans="1:19" x14ac:dyDescent="0.35">
      <c r="A43" s="48">
        <v>10000</v>
      </c>
      <c r="C43" s="48">
        <v>11</v>
      </c>
      <c r="D43" s="48">
        <v>7.8</v>
      </c>
      <c r="E43">
        <v>5.3</v>
      </c>
      <c r="F43">
        <v>4</v>
      </c>
      <c r="G43">
        <v>2.7</v>
      </c>
      <c r="H43" s="49">
        <v>1.8</v>
      </c>
    </row>
    <row r="44" spans="1:19" x14ac:dyDescent="0.35">
      <c r="A44" s="48">
        <v>5000</v>
      </c>
      <c r="B44">
        <v>10000</v>
      </c>
      <c r="C44" s="48">
        <v>11.3</v>
      </c>
      <c r="D44" s="48">
        <v>7.8</v>
      </c>
      <c r="E44">
        <v>5.3</v>
      </c>
      <c r="F44">
        <v>4</v>
      </c>
      <c r="G44">
        <v>2.7</v>
      </c>
      <c r="H44" s="49">
        <v>1.9</v>
      </c>
    </row>
    <row r="45" spans="1:19" x14ac:dyDescent="0.35">
      <c r="A45" s="48">
        <v>2000</v>
      </c>
      <c r="B45">
        <v>5000</v>
      </c>
      <c r="C45" s="48">
        <v>11.9</v>
      </c>
      <c r="D45" s="48">
        <v>7.9</v>
      </c>
      <c r="E45">
        <v>5.4</v>
      </c>
      <c r="F45">
        <v>4.0999999999999996</v>
      </c>
      <c r="G45">
        <v>2.9</v>
      </c>
      <c r="H45" s="49">
        <v>2.1</v>
      </c>
    </row>
    <row r="46" spans="1:19" x14ac:dyDescent="0.35">
      <c r="A46" s="48">
        <v>1000</v>
      </c>
      <c r="B46">
        <v>2000</v>
      </c>
      <c r="C46" s="48">
        <v>13.4</v>
      </c>
      <c r="D46" s="48">
        <v>8</v>
      </c>
      <c r="E46">
        <v>5.6</v>
      </c>
      <c r="F46">
        <v>4.3</v>
      </c>
      <c r="G46">
        <v>3.1</v>
      </c>
      <c r="H46" s="49">
        <v>2.4</v>
      </c>
    </row>
    <row r="47" spans="1:19" x14ac:dyDescent="0.35">
      <c r="A47" s="48">
        <v>500</v>
      </c>
      <c r="B47">
        <v>1000</v>
      </c>
      <c r="C47" s="48">
        <v>15.6</v>
      </c>
      <c r="D47" s="48">
        <v>8.1999999999999993</v>
      </c>
      <c r="E47">
        <v>5.9</v>
      </c>
      <c r="F47">
        <v>4.7</v>
      </c>
      <c r="G47">
        <v>3.6</v>
      </c>
      <c r="H47" s="49">
        <v>2.9</v>
      </c>
    </row>
    <row r="48" spans="1:19" x14ac:dyDescent="0.35">
      <c r="A48" s="48">
        <v>200</v>
      </c>
      <c r="B48">
        <v>500</v>
      </c>
      <c r="C48" s="48">
        <v>19.3</v>
      </c>
      <c r="D48" s="48">
        <v>8.9</v>
      </c>
      <c r="E48">
        <v>6.8</v>
      </c>
      <c r="F48">
        <v>5.7</v>
      </c>
      <c r="G48">
        <v>4.7</v>
      </c>
      <c r="H48" s="49">
        <v>4.0999999999999996</v>
      </c>
    </row>
    <row r="49" spans="1:16" x14ac:dyDescent="0.35">
      <c r="A49" s="50">
        <v>100</v>
      </c>
      <c r="B49" s="51">
        <v>200</v>
      </c>
      <c r="C49" s="50">
        <v>27.5</v>
      </c>
      <c r="D49" s="50">
        <v>10</v>
      </c>
      <c r="E49" s="51">
        <v>8</v>
      </c>
      <c r="F49" s="51">
        <v>7</v>
      </c>
      <c r="G49" s="51">
        <v>6.1</v>
      </c>
      <c r="H49" s="52">
        <v>5.5</v>
      </c>
    </row>
    <row r="51" spans="1:16" ht="13.15" x14ac:dyDescent="0.4">
      <c r="B51" s="14" t="s">
        <v>52</v>
      </c>
      <c r="C51" s="14" t="s">
        <v>53</v>
      </c>
      <c r="D51" s="14" t="s">
        <v>54</v>
      </c>
      <c r="E51" s="14" t="s">
        <v>55</v>
      </c>
      <c r="F51" s="14" t="s">
        <v>56</v>
      </c>
      <c r="G51" s="14" t="s">
        <v>52</v>
      </c>
      <c r="H51" s="14" t="s">
        <v>53</v>
      </c>
      <c r="I51" s="14" t="s">
        <v>54</v>
      </c>
      <c r="J51" s="14" t="s">
        <v>55</v>
      </c>
      <c r="K51" s="14" t="s">
        <v>56</v>
      </c>
      <c r="L51" s="14" t="s">
        <v>52</v>
      </c>
      <c r="M51" s="14" t="s">
        <v>53</v>
      </c>
      <c r="N51" s="14" t="s">
        <v>54</v>
      </c>
      <c r="O51" s="14" t="s">
        <v>55</v>
      </c>
      <c r="P51" s="14" t="s">
        <v>56</v>
      </c>
    </row>
    <row r="52" spans="1:16" ht="13.9" x14ac:dyDescent="0.4">
      <c r="A52" s="14" t="s">
        <v>106</v>
      </c>
      <c r="B52" s="53">
        <v>10.794725</v>
      </c>
      <c r="C52" s="53">
        <v>11.817764</v>
      </c>
      <c r="D52" s="53">
        <v>11.661454000000001</v>
      </c>
      <c r="E52" s="53">
        <v>11.792820000000001</v>
      </c>
      <c r="F52" s="53">
        <v>11.778202</v>
      </c>
      <c r="G52" s="53">
        <v>10.765807000000001</v>
      </c>
      <c r="H52" s="53">
        <v>11.557717999999999</v>
      </c>
      <c r="I52" s="53">
        <v>11.513206</v>
      </c>
      <c r="J52" s="53">
        <v>11.627454999999999</v>
      </c>
      <c r="K52" s="53">
        <v>11.623797</v>
      </c>
      <c r="L52" s="53">
        <v>10.700115</v>
      </c>
      <c r="M52" s="53">
        <v>11.625601</v>
      </c>
      <c r="N52" s="53">
        <v>11.478261</v>
      </c>
      <c r="O52" s="53">
        <v>11.572549</v>
      </c>
      <c r="P52" s="53">
        <v>11.671184</v>
      </c>
    </row>
    <row r="53" spans="1:16" ht="13.9" x14ac:dyDescent="0.4">
      <c r="A53" s="30">
        <v>4</v>
      </c>
      <c r="B53" s="53">
        <v>11418.447265999999</v>
      </c>
      <c r="C53" s="53">
        <v>11549.815430000001</v>
      </c>
      <c r="D53" s="53">
        <v>11089.697265999999</v>
      </c>
      <c r="E53" s="53">
        <v>11333.930664</v>
      </c>
      <c r="F53" s="53">
        <v>11386.203125</v>
      </c>
      <c r="G53" s="53">
        <v>12207.909180000001</v>
      </c>
      <c r="H53" s="53">
        <v>12249.043944999999</v>
      </c>
      <c r="I53" s="53">
        <v>12479.756836</v>
      </c>
      <c r="J53" s="53">
        <v>12240.597656</v>
      </c>
      <c r="K53" s="53">
        <v>12626.338867</v>
      </c>
      <c r="L53" s="53">
        <v>12891.916992</v>
      </c>
      <c r="M53" s="53">
        <v>12675.043944999999</v>
      </c>
      <c r="N53" s="53">
        <v>12273.113281</v>
      </c>
      <c r="O53" s="53">
        <v>12978.558594</v>
      </c>
      <c r="P53" s="53">
        <v>12555.024414</v>
      </c>
    </row>
    <row r="54" spans="1:16" ht="13.9" x14ac:dyDescent="0.4">
      <c r="A54" s="30">
        <v>5</v>
      </c>
      <c r="B54" s="53">
        <v>10016.373046999999</v>
      </c>
      <c r="C54" s="53">
        <v>10143.965819999999</v>
      </c>
      <c r="D54" s="53">
        <v>9743.2958980000003</v>
      </c>
      <c r="E54" s="53">
        <v>9951.9033199999994</v>
      </c>
      <c r="F54" s="53">
        <v>10031.497069999999</v>
      </c>
      <c r="G54" s="53">
        <v>10687.726562</v>
      </c>
      <c r="H54" s="53">
        <v>10704.015625</v>
      </c>
      <c r="I54" s="53">
        <v>10950.381836</v>
      </c>
      <c r="J54" s="53">
        <v>10724.014648</v>
      </c>
      <c r="K54" s="53">
        <v>11074.349609000001</v>
      </c>
      <c r="L54" s="53">
        <v>11285.486328000001</v>
      </c>
      <c r="M54" s="53">
        <v>11080.803711</v>
      </c>
      <c r="N54" s="53">
        <v>10777.852539</v>
      </c>
      <c r="O54" s="53">
        <v>11384.008789</v>
      </c>
      <c r="P54" s="53">
        <v>11033.842773</v>
      </c>
    </row>
    <row r="55" spans="1:16" ht="13.9" x14ac:dyDescent="0.4">
      <c r="A55" s="30">
        <v>6</v>
      </c>
      <c r="B55" s="53">
        <v>8784.6611329999996</v>
      </c>
      <c r="C55" s="53">
        <v>8923.4306639999995</v>
      </c>
      <c r="D55" s="53">
        <v>8549.1054690000001</v>
      </c>
      <c r="E55" s="53">
        <v>8742.2685550000006</v>
      </c>
      <c r="F55" s="53">
        <v>8827.1533199999994</v>
      </c>
      <c r="G55" s="53">
        <v>9371.4296880000002</v>
      </c>
      <c r="H55" s="53">
        <v>9376.4179690000001</v>
      </c>
      <c r="I55" s="53">
        <v>9595.9375</v>
      </c>
      <c r="J55" s="53">
        <v>9400.6816409999992</v>
      </c>
      <c r="K55" s="53">
        <v>9690.6367190000001</v>
      </c>
      <c r="L55" s="53">
        <v>9851.5761719999991</v>
      </c>
      <c r="M55" s="53">
        <v>9710.5517579999996</v>
      </c>
      <c r="N55" s="53">
        <v>9460.4921880000002</v>
      </c>
      <c r="O55" s="53">
        <v>9964.3564449999994</v>
      </c>
      <c r="P55" s="53">
        <v>9702.8720699999994</v>
      </c>
    </row>
    <row r="56" spans="1:16" ht="13.9" x14ac:dyDescent="0.4">
      <c r="A56" s="30">
        <v>7</v>
      </c>
      <c r="B56" s="53">
        <v>7685.7905270000001</v>
      </c>
      <c r="C56" s="53">
        <v>7819.1606449999999</v>
      </c>
      <c r="D56" s="53">
        <v>7499.4936520000001</v>
      </c>
      <c r="E56" s="53">
        <v>7655.1665039999998</v>
      </c>
      <c r="F56" s="53">
        <v>7737.1743159999996</v>
      </c>
      <c r="G56" s="53">
        <v>8141.7954099999997</v>
      </c>
      <c r="H56" s="53">
        <v>8174.4506840000004</v>
      </c>
      <c r="I56" s="53">
        <v>8376.1210940000001</v>
      </c>
      <c r="J56" s="53">
        <v>8228.7138670000004</v>
      </c>
      <c r="K56" s="53">
        <v>8446.6376949999994</v>
      </c>
      <c r="L56" s="53">
        <v>8584.2998050000006</v>
      </c>
      <c r="M56" s="53">
        <v>8491.0878909999992</v>
      </c>
      <c r="N56" s="53">
        <v>8266.234375</v>
      </c>
      <c r="O56" s="53">
        <v>8695.1455079999996</v>
      </c>
      <c r="P56" s="53">
        <v>8496.3105469999991</v>
      </c>
    </row>
    <row r="57" spans="1:16" ht="13.9" x14ac:dyDescent="0.4">
      <c r="A57" s="30">
        <v>8</v>
      </c>
      <c r="B57" s="53">
        <v>6697.623047</v>
      </c>
      <c r="C57" s="53">
        <v>6810.3408200000003</v>
      </c>
      <c r="D57" s="53">
        <v>6543.8666990000002</v>
      </c>
      <c r="E57" s="53">
        <v>6668.294922</v>
      </c>
      <c r="F57" s="53">
        <v>6748.2285160000001</v>
      </c>
      <c r="G57" s="53">
        <v>7059.5727539999998</v>
      </c>
      <c r="H57" s="53">
        <v>7111.6977539999998</v>
      </c>
      <c r="I57" s="53">
        <v>7271.3891599999997</v>
      </c>
      <c r="J57" s="53">
        <v>7149.7158200000003</v>
      </c>
      <c r="K57" s="53">
        <v>7324.7148440000001</v>
      </c>
      <c r="L57" s="53">
        <v>7460.6674800000001</v>
      </c>
      <c r="M57" s="53">
        <v>7378.1992190000001</v>
      </c>
      <c r="N57" s="53">
        <v>7200.9165039999998</v>
      </c>
      <c r="O57" s="53">
        <v>7554.861328</v>
      </c>
      <c r="P57" s="53">
        <v>7411.4165039999998</v>
      </c>
    </row>
    <row r="58" spans="1:16" ht="13.9" x14ac:dyDescent="0.4">
      <c r="A58" s="30">
        <v>9</v>
      </c>
      <c r="B58" s="53">
        <v>5830.5327150000003</v>
      </c>
      <c r="C58" s="53">
        <v>5924.216797</v>
      </c>
      <c r="D58" s="53">
        <v>5700.232422</v>
      </c>
      <c r="E58" s="53">
        <v>5781.8232420000004</v>
      </c>
      <c r="F58" s="53">
        <v>5868.4677730000003</v>
      </c>
      <c r="G58" s="53">
        <v>6098.1958009999998</v>
      </c>
      <c r="H58" s="53">
        <v>6153.03125</v>
      </c>
      <c r="I58" s="53">
        <v>6302.328125</v>
      </c>
      <c r="J58" s="53">
        <v>6189.0585940000001</v>
      </c>
      <c r="K58" s="53">
        <v>6343.2797849999997</v>
      </c>
      <c r="L58" s="53">
        <v>6462.080078</v>
      </c>
      <c r="M58" s="53">
        <v>6390.0351559999999</v>
      </c>
      <c r="N58" s="53">
        <v>6234.3066410000001</v>
      </c>
      <c r="O58" s="53">
        <v>6534.169922</v>
      </c>
      <c r="P58" s="53">
        <v>6428.2255859999996</v>
      </c>
    </row>
    <row r="59" spans="1:16" ht="13.9" x14ac:dyDescent="0.4">
      <c r="A59" s="30">
        <v>10</v>
      </c>
      <c r="B59" s="53">
        <v>5028.7524409999996</v>
      </c>
      <c r="C59" s="53">
        <v>5097.2416990000002</v>
      </c>
      <c r="D59" s="53">
        <v>4910.3652339999999</v>
      </c>
      <c r="E59" s="53">
        <v>4992.2749020000001</v>
      </c>
      <c r="F59" s="53">
        <v>5059.9404299999997</v>
      </c>
      <c r="G59" s="53">
        <v>5234.9072269999997</v>
      </c>
      <c r="H59" s="53">
        <v>5294.8168949999999</v>
      </c>
      <c r="I59" s="53">
        <v>5401.970703</v>
      </c>
      <c r="J59" s="53">
        <v>5302.0200199999999</v>
      </c>
      <c r="K59" s="53">
        <v>5444.9501950000003</v>
      </c>
      <c r="L59" s="53">
        <v>5549.3793949999999</v>
      </c>
      <c r="M59" s="53">
        <v>5497.7802730000003</v>
      </c>
      <c r="N59" s="53">
        <v>5358.9125979999999</v>
      </c>
      <c r="O59" s="53">
        <v>5609.8271480000003</v>
      </c>
      <c r="P59" s="53">
        <v>5524.0327150000003</v>
      </c>
    </row>
    <row r="60" spans="1:16" ht="13.9" x14ac:dyDescent="0.4">
      <c r="A60" s="30">
        <v>11</v>
      </c>
      <c r="B60" s="53">
        <v>4274.4023440000001</v>
      </c>
      <c r="C60" s="53">
        <v>4351.0766599999997</v>
      </c>
      <c r="D60" s="53">
        <v>4191.2441410000001</v>
      </c>
      <c r="E60" s="53">
        <v>4261.8305659999996</v>
      </c>
      <c r="F60" s="53">
        <v>4317.4672849999997</v>
      </c>
      <c r="G60" s="53">
        <v>4462.8330079999996</v>
      </c>
      <c r="H60" s="53">
        <v>4495.2646480000003</v>
      </c>
      <c r="I60" s="53">
        <v>4585.6040039999998</v>
      </c>
      <c r="J60" s="53">
        <v>4500.8129879999997</v>
      </c>
      <c r="K60" s="53">
        <v>4608.21875</v>
      </c>
      <c r="L60" s="53">
        <v>4722.0986329999996</v>
      </c>
      <c r="M60" s="53">
        <v>4676.0595700000003</v>
      </c>
      <c r="N60" s="53">
        <v>4535.9658200000003</v>
      </c>
      <c r="O60" s="53">
        <v>4764.1191410000001</v>
      </c>
      <c r="P60" s="53">
        <v>4694.2109380000002</v>
      </c>
    </row>
    <row r="61" spans="1:16" ht="13.9" x14ac:dyDescent="0.4">
      <c r="A61" s="30">
        <v>12</v>
      </c>
      <c r="B61" s="53">
        <v>3616.9516600000002</v>
      </c>
      <c r="C61" s="53">
        <v>3667.0219729999999</v>
      </c>
      <c r="D61" s="53">
        <v>3546.0415039999998</v>
      </c>
      <c r="E61" s="53">
        <v>3582.5187989999999</v>
      </c>
      <c r="F61" s="53">
        <v>3637.9916990000002</v>
      </c>
      <c r="G61" s="53">
        <v>3753.8291020000001</v>
      </c>
      <c r="H61" s="53">
        <v>3773.5822750000002</v>
      </c>
      <c r="I61" s="53">
        <v>3844.0207519999999</v>
      </c>
      <c r="J61" s="53">
        <v>3749.6599120000001</v>
      </c>
      <c r="K61" s="53">
        <v>3858.3776859999998</v>
      </c>
      <c r="L61" s="53">
        <v>3979.6767580000001</v>
      </c>
      <c r="M61" s="53">
        <v>3930.4636230000001</v>
      </c>
      <c r="N61" s="53">
        <v>3812.0756839999999</v>
      </c>
      <c r="O61" s="53">
        <v>3993.329346</v>
      </c>
      <c r="P61" s="53">
        <v>3929.5927729999999</v>
      </c>
    </row>
    <row r="62" spans="1:16" ht="13.9" x14ac:dyDescent="0.4">
      <c r="A62" s="30">
        <v>13</v>
      </c>
      <c r="B62" s="53">
        <v>3011.3781739999999</v>
      </c>
      <c r="C62" s="53">
        <v>3055.4848630000001</v>
      </c>
      <c r="D62" s="53">
        <v>2964.6389159999999</v>
      </c>
      <c r="E62" s="53">
        <v>2975.7937010000001</v>
      </c>
      <c r="F62" s="53">
        <v>3031.2775879999999</v>
      </c>
      <c r="G62" s="53">
        <v>3102.0432129999999</v>
      </c>
      <c r="H62" s="53">
        <v>3118.7817380000001</v>
      </c>
      <c r="I62" s="53">
        <v>3167.0588379999999</v>
      </c>
      <c r="J62" s="53">
        <v>3100.2485350000002</v>
      </c>
      <c r="K62" s="53">
        <v>3190.0073240000002</v>
      </c>
      <c r="L62" s="53">
        <v>3302.7680660000001</v>
      </c>
      <c r="M62" s="53">
        <v>3259.186279</v>
      </c>
      <c r="N62" s="53">
        <v>3153.0036620000001</v>
      </c>
      <c r="O62" s="53">
        <v>3314.9135740000002</v>
      </c>
      <c r="P62" s="53">
        <v>3245.2578119999998</v>
      </c>
    </row>
    <row r="63" spans="1:16" ht="13.9" x14ac:dyDescent="0.4">
      <c r="A63" s="30">
        <v>14</v>
      </c>
      <c r="B63" s="53">
        <v>2469.6320799999999</v>
      </c>
      <c r="C63" s="53">
        <v>2504.0268550000001</v>
      </c>
      <c r="D63" s="53">
        <v>2423.540039</v>
      </c>
      <c r="E63" s="53">
        <v>2438.7719729999999</v>
      </c>
      <c r="F63" s="53">
        <v>2472.1938479999999</v>
      </c>
      <c r="G63" s="53">
        <v>2520.4797359999998</v>
      </c>
      <c r="H63" s="53">
        <v>2536.0541990000002</v>
      </c>
      <c r="I63" s="53">
        <v>2568.876221</v>
      </c>
      <c r="J63" s="53">
        <v>2521.2741700000001</v>
      </c>
      <c r="K63" s="53">
        <v>2587.1064449999999</v>
      </c>
      <c r="L63" s="53">
        <v>2695.1110840000001</v>
      </c>
      <c r="M63" s="53">
        <v>2647.3471679999998</v>
      </c>
      <c r="N63" s="53">
        <v>2566.7651369999999</v>
      </c>
      <c r="O63" s="53">
        <v>2700.0102539999998</v>
      </c>
      <c r="P63" s="53">
        <v>2631.1813959999999</v>
      </c>
    </row>
    <row r="64" spans="1:16" ht="13.9" x14ac:dyDescent="0.4">
      <c r="A64" s="30">
        <v>15</v>
      </c>
      <c r="B64" s="53">
        <v>1989.7680660000001</v>
      </c>
      <c r="C64" s="53">
        <v>2008.4171140000001</v>
      </c>
      <c r="D64" s="53">
        <v>1944.8688959999999</v>
      </c>
      <c r="E64" s="53">
        <v>1951.356812</v>
      </c>
      <c r="F64" s="53">
        <v>1985.1926269999999</v>
      </c>
      <c r="G64" s="53">
        <v>2012.7613530000001</v>
      </c>
      <c r="H64" s="53">
        <v>2013.8057859999999</v>
      </c>
      <c r="I64" s="53">
        <v>2055.1184079999998</v>
      </c>
      <c r="J64" s="53">
        <v>2017.208496</v>
      </c>
      <c r="K64" s="53">
        <v>2061.3745119999999</v>
      </c>
      <c r="L64" s="53">
        <v>2150.7246089999999</v>
      </c>
      <c r="M64" s="53">
        <v>2115.8476559999999</v>
      </c>
      <c r="N64" s="53">
        <v>2046.4772949999999</v>
      </c>
      <c r="O64" s="53">
        <v>2161.9265140000002</v>
      </c>
      <c r="P64" s="53">
        <v>2110.0688479999999</v>
      </c>
    </row>
    <row r="65" spans="1:16" ht="13.9" x14ac:dyDescent="0.4">
      <c r="A65" s="30">
        <v>16</v>
      </c>
      <c r="B65" s="53">
        <v>1566.320557</v>
      </c>
      <c r="C65" s="53">
        <v>1587.4406739999999</v>
      </c>
      <c r="D65" s="53">
        <v>1542.174683</v>
      </c>
      <c r="E65" s="53">
        <v>1543.990356</v>
      </c>
      <c r="F65" s="53">
        <v>1557.1137699999999</v>
      </c>
      <c r="G65" s="53">
        <v>1571.0852050000001</v>
      </c>
      <c r="H65" s="53">
        <v>1571.8500979999999</v>
      </c>
      <c r="I65" s="53">
        <v>1602.594482</v>
      </c>
      <c r="J65" s="53">
        <v>1572.0551760000001</v>
      </c>
      <c r="K65" s="53">
        <v>1605.2413329999999</v>
      </c>
      <c r="L65" s="53">
        <v>1696.243408</v>
      </c>
      <c r="M65" s="53">
        <v>1658.0648189999999</v>
      </c>
      <c r="N65" s="53">
        <v>1602.159058</v>
      </c>
      <c r="O65" s="53">
        <v>1695.391357</v>
      </c>
      <c r="P65" s="53">
        <v>1646.4482419999999</v>
      </c>
    </row>
    <row r="66" spans="1:16" ht="13.9" x14ac:dyDescent="0.4">
      <c r="A66" s="30">
        <v>17</v>
      </c>
      <c r="B66" s="53">
        <v>1211.6102289999999</v>
      </c>
      <c r="C66" s="53">
        <v>1227.051025</v>
      </c>
      <c r="D66" s="53">
        <v>1197.535034</v>
      </c>
      <c r="E66" s="53">
        <v>1194.4555660000001</v>
      </c>
      <c r="F66" s="53">
        <v>1213.3431399999999</v>
      </c>
      <c r="G66" s="53">
        <v>1206.0405270000001</v>
      </c>
      <c r="H66" s="53">
        <v>1210.3599850000001</v>
      </c>
      <c r="I66" s="53">
        <v>1229.457764</v>
      </c>
      <c r="J66" s="53">
        <v>1207.229004</v>
      </c>
      <c r="K66" s="53">
        <v>1222.234009</v>
      </c>
      <c r="L66" s="53">
        <v>1305.593384</v>
      </c>
      <c r="M66" s="53">
        <v>1272.708374</v>
      </c>
      <c r="N66" s="53">
        <v>1229.193115</v>
      </c>
      <c r="O66" s="53">
        <v>1294.874634</v>
      </c>
      <c r="P66" s="53">
        <v>1275.2777100000001</v>
      </c>
    </row>
    <row r="67" spans="1:16" ht="13.9" x14ac:dyDescent="0.4">
      <c r="A67" s="30">
        <v>18</v>
      </c>
      <c r="B67" s="53">
        <v>932.39984100000004</v>
      </c>
      <c r="C67" s="53">
        <v>939.01007100000004</v>
      </c>
      <c r="D67" s="53">
        <v>916.52374299999997</v>
      </c>
      <c r="E67" s="53">
        <v>907.92535399999997</v>
      </c>
      <c r="F67" s="53">
        <v>927.30621299999996</v>
      </c>
      <c r="G67" s="53">
        <v>918.74206500000003</v>
      </c>
      <c r="H67" s="53">
        <v>915.05950900000005</v>
      </c>
      <c r="I67" s="53">
        <v>928.06475799999998</v>
      </c>
      <c r="J67" s="53">
        <v>907.59332300000005</v>
      </c>
      <c r="K67" s="53">
        <v>929.64453100000003</v>
      </c>
      <c r="L67" s="53">
        <v>1001.297607</v>
      </c>
      <c r="M67" s="53">
        <v>964.07922399999995</v>
      </c>
      <c r="N67" s="53">
        <v>933.939392</v>
      </c>
      <c r="O67" s="53">
        <v>981.97900400000003</v>
      </c>
      <c r="P67" s="53">
        <v>972.30926499999998</v>
      </c>
    </row>
    <row r="68" spans="1:16" ht="13.9" x14ac:dyDescent="0.4">
      <c r="A68" s="30">
        <v>19</v>
      </c>
      <c r="B68" s="53">
        <v>713.03344700000002</v>
      </c>
      <c r="C68" s="53">
        <v>711.21740699999998</v>
      </c>
      <c r="D68" s="53">
        <v>694.76757799999996</v>
      </c>
      <c r="E68" s="53">
        <v>692.37042199999996</v>
      </c>
      <c r="F68" s="53">
        <v>704.86138900000003</v>
      </c>
      <c r="G68" s="53">
        <v>692.65594499999997</v>
      </c>
      <c r="H68" s="53">
        <v>692.26464799999997</v>
      </c>
      <c r="I68" s="53">
        <v>700.76055899999994</v>
      </c>
      <c r="J68" s="53">
        <v>683.38256799999999</v>
      </c>
      <c r="K68" s="53">
        <v>697.87866199999996</v>
      </c>
      <c r="L68" s="53">
        <v>759.52453600000001</v>
      </c>
      <c r="M68" s="53">
        <v>730.11279300000001</v>
      </c>
      <c r="N68" s="53">
        <v>702.63256799999999</v>
      </c>
      <c r="O68" s="53">
        <v>741.84173599999997</v>
      </c>
      <c r="P68" s="53">
        <v>727.86108400000001</v>
      </c>
    </row>
    <row r="69" spans="1:16" ht="13.9" x14ac:dyDescent="0.4">
      <c r="A69" s="30">
        <v>20</v>
      </c>
      <c r="B69" s="53">
        <v>536.83624299999997</v>
      </c>
      <c r="C69" s="53">
        <v>535.38043200000004</v>
      </c>
      <c r="D69" s="53">
        <v>529.60803199999998</v>
      </c>
      <c r="E69" s="53">
        <v>527.10040300000003</v>
      </c>
      <c r="F69" s="53">
        <v>536.75427200000001</v>
      </c>
      <c r="G69" s="53">
        <v>525.18127400000003</v>
      </c>
      <c r="H69" s="53">
        <v>523.20013400000005</v>
      </c>
      <c r="I69" s="53">
        <v>529.56579599999998</v>
      </c>
      <c r="J69" s="53">
        <v>512.40789800000005</v>
      </c>
      <c r="K69" s="53">
        <v>526.33404499999995</v>
      </c>
      <c r="L69" s="53">
        <v>576.44238299999995</v>
      </c>
      <c r="M69" s="53">
        <v>553.17571999999996</v>
      </c>
      <c r="N69" s="53">
        <v>529.78405799999996</v>
      </c>
      <c r="O69" s="53">
        <v>555.53881799999999</v>
      </c>
      <c r="P69" s="53">
        <v>549.98706100000004</v>
      </c>
    </row>
    <row r="70" spans="1:16" ht="13.9" x14ac:dyDescent="0.4">
      <c r="A70" s="30">
        <v>21</v>
      </c>
      <c r="B70" s="53">
        <v>406.30954000000003</v>
      </c>
      <c r="C70" s="53">
        <v>409.21444700000001</v>
      </c>
      <c r="D70" s="53">
        <v>402.00817899999998</v>
      </c>
      <c r="E70" s="53">
        <v>404.05941799999999</v>
      </c>
      <c r="F70" s="53">
        <v>406.85327100000001</v>
      </c>
      <c r="G70" s="53">
        <v>394.86123700000002</v>
      </c>
      <c r="H70" s="53">
        <v>390.99414100000001</v>
      </c>
      <c r="I70" s="53">
        <v>399.88864100000001</v>
      </c>
      <c r="J70" s="53">
        <v>383.23089599999997</v>
      </c>
      <c r="K70" s="53">
        <v>389.63171399999999</v>
      </c>
      <c r="L70" s="53">
        <v>438.49993899999998</v>
      </c>
      <c r="M70" s="53">
        <v>422.51580799999999</v>
      </c>
      <c r="N70" s="53">
        <v>401.36743200000001</v>
      </c>
      <c r="O70" s="53">
        <v>420.82345600000002</v>
      </c>
      <c r="P70" s="53">
        <v>416.41021699999999</v>
      </c>
    </row>
    <row r="71" spans="1:16" ht="13.9" x14ac:dyDescent="0.4">
      <c r="A71" s="30">
        <v>22</v>
      </c>
      <c r="B71" s="53">
        <v>309.68829299999999</v>
      </c>
      <c r="C71" s="53">
        <v>314.018799</v>
      </c>
      <c r="D71" s="53">
        <v>307.76608299999998</v>
      </c>
      <c r="E71" s="53">
        <v>306.71203600000001</v>
      </c>
      <c r="F71" s="53">
        <v>309.979401</v>
      </c>
      <c r="G71" s="53">
        <v>296.772919</v>
      </c>
      <c r="H71" s="53">
        <v>296.77139299999999</v>
      </c>
      <c r="I71" s="53">
        <v>301.74047899999999</v>
      </c>
      <c r="J71" s="53">
        <v>290.34728999999999</v>
      </c>
      <c r="K71" s="53">
        <v>296.202698</v>
      </c>
      <c r="L71" s="53">
        <v>333.45434599999999</v>
      </c>
      <c r="M71" s="53">
        <v>318.349152</v>
      </c>
      <c r="N71" s="53">
        <v>306.405304</v>
      </c>
      <c r="O71" s="53">
        <v>319.46289100000001</v>
      </c>
      <c r="P71" s="53">
        <v>315.22082499999999</v>
      </c>
    </row>
    <row r="72" spans="1:16" ht="13.9" x14ac:dyDescent="0.4">
      <c r="A72" s="30">
        <v>23</v>
      </c>
      <c r="B72" s="53">
        <v>233.53997799999999</v>
      </c>
      <c r="C72" s="53">
        <v>239.97770700000001</v>
      </c>
      <c r="D72" s="53">
        <v>235.81964099999999</v>
      </c>
      <c r="E72" s="53">
        <v>234.29510500000001</v>
      </c>
      <c r="F72" s="53">
        <v>234.67079200000001</v>
      </c>
      <c r="G72" s="53">
        <v>224.04264800000001</v>
      </c>
      <c r="H72" s="53">
        <v>223.31397999999999</v>
      </c>
      <c r="I72" s="53">
        <v>227.21734599999999</v>
      </c>
      <c r="J72" s="53">
        <v>219.99655200000001</v>
      </c>
      <c r="K72" s="53">
        <v>223.42095900000001</v>
      </c>
      <c r="L72" s="53">
        <v>253.64213599999999</v>
      </c>
      <c r="M72" s="53">
        <v>239.81556699999999</v>
      </c>
      <c r="N72" s="53">
        <v>227.996216</v>
      </c>
      <c r="O72" s="53">
        <v>247.39579800000001</v>
      </c>
      <c r="P72" s="53">
        <v>238.79325900000001</v>
      </c>
    </row>
    <row r="73" spans="1:16" ht="13.9" x14ac:dyDescent="0.4">
      <c r="A73" s="30">
        <v>24</v>
      </c>
      <c r="B73" s="53">
        <v>175.45605499999999</v>
      </c>
      <c r="C73" s="53">
        <v>178.544769</v>
      </c>
      <c r="D73" s="53">
        <v>177.50787399999999</v>
      </c>
      <c r="E73" s="53">
        <v>176.29371599999999</v>
      </c>
      <c r="F73" s="53">
        <v>176.51251199999999</v>
      </c>
      <c r="G73" s="53">
        <v>169.51817299999999</v>
      </c>
      <c r="H73" s="53">
        <v>170.189301</v>
      </c>
      <c r="I73" s="53">
        <v>170.499863</v>
      </c>
      <c r="J73" s="53">
        <v>166.15846300000001</v>
      </c>
      <c r="K73" s="53">
        <v>168.533569</v>
      </c>
      <c r="L73" s="53">
        <v>184.01670799999999</v>
      </c>
      <c r="M73" s="53">
        <v>182.528198</v>
      </c>
      <c r="N73" s="53">
        <v>174.590912</v>
      </c>
      <c r="O73" s="53">
        <v>185.69807399999999</v>
      </c>
      <c r="P73" s="53">
        <v>181.55827300000001</v>
      </c>
    </row>
    <row r="74" spans="1:16" ht="13.9" x14ac:dyDescent="0.4">
      <c r="A74" s="30">
        <v>25</v>
      </c>
      <c r="B74" s="53">
        <v>131.82363900000001</v>
      </c>
      <c r="C74" s="53">
        <v>133.18931599999999</v>
      </c>
      <c r="D74" s="53">
        <v>132.65927099999999</v>
      </c>
      <c r="E74" s="53">
        <v>130.75752299999999</v>
      </c>
      <c r="F74" s="53">
        <v>131.853745</v>
      </c>
      <c r="G74" s="53">
        <v>125.489891</v>
      </c>
      <c r="H74" s="53">
        <v>127.620346</v>
      </c>
      <c r="I74" s="53">
        <v>124.552628</v>
      </c>
      <c r="J74" s="53">
        <v>124.102829</v>
      </c>
      <c r="K74" s="53">
        <v>127.75515</v>
      </c>
      <c r="L74" s="53">
        <v>138.97045900000001</v>
      </c>
      <c r="M74" s="53">
        <v>136.165009</v>
      </c>
      <c r="N74" s="53">
        <v>132.16287199999999</v>
      </c>
      <c r="O74" s="53">
        <v>138.69027700000001</v>
      </c>
      <c r="P74" s="53">
        <v>135.718887</v>
      </c>
    </row>
    <row r="75" spans="1:16" ht="13.9" x14ac:dyDescent="0.4">
      <c r="A75" s="30">
        <v>26</v>
      </c>
      <c r="B75" s="53">
        <v>96.435989000000006</v>
      </c>
      <c r="C75" s="53">
        <v>100.272774</v>
      </c>
      <c r="D75" s="53">
        <v>98.358231000000004</v>
      </c>
      <c r="E75" s="53">
        <v>95.651420999999999</v>
      </c>
      <c r="F75" s="53">
        <v>96.704063000000005</v>
      </c>
      <c r="G75" s="53">
        <v>91.028937999999997</v>
      </c>
      <c r="H75" s="53">
        <v>93.876662999999994</v>
      </c>
      <c r="I75" s="53">
        <v>91.112762000000004</v>
      </c>
      <c r="J75" s="53">
        <v>90.733528000000007</v>
      </c>
      <c r="K75" s="53">
        <v>96.095962999999998</v>
      </c>
      <c r="L75" s="53">
        <v>104.578316</v>
      </c>
      <c r="M75" s="53">
        <v>97.715378000000001</v>
      </c>
      <c r="N75" s="53">
        <v>97.924239999999998</v>
      </c>
      <c r="O75" s="53">
        <v>104.384956</v>
      </c>
      <c r="P75" s="53">
        <v>98.876007000000001</v>
      </c>
    </row>
    <row r="76" spans="1:16" ht="13.9" x14ac:dyDescent="0.4">
      <c r="A76" s="30">
        <v>27</v>
      </c>
      <c r="B76" s="53">
        <v>67.810897999999995</v>
      </c>
      <c r="C76" s="53">
        <v>74.294929999999994</v>
      </c>
      <c r="D76" s="53">
        <v>69.545356999999996</v>
      </c>
      <c r="E76" s="53">
        <v>70.297011999999995</v>
      </c>
      <c r="F76" s="53">
        <v>71.233283999999998</v>
      </c>
      <c r="G76" s="53">
        <v>65.763762999999997</v>
      </c>
      <c r="H76" s="53">
        <v>66.881714000000002</v>
      </c>
      <c r="I76" s="53">
        <v>67.661438000000004</v>
      </c>
      <c r="J76" s="53">
        <v>68.114647000000005</v>
      </c>
      <c r="K76" s="53">
        <v>68.996384000000006</v>
      </c>
      <c r="L76" s="53">
        <v>77.195426999999995</v>
      </c>
      <c r="M76" s="53">
        <v>72.770432</v>
      </c>
      <c r="N76" s="53">
        <v>70.655304000000001</v>
      </c>
      <c r="O76" s="53">
        <v>75.523551999999995</v>
      </c>
      <c r="P76" s="53">
        <v>70.515556000000004</v>
      </c>
    </row>
    <row r="77" spans="1:16" ht="13.9" x14ac:dyDescent="0.4">
      <c r="A77" s="30">
        <v>28</v>
      </c>
      <c r="B77" s="53">
        <v>48.356949</v>
      </c>
      <c r="C77" s="53">
        <v>52.209538000000002</v>
      </c>
      <c r="D77" s="53">
        <v>48.878982999999998</v>
      </c>
      <c r="E77" s="53">
        <v>51.471995999999997</v>
      </c>
      <c r="F77" s="53">
        <v>50.347244000000003</v>
      </c>
      <c r="G77" s="53">
        <v>48.672615</v>
      </c>
      <c r="H77" s="53">
        <v>46.981589999999997</v>
      </c>
      <c r="I77" s="53">
        <v>47.250092000000002</v>
      </c>
      <c r="J77" s="53">
        <v>47.645851</v>
      </c>
      <c r="K77" s="53">
        <v>48.865268999999998</v>
      </c>
      <c r="L77" s="53">
        <v>55.233051000000003</v>
      </c>
      <c r="M77" s="53">
        <v>53.158543000000002</v>
      </c>
      <c r="N77" s="53">
        <v>50.094695999999999</v>
      </c>
      <c r="O77" s="53">
        <v>54.266350000000003</v>
      </c>
      <c r="P77" s="53">
        <v>50.380493000000001</v>
      </c>
    </row>
    <row r="78" spans="1:16" ht="13.9" x14ac:dyDescent="0.4">
      <c r="A78" s="30">
        <v>29</v>
      </c>
      <c r="B78" s="53">
        <v>35.109741</v>
      </c>
      <c r="C78" s="53">
        <v>37.570557000000001</v>
      </c>
      <c r="D78" s="53">
        <v>33.186256</v>
      </c>
      <c r="E78" s="53">
        <v>35.190902999999999</v>
      </c>
      <c r="F78" s="53">
        <v>34.555359000000003</v>
      </c>
      <c r="G78" s="53">
        <v>34.832500000000003</v>
      </c>
      <c r="H78" s="53">
        <v>33.484119</v>
      </c>
      <c r="I78" s="53">
        <v>33.439861000000001</v>
      </c>
      <c r="J78" s="53">
        <v>34.401336999999998</v>
      </c>
      <c r="K78" s="53">
        <v>35.100406999999997</v>
      </c>
      <c r="L78" s="53">
        <v>40.093024999999997</v>
      </c>
      <c r="M78" s="53">
        <v>38.277591999999999</v>
      </c>
      <c r="N78" s="53">
        <v>36.155304000000001</v>
      </c>
      <c r="O78" s="53">
        <v>38.193832</v>
      </c>
      <c r="P78" s="53">
        <v>35.643344999999997</v>
      </c>
    </row>
    <row r="79" spans="1:16" ht="13.9" x14ac:dyDescent="0.4">
      <c r="A79" s="30">
        <v>30</v>
      </c>
      <c r="B79" s="53">
        <v>23.715285999999999</v>
      </c>
      <c r="C79" s="53">
        <v>25.554749000000001</v>
      </c>
      <c r="D79" s="53">
        <v>23.667717</v>
      </c>
      <c r="E79" s="53">
        <v>23.912855</v>
      </c>
      <c r="F79" s="53">
        <v>23.687826000000001</v>
      </c>
      <c r="G79" s="53">
        <v>24.429195</v>
      </c>
      <c r="H79" s="53">
        <v>22.668835000000001</v>
      </c>
      <c r="I79" s="53">
        <v>23.885615999999999</v>
      </c>
      <c r="J79" s="53">
        <v>23.822925999999999</v>
      </c>
      <c r="K79" s="53">
        <v>23.142178999999999</v>
      </c>
      <c r="L79" s="53">
        <v>27.009053999999999</v>
      </c>
      <c r="M79" s="53">
        <v>27.353424</v>
      </c>
      <c r="N79" s="53">
        <v>24.829546000000001</v>
      </c>
      <c r="O79" s="53">
        <v>25.404947</v>
      </c>
      <c r="P79" s="53">
        <v>22.705496</v>
      </c>
    </row>
    <row r="80" spans="1:16" ht="13.9" x14ac:dyDescent="0.4">
      <c r="A80" s="30">
        <v>38</v>
      </c>
      <c r="B80" s="53">
        <v>15.007329</v>
      </c>
      <c r="C80" s="53">
        <v>17.008292999999998</v>
      </c>
      <c r="D80" s="53">
        <v>14.835198999999999</v>
      </c>
      <c r="E80" s="53">
        <v>16.196297000000001</v>
      </c>
      <c r="F80" s="53">
        <v>13.159903999999999</v>
      </c>
      <c r="G80" s="53">
        <v>16.905374999999999</v>
      </c>
      <c r="H80" s="53">
        <v>15.400964</v>
      </c>
      <c r="I80" s="53">
        <v>16.763359000000001</v>
      </c>
      <c r="J80" s="53">
        <v>17.716688000000001</v>
      </c>
      <c r="K80" s="53">
        <v>16.517838000000001</v>
      </c>
      <c r="L80" s="53">
        <v>18.130645999999999</v>
      </c>
      <c r="M80" s="53">
        <v>19.181805000000001</v>
      </c>
      <c r="N80" s="53">
        <v>16.378788</v>
      </c>
      <c r="O80" s="53">
        <v>17.109455000000001</v>
      </c>
      <c r="P80" s="53">
        <v>15.593963</v>
      </c>
    </row>
    <row r="81" spans="1:32" ht="13.9" x14ac:dyDescent="0.4">
      <c r="A81" s="30">
        <v>50</v>
      </c>
      <c r="B81" s="53">
        <v>10.468076</v>
      </c>
      <c r="C81" s="53">
        <v>11.254244</v>
      </c>
      <c r="D81" s="53">
        <v>10.461817</v>
      </c>
      <c r="E81" s="53">
        <v>9.9212910000000001</v>
      </c>
      <c r="F81" s="53">
        <v>8.1506500000000006</v>
      </c>
      <c r="G81" s="53">
        <v>11.1464</v>
      </c>
      <c r="H81" s="53">
        <v>9.9500609999999998</v>
      </c>
      <c r="I81" s="53">
        <v>10.683384</v>
      </c>
      <c r="J81" s="53">
        <v>10.922423999999999</v>
      </c>
      <c r="K81" s="53">
        <v>11.097922000000001</v>
      </c>
      <c r="L81" s="53">
        <v>11.682117</v>
      </c>
      <c r="M81" s="53">
        <v>12.386456000000001</v>
      </c>
      <c r="N81" s="53">
        <v>11.064394</v>
      </c>
      <c r="O81" s="53">
        <v>11.492715</v>
      </c>
      <c r="P81" s="53">
        <v>9.6819659999999992</v>
      </c>
    </row>
    <row r="82" spans="1:32" ht="13.9" x14ac:dyDescent="0.4">
      <c r="A82" s="30">
        <v>70</v>
      </c>
      <c r="B82" s="53">
        <v>6.2067350000000001</v>
      </c>
      <c r="C82" s="53">
        <v>6.938707</v>
      </c>
      <c r="D82" s="53">
        <v>6.9459609999999996</v>
      </c>
      <c r="E82" s="53">
        <v>6.5293970000000003</v>
      </c>
      <c r="F82" s="53">
        <v>5.2639610000000001</v>
      </c>
      <c r="G82" s="53">
        <v>7.2451610000000004</v>
      </c>
      <c r="H82" s="53">
        <v>6.4026480000000001</v>
      </c>
      <c r="I82" s="53">
        <v>7.035399</v>
      </c>
      <c r="J82" s="53">
        <v>6.3642469999999998</v>
      </c>
      <c r="K82" s="53">
        <v>7.3986150000000004</v>
      </c>
      <c r="L82" s="53">
        <v>7.756926</v>
      </c>
      <c r="M82" s="53">
        <v>9.0317919999999994</v>
      </c>
      <c r="N82" s="53">
        <v>7.3181820000000002</v>
      </c>
      <c r="O82" s="53">
        <v>8.1226699999999994</v>
      </c>
      <c r="P82" s="53">
        <v>6.5117649999999996</v>
      </c>
    </row>
    <row r="85" spans="1:32" ht="13.15" x14ac:dyDescent="0.4">
      <c r="B85" s="30" t="s">
        <v>107</v>
      </c>
    </row>
    <row r="86" spans="1:32" ht="13.5" x14ac:dyDescent="0.35">
      <c r="A86">
        <v>1</v>
      </c>
      <c r="B86" s="53">
        <v>10.794725</v>
      </c>
      <c r="C86" s="53">
        <v>11418.447265999999</v>
      </c>
      <c r="D86" s="53">
        <v>10016.373046999999</v>
      </c>
      <c r="E86" s="53">
        <v>8784.6611329999996</v>
      </c>
      <c r="F86" s="53">
        <v>7685.7905270000001</v>
      </c>
      <c r="G86" s="53">
        <v>6697.623047</v>
      </c>
      <c r="H86" s="53">
        <v>5830.5327150000003</v>
      </c>
      <c r="I86" s="53">
        <v>5028.7524409999996</v>
      </c>
      <c r="J86" s="53">
        <v>4274.4023440000001</v>
      </c>
      <c r="K86" s="53">
        <v>3616.9516600000002</v>
      </c>
      <c r="L86" s="53">
        <v>3011.3781739999999</v>
      </c>
      <c r="M86" s="53">
        <v>2469.6320799999999</v>
      </c>
      <c r="N86" s="53">
        <v>1989.7680660000001</v>
      </c>
      <c r="O86" s="53">
        <v>1566.320557</v>
      </c>
      <c r="P86" s="53">
        <v>1211.6102289999999</v>
      </c>
      <c r="Q86" s="53">
        <v>932.39984100000004</v>
      </c>
      <c r="R86" s="53">
        <v>713.03344700000002</v>
      </c>
      <c r="S86" s="53">
        <v>536.83624299999997</v>
      </c>
      <c r="T86" s="53">
        <v>406.30954000000003</v>
      </c>
      <c r="U86" s="53">
        <v>309.68829299999999</v>
      </c>
      <c r="V86" s="53">
        <v>233.53997799999999</v>
      </c>
      <c r="W86" s="53">
        <v>175.45605499999999</v>
      </c>
      <c r="X86" s="53">
        <v>131.82363900000001</v>
      </c>
      <c r="Y86" s="53">
        <v>96.435989000000006</v>
      </c>
      <c r="Z86" s="53">
        <v>67.810897999999995</v>
      </c>
      <c r="AA86" s="53">
        <v>48.356949</v>
      </c>
      <c r="AB86" s="53">
        <v>35.109741</v>
      </c>
      <c r="AC86" s="53">
        <v>23.715285999999999</v>
      </c>
      <c r="AD86" s="53">
        <v>15.007329</v>
      </c>
      <c r="AE86" s="53">
        <v>10.468076</v>
      </c>
      <c r="AF86" s="53">
        <v>6.2067350000000001</v>
      </c>
    </row>
    <row r="87" spans="1:32" ht="13.5" x14ac:dyDescent="0.35">
      <c r="A87">
        <v>2</v>
      </c>
      <c r="B87" s="53">
        <v>11.817764</v>
      </c>
      <c r="C87" s="53">
        <v>11549.815430000001</v>
      </c>
      <c r="D87" s="53">
        <v>10143.965819999999</v>
      </c>
      <c r="E87" s="53">
        <v>8923.4306639999995</v>
      </c>
      <c r="F87" s="53">
        <v>7819.1606449999999</v>
      </c>
      <c r="G87" s="53">
        <v>6810.3408200000003</v>
      </c>
      <c r="H87" s="53">
        <v>5924.216797</v>
      </c>
      <c r="I87" s="53">
        <v>5097.2416990000002</v>
      </c>
      <c r="J87" s="53">
        <v>4351.0766599999997</v>
      </c>
      <c r="K87" s="53">
        <v>3667.0219729999999</v>
      </c>
      <c r="L87" s="53">
        <v>3055.4848630000001</v>
      </c>
      <c r="M87" s="53">
        <v>2504.0268550000001</v>
      </c>
      <c r="N87" s="53">
        <v>2008.4171140000001</v>
      </c>
      <c r="O87" s="53">
        <v>1587.4406739999999</v>
      </c>
      <c r="P87" s="53">
        <v>1227.051025</v>
      </c>
      <c r="Q87" s="53">
        <v>939.01007100000004</v>
      </c>
      <c r="R87" s="53">
        <v>711.21740699999998</v>
      </c>
      <c r="S87" s="53">
        <v>535.38043200000004</v>
      </c>
      <c r="T87" s="53">
        <v>409.21444700000001</v>
      </c>
      <c r="U87" s="53">
        <v>314.018799</v>
      </c>
      <c r="V87" s="53">
        <v>239.97770700000001</v>
      </c>
      <c r="W87" s="53">
        <v>178.544769</v>
      </c>
      <c r="X87" s="53">
        <v>133.18931599999999</v>
      </c>
      <c r="Y87" s="53">
        <v>100.272774</v>
      </c>
      <c r="Z87" s="53">
        <v>74.294929999999994</v>
      </c>
      <c r="AA87" s="53">
        <v>52.209538000000002</v>
      </c>
      <c r="AB87" s="53">
        <v>37.570557000000001</v>
      </c>
      <c r="AC87" s="53">
        <v>25.554749000000001</v>
      </c>
      <c r="AD87" s="53">
        <v>17.008292999999998</v>
      </c>
      <c r="AE87" s="53">
        <v>11.254244</v>
      </c>
      <c r="AF87" s="53">
        <v>6.938707</v>
      </c>
    </row>
    <row r="88" spans="1:32" ht="13.5" x14ac:dyDescent="0.35">
      <c r="A88">
        <v>3</v>
      </c>
      <c r="B88" s="53">
        <v>11.661454000000001</v>
      </c>
      <c r="C88" s="53">
        <v>11089.697265999999</v>
      </c>
      <c r="D88" s="53">
        <v>9743.2958980000003</v>
      </c>
      <c r="E88" s="53">
        <v>8549.1054690000001</v>
      </c>
      <c r="F88" s="53">
        <v>7499.4936520000001</v>
      </c>
      <c r="G88" s="53">
        <v>6543.8666990000002</v>
      </c>
      <c r="H88" s="53">
        <v>5700.232422</v>
      </c>
      <c r="I88" s="53">
        <v>4910.3652339999999</v>
      </c>
      <c r="J88" s="53">
        <v>4191.2441410000001</v>
      </c>
      <c r="K88" s="53">
        <v>3546.0415039999998</v>
      </c>
      <c r="L88" s="53">
        <v>2964.6389159999999</v>
      </c>
      <c r="M88" s="53">
        <v>2423.540039</v>
      </c>
      <c r="N88" s="53">
        <v>1944.8688959999999</v>
      </c>
      <c r="O88" s="53">
        <v>1542.174683</v>
      </c>
      <c r="P88" s="53">
        <v>1197.535034</v>
      </c>
      <c r="Q88" s="53">
        <v>916.52374299999997</v>
      </c>
      <c r="R88" s="53">
        <v>694.76757799999996</v>
      </c>
      <c r="S88" s="53">
        <v>529.60803199999998</v>
      </c>
      <c r="T88" s="53">
        <v>402.00817899999998</v>
      </c>
      <c r="U88" s="53">
        <v>307.76608299999998</v>
      </c>
      <c r="V88" s="53">
        <v>235.81964099999999</v>
      </c>
      <c r="W88" s="53">
        <v>177.50787399999999</v>
      </c>
      <c r="X88" s="53">
        <v>132.65927099999999</v>
      </c>
      <c r="Y88" s="53">
        <v>98.358231000000004</v>
      </c>
      <c r="Z88" s="53">
        <v>69.545356999999996</v>
      </c>
      <c r="AA88" s="53">
        <v>48.878982999999998</v>
      </c>
      <c r="AB88" s="53">
        <v>33.186256</v>
      </c>
      <c r="AC88" s="53">
        <v>23.667717</v>
      </c>
      <c r="AD88" s="53">
        <v>14.835198999999999</v>
      </c>
      <c r="AE88" s="53">
        <v>10.461817</v>
      </c>
      <c r="AF88" s="53">
        <v>6.9459609999999996</v>
      </c>
    </row>
    <row r="89" spans="1:32" ht="13.5" x14ac:dyDescent="0.35">
      <c r="A89">
        <v>4</v>
      </c>
      <c r="B89" s="53">
        <v>11.792820000000001</v>
      </c>
      <c r="C89" s="53">
        <v>11333.930664</v>
      </c>
      <c r="D89" s="53">
        <v>9951.9033199999994</v>
      </c>
      <c r="E89" s="53">
        <v>8742.2685550000006</v>
      </c>
      <c r="F89" s="53">
        <v>7655.1665039999998</v>
      </c>
      <c r="G89" s="53">
        <v>6668.294922</v>
      </c>
      <c r="H89" s="53">
        <v>5781.8232420000004</v>
      </c>
      <c r="I89" s="53">
        <v>4992.2749020000001</v>
      </c>
      <c r="J89" s="53">
        <v>4261.8305659999996</v>
      </c>
      <c r="K89" s="53">
        <v>3582.5187989999999</v>
      </c>
      <c r="L89" s="53">
        <v>2975.7937010000001</v>
      </c>
      <c r="M89" s="53">
        <v>2438.7719729999999</v>
      </c>
      <c r="N89" s="53">
        <v>1951.356812</v>
      </c>
      <c r="O89" s="53">
        <v>1543.990356</v>
      </c>
      <c r="P89" s="53">
        <v>1194.4555660000001</v>
      </c>
      <c r="Q89" s="53">
        <v>907.92535399999997</v>
      </c>
      <c r="R89" s="53">
        <v>692.37042199999996</v>
      </c>
      <c r="S89" s="53">
        <v>527.10040300000003</v>
      </c>
      <c r="T89" s="53">
        <v>404.05941799999999</v>
      </c>
      <c r="U89" s="53">
        <v>306.71203600000001</v>
      </c>
      <c r="V89" s="53">
        <v>234.29510500000001</v>
      </c>
      <c r="W89" s="53">
        <v>176.29371599999999</v>
      </c>
      <c r="X89" s="53">
        <v>130.75752299999999</v>
      </c>
      <c r="Y89" s="53">
        <v>95.651420999999999</v>
      </c>
      <c r="Z89" s="53">
        <v>70.297011999999995</v>
      </c>
      <c r="AA89" s="53">
        <v>51.471995999999997</v>
      </c>
      <c r="AB89" s="53">
        <v>35.190902999999999</v>
      </c>
      <c r="AC89" s="53">
        <v>23.912855</v>
      </c>
      <c r="AD89" s="53">
        <v>16.196297000000001</v>
      </c>
      <c r="AE89" s="53">
        <v>9.9212910000000001</v>
      </c>
      <c r="AF89" s="53">
        <v>6.5293970000000003</v>
      </c>
    </row>
    <row r="90" spans="1:32" ht="13.5" x14ac:dyDescent="0.35">
      <c r="A90">
        <v>5</v>
      </c>
      <c r="B90" s="53">
        <v>11.778202</v>
      </c>
      <c r="C90" s="53">
        <v>11386.203125</v>
      </c>
      <c r="D90" s="53">
        <v>10031.497069999999</v>
      </c>
      <c r="E90" s="53">
        <v>8827.1533199999994</v>
      </c>
      <c r="F90" s="53">
        <v>7737.1743159999996</v>
      </c>
      <c r="G90" s="53">
        <v>6748.2285160000001</v>
      </c>
      <c r="H90" s="53">
        <v>5868.4677730000003</v>
      </c>
      <c r="I90" s="53">
        <v>5059.9404299999997</v>
      </c>
      <c r="J90" s="53">
        <v>4317.4672849999997</v>
      </c>
      <c r="K90" s="53">
        <v>3637.9916990000002</v>
      </c>
      <c r="L90" s="53">
        <v>3031.2775879999999</v>
      </c>
      <c r="M90" s="53">
        <v>2472.1938479999999</v>
      </c>
      <c r="N90" s="53">
        <v>1985.1926269999999</v>
      </c>
      <c r="O90" s="53">
        <v>1557.1137699999999</v>
      </c>
      <c r="P90" s="53">
        <v>1213.3431399999999</v>
      </c>
      <c r="Q90" s="53">
        <v>927.30621299999996</v>
      </c>
      <c r="R90" s="53">
        <v>704.86138900000003</v>
      </c>
      <c r="S90" s="53">
        <v>536.75427200000001</v>
      </c>
      <c r="T90" s="53">
        <v>406.85327100000001</v>
      </c>
      <c r="U90" s="53">
        <v>309.979401</v>
      </c>
      <c r="V90" s="53">
        <v>234.67079200000001</v>
      </c>
      <c r="W90" s="53">
        <v>176.51251199999999</v>
      </c>
      <c r="X90" s="53">
        <v>131.853745</v>
      </c>
      <c r="Y90" s="53">
        <v>96.704063000000005</v>
      </c>
      <c r="Z90" s="53">
        <v>71.233283999999998</v>
      </c>
      <c r="AA90" s="53">
        <v>50.347244000000003</v>
      </c>
      <c r="AB90" s="53">
        <v>34.555359000000003</v>
      </c>
      <c r="AC90" s="53">
        <v>23.687826000000001</v>
      </c>
      <c r="AD90" s="53">
        <v>13.159903999999999</v>
      </c>
      <c r="AE90" s="53">
        <v>8.1506500000000006</v>
      </c>
      <c r="AF90" s="53">
        <v>5.2639610000000001</v>
      </c>
    </row>
    <row r="91" spans="1:32" ht="13.5" x14ac:dyDescent="0.35">
      <c r="A91">
        <v>1</v>
      </c>
      <c r="B91" s="53">
        <v>10.765807000000001</v>
      </c>
      <c r="C91" s="53">
        <v>12207.909180000001</v>
      </c>
      <c r="D91" s="53">
        <v>10687.726562</v>
      </c>
      <c r="E91" s="53">
        <v>9371.4296880000002</v>
      </c>
      <c r="F91" s="53">
        <v>8141.7954099999997</v>
      </c>
      <c r="G91" s="53">
        <v>7059.5727539999998</v>
      </c>
      <c r="H91" s="53">
        <v>6098.1958009999998</v>
      </c>
      <c r="I91" s="53">
        <v>5234.9072269999997</v>
      </c>
      <c r="J91" s="53">
        <v>4462.8330079999996</v>
      </c>
      <c r="K91" s="53">
        <v>3753.8291020000001</v>
      </c>
      <c r="L91" s="53">
        <v>3102.0432129999999</v>
      </c>
      <c r="M91" s="53">
        <v>2520.4797359999998</v>
      </c>
      <c r="N91" s="53">
        <v>2012.7613530000001</v>
      </c>
      <c r="O91" s="53">
        <v>1571.0852050000001</v>
      </c>
      <c r="P91" s="53">
        <v>1206.0405270000001</v>
      </c>
      <c r="Q91" s="53">
        <v>918.74206500000003</v>
      </c>
      <c r="R91" s="53">
        <v>692.65594499999997</v>
      </c>
      <c r="S91" s="53">
        <v>525.18127400000003</v>
      </c>
      <c r="T91" s="53">
        <v>394.86123700000002</v>
      </c>
      <c r="U91" s="53">
        <v>296.772919</v>
      </c>
      <c r="V91" s="53">
        <v>224.04264800000001</v>
      </c>
      <c r="W91" s="53">
        <v>169.51817299999999</v>
      </c>
      <c r="X91" s="53">
        <v>125.489891</v>
      </c>
      <c r="Y91" s="53">
        <v>91.028937999999997</v>
      </c>
      <c r="Z91" s="53">
        <v>65.763762999999997</v>
      </c>
      <c r="AA91" s="53">
        <v>48.672615</v>
      </c>
      <c r="AB91" s="53">
        <v>34.832500000000003</v>
      </c>
      <c r="AC91" s="53">
        <v>24.429195</v>
      </c>
      <c r="AD91" s="53">
        <v>16.905374999999999</v>
      </c>
      <c r="AE91" s="53">
        <v>11.1464</v>
      </c>
      <c r="AF91" s="53">
        <v>7.2451610000000004</v>
      </c>
    </row>
    <row r="92" spans="1:32" ht="13.5" x14ac:dyDescent="0.35">
      <c r="A92">
        <v>2</v>
      </c>
      <c r="B92" s="53">
        <v>11.557717999999999</v>
      </c>
      <c r="C92" s="53">
        <v>12249.043944999999</v>
      </c>
      <c r="D92" s="53">
        <v>10704.015625</v>
      </c>
      <c r="E92" s="53">
        <v>9376.4179690000001</v>
      </c>
      <c r="F92" s="53">
        <v>8174.4506840000004</v>
      </c>
      <c r="G92" s="53">
        <v>7111.6977539999998</v>
      </c>
      <c r="H92" s="53">
        <v>6153.03125</v>
      </c>
      <c r="I92" s="53">
        <v>5294.8168949999999</v>
      </c>
      <c r="J92" s="53">
        <v>4495.2646480000003</v>
      </c>
      <c r="K92" s="53">
        <v>3773.5822750000002</v>
      </c>
      <c r="L92" s="53">
        <v>3118.7817380000001</v>
      </c>
      <c r="M92" s="53">
        <v>2536.0541990000002</v>
      </c>
      <c r="N92" s="53">
        <v>2013.8057859999999</v>
      </c>
      <c r="O92" s="53">
        <v>1571.8500979999999</v>
      </c>
      <c r="P92" s="53">
        <v>1210.3599850000001</v>
      </c>
      <c r="Q92" s="53">
        <v>915.05950900000005</v>
      </c>
      <c r="R92" s="53">
        <v>692.26464799999997</v>
      </c>
      <c r="S92" s="53">
        <v>523.20013400000005</v>
      </c>
      <c r="T92" s="53">
        <v>390.99414100000001</v>
      </c>
      <c r="U92" s="53">
        <v>296.77139299999999</v>
      </c>
      <c r="V92" s="53">
        <v>223.31397999999999</v>
      </c>
      <c r="W92" s="53">
        <v>170.189301</v>
      </c>
      <c r="X92" s="53">
        <v>127.620346</v>
      </c>
      <c r="Y92" s="53">
        <v>93.876662999999994</v>
      </c>
      <c r="Z92" s="53">
        <v>66.881714000000002</v>
      </c>
      <c r="AA92" s="53">
        <v>46.981589999999997</v>
      </c>
      <c r="AB92" s="53">
        <v>33.484119</v>
      </c>
      <c r="AC92" s="53">
        <v>22.668835000000001</v>
      </c>
      <c r="AD92" s="53">
        <v>15.400964</v>
      </c>
      <c r="AE92" s="53">
        <v>9.9500609999999998</v>
      </c>
      <c r="AF92" s="53">
        <v>6.4026480000000001</v>
      </c>
    </row>
    <row r="93" spans="1:32" ht="13.5" x14ac:dyDescent="0.35">
      <c r="A93">
        <v>3</v>
      </c>
      <c r="B93" s="53">
        <v>11.513206</v>
      </c>
      <c r="C93" s="53">
        <v>12479.756836</v>
      </c>
      <c r="D93" s="53">
        <v>10950.381836</v>
      </c>
      <c r="E93" s="53">
        <v>9595.9375</v>
      </c>
      <c r="F93" s="53">
        <v>8376.1210940000001</v>
      </c>
      <c r="G93" s="53">
        <v>7271.3891599999997</v>
      </c>
      <c r="H93" s="53">
        <v>6302.328125</v>
      </c>
      <c r="I93" s="53">
        <v>5401.970703</v>
      </c>
      <c r="J93" s="53">
        <v>4585.6040039999998</v>
      </c>
      <c r="K93" s="53">
        <v>3844.0207519999999</v>
      </c>
      <c r="L93" s="53">
        <v>3167.0588379999999</v>
      </c>
      <c r="M93" s="53">
        <v>2568.876221</v>
      </c>
      <c r="N93" s="53">
        <v>2055.1184079999998</v>
      </c>
      <c r="O93" s="53">
        <v>1602.594482</v>
      </c>
      <c r="P93" s="53">
        <v>1229.457764</v>
      </c>
      <c r="Q93" s="53">
        <v>928.06475799999998</v>
      </c>
      <c r="R93" s="53">
        <v>700.76055899999994</v>
      </c>
      <c r="S93" s="53">
        <v>529.56579599999998</v>
      </c>
      <c r="T93" s="53">
        <v>399.88864100000001</v>
      </c>
      <c r="U93" s="53">
        <v>301.74047899999999</v>
      </c>
      <c r="V93" s="53">
        <v>227.21734599999999</v>
      </c>
      <c r="W93" s="53">
        <v>170.499863</v>
      </c>
      <c r="X93" s="53">
        <v>124.552628</v>
      </c>
      <c r="Y93" s="53">
        <v>91.112762000000004</v>
      </c>
      <c r="Z93" s="53">
        <v>67.661438000000004</v>
      </c>
      <c r="AA93" s="53">
        <v>47.250092000000002</v>
      </c>
      <c r="AB93" s="53">
        <v>33.439861000000001</v>
      </c>
      <c r="AC93" s="53">
        <v>23.885615999999999</v>
      </c>
      <c r="AD93" s="53">
        <v>16.763359000000001</v>
      </c>
      <c r="AE93" s="53">
        <v>10.683384</v>
      </c>
      <c r="AF93" s="53">
        <v>7.035399</v>
      </c>
    </row>
    <row r="94" spans="1:32" ht="13.5" x14ac:dyDescent="0.35">
      <c r="A94">
        <v>4</v>
      </c>
      <c r="B94" s="53">
        <v>11.627454999999999</v>
      </c>
      <c r="C94" s="53">
        <v>12240.597656</v>
      </c>
      <c r="D94" s="53">
        <v>10724.014648</v>
      </c>
      <c r="E94" s="53">
        <v>9400.6816409999992</v>
      </c>
      <c r="F94" s="53">
        <v>8228.7138670000004</v>
      </c>
      <c r="G94" s="53">
        <v>7149.7158200000003</v>
      </c>
      <c r="H94" s="53">
        <v>6189.0585940000001</v>
      </c>
      <c r="I94" s="53">
        <v>5302.0200199999999</v>
      </c>
      <c r="J94" s="53">
        <v>4500.8129879999997</v>
      </c>
      <c r="K94" s="53">
        <v>3749.6599120000001</v>
      </c>
      <c r="L94" s="53">
        <v>3100.2485350000002</v>
      </c>
      <c r="M94" s="53">
        <v>2521.2741700000001</v>
      </c>
      <c r="N94" s="53">
        <v>2017.208496</v>
      </c>
      <c r="O94" s="53">
        <v>1572.0551760000001</v>
      </c>
      <c r="P94" s="53">
        <v>1207.229004</v>
      </c>
      <c r="Q94" s="53">
        <v>907.59332300000005</v>
      </c>
      <c r="R94" s="53">
        <v>683.38256799999999</v>
      </c>
      <c r="S94" s="53">
        <v>512.40789800000005</v>
      </c>
      <c r="T94" s="53">
        <v>383.23089599999997</v>
      </c>
      <c r="U94" s="53">
        <v>290.34728999999999</v>
      </c>
      <c r="V94" s="53">
        <v>219.99655200000001</v>
      </c>
      <c r="W94" s="53">
        <v>166.15846300000001</v>
      </c>
      <c r="X94" s="53">
        <v>124.102829</v>
      </c>
      <c r="Y94" s="53">
        <v>90.733528000000007</v>
      </c>
      <c r="Z94" s="53">
        <v>68.114647000000005</v>
      </c>
      <c r="AA94" s="53">
        <v>47.645851</v>
      </c>
      <c r="AB94" s="53">
        <v>34.401336999999998</v>
      </c>
      <c r="AC94" s="53">
        <v>23.822925999999999</v>
      </c>
      <c r="AD94" s="53">
        <v>17.716688000000001</v>
      </c>
      <c r="AE94" s="53">
        <v>10.922423999999999</v>
      </c>
      <c r="AF94" s="53">
        <v>6.3642469999999998</v>
      </c>
    </row>
    <row r="95" spans="1:32" ht="13.5" x14ac:dyDescent="0.35">
      <c r="A95">
        <v>5</v>
      </c>
      <c r="B95" s="53">
        <v>11.623797</v>
      </c>
      <c r="C95" s="53">
        <v>12626.338867</v>
      </c>
      <c r="D95" s="53">
        <v>11074.349609000001</v>
      </c>
      <c r="E95" s="53">
        <v>9690.6367190000001</v>
      </c>
      <c r="F95" s="53">
        <v>8446.6376949999994</v>
      </c>
      <c r="G95" s="53">
        <v>7324.7148440000001</v>
      </c>
      <c r="H95" s="53">
        <v>6343.2797849999997</v>
      </c>
      <c r="I95" s="53">
        <v>5444.9501950000003</v>
      </c>
      <c r="J95" s="53">
        <v>4608.21875</v>
      </c>
      <c r="K95" s="53">
        <v>3858.3776859999998</v>
      </c>
      <c r="L95" s="53">
        <v>3190.0073240000002</v>
      </c>
      <c r="M95" s="53">
        <v>2587.1064449999999</v>
      </c>
      <c r="N95" s="53">
        <v>2061.3745119999999</v>
      </c>
      <c r="O95" s="53">
        <v>1605.2413329999999</v>
      </c>
      <c r="P95" s="53">
        <v>1222.234009</v>
      </c>
      <c r="Q95" s="53">
        <v>929.64453100000003</v>
      </c>
      <c r="R95" s="53">
        <v>697.87866199999996</v>
      </c>
      <c r="S95" s="53">
        <v>526.33404499999995</v>
      </c>
      <c r="T95" s="53">
        <v>389.63171399999999</v>
      </c>
      <c r="U95" s="53">
        <v>296.202698</v>
      </c>
      <c r="V95" s="53">
        <v>223.42095900000001</v>
      </c>
      <c r="W95" s="53">
        <v>168.533569</v>
      </c>
      <c r="X95" s="53">
        <v>127.75515</v>
      </c>
      <c r="Y95" s="53">
        <v>96.095962999999998</v>
      </c>
      <c r="Z95" s="53">
        <v>68.996384000000006</v>
      </c>
      <c r="AA95" s="53">
        <v>48.865268999999998</v>
      </c>
      <c r="AB95" s="53">
        <v>35.100406999999997</v>
      </c>
      <c r="AC95" s="53">
        <v>23.142178999999999</v>
      </c>
      <c r="AD95" s="53">
        <v>16.517838000000001</v>
      </c>
      <c r="AE95" s="53">
        <v>11.097922000000001</v>
      </c>
      <c r="AF95" s="53">
        <v>7.3986150000000004</v>
      </c>
    </row>
    <row r="96" spans="1:32" ht="13.5" x14ac:dyDescent="0.35">
      <c r="A96">
        <v>1</v>
      </c>
      <c r="B96" s="53">
        <v>10.700115</v>
      </c>
      <c r="C96" s="53">
        <v>12891.916992</v>
      </c>
      <c r="D96" s="53">
        <v>11285.486328000001</v>
      </c>
      <c r="E96" s="53">
        <v>9851.5761719999991</v>
      </c>
      <c r="F96" s="53">
        <v>8584.2998050000006</v>
      </c>
      <c r="G96" s="53">
        <v>7460.6674800000001</v>
      </c>
      <c r="H96" s="53">
        <v>6462.080078</v>
      </c>
      <c r="I96" s="53">
        <v>5549.3793949999999</v>
      </c>
      <c r="J96" s="53">
        <v>4722.0986329999996</v>
      </c>
      <c r="K96" s="53">
        <v>3979.6767580000001</v>
      </c>
      <c r="L96" s="53">
        <v>3302.7680660000001</v>
      </c>
      <c r="M96" s="53">
        <v>2695.1110840000001</v>
      </c>
      <c r="N96" s="53">
        <v>2150.7246089999999</v>
      </c>
      <c r="O96" s="53">
        <v>1696.243408</v>
      </c>
      <c r="P96" s="53">
        <v>1305.593384</v>
      </c>
      <c r="Q96" s="53">
        <v>1001.297607</v>
      </c>
      <c r="R96" s="53">
        <v>759.52453600000001</v>
      </c>
      <c r="S96" s="53">
        <v>576.44238299999995</v>
      </c>
      <c r="T96" s="53">
        <v>438.49993899999998</v>
      </c>
      <c r="U96" s="53">
        <v>333.45434599999999</v>
      </c>
      <c r="V96" s="53">
        <v>253.64213599999999</v>
      </c>
      <c r="W96" s="53">
        <v>184.01670799999999</v>
      </c>
      <c r="X96" s="53">
        <v>138.97045900000001</v>
      </c>
      <c r="Y96" s="53">
        <v>104.578316</v>
      </c>
      <c r="Z96" s="53">
        <v>77.195426999999995</v>
      </c>
      <c r="AA96" s="53">
        <v>55.233051000000003</v>
      </c>
      <c r="AB96" s="53">
        <v>40.093024999999997</v>
      </c>
      <c r="AC96" s="53">
        <v>27.009053999999999</v>
      </c>
      <c r="AD96" s="53">
        <v>18.130645999999999</v>
      </c>
      <c r="AE96" s="53">
        <v>11.682117</v>
      </c>
      <c r="AF96" s="53">
        <v>7.756926</v>
      </c>
    </row>
    <row r="97" spans="1:32" ht="13.5" x14ac:dyDescent="0.35">
      <c r="A97">
        <v>2</v>
      </c>
      <c r="B97" s="53">
        <v>11.625601</v>
      </c>
      <c r="C97" s="53">
        <v>12675.043944999999</v>
      </c>
      <c r="D97" s="53">
        <v>11080.803711</v>
      </c>
      <c r="E97" s="53">
        <v>9710.5517579999996</v>
      </c>
      <c r="F97" s="53">
        <v>8491.0878909999992</v>
      </c>
      <c r="G97" s="53">
        <v>7378.1992190000001</v>
      </c>
      <c r="H97" s="53">
        <v>6390.0351559999999</v>
      </c>
      <c r="I97" s="53">
        <v>5497.7802730000003</v>
      </c>
      <c r="J97" s="53">
        <v>4676.0595700000003</v>
      </c>
      <c r="K97" s="53">
        <v>3930.4636230000001</v>
      </c>
      <c r="L97" s="53">
        <v>3259.186279</v>
      </c>
      <c r="M97" s="53">
        <v>2647.3471679999998</v>
      </c>
      <c r="N97" s="53">
        <v>2115.8476559999999</v>
      </c>
      <c r="O97" s="53">
        <v>1658.0648189999999</v>
      </c>
      <c r="P97" s="53">
        <v>1272.708374</v>
      </c>
      <c r="Q97" s="53">
        <v>964.07922399999995</v>
      </c>
      <c r="R97" s="53">
        <v>730.11279300000001</v>
      </c>
      <c r="S97" s="53">
        <v>553.17571999999996</v>
      </c>
      <c r="T97" s="53">
        <v>422.51580799999999</v>
      </c>
      <c r="U97" s="53">
        <v>318.349152</v>
      </c>
      <c r="V97" s="53">
        <v>239.81556699999999</v>
      </c>
      <c r="W97" s="53">
        <v>182.528198</v>
      </c>
      <c r="X97" s="53">
        <v>136.165009</v>
      </c>
      <c r="Y97" s="53">
        <v>97.715378000000001</v>
      </c>
      <c r="Z97" s="53">
        <v>72.770432</v>
      </c>
      <c r="AA97" s="53">
        <v>53.158543000000002</v>
      </c>
      <c r="AB97" s="53">
        <v>38.277591999999999</v>
      </c>
      <c r="AC97" s="53">
        <v>27.353424</v>
      </c>
      <c r="AD97" s="53">
        <v>19.181805000000001</v>
      </c>
      <c r="AE97" s="53">
        <v>12.386456000000001</v>
      </c>
      <c r="AF97" s="53">
        <v>9.0317919999999994</v>
      </c>
    </row>
    <row r="98" spans="1:32" ht="13.5" x14ac:dyDescent="0.35">
      <c r="A98">
        <v>3</v>
      </c>
      <c r="B98" s="53">
        <v>11.478261</v>
      </c>
      <c r="C98" s="53">
        <v>12273.113281</v>
      </c>
      <c r="D98" s="53">
        <v>10777.852539</v>
      </c>
      <c r="E98" s="53">
        <v>9460.4921880000002</v>
      </c>
      <c r="F98" s="53">
        <v>8266.234375</v>
      </c>
      <c r="G98" s="53">
        <v>7200.9165039999998</v>
      </c>
      <c r="H98" s="53">
        <v>6234.3066410000001</v>
      </c>
      <c r="I98" s="53">
        <v>5358.9125979999999</v>
      </c>
      <c r="J98" s="53">
        <v>4535.9658200000003</v>
      </c>
      <c r="K98" s="53">
        <v>3812.0756839999999</v>
      </c>
      <c r="L98" s="53">
        <v>3153.0036620000001</v>
      </c>
      <c r="M98" s="53">
        <v>2566.7651369999999</v>
      </c>
      <c r="N98" s="53">
        <v>2046.4772949999999</v>
      </c>
      <c r="O98" s="53">
        <v>1602.159058</v>
      </c>
      <c r="P98" s="53">
        <v>1229.193115</v>
      </c>
      <c r="Q98" s="53">
        <v>933.939392</v>
      </c>
      <c r="R98" s="53">
        <v>702.63256799999999</v>
      </c>
      <c r="S98" s="53">
        <v>529.78405799999996</v>
      </c>
      <c r="T98" s="53">
        <v>401.36743200000001</v>
      </c>
      <c r="U98" s="53">
        <v>306.405304</v>
      </c>
      <c r="V98" s="53">
        <v>227.996216</v>
      </c>
      <c r="W98" s="53">
        <v>174.590912</v>
      </c>
      <c r="X98" s="53">
        <v>132.16287199999999</v>
      </c>
      <c r="Y98" s="53">
        <v>97.924239999999998</v>
      </c>
      <c r="Z98" s="53">
        <v>70.655304000000001</v>
      </c>
      <c r="AA98" s="53">
        <v>50.094695999999999</v>
      </c>
      <c r="AB98" s="53">
        <v>36.155304000000001</v>
      </c>
      <c r="AC98" s="53">
        <v>24.829546000000001</v>
      </c>
      <c r="AD98" s="53">
        <v>16.378788</v>
      </c>
      <c r="AE98" s="53">
        <v>11.064394</v>
      </c>
      <c r="AF98" s="53">
        <v>7.3181820000000002</v>
      </c>
    </row>
    <row r="99" spans="1:32" ht="13.5" x14ac:dyDescent="0.35">
      <c r="A99">
        <v>4</v>
      </c>
      <c r="B99" s="53">
        <v>11.572549</v>
      </c>
      <c r="C99" s="53">
        <v>12978.558594</v>
      </c>
      <c r="D99" s="53">
        <v>11384.008789</v>
      </c>
      <c r="E99" s="53">
        <v>9964.3564449999994</v>
      </c>
      <c r="F99" s="53">
        <v>8695.1455079999996</v>
      </c>
      <c r="G99" s="53">
        <v>7554.861328</v>
      </c>
      <c r="H99" s="53">
        <v>6534.169922</v>
      </c>
      <c r="I99" s="53">
        <v>5609.8271480000003</v>
      </c>
      <c r="J99" s="53">
        <v>4764.1191410000001</v>
      </c>
      <c r="K99" s="53">
        <v>3993.329346</v>
      </c>
      <c r="L99" s="53">
        <v>3314.9135740000002</v>
      </c>
      <c r="M99" s="53">
        <v>2700.0102539999998</v>
      </c>
      <c r="N99" s="53">
        <v>2161.9265140000002</v>
      </c>
      <c r="O99" s="53">
        <v>1695.391357</v>
      </c>
      <c r="P99" s="53">
        <v>1294.874634</v>
      </c>
      <c r="Q99" s="53">
        <v>981.97900400000003</v>
      </c>
      <c r="R99" s="53">
        <v>741.84173599999997</v>
      </c>
      <c r="S99" s="53">
        <v>555.53881799999999</v>
      </c>
      <c r="T99" s="53">
        <v>420.82345600000002</v>
      </c>
      <c r="U99" s="53">
        <v>319.46289100000001</v>
      </c>
      <c r="V99" s="53">
        <v>247.39579800000001</v>
      </c>
      <c r="W99" s="53">
        <v>185.69807399999999</v>
      </c>
      <c r="X99" s="53">
        <v>138.69027700000001</v>
      </c>
      <c r="Y99" s="53">
        <v>104.384956</v>
      </c>
      <c r="Z99" s="53">
        <v>75.523551999999995</v>
      </c>
      <c r="AA99" s="53">
        <v>54.266350000000003</v>
      </c>
      <c r="AB99" s="53">
        <v>38.193832</v>
      </c>
      <c r="AC99" s="53">
        <v>25.404947</v>
      </c>
      <c r="AD99" s="53">
        <v>17.109455000000001</v>
      </c>
      <c r="AE99" s="53">
        <v>11.492715</v>
      </c>
      <c r="AF99" s="53">
        <v>8.1226699999999994</v>
      </c>
    </row>
    <row r="100" spans="1:32" ht="13.5" x14ac:dyDescent="0.35">
      <c r="A100">
        <v>0</v>
      </c>
      <c r="B100" s="53">
        <v>11.671184</v>
      </c>
      <c r="C100" s="53">
        <v>12555.024414</v>
      </c>
      <c r="D100" s="53">
        <v>11033.842773</v>
      </c>
      <c r="E100" s="53">
        <v>9702.8720699999994</v>
      </c>
      <c r="F100" s="53">
        <v>8496.3105469999991</v>
      </c>
      <c r="G100" s="53">
        <v>7411.4165039999998</v>
      </c>
      <c r="H100" s="53">
        <v>6428.2255859999996</v>
      </c>
      <c r="I100" s="53">
        <v>5524.0327150000003</v>
      </c>
      <c r="J100" s="53">
        <v>4694.2109380000002</v>
      </c>
      <c r="K100" s="53">
        <v>3929.5927729999999</v>
      </c>
      <c r="L100" s="53">
        <v>3245.2578119999998</v>
      </c>
      <c r="M100" s="53">
        <v>2631.1813959999999</v>
      </c>
      <c r="N100" s="53">
        <v>2110.0688479999999</v>
      </c>
      <c r="O100" s="53">
        <v>1646.4482419999999</v>
      </c>
      <c r="P100" s="53">
        <v>1275.2777100000001</v>
      </c>
      <c r="Q100" s="53">
        <v>972.30926499999998</v>
      </c>
      <c r="R100" s="53">
        <v>727.86108400000001</v>
      </c>
      <c r="S100" s="53">
        <v>549.98706100000004</v>
      </c>
      <c r="T100" s="53">
        <v>416.41021699999999</v>
      </c>
      <c r="U100" s="53">
        <v>315.22082499999999</v>
      </c>
      <c r="V100" s="53">
        <v>238.79325900000001</v>
      </c>
      <c r="W100" s="53">
        <v>181.55827300000001</v>
      </c>
      <c r="X100" s="53">
        <v>135.718887</v>
      </c>
      <c r="Y100" s="53">
        <v>98.876007000000001</v>
      </c>
      <c r="Z100" s="53">
        <v>70.515556000000004</v>
      </c>
      <c r="AA100" s="53">
        <v>50.380493000000001</v>
      </c>
      <c r="AB100" s="53">
        <v>35.643344999999997</v>
      </c>
      <c r="AC100" s="53">
        <v>22.705496</v>
      </c>
      <c r="AD100" s="53">
        <v>15.593963</v>
      </c>
      <c r="AE100" s="53">
        <v>9.6819659999999992</v>
      </c>
      <c r="AF100" s="53">
        <v>6.5117649999999996</v>
      </c>
    </row>
    <row r="101" spans="1:32" x14ac:dyDescent="0.35">
      <c r="B101">
        <v>9.4074550000000006</v>
      </c>
      <c r="C101">
        <v>11308.371094</v>
      </c>
      <c r="D101">
        <v>9871.9570309999999</v>
      </c>
      <c r="E101">
        <v>8621.2470699999994</v>
      </c>
      <c r="F101">
        <v>7490.6547849999997</v>
      </c>
      <c r="G101">
        <v>6521.4233400000003</v>
      </c>
      <c r="H101">
        <v>5642.8647460000002</v>
      </c>
      <c r="I101">
        <v>4847.5380859999996</v>
      </c>
      <c r="J101">
        <v>4126.6206050000001</v>
      </c>
      <c r="K101">
        <v>3467.3562010000001</v>
      </c>
      <c r="L101">
        <v>2871.2333979999999</v>
      </c>
      <c r="M101">
        <v>2343.5668949999999</v>
      </c>
      <c r="N101">
        <v>1886.1635739999999</v>
      </c>
      <c r="O101">
        <v>1488.8192140000001</v>
      </c>
      <c r="P101">
        <v>1156.5295410000001</v>
      </c>
      <c r="Q101">
        <v>885.68054199999995</v>
      </c>
      <c r="R101">
        <v>676.272156</v>
      </c>
      <c r="S101">
        <v>513.95404099999996</v>
      </c>
      <c r="T101">
        <v>389.90353399999998</v>
      </c>
      <c r="U101">
        <v>303.37640399999998</v>
      </c>
      <c r="V101">
        <v>234.17596399999999</v>
      </c>
      <c r="W101">
        <v>181.87702899999999</v>
      </c>
      <c r="X101">
        <v>141.27093500000001</v>
      </c>
      <c r="Y101">
        <v>104.491592</v>
      </c>
      <c r="Z101">
        <v>75.897246999999993</v>
      </c>
      <c r="AA101">
        <v>56.869788999999997</v>
      </c>
      <c r="AB101">
        <v>39.436805999999997</v>
      </c>
      <c r="AC101">
        <v>26.680965</v>
      </c>
      <c r="AD101">
        <v>17.964476000000001</v>
      </c>
      <c r="AE101">
        <v>12.118048999999999</v>
      </c>
      <c r="AF101">
        <v>7.6535039999999999</v>
      </c>
    </row>
    <row r="102" spans="1:32" x14ac:dyDescent="0.35">
      <c r="B102">
        <v>10.178953999999999</v>
      </c>
      <c r="C102">
        <v>11747.572265999999</v>
      </c>
      <c r="D102">
        <v>10248.007812</v>
      </c>
      <c r="E102">
        <v>8934.8076170000004</v>
      </c>
      <c r="F102">
        <v>7784.4931640000004</v>
      </c>
      <c r="G102">
        <v>6752.0688479999999</v>
      </c>
      <c r="H102">
        <v>5853.1552730000003</v>
      </c>
      <c r="I102">
        <v>5023.9936520000001</v>
      </c>
      <c r="J102">
        <v>4259.4750979999999</v>
      </c>
      <c r="K102">
        <v>3590.938721</v>
      </c>
      <c r="L102">
        <v>2975.158203</v>
      </c>
      <c r="M102">
        <v>2421.6633299999999</v>
      </c>
      <c r="N102">
        <v>1927.7030030000001</v>
      </c>
      <c r="O102">
        <v>1504.7714840000001</v>
      </c>
      <c r="P102">
        <v>1159.0582280000001</v>
      </c>
      <c r="Q102">
        <v>897.34167500000001</v>
      </c>
      <c r="R102">
        <v>681.209473</v>
      </c>
      <c r="S102">
        <v>521.46813999999995</v>
      </c>
      <c r="T102">
        <v>400.82702599999999</v>
      </c>
      <c r="U102">
        <v>315.55304000000001</v>
      </c>
      <c r="V102">
        <v>242.166336</v>
      </c>
      <c r="W102">
        <v>184.89129600000001</v>
      </c>
      <c r="X102">
        <v>141.27188100000001</v>
      </c>
      <c r="Y102">
        <v>106.199516</v>
      </c>
      <c r="Z102">
        <v>79.772437999999994</v>
      </c>
      <c r="AA102">
        <v>59.043396000000001</v>
      </c>
      <c r="AB102">
        <v>45.093040000000002</v>
      </c>
      <c r="AC102">
        <v>32.223351000000001</v>
      </c>
      <c r="AD102">
        <v>23.578060000000001</v>
      </c>
      <c r="AE102">
        <v>16.209917000000001</v>
      </c>
      <c r="AF102">
        <v>12.083755999999999</v>
      </c>
    </row>
    <row r="103" spans="1:32" x14ac:dyDescent="0.35">
      <c r="B103">
        <v>10.128242999999999</v>
      </c>
      <c r="C103">
        <v>11756.333008</v>
      </c>
      <c r="D103">
        <v>10229.118164</v>
      </c>
      <c r="E103">
        <v>8912.1083980000003</v>
      </c>
      <c r="F103">
        <v>7751.689453</v>
      </c>
      <c r="G103">
        <v>6729.0048829999996</v>
      </c>
      <c r="H103">
        <v>5831.0209960000002</v>
      </c>
      <c r="I103">
        <v>5019.5278319999998</v>
      </c>
      <c r="J103">
        <v>4266.2875979999999</v>
      </c>
      <c r="K103">
        <v>3599.8344729999999</v>
      </c>
      <c r="L103">
        <v>2987.586182</v>
      </c>
      <c r="M103">
        <v>2430.530029</v>
      </c>
      <c r="N103">
        <v>1929.1597899999999</v>
      </c>
      <c r="O103">
        <v>1502.8272710000001</v>
      </c>
      <c r="P103">
        <v>1158.246216</v>
      </c>
      <c r="Q103">
        <v>884.45739700000001</v>
      </c>
      <c r="R103">
        <v>674.25317399999994</v>
      </c>
      <c r="S103">
        <v>507.88668799999999</v>
      </c>
      <c r="T103">
        <v>386.24664300000001</v>
      </c>
      <c r="U103">
        <v>297.87988300000001</v>
      </c>
      <c r="V103">
        <v>228.47001599999999</v>
      </c>
      <c r="W103">
        <v>170.315811</v>
      </c>
      <c r="X103">
        <v>128.057739</v>
      </c>
      <c r="Y103">
        <v>95.080650000000006</v>
      </c>
      <c r="Z103">
        <v>71.68074</v>
      </c>
      <c r="AA103">
        <v>53.809921000000003</v>
      </c>
      <c r="AB103">
        <v>40.678325999999998</v>
      </c>
      <c r="AC103">
        <v>29.126472</v>
      </c>
      <c r="AD103">
        <v>20.042963</v>
      </c>
      <c r="AE103">
        <v>14.908804</v>
      </c>
      <c r="AF103">
        <v>9.9721150000000005</v>
      </c>
    </row>
    <row r="104" spans="1:32" x14ac:dyDescent="0.35">
      <c r="B104">
        <v>10.183923999999999</v>
      </c>
      <c r="C104">
        <v>11884.711914</v>
      </c>
      <c r="D104">
        <v>10345.128906</v>
      </c>
      <c r="E104">
        <v>9038.9521480000003</v>
      </c>
      <c r="F104">
        <v>7887.5297849999997</v>
      </c>
      <c r="G104">
        <v>6849.3247069999998</v>
      </c>
      <c r="H104">
        <v>5943.6816410000001</v>
      </c>
      <c r="I104">
        <v>5111.7822269999997</v>
      </c>
      <c r="J104">
        <v>4358.732422</v>
      </c>
      <c r="K104">
        <v>3659.1003420000002</v>
      </c>
      <c r="L104">
        <v>3031.3464359999998</v>
      </c>
      <c r="M104">
        <v>2468.3020019999999</v>
      </c>
      <c r="N104">
        <v>1973.2080080000001</v>
      </c>
      <c r="O104">
        <v>1538.20874</v>
      </c>
      <c r="P104">
        <v>1187.6561280000001</v>
      </c>
      <c r="Q104">
        <v>900.83154300000001</v>
      </c>
      <c r="R104">
        <v>681.85900900000001</v>
      </c>
      <c r="S104">
        <v>515.518372</v>
      </c>
      <c r="T104">
        <v>392.97232100000002</v>
      </c>
      <c r="U104">
        <v>296.93859900000001</v>
      </c>
      <c r="V104">
        <v>232.13056900000001</v>
      </c>
      <c r="W104">
        <v>179.400406</v>
      </c>
      <c r="X104">
        <v>135.114914</v>
      </c>
      <c r="Y104">
        <v>102.121742</v>
      </c>
      <c r="Z104">
        <v>76.002144000000001</v>
      </c>
      <c r="AA104">
        <v>53.515720000000002</v>
      </c>
      <c r="AB104">
        <v>39.179397999999999</v>
      </c>
      <c r="AC104">
        <v>27.985285000000001</v>
      </c>
      <c r="AD104">
        <v>18.853245000000001</v>
      </c>
      <c r="AE104">
        <v>12.961605</v>
      </c>
      <c r="AF104">
        <v>8.3464880000000008</v>
      </c>
    </row>
    <row r="105" spans="1:32" x14ac:dyDescent="0.35">
      <c r="B105">
        <v>10.246387</v>
      </c>
      <c r="C105">
        <v>11761.122069999999</v>
      </c>
      <c r="D105">
        <v>10246.929688</v>
      </c>
      <c r="E105">
        <v>8926.8544920000004</v>
      </c>
      <c r="F105">
        <v>7776.9853519999997</v>
      </c>
      <c r="G105">
        <v>6745.6953119999998</v>
      </c>
      <c r="H105">
        <v>5848.1103519999997</v>
      </c>
      <c r="I105">
        <v>5031.3344729999999</v>
      </c>
      <c r="J105">
        <v>4284.4370120000003</v>
      </c>
      <c r="K105">
        <v>3596.1945799999999</v>
      </c>
      <c r="L105">
        <v>2977.9279790000001</v>
      </c>
      <c r="M105">
        <v>2410.8010250000002</v>
      </c>
      <c r="N105">
        <v>1921.9458010000001</v>
      </c>
      <c r="O105">
        <v>1494.5756839999999</v>
      </c>
      <c r="P105">
        <v>1157.871582</v>
      </c>
      <c r="Q105">
        <v>885.09252900000001</v>
      </c>
      <c r="R105">
        <v>673.31054700000004</v>
      </c>
      <c r="S105">
        <v>509.74066199999999</v>
      </c>
      <c r="T105">
        <v>386.282532</v>
      </c>
      <c r="U105">
        <v>293.37170400000002</v>
      </c>
      <c r="V105">
        <v>225.44532799999999</v>
      </c>
      <c r="W105">
        <v>171.377487</v>
      </c>
      <c r="X105">
        <v>126.48361199999999</v>
      </c>
      <c r="Y105">
        <v>94.179542999999995</v>
      </c>
      <c r="Z105">
        <v>68.023978999999997</v>
      </c>
      <c r="AA105">
        <v>49.285666999999997</v>
      </c>
      <c r="AB105">
        <v>36.403075999999999</v>
      </c>
      <c r="AC105">
        <v>25.179608999999999</v>
      </c>
      <c r="AD105">
        <v>17.469574000000001</v>
      </c>
      <c r="AE105">
        <v>11.516254999999999</v>
      </c>
      <c r="AF105">
        <v>7.6124400000000003</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F8" sqref="F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32" t="s">
        <v>108</v>
      </c>
      <c r="O2" s="32"/>
    </row>
    <row r="3" spans="1:49" ht="13.15" x14ac:dyDescent="0.4">
      <c r="A3" t="str">
        <f>'6 - B1'!$A$3</f>
        <v>Serial #</v>
      </c>
      <c r="B3" s="29" t="str">
        <f>'6 - B1'!$B$3</f>
        <v>11171-00001</v>
      </c>
    </row>
    <row r="4" spans="1:49" ht="19.149999999999999" customHeight="1" x14ac:dyDescent="1.05">
      <c r="A4" s="30" t="str">
        <f>'6 - B1'!$A$4</f>
        <v>Date</v>
      </c>
      <c r="B4" s="31">
        <f>'6 - B1'!$B$4</f>
        <v>46010</v>
      </c>
      <c r="O4" s="32"/>
    </row>
    <row r="5" spans="1:49" ht="13.15" x14ac:dyDescent="0.4">
      <c r="A5" s="30" t="str">
        <f>'6 - B1'!$A$5</f>
        <v>RM</v>
      </c>
      <c r="B5" s="54" t="str">
        <f>'6 - B1'!$B$5</f>
        <v>37D</v>
      </c>
      <c r="O5" s="33"/>
    </row>
    <row r="6" spans="1:49" ht="13.15" x14ac:dyDescent="0.4">
      <c r="B6" s="30"/>
      <c r="C6" s="30"/>
      <c r="D6" s="30"/>
      <c r="E6" s="30"/>
      <c r="F6" s="30"/>
    </row>
    <row r="7" spans="1:49" ht="14.65" x14ac:dyDescent="0.5">
      <c r="B7" s="14" t="s">
        <v>52</v>
      </c>
      <c r="C7" s="14" t="s">
        <v>53</v>
      </c>
      <c r="D7" s="14" t="s">
        <v>54</v>
      </c>
      <c r="E7" s="14" t="s">
        <v>55</v>
      </c>
      <c r="F7" s="14" t="s">
        <v>56</v>
      </c>
      <c r="G7" s="14" t="s">
        <v>57</v>
      </c>
      <c r="H7" s="14" t="s">
        <v>58</v>
      </c>
      <c r="I7" s="14" t="s">
        <v>59</v>
      </c>
      <c r="J7" s="14" t="s">
        <v>60</v>
      </c>
      <c r="K7" s="14" t="s">
        <v>61</v>
      </c>
      <c r="L7" s="14" t="s">
        <v>62</v>
      </c>
      <c r="M7" s="14" t="s">
        <v>63</v>
      </c>
      <c r="O7" s="92" t="s">
        <v>52</v>
      </c>
      <c r="P7" s="92" t="s">
        <v>53</v>
      </c>
      <c r="Q7" s="92" t="s">
        <v>54</v>
      </c>
      <c r="R7" s="92" t="s">
        <v>55</v>
      </c>
      <c r="S7" s="92" t="s">
        <v>56</v>
      </c>
    </row>
    <row r="8" spans="1:49" ht="13.15" x14ac:dyDescent="0.4">
      <c r="A8" s="11" t="s">
        <v>64</v>
      </c>
      <c r="B8" s="34">
        <f>G52</f>
        <v>10.765807000000001</v>
      </c>
      <c r="C8" s="34">
        <f t="shared" ref="C8:F8" si="0">H52</f>
        <v>11.557717999999999</v>
      </c>
      <c r="D8" s="34">
        <f t="shared" si="0"/>
        <v>11.513206</v>
      </c>
      <c r="E8" s="34">
        <f t="shared" si="0"/>
        <v>11.627454999999999</v>
      </c>
      <c r="F8" s="34">
        <f t="shared" si="0"/>
        <v>11.623797</v>
      </c>
      <c r="G8" s="35">
        <f>AVERAGE(B$8:F$8)*5</f>
        <v>57.087982999999994</v>
      </c>
      <c r="I8" s="36"/>
      <c r="K8" s="36"/>
      <c r="O8" s="93"/>
      <c r="P8" s="93"/>
      <c r="Q8" s="93"/>
      <c r="R8" s="93"/>
      <c r="S8" s="93"/>
    </row>
    <row r="9" spans="1:49" ht="13.15" x14ac:dyDescent="0.4">
      <c r="A9" s="11" t="s">
        <v>65</v>
      </c>
      <c r="B9" s="34">
        <f t="shared" ref="B9:F9" si="1">G53</f>
        <v>12207.909180000001</v>
      </c>
      <c r="C9" s="34">
        <f t="shared" si="1"/>
        <v>12249.043944999999</v>
      </c>
      <c r="D9" s="34">
        <f t="shared" si="1"/>
        <v>12479.756836</v>
      </c>
      <c r="E9" s="34">
        <f t="shared" si="1"/>
        <v>12240.597656</v>
      </c>
      <c r="F9" s="34">
        <f t="shared" si="1"/>
        <v>12626.338867</v>
      </c>
      <c r="G9" s="37">
        <f t="shared" ref="G9:G38" si="2">AVERAGE(B9:F9)</f>
        <v>12360.7292968</v>
      </c>
      <c r="H9" s="38">
        <f t="shared" ref="H9:H38" si="3">G9*G$8</f>
        <v>705649.10396332026</v>
      </c>
      <c r="I9" s="36">
        <f t="shared" ref="I9:I38" si="4">STDEVP(B9:F9)/AVERAGE(B9:F9)</f>
        <v>1.329223215629797E-2</v>
      </c>
      <c r="J9" s="36">
        <f t="shared" ref="J9:J38" si="5">IF(H9&gt;$A$43, $C$43, IF(H9&gt;$A$44, $C$44, IF(H9&gt;$A$45,$C$45,IF(H9&gt;$A$46,$C$46, IF(H9&gt;$A$47,$C$47,IF(H9&gt;$A$48,$C$48,$C$49))))))/100</f>
        <v>0.11</v>
      </c>
      <c r="K9" s="36">
        <f t="shared" ref="K9:K38" si="6">(MAX(B9:F9)-MIN(B9:F9))/G9</f>
        <v>3.3851537150669964E-2</v>
      </c>
      <c r="L9" s="16">
        <f>G9/'Clause 6'!$H$11</f>
        <v>12360.7292968</v>
      </c>
      <c r="M9">
        <f t="shared" ref="M9:M38" si="7">COUNTA(B9:F9)</f>
        <v>5</v>
      </c>
      <c r="O9" s="94">
        <f>IF(ISNUMBER(B9), (B9/$G9-1), 0)</f>
        <v>-1.2363357624825766E-2</v>
      </c>
      <c r="P9" s="94">
        <f t="shared" ref="P9:S38" si="8">IF(ISNUMBER(C9), (C9/$G9-1), 0)</f>
        <v>-9.035498563091604E-3</v>
      </c>
      <c r="Q9" s="94">
        <f t="shared" si="8"/>
        <v>9.6294916215675652E-3</v>
      </c>
      <c r="R9" s="94">
        <f t="shared" si="8"/>
        <v>-9.7188149594943374E-3</v>
      </c>
      <c r="S9" s="94">
        <f t="shared" si="8"/>
        <v>2.1488179525844142E-2</v>
      </c>
    </row>
    <row r="10" spans="1:49" ht="13.15" x14ac:dyDescent="0.4">
      <c r="A10" s="11" t="s">
        <v>66</v>
      </c>
      <c r="B10" s="34">
        <f t="shared" ref="B10:F10" si="9">G54</f>
        <v>10687.726562</v>
      </c>
      <c r="C10" s="34">
        <f t="shared" si="9"/>
        <v>10704.015625</v>
      </c>
      <c r="D10" s="34">
        <f t="shared" si="9"/>
        <v>10950.381836</v>
      </c>
      <c r="E10" s="34">
        <f t="shared" si="9"/>
        <v>10724.014648</v>
      </c>
      <c r="F10" s="34">
        <f t="shared" si="9"/>
        <v>11074.349609000001</v>
      </c>
      <c r="G10" s="37">
        <f t="shared" si="2"/>
        <v>10828.097656000002</v>
      </c>
      <c r="H10" s="38">
        <f t="shared" si="3"/>
        <v>618154.25490806787</v>
      </c>
      <c r="I10" s="36">
        <f t="shared" si="4"/>
        <v>1.4397908944269242E-2</v>
      </c>
      <c r="J10" s="36">
        <f t="shared" si="5"/>
        <v>0.11</v>
      </c>
      <c r="K10" s="36">
        <f t="shared" si="6"/>
        <v>3.5705537508314553E-2</v>
      </c>
      <c r="L10" s="16">
        <f>G10/'Clause 6'!$H$11</f>
        <v>10828.097656000002</v>
      </c>
      <c r="M10">
        <f t="shared" si="7"/>
        <v>5</v>
      </c>
      <c r="O10" s="94">
        <f t="shared" ref="O10:O38" si="10">IF(ISNUMBER(B10), (B10/$G10-1), 0)</f>
        <v>-1.2963596973307734E-2</v>
      </c>
      <c r="P10" s="94">
        <f t="shared" si="8"/>
        <v>-1.1459264123947599E-2</v>
      </c>
      <c r="Q10" s="94">
        <f t="shared" si="8"/>
        <v>1.1293228403074007E-2</v>
      </c>
      <c r="R10" s="94">
        <f t="shared" si="8"/>
        <v>-9.6123078408262286E-3</v>
      </c>
      <c r="S10" s="94">
        <f t="shared" si="8"/>
        <v>2.2741940535006888E-2</v>
      </c>
    </row>
    <row r="11" spans="1:49" ht="13.15" x14ac:dyDescent="0.4">
      <c r="A11" s="11" t="s">
        <v>67</v>
      </c>
      <c r="B11" s="34">
        <f t="shared" ref="B11:F11" si="11">G55</f>
        <v>9371.4296880000002</v>
      </c>
      <c r="C11" s="34">
        <f t="shared" si="11"/>
        <v>9376.4179690000001</v>
      </c>
      <c r="D11" s="34">
        <f t="shared" si="11"/>
        <v>9595.9375</v>
      </c>
      <c r="E11" s="34">
        <f t="shared" si="11"/>
        <v>9400.6816409999992</v>
      </c>
      <c r="F11" s="34">
        <f t="shared" si="11"/>
        <v>9690.6367190000001</v>
      </c>
      <c r="G11" s="37">
        <f t="shared" si="2"/>
        <v>9487.0207033999995</v>
      </c>
      <c r="H11" s="38">
        <f t="shared" si="3"/>
        <v>541594.87663634715</v>
      </c>
      <c r="I11" s="36">
        <f t="shared" si="4"/>
        <v>1.3853809240505397E-2</v>
      </c>
      <c r="J11" s="36">
        <f t="shared" si="5"/>
        <v>0.11</v>
      </c>
      <c r="K11" s="36">
        <f t="shared" si="6"/>
        <v>3.364670964464124E-2</v>
      </c>
      <c r="L11" s="16">
        <f>G11/'Clause 6'!$H$11</f>
        <v>9487.0207033999995</v>
      </c>
      <c r="M11">
        <f t="shared" si="7"/>
        <v>5</v>
      </c>
      <c r="O11" s="94">
        <f t="shared" si="10"/>
        <v>-1.218412176106809E-2</v>
      </c>
      <c r="P11" s="94">
        <f t="shared" si="8"/>
        <v>-1.1658321179836895E-2</v>
      </c>
      <c r="Q11" s="94">
        <f t="shared" si="8"/>
        <v>1.1480611248267492E-2</v>
      </c>
      <c r="R11" s="94">
        <f t="shared" si="8"/>
        <v>-9.1007561909354218E-3</v>
      </c>
      <c r="S11" s="94">
        <f t="shared" si="8"/>
        <v>2.1462587883573248E-2</v>
      </c>
    </row>
    <row r="12" spans="1:49" ht="13.15" x14ac:dyDescent="0.4">
      <c r="A12" s="11" t="s">
        <v>68</v>
      </c>
      <c r="B12" s="34">
        <f t="shared" ref="B12:F12" si="12">G56</f>
        <v>8141.7954099999997</v>
      </c>
      <c r="C12" s="34">
        <f t="shared" si="12"/>
        <v>8174.4506840000004</v>
      </c>
      <c r="D12" s="34">
        <f t="shared" si="12"/>
        <v>8376.1210940000001</v>
      </c>
      <c r="E12" s="34">
        <f t="shared" si="12"/>
        <v>8228.7138670000004</v>
      </c>
      <c r="F12" s="34">
        <f t="shared" si="12"/>
        <v>8446.6376949999994</v>
      </c>
      <c r="G12" s="37">
        <f t="shared" si="2"/>
        <v>8273.5437500000007</v>
      </c>
      <c r="H12" s="38">
        <f t="shared" si="3"/>
        <v>472319.92494975624</v>
      </c>
      <c r="I12" s="36">
        <f t="shared" si="4"/>
        <v>1.4267490635357873E-2</v>
      </c>
      <c r="J12" s="36">
        <f t="shared" si="5"/>
        <v>0.11</v>
      </c>
      <c r="K12" s="36">
        <f t="shared" si="6"/>
        <v>3.6845430955749728E-2</v>
      </c>
      <c r="L12" s="16">
        <f>G12/'Clause 6'!$H$11</f>
        <v>8273.5437500000007</v>
      </c>
      <c r="M12">
        <f t="shared" si="7"/>
        <v>5</v>
      </c>
      <c r="O12" s="94">
        <f t="shared" si="10"/>
        <v>-1.59240518913073E-2</v>
      </c>
      <c r="P12" s="94">
        <f t="shared" si="8"/>
        <v>-1.1977100622692749E-2</v>
      </c>
      <c r="Q12" s="94">
        <f t="shared" si="8"/>
        <v>1.2398235520299172E-2</v>
      </c>
      <c r="R12" s="94">
        <f t="shared" si="8"/>
        <v>-5.4184620707421471E-3</v>
      </c>
      <c r="S12" s="94">
        <f t="shared" si="8"/>
        <v>2.0921379064442469E-2</v>
      </c>
    </row>
    <row r="13" spans="1:49" ht="13.15" x14ac:dyDescent="0.4">
      <c r="A13" s="11" t="s">
        <v>69</v>
      </c>
      <c r="B13" s="34">
        <f t="shared" ref="B13:F13" si="13">G57</f>
        <v>7059.5727539999998</v>
      </c>
      <c r="C13" s="34">
        <f t="shared" si="13"/>
        <v>7111.6977539999998</v>
      </c>
      <c r="D13" s="34">
        <f t="shared" si="13"/>
        <v>7271.3891599999997</v>
      </c>
      <c r="E13" s="34">
        <f t="shared" si="13"/>
        <v>7149.7158200000003</v>
      </c>
      <c r="F13" s="34">
        <f t="shared" si="13"/>
        <v>7324.7148440000001</v>
      </c>
      <c r="G13" s="37">
        <f t="shared" si="2"/>
        <v>7183.4180663999996</v>
      </c>
      <c r="H13" s="38">
        <f t="shared" si="3"/>
        <v>410086.84845653601</v>
      </c>
      <c r="I13" s="36">
        <f t="shared" si="4"/>
        <v>1.3826102946740847E-2</v>
      </c>
      <c r="J13" s="36">
        <f t="shared" si="5"/>
        <v>0.11</v>
      </c>
      <c r="K13" s="36">
        <f t="shared" si="6"/>
        <v>3.6910296400565389E-2</v>
      </c>
      <c r="L13" s="16">
        <f>G13/'Clause 6'!$H$11</f>
        <v>7183.4180663999996</v>
      </c>
      <c r="M13">
        <f t="shared" si="7"/>
        <v>5</v>
      </c>
      <c r="O13" s="94">
        <f t="shared" si="10"/>
        <v>-1.7240443373229053E-2</v>
      </c>
      <c r="P13" s="94">
        <f t="shared" si="8"/>
        <v>-9.9841484564942018E-3</v>
      </c>
      <c r="Q13" s="94">
        <f t="shared" si="8"/>
        <v>1.2246411497540466E-2</v>
      </c>
      <c r="R13" s="94">
        <f t="shared" si="8"/>
        <v>-4.6916726951532484E-3</v>
      </c>
      <c r="S13" s="94">
        <f t="shared" si="8"/>
        <v>1.9669853027336259E-2</v>
      </c>
    </row>
    <row r="14" spans="1:49" ht="13.15" x14ac:dyDescent="0.4">
      <c r="A14" s="11" t="s">
        <v>70</v>
      </c>
      <c r="B14" s="34">
        <f t="shared" ref="B14:F14" si="14">G58</f>
        <v>6098.1958009999998</v>
      </c>
      <c r="C14" s="34">
        <f t="shared" si="14"/>
        <v>6153.03125</v>
      </c>
      <c r="D14" s="34">
        <f t="shared" si="14"/>
        <v>6302.328125</v>
      </c>
      <c r="E14" s="34">
        <f t="shared" si="14"/>
        <v>6189.0585940000001</v>
      </c>
      <c r="F14" s="34">
        <f t="shared" si="14"/>
        <v>6343.2797849999997</v>
      </c>
      <c r="G14" s="37">
        <f t="shared" si="2"/>
        <v>6217.1787110000005</v>
      </c>
      <c r="H14" s="38">
        <f t="shared" si="3"/>
        <v>354926.19256152993</v>
      </c>
      <c r="I14" s="36">
        <f t="shared" si="4"/>
        <v>1.4779248063072138E-2</v>
      </c>
      <c r="J14" s="36">
        <f t="shared" si="5"/>
        <v>0.11</v>
      </c>
      <c r="K14" s="36">
        <f t="shared" si="6"/>
        <v>3.9420450238365337E-2</v>
      </c>
      <c r="L14" s="16">
        <f>G14/'Clause 6'!$H$11</f>
        <v>6217.1787110000005</v>
      </c>
      <c r="M14">
        <f t="shared" si="7"/>
        <v>5</v>
      </c>
      <c r="O14" s="94">
        <f t="shared" si="10"/>
        <v>-1.9137765782650806E-2</v>
      </c>
      <c r="P14" s="94">
        <f t="shared" si="8"/>
        <v>-1.0317776596401318E-2</v>
      </c>
      <c r="Q14" s="94">
        <f t="shared" si="8"/>
        <v>1.369582859977081E-2</v>
      </c>
      <c r="R14" s="94">
        <f t="shared" si="8"/>
        <v>-4.5229706764335909E-3</v>
      </c>
      <c r="S14" s="94">
        <f t="shared" si="8"/>
        <v>2.0282684455714461E-2</v>
      </c>
    </row>
    <row r="15" spans="1:49" ht="13.15" x14ac:dyDescent="0.4">
      <c r="A15" s="11" t="s">
        <v>71</v>
      </c>
      <c r="B15" s="34">
        <f t="shared" ref="B15:F15" si="15">G59</f>
        <v>5234.9072269999997</v>
      </c>
      <c r="C15" s="34">
        <f t="shared" si="15"/>
        <v>5294.8168949999999</v>
      </c>
      <c r="D15" s="34">
        <f t="shared" si="15"/>
        <v>5401.970703</v>
      </c>
      <c r="E15" s="34">
        <f t="shared" si="15"/>
        <v>5302.0200199999999</v>
      </c>
      <c r="F15" s="34">
        <f t="shared" si="15"/>
        <v>5444.9501950000003</v>
      </c>
      <c r="G15" s="37">
        <f t="shared" si="2"/>
        <v>5335.7330080000002</v>
      </c>
      <c r="H15" s="38">
        <f t="shared" si="3"/>
        <v>304606.23525324283</v>
      </c>
      <c r="I15" s="36">
        <f t="shared" si="4"/>
        <v>1.4344918183614316E-2</v>
      </c>
      <c r="J15" s="36">
        <f t="shared" si="5"/>
        <v>0.11</v>
      </c>
      <c r="K15" s="36">
        <f t="shared" si="6"/>
        <v>3.9365344496262819E-2</v>
      </c>
      <c r="L15" s="16">
        <f>G15/'Clause 6'!$H$11</f>
        <v>5335.7330080000002</v>
      </c>
      <c r="M15">
        <f t="shared" si="7"/>
        <v>5</v>
      </c>
      <c r="O15" s="94">
        <f t="shared" si="10"/>
        <v>-1.8896331740892891E-2</v>
      </c>
      <c r="P15" s="94">
        <f t="shared" si="8"/>
        <v>-7.6683209108577843E-3</v>
      </c>
      <c r="Q15" s="94">
        <f t="shared" si="8"/>
        <v>1.2413982277727831E-2</v>
      </c>
      <c r="R15" s="94">
        <f t="shared" si="8"/>
        <v>-6.3183423813473194E-3</v>
      </c>
      <c r="S15" s="94">
        <f t="shared" si="8"/>
        <v>2.0469012755369942E-2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72</v>
      </c>
      <c r="B16" s="34">
        <f t="shared" ref="B16:F16" si="16">G60</f>
        <v>4462.8330079999996</v>
      </c>
      <c r="C16" s="34">
        <f t="shared" si="16"/>
        <v>4495.2646480000003</v>
      </c>
      <c r="D16" s="34">
        <f t="shared" si="16"/>
        <v>4585.6040039999998</v>
      </c>
      <c r="E16" s="34">
        <f t="shared" si="16"/>
        <v>4500.8129879999997</v>
      </c>
      <c r="F16" s="34">
        <f t="shared" si="16"/>
        <v>4608.21875</v>
      </c>
      <c r="G16" s="37">
        <f t="shared" si="2"/>
        <v>4530.5466795999992</v>
      </c>
      <c r="H16" s="38">
        <f t="shared" si="3"/>
        <v>258639.77182571118</v>
      </c>
      <c r="I16" s="36">
        <f t="shared" si="4"/>
        <v>1.2399229519450331E-2</v>
      </c>
      <c r="J16" s="36">
        <f t="shared" si="5"/>
        <v>0.11</v>
      </c>
      <c r="K16" s="36">
        <f t="shared" si="6"/>
        <v>3.2090110152630955E-2</v>
      </c>
      <c r="L16" s="16">
        <f>G16/'Clause 6'!$H$11</f>
        <v>4530.5466795999992</v>
      </c>
      <c r="M16">
        <f t="shared" si="7"/>
        <v>5</v>
      </c>
      <c r="O16" s="94">
        <f t="shared" si="10"/>
        <v>-1.4946026691414205E-2</v>
      </c>
      <c r="P16" s="94">
        <f t="shared" si="8"/>
        <v>-7.7875881422578841E-3</v>
      </c>
      <c r="Q16" s="94">
        <f t="shared" si="8"/>
        <v>1.2152468188422194E-2</v>
      </c>
      <c r="R16" s="94">
        <f t="shared" si="8"/>
        <v>-6.5629368159659807E-3</v>
      </c>
      <c r="S16" s="94">
        <f t="shared" si="8"/>
        <v>1.7144083461216653E-2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73</v>
      </c>
      <c r="B17" s="34">
        <f t="shared" ref="B17:F17" si="17">G61</f>
        <v>3753.8291020000001</v>
      </c>
      <c r="C17" s="34">
        <f t="shared" si="17"/>
        <v>3773.5822750000002</v>
      </c>
      <c r="D17" s="34">
        <f t="shared" si="17"/>
        <v>3844.0207519999999</v>
      </c>
      <c r="E17" s="34">
        <f t="shared" si="17"/>
        <v>3749.6599120000001</v>
      </c>
      <c r="F17" s="34">
        <f t="shared" si="17"/>
        <v>3858.3776859999998</v>
      </c>
      <c r="G17" s="37">
        <f t="shared" si="2"/>
        <v>3795.8939454000001</v>
      </c>
      <c r="H17" s="38">
        <f t="shared" si="3"/>
        <v>216699.92902479813</v>
      </c>
      <c r="I17" s="36">
        <f t="shared" si="4"/>
        <v>1.2144247406915411E-2</v>
      </c>
      <c r="J17" s="36">
        <f t="shared" si="5"/>
        <v>0.11</v>
      </c>
      <c r="K17" s="36">
        <f t="shared" si="6"/>
        <v>2.8640888171216641E-2</v>
      </c>
      <c r="L17" s="16">
        <f>G17/'Clause 6'!$H$11</f>
        <v>3795.8939454000001</v>
      </c>
      <c r="M17">
        <f t="shared" si="7"/>
        <v>5</v>
      </c>
      <c r="O17" s="94">
        <f t="shared" si="10"/>
        <v>-1.1081669826675689E-2</v>
      </c>
      <c r="P17" s="94">
        <f t="shared" si="8"/>
        <v>-5.8778434595196938E-3</v>
      </c>
      <c r="Q17" s="94">
        <f t="shared" si="8"/>
        <v>1.2678648901221612E-2</v>
      </c>
      <c r="R17" s="94">
        <f t="shared" si="8"/>
        <v>-1.2180011893121567E-2</v>
      </c>
      <c r="S17" s="94">
        <f t="shared" si="8"/>
        <v>1.6460876278095116E-2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74</v>
      </c>
      <c r="B18" s="34">
        <f t="shared" ref="B18:F18" si="18">G62</f>
        <v>3102.0432129999999</v>
      </c>
      <c r="C18" s="34">
        <f t="shared" si="18"/>
        <v>3118.7817380000001</v>
      </c>
      <c r="D18" s="34">
        <f t="shared" si="18"/>
        <v>3167.0588379999999</v>
      </c>
      <c r="E18" s="34">
        <f t="shared" si="18"/>
        <v>3100.2485350000002</v>
      </c>
      <c r="F18" s="34">
        <f t="shared" si="18"/>
        <v>3190.0073240000002</v>
      </c>
      <c r="G18" s="37">
        <f t="shared" si="2"/>
        <v>3135.6279296000002</v>
      </c>
      <c r="H18" s="38">
        <f t="shared" si="3"/>
        <v>179006.67393932998</v>
      </c>
      <c r="I18" s="36">
        <f t="shared" si="4"/>
        <v>1.1594185918317618E-2</v>
      </c>
      <c r="J18" s="36">
        <f t="shared" si="5"/>
        <v>0.11</v>
      </c>
      <c r="K18" s="36">
        <f t="shared" si="6"/>
        <v>2.8625459083549545E-2</v>
      </c>
      <c r="L18" s="16">
        <f>G18/'Clause 6'!$H$11</f>
        <v>3135.6279296000002</v>
      </c>
      <c r="M18">
        <f t="shared" si="7"/>
        <v>5</v>
      </c>
      <c r="O18" s="94">
        <f t="shared" si="10"/>
        <v>-1.0710682949008121E-2</v>
      </c>
      <c r="P18" s="94">
        <f t="shared" si="8"/>
        <v>-5.3725097422987478E-3</v>
      </c>
      <c r="Q18" s="94">
        <f t="shared" si="8"/>
        <v>1.0023800369710623E-2</v>
      </c>
      <c r="R18" s="94">
        <f t="shared" si="8"/>
        <v>-1.1283033380976804E-2</v>
      </c>
      <c r="S18" s="94">
        <f t="shared" si="8"/>
        <v>1.7342425702572717E-2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75</v>
      </c>
      <c r="B19" s="34">
        <f t="shared" ref="B19:F19" si="19">G63</f>
        <v>2520.4797359999998</v>
      </c>
      <c r="C19" s="34">
        <f t="shared" si="19"/>
        <v>2536.0541990000002</v>
      </c>
      <c r="D19" s="34">
        <f t="shared" si="19"/>
        <v>2568.876221</v>
      </c>
      <c r="E19" s="34">
        <f t="shared" si="19"/>
        <v>2521.2741700000001</v>
      </c>
      <c r="F19" s="34">
        <f t="shared" si="19"/>
        <v>2587.1064449999999</v>
      </c>
      <c r="G19" s="37">
        <f t="shared" si="2"/>
        <v>2546.7581541999998</v>
      </c>
      <c r="H19" s="38">
        <f t="shared" si="3"/>
        <v>145389.28621208094</v>
      </c>
      <c r="I19" s="36">
        <f t="shared" si="4"/>
        <v>1.0494656633685106E-2</v>
      </c>
      <c r="J19" s="36">
        <f t="shared" si="5"/>
        <v>0.11</v>
      </c>
      <c r="K19" s="36">
        <f t="shared" si="6"/>
        <v>2.6161380455432065E-2</v>
      </c>
      <c r="L19" s="16">
        <f>G19/'Clause 6'!$H$11</f>
        <v>2546.7581541999998</v>
      </c>
      <c r="M19">
        <f t="shared" si="7"/>
        <v>5</v>
      </c>
      <c r="O19" s="94">
        <f t="shared" si="10"/>
        <v>-1.0318379920238097E-2</v>
      </c>
      <c r="P19" s="94">
        <f t="shared" si="8"/>
        <v>-4.2029727802568306E-3</v>
      </c>
      <c r="Q19" s="94">
        <f t="shared" si="8"/>
        <v>8.6847927682194292E-3</v>
      </c>
      <c r="R19" s="94">
        <f t="shared" si="8"/>
        <v>-1.000644060291811E-2</v>
      </c>
      <c r="S19" s="94">
        <f t="shared" si="8"/>
        <v>1.5843000535193941E-2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76</v>
      </c>
      <c r="B20" s="34">
        <f t="shared" ref="B20:F20" si="20">G64</f>
        <v>2012.7613530000001</v>
      </c>
      <c r="C20" s="34">
        <f t="shared" si="20"/>
        <v>2013.8057859999999</v>
      </c>
      <c r="D20" s="34">
        <f t="shared" si="20"/>
        <v>2055.1184079999998</v>
      </c>
      <c r="E20" s="34">
        <f t="shared" si="20"/>
        <v>2017.208496</v>
      </c>
      <c r="F20" s="34">
        <f t="shared" si="20"/>
        <v>2061.3745119999999</v>
      </c>
      <c r="G20" s="37">
        <f t="shared" si="2"/>
        <v>2032.0537109999998</v>
      </c>
      <c r="H20" s="38">
        <f t="shared" si="3"/>
        <v>116005.8477086549</v>
      </c>
      <c r="I20" s="36">
        <f t="shared" si="4"/>
        <v>1.0594157755233957E-2</v>
      </c>
      <c r="J20" s="36">
        <f t="shared" si="5"/>
        <v>0.11</v>
      </c>
      <c r="K20" s="36">
        <f t="shared" si="6"/>
        <v>2.3923166369493553E-2</v>
      </c>
      <c r="L20" s="16">
        <f>G20/'Clause 6'!$H$11</f>
        <v>2032.0537109999998</v>
      </c>
      <c r="M20">
        <f t="shared" si="7"/>
        <v>5</v>
      </c>
      <c r="O20" s="94">
        <f t="shared" si="10"/>
        <v>-9.4940197178674524E-3</v>
      </c>
      <c r="P20" s="94">
        <f t="shared" si="8"/>
        <v>-8.9800406855485848E-3</v>
      </c>
      <c r="Q20" s="94">
        <f t="shared" si="8"/>
        <v>1.135043669128688E-2</v>
      </c>
      <c r="R20" s="94">
        <f t="shared" si="8"/>
        <v>-7.3055229394967114E-3</v>
      </c>
      <c r="S20" s="94">
        <f t="shared" si="8"/>
        <v>1.4429146651626201E-2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77</v>
      </c>
      <c r="B21" s="34">
        <f t="shared" ref="B21:F21" si="21">G65</f>
        <v>1571.0852050000001</v>
      </c>
      <c r="C21" s="34">
        <f t="shared" si="21"/>
        <v>1571.8500979999999</v>
      </c>
      <c r="D21" s="34">
        <f t="shared" si="21"/>
        <v>1602.594482</v>
      </c>
      <c r="E21" s="34">
        <f t="shared" si="21"/>
        <v>1572.0551760000001</v>
      </c>
      <c r="F21" s="34">
        <f t="shared" si="21"/>
        <v>1605.2413329999999</v>
      </c>
      <c r="G21" s="37">
        <f t="shared" si="2"/>
        <v>1584.5652588</v>
      </c>
      <c r="H21" s="38">
        <f t="shared" si="3"/>
        <v>90459.634556764999</v>
      </c>
      <c r="I21" s="36">
        <f t="shared" si="4"/>
        <v>9.9881194201323215E-3</v>
      </c>
      <c r="J21" s="36">
        <f t="shared" si="5"/>
        <v>0.11</v>
      </c>
      <c r="K21" s="36">
        <f t="shared" si="6"/>
        <v>2.1555519919619136E-2</v>
      </c>
      <c r="L21" s="16">
        <f>G21/'Clause 6'!$H$11</f>
        <v>1584.5652588</v>
      </c>
      <c r="M21">
        <f t="shared" si="7"/>
        <v>5</v>
      </c>
      <c r="O21" s="94">
        <f t="shared" si="10"/>
        <v>-8.5070991712947741E-3</v>
      </c>
      <c r="P21" s="94">
        <f t="shared" si="8"/>
        <v>-8.0243844356586713E-3</v>
      </c>
      <c r="Q21" s="94">
        <f t="shared" si="8"/>
        <v>1.1378025044959994E-2</v>
      </c>
      <c r="R21" s="94">
        <f t="shared" si="8"/>
        <v>-7.8949621863311226E-3</v>
      </c>
      <c r="S21" s="94">
        <f t="shared" si="8"/>
        <v>1.3048420748324352E-2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78</v>
      </c>
      <c r="B22" s="34">
        <f t="shared" ref="B22:F22" si="22">G66</f>
        <v>1206.0405270000001</v>
      </c>
      <c r="C22" s="34">
        <f t="shared" si="22"/>
        <v>1210.3599850000001</v>
      </c>
      <c r="D22" s="34">
        <f t="shared" si="22"/>
        <v>1229.457764</v>
      </c>
      <c r="E22" s="34">
        <f t="shared" si="22"/>
        <v>1207.229004</v>
      </c>
      <c r="F22" s="34">
        <f t="shared" si="22"/>
        <v>1222.234009</v>
      </c>
      <c r="G22" s="37">
        <f t="shared" si="2"/>
        <v>1215.0642578</v>
      </c>
      <c r="H22" s="38">
        <f t="shared" si="3"/>
        <v>69365.567693194011</v>
      </c>
      <c r="I22" s="36">
        <f t="shared" si="4"/>
        <v>7.574544760685439E-3</v>
      </c>
      <c r="J22" s="36">
        <f t="shared" si="5"/>
        <v>0.11</v>
      </c>
      <c r="K22" s="36">
        <f t="shared" si="6"/>
        <v>1.9272426828190328E-2</v>
      </c>
      <c r="L22" s="16">
        <f>G22/'Clause 6'!$H$11</f>
        <v>1215.0642578</v>
      </c>
      <c r="M22">
        <f t="shared" si="7"/>
        <v>5</v>
      </c>
      <c r="O22" s="94">
        <f t="shared" si="10"/>
        <v>-7.4265461617134543E-3</v>
      </c>
      <c r="P22" s="94">
        <f t="shared" si="8"/>
        <v>-3.8716247061019171E-3</v>
      </c>
      <c r="Q22" s="94">
        <f t="shared" si="8"/>
        <v>1.1845880666476738E-2</v>
      </c>
      <c r="R22" s="94">
        <f t="shared" si="8"/>
        <v>-6.4484275211802444E-3</v>
      </c>
      <c r="S22" s="94">
        <f t="shared" si="8"/>
        <v>5.9007177225192109E-3</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ht="13.15" x14ac:dyDescent="0.4">
      <c r="A23" s="11" t="s">
        <v>79</v>
      </c>
      <c r="B23" s="34">
        <f t="shared" ref="B23:F23" si="23">G67</f>
        <v>918.74206500000003</v>
      </c>
      <c r="C23" s="34">
        <f t="shared" si="23"/>
        <v>915.05950900000005</v>
      </c>
      <c r="D23" s="34">
        <f t="shared" si="23"/>
        <v>928.06475799999998</v>
      </c>
      <c r="E23" s="34">
        <f t="shared" si="23"/>
        <v>907.59332300000005</v>
      </c>
      <c r="F23" s="34">
        <f t="shared" si="23"/>
        <v>929.64453100000003</v>
      </c>
      <c r="G23" s="37">
        <f t="shared" si="2"/>
        <v>919.82083720000014</v>
      </c>
      <c r="H23" s="38">
        <f t="shared" si="3"/>
        <v>52510.716317119368</v>
      </c>
      <c r="I23" s="36">
        <f t="shared" si="4"/>
        <v>8.9361431930371875E-3</v>
      </c>
      <c r="J23" s="36">
        <f t="shared" si="5"/>
        <v>0.11</v>
      </c>
      <c r="K23" s="36">
        <f t="shared" si="6"/>
        <v>2.3973372974595154E-2</v>
      </c>
      <c r="L23" s="16">
        <f>G23/'Clause 6'!$H$11</f>
        <v>919.82083720000014</v>
      </c>
      <c r="M23">
        <f t="shared" si="7"/>
        <v>5</v>
      </c>
      <c r="O23" s="94">
        <f t="shared" si="10"/>
        <v>-1.1728068732210772E-3</v>
      </c>
      <c r="P23" s="94">
        <f t="shared" si="8"/>
        <v>-5.176364795663857E-3</v>
      </c>
      <c r="Q23" s="94">
        <f t="shared" si="8"/>
        <v>8.9625288606147713E-3</v>
      </c>
      <c r="R23" s="94">
        <f t="shared" si="8"/>
        <v>-1.3293365083162811E-2</v>
      </c>
      <c r="S23" s="94">
        <f t="shared" si="8"/>
        <v>1.0680007891432419E-2</v>
      </c>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row>
    <row r="24" spans="1:49" ht="13.15" x14ac:dyDescent="0.4">
      <c r="A24" s="11" t="s">
        <v>80</v>
      </c>
      <c r="B24" s="34">
        <f t="shared" ref="B24:F24" si="24">G68</f>
        <v>692.65594499999997</v>
      </c>
      <c r="C24" s="34">
        <f t="shared" si="24"/>
        <v>692.26464799999997</v>
      </c>
      <c r="D24" s="34">
        <f t="shared" si="24"/>
        <v>700.76055899999994</v>
      </c>
      <c r="E24" s="34">
        <f t="shared" si="24"/>
        <v>683.38256799999999</v>
      </c>
      <c r="F24" s="34">
        <f t="shared" si="24"/>
        <v>697.87866199999996</v>
      </c>
      <c r="G24" s="37">
        <f t="shared" si="2"/>
        <v>693.38847639999994</v>
      </c>
      <c r="H24" s="38">
        <f t="shared" si="3"/>
        <v>39584.149553119096</v>
      </c>
      <c r="I24" s="36">
        <f t="shared" si="4"/>
        <v>8.5668488539440407E-3</v>
      </c>
      <c r="J24" s="36">
        <f t="shared" si="5"/>
        <v>0.11</v>
      </c>
      <c r="K24" s="36">
        <f t="shared" si="6"/>
        <v>2.5062416800210832E-2</v>
      </c>
      <c r="L24" s="16">
        <f>G24/'Clause 6'!$H$11</f>
        <v>693.38847639999994</v>
      </c>
      <c r="M24">
        <f t="shared" si="7"/>
        <v>5</v>
      </c>
      <c r="O24" s="94">
        <f t="shared" si="10"/>
        <v>-1.0564516500233267E-3</v>
      </c>
      <c r="P24" s="94">
        <f t="shared" si="8"/>
        <v>-1.620777440425325E-3</v>
      </c>
      <c r="Q24" s="94">
        <f t="shared" si="8"/>
        <v>1.0631965847305525E-2</v>
      </c>
      <c r="R24" s="94">
        <f t="shared" si="8"/>
        <v>-1.4430450952905294E-2</v>
      </c>
      <c r="S24" s="94">
        <f t="shared" si="8"/>
        <v>6.475714196048532E-3</v>
      </c>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row>
    <row r="25" spans="1:49" ht="13.15" x14ac:dyDescent="0.4">
      <c r="A25" s="11" t="s">
        <v>81</v>
      </c>
      <c r="B25" s="34">
        <f t="shared" ref="B25:F25" si="25">G69</f>
        <v>525.18127400000003</v>
      </c>
      <c r="C25" s="34">
        <f t="shared" si="25"/>
        <v>523.20013400000005</v>
      </c>
      <c r="D25" s="34">
        <f t="shared" si="25"/>
        <v>529.56579599999998</v>
      </c>
      <c r="E25" s="34">
        <f t="shared" si="25"/>
        <v>512.40789800000005</v>
      </c>
      <c r="F25" s="34">
        <f t="shared" si="25"/>
        <v>526.33404499999995</v>
      </c>
      <c r="G25" s="37">
        <f t="shared" si="2"/>
        <v>523.33782940000003</v>
      </c>
      <c r="H25" s="38">
        <f t="shared" si="3"/>
        <v>29876.301108044099</v>
      </c>
      <c r="I25" s="36">
        <f t="shared" si="4"/>
        <v>1.1162984458411178E-2</v>
      </c>
      <c r="J25" s="36">
        <f t="shared" si="5"/>
        <v>0.11</v>
      </c>
      <c r="K25" s="36">
        <f t="shared" si="6"/>
        <v>3.2785510689474211E-2</v>
      </c>
      <c r="L25" s="16">
        <f>G25/'Clause 6'!$H$11</f>
        <v>523.33782940000003</v>
      </c>
      <c r="M25">
        <f t="shared" si="7"/>
        <v>5</v>
      </c>
      <c r="O25" s="94">
        <f t="shared" si="10"/>
        <v>3.5224753427693933E-3</v>
      </c>
      <c r="P25" s="94">
        <f t="shared" si="8"/>
        <v>-2.631099688662486E-4</v>
      </c>
      <c r="Q25" s="94">
        <f t="shared" si="8"/>
        <v>1.19004708815722E-2</v>
      </c>
      <c r="R25" s="94">
        <f t="shared" si="8"/>
        <v>-2.0885039807901906E-2</v>
      </c>
      <c r="S25" s="94">
        <f t="shared" si="8"/>
        <v>5.7252035524262279E-3</v>
      </c>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row>
    <row r="26" spans="1:49" ht="13.15" x14ac:dyDescent="0.4">
      <c r="A26" s="11" t="s">
        <v>82</v>
      </c>
      <c r="B26" s="34">
        <f t="shared" ref="B26:F26" si="26">G70</f>
        <v>394.86123700000002</v>
      </c>
      <c r="C26" s="34">
        <f t="shared" si="26"/>
        <v>390.99414100000001</v>
      </c>
      <c r="D26" s="34">
        <f t="shared" si="26"/>
        <v>399.88864100000001</v>
      </c>
      <c r="E26" s="34">
        <f t="shared" si="26"/>
        <v>383.23089599999997</v>
      </c>
      <c r="F26" s="34">
        <f t="shared" si="26"/>
        <v>389.63171399999999</v>
      </c>
      <c r="G26" s="37">
        <f t="shared" si="2"/>
        <v>391.72132579999999</v>
      </c>
      <c r="H26" s="38">
        <f t="shared" si="3"/>
        <v>22362.58038800786</v>
      </c>
      <c r="I26" s="36">
        <f t="shared" si="4"/>
        <v>1.4146796329102991E-2</v>
      </c>
      <c r="J26" s="36">
        <f t="shared" si="5"/>
        <v>0.11</v>
      </c>
      <c r="K26" s="36">
        <f t="shared" si="6"/>
        <v>4.2524478252442481E-2</v>
      </c>
      <c r="L26" s="16">
        <f>G26/'Clause 6'!$H$11</f>
        <v>391.72132579999999</v>
      </c>
      <c r="M26">
        <f t="shared" si="7"/>
        <v>5</v>
      </c>
      <c r="O26" s="94">
        <f t="shared" si="10"/>
        <v>8.0156759236620356E-3</v>
      </c>
      <c r="P26" s="94">
        <f t="shared" si="8"/>
        <v>-1.8563829745926741E-3</v>
      </c>
      <c r="Q26" s="94">
        <f t="shared" si="8"/>
        <v>2.0849809959465837E-2</v>
      </c>
      <c r="R26" s="94">
        <f t="shared" si="8"/>
        <v>-2.1674668292976595E-2</v>
      </c>
      <c r="S26" s="94">
        <f t="shared" si="8"/>
        <v>-5.3344346155584921E-3</v>
      </c>
    </row>
    <row r="27" spans="1:49" ht="13.15" x14ac:dyDescent="0.4">
      <c r="A27" s="11" t="s">
        <v>83</v>
      </c>
      <c r="B27" s="34">
        <f t="shared" ref="B27:F27" si="27">G71</f>
        <v>296.772919</v>
      </c>
      <c r="C27" s="34">
        <f t="shared" si="27"/>
        <v>296.77139299999999</v>
      </c>
      <c r="D27" s="34">
        <f t="shared" si="27"/>
        <v>301.74047899999999</v>
      </c>
      <c r="E27" s="34">
        <f t="shared" si="27"/>
        <v>290.34728999999999</v>
      </c>
      <c r="F27" s="34">
        <f t="shared" si="27"/>
        <v>296.202698</v>
      </c>
      <c r="G27" s="37">
        <f t="shared" si="2"/>
        <v>296.36695580000003</v>
      </c>
      <c r="H27" s="38">
        <f t="shared" si="3"/>
        <v>16918.991734472151</v>
      </c>
      <c r="I27" s="36">
        <f t="shared" si="4"/>
        <v>1.2209411394556195E-2</v>
      </c>
      <c r="J27" s="36">
        <f t="shared" si="5"/>
        <v>0.11</v>
      </c>
      <c r="K27" s="36">
        <f t="shared" si="6"/>
        <v>3.8442845185778993E-2</v>
      </c>
      <c r="L27" s="16">
        <f>G27/'Clause 6'!$H$11</f>
        <v>296.36695580000003</v>
      </c>
      <c r="M27">
        <f t="shared" si="7"/>
        <v>5</v>
      </c>
      <c r="O27" s="94">
        <f t="shared" si="10"/>
        <v>1.3697991360208661E-3</v>
      </c>
      <c r="P27" s="94">
        <f t="shared" si="8"/>
        <v>1.3646501139381595E-3</v>
      </c>
      <c r="Q27" s="94">
        <f t="shared" si="8"/>
        <v>1.8131316919239193E-2</v>
      </c>
      <c r="R27" s="94">
        <f t="shared" si="8"/>
        <v>-2.0311528266539813E-2</v>
      </c>
      <c r="S27" s="94">
        <f t="shared" si="8"/>
        <v>-5.5423790265907158E-4</v>
      </c>
    </row>
    <row r="28" spans="1:49" ht="13.15" x14ac:dyDescent="0.4">
      <c r="A28" s="11" t="s">
        <v>84</v>
      </c>
      <c r="B28" s="34">
        <f t="shared" ref="B28:F28" si="28">G72</f>
        <v>224.04264800000001</v>
      </c>
      <c r="C28" s="34">
        <f t="shared" si="28"/>
        <v>223.31397999999999</v>
      </c>
      <c r="D28" s="34">
        <f t="shared" si="28"/>
        <v>227.21734599999999</v>
      </c>
      <c r="E28" s="34">
        <f t="shared" si="28"/>
        <v>219.99655200000001</v>
      </c>
      <c r="F28" s="34">
        <f t="shared" si="28"/>
        <v>223.42095900000001</v>
      </c>
      <c r="G28" s="37">
        <f t="shared" si="2"/>
        <v>223.598297</v>
      </c>
      <c r="H28" s="38">
        <f t="shared" si="3"/>
        <v>12764.775777964949</v>
      </c>
      <c r="I28" s="36">
        <f t="shared" si="4"/>
        <v>1.0272647427953091E-2</v>
      </c>
      <c r="J28" s="36">
        <f t="shared" si="5"/>
        <v>0.11</v>
      </c>
      <c r="K28" s="36">
        <f t="shared" si="6"/>
        <v>3.2293600161006519E-2</v>
      </c>
      <c r="L28" s="16">
        <f>G28/'Clause 6'!$H$11</f>
        <v>223.598297</v>
      </c>
      <c r="M28">
        <f t="shared" si="7"/>
        <v>5</v>
      </c>
      <c r="O28" s="94">
        <f t="shared" si="10"/>
        <v>1.9872736329473728E-3</v>
      </c>
      <c r="P28" s="94">
        <f t="shared" si="8"/>
        <v>-1.2715526183100234E-3</v>
      </c>
      <c r="Q28" s="94">
        <f t="shared" si="8"/>
        <v>1.6185494471811612E-2</v>
      </c>
      <c r="R28" s="94">
        <f t="shared" si="8"/>
        <v>-1.6108105689194963E-2</v>
      </c>
      <c r="S28" s="94">
        <f t="shared" si="8"/>
        <v>-7.9310979725388808E-4</v>
      </c>
    </row>
    <row r="29" spans="1:49" ht="13.15" x14ac:dyDescent="0.4">
      <c r="A29" s="11" t="s">
        <v>85</v>
      </c>
      <c r="B29" s="34">
        <f t="shared" ref="B29:F29" si="29">G73</f>
        <v>169.51817299999999</v>
      </c>
      <c r="C29" s="34">
        <f t="shared" si="29"/>
        <v>170.189301</v>
      </c>
      <c r="D29" s="34">
        <f t="shared" si="29"/>
        <v>170.499863</v>
      </c>
      <c r="E29" s="34">
        <f t="shared" si="29"/>
        <v>166.15846300000001</v>
      </c>
      <c r="F29" s="34">
        <f t="shared" si="29"/>
        <v>168.533569</v>
      </c>
      <c r="G29" s="37">
        <f t="shared" si="2"/>
        <v>168.97987380000001</v>
      </c>
      <c r="H29" s="38">
        <f t="shared" si="3"/>
        <v>9646.7201628365456</v>
      </c>
      <c r="I29" s="36">
        <f t="shared" si="4"/>
        <v>9.2524801097823312E-3</v>
      </c>
      <c r="J29" s="36">
        <f t="shared" si="5"/>
        <v>0.113</v>
      </c>
      <c r="K29" s="36">
        <f t="shared" si="6"/>
        <v>2.5691817033419946E-2</v>
      </c>
      <c r="L29" s="16">
        <f>G29/'Clause 6'!$H$11</f>
        <v>168.97987380000001</v>
      </c>
      <c r="M29">
        <f t="shared" si="7"/>
        <v>5</v>
      </c>
      <c r="O29" s="94">
        <f t="shared" si="10"/>
        <v>3.1855817376045259E-3</v>
      </c>
      <c r="P29" s="94">
        <f t="shared" si="8"/>
        <v>7.1572263181556295E-3</v>
      </c>
      <c r="Q29" s="94">
        <f t="shared" si="8"/>
        <v>8.9950901596660415E-3</v>
      </c>
      <c r="R29" s="94">
        <f t="shared" si="8"/>
        <v>-1.6696726873753898E-2</v>
      </c>
      <c r="S29" s="94">
        <f t="shared" si="8"/>
        <v>-2.6411713416725213E-3</v>
      </c>
    </row>
    <row r="30" spans="1:49" ht="13.15" x14ac:dyDescent="0.4">
      <c r="A30" s="11" t="s">
        <v>86</v>
      </c>
      <c r="B30" s="34">
        <f t="shared" ref="B30:F30" si="30">G74</f>
        <v>125.489891</v>
      </c>
      <c r="C30" s="34">
        <f t="shared" si="30"/>
        <v>127.620346</v>
      </c>
      <c r="D30" s="34">
        <f t="shared" si="30"/>
        <v>124.552628</v>
      </c>
      <c r="E30" s="34">
        <f t="shared" si="30"/>
        <v>124.102829</v>
      </c>
      <c r="F30" s="34">
        <f t="shared" si="30"/>
        <v>127.75515</v>
      </c>
      <c r="G30" s="37">
        <f t="shared" si="2"/>
        <v>125.90416880000001</v>
      </c>
      <c r="H30" s="38">
        <f t="shared" si="3"/>
        <v>7187.6150480835304</v>
      </c>
      <c r="I30" s="36">
        <f t="shared" si="4"/>
        <v>1.21052934110168E-2</v>
      </c>
      <c r="J30" s="36">
        <f t="shared" si="5"/>
        <v>0.113</v>
      </c>
      <c r="K30" s="36">
        <f t="shared" si="6"/>
        <v>2.9008737636017023E-2</v>
      </c>
      <c r="L30" s="16">
        <f>G30/'Clause 6'!$H$11</f>
        <v>125.90416880000001</v>
      </c>
      <c r="M30">
        <f t="shared" si="7"/>
        <v>5</v>
      </c>
      <c r="O30" s="94">
        <f t="shared" si="10"/>
        <v>-3.2904216274053377E-3</v>
      </c>
      <c r="P30" s="94">
        <f t="shared" si="8"/>
        <v>1.3630821094781753E-2</v>
      </c>
      <c r="Q30" s="94">
        <f t="shared" si="8"/>
        <v>-1.0734678707477463E-2</v>
      </c>
      <c r="R30" s="94">
        <f t="shared" si="8"/>
        <v>-1.4307229197958127E-2</v>
      </c>
      <c r="S30" s="94">
        <f t="shared" si="8"/>
        <v>1.4701508438058841E-2</v>
      </c>
    </row>
    <row r="31" spans="1:49" ht="13.15" x14ac:dyDescent="0.4">
      <c r="A31" s="11" t="s">
        <v>87</v>
      </c>
      <c r="B31" s="34">
        <f t="shared" ref="B31:F31" si="31">G75</f>
        <v>91.028937999999997</v>
      </c>
      <c r="C31" s="34">
        <f t="shared" si="31"/>
        <v>93.876662999999994</v>
      </c>
      <c r="D31" s="34">
        <f t="shared" si="31"/>
        <v>91.112762000000004</v>
      </c>
      <c r="E31" s="34">
        <f t="shared" si="31"/>
        <v>90.733528000000007</v>
      </c>
      <c r="F31" s="34">
        <f t="shared" si="31"/>
        <v>96.095962999999998</v>
      </c>
      <c r="G31" s="37">
        <f t="shared" si="2"/>
        <v>92.569570799999994</v>
      </c>
      <c r="H31" s="38">
        <f t="shared" si="3"/>
        <v>5284.6100841476955</v>
      </c>
      <c r="I31" s="36">
        <f t="shared" si="4"/>
        <v>2.2665480079140758E-2</v>
      </c>
      <c r="J31" s="36">
        <f t="shared" si="5"/>
        <v>0.113</v>
      </c>
      <c r="K31" s="36">
        <f t="shared" si="6"/>
        <v>5.7928701123458069E-2</v>
      </c>
      <c r="L31" s="16">
        <f>G31/'Clause 6'!$H$11</f>
        <v>92.569570799999994</v>
      </c>
      <c r="M31">
        <f t="shared" si="7"/>
        <v>5</v>
      </c>
      <c r="O31" s="94">
        <f t="shared" si="10"/>
        <v>-1.6642972271402101E-2</v>
      </c>
      <c r="P31" s="94">
        <f t="shared" si="8"/>
        <v>1.4120106517767184E-2</v>
      </c>
      <c r="Q31" s="94">
        <f t="shared" si="8"/>
        <v>-1.573744792603049E-2</v>
      </c>
      <c r="R31" s="94">
        <f t="shared" si="8"/>
        <v>-1.9834193721896209E-2</v>
      </c>
      <c r="S31" s="94">
        <f t="shared" si="8"/>
        <v>3.809450740156195E-2</v>
      </c>
    </row>
    <row r="32" spans="1:49" ht="13.15" x14ac:dyDescent="0.4">
      <c r="A32" s="11" t="s">
        <v>88</v>
      </c>
      <c r="B32" s="34">
        <f t="shared" ref="B32:F32" si="32">G76</f>
        <v>65.763762999999997</v>
      </c>
      <c r="C32" s="34">
        <f t="shared" si="32"/>
        <v>66.881714000000002</v>
      </c>
      <c r="D32" s="34">
        <f t="shared" si="32"/>
        <v>67.661438000000004</v>
      </c>
      <c r="E32" s="34">
        <f t="shared" si="32"/>
        <v>68.114647000000005</v>
      </c>
      <c r="F32" s="34">
        <f t="shared" si="32"/>
        <v>68.996384000000006</v>
      </c>
      <c r="G32" s="37">
        <f t="shared" si="2"/>
        <v>67.483589200000011</v>
      </c>
      <c r="H32" s="38">
        <f t="shared" si="3"/>
        <v>3852.5019930285839</v>
      </c>
      <c r="I32" s="36">
        <f t="shared" si="4"/>
        <v>1.6284716984835954E-2</v>
      </c>
      <c r="J32" s="36">
        <f t="shared" si="5"/>
        <v>0.11900000000000001</v>
      </c>
      <c r="K32" s="36">
        <f t="shared" si="6"/>
        <v>4.7902327637309609E-2</v>
      </c>
      <c r="L32" s="16">
        <f>G32/'Clause 6'!$H$11</f>
        <v>67.483589200000011</v>
      </c>
      <c r="M32">
        <f t="shared" si="7"/>
        <v>5</v>
      </c>
      <c r="O32" s="94">
        <f t="shared" si="10"/>
        <v>-2.5485102680341987E-2</v>
      </c>
      <c r="P32" s="94">
        <f t="shared" si="8"/>
        <v>-8.9188380039514348E-3</v>
      </c>
      <c r="Q32" s="94">
        <f t="shared" si="8"/>
        <v>2.6354377724768785E-3</v>
      </c>
      <c r="R32" s="94">
        <f t="shared" si="8"/>
        <v>9.3512779548481362E-3</v>
      </c>
      <c r="S32" s="94">
        <f t="shared" si="8"/>
        <v>2.241722495696763E-2</v>
      </c>
    </row>
    <row r="33" spans="1:19" ht="13.15" x14ac:dyDescent="0.4">
      <c r="A33" s="11" t="s">
        <v>89</v>
      </c>
      <c r="B33" s="34">
        <f t="shared" ref="B33:F33" si="33">G77</f>
        <v>48.672615</v>
      </c>
      <c r="C33" s="34">
        <f t="shared" si="33"/>
        <v>46.981589999999997</v>
      </c>
      <c r="D33" s="34">
        <f t="shared" si="33"/>
        <v>47.250092000000002</v>
      </c>
      <c r="E33" s="34">
        <f t="shared" si="33"/>
        <v>47.645851</v>
      </c>
      <c r="F33" s="34">
        <f t="shared" si="33"/>
        <v>48.865268999999998</v>
      </c>
      <c r="G33" s="37">
        <f t="shared" si="2"/>
        <v>47.883083399999997</v>
      </c>
      <c r="H33" s="38">
        <f t="shared" si="3"/>
        <v>2733.5486511267818</v>
      </c>
      <c r="I33" s="36">
        <f t="shared" si="4"/>
        <v>1.5788502165375029E-2</v>
      </c>
      <c r="J33" s="36">
        <f t="shared" si="5"/>
        <v>0.11900000000000001</v>
      </c>
      <c r="K33" s="36">
        <f t="shared" si="6"/>
        <v>3.9339133285639684E-2</v>
      </c>
      <c r="L33" s="16">
        <f>G33/'Clause 6'!$H$11</f>
        <v>47.883083399999997</v>
      </c>
      <c r="M33">
        <f t="shared" si="7"/>
        <v>5</v>
      </c>
      <c r="O33" s="94">
        <f t="shared" si="10"/>
        <v>1.6488737648837404E-2</v>
      </c>
      <c r="P33" s="94">
        <f t="shared" si="8"/>
        <v>-1.8826970528802667E-2</v>
      </c>
      <c r="Q33" s="94">
        <f t="shared" si="8"/>
        <v>-1.3219520445502342E-2</v>
      </c>
      <c r="R33" s="94">
        <f t="shared" si="8"/>
        <v>-4.9544094313691556E-3</v>
      </c>
      <c r="S33" s="94">
        <f t="shared" si="8"/>
        <v>2.0512162756836982E-2</v>
      </c>
    </row>
    <row r="34" spans="1:19" ht="13.15" x14ac:dyDescent="0.4">
      <c r="A34" s="11" t="s">
        <v>90</v>
      </c>
      <c r="B34" s="34">
        <f t="shared" ref="B34:F34" si="34">G78</f>
        <v>34.832500000000003</v>
      </c>
      <c r="C34" s="34">
        <f t="shared" si="34"/>
        <v>33.484119</v>
      </c>
      <c r="D34" s="34">
        <f t="shared" si="34"/>
        <v>33.439861000000001</v>
      </c>
      <c r="E34" s="34">
        <f t="shared" si="34"/>
        <v>34.401336999999998</v>
      </c>
      <c r="F34" s="34">
        <f t="shared" si="34"/>
        <v>35.100406999999997</v>
      </c>
      <c r="G34" s="37">
        <f t="shared" si="2"/>
        <v>34.251644800000001</v>
      </c>
      <c r="H34" s="38">
        <f t="shared" si="3"/>
        <v>1955.3573160644382</v>
      </c>
      <c r="I34" s="36">
        <f t="shared" si="4"/>
        <v>1.9922864620880897E-2</v>
      </c>
      <c r="J34" s="36">
        <f t="shared" si="5"/>
        <v>0.13400000000000001</v>
      </c>
      <c r="K34" s="36">
        <f t="shared" si="6"/>
        <v>4.8480766681312674E-2</v>
      </c>
      <c r="L34" s="16">
        <f>G34/'Clause 6'!$H$11</f>
        <v>34.251644800000001</v>
      </c>
      <c r="M34">
        <f t="shared" si="7"/>
        <v>5</v>
      </c>
      <c r="O34" s="94">
        <f t="shared" si="10"/>
        <v>1.695846151014635E-2</v>
      </c>
      <c r="P34" s="94">
        <f t="shared" si="8"/>
        <v>-2.2408436280409005E-2</v>
      </c>
      <c r="Q34" s="94">
        <f t="shared" si="8"/>
        <v>-2.3700578606957845E-2</v>
      </c>
      <c r="R34" s="94">
        <f t="shared" si="8"/>
        <v>4.3703653028654976E-3</v>
      </c>
      <c r="S34" s="94">
        <f t="shared" si="8"/>
        <v>2.4780188074354781E-2</v>
      </c>
    </row>
    <row r="35" spans="1:19" ht="13.15" x14ac:dyDescent="0.4">
      <c r="A35" s="11" t="s">
        <v>91</v>
      </c>
      <c r="B35" s="34">
        <f t="shared" ref="B35:F35" si="35">G79</f>
        <v>24.429195</v>
      </c>
      <c r="C35" s="34">
        <f t="shared" si="35"/>
        <v>22.668835000000001</v>
      </c>
      <c r="D35" s="34">
        <f t="shared" si="35"/>
        <v>23.885615999999999</v>
      </c>
      <c r="E35" s="34">
        <f t="shared" si="35"/>
        <v>23.822925999999999</v>
      </c>
      <c r="F35" s="34">
        <f t="shared" si="35"/>
        <v>23.142178999999999</v>
      </c>
      <c r="G35" s="37">
        <f t="shared" si="2"/>
        <v>23.589750199999997</v>
      </c>
      <c r="H35" s="38">
        <f t="shared" si="3"/>
        <v>1346.6912583918463</v>
      </c>
      <c r="I35" s="36">
        <f t="shared" si="4"/>
        <v>2.6097202632487247E-2</v>
      </c>
      <c r="J35" s="36">
        <f t="shared" si="5"/>
        <v>0.13400000000000001</v>
      </c>
      <c r="K35" s="36">
        <f t="shared" si="6"/>
        <v>7.4623935610814512E-2</v>
      </c>
      <c r="L35" s="16">
        <f>G35/'Clause 6'!$H$11</f>
        <v>23.589750199999997</v>
      </c>
      <c r="M35">
        <f t="shared" si="7"/>
        <v>5</v>
      </c>
      <c r="O35" s="94">
        <f t="shared" si="10"/>
        <v>3.5585150028422108E-2</v>
      </c>
      <c r="P35" s="94">
        <f t="shared" si="8"/>
        <v>-3.9038785582392266E-2</v>
      </c>
      <c r="Q35" s="94">
        <f t="shared" si="8"/>
        <v>1.2542133659389165E-2</v>
      </c>
      <c r="R35" s="94">
        <f t="shared" si="8"/>
        <v>9.8846235345044775E-3</v>
      </c>
      <c r="S35" s="94">
        <f t="shared" si="8"/>
        <v>-1.8973121639923041E-2</v>
      </c>
    </row>
    <row r="36" spans="1:19" ht="13.15" x14ac:dyDescent="0.4">
      <c r="A36" s="11" t="s">
        <v>92</v>
      </c>
      <c r="B36" s="34">
        <f t="shared" ref="B36:F36" si="36">G80</f>
        <v>16.905374999999999</v>
      </c>
      <c r="C36" s="34">
        <f t="shared" si="36"/>
        <v>15.400964</v>
      </c>
      <c r="D36" s="34">
        <f t="shared" si="36"/>
        <v>16.763359000000001</v>
      </c>
      <c r="E36" s="34">
        <f t="shared" si="36"/>
        <v>17.716688000000001</v>
      </c>
      <c r="F36" s="34">
        <f t="shared" si="36"/>
        <v>16.517838000000001</v>
      </c>
      <c r="G36" s="37">
        <f t="shared" si="2"/>
        <v>16.6608448</v>
      </c>
      <c r="H36" s="38">
        <f t="shared" si="3"/>
        <v>951.13402470803828</v>
      </c>
      <c r="I36" s="36">
        <f t="shared" si="4"/>
        <v>4.4858271206815695E-2</v>
      </c>
      <c r="J36" s="36">
        <f t="shared" si="5"/>
        <v>0.156</v>
      </c>
      <c r="K36" s="36">
        <f t="shared" si="6"/>
        <v>0.13899199157055958</v>
      </c>
      <c r="L36" s="16">
        <f>G36/'Clause 6'!$H$11</f>
        <v>16.6608448</v>
      </c>
      <c r="M36">
        <f t="shared" si="7"/>
        <v>5</v>
      </c>
      <c r="O36" s="94">
        <f t="shared" si="10"/>
        <v>1.4676938830856967E-2</v>
      </c>
      <c r="P36" s="94">
        <f t="shared" si="8"/>
        <v>-7.5619262715897806E-2</v>
      </c>
      <c r="Q36" s="94">
        <f t="shared" si="8"/>
        <v>6.153001317196205E-3</v>
      </c>
      <c r="R36" s="94">
        <f t="shared" si="8"/>
        <v>6.337272885466172E-2</v>
      </c>
      <c r="S36" s="94">
        <f t="shared" si="8"/>
        <v>-8.5834062868167527E-3</v>
      </c>
    </row>
    <row r="37" spans="1:19" ht="13.15" x14ac:dyDescent="0.4">
      <c r="A37" s="11" t="s">
        <v>93</v>
      </c>
      <c r="B37" s="34">
        <f t="shared" ref="B37:F37" si="37">G81</f>
        <v>11.1464</v>
      </c>
      <c r="C37" s="34">
        <f t="shared" si="37"/>
        <v>9.9500609999999998</v>
      </c>
      <c r="D37" s="34">
        <f t="shared" si="37"/>
        <v>10.683384</v>
      </c>
      <c r="E37" s="34">
        <f t="shared" si="37"/>
        <v>10.922423999999999</v>
      </c>
      <c r="F37" s="34">
        <f t="shared" si="37"/>
        <v>11.097922000000001</v>
      </c>
      <c r="G37" s="37">
        <f t="shared" si="2"/>
        <v>10.7600382</v>
      </c>
      <c r="H37" s="38">
        <f t="shared" si="3"/>
        <v>614.26887784095061</v>
      </c>
      <c r="I37" s="36">
        <f t="shared" si="4"/>
        <v>4.0547342459954366E-2</v>
      </c>
      <c r="J37" s="36">
        <f t="shared" si="5"/>
        <v>0.156</v>
      </c>
      <c r="K37" s="36">
        <f t="shared" si="6"/>
        <v>0.11118352721089782</v>
      </c>
      <c r="L37" s="16">
        <f>G37/'Clause 6'!$H$11</f>
        <v>10.7600382</v>
      </c>
      <c r="M37">
        <f t="shared" si="7"/>
        <v>5</v>
      </c>
      <c r="O37" s="94">
        <f t="shared" si="10"/>
        <v>3.5907103006381558E-2</v>
      </c>
      <c r="P37" s="94">
        <f t="shared" si="8"/>
        <v>-7.5276424204516301E-2</v>
      </c>
      <c r="Q37" s="94">
        <f t="shared" si="8"/>
        <v>-7.1239709911067317E-3</v>
      </c>
      <c r="R37" s="94">
        <f t="shared" si="8"/>
        <v>1.5091563522515949E-2</v>
      </c>
      <c r="S37" s="94">
        <f t="shared" si="8"/>
        <v>3.1401728666725415E-2</v>
      </c>
    </row>
    <row r="38" spans="1:19" ht="13.15" x14ac:dyDescent="0.4">
      <c r="A38" s="11" t="s">
        <v>94</v>
      </c>
      <c r="B38" s="34">
        <f t="shared" ref="B38:F38" si="38">G82</f>
        <v>7.2451610000000004</v>
      </c>
      <c r="C38" s="34">
        <f t="shared" si="38"/>
        <v>6.4026480000000001</v>
      </c>
      <c r="D38" s="34">
        <f t="shared" si="38"/>
        <v>7.035399</v>
      </c>
      <c r="E38" s="34">
        <f t="shared" si="38"/>
        <v>6.3642469999999998</v>
      </c>
      <c r="F38" s="34">
        <f t="shared" si="38"/>
        <v>7.3986150000000004</v>
      </c>
      <c r="G38" s="37">
        <f t="shared" si="2"/>
        <v>6.8892139999999999</v>
      </c>
      <c r="H38" s="38">
        <f t="shared" si="3"/>
        <v>393.29133171536193</v>
      </c>
      <c r="I38" s="36">
        <f t="shared" si="4"/>
        <v>6.2260748715104508E-2</v>
      </c>
      <c r="J38" s="36">
        <f t="shared" si="5"/>
        <v>0.193</v>
      </c>
      <c r="K38" s="36">
        <f t="shared" si="6"/>
        <v>0.15014310776236603</v>
      </c>
      <c r="L38" s="16">
        <f>G38/'Clause 6'!$H$11</f>
        <v>6.8892139999999999</v>
      </c>
      <c r="M38">
        <f t="shared" si="7"/>
        <v>5</v>
      </c>
      <c r="O38" s="94">
        <f t="shared" si="10"/>
        <v>5.1667287443821763E-2</v>
      </c>
      <c r="P38" s="94">
        <f t="shared" si="8"/>
        <v>-7.0627215238196928E-2</v>
      </c>
      <c r="Q38" s="94">
        <f t="shared" si="8"/>
        <v>2.1219401806940485E-2</v>
      </c>
      <c r="R38" s="94">
        <f t="shared" si="8"/>
        <v>-7.6201290887465523E-2</v>
      </c>
      <c r="S38" s="94">
        <f t="shared" si="8"/>
        <v>7.3941816874900423E-2</v>
      </c>
    </row>
    <row r="40" spans="1:19" x14ac:dyDescent="0.35">
      <c r="A40" t="s">
        <v>95</v>
      </c>
    </row>
    <row r="41" spans="1:19" ht="15" x14ac:dyDescent="0.5">
      <c r="A41" s="40"/>
      <c r="B41" s="41" t="s">
        <v>96</v>
      </c>
      <c r="C41" s="40"/>
      <c r="D41" s="42" t="s">
        <v>97</v>
      </c>
      <c r="E41" s="43"/>
      <c r="F41" s="43"/>
      <c r="G41" s="43"/>
      <c r="H41" s="44"/>
    </row>
    <row r="42" spans="1:19" ht="15" x14ac:dyDescent="0.5">
      <c r="A42" s="45" t="s">
        <v>98</v>
      </c>
      <c r="B42" s="46" t="s">
        <v>99</v>
      </c>
      <c r="C42" s="45" t="s">
        <v>100</v>
      </c>
      <c r="D42" s="45" t="s">
        <v>101</v>
      </c>
      <c r="E42" s="46" t="s">
        <v>102</v>
      </c>
      <c r="F42" s="46" t="s">
        <v>103</v>
      </c>
      <c r="G42" s="46" t="s">
        <v>104</v>
      </c>
      <c r="H42" s="47" t="s">
        <v>105</v>
      </c>
    </row>
    <row r="43" spans="1:19" x14ac:dyDescent="0.35">
      <c r="A43" s="48">
        <v>10000</v>
      </c>
      <c r="C43" s="48">
        <v>11</v>
      </c>
      <c r="D43" s="48">
        <v>7.8</v>
      </c>
      <c r="E43">
        <v>5.3</v>
      </c>
      <c r="F43">
        <v>4</v>
      </c>
      <c r="G43">
        <v>2.7</v>
      </c>
      <c r="H43" s="49">
        <v>1.8</v>
      </c>
    </row>
    <row r="44" spans="1:19" x14ac:dyDescent="0.35">
      <c r="A44" s="48">
        <v>5000</v>
      </c>
      <c r="B44">
        <v>10000</v>
      </c>
      <c r="C44" s="48">
        <v>11.3</v>
      </c>
      <c r="D44" s="48">
        <v>7.8</v>
      </c>
      <c r="E44">
        <v>5.3</v>
      </c>
      <c r="F44">
        <v>4</v>
      </c>
      <c r="G44">
        <v>2.7</v>
      </c>
      <c r="H44" s="49">
        <v>1.9</v>
      </c>
    </row>
    <row r="45" spans="1:19" x14ac:dyDescent="0.35">
      <c r="A45" s="48">
        <v>2000</v>
      </c>
      <c r="B45">
        <v>5000</v>
      </c>
      <c r="C45" s="48">
        <v>11.9</v>
      </c>
      <c r="D45" s="48">
        <v>7.9</v>
      </c>
      <c r="E45">
        <v>5.4</v>
      </c>
      <c r="F45">
        <v>4.0999999999999996</v>
      </c>
      <c r="G45">
        <v>2.9</v>
      </c>
      <c r="H45" s="49">
        <v>2.1</v>
      </c>
    </row>
    <row r="46" spans="1:19" x14ac:dyDescent="0.35">
      <c r="A46" s="48">
        <v>1000</v>
      </c>
      <c r="B46">
        <v>2000</v>
      </c>
      <c r="C46" s="48">
        <v>13.4</v>
      </c>
      <c r="D46" s="48">
        <v>8</v>
      </c>
      <c r="E46">
        <v>5.6</v>
      </c>
      <c r="F46">
        <v>4.3</v>
      </c>
      <c r="G46">
        <v>3.1</v>
      </c>
      <c r="H46" s="49">
        <v>2.4</v>
      </c>
    </row>
    <row r="47" spans="1:19" x14ac:dyDescent="0.35">
      <c r="A47" s="48">
        <v>500</v>
      </c>
      <c r="B47">
        <v>1000</v>
      </c>
      <c r="C47" s="48">
        <v>15.6</v>
      </c>
      <c r="D47" s="48">
        <v>8.1999999999999993</v>
      </c>
      <c r="E47">
        <v>5.9</v>
      </c>
      <c r="F47">
        <v>4.7</v>
      </c>
      <c r="G47">
        <v>3.6</v>
      </c>
      <c r="H47" s="49">
        <v>2.9</v>
      </c>
    </row>
    <row r="48" spans="1:19" x14ac:dyDescent="0.35">
      <c r="A48" s="48">
        <v>200</v>
      </c>
      <c r="B48">
        <v>500</v>
      </c>
      <c r="C48" s="48">
        <v>19.3</v>
      </c>
      <c r="D48" s="48">
        <v>8.9</v>
      </c>
      <c r="E48">
        <v>6.8</v>
      </c>
      <c r="F48">
        <v>5.7</v>
      </c>
      <c r="G48">
        <v>4.7</v>
      </c>
      <c r="H48" s="49">
        <v>4.0999999999999996</v>
      </c>
    </row>
    <row r="49" spans="1:16" x14ac:dyDescent="0.35">
      <c r="A49" s="50">
        <v>100</v>
      </c>
      <c r="B49" s="51">
        <v>200</v>
      </c>
      <c r="C49" s="50">
        <v>27.5</v>
      </c>
      <c r="D49" s="50">
        <v>10</v>
      </c>
      <c r="E49" s="51">
        <v>8</v>
      </c>
      <c r="F49" s="51">
        <v>7</v>
      </c>
      <c r="G49" s="51">
        <v>6.1</v>
      </c>
      <c r="H49" s="52">
        <v>5.5</v>
      </c>
    </row>
    <row r="51" spans="1:16" x14ac:dyDescent="0.35">
      <c r="A51" s="55">
        <f>'6 - B1'!A51</f>
        <v>0</v>
      </c>
      <c r="B51" s="56" t="str">
        <f>'6 - B1'!B51</f>
        <v>Portion 1</v>
      </c>
      <c r="C51" s="56" t="str">
        <f>'6 - B1'!C51</f>
        <v>Portion 2</v>
      </c>
      <c r="D51" s="56" t="str">
        <f>'6 - B1'!D51</f>
        <v>Portion 3</v>
      </c>
      <c r="E51" s="56" t="str">
        <f>'6 - B1'!E51</f>
        <v>Portion 4</v>
      </c>
      <c r="F51" s="56" t="str">
        <f>'6 - B1'!F51</f>
        <v>Portion 5</v>
      </c>
      <c r="G51" s="56" t="str">
        <f>'6 - B1'!G51</f>
        <v>Portion 1</v>
      </c>
      <c r="H51" s="56" t="str">
        <f>'6 - B1'!H51</f>
        <v>Portion 2</v>
      </c>
      <c r="I51" s="56" t="str">
        <f>'6 - B1'!I51</f>
        <v>Portion 3</v>
      </c>
      <c r="J51" s="56" t="str">
        <f>'6 - B1'!J51</f>
        <v>Portion 4</v>
      </c>
      <c r="K51" s="56" t="str">
        <f>'6 - B1'!K51</f>
        <v>Portion 5</v>
      </c>
      <c r="L51" s="56" t="str">
        <f>'6 - B1'!L51</f>
        <v>Portion 1</v>
      </c>
      <c r="M51" s="56" t="str">
        <f>'6 - B1'!M51</f>
        <v>Portion 2</v>
      </c>
      <c r="N51" s="56" t="str">
        <f>'6 - B1'!N51</f>
        <v>Portion 3</v>
      </c>
      <c r="O51" s="56" t="str">
        <f>'6 - B1'!O51</f>
        <v>Portion 4</v>
      </c>
      <c r="P51" s="56" t="str">
        <f>'6 - B1'!P51</f>
        <v>Portion 5</v>
      </c>
    </row>
    <row r="52" spans="1:16" x14ac:dyDescent="0.35">
      <c r="A52" s="57" t="str">
        <f>'6 - B1'!A52</f>
        <v>NAME\mL</v>
      </c>
      <c r="B52" s="55">
        <f>'6 - B1'!B52</f>
        <v>10.794725</v>
      </c>
      <c r="C52" s="55">
        <f>'6 - B1'!C52</f>
        <v>11.817764</v>
      </c>
      <c r="D52" s="55">
        <f>'6 - B1'!D52</f>
        <v>11.661454000000001</v>
      </c>
      <c r="E52" s="55">
        <f>'6 - B1'!E52</f>
        <v>11.792820000000001</v>
      </c>
      <c r="F52" s="55">
        <f>'6 - B1'!F52</f>
        <v>11.778202</v>
      </c>
      <c r="G52" s="55">
        <f>'6 - B1'!G52</f>
        <v>10.765807000000001</v>
      </c>
      <c r="H52" s="55">
        <f>'6 - B1'!H52</f>
        <v>11.557717999999999</v>
      </c>
      <c r="I52" s="55">
        <f>'6 - B1'!I52</f>
        <v>11.513206</v>
      </c>
      <c r="J52" s="55">
        <f>'6 - B1'!J52</f>
        <v>11.627454999999999</v>
      </c>
      <c r="K52" s="55">
        <f>'6 - B1'!K52</f>
        <v>11.623797</v>
      </c>
      <c r="L52" s="55">
        <f>'6 - B1'!L52</f>
        <v>10.700115</v>
      </c>
      <c r="M52" s="55">
        <f>'6 - B1'!M52</f>
        <v>11.625601</v>
      </c>
      <c r="N52" s="55">
        <f>'6 - B1'!N52</f>
        <v>11.478261</v>
      </c>
      <c r="O52" s="55">
        <f>'6 - B1'!O52</f>
        <v>11.572549</v>
      </c>
      <c r="P52" s="55">
        <f>'6 - B1'!P52</f>
        <v>11.671184</v>
      </c>
    </row>
    <row r="53" spans="1:16" x14ac:dyDescent="0.35">
      <c r="A53" s="57">
        <f>'6 - B1'!A53</f>
        <v>4</v>
      </c>
      <c r="B53" s="55">
        <f>'6 - B1'!B53</f>
        <v>11418.447265999999</v>
      </c>
      <c r="C53" s="55">
        <f>'6 - B1'!C53</f>
        <v>11549.815430000001</v>
      </c>
      <c r="D53" s="55">
        <f>'6 - B1'!D53</f>
        <v>11089.697265999999</v>
      </c>
      <c r="E53" s="55">
        <f>'6 - B1'!E53</f>
        <v>11333.930664</v>
      </c>
      <c r="F53" s="55">
        <f>'6 - B1'!F53</f>
        <v>11386.203125</v>
      </c>
      <c r="G53" s="55">
        <f>'6 - B1'!G53</f>
        <v>12207.909180000001</v>
      </c>
      <c r="H53" s="55">
        <f>'6 - B1'!H53</f>
        <v>12249.043944999999</v>
      </c>
      <c r="I53" s="55">
        <f>'6 - B1'!I53</f>
        <v>12479.756836</v>
      </c>
      <c r="J53" s="55">
        <f>'6 - B1'!J53</f>
        <v>12240.597656</v>
      </c>
      <c r="K53" s="55">
        <f>'6 - B1'!K53</f>
        <v>12626.338867</v>
      </c>
      <c r="L53" s="55">
        <f>'6 - B1'!L53</f>
        <v>12891.916992</v>
      </c>
      <c r="M53" s="55">
        <f>'6 - B1'!M53</f>
        <v>12675.043944999999</v>
      </c>
      <c r="N53" s="55">
        <f>'6 - B1'!N53</f>
        <v>12273.113281</v>
      </c>
      <c r="O53" s="55">
        <f>'6 - B1'!O53</f>
        <v>12978.558594</v>
      </c>
      <c r="P53" s="55">
        <f>'6 - B1'!P53</f>
        <v>12555.024414</v>
      </c>
    </row>
    <row r="54" spans="1:16" x14ac:dyDescent="0.35">
      <c r="A54" s="57">
        <f>'6 - B1'!A54</f>
        <v>5</v>
      </c>
      <c r="B54" s="55">
        <f>'6 - B1'!B54</f>
        <v>10016.373046999999</v>
      </c>
      <c r="C54" s="55">
        <f>'6 - B1'!C54</f>
        <v>10143.965819999999</v>
      </c>
      <c r="D54" s="55">
        <f>'6 - B1'!D54</f>
        <v>9743.2958980000003</v>
      </c>
      <c r="E54" s="55">
        <f>'6 - B1'!E54</f>
        <v>9951.9033199999994</v>
      </c>
      <c r="F54" s="55">
        <f>'6 - B1'!F54</f>
        <v>10031.497069999999</v>
      </c>
      <c r="G54" s="55">
        <f>'6 - B1'!G54</f>
        <v>10687.726562</v>
      </c>
      <c r="H54" s="55">
        <f>'6 - B1'!H54</f>
        <v>10704.015625</v>
      </c>
      <c r="I54" s="55">
        <f>'6 - B1'!I54</f>
        <v>10950.381836</v>
      </c>
      <c r="J54" s="55">
        <f>'6 - B1'!J54</f>
        <v>10724.014648</v>
      </c>
      <c r="K54" s="55">
        <f>'6 - B1'!K54</f>
        <v>11074.349609000001</v>
      </c>
      <c r="L54" s="55">
        <f>'6 - B1'!L54</f>
        <v>11285.486328000001</v>
      </c>
      <c r="M54" s="55">
        <f>'6 - B1'!M54</f>
        <v>11080.803711</v>
      </c>
      <c r="N54" s="55">
        <f>'6 - B1'!N54</f>
        <v>10777.852539</v>
      </c>
      <c r="O54" s="55">
        <f>'6 - B1'!O54</f>
        <v>11384.008789</v>
      </c>
      <c r="P54" s="55">
        <f>'6 - B1'!P54</f>
        <v>11033.842773</v>
      </c>
    </row>
    <row r="55" spans="1:16" x14ac:dyDescent="0.35">
      <c r="A55" s="57">
        <f>'6 - B1'!A55</f>
        <v>6</v>
      </c>
      <c r="B55" s="55">
        <f>'6 - B1'!B55</f>
        <v>8784.6611329999996</v>
      </c>
      <c r="C55" s="55">
        <f>'6 - B1'!C55</f>
        <v>8923.4306639999995</v>
      </c>
      <c r="D55" s="55">
        <f>'6 - B1'!D55</f>
        <v>8549.1054690000001</v>
      </c>
      <c r="E55" s="55">
        <f>'6 - B1'!E55</f>
        <v>8742.2685550000006</v>
      </c>
      <c r="F55" s="55">
        <f>'6 - B1'!F55</f>
        <v>8827.1533199999994</v>
      </c>
      <c r="G55" s="55">
        <f>'6 - B1'!G55</f>
        <v>9371.4296880000002</v>
      </c>
      <c r="H55" s="55">
        <f>'6 - B1'!H55</f>
        <v>9376.4179690000001</v>
      </c>
      <c r="I55" s="55">
        <f>'6 - B1'!I55</f>
        <v>9595.9375</v>
      </c>
      <c r="J55" s="55">
        <f>'6 - B1'!J55</f>
        <v>9400.6816409999992</v>
      </c>
      <c r="K55" s="55">
        <f>'6 - B1'!K55</f>
        <v>9690.6367190000001</v>
      </c>
      <c r="L55" s="55">
        <f>'6 - B1'!L55</f>
        <v>9851.5761719999991</v>
      </c>
      <c r="M55" s="55">
        <f>'6 - B1'!M55</f>
        <v>9710.5517579999996</v>
      </c>
      <c r="N55" s="55">
        <f>'6 - B1'!N55</f>
        <v>9460.4921880000002</v>
      </c>
      <c r="O55" s="55">
        <f>'6 - B1'!O55</f>
        <v>9964.3564449999994</v>
      </c>
      <c r="P55" s="55">
        <f>'6 - B1'!P55</f>
        <v>9702.8720699999994</v>
      </c>
    </row>
    <row r="56" spans="1:16" x14ac:dyDescent="0.35">
      <c r="A56" s="57">
        <f>'6 - B1'!A56</f>
        <v>7</v>
      </c>
      <c r="B56" s="55">
        <f>'6 - B1'!B56</f>
        <v>7685.7905270000001</v>
      </c>
      <c r="C56" s="55">
        <f>'6 - B1'!C56</f>
        <v>7819.1606449999999</v>
      </c>
      <c r="D56" s="55">
        <f>'6 - B1'!D56</f>
        <v>7499.4936520000001</v>
      </c>
      <c r="E56" s="55">
        <f>'6 - B1'!E56</f>
        <v>7655.1665039999998</v>
      </c>
      <c r="F56" s="55">
        <f>'6 - B1'!F56</f>
        <v>7737.1743159999996</v>
      </c>
      <c r="G56" s="55">
        <f>'6 - B1'!G56</f>
        <v>8141.7954099999997</v>
      </c>
      <c r="H56" s="55">
        <f>'6 - B1'!H56</f>
        <v>8174.4506840000004</v>
      </c>
      <c r="I56" s="55">
        <f>'6 - B1'!I56</f>
        <v>8376.1210940000001</v>
      </c>
      <c r="J56" s="55">
        <f>'6 - B1'!J56</f>
        <v>8228.7138670000004</v>
      </c>
      <c r="K56" s="55">
        <f>'6 - B1'!K56</f>
        <v>8446.6376949999994</v>
      </c>
      <c r="L56" s="55">
        <f>'6 - B1'!L56</f>
        <v>8584.2998050000006</v>
      </c>
      <c r="M56" s="55">
        <f>'6 - B1'!M56</f>
        <v>8491.0878909999992</v>
      </c>
      <c r="N56" s="55">
        <f>'6 - B1'!N56</f>
        <v>8266.234375</v>
      </c>
      <c r="O56" s="55">
        <f>'6 - B1'!O56</f>
        <v>8695.1455079999996</v>
      </c>
      <c r="P56" s="55">
        <f>'6 - B1'!P56</f>
        <v>8496.3105469999991</v>
      </c>
    </row>
    <row r="57" spans="1:16" x14ac:dyDescent="0.35">
      <c r="A57" s="57">
        <f>'6 - B1'!A57</f>
        <v>8</v>
      </c>
      <c r="B57" s="55">
        <f>'6 - B1'!B57</f>
        <v>6697.623047</v>
      </c>
      <c r="C57" s="55">
        <f>'6 - B1'!C57</f>
        <v>6810.3408200000003</v>
      </c>
      <c r="D57" s="55">
        <f>'6 - B1'!D57</f>
        <v>6543.8666990000002</v>
      </c>
      <c r="E57" s="55">
        <f>'6 - B1'!E57</f>
        <v>6668.294922</v>
      </c>
      <c r="F57" s="55">
        <f>'6 - B1'!F57</f>
        <v>6748.2285160000001</v>
      </c>
      <c r="G57" s="55">
        <f>'6 - B1'!G57</f>
        <v>7059.5727539999998</v>
      </c>
      <c r="H57" s="55">
        <f>'6 - B1'!H57</f>
        <v>7111.6977539999998</v>
      </c>
      <c r="I57" s="55">
        <f>'6 - B1'!I57</f>
        <v>7271.3891599999997</v>
      </c>
      <c r="J57" s="55">
        <f>'6 - B1'!J57</f>
        <v>7149.7158200000003</v>
      </c>
      <c r="K57" s="55">
        <f>'6 - B1'!K57</f>
        <v>7324.7148440000001</v>
      </c>
      <c r="L57" s="55">
        <f>'6 - B1'!L57</f>
        <v>7460.6674800000001</v>
      </c>
      <c r="M57" s="55">
        <f>'6 - B1'!M57</f>
        <v>7378.1992190000001</v>
      </c>
      <c r="N57" s="55">
        <f>'6 - B1'!N57</f>
        <v>7200.9165039999998</v>
      </c>
      <c r="O57" s="55">
        <f>'6 - B1'!O57</f>
        <v>7554.861328</v>
      </c>
      <c r="P57" s="55">
        <f>'6 - B1'!P57</f>
        <v>7411.4165039999998</v>
      </c>
    </row>
    <row r="58" spans="1:16" x14ac:dyDescent="0.35">
      <c r="A58" s="57">
        <f>'6 - B1'!A58</f>
        <v>9</v>
      </c>
      <c r="B58" s="55">
        <f>'6 - B1'!B58</f>
        <v>5830.5327150000003</v>
      </c>
      <c r="C58" s="55">
        <f>'6 - B1'!C58</f>
        <v>5924.216797</v>
      </c>
      <c r="D58" s="55">
        <f>'6 - B1'!D58</f>
        <v>5700.232422</v>
      </c>
      <c r="E58" s="55">
        <f>'6 - B1'!E58</f>
        <v>5781.8232420000004</v>
      </c>
      <c r="F58" s="55">
        <f>'6 - B1'!F58</f>
        <v>5868.4677730000003</v>
      </c>
      <c r="G58" s="55">
        <f>'6 - B1'!G58</f>
        <v>6098.1958009999998</v>
      </c>
      <c r="H58" s="55">
        <f>'6 - B1'!H58</f>
        <v>6153.03125</v>
      </c>
      <c r="I58" s="55">
        <f>'6 - B1'!I58</f>
        <v>6302.328125</v>
      </c>
      <c r="J58" s="55">
        <f>'6 - B1'!J58</f>
        <v>6189.0585940000001</v>
      </c>
      <c r="K58" s="55">
        <f>'6 - B1'!K58</f>
        <v>6343.2797849999997</v>
      </c>
      <c r="L58" s="55">
        <f>'6 - B1'!L58</f>
        <v>6462.080078</v>
      </c>
      <c r="M58" s="55">
        <f>'6 - B1'!M58</f>
        <v>6390.0351559999999</v>
      </c>
      <c r="N58" s="55">
        <f>'6 - B1'!N58</f>
        <v>6234.3066410000001</v>
      </c>
      <c r="O58" s="55">
        <f>'6 - B1'!O58</f>
        <v>6534.169922</v>
      </c>
      <c r="P58" s="55">
        <f>'6 - B1'!P58</f>
        <v>6428.2255859999996</v>
      </c>
    </row>
    <row r="59" spans="1:16" x14ac:dyDescent="0.35">
      <c r="A59" s="57">
        <f>'6 - B1'!A59</f>
        <v>10</v>
      </c>
      <c r="B59" s="55">
        <f>'6 - B1'!B59</f>
        <v>5028.7524409999996</v>
      </c>
      <c r="C59" s="55">
        <f>'6 - B1'!C59</f>
        <v>5097.2416990000002</v>
      </c>
      <c r="D59" s="55">
        <f>'6 - B1'!D59</f>
        <v>4910.3652339999999</v>
      </c>
      <c r="E59" s="55">
        <f>'6 - B1'!E59</f>
        <v>4992.2749020000001</v>
      </c>
      <c r="F59" s="55">
        <f>'6 - B1'!F59</f>
        <v>5059.9404299999997</v>
      </c>
      <c r="G59" s="55">
        <f>'6 - B1'!G59</f>
        <v>5234.9072269999997</v>
      </c>
      <c r="H59" s="55">
        <f>'6 - B1'!H59</f>
        <v>5294.8168949999999</v>
      </c>
      <c r="I59" s="55">
        <f>'6 - B1'!I59</f>
        <v>5401.970703</v>
      </c>
      <c r="J59" s="55">
        <f>'6 - B1'!J59</f>
        <v>5302.0200199999999</v>
      </c>
      <c r="K59" s="55">
        <f>'6 - B1'!K59</f>
        <v>5444.9501950000003</v>
      </c>
      <c r="L59" s="55">
        <f>'6 - B1'!L59</f>
        <v>5549.3793949999999</v>
      </c>
      <c r="M59" s="55">
        <f>'6 - B1'!M59</f>
        <v>5497.7802730000003</v>
      </c>
      <c r="N59" s="55">
        <f>'6 - B1'!N59</f>
        <v>5358.9125979999999</v>
      </c>
      <c r="O59" s="55">
        <f>'6 - B1'!O59</f>
        <v>5609.8271480000003</v>
      </c>
      <c r="P59" s="55">
        <f>'6 - B1'!P59</f>
        <v>5524.0327150000003</v>
      </c>
    </row>
    <row r="60" spans="1:16" x14ac:dyDescent="0.35">
      <c r="A60" s="57">
        <f>'6 - B1'!A60</f>
        <v>11</v>
      </c>
      <c r="B60" s="55">
        <f>'6 - B1'!B60</f>
        <v>4274.4023440000001</v>
      </c>
      <c r="C60" s="55">
        <f>'6 - B1'!C60</f>
        <v>4351.0766599999997</v>
      </c>
      <c r="D60" s="55">
        <f>'6 - B1'!D60</f>
        <v>4191.2441410000001</v>
      </c>
      <c r="E60" s="55">
        <f>'6 - B1'!E60</f>
        <v>4261.8305659999996</v>
      </c>
      <c r="F60" s="55">
        <f>'6 - B1'!F60</f>
        <v>4317.4672849999997</v>
      </c>
      <c r="G60" s="55">
        <f>'6 - B1'!G60</f>
        <v>4462.8330079999996</v>
      </c>
      <c r="H60" s="55">
        <f>'6 - B1'!H60</f>
        <v>4495.2646480000003</v>
      </c>
      <c r="I60" s="55">
        <f>'6 - B1'!I60</f>
        <v>4585.6040039999998</v>
      </c>
      <c r="J60" s="55">
        <f>'6 - B1'!J60</f>
        <v>4500.8129879999997</v>
      </c>
      <c r="K60" s="55">
        <f>'6 - B1'!K60</f>
        <v>4608.21875</v>
      </c>
      <c r="L60" s="55">
        <f>'6 - B1'!L60</f>
        <v>4722.0986329999996</v>
      </c>
      <c r="M60" s="55">
        <f>'6 - B1'!M60</f>
        <v>4676.0595700000003</v>
      </c>
      <c r="N60" s="55">
        <f>'6 - B1'!N60</f>
        <v>4535.9658200000003</v>
      </c>
      <c r="O60" s="55">
        <f>'6 - B1'!O60</f>
        <v>4764.1191410000001</v>
      </c>
      <c r="P60" s="55">
        <f>'6 - B1'!P60</f>
        <v>4694.2109380000002</v>
      </c>
    </row>
    <row r="61" spans="1:16" x14ac:dyDescent="0.35">
      <c r="A61" s="57">
        <f>'6 - B1'!A61</f>
        <v>12</v>
      </c>
      <c r="B61" s="55">
        <f>'6 - B1'!B61</f>
        <v>3616.9516600000002</v>
      </c>
      <c r="C61" s="55">
        <f>'6 - B1'!C61</f>
        <v>3667.0219729999999</v>
      </c>
      <c r="D61" s="55">
        <f>'6 - B1'!D61</f>
        <v>3546.0415039999998</v>
      </c>
      <c r="E61" s="55">
        <f>'6 - B1'!E61</f>
        <v>3582.5187989999999</v>
      </c>
      <c r="F61" s="55">
        <f>'6 - B1'!F61</f>
        <v>3637.9916990000002</v>
      </c>
      <c r="G61" s="55">
        <f>'6 - B1'!G61</f>
        <v>3753.8291020000001</v>
      </c>
      <c r="H61" s="55">
        <f>'6 - B1'!H61</f>
        <v>3773.5822750000002</v>
      </c>
      <c r="I61" s="55">
        <f>'6 - B1'!I61</f>
        <v>3844.0207519999999</v>
      </c>
      <c r="J61" s="55">
        <f>'6 - B1'!J61</f>
        <v>3749.6599120000001</v>
      </c>
      <c r="K61" s="55">
        <f>'6 - B1'!K61</f>
        <v>3858.3776859999998</v>
      </c>
      <c r="L61" s="55">
        <f>'6 - B1'!L61</f>
        <v>3979.6767580000001</v>
      </c>
      <c r="M61" s="55">
        <f>'6 - B1'!M61</f>
        <v>3930.4636230000001</v>
      </c>
      <c r="N61" s="55">
        <f>'6 - B1'!N61</f>
        <v>3812.0756839999999</v>
      </c>
      <c r="O61" s="55">
        <f>'6 - B1'!O61</f>
        <v>3993.329346</v>
      </c>
      <c r="P61" s="55">
        <f>'6 - B1'!P61</f>
        <v>3929.5927729999999</v>
      </c>
    </row>
    <row r="62" spans="1:16" x14ac:dyDescent="0.35">
      <c r="A62" s="57">
        <f>'6 - B1'!A62</f>
        <v>13</v>
      </c>
      <c r="B62" s="55">
        <f>'6 - B1'!B62</f>
        <v>3011.3781739999999</v>
      </c>
      <c r="C62" s="55">
        <f>'6 - B1'!C62</f>
        <v>3055.4848630000001</v>
      </c>
      <c r="D62" s="55">
        <f>'6 - B1'!D62</f>
        <v>2964.6389159999999</v>
      </c>
      <c r="E62" s="55">
        <f>'6 - B1'!E62</f>
        <v>2975.7937010000001</v>
      </c>
      <c r="F62" s="55">
        <f>'6 - B1'!F62</f>
        <v>3031.2775879999999</v>
      </c>
      <c r="G62" s="55">
        <f>'6 - B1'!G62</f>
        <v>3102.0432129999999</v>
      </c>
      <c r="H62" s="55">
        <f>'6 - B1'!H62</f>
        <v>3118.7817380000001</v>
      </c>
      <c r="I62" s="55">
        <f>'6 - B1'!I62</f>
        <v>3167.0588379999999</v>
      </c>
      <c r="J62" s="55">
        <f>'6 - B1'!J62</f>
        <v>3100.2485350000002</v>
      </c>
      <c r="K62" s="55">
        <f>'6 - B1'!K62</f>
        <v>3190.0073240000002</v>
      </c>
      <c r="L62" s="55">
        <f>'6 - B1'!L62</f>
        <v>3302.7680660000001</v>
      </c>
      <c r="M62" s="55">
        <f>'6 - B1'!M62</f>
        <v>3259.186279</v>
      </c>
      <c r="N62" s="55">
        <f>'6 - B1'!N62</f>
        <v>3153.0036620000001</v>
      </c>
      <c r="O62" s="55">
        <f>'6 - B1'!O62</f>
        <v>3314.9135740000002</v>
      </c>
      <c r="P62" s="55">
        <f>'6 - B1'!P62</f>
        <v>3245.2578119999998</v>
      </c>
    </row>
    <row r="63" spans="1:16" x14ac:dyDescent="0.35">
      <c r="A63" s="57">
        <f>'6 - B1'!A63</f>
        <v>14</v>
      </c>
      <c r="B63" s="55">
        <f>'6 - B1'!B63</f>
        <v>2469.6320799999999</v>
      </c>
      <c r="C63" s="55">
        <f>'6 - B1'!C63</f>
        <v>2504.0268550000001</v>
      </c>
      <c r="D63" s="55">
        <f>'6 - B1'!D63</f>
        <v>2423.540039</v>
      </c>
      <c r="E63" s="55">
        <f>'6 - B1'!E63</f>
        <v>2438.7719729999999</v>
      </c>
      <c r="F63" s="55">
        <f>'6 - B1'!F63</f>
        <v>2472.1938479999999</v>
      </c>
      <c r="G63" s="55">
        <f>'6 - B1'!G63</f>
        <v>2520.4797359999998</v>
      </c>
      <c r="H63" s="55">
        <f>'6 - B1'!H63</f>
        <v>2536.0541990000002</v>
      </c>
      <c r="I63" s="55">
        <f>'6 - B1'!I63</f>
        <v>2568.876221</v>
      </c>
      <c r="J63" s="55">
        <f>'6 - B1'!J63</f>
        <v>2521.2741700000001</v>
      </c>
      <c r="K63" s="55">
        <f>'6 - B1'!K63</f>
        <v>2587.1064449999999</v>
      </c>
      <c r="L63" s="55">
        <f>'6 - B1'!L63</f>
        <v>2695.1110840000001</v>
      </c>
      <c r="M63" s="55">
        <f>'6 - B1'!M63</f>
        <v>2647.3471679999998</v>
      </c>
      <c r="N63" s="55">
        <f>'6 - B1'!N63</f>
        <v>2566.7651369999999</v>
      </c>
      <c r="O63" s="55">
        <f>'6 - B1'!O63</f>
        <v>2700.0102539999998</v>
      </c>
      <c r="P63" s="55">
        <f>'6 - B1'!P63</f>
        <v>2631.1813959999999</v>
      </c>
    </row>
    <row r="64" spans="1:16" x14ac:dyDescent="0.35">
      <c r="A64" s="57">
        <f>'6 - B1'!A64</f>
        <v>15</v>
      </c>
      <c r="B64" s="55">
        <f>'6 - B1'!B64</f>
        <v>1989.7680660000001</v>
      </c>
      <c r="C64" s="55">
        <f>'6 - B1'!C64</f>
        <v>2008.4171140000001</v>
      </c>
      <c r="D64" s="55">
        <f>'6 - B1'!D64</f>
        <v>1944.8688959999999</v>
      </c>
      <c r="E64" s="55">
        <f>'6 - B1'!E64</f>
        <v>1951.356812</v>
      </c>
      <c r="F64" s="55">
        <f>'6 - B1'!F64</f>
        <v>1985.1926269999999</v>
      </c>
      <c r="G64" s="55">
        <f>'6 - B1'!G64</f>
        <v>2012.7613530000001</v>
      </c>
      <c r="H64" s="55">
        <f>'6 - B1'!H64</f>
        <v>2013.8057859999999</v>
      </c>
      <c r="I64" s="55">
        <f>'6 - B1'!I64</f>
        <v>2055.1184079999998</v>
      </c>
      <c r="J64" s="55">
        <f>'6 - B1'!J64</f>
        <v>2017.208496</v>
      </c>
      <c r="K64" s="55">
        <f>'6 - B1'!K64</f>
        <v>2061.3745119999999</v>
      </c>
      <c r="L64" s="55">
        <f>'6 - B1'!L64</f>
        <v>2150.7246089999999</v>
      </c>
      <c r="M64" s="55">
        <f>'6 - B1'!M64</f>
        <v>2115.8476559999999</v>
      </c>
      <c r="N64" s="55">
        <f>'6 - B1'!N64</f>
        <v>2046.4772949999999</v>
      </c>
      <c r="O64" s="55">
        <f>'6 - B1'!O64</f>
        <v>2161.9265140000002</v>
      </c>
      <c r="P64" s="55">
        <f>'6 - B1'!P64</f>
        <v>2110.0688479999999</v>
      </c>
    </row>
    <row r="65" spans="1:16" x14ac:dyDescent="0.35">
      <c r="A65" s="57">
        <f>'6 - B1'!A65</f>
        <v>16</v>
      </c>
      <c r="B65" s="55">
        <f>'6 - B1'!B65</f>
        <v>1566.320557</v>
      </c>
      <c r="C65" s="55">
        <f>'6 - B1'!C65</f>
        <v>1587.4406739999999</v>
      </c>
      <c r="D65" s="55">
        <f>'6 - B1'!D65</f>
        <v>1542.174683</v>
      </c>
      <c r="E65" s="55">
        <f>'6 - B1'!E65</f>
        <v>1543.990356</v>
      </c>
      <c r="F65" s="55">
        <f>'6 - B1'!F65</f>
        <v>1557.1137699999999</v>
      </c>
      <c r="G65" s="55">
        <f>'6 - B1'!G65</f>
        <v>1571.0852050000001</v>
      </c>
      <c r="H65" s="55">
        <f>'6 - B1'!H65</f>
        <v>1571.8500979999999</v>
      </c>
      <c r="I65" s="55">
        <f>'6 - B1'!I65</f>
        <v>1602.594482</v>
      </c>
      <c r="J65" s="55">
        <f>'6 - B1'!J65</f>
        <v>1572.0551760000001</v>
      </c>
      <c r="K65" s="55">
        <f>'6 - B1'!K65</f>
        <v>1605.2413329999999</v>
      </c>
      <c r="L65" s="55">
        <f>'6 - B1'!L65</f>
        <v>1696.243408</v>
      </c>
      <c r="M65" s="55">
        <f>'6 - B1'!M65</f>
        <v>1658.0648189999999</v>
      </c>
      <c r="N65" s="55">
        <f>'6 - B1'!N65</f>
        <v>1602.159058</v>
      </c>
      <c r="O65" s="55">
        <f>'6 - B1'!O65</f>
        <v>1695.391357</v>
      </c>
      <c r="P65" s="55">
        <f>'6 - B1'!P65</f>
        <v>1646.4482419999999</v>
      </c>
    </row>
    <row r="66" spans="1:16" x14ac:dyDescent="0.35">
      <c r="A66" s="57">
        <f>'6 - B1'!A66</f>
        <v>17</v>
      </c>
      <c r="B66" s="55">
        <f>'6 - B1'!B66</f>
        <v>1211.6102289999999</v>
      </c>
      <c r="C66" s="55">
        <f>'6 - B1'!C66</f>
        <v>1227.051025</v>
      </c>
      <c r="D66" s="55">
        <f>'6 - B1'!D66</f>
        <v>1197.535034</v>
      </c>
      <c r="E66" s="55">
        <f>'6 - B1'!E66</f>
        <v>1194.4555660000001</v>
      </c>
      <c r="F66" s="55">
        <f>'6 - B1'!F66</f>
        <v>1213.3431399999999</v>
      </c>
      <c r="G66" s="55">
        <f>'6 - B1'!G66</f>
        <v>1206.0405270000001</v>
      </c>
      <c r="H66" s="55">
        <f>'6 - B1'!H66</f>
        <v>1210.3599850000001</v>
      </c>
      <c r="I66" s="55">
        <f>'6 - B1'!I66</f>
        <v>1229.457764</v>
      </c>
      <c r="J66" s="55">
        <f>'6 - B1'!J66</f>
        <v>1207.229004</v>
      </c>
      <c r="K66" s="55">
        <f>'6 - B1'!K66</f>
        <v>1222.234009</v>
      </c>
      <c r="L66" s="55">
        <f>'6 - B1'!L66</f>
        <v>1305.593384</v>
      </c>
      <c r="M66" s="55">
        <f>'6 - B1'!M66</f>
        <v>1272.708374</v>
      </c>
      <c r="N66" s="55">
        <f>'6 - B1'!N66</f>
        <v>1229.193115</v>
      </c>
      <c r="O66" s="55">
        <f>'6 - B1'!O66</f>
        <v>1294.874634</v>
      </c>
      <c r="P66" s="55">
        <f>'6 - B1'!P66</f>
        <v>1275.2777100000001</v>
      </c>
    </row>
    <row r="67" spans="1:16" x14ac:dyDescent="0.35">
      <c r="A67" s="57">
        <f>'6 - B1'!A67</f>
        <v>18</v>
      </c>
      <c r="B67" s="55">
        <f>'6 - B1'!B67</f>
        <v>932.39984100000004</v>
      </c>
      <c r="C67" s="55">
        <f>'6 - B1'!C67</f>
        <v>939.01007100000004</v>
      </c>
      <c r="D67" s="55">
        <f>'6 - B1'!D67</f>
        <v>916.52374299999997</v>
      </c>
      <c r="E67" s="55">
        <f>'6 - B1'!E67</f>
        <v>907.92535399999997</v>
      </c>
      <c r="F67" s="55">
        <f>'6 - B1'!F67</f>
        <v>927.30621299999996</v>
      </c>
      <c r="G67" s="55">
        <f>'6 - B1'!G67</f>
        <v>918.74206500000003</v>
      </c>
      <c r="H67" s="55">
        <f>'6 - B1'!H67</f>
        <v>915.05950900000005</v>
      </c>
      <c r="I67" s="55">
        <f>'6 - B1'!I67</f>
        <v>928.06475799999998</v>
      </c>
      <c r="J67" s="55">
        <f>'6 - B1'!J67</f>
        <v>907.59332300000005</v>
      </c>
      <c r="K67" s="55">
        <f>'6 - B1'!K67</f>
        <v>929.64453100000003</v>
      </c>
      <c r="L67" s="55">
        <f>'6 - B1'!L67</f>
        <v>1001.297607</v>
      </c>
      <c r="M67" s="55">
        <f>'6 - B1'!M67</f>
        <v>964.07922399999995</v>
      </c>
      <c r="N67" s="55">
        <f>'6 - B1'!N67</f>
        <v>933.939392</v>
      </c>
      <c r="O67" s="55">
        <f>'6 - B1'!O67</f>
        <v>981.97900400000003</v>
      </c>
      <c r="P67" s="55">
        <f>'6 - B1'!P67</f>
        <v>972.30926499999998</v>
      </c>
    </row>
    <row r="68" spans="1:16" x14ac:dyDescent="0.35">
      <c r="A68" s="57">
        <f>'6 - B1'!A68</f>
        <v>19</v>
      </c>
      <c r="B68" s="55">
        <f>'6 - B1'!B68</f>
        <v>713.03344700000002</v>
      </c>
      <c r="C68" s="55">
        <f>'6 - B1'!C68</f>
        <v>711.21740699999998</v>
      </c>
      <c r="D68" s="55">
        <f>'6 - B1'!D68</f>
        <v>694.76757799999996</v>
      </c>
      <c r="E68" s="55">
        <f>'6 - B1'!E68</f>
        <v>692.37042199999996</v>
      </c>
      <c r="F68" s="55">
        <f>'6 - B1'!F68</f>
        <v>704.86138900000003</v>
      </c>
      <c r="G68" s="55">
        <f>'6 - B1'!G68</f>
        <v>692.65594499999997</v>
      </c>
      <c r="H68" s="55">
        <f>'6 - B1'!H68</f>
        <v>692.26464799999997</v>
      </c>
      <c r="I68" s="55">
        <f>'6 - B1'!I68</f>
        <v>700.76055899999994</v>
      </c>
      <c r="J68" s="55">
        <f>'6 - B1'!J68</f>
        <v>683.38256799999999</v>
      </c>
      <c r="K68" s="55">
        <f>'6 - B1'!K68</f>
        <v>697.87866199999996</v>
      </c>
      <c r="L68" s="55">
        <f>'6 - B1'!L68</f>
        <v>759.52453600000001</v>
      </c>
      <c r="M68" s="55">
        <f>'6 - B1'!M68</f>
        <v>730.11279300000001</v>
      </c>
      <c r="N68" s="55">
        <f>'6 - B1'!N68</f>
        <v>702.63256799999999</v>
      </c>
      <c r="O68" s="55">
        <f>'6 - B1'!O68</f>
        <v>741.84173599999997</v>
      </c>
      <c r="P68" s="55">
        <f>'6 - B1'!P68</f>
        <v>727.86108400000001</v>
      </c>
    </row>
    <row r="69" spans="1:16" x14ac:dyDescent="0.35">
      <c r="A69" s="57">
        <f>'6 - B1'!A69</f>
        <v>20</v>
      </c>
      <c r="B69" s="55">
        <f>'6 - B1'!B69</f>
        <v>536.83624299999997</v>
      </c>
      <c r="C69" s="55">
        <f>'6 - B1'!C69</f>
        <v>535.38043200000004</v>
      </c>
      <c r="D69" s="55">
        <f>'6 - B1'!D69</f>
        <v>529.60803199999998</v>
      </c>
      <c r="E69" s="55">
        <f>'6 - B1'!E69</f>
        <v>527.10040300000003</v>
      </c>
      <c r="F69" s="55">
        <f>'6 - B1'!F69</f>
        <v>536.75427200000001</v>
      </c>
      <c r="G69" s="55">
        <f>'6 - B1'!G69</f>
        <v>525.18127400000003</v>
      </c>
      <c r="H69" s="55">
        <f>'6 - B1'!H69</f>
        <v>523.20013400000005</v>
      </c>
      <c r="I69" s="55">
        <f>'6 - B1'!I69</f>
        <v>529.56579599999998</v>
      </c>
      <c r="J69" s="55">
        <f>'6 - B1'!J69</f>
        <v>512.40789800000005</v>
      </c>
      <c r="K69" s="55">
        <f>'6 - B1'!K69</f>
        <v>526.33404499999995</v>
      </c>
      <c r="L69" s="55">
        <f>'6 - B1'!L69</f>
        <v>576.44238299999995</v>
      </c>
      <c r="M69" s="55">
        <f>'6 - B1'!M69</f>
        <v>553.17571999999996</v>
      </c>
      <c r="N69" s="55">
        <f>'6 - B1'!N69</f>
        <v>529.78405799999996</v>
      </c>
      <c r="O69" s="55">
        <f>'6 - B1'!O69</f>
        <v>555.53881799999999</v>
      </c>
      <c r="P69" s="55">
        <f>'6 - B1'!P69</f>
        <v>549.98706100000004</v>
      </c>
    </row>
    <row r="70" spans="1:16" x14ac:dyDescent="0.35">
      <c r="A70" s="57">
        <f>'6 - B1'!A70</f>
        <v>21</v>
      </c>
      <c r="B70" s="55">
        <f>'6 - B1'!B70</f>
        <v>406.30954000000003</v>
      </c>
      <c r="C70" s="55">
        <f>'6 - B1'!C70</f>
        <v>409.21444700000001</v>
      </c>
      <c r="D70" s="55">
        <f>'6 - B1'!D70</f>
        <v>402.00817899999998</v>
      </c>
      <c r="E70" s="55">
        <f>'6 - B1'!E70</f>
        <v>404.05941799999999</v>
      </c>
      <c r="F70" s="55">
        <f>'6 - B1'!F70</f>
        <v>406.85327100000001</v>
      </c>
      <c r="G70" s="55">
        <f>'6 - B1'!G70</f>
        <v>394.86123700000002</v>
      </c>
      <c r="H70" s="55">
        <f>'6 - B1'!H70</f>
        <v>390.99414100000001</v>
      </c>
      <c r="I70" s="55">
        <f>'6 - B1'!I70</f>
        <v>399.88864100000001</v>
      </c>
      <c r="J70" s="55">
        <f>'6 - B1'!J70</f>
        <v>383.23089599999997</v>
      </c>
      <c r="K70" s="55">
        <f>'6 - B1'!K70</f>
        <v>389.63171399999999</v>
      </c>
      <c r="L70" s="55">
        <f>'6 - B1'!L70</f>
        <v>438.49993899999998</v>
      </c>
      <c r="M70" s="55">
        <f>'6 - B1'!M70</f>
        <v>422.51580799999999</v>
      </c>
      <c r="N70" s="55">
        <f>'6 - B1'!N70</f>
        <v>401.36743200000001</v>
      </c>
      <c r="O70" s="55">
        <f>'6 - B1'!O70</f>
        <v>420.82345600000002</v>
      </c>
      <c r="P70" s="55">
        <f>'6 - B1'!P70</f>
        <v>416.41021699999999</v>
      </c>
    </row>
    <row r="71" spans="1:16" x14ac:dyDescent="0.35">
      <c r="A71" s="57">
        <f>'6 - B1'!A71</f>
        <v>22</v>
      </c>
      <c r="B71" s="55">
        <f>'6 - B1'!B71</f>
        <v>309.68829299999999</v>
      </c>
      <c r="C71" s="55">
        <f>'6 - B1'!C71</f>
        <v>314.018799</v>
      </c>
      <c r="D71" s="55">
        <f>'6 - B1'!D71</f>
        <v>307.76608299999998</v>
      </c>
      <c r="E71" s="55">
        <f>'6 - B1'!E71</f>
        <v>306.71203600000001</v>
      </c>
      <c r="F71" s="55">
        <f>'6 - B1'!F71</f>
        <v>309.979401</v>
      </c>
      <c r="G71" s="55">
        <f>'6 - B1'!G71</f>
        <v>296.772919</v>
      </c>
      <c r="H71" s="55">
        <f>'6 - B1'!H71</f>
        <v>296.77139299999999</v>
      </c>
      <c r="I71" s="55">
        <f>'6 - B1'!I71</f>
        <v>301.74047899999999</v>
      </c>
      <c r="J71" s="55">
        <f>'6 - B1'!J71</f>
        <v>290.34728999999999</v>
      </c>
      <c r="K71" s="55">
        <f>'6 - B1'!K71</f>
        <v>296.202698</v>
      </c>
      <c r="L71" s="55">
        <f>'6 - B1'!L71</f>
        <v>333.45434599999999</v>
      </c>
      <c r="M71" s="55">
        <f>'6 - B1'!M71</f>
        <v>318.349152</v>
      </c>
      <c r="N71" s="55">
        <f>'6 - B1'!N71</f>
        <v>306.405304</v>
      </c>
      <c r="O71" s="55">
        <f>'6 - B1'!O71</f>
        <v>319.46289100000001</v>
      </c>
      <c r="P71" s="55">
        <f>'6 - B1'!P71</f>
        <v>315.22082499999999</v>
      </c>
    </row>
    <row r="72" spans="1:16" x14ac:dyDescent="0.35">
      <c r="A72" s="57">
        <f>'6 - B1'!A72</f>
        <v>23</v>
      </c>
      <c r="B72" s="55">
        <f>'6 - B1'!B72</f>
        <v>233.53997799999999</v>
      </c>
      <c r="C72" s="55">
        <f>'6 - B1'!C72</f>
        <v>239.97770700000001</v>
      </c>
      <c r="D72" s="55">
        <f>'6 - B1'!D72</f>
        <v>235.81964099999999</v>
      </c>
      <c r="E72" s="55">
        <f>'6 - B1'!E72</f>
        <v>234.29510500000001</v>
      </c>
      <c r="F72" s="55">
        <f>'6 - B1'!F72</f>
        <v>234.67079200000001</v>
      </c>
      <c r="G72" s="55">
        <f>'6 - B1'!G72</f>
        <v>224.04264800000001</v>
      </c>
      <c r="H72" s="55">
        <f>'6 - B1'!H72</f>
        <v>223.31397999999999</v>
      </c>
      <c r="I72" s="55">
        <f>'6 - B1'!I72</f>
        <v>227.21734599999999</v>
      </c>
      <c r="J72" s="55">
        <f>'6 - B1'!J72</f>
        <v>219.99655200000001</v>
      </c>
      <c r="K72" s="55">
        <f>'6 - B1'!K72</f>
        <v>223.42095900000001</v>
      </c>
      <c r="L72" s="55">
        <f>'6 - B1'!L72</f>
        <v>253.64213599999999</v>
      </c>
      <c r="M72" s="55">
        <f>'6 - B1'!M72</f>
        <v>239.81556699999999</v>
      </c>
      <c r="N72" s="55">
        <f>'6 - B1'!N72</f>
        <v>227.996216</v>
      </c>
      <c r="O72" s="55">
        <f>'6 - B1'!O72</f>
        <v>247.39579800000001</v>
      </c>
      <c r="P72" s="55">
        <f>'6 - B1'!P72</f>
        <v>238.79325900000001</v>
      </c>
    </row>
    <row r="73" spans="1:16" x14ac:dyDescent="0.35">
      <c r="A73" s="57">
        <f>'6 - B1'!A73</f>
        <v>24</v>
      </c>
      <c r="B73" s="55">
        <f>'6 - B1'!B73</f>
        <v>175.45605499999999</v>
      </c>
      <c r="C73" s="55">
        <f>'6 - B1'!C73</f>
        <v>178.544769</v>
      </c>
      <c r="D73" s="55">
        <f>'6 - B1'!D73</f>
        <v>177.50787399999999</v>
      </c>
      <c r="E73" s="55">
        <f>'6 - B1'!E73</f>
        <v>176.29371599999999</v>
      </c>
      <c r="F73" s="55">
        <f>'6 - B1'!F73</f>
        <v>176.51251199999999</v>
      </c>
      <c r="G73" s="55">
        <f>'6 - B1'!G73</f>
        <v>169.51817299999999</v>
      </c>
      <c r="H73" s="55">
        <f>'6 - B1'!H73</f>
        <v>170.189301</v>
      </c>
      <c r="I73" s="55">
        <f>'6 - B1'!I73</f>
        <v>170.499863</v>
      </c>
      <c r="J73" s="55">
        <f>'6 - B1'!J73</f>
        <v>166.15846300000001</v>
      </c>
      <c r="K73" s="55">
        <f>'6 - B1'!K73</f>
        <v>168.533569</v>
      </c>
      <c r="L73" s="55">
        <f>'6 - B1'!L73</f>
        <v>184.01670799999999</v>
      </c>
      <c r="M73" s="55">
        <f>'6 - B1'!M73</f>
        <v>182.528198</v>
      </c>
      <c r="N73" s="55">
        <f>'6 - B1'!N73</f>
        <v>174.590912</v>
      </c>
      <c r="O73" s="55">
        <f>'6 - B1'!O73</f>
        <v>185.69807399999999</v>
      </c>
      <c r="P73" s="55">
        <f>'6 - B1'!P73</f>
        <v>181.55827300000001</v>
      </c>
    </row>
    <row r="74" spans="1:16" x14ac:dyDescent="0.35">
      <c r="A74" s="57">
        <f>'6 - B1'!A74</f>
        <v>25</v>
      </c>
      <c r="B74" s="55">
        <f>'6 - B1'!B74</f>
        <v>131.82363900000001</v>
      </c>
      <c r="C74" s="55">
        <f>'6 - B1'!C74</f>
        <v>133.18931599999999</v>
      </c>
      <c r="D74" s="55">
        <f>'6 - B1'!D74</f>
        <v>132.65927099999999</v>
      </c>
      <c r="E74" s="55">
        <f>'6 - B1'!E74</f>
        <v>130.75752299999999</v>
      </c>
      <c r="F74" s="55">
        <f>'6 - B1'!F74</f>
        <v>131.853745</v>
      </c>
      <c r="G74" s="55">
        <f>'6 - B1'!G74</f>
        <v>125.489891</v>
      </c>
      <c r="H74" s="55">
        <f>'6 - B1'!H74</f>
        <v>127.620346</v>
      </c>
      <c r="I74" s="55">
        <f>'6 - B1'!I74</f>
        <v>124.552628</v>
      </c>
      <c r="J74" s="55">
        <f>'6 - B1'!J74</f>
        <v>124.102829</v>
      </c>
      <c r="K74" s="55">
        <f>'6 - B1'!K74</f>
        <v>127.75515</v>
      </c>
      <c r="L74" s="55">
        <f>'6 - B1'!L74</f>
        <v>138.97045900000001</v>
      </c>
      <c r="M74" s="55">
        <f>'6 - B1'!M74</f>
        <v>136.165009</v>
      </c>
      <c r="N74" s="55">
        <f>'6 - B1'!N74</f>
        <v>132.16287199999999</v>
      </c>
      <c r="O74" s="55">
        <f>'6 - B1'!O74</f>
        <v>138.69027700000001</v>
      </c>
      <c r="P74" s="55">
        <f>'6 - B1'!P74</f>
        <v>135.718887</v>
      </c>
    </row>
    <row r="75" spans="1:16" x14ac:dyDescent="0.35">
      <c r="A75" s="57">
        <f>'6 - B1'!A75</f>
        <v>26</v>
      </c>
      <c r="B75" s="55">
        <f>'6 - B1'!B75</f>
        <v>96.435989000000006</v>
      </c>
      <c r="C75" s="55">
        <f>'6 - B1'!C75</f>
        <v>100.272774</v>
      </c>
      <c r="D75" s="55">
        <f>'6 - B1'!D75</f>
        <v>98.358231000000004</v>
      </c>
      <c r="E75" s="55">
        <f>'6 - B1'!E75</f>
        <v>95.651420999999999</v>
      </c>
      <c r="F75" s="55">
        <f>'6 - B1'!F75</f>
        <v>96.704063000000005</v>
      </c>
      <c r="G75" s="55">
        <f>'6 - B1'!G75</f>
        <v>91.028937999999997</v>
      </c>
      <c r="H75" s="55">
        <f>'6 - B1'!H75</f>
        <v>93.876662999999994</v>
      </c>
      <c r="I75" s="55">
        <f>'6 - B1'!I75</f>
        <v>91.112762000000004</v>
      </c>
      <c r="J75" s="55">
        <f>'6 - B1'!J75</f>
        <v>90.733528000000007</v>
      </c>
      <c r="K75" s="55">
        <f>'6 - B1'!K75</f>
        <v>96.095962999999998</v>
      </c>
      <c r="L75" s="55">
        <f>'6 - B1'!L75</f>
        <v>104.578316</v>
      </c>
      <c r="M75" s="55">
        <f>'6 - B1'!M75</f>
        <v>97.715378000000001</v>
      </c>
      <c r="N75" s="55">
        <f>'6 - B1'!N75</f>
        <v>97.924239999999998</v>
      </c>
      <c r="O75" s="55">
        <f>'6 - B1'!O75</f>
        <v>104.384956</v>
      </c>
      <c r="P75" s="55">
        <f>'6 - B1'!P75</f>
        <v>98.876007000000001</v>
      </c>
    </row>
    <row r="76" spans="1:16" x14ac:dyDescent="0.35">
      <c r="A76" s="57">
        <f>'6 - B1'!A76</f>
        <v>27</v>
      </c>
      <c r="B76" s="55">
        <f>'6 - B1'!B76</f>
        <v>67.810897999999995</v>
      </c>
      <c r="C76" s="55">
        <f>'6 - B1'!C76</f>
        <v>74.294929999999994</v>
      </c>
      <c r="D76" s="55">
        <f>'6 - B1'!D76</f>
        <v>69.545356999999996</v>
      </c>
      <c r="E76" s="55">
        <f>'6 - B1'!E76</f>
        <v>70.297011999999995</v>
      </c>
      <c r="F76" s="55">
        <f>'6 - B1'!F76</f>
        <v>71.233283999999998</v>
      </c>
      <c r="G76" s="55">
        <f>'6 - B1'!G76</f>
        <v>65.763762999999997</v>
      </c>
      <c r="H76" s="55">
        <f>'6 - B1'!H76</f>
        <v>66.881714000000002</v>
      </c>
      <c r="I76" s="55">
        <f>'6 - B1'!I76</f>
        <v>67.661438000000004</v>
      </c>
      <c r="J76" s="55">
        <f>'6 - B1'!J76</f>
        <v>68.114647000000005</v>
      </c>
      <c r="K76" s="55">
        <f>'6 - B1'!K76</f>
        <v>68.996384000000006</v>
      </c>
      <c r="L76" s="55">
        <f>'6 - B1'!L76</f>
        <v>77.195426999999995</v>
      </c>
      <c r="M76" s="55">
        <f>'6 - B1'!M76</f>
        <v>72.770432</v>
      </c>
      <c r="N76" s="55">
        <f>'6 - B1'!N76</f>
        <v>70.655304000000001</v>
      </c>
      <c r="O76" s="55">
        <f>'6 - B1'!O76</f>
        <v>75.523551999999995</v>
      </c>
      <c r="P76" s="55">
        <f>'6 - B1'!P76</f>
        <v>70.515556000000004</v>
      </c>
    </row>
    <row r="77" spans="1:16" x14ac:dyDescent="0.35">
      <c r="A77" s="57">
        <f>'6 - B1'!A77</f>
        <v>28</v>
      </c>
      <c r="B77" s="55">
        <f>'6 - B1'!B77</f>
        <v>48.356949</v>
      </c>
      <c r="C77" s="55">
        <f>'6 - B1'!C77</f>
        <v>52.209538000000002</v>
      </c>
      <c r="D77" s="55">
        <f>'6 - B1'!D77</f>
        <v>48.878982999999998</v>
      </c>
      <c r="E77" s="55">
        <f>'6 - B1'!E77</f>
        <v>51.471995999999997</v>
      </c>
      <c r="F77" s="55">
        <f>'6 - B1'!F77</f>
        <v>50.347244000000003</v>
      </c>
      <c r="G77" s="55">
        <f>'6 - B1'!G77</f>
        <v>48.672615</v>
      </c>
      <c r="H77" s="55">
        <f>'6 - B1'!H77</f>
        <v>46.981589999999997</v>
      </c>
      <c r="I77" s="55">
        <f>'6 - B1'!I77</f>
        <v>47.250092000000002</v>
      </c>
      <c r="J77" s="55">
        <f>'6 - B1'!J77</f>
        <v>47.645851</v>
      </c>
      <c r="K77" s="55">
        <f>'6 - B1'!K77</f>
        <v>48.865268999999998</v>
      </c>
      <c r="L77" s="55">
        <f>'6 - B1'!L77</f>
        <v>55.233051000000003</v>
      </c>
      <c r="M77" s="55">
        <f>'6 - B1'!M77</f>
        <v>53.158543000000002</v>
      </c>
      <c r="N77" s="55">
        <f>'6 - B1'!N77</f>
        <v>50.094695999999999</v>
      </c>
      <c r="O77" s="55">
        <f>'6 - B1'!O77</f>
        <v>54.266350000000003</v>
      </c>
      <c r="P77" s="55">
        <f>'6 - B1'!P77</f>
        <v>50.380493000000001</v>
      </c>
    </row>
    <row r="78" spans="1:16" x14ac:dyDescent="0.35">
      <c r="A78" s="57">
        <f>'6 - B1'!A78</f>
        <v>29</v>
      </c>
      <c r="B78" s="55">
        <f>'6 - B1'!B78</f>
        <v>35.109741</v>
      </c>
      <c r="C78" s="55">
        <f>'6 - B1'!C78</f>
        <v>37.570557000000001</v>
      </c>
      <c r="D78" s="55">
        <f>'6 - B1'!D78</f>
        <v>33.186256</v>
      </c>
      <c r="E78" s="55">
        <f>'6 - B1'!E78</f>
        <v>35.190902999999999</v>
      </c>
      <c r="F78" s="55">
        <f>'6 - B1'!F78</f>
        <v>34.555359000000003</v>
      </c>
      <c r="G78" s="55">
        <f>'6 - B1'!G78</f>
        <v>34.832500000000003</v>
      </c>
      <c r="H78" s="55">
        <f>'6 - B1'!H78</f>
        <v>33.484119</v>
      </c>
      <c r="I78" s="55">
        <f>'6 - B1'!I78</f>
        <v>33.439861000000001</v>
      </c>
      <c r="J78" s="55">
        <f>'6 - B1'!J78</f>
        <v>34.401336999999998</v>
      </c>
      <c r="K78" s="55">
        <f>'6 - B1'!K78</f>
        <v>35.100406999999997</v>
      </c>
      <c r="L78" s="55">
        <f>'6 - B1'!L78</f>
        <v>40.093024999999997</v>
      </c>
      <c r="M78" s="55">
        <f>'6 - B1'!M78</f>
        <v>38.277591999999999</v>
      </c>
      <c r="N78" s="55">
        <f>'6 - B1'!N78</f>
        <v>36.155304000000001</v>
      </c>
      <c r="O78" s="55">
        <f>'6 - B1'!O78</f>
        <v>38.193832</v>
      </c>
      <c r="P78" s="55">
        <f>'6 - B1'!P78</f>
        <v>35.643344999999997</v>
      </c>
    </row>
    <row r="79" spans="1:16" x14ac:dyDescent="0.35">
      <c r="A79" s="57">
        <f>'6 - B1'!A79</f>
        <v>30</v>
      </c>
      <c r="B79" s="55">
        <f>'6 - B1'!B79</f>
        <v>23.715285999999999</v>
      </c>
      <c r="C79" s="55">
        <f>'6 - B1'!C79</f>
        <v>25.554749000000001</v>
      </c>
      <c r="D79" s="55">
        <f>'6 - B1'!D79</f>
        <v>23.667717</v>
      </c>
      <c r="E79" s="55">
        <f>'6 - B1'!E79</f>
        <v>23.912855</v>
      </c>
      <c r="F79" s="55">
        <f>'6 - B1'!F79</f>
        <v>23.687826000000001</v>
      </c>
      <c r="G79" s="55">
        <f>'6 - B1'!G79</f>
        <v>24.429195</v>
      </c>
      <c r="H79" s="55">
        <f>'6 - B1'!H79</f>
        <v>22.668835000000001</v>
      </c>
      <c r="I79" s="55">
        <f>'6 - B1'!I79</f>
        <v>23.885615999999999</v>
      </c>
      <c r="J79" s="55">
        <f>'6 - B1'!J79</f>
        <v>23.822925999999999</v>
      </c>
      <c r="K79" s="55">
        <f>'6 - B1'!K79</f>
        <v>23.142178999999999</v>
      </c>
      <c r="L79" s="55">
        <f>'6 - B1'!L79</f>
        <v>27.009053999999999</v>
      </c>
      <c r="M79" s="55">
        <f>'6 - B1'!M79</f>
        <v>27.353424</v>
      </c>
      <c r="N79" s="55">
        <f>'6 - B1'!N79</f>
        <v>24.829546000000001</v>
      </c>
      <c r="O79" s="55">
        <f>'6 - B1'!O79</f>
        <v>25.404947</v>
      </c>
      <c r="P79" s="55">
        <f>'6 - B1'!P79</f>
        <v>22.705496</v>
      </c>
    </row>
    <row r="80" spans="1:16" x14ac:dyDescent="0.35">
      <c r="A80" s="57">
        <f>'6 - B1'!A80</f>
        <v>38</v>
      </c>
      <c r="B80" s="55">
        <f>'6 - B1'!B80</f>
        <v>15.007329</v>
      </c>
      <c r="C80" s="55">
        <f>'6 - B1'!C80</f>
        <v>17.008292999999998</v>
      </c>
      <c r="D80" s="55">
        <f>'6 - B1'!D80</f>
        <v>14.835198999999999</v>
      </c>
      <c r="E80" s="55">
        <f>'6 - B1'!E80</f>
        <v>16.196297000000001</v>
      </c>
      <c r="F80" s="55">
        <f>'6 - B1'!F80</f>
        <v>13.159903999999999</v>
      </c>
      <c r="G80" s="55">
        <f>'6 - B1'!G80</f>
        <v>16.905374999999999</v>
      </c>
      <c r="H80" s="55">
        <f>'6 - B1'!H80</f>
        <v>15.400964</v>
      </c>
      <c r="I80" s="55">
        <f>'6 - B1'!I80</f>
        <v>16.763359000000001</v>
      </c>
      <c r="J80" s="55">
        <f>'6 - B1'!J80</f>
        <v>17.716688000000001</v>
      </c>
      <c r="K80" s="55">
        <f>'6 - B1'!K80</f>
        <v>16.517838000000001</v>
      </c>
      <c r="L80" s="55">
        <f>'6 - B1'!L80</f>
        <v>18.130645999999999</v>
      </c>
      <c r="M80" s="55">
        <f>'6 - B1'!M80</f>
        <v>19.181805000000001</v>
      </c>
      <c r="N80" s="55">
        <f>'6 - B1'!N80</f>
        <v>16.378788</v>
      </c>
      <c r="O80" s="55">
        <f>'6 - B1'!O80</f>
        <v>17.109455000000001</v>
      </c>
      <c r="P80" s="55">
        <f>'6 - B1'!P80</f>
        <v>15.593963</v>
      </c>
    </row>
    <row r="81" spans="1:16" x14ac:dyDescent="0.35">
      <c r="A81" s="57">
        <f>'6 - B1'!A81</f>
        <v>50</v>
      </c>
      <c r="B81" s="55">
        <f>'6 - B1'!B81</f>
        <v>10.468076</v>
      </c>
      <c r="C81" s="55">
        <f>'6 - B1'!C81</f>
        <v>11.254244</v>
      </c>
      <c r="D81" s="55">
        <f>'6 - B1'!D81</f>
        <v>10.461817</v>
      </c>
      <c r="E81" s="55">
        <f>'6 - B1'!E81</f>
        <v>9.9212910000000001</v>
      </c>
      <c r="F81" s="55">
        <f>'6 - B1'!F81</f>
        <v>8.1506500000000006</v>
      </c>
      <c r="G81" s="55">
        <f>'6 - B1'!G81</f>
        <v>11.1464</v>
      </c>
      <c r="H81" s="55">
        <f>'6 - B1'!H81</f>
        <v>9.9500609999999998</v>
      </c>
      <c r="I81" s="55">
        <f>'6 - B1'!I81</f>
        <v>10.683384</v>
      </c>
      <c r="J81" s="55">
        <f>'6 - B1'!J81</f>
        <v>10.922423999999999</v>
      </c>
      <c r="K81" s="55">
        <f>'6 - B1'!K81</f>
        <v>11.097922000000001</v>
      </c>
      <c r="L81" s="55">
        <f>'6 - B1'!L81</f>
        <v>11.682117</v>
      </c>
      <c r="M81" s="55">
        <f>'6 - B1'!M81</f>
        <v>12.386456000000001</v>
      </c>
      <c r="N81" s="55">
        <f>'6 - B1'!N81</f>
        <v>11.064394</v>
      </c>
      <c r="O81" s="55">
        <f>'6 - B1'!O81</f>
        <v>11.492715</v>
      </c>
      <c r="P81" s="55">
        <f>'6 - B1'!P81</f>
        <v>9.6819659999999992</v>
      </c>
    </row>
    <row r="82" spans="1:16" x14ac:dyDescent="0.35">
      <c r="A82" s="57">
        <f>'6 - B1'!A82</f>
        <v>70</v>
      </c>
      <c r="B82" s="55">
        <f>'6 - B1'!B82</f>
        <v>6.2067350000000001</v>
      </c>
      <c r="C82" s="55">
        <f>'6 - B1'!C82</f>
        <v>6.938707</v>
      </c>
      <c r="D82" s="55">
        <f>'6 - B1'!D82</f>
        <v>6.9459609999999996</v>
      </c>
      <c r="E82" s="55">
        <f>'6 - B1'!E82</f>
        <v>6.5293970000000003</v>
      </c>
      <c r="F82" s="55">
        <f>'6 - B1'!F82</f>
        <v>5.2639610000000001</v>
      </c>
      <c r="G82" s="55">
        <f>'6 - B1'!G82</f>
        <v>7.2451610000000004</v>
      </c>
      <c r="H82" s="55">
        <f>'6 - B1'!H82</f>
        <v>6.4026480000000001</v>
      </c>
      <c r="I82" s="55">
        <f>'6 - B1'!I82</f>
        <v>7.035399</v>
      </c>
      <c r="J82" s="55">
        <f>'6 - B1'!J82</f>
        <v>6.3642469999999998</v>
      </c>
      <c r="K82" s="55">
        <f>'6 - B1'!K82</f>
        <v>7.3986150000000004</v>
      </c>
      <c r="L82" s="55">
        <f>'6 - B1'!L82</f>
        <v>7.756926</v>
      </c>
      <c r="M82" s="55">
        <f>'6 - B1'!M82</f>
        <v>9.0317919999999994</v>
      </c>
      <c r="N82" s="55">
        <f>'6 - B1'!N82</f>
        <v>7.3181820000000002</v>
      </c>
      <c r="O82" s="55">
        <f>'6 - B1'!O82</f>
        <v>8.1226699999999994</v>
      </c>
      <c r="P82" s="55">
        <f>'6 - B1'!P82</f>
        <v>6.5117649999999996</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F35" sqref="F35"/>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32" t="s">
        <v>109</v>
      </c>
      <c r="O2" s="32"/>
    </row>
    <row r="3" spans="1:49" ht="13.15" x14ac:dyDescent="0.4">
      <c r="A3" t="str">
        <f>'6 - B1'!$A$3</f>
        <v>Serial #</v>
      </c>
      <c r="B3" s="29" t="str">
        <f>'6 - B1'!$B$3</f>
        <v>11171-00001</v>
      </c>
    </row>
    <row r="4" spans="1:49" ht="17.100000000000001" customHeight="1" x14ac:dyDescent="1.05">
      <c r="A4" s="30" t="str">
        <f>'6 - B1'!$A$4</f>
        <v>Date</v>
      </c>
      <c r="B4" s="31">
        <f>'6 - B1'!$B$4</f>
        <v>46010</v>
      </c>
      <c r="O4" s="32"/>
    </row>
    <row r="5" spans="1:49" ht="13.15" x14ac:dyDescent="0.4">
      <c r="A5" s="30" t="str">
        <f>'6 - B1'!$A$5</f>
        <v>RM</v>
      </c>
      <c r="B5" s="54" t="str">
        <f>'6 - B1'!$B$5</f>
        <v>37D</v>
      </c>
    </row>
    <row r="6" spans="1:49" ht="13.15" x14ac:dyDescent="0.4">
      <c r="B6" s="30"/>
      <c r="C6" s="30"/>
      <c r="D6" s="30"/>
      <c r="E6" s="30"/>
      <c r="F6" s="30"/>
    </row>
    <row r="7" spans="1:49" ht="14.65" x14ac:dyDescent="0.5">
      <c r="B7" s="14" t="s">
        <v>52</v>
      </c>
      <c r="C7" s="14" t="s">
        <v>53</v>
      </c>
      <c r="D7" s="14" t="s">
        <v>54</v>
      </c>
      <c r="E7" s="14" t="s">
        <v>55</v>
      </c>
      <c r="F7" s="14" t="s">
        <v>56</v>
      </c>
      <c r="G7" s="14" t="s">
        <v>57</v>
      </c>
      <c r="H7" s="14" t="s">
        <v>58</v>
      </c>
      <c r="I7" s="14" t="s">
        <v>59</v>
      </c>
      <c r="J7" s="14" t="s">
        <v>60</v>
      </c>
      <c r="K7" s="14" t="s">
        <v>61</v>
      </c>
      <c r="L7" s="14" t="s">
        <v>62</v>
      </c>
      <c r="M7" s="14" t="s">
        <v>63</v>
      </c>
      <c r="O7" s="92" t="s">
        <v>52</v>
      </c>
      <c r="P7" s="92" t="s">
        <v>53</v>
      </c>
      <c r="Q7" s="92" t="s">
        <v>54</v>
      </c>
      <c r="R7" s="92" t="s">
        <v>55</v>
      </c>
      <c r="S7" s="92" t="s">
        <v>56</v>
      </c>
    </row>
    <row r="8" spans="1:49" ht="13.15" x14ac:dyDescent="0.4">
      <c r="A8" s="11" t="s">
        <v>64</v>
      </c>
      <c r="B8" s="34">
        <f>L52</f>
        <v>10.700115</v>
      </c>
      <c r="C8" s="34">
        <f t="shared" ref="C8:F8" si="0">M52</f>
        <v>11.625601</v>
      </c>
      <c r="D8" s="34">
        <f t="shared" si="0"/>
        <v>11.478261</v>
      </c>
      <c r="E8" s="34">
        <f t="shared" si="0"/>
        <v>11.572549</v>
      </c>
      <c r="F8" s="34">
        <f t="shared" si="0"/>
        <v>11.671184</v>
      </c>
      <c r="G8" s="35">
        <f>AVERAGE(B$8:F$8)*5</f>
        <v>57.047710000000009</v>
      </c>
      <c r="I8" s="36"/>
      <c r="K8" s="36"/>
      <c r="O8" s="93"/>
      <c r="P8" s="93"/>
      <c r="Q8" s="93"/>
      <c r="R8" s="93"/>
      <c r="S8" s="93"/>
    </row>
    <row r="9" spans="1:49" x14ac:dyDescent="0.35">
      <c r="A9" s="11" t="s">
        <v>65</v>
      </c>
      <c r="B9" s="34">
        <f t="shared" ref="B9:F9" si="1">L53</f>
        <v>12891.916992</v>
      </c>
      <c r="C9" s="34">
        <f t="shared" si="1"/>
        <v>12675.043944999999</v>
      </c>
      <c r="D9" s="34">
        <f t="shared" si="1"/>
        <v>12273.113281</v>
      </c>
      <c r="E9" s="34">
        <f t="shared" si="1"/>
        <v>12978.558594</v>
      </c>
      <c r="F9" s="34">
        <f t="shared" si="1"/>
        <v>12555.024414</v>
      </c>
      <c r="G9" s="24">
        <f t="shared" ref="G9:G38" si="2">AVERAGE(B9:F9)</f>
        <v>12674.731445200001</v>
      </c>
      <c r="H9" s="38">
        <f t="shared" ref="H9:H38" si="3">G9*G$8</f>
        <v>723064.40381365072</v>
      </c>
      <c r="I9" s="36">
        <f t="shared" ref="I9:I38" si="4">STDEVP(B9:F9)/G9</f>
        <v>1.9806403152352721E-2</v>
      </c>
      <c r="J9" s="36">
        <f t="shared" ref="J9:J38" si="5">IF(H9&gt;$A$43, $C$43, IF(H9&gt;$A$44, $C$44, IF(H9&gt;$A$45,$C$45,IF(H9&gt;$A$46,$C$46, IF(H9&gt;$A$47,$C$47,IF(H9&gt;$A$48,$C$48,$C$49))))))/100</f>
        <v>0.11</v>
      </c>
      <c r="K9" s="36">
        <f t="shared" ref="K9:K38" si="6">(MAX(B9:F9)-MIN(B9:F9))/G9</f>
        <v>5.5657614210607727E-2</v>
      </c>
      <c r="L9" s="16">
        <f>G9/'Clause 6'!$I$11</f>
        <v>12674.731445200001</v>
      </c>
      <c r="M9">
        <f t="shared" ref="M9:M38" si="7">COUNTA(B9:F9)</f>
        <v>5</v>
      </c>
      <c r="O9" s="94">
        <f>IF(ISNUMBER(B9), (B9/$G9-1), 0)</f>
        <v>1.7135317441558051E-2</v>
      </c>
      <c r="P9" s="94">
        <f t="shared" ref="P9:S38" si="8">IF(ISNUMBER(C9), (C9/$G9-1), 0)</f>
        <v>2.4655338959123085E-5</v>
      </c>
      <c r="Q9" s="94">
        <f t="shared" si="8"/>
        <v>-3.1686522585225751E-2</v>
      </c>
      <c r="R9" s="94">
        <f t="shared" si="8"/>
        <v>2.3971091625381913E-2</v>
      </c>
      <c r="S9" s="94">
        <f t="shared" si="8"/>
        <v>-9.4445418206738907E-3</v>
      </c>
    </row>
    <row r="10" spans="1:49" x14ac:dyDescent="0.35">
      <c r="A10" s="11" t="s">
        <v>66</v>
      </c>
      <c r="B10" s="34">
        <f t="shared" ref="B10:F10" si="9">L54</f>
        <v>11285.486328000001</v>
      </c>
      <c r="C10" s="34">
        <f t="shared" si="9"/>
        <v>11080.803711</v>
      </c>
      <c r="D10" s="34">
        <f t="shared" si="9"/>
        <v>10777.852539</v>
      </c>
      <c r="E10" s="34">
        <f t="shared" si="9"/>
        <v>11384.008789</v>
      </c>
      <c r="F10" s="34">
        <f t="shared" si="9"/>
        <v>11033.842773</v>
      </c>
      <c r="G10" s="24">
        <f t="shared" si="2"/>
        <v>11112.398827999999</v>
      </c>
      <c r="H10" s="38">
        <f t="shared" si="3"/>
        <v>633936.90574408392</v>
      </c>
      <c r="I10" s="36">
        <f t="shared" si="4"/>
        <v>1.8997042562486199E-2</v>
      </c>
      <c r="J10" s="36">
        <f t="shared" si="5"/>
        <v>0.11</v>
      </c>
      <c r="K10" s="36">
        <f t="shared" si="6"/>
        <v>5.4547740715772661E-2</v>
      </c>
      <c r="L10" s="16">
        <f>G10/'Clause 6'!$I$11</f>
        <v>11112.398827999999</v>
      </c>
      <c r="M10">
        <f t="shared" si="7"/>
        <v>5</v>
      </c>
      <c r="O10" s="94">
        <f t="shared" ref="O10:O38" si="10">IF(ISNUMBER(B10), (B10/$G10-1), 0)</f>
        <v>1.5576069818864946E-2</v>
      </c>
      <c r="P10" s="94">
        <f t="shared" si="8"/>
        <v>-2.8432310151061957E-3</v>
      </c>
      <c r="Q10" s="94">
        <f t="shared" si="8"/>
        <v>-3.0105676927023262E-2</v>
      </c>
      <c r="R10" s="94">
        <f t="shared" si="8"/>
        <v>2.4442063788749469E-2</v>
      </c>
      <c r="S10" s="94">
        <f t="shared" si="8"/>
        <v>-7.0692256654846242E-3</v>
      </c>
    </row>
    <row r="11" spans="1:49" x14ac:dyDescent="0.35">
      <c r="A11" s="11" t="s">
        <v>67</v>
      </c>
      <c r="B11" s="34">
        <f t="shared" ref="B11:F11" si="11">L55</f>
        <v>9851.5761719999991</v>
      </c>
      <c r="C11" s="34">
        <f t="shared" si="11"/>
        <v>9710.5517579999996</v>
      </c>
      <c r="D11" s="34">
        <f t="shared" si="11"/>
        <v>9460.4921880000002</v>
      </c>
      <c r="E11" s="34">
        <f t="shared" si="11"/>
        <v>9964.3564449999994</v>
      </c>
      <c r="F11" s="34">
        <f t="shared" si="11"/>
        <v>9702.8720699999994</v>
      </c>
      <c r="G11" s="24">
        <f t="shared" si="2"/>
        <v>9737.9697265999985</v>
      </c>
      <c r="H11" s="38">
        <f t="shared" si="3"/>
        <v>555528.87295185612</v>
      </c>
      <c r="I11" s="36">
        <f t="shared" si="4"/>
        <v>1.7374771949962026E-2</v>
      </c>
      <c r="J11" s="36">
        <f t="shared" si="5"/>
        <v>0.11</v>
      </c>
      <c r="K11" s="36">
        <f t="shared" si="6"/>
        <v>5.1742228734153489E-2</v>
      </c>
      <c r="L11" s="16">
        <f>G11/'Clause 6'!$I$11</f>
        <v>9737.9697265999985</v>
      </c>
      <c r="M11">
        <f t="shared" si="7"/>
        <v>5</v>
      </c>
      <c r="O11" s="94">
        <f t="shared" si="10"/>
        <v>1.166633791124605E-2</v>
      </c>
      <c r="P11" s="94">
        <f t="shared" si="8"/>
        <v>-2.8155734069602589E-3</v>
      </c>
      <c r="Q11" s="94">
        <f t="shared" si="8"/>
        <v>-2.8494393224703485E-2</v>
      </c>
      <c r="R11" s="94">
        <f t="shared" si="8"/>
        <v>2.3247835509450088E-2</v>
      </c>
      <c r="S11" s="94">
        <f t="shared" si="8"/>
        <v>-3.6042067890319496E-3</v>
      </c>
    </row>
    <row r="12" spans="1:49" x14ac:dyDescent="0.35">
      <c r="A12" s="11" t="s">
        <v>68</v>
      </c>
      <c r="B12" s="34">
        <f t="shared" ref="B12:F12" si="12">L56</f>
        <v>8584.2998050000006</v>
      </c>
      <c r="C12" s="34">
        <f t="shared" si="12"/>
        <v>8491.0878909999992</v>
      </c>
      <c r="D12" s="34">
        <f t="shared" si="12"/>
        <v>8266.234375</v>
      </c>
      <c r="E12" s="34">
        <f t="shared" si="12"/>
        <v>8695.1455079999996</v>
      </c>
      <c r="F12" s="34">
        <f t="shared" si="12"/>
        <v>8496.3105469999991</v>
      </c>
      <c r="G12" s="24">
        <f t="shared" si="2"/>
        <v>8506.6156252000001</v>
      </c>
      <c r="H12" s="38">
        <f t="shared" si="3"/>
        <v>485282.9412678784</v>
      </c>
      <c r="I12" s="36">
        <f t="shared" si="4"/>
        <v>1.6600643806665316E-2</v>
      </c>
      <c r="J12" s="36">
        <f t="shared" si="5"/>
        <v>0.11</v>
      </c>
      <c r="K12" s="36">
        <f t="shared" si="6"/>
        <v>5.0420890269144543E-2</v>
      </c>
      <c r="L12" s="16">
        <f>G12/'Clause 6'!$I$11</f>
        <v>8506.6156252000001</v>
      </c>
      <c r="M12">
        <f t="shared" si="7"/>
        <v>5</v>
      </c>
      <c r="O12" s="94">
        <f t="shared" si="10"/>
        <v>9.1322075926256741E-3</v>
      </c>
      <c r="P12" s="94">
        <f t="shared" si="8"/>
        <v>-1.8253715559923833E-3</v>
      </c>
      <c r="Q12" s="94">
        <f t="shared" si="8"/>
        <v>-2.8258153511473427E-2</v>
      </c>
      <c r="R12" s="94">
        <f t="shared" si="8"/>
        <v>2.2162736757671109E-2</v>
      </c>
      <c r="S12" s="94">
        <f t="shared" si="8"/>
        <v>-1.2114192828313053E-3</v>
      </c>
    </row>
    <row r="13" spans="1:49" x14ac:dyDescent="0.35">
      <c r="A13" s="11" t="s">
        <v>69</v>
      </c>
      <c r="B13" s="34">
        <f t="shared" ref="B13:F13" si="13">L57</f>
        <v>7460.6674800000001</v>
      </c>
      <c r="C13" s="34">
        <f t="shared" si="13"/>
        <v>7378.1992190000001</v>
      </c>
      <c r="D13" s="34">
        <f t="shared" si="13"/>
        <v>7200.9165039999998</v>
      </c>
      <c r="E13" s="34">
        <f t="shared" si="13"/>
        <v>7554.861328</v>
      </c>
      <c r="F13" s="34">
        <f t="shared" si="13"/>
        <v>7411.4165039999998</v>
      </c>
      <c r="G13" s="24">
        <f t="shared" si="2"/>
        <v>7401.2122069999996</v>
      </c>
      <c r="H13" s="38">
        <f t="shared" si="3"/>
        <v>422222.20763339603</v>
      </c>
      <c r="I13" s="36">
        <f t="shared" si="4"/>
        <v>1.5744587258146099E-2</v>
      </c>
      <c r="J13" s="36">
        <f t="shared" si="5"/>
        <v>0.11</v>
      </c>
      <c r="K13" s="36">
        <f t="shared" si="6"/>
        <v>4.7822547726066054E-2</v>
      </c>
      <c r="L13" s="16">
        <f>G13/'Clause 6'!$I$11</f>
        <v>7401.2122069999996</v>
      </c>
      <c r="M13">
        <f t="shared" si="7"/>
        <v>5</v>
      </c>
      <c r="O13" s="94">
        <f t="shared" si="10"/>
        <v>8.0331804219542224E-3</v>
      </c>
      <c r="P13" s="94">
        <f t="shared" si="8"/>
        <v>-3.1093538945193844E-3</v>
      </c>
      <c r="Q13" s="94">
        <f t="shared" si="8"/>
        <v>-2.70625537274235E-2</v>
      </c>
      <c r="R13" s="94">
        <f t="shared" si="8"/>
        <v>2.0759993998642701E-2</v>
      </c>
      <c r="S13" s="94">
        <f t="shared" si="8"/>
        <v>1.3787332013461828E-3</v>
      </c>
    </row>
    <row r="14" spans="1:49" x14ac:dyDescent="0.35">
      <c r="A14" s="11" t="s">
        <v>70</v>
      </c>
      <c r="B14" s="34">
        <f t="shared" ref="B14:F14" si="14">L58</f>
        <v>6462.080078</v>
      </c>
      <c r="C14" s="34">
        <f t="shared" si="14"/>
        <v>6390.0351559999999</v>
      </c>
      <c r="D14" s="34">
        <f t="shared" si="14"/>
        <v>6234.3066410000001</v>
      </c>
      <c r="E14" s="34">
        <f t="shared" si="14"/>
        <v>6534.169922</v>
      </c>
      <c r="F14" s="34">
        <f t="shared" si="14"/>
        <v>6428.2255859999996</v>
      </c>
      <c r="G14" s="24">
        <f t="shared" si="2"/>
        <v>6409.7634766000001</v>
      </c>
      <c r="H14" s="38">
        <f t="shared" si="3"/>
        <v>365662.32798166864</v>
      </c>
      <c r="I14" s="36">
        <f t="shared" si="4"/>
        <v>1.5558886108273733E-2</v>
      </c>
      <c r="J14" s="36">
        <f t="shared" si="5"/>
        <v>0.11</v>
      </c>
      <c r="K14" s="36">
        <f t="shared" si="6"/>
        <v>4.6782269282588197E-2</v>
      </c>
      <c r="L14" s="16">
        <f>G14/'Clause 6'!$I$11</f>
        <v>6409.7634766000001</v>
      </c>
      <c r="M14">
        <f t="shared" si="7"/>
        <v>5</v>
      </c>
      <c r="O14" s="94">
        <f t="shared" si="10"/>
        <v>8.1620174583649785E-3</v>
      </c>
      <c r="P14" s="94">
        <f t="shared" si="8"/>
        <v>-3.0778546933942774E-3</v>
      </c>
      <c r="Q14" s="94">
        <f t="shared" si="8"/>
        <v>-2.7373371301536609E-2</v>
      </c>
      <c r="R14" s="94">
        <f t="shared" si="8"/>
        <v>1.9408897981051609E-2</v>
      </c>
      <c r="S14" s="94">
        <f t="shared" si="8"/>
        <v>2.8803105555139652E-3</v>
      </c>
    </row>
    <row r="15" spans="1:49" x14ac:dyDescent="0.35">
      <c r="A15" s="11" t="s">
        <v>71</v>
      </c>
      <c r="B15" s="34">
        <f t="shared" ref="B15:F15" si="15">L59</f>
        <v>5549.3793949999999</v>
      </c>
      <c r="C15" s="34">
        <f t="shared" si="15"/>
        <v>5497.7802730000003</v>
      </c>
      <c r="D15" s="34">
        <f t="shared" si="15"/>
        <v>5358.9125979999999</v>
      </c>
      <c r="E15" s="34">
        <f t="shared" si="15"/>
        <v>5609.8271480000003</v>
      </c>
      <c r="F15" s="34">
        <f t="shared" si="15"/>
        <v>5524.0327150000003</v>
      </c>
      <c r="G15" s="24">
        <f t="shared" si="2"/>
        <v>5507.9864257999998</v>
      </c>
      <c r="H15" s="38">
        <f t="shared" si="3"/>
        <v>314218.01230297494</v>
      </c>
      <c r="I15" s="36">
        <f t="shared" si="4"/>
        <v>1.5118069486068546E-2</v>
      </c>
      <c r="J15" s="36">
        <f t="shared" si="5"/>
        <v>0.11</v>
      </c>
      <c r="K15" s="36">
        <f t="shared" si="6"/>
        <v>4.5554678352998423E-2</v>
      </c>
      <c r="L15" s="16">
        <f>G15/'Clause 6'!$I$11</f>
        <v>5507.9864257999998</v>
      </c>
      <c r="M15">
        <f t="shared" si="7"/>
        <v>5</v>
      </c>
      <c r="O15" s="94">
        <f t="shared" si="10"/>
        <v>7.5150819192493223E-3</v>
      </c>
      <c r="P15" s="94">
        <f t="shared" si="8"/>
        <v>-1.8529734845010859E-3</v>
      </c>
      <c r="Q15" s="94">
        <f t="shared" si="8"/>
        <v>-2.7065031805765138E-2</v>
      </c>
      <c r="R15" s="94">
        <f t="shared" si="8"/>
        <v>1.8489646547233285E-2</v>
      </c>
      <c r="S15" s="94">
        <f t="shared" si="8"/>
        <v>2.9132768237840612E-3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72</v>
      </c>
      <c r="B16" s="34">
        <f t="shared" ref="B16:F16" si="16">L60</f>
        <v>4722.0986329999996</v>
      </c>
      <c r="C16" s="34">
        <f t="shared" si="16"/>
        <v>4676.0595700000003</v>
      </c>
      <c r="D16" s="34">
        <f t="shared" si="16"/>
        <v>4535.9658200000003</v>
      </c>
      <c r="E16" s="34">
        <f t="shared" si="16"/>
        <v>4764.1191410000001</v>
      </c>
      <c r="F16" s="34">
        <f t="shared" si="16"/>
        <v>4694.2109380000002</v>
      </c>
      <c r="G16" s="24">
        <f t="shared" si="2"/>
        <v>4678.4908204000003</v>
      </c>
      <c r="H16" s="38">
        <f t="shared" si="3"/>
        <v>266897.18755984132</v>
      </c>
      <c r="I16" s="36">
        <f t="shared" si="4"/>
        <v>1.6501340979724295E-2</v>
      </c>
      <c r="J16" s="36">
        <f t="shared" si="5"/>
        <v>0.11</v>
      </c>
      <c r="K16" s="36">
        <f t="shared" si="6"/>
        <v>4.8766435536255509E-2</v>
      </c>
      <c r="L16" s="16">
        <f>G16/'Clause 6'!$I$11</f>
        <v>4678.4908204000003</v>
      </c>
      <c r="M16">
        <f t="shared" si="7"/>
        <v>5</v>
      </c>
      <c r="O16" s="94">
        <f t="shared" si="10"/>
        <v>9.3209144303227909E-3</v>
      </c>
      <c r="P16" s="94">
        <f t="shared" si="8"/>
        <v>-5.1966552748139438E-4</v>
      </c>
      <c r="Q16" s="94">
        <f t="shared" si="8"/>
        <v>-3.0463883733304886E-2</v>
      </c>
      <c r="R16" s="94">
        <f t="shared" si="8"/>
        <v>1.8302551802950484E-2</v>
      </c>
      <c r="S16" s="94">
        <f t="shared" si="8"/>
        <v>3.3600830275126725E-3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73</v>
      </c>
      <c r="B17" s="34">
        <f t="shared" ref="B17:F17" si="17">L61</f>
        <v>3979.6767580000001</v>
      </c>
      <c r="C17" s="34">
        <f t="shared" si="17"/>
        <v>3930.4636230000001</v>
      </c>
      <c r="D17" s="34">
        <f t="shared" si="17"/>
        <v>3812.0756839999999</v>
      </c>
      <c r="E17" s="34">
        <f t="shared" si="17"/>
        <v>3993.329346</v>
      </c>
      <c r="F17" s="34">
        <f t="shared" si="17"/>
        <v>3929.5927729999999</v>
      </c>
      <c r="G17" s="24">
        <f t="shared" si="2"/>
        <v>3929.0276368</v>
      </c>
      <c r="H17" s="38">
        <f t="shared" si="3"/>
        <v>224142.02920615175</v>
      </c>
      <c r="I17" s="36">
        <f t="shared" si="4"/>
        <v>1.624927408957556E-2</v>
      </c>
      <c r="J17" s="36">
        <f t="shared" si="5"/>
        <v>0.11</v>
      </c>
      <c r="K17" s="36">
        <f t="shared" si="6"/>
        <v>4.6131938676721114E-2</v>
      </c>
      <c r="L17" s="16">
        <f>G17/'Clause 6'!$I$11</f>
        <v>3929.0276368</v>
      </c>
      <c r="M17">
        <f t="shared" si="7"/>
        <v>5</v>
      </c>
      <c r="O17" s="94">
        <f t="shared" si="10"/>
        <v>1.289100660061826E-2</v>
      </c>
      <c r="P17" s="94">
        <f t="shared" si="8"/>
        <v>3.6548131821478869E-4</v>
      </c>
      <c r="Q17" s="94">
        <f t="shared" si="8"/>
        <v>-2.9766131371692706E-2</v>
      </c>
      <c r="R17" s="94">
        <f t="shared" si="8"/>
        <v>1.6365807305028346E-2</v>
      </c>
      <c r="S17" s="94">
        <f t="shared" si="8"/>
        <v>1.4383614783120002E-4</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74</v>
      </c>
      <c r="B18" s="34">
        <f t="shared" ref="B18:F18" si="18">L62</f>
        <v>3302.7680660000001</v>
      </c>
      <c r="C18" s="34">
        <f t="shared" si="18"/>
        <v>3259.186279</v>
      </c>
      <c r="D18" s="34">
        <f t="shared" si="18"/>
        <v>3153.0036620000001</v>
      </c>
      <c r="E18" s="34">
        <f t="shared" si="18"/>
        <v>3314.9135740000002</v>
      </c>
      <c r="F18" s="34">
        <f t="shared" si="18"/>
        <v>3245.2578119999998</v>
      </c>
      <c r="G18" s="24">
        <f t="shared" si="2"/>
        <v>3255.0258786000004</v>
      </c>
      <c r="H18" s="38">
        <f t="shared" si="3"/>
        <v>185691.77236486805</v>
      </c>
      <c r="I18" s="36">
        <f t="shared" si="4"/>
        <v>1.7587808437101594E-2</v>
      </c>
      <c r="J18" s="36">
        <f t="shared" si="5"/>
        <v>0.11</v>
      </c>
      <c r="K18" s="36">
        <f t="shared" si="6"/>
        <v>4.9741512982882388E-2</v>
      </c>
      <c r="L18" s="16">
        <f>G18/'Clause 6'!$I$11</f>
        <v>3255.0258786000004</v>
      </c>
      <c r="M18">
        <f t="shared" si="7"/>
        <v>5</v>
      </c>
      <c r="O18" s="94">
        <f t="shared" si="10"/>
        <v>1.466722206845672E-2</v>
      </c>
      <c r="P18" s="94">
        <f t="shared" si="8"/>
        <v>1.2781466431195376E-3</v>
      </c>
      <c r="Q18" s="94">
        <f t="shared" si="8"/>
        <v>-3.1342981716594109E-2</v>
      </c>
      <c r="R18" s="94">
        <f t="shared" si="8"/>
        <v>1.8398531266288431E-2</v>
      </c>
      <c r="S18" s="94">
        <f t="shared" si="8"/>
        <v>-3.0009182612710239E-3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75</v>
      </c>
      <c r="B19" s="34">
        <f t="shared" ref="B19:F19" si="19">L63</f>
        <v>2695.1110840000001</v>
      </c>
      <c r="C19" s="34">
        <f t="shared" si="19"/>
        <v>2647.3471679999998</v>
      </c>
      <c r="D19" s="34">
        <f t="shared" si="19"/>
        <v>2566.7651369999999</v>
      </c>
      <c r="E19" s="34">
        <f t="shared" si="19"/>
        <v>2700.0102539999998</v>
      </c>
      <c r="F19" s="34">
        <f t="shared" si="19"/>
        <v>2631.1813959999999</v>
      </c>
      <c r="G19" s="24">
        <f t="shared" si="2"/>
        <v>2648.0830077999999</v>
      </c>
      <c r="H19" s="38">
        <f t="shared" si="3"/>
        <v>151067.07148490215</v>
      </c>
      <c r="I19" s="36">
        <f t="shared" si="4"/>
        <v>1.8350630668051884E-2</v>
      </c>
      <c r="J19" s="36">
        <f t="shared" si="5"/>
        <v>0.11</v>
      </c>
      <c r="K19" s="36">
        <f t="shared" si="6"/>
        <v>5.0317575622638284E-2</v>
      </c>
      <c r="L19" s="16">
        <f>G19/'Clause 6'!$I$11</f>
        <v>2648.0830077999999</v>
      </c>
      <c r="M19">
        <f t="shared" si="7"/>
        <v>5</v>
      </c>
      <c r="O19" s="94">
        <f t="shared" si="10"/>
        <v>1.775929080073313E-2</v>
      </c>
      <c r="P19" s="94">
        <f t="shared" si="8"/>
        <v>-2.7787641015508679E-4</v>
      </c>
      <c r="Q19" s="94">
        <f t="shared" si="8"/>
        <v>-3.0708203088980257E-2</v>
      </c>
      <c r="R19" s="94">
        <f t="shared" si="8"/>
        <v>1.9609372533658131E-2</v>
      </c>
      <c r="S19" s="94">
        <f t="shared" si="8"/>
        <v>-6.3825838352558062E-3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76</v>
      </c>
      <c r="B20" s="34">
        <f t="shared" ref="B20:F20" si="20">L64</f>
        <v>2150.7246089999999</v>
      </c>
      <c r="C20" s="34">
        <f t="shared" si="20"/>
        <v>2115.8476559999999</v>
      </c>
      <c r="D20" s="34">
        <f t="shared" si="20"/>
        <v>2046.4772949999999</v>
      </c>
      <c r="E20" s="34">
        <f t="shared" si="20"/>
        <v>2161.9265140000002</v>
      </c>
      <c r="F20" s="34">
        <f t="shared" si="20"/>
        <v>2110.0688479999999</v>
      </c>
      <c r="G20" s="24">
        <f t="shared" si="2"/>
        <v>2117.0089844000004</v>
      </c>
      <c r="H20" s="38">
        <f t="shared" si="3"/>
        <v>120770.51460944576</v>
      </c>
      <c r="I20" s="36">
        <f t="shared" si="4"/>
        <v>1.9104283333300814E-2</v>
      </c>
      <c r="J20" s="36">
        <f t="shared" si="5"/>
        <v>0.11</v>
      </c>
      <c r="K20" s="36">
        <f t="shared" si="6"/>
        <v>5.453411858463169E-2</v>
      </c>
      <c r="L20" s="16">
        <f>G20/'Clause 6'!$I$11</f>
        <v>2117.0089844000004</v>
      </c>
      <c r="M20">
        <f t="shared" si="7"/>
        <v>5</v>
      </c>
      <c r="O20" s="94">
        <f t="shared" si="10"/>
        <v>1.5926065901678221E-2</v>
      </c>
      <c r="P20" s="94">
        <f t="shared" si="8"/>
        <v>-5.4857036911892809E-4</v>
      </c>
      <c r="Q20" s="94">
        <f t="shared" si="8"/>
        <v>-3.3316669848706626E-2</v>
      </c>
      <c r="R20" s="94">
        <f t="shared" si="8"/>
        <v>2.1217448735925126E-2</v>
      </c>
      <c r="S20" s="94">
        <f t="shared" si="8"/>
        <v>-3.2782744197787927E-3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77</v>
      </c>
      <c r="B21" s="34">
        <f t="shared" ref="B21:F21" si="21">L65</f>
        <v>1696.243408</v>
      </c>
      <c r="C21" s="34">
        <f t="shared" si="21"/>
        <v>1658.0648189999999</v>
      </c>
      <c r="D21" s="34">
        <f t="shared" si="21"/>
        <v>1602.159058</v>
      </c>
      <c r="E21" s="34">
        <f t="shared" si="21"/>
        <v>1695.391357</v>
      </c>
      <c r="F21" s="34">
        <f t="shared" si="21"/>
        <v>1646.4482419999999</v>
      </c>
      <c r="G21" s="24">
        <f t="shared" si="2"/>
        <v>1659.6613768</v>
      </c>
      <c r="H21" s="38">
        <f t="shared" si="3"/>
        <v>94679.880921887147</v>
      </c>
      <c r="I21" s="36">
        <f t="shared" si="4"/>
        <v>2.1043019628258219E-2</v>
      </c>
      <c r="J21" s="36">
        <f t="shared" si="5"/>
        <v>0.11</v>
      </c>
      <c r="K21" s="36">
        <f t="shared" si="6"/>
        <v>5.6688883235569726E-2</v>
      </c>
      <c r="L21" s="16">
        <f>G21/'Clause 6'!$I$11</f>
        <v>1659.6613768</v>
      </c>
      <c r="M21">
        <f t="shared" si="7"/>
        <v>5</v>
      </c>
      <c r="O21" s="94">
        <f t="shared" si="10"/>
        <v>2.2041864510056852E-2</v>
      </c>
      <c r="P21" s="94">
        <f t="shared" si="8"/>
        <v>-9.619780410136114E-4</v>
      </c>
      <c r="Q21" s="94">
        <f t="shared" si="8"/>
        <v>-3.464701872551279E-2</v>
      </c>
      <c r="R21" s="94">
        <f t="shared" si="8"/>
        <v>2.1528476049066825E-2</v>
      </c>
      <c r="S21" s="94">
        <f t="shared" si="8"/>
        <v>-7.9613437925971642E-3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78</v>
      </c>
      <c r="B22" s="34">
        <f t="shared" ref="B22:F22" si="22">L66</f>
        <v>1305.593384</v>
      </c>
      <c r="C22" s="34">
        <f t="shared" si="22"/>
        <v>1272.708374</v>
      </c>
      <c r="D22" s="34">
        <f t="shared" si="22"/>
        <v>1229.193115</v>
      </c>
      <c r="E22" s="34">
        <f t="shared" si="22"/>
        <v>1294.874634</v>
      </c>
      <c r="F22" s="34">
        <f t="shared" si="22"/>
        <v>1275.2777100000001</v>
      </c>
      <c r="G22" s="24">
        <f t="shared" si="2"/>
        <v>1275.5294434000002</v>
      </c>
      <c r="H22" s="38">
        <f t="shared" si="3"/>
        <v>72766.033783544641</v>
      </c>
      <c r="I22" s="36">
        <f t="shared" si="4"/>
        <v>2.0543344817466842E-2</v>
      </c>
      <c r="J22" s="36">
        <f t="shared" si="5"/>
        <v>0.11</v>
      </c>
      <c r="K22" s="36">
        <f t="shared" si="6"/>
        <v>5.9896907433473652E-2</v>
      </c>
      <c r="L22" s="16">
        <f>G22/'Clause 6'!$I$11</f>
        <v>1275.5294434000002</v>
      </c>
      <c r="M22">
        <f t="shared" si="7"/>
        <v>5</v>
      </c>
      <c r="O22" s="94">
        <f t="shared" si="10"/>
        <v>2.3569773912754721E-2</v>
      </c>
      <c r="P22" s="94">
        <f t="shared" si="8"/>
        <v>-2.2116850493708595E-3</v>
      </c>
      <c r="Q22" s="94">
        <f t="shared" si="8"/>
        <v>-3.6327133520719035E-2</v>
      </c>
      <c r="R22" s="94">
        <f t="shared" si="8"/>
        <v>1.516640066609054E-2</v>
      </c>
      <c r="S22" s="94">
        <f t="shared" si="8"/>
        <v>-1.973560087559223E-4</v>
      </c>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row>
    <row r="23" spans="1:49" x14ac:dyDescent="0.35">
      <c r="A23" s="11" t="s">
        <v>79</v>
      </c>
      <c r="B23" s="34">
        <f t="shared" ref="B23:F23" si="23">L67</f>
        <v>1001.297607</v>
      </c>
      <c r="C23" s="34">
        <f t="shared" si="23"/>
        <v>964.07922399999995</v>
      </c>
      <c r="D23" s="34">
        <f t="shared" si="23"/>
        <v>933.939392</v>
      </c>
      <c r="E23" s="34">
        <f t="shared" si="23"/>
        <v>981.97900400000003</v>
      </c>
      <c r="F23" s="34">
        <f t="shared" si="23"/>
        <v>972.30926499999998</v>
      </c>
      <c r="G23" s="24">
        <f t="shared" si="2"/>
        <v>970.7208983999999</v>
      </c>
      <c r="H23" s="38">
        <f t="shared" si="3"/>
        <v>55377.404302862669</v>
      </c>
      <c r="I23" s="36">
        <f t="shared" si="4"/>
        <v>2.285564822289702E-2</v>
      </c>
      <c r="J23" s="36">
        <f t="shared" si="5"/>
        <v>0.11</v>
      </c>
      <c r="K23" s="36">
        <f t="shared" si="6"/>
        <v>6.9389888598281754E-2</v>
      </c>
      <c r="L23" s="16">
        <f>G23/'Clause 6'!$I$11</f>
        <v>970.7208983999999</v>
      </c>
      <c r="M23">
        <f t="shared" si="7"/>
        <v>5</v>
      </c>
      <c r="O23" s="94">
        <f t="shared" si="10"/>
        <v>3.1498970147236349E-2</v>
      </c>
      <c r="P23" s="94">
        <f t="shared" si="8"/>
        <v>-6.842002073868092E-3</v>
      </c>
      <c r="Q23" s="94">
        <f t="shared" si="8"/>
        <v>-3.7890918451045419E-2</v>
      </c>
      <c r="R23" s="94">
        <f t="shared" si="8"/>
        <v>1.1597675107805294E-2</v>
      </c>
      <c r="S23" s="94">
        <f t="shared" si="8"/>
        <v>1.6362752698722005E-3</v>
      </c>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row>
    <row r="24" spans="1:49" x14ac:dyDescent="0.35">
      <c r="A24" s="11" t="s">
        <v>80</v>
      </c>
      <c r="B24" s="34">
        <f t="shared" ref="B24:F24" si="24">L68</f>
        <v>759.52453600000001</v>
      </c>
      <c r="C24" s="34">
        <f t="shared" si="24"/>
        <v>730.11279300000001</v>
      </c>
      <c r="D24" s="34">
        <f t="shared" si="24"/>
        <v>702.63256799999999</v>
      </c>
      <c r="E24" s="34">
        <f t="shared" si="24"/>
        <v>741.84173599999997</v>
      </c>
      <c r="F24" s="34">
        <f t="shared" si="24"/>
        <v>727.86108400000001</v>
      </c>
      <c r="G24" s="24">
        <f t="shared" si="2"/>
        <v>732.39454339999998</v>
      </c>
      <c r="H24" s="38">
        <f t="shared" si="3"/>
        <v>41781.431517465622</v>
      </c>
      <c r="I24" s="36">
        <f t="shared" si="4"/>
        <v>2.544762605006886E-2</v>
      </c>
      <c r="J24" s="36">
        <f t="shared" si="5"/>
        <v>0.11</v>
      </c>
      <c r="K24" s="36">
        <f t="shared" si="6"/>
        <v>7.7679399051623271E-2</v>
      </c>
      <c r="L24" s="16">
        <f>G24/'Clause 6'!$I$11</f>
        <v>732.39454339999998</v>
      </c>
      <c r="M24">
        <f t="shared" si="7"/>
        <v>5</v>
      </c>
      <c r="O24" s="94">
        <f t="shared" si="10"/>
        <v>3.7042865549017145E-2</v>
      </c>
      <c r="P24" s="94">
        <f t="shared" si="8"/>
        <v>-3.1154661385206506E-3</v>
      </c>
      <c r="Q24" s="94">
        <f t="shared" si="8"/>
        <v>-4.0636533502606098E-2</v>
      </c>
      <c r="R24" s="94">
        <f t="shared" si="8"/>
        <v>1.2899048313690598E-2</v>
      </c>
      <c r="S24" s="94">
        <f t="shared" si="8"/>
        <v>-6.1899142215809944E-3</v>
      </c>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row>
    <row r="25" spans="1:49" x14ac:dyDescent="0.35">
      <c r="A25" s="11" t="s">
        <v>81</v>
      </c>
      <c r="B25" s="34">
        <f t="shared" ref="B25:F25" si="25">L69</f>
        <v>576.44238299999995</v>
      </c>
      <c r="C25" s="34">
        <f t="shared" si="25"/>
        <v>553.17571999999996</v>
      </c>
      <c r="D25" s="34">
        <f t="shared" si="25"/>
        <v>529.78405799999996</v>
      </c>
      <c r="E25" s="34">
        <f t="shared" si="25"/>
        <v>555.53881799999999</v>
      </c>
      <c r="F25" s="34">
        <f t="shared" si="25"/>
        <v>549.98706100000004</v>
      </c>
      <c r="G25" s="24">
        <f t="shared" si="2"/>
        <v>552.98560799999996</v>
      </c>
      <c r="H25" s="38">
        <f t="shared" si="3"/>
        <v>31546.562599357683</v>
      </c>
      <c r="I25" s="36">
        <f t="shared" si="4"/>
        <v>2.6872071749755779E-2</v>
      </c>
      <c r="J25" s="36">
        <f t="shared" si="5"/>
        <v>0.11</v>
      </c>
      <c r="K25" s="36">
        <f t="shared" si="6"/>
        <v>8.4375297159632393E-2</v>
      </c>
      <c r="L25" s="16">
        <f>G25/'Clause 6'!$I$11</f>
        <v>552.98560799999996</v>
      </c>
      <c r="M25">
        <f t="shared" si="7"/>
        <v>5</v>
      </c>
      <c r="O25" s="94">
        <f t="shared" si="10"/>
        <v>4.2418418600145502E-2</v>
      </c>
      <c r="P25" s="94">
        <f t="shared" si="8"/>
        <v>3.4379194910250099E-4</v>
      </c>
      <c r="Q25" s="94">
        <f t="shared" si="8"/>
        <v>-4.1956878559486821E-2</v>
      </c>
      <c r="R25" s="94">
        <f t="shared" si="8"/>
        <v>4.6171364373013279E-3</v>
      </c>
      <c r="S25" s="94">
        <f t="shared" si="8"/>
        <v>-5.4224684270623991E-3</v>
      </c>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row>
    <row r="26" spans="1:49" x14ac:dyDescent="0.35">
      <c r="A26" s="11" t="s">
        <v>82</v>
      </c>
      <c r="B26" s="34">
        <f t="shared" ref="B26:F26" si="26">L70</f>
        <v>438.49993899999998</v>
      </c>
      <c r="C26" s="34">
        <f t="shared" si="26"/>
        <v>422.51580799999999</v>
      </c>
      <c r="D26" s="34">
        <f t="shared" si="26"/>
        <v>401.36743200000001</v>
      </c>
      <c r="E26" s="34">
        <f t="shared" si="26"/>
        <v>420.82345600000002</v>
      </c>
      <c r="F26" s="34">
        <f t="shared" si="26"/>
        <v>416.41021699999999</v>
      </c>
      <c r="G26" s="24">
        <f t="shared" si="2"/>
        <v>419.92337040000001</v>
      </c>
      <c r="H26" s="38">
        <f t="shared" si="3"/>
        <v>23955.66665680179</v>
      </c>
      <c r="I26" s="36">
        <f t="shared" si="4"/>
        <v>2.8363205049415113E-2</v>
      </c>
      <c r="J26" s="36">
        <f t="shared" si="5"/>
        <v>0.11</v>
      </c>
      <c r="K26" s="36">
        <f t="shared" si="6"/>
        <v>8.8426864560143981E-2</v>
      </c>
      <c r="L26" s="16">
        <f>G26/'Clause 6'!$I$11</f>
        <v>419.92337040000001</v>
      </c>
      <c r="M26">
        <f t="shared" si="7"/>
        <v>5</v>
      </c>
      <c r="O26" s="94">
        <f t="shared" si="10"/>
        <v>4.4237996523758039E-2</v>
      </c>
      <c r="P26" s="94">
        <f t="shared" si="8"/>
        <v>6.1735968577565359E-3</v>
      </c>
      <c r="Q26" s="94">
        <f t="shared" si="8"/>
        <v>-4.4188868036385887E-2</v>
      </c>
      <c r="R26" s="94">
        <f t="shared" si="8"/>
        <v>2.1434520282657132E-3</v>
      </c>
      <c r="S26" s="94">
        <f t="shared" si="8"/>
        <v>-8.3661773733945122E-3</v>
      </c>
    </row>
    <row r="27" spans="1:49" x14ac:dyDescent="0.35">
      <c r="A27" s="11" t="s">
        <v>83</v>
      </c>
      <c r="B27" s="34">
        <f t="shared" ref="B27:F27" si="27">L71</f>
        <v>333.45434599999999</v>
      </c>
      <c r="C27" s="34">
        <f t="shared" si="27"/>
        <v>318.349152</v>
      </c>
      <c r="D27" s="34">
        <f t="shared" si="27"/>
        <v>306.405304</v>
      </c>
      <c r="E27" s="34">
        <f t="shared" si="27"/>
        <v>319.46289100000001</v>
      </c>
      <c r="F27" s="34">
        <f t="shared" si="27"/>
        <v>315.22082499999999</v>
      </c>
      <c r="G27" s="24">
        <f t="shared" si="2"/>
        <v>318.57850360000003</v>
      </c>
      <c r="H27" s="38">
        <f t="shared" si="3"/>
        <v>18174.174085606759</v>
      </c>
      <c r="I27" s="36">
        <f t="shared" si="4"/>
        <v>2.7421731478723999E-2</v>
      </c>
      <c r="J27" s="36">
        <f t="shared" si="5"/>
        <v>0.11</v>
      </c>
      <c r="K27" s="36">
        <f t="shared" si="6"/>
        <v>8.4905421095084782E-2</v>
      </c>
      <c r="L27" s="16">
        <f>G27/'Clause 6'!$I$11</f>
        <v>318.57850360000003</v>
      </c>
      <c r="M27">
        <f t="shared" si="7"/>
        <v>5</v>
      </c>
      <c r="O27" s="94">
        <f t="shared" si="10"/>
        <v>4.6694432398608265E-2</v>
      </c>
      <c r="P27" s="94">
        <f t="shared" si="8"/>
        <v>-7.1992176938595609E-4</v>
      </c>
      <c r="Q27" s="94">
        <f t="shared" si="8"/>
        <v>-3.8210988696476655E-2</v>
      </c>
      <c r="R27" s="94">
        <f t="shared" si="8"/>
        <v>2.7760422941480734E-3</v>
      </c>
      <c r="S27" s="94">
        <f t="shared" si="8"/>
        <v>-1.0539564226894171E-2</v>
      </c>
    </row>
    <row r="28" spans="1:49" x14ac:dyDescent="0.35">
      <c r="A28" s="11" t="s">
        <v>84</v>
      </c>
      <c r="B28" s="34"/>
      <c r="C28" s="34">
        <f t="shared" ref="C28:F28" si="28">M72</f>
        <v>239.81556699999999</v>
      </c>
      <c r="D28" s="34">
        <f t="shared" si="28"/>
        <v>227.996216</v>
      </c>
      <c r="E28" s="34">
        <f t="shared" si="28"/>
        <v>247.39579800000001</v>
      </c>
      <c r="F28" s="34">
        <f t="shared" si="28"/>
        <v>238.79325900000001</v>
      </c>
      <c r="G28" s="24">
        <f t="shared" si="2"/>
        <v>238.50021000000001</v>
      </c>
      <c r="H28" s="38">
        <f t="shared" si="3"/>
        <v>13605.890815019102</v>
      </c>
      <c r="I28" s="36">
        <f t="shared" si="4"/>
        <v>2.8994633891501718E-2</v>
      </c>
      <c r="J28" s="36">
        <f t="shared" si="5"/>
        <v>0.11</v>
      </c>
      <c r="K28" s="36">
        <f t="shared" si="6"/>
        <v>8.1339894836989904E-2</v>
      </c>
      <c r="L28" s="16">
        <f>G28/'Clause 6'!$I$11</f>
        <v>238.50021000000001</v>
      </c>
      <c r="M28">
        <f t="shared" si="7"/>
        <v>4</v>
      </c>
      <c r="O28" s="94">
        <f t="shared" si="10"/>
        <v>0</v>
      </c>
      <c r="P28" s="94">
        <f t="shared" si="8"/>
        <v>5.5151188336479695E-3</v>
      </c>
      <c r="Q28" s="94">
        <f t="shared" si="8"/>
        <v>-4.4041864784940876E-2</v>
      </c>
      <c r="R28" s="94">
        <f t="shared" si="8"/>
        <v>3.7298030052049125E-2</v>
      </c>
      <c r="S28" s="94">
        <f t="shared" si="8"/>
        <v>1.2287158992438929E-3</v>
      </c>
    </row>
    <row r="29" spans="1:49" x14ac:dyDescent="0.35">
      <c r="A29" s="11" t="s">
        <v>85</v>
      </c>
      <c r="B29" s="34">
        <f t="shared" ref="B29:F29" si="29">L73</f>
        <v>184.01670799999999</v>
      </c>
      <c r="C29" s="34">
        <f t="shared" si="29"/>
        <v>182.528198</v>
      </c>
      <c r="D29" s="34">
        <f t="shared" si="29"/>
        <v>174.590912</v>
      </c>
      <c r="E29" s="34">
        <f t="shared" si="29"/>
        <v>185.69807399999999</v>
      </c>
      <c r="F29" s="34">
        <f t="shared" si="29"/>
        <v>181.55827300000001</v>
      </c>
      <c r="G29" s="24">
        <f t="shared" si="2"/>
        <v>181.67843299999998</v>
      </c>
      <c r="H29" s="38">
        <f t="shared" si="3"/>
        <v>10364.338559038431</v>
      </c>
      <c r="I29" s="36">
        <f t="shared" si="4"/>
        <v>2.0973146538643336E-2</v>
      </c>
      <c r="J29" s="36">
        <f t="shared" si="5"/>
        <v>0.11</v>
      </c>
      <c r="K29" s="36">
        <f t="shared" si="6"/>
        <v>6.1136381553885316E-2</v>
      </c>
      <c r="L29" s="16">
        <f>G29/'Clause 6'!$I$11</f>
        <v>181.67843299999998</v>
      </c>
      <c r="M29">
        <f t="shared" si="7"/>
        <v>5</v>
      </c>
      <c r="O29" s="94">
        <f t="shared" si="10"/>
        <v>1.2870404931332846E-2</v>
      </c>
      <c r="P29" s="94">
        <f t="shared" si="8"/>
        <v>4.67730256127874E-3</v>
      </c>
      <c r="Q29" s="94">
        <f t="shared" si="8"/>
        <v>-3.9011350345585449E-2</v>
      </c>
      <c r="R29" s="94">
        <f t="shared" si="8"/>
        <v>2.2125031208299895E-2</v>
      </c>
      <c r="S29" s="94">
        <f t="shared" si="8"/>
        <v>-6.6138835532547624E-4</v>
      </c>
    </row>
    <row r="30" spans="1:49" x14ac:dyDescent="0.35">
      <c r="A30" s="11" t="s">
        <v>86</v>
      </c>
      <c r="B30" s="34">
        <f t="shared" ref="B30:F30" si="30">L74</f>
        <v>138.97045900000001</v>
      </c>
      <c r="C30" s="34">
        <f t="shared" si="30"/>
        <v>136.165009</v>
      </c>
      <c r="D30" s="34">
        <f t="shared" si="30"/>
        <v>132.16287199999999</v>
      </c>
      <c r="E30" s="34">
        <f t="shared" si="30"/>
        <v>138.69027700000001</v>
      </c>
      <c r="F30" s="34">
        <f t="shared" si="30"/>
        <v>135.718887</v>
      </c>
      <c r="G30" s="24">
        <f t="shared" si="2"/>
        <v>136.34150080000001</v>
      </c>
      <c r="H30" s="38">
        <f t="shared" si="3"/>
        <v>7777.97039860317</v>
      </c>
      <c r="I30" s="36">
        <f t="shared" si="4"/>
        <v>1.8057802514439718E-2</v>
      </c>
      <c r="J30" s="36">
        <f t="shared" si="5"/>
        <v>0.113</v>
      </c>
      <c r="K30" s="36">
        <f t="shared" si="6"/>
        <v>4.993040974359006E-2</v>
      </c>
      <c r="L30" s="16">
        <f>G30/'Clause 6'!$I$11</f>
        <v>136.34150080000001</v>
      </c>
      <c r="M30">
        <f t="shared" si="7"/>
        <v>5</v>
      </c>
      <c r="O30" s="94">
        <f t="shared" si="10"/>
        <v>1.9282156823668961E-2</v>
      </c>
      <c r="P30" s="94">
        <f t="shared" si="8"/>
        <v>-1.2944833301996583E-3</v>
      </c>
      <c r="Q30" s="94">
        <f t="shared" si="8"/>
        <v>-3.0648252919921015E-2</v>
      </c>
      <c r="R30" s="94">
        <f t="shared" si="8"/>
        <v>1.7227155240468139E-2</v>
      </c>
      <c r="S30" s="94">
        <f t="shared" si="8"/>
        <v>-4.566575814016649E-3</v>
      </c>
    </row>
    <row r="31" spans="1:49" x14ac:dyDescent="0.35">
      <c r="A31" s="11" t="s">
        <v>87</v>
      </c>
      <c r="B31" s="34">
        <f t="shared" ref="B31:F31" si="31">L75</f>
        <v>104.578316</v>
      </c>
      <c r="C31" s="34">
        <f t="shared" si="31"/>
        <v>97.715378000000001</v>
      </c>
      <c r="D31" s="34">
        <f t="shared" si="31"/>
        <v>97.924239999999998</v>
      </c>
      <c r="E31" s="34">
        <f t="shared" si="31"/>
        <v>104.384956</v>
      </c>
      <c r="F31" s="34">
        <f t="shared" si="31"/>
        <v>98.876007000000001</v>
      </c>
      <c r="G31" s="24">
        <f t="shared" si="2"/>
        <v>100.69577940000001</v>
      </c>
      <c r="H31" s="38">
        <f t="shared" si="3"/>
        <v>5744.4636214351749</v>
      </c>
      <c r="I31" s="36">
        <f t="shared" si="4"/>
        <v>3.0948717941112699E-2</v>
      </c>
      <c r="J31" s="36">
        <f t="shared" si="5"/>
        <v>0.113</v>
      </c>
      <c r="K31" s="36">
        <f t="shared" si="6"/>
        <v>6.8155170364568418E-2</v>
      </c>
      <c r="L31" s="16">
        <f>G31/'Clause 6'!$I$11</f>
        <v>100.69577940000001</v>
      </c>
      <c r="M31">
        <f t="shared" si="7"/>
        <v>5</v>
      </c>
      <c r="O31" s="94">
        <f t="shared" si="10"/>
        <v>3.8557093684901789E-2</v>
      </c>
      <c r="P31" s="94">
        <f t="shared" si="8"/>
        <v>-2.959807667966674E-2</v>
      </c>
      <c r="Q31" s="94">
        <f t="shared" si="8"/>
        <v>-2.7523888454057732E-2</v>
      </c>
      <c r="R31" s="94">
        <f t="shared" si="8"/>
        <v>3.6636854314869183E-2</v>
      </c>
      <c r="S31" s="94">
        <f t="shared" si="8"/>
        <v>-1.807198286604661E-2</v>
      </c>
    </row>
    <row r="32" spans="1:49" x14ac:dyDescent="0.35">
      <c r="A32" s="11" t="s">
        <v>88</v>
      </c>
      <c r="B32" s="34">
        <f t="shared" ref="B32:F32" si="32">L76</f>
        <v>77.195426999999995</v>
      </c>
      <c r="C32" s="34">
        <f t="shared" si="32"/>
        <v>72.770432</v>
      </c>
      <c r="D32" s="34">
        <f t="shared" si="32"/>
        <v>70.655304000000001</v>
      </c>
      <c r="E32" s="34">
        <f t="shared" si="32"/>
        <v>75.523551999999995</v>
      </c>
      <c r="F32" s="34">
        <f t="shared" si="32"/>
        <v>70.515556000000004</v>
      </c>
      <c r="G32" s="24">
        <f t="shared" si="2"/>
        <v>73.332054200000002</v>
      </c>
      <c r="H32" s="38">
        <f t="shared" si="3"/>
        <v>4183.4257617058829</v>
      </c>
      <c r="I32" s="36">
        <f t="shared" si="4"/>
        <v>3.615185492675628E-2</v>
      </c>
      <c r="J32" s="36">
        <f t="shared" si="5"/>
        <v>0.11900000000000001</v>
      </c>
      <c r="K32" s="36">
        <f t="shared" si="6"/>
        <v>9.1090738870915081E-2</v>
      </c>
      <c r="L32" s="16">
        <f>G32/'Clause 6'!$I$11</f>
        <v>73.332054200000002</v>
      </c>
      <c r="M32">
        <f t="shared" si="7"/>
        <v>5</v>
      </c>
      <c r="O32" s="94">
        <f t="shared" si="10"/>
        <v>5.2683275303639254E-2</v>
      </c>
      <c r="P32" s="94">
        <f t="shared" si="8"/>
        <v>-7.6586181326419034E-3</v>
      </c>
      <c r="Q32" s="94">
        <f t="shared" si="8"/>
        <v>-3.6501775781428991E-2</v>
      </c>
      <c r="R32" s="94">
        <f t="shared" si="8"/>
        <v>2.9884582177707397E-2</v>
      </c>
      <c r="S32" s="94">
        <f t="shared" si="8"/>
        <v>-3.8407463567275868E-2</v>
      </c>
    </row>
    <row r="33" spans="1:19" x14ac:dyDescent="0.35">
      <c r="A33" s="11" t="s">
        <v>89</v>
      </c>
      <c r="B33" s="34">
        <f t="shared" ref="B33:F33" si="33">L77</f>
        <v>55.233051000000003</v>
      </c>
      <c r="C33" s="34">
        <f t="shared" si="33"/>
        <v>53.158543000000002</v>
      </c>
      <c r="D33" s="34">
        <f t="shared" si="33"/>
        <v>50.094695999999999</v>
      </c>
      <c r="E33" s="34">
        <f t="shared" si="33"/>
        <v>54.266350000000003</v>
      </c>
      <c r="F33" s="34">
        <f t="shared" si="33"/>
        <v>50.380493000000001</v>
      </c>
      <c r="G33" s="24">
        <f t="shared" si="2"/>
        <v>52.626626599999994</v>
      </c>
      <c r="H33" s="38">
        <f t="shared" si="3"/>
        <v>3002.2285325550861</v>
      </c>
      <c r="I33" s="36">
        <f t="shared" si="4"/>
        <v>3.914632561407172E-2</v>
      </c>
      <c r="J33" s="36">
        <f t="shared" si="5"/>
        <v>0.11900000000000001</v>
      </c>
      <c r="K33" s="36">
        <f t="shared" si="6"/>
        <v>9.7637932202175481E-2</v>
      </c>
      <c r="L33" s="16">
        <f>G33/'Clause 6'!$I$11</f>
        <v>52.626626599999994</v>
      </c>
      <c r="M33">
        <f t="shared" si="7"/>
        <v>5</v>
      </c>
      <c r="O33" s="94">
        <f t="shared" si="10"/>
        <v>4.9526723797265193E-2</v>
      </c>
      <c r="P33" s="94">
        <f t="shared" si="8"/>
        <v>1.0107362648245521E-2</v>
      </c>
      <c r="Q33" s="94">
        <f t="shared" si="8"/>
        <v>-4.8111208404910344E-2</v>
      </c>
      <c r="R33" s="94">
        <f t="shared" si="8"/>
        <v>3.1157676369095055E-2</v>
      </c>
      <c r="S33" s="94">
        <f t="shared" si="8"/>
        <v>-4.2680554409694871E-2</v>
      </c>
    </row>
    <row r="34" spans="1:19" x14ac:dyDescent="0.35">
      <c r="A34" s="11" t="s">
        <v>90</v>
      </c>
      <c r="B34" s="34">
        <f t="shared" ref="B34:E34" si="34">L78</f>
        <v>40.093024999999997</v>
      </c>
      <c r="C34" s="34">
        <f t="shared" si="34"/>
        <v>38.277591999999999</v>
      </c>
      <c r="D34" s="34">
        <f t="shared" si="34"/>
        <v>36.155304000000001</v>
      </c>
      <c r="E34" s="34">
        <f t="shared" si="34"/>
        <v>38.193832</v>
      </c>
      <c r="F34" s="34"/>
      <c r="G34" s="24">
        <f t="shared" si="2"/>
        <v>38.179938249999999</v>
      </c>
      <c r="H34" s="38">
        <f t="shared" si="3"/>
        <v>2178.0780451039077</v>
      </c>
      <c r="I34" s="36">
        <f t="shared" si="4"/>
        <v>3.6501526568180002E-2</v>
      </c>
      <c r="J34" s="36">
        <f t="shared" si="5"/>
        <v>0.11900000000000001</v>
      </c>
      <c r="K34" s="36">
        <f t="shared" si="6"/>
        <v>0.10313586612466552</v>
      </c>
      <c r="L34" s="16">
        <f>G34/'Clause 6'!$I$11</f>
        <v>38.179938249999999</v>
      </c>
      <c r="M34">
        <f t="shared" si="7"/>
        <v>4</v>
      </c>
      <c r="O34" s="94">
        <f t="shared" si="10"/>
        <v>5.0107120065863375E-2</v>
      </c>
      <c r="P34" s="94">
        <f t="shared" si="8"/>
        <v>2.5577241471834711E-3</v>
      </c>
      <c r="Q34" s="94">
        <f t="shared" si="8"/>
        <v>-5.3028746058802145E-2</v>
      </c>
      <c r="R34" s="94">
        <f t="shared" si="8"/>
        <v>3.6390184575529894E-4</v>
      </c>
      <c r="S34" s="94">
        <f t="shared" si="8"/>
        <v>0</v>
      </c>
    </row>
    <row r="35" spans="1:19" x14ac:dyDescent="0.35">
      <c r="A35" s="11" t="s">
        <v>91</v>
      </c>
      <c r="B35" s="34">
        <f t="shared" ref="B35:E35" si="35">L79</f>
        <v>27.009053999999999</v>
      </c>
      <c r="C35" s="34">
        <f t="shared" si="35"/>
        <v>27.353424</v>
      </c>
      <c r="D35" s="34">
        <f t="shared" si="35"/>
        <v>24.829546000000001</v>
      </c>
      <c r="E35" s="34">
        <f t="shared" si="35"/>
        <v>25.404947</v>
      </c>
      <c r="F35" s="34"/>
      <c r="G35" s="24">
        <f t="shared" si="2"/>
        <v>26.149242749999999</v>
      </c>
      <c r="H35" s="38">
        <f t="shared" si="3"/>
        <v>1491.7544171216027</v>
      </c>
      <c r="I35" s="36">
        <f t="shared" si="4"/>
        <v>4.0493698147847167E-2</v>
      </c>
      <c r="J35" s="36">
        <f t="shared" si="5"/>
        <v>0.13400000000000001</v>
      </c>
      <c r="K35" s="36">
        <f t="shared" si="6"/>
        <v>9.6518206057802564E-2</v>
      </c>
      <c r="L35" s="16">
        <f>G35/'Clause 6'!$I$11</f>
        <v>26.149242749999999</v>
      </c>
      <c r="M35">
        <f t="shared" si="7"/>
        <v>4</v>
      </c>
      <c r="O35" s="94">
        <f t="shared" si="10"/>
        <v>3.2880923482956348E-2</v>
      </c>
      <c r="P35" s="94">
        <f t="shared" si="8"/>
        <v>4.6050329698361869E-2</v>
      </c>
      <c r="Q35" s="94">
        <f t="shared" si="8"/>
        <v>-5.0467876359440611E-2</v>
      </c>
      <c r="R35" s="94">
        <f t="shared" si="8"/>
        <v>-2.8463376821877495E-2</v>
      </c>
      <c r="S35" s="94">
        <f t="shared" si="8"/>
        <v>0</v>
      </c>
    </row>
    <row r="36" spans="1:19" x14ac:dyDescent="0.35">
      <c r="A36" s="11" t="s">
        <v>92</v>
      </c>
      <c r="B36" s="34">
        <f t="shared" ref="B36:E36" si="36">L80</f>
        <v>18.130645999999999</v>
      </c>
      <c r="C36" s="34">
        <f t="shared" si="36"/>
        <v>19.181805000000001</v>
      </c>
      <c r="D36" s="34">
        <f t="shared" si="36"/>
        <v>16.378788</v>
      </c>
      <c r="E36" s="34">
        <f t="shared" si="36"/>
        <v>17.109455000000001</v>
      </c>
      <c r="F36" s="34"/>
      <c r="G36" s="24">
        <f t="shared" si="2"/>
        <v>17.700173499999998</v>
      </c>
      <c r="H36" s="38">
        <f t="shared" si="3"/>
        <v>1009.7543647776851</v>
      </c>
      <c r="I36" s="36">
        <f t="shared" si="4"/>
        <v>5.9760677982579127E-2</v>
      </c>
      <c r="J36" s="36">
        <f t="shared" si="5"/>
        <v>0.13400000000000001</v>
      </c>
      <c r="K36" s="36">
        <f t="shared" si="6"/>
        <v>0.1583609900773007</v>
      </c>
      <c r="L36" s="16">
        <f>G36/'Clause 6'!$I$11</f>
        <v>17.700173499999998</v>
      </c>
      <c r="M36">
        <f t="shared" si="7"/>
        <v>4</v>
      </c>
      <c r="O36" s="94">
        <f t="shared" si="10"/>
        <v>2.4320241832657796E-2</v>
      </c>
      <c r="P36" s="94">
        <f t="shared" si="8"/>
        <v>8.3707173830810389E-2</v>
      </c>
      <c r="Q36" s="94">
        <f t="shared" si="8"/>
        <v>-7.4653816246490368E-2</v>
      </c>
      <c r="R36" s="94">
        <f t="shared" si="8"/>
        <v>-3.3373599416977373E-2</v>
      </c>
      <c r="S36" s="94">
        <f t="shared" si="8"/>
        <v>0</v>
      </c>
    </row>
    <row r="37" spans="1:19" x14ac:dyDescent="0.35">
      <c r="A37" s="11" t="s">
        <v>93</v>
      </c>
      <c r="B37" s="34">
        <f t="shared" ref="B37:E37" si="37">L81</f>
        <v>11.682117</v>
      </c>
      <c r="C37" s="34">
        <f t="shared" si="37"/>
        <v>12.386456000000001</v>
      </c>
      <c r="D37" s="34">
        <f t="shared" si="37"/>
        <v>11.064394</v>
      </c>
      <c r="E37" s="34">
        <f t="shared" si="37"/>
        <v>11.492715</v>
      </c>
      <c r="F37" s="34"/>
      <c r="G37" s="24">
        <f t="shared" si="2"/>
        <v>11.656420499999999</v>
      </c>
      <c r="H37" s="38">
        <f t="shared" si="3"/>
        <v>664.97209632205511</v>
      </c>
      <c r="I37" s="36">
        <f t="shared" si="4"/>
        <v>4.0939432684531658E-2</v>
      </c>
      <c r="J37" s="36">
        <f t="shared" si="5"/>
        <v>0.156</v>
      </c>
      <c r="K37" s="36">
        <f t="shared" si="6"/>
        <v>0.11341920961070345</v>
      </c>
      <c r="L37" s="16">
        <f>G37/'Clause 6'!$I$11</f>
        <v>11.656420499999999</v>
      </c>
      <c r="M37">
        <f t="shared" si="7"/>
        <v>4</v>
      </c>
      <c r="O37" s="94">
        <f t="shared" si="10"/>
        <v>2.2044932232840875E-3</v>
      </c>
      <c r="P37" s="94">
        <f t="shared" si="8"/>
        <v>6.2629475317916183E-2</v>
      </c>
      <c r="Q37" s="94">
        <f t="shared" si="8"/>
        <v>-5.0789734292787325E-2</v>
      </c>
      <c r="R37" s="94">
        <f t="shared" si="8"/>
        <v>-1.4044234248412613E-2</v>
      </c>
      <c r="S37" s="94">
        <f t="shared" si="8"/>
        <v>0</v>
      </c>
    </row>
    <row r="38" spans="1:19" x14ac:dyDescent="0.35">
      <c r="A38" s="11" t="s">
        <v>94</v>
      </c>
      <c r="B38" s="34">
        <f t="shared" ref="B38:E38" si="38">L82</f>
        <v>7.756926</v>
      </c>
      <c r="C38" s="34">
        <f t="shared" si="38"/>
        <v>9.0317919999999994</v>
      </c>
      <c r="D38" s="34">
        <f t="shared" si="38"/>
        <v>7.3181820000000002</v>
      </c>
      <c r="E38" s="34">
        <f t="shared" si="38"/>
        <v>8.1226699999999994</v>
      </c>
      <c r="F38" s="34"/>
      <c r="G38" s="24">
        <f t="shared" si="2"/>
        <v>8.0573924999999988</v>
      </c>
      <c r="H38" s="38">
        <f t="shared" si="3"/>
        <v>459.65579069617502</v>
      </c>
      <c r="I38" s="36">
        <f t="shared" si="4"/>
        <v>7.825867059147873E-2</v>
      </c>
      <c r="J38" s="36">
        <f t="shared" si="5"/>
        <v>0.193</v>
      </c>
      <c r="K38" s="36">
        <f t="shared" si="6"/>
        <v>0.2126755026517573</v>
      </c>
      <c r="L38" s="16">
        <f>G38/'Clause 6'!$I$11</f>
        <v>8.0573924999999988</v>
      </c>
      <c r="M38">
        <f t="shared" si="7"/>
        <v>4</v>
      </c>
      <c r="O38" s="94">
        <f t="shared" si="10"/>
        <v>-3.729078607005909E-2</v>
      </c>
      <c r="P38" s="94">
        <f t="shared" si="8"/>
        <v>0.12093236118260342</v>
      </c>
      <c r="Q38" s="94">
        <f t="shared" si="8"/>
        <v>-9.1743141469153744E-2</v>
      </c>
      <c r="R38" s="94">
        <f t="shared" si="8"/>
        <v>8.1015663566097462E-3</v>
      </c>
      <c r="S38" s="94">
        <f t="shared" si="8"/>
        <v>0</v>
      </c>
    </row>
    <row r="40" spans="1:19" x14ac:dyDescent="0.35">
      <c r="A40" t="s">
        <v>95</v>
      </c>
    </row>
    <row r="41" spans="1:19" ht="15" x14ac:dyDescent="0.5">
      <c r="A41" s="40"/>
      <c r="B41" s="41" t="s">
        <v>96</v>
      </c>
      <c r="C41" s="40"/>
      <c r="D41" s="42" t="s">
        <v>97</v>
      </c>
      <c r="E41" s="43"/>
      <c r="F41" s="43"/>
      <c r="G41" s="43"/>
      <c r="H41" s="44"/>
    </row>
    <row r="42" spans="1:19" ht="15" x14ac:dyDescent="0.5">
      <c r="A42" s="45" t="s">
        <v>98</v>
      </c>
      <c r="B42" s="46" t="s">
        <v>99</v>
      </c>
      <c r="C42" s="45" t="s">
        <v>100</v>
      </c>
      <c r="D42" s="45" t="s">
        <v>101</v>
      </c>
      <c r="E42" s="46" t="s">
        <v>102</v>
      </c>
      <c r="F42" s="46" t="s">
        <v>103</v>
      </c>
      <c r="G42" s="46" t="s">
        <v>104</v>
      </c>
      <c r="H42" s="47" t="s">
        <v>105</v>
      </c>
    </row>
    <row r="43" spans="1:19" x14ac:dyDescent="0.35">
      <c r="A43" s="48">
        <v>10000</v>
      </c>
      <c r="C43" s="48">
        <v>11</v>
      </c>
      <c r="D43" s="48">
        <v>7.8</v>
      </c>
      <c r="E43">
        <v>5.3</v>
      </c>
      <c r="F43">
        <v>4</v>
      </c>
      <c r="G43">
        <v>2.7</v>
      </c>
      <c r="H43" s="49">
        <v>1.8</v>
      </c>
    </row>
    <row r="44" spans="1:19" x14ac:dyDescent="0.35">
      <c r="A44" s="48">
        <v>5000</v>
      </c>
      <c r="B44">
        <v>10000</v>
      </c>
      <c r="C44" s="48">
        <v>11.3</v>
      </c>
      <c r="D44" s="48">
        <v>7.8</v>
      </c>
      <c r="E44">
        <v>5.3</v>
      </c>
      <c r="F44">
        <v>4</v>
      </c>
      <c r="G44">
        <v>2.7</v>
      </c>
      <c r="H44" s="49">
        <v>1.9</v>
      </c>
    </row>
    <row r="45" spans="1:19" x14ac:dyDescent="0.35">
      <c r="A45" s="48">
        <v>2000</v>
      </c>
      <c r="B45">
        <v>5000</v>
      </c>
      <c r="C45" s="48">
        <v>11.9</v>
      </c>
      <c r="D45" s="48">
        <v>7.9</v>
      </c>
      <c r="E45">
        <v>5.4</v>
      </c>
      <c r="F45">
        <v>4.0999999999999996</v>
      </c>
      <c r="G45">
        <v>2.9</v>
      </c>
      <c r="H45" s="49">
        <v>2.1</v>
      </c>
    </row>
    <row r="46" spans="1:19" x14ac:dyDescent="0.35">
      <c r="A46" s="48">
        <v>1000</v>
      </c>
      <c r="B46">
        <v>2000</v>
      </c>
      <c r="C46" s="48">
        <v>13.4</v>
      </c>
      <c r="D46" s="48">
        <v>8</v>
      </c>
      <c r="E46">
        <v>5.6</v>
      </c>
      <c r="F46">
        <v>4.3</v>
      </c>
      <c r="G46">
        <v>3.1</v>
      </c>
      <c r="H46" s="49">
        <v>2.4</v>
      </c>
    </row>
    <row r="47" spans="1:19" x14ac:dyDescent="0.35">
      <c r="A47" s="48">
        <v>500</v>
      </c>
      <c r="B47">
        <v>1000</v>
      </c>
      <c r="C47" s="48">
        <v>15.6</v>
      </c>
      <c r="D47" s="48">
        <v>8.1999999999999993</v>
      </c>
      <c r="E47">
        <v>5.9</v>
      </c>
      <c r="F47">
        <v>4.7</v>
      </c>
      <c r="G47">
        <v>3.6</v>
      </c>
      <c r="H47" s="49">
        <v>2.9</v>
      </c>
    </row>
    <row r="48" spans="1:19" x14ac:dyDescent="0.35">
      <c r="A48" s="48">
        <v>200</v>
      </c>
      <c r="B48">
        <v>500</v>
      </c>
      <c r="C48" s="48">
        <v>19.3</v>
      </c>
      <c r="D48" s="48">
        <v>8.9</v>
      </c>
      <c r="E48">
        <v>6.8</v>
      </c>
      <c r="F48">
        <v>5.7</v>
      </c>
      <c r="G48">
        <v>4.7</v>
      </c>
      <c r="H48" s="49">
        <v>4.0999999999999996</v>
      </c>
    </row>
    <row r="49" spans="1:16" x14ac:dyDescent="0.35">
      <c r="A49" s="50">
        <v>100</v>
      </c>
      <c r="B49" s="51">
        <v>200</v>
      </c>
      <c r="C49" s="50">
        <v>27.5</v>
      </c>
      <c r="D49" s="50">
        <v>10</v>
      </c>
      <c r="E49" s="51">
        <v>8</v>
      </c>
      <c r="F49" s="51">
        <v>7</v>
      </c>
      <c r="G49" s="51">
        <v>6.1</v>
      </c>
      <c r="H49" s="52">
        <v>5.5</v>
      </c>
    </row>
    <row r="51" spans="1:16" x14ac:dyDescent="0.35">
      <c r="A51" s="55">
        <f>'6 - B1'!A51</f>
        <v>0</v>
      </c>
      <c r="B51" s="56" t="str">
        <f>'6 - B1'!B51</f>
        <v>Portion 1</v>
      </c>
      <c r="C51" s="56" t="str">
        <f>'6 - B1'!C51</f>
        <v>Portion 2</v>
      </c>
      <c r="D51" s="56" t="str">
        <f>'6 - B1'!D51</f>
        <v>Portion 3</v>
      </c>
      <c r="E51" s="56" t="str">
        <f>'6 - B1'!E51</f>
        <v>Portion 4</v>
      </c>
      <c r="F51" s="56" t="str">
        <f>'6 - B1'!F51</f>
        <v>Portion 5</v>
      </c>
      <c r="G51" s="56" t="str">
        <f>'6 - B1'!G51</f>
        <v>Portion 1</v>
      </c>
      <c r="H51" s="56" t="str">
        <f>'6 - B1'!H51</f>
        <v>Portion 2</v>
      </c>
      <c r="I51" s="56" t="str">
        <f>'6 - B1'!I51</f>
        <v>Portion 3</v>
      </c>
      <c r="J51" s="56" t="str">
        <f>'6 - B1'!J51</f>
        <v>Portion 4</v>
      </c>
      <c r="K51" s="56" t="str">
        <f>'6 - B1'!K51</f>
        <v>Portion 5</v>
      </c>
      <c r="L51" s="56" t="str">
        <f>'6 - B1'!L51</f>
        <v>Portion 1</v>
      </c>
      <c r="M51" s="56" t="str">
        <f>'6 - B1'!M51</f>
        <v>Portion 2</v>
      </c>
      <c r="N51" s="56" t="str">
        <f>'6 - B1'!N51</f>
        <v>Portion 3</v>
      </c>
      <c r="O51" s="56" t="str">
        <f>'6 - B1'!O51</f>
        <v>Portion 4</v>
      </c>
      <c r="P51" s="56" t="str">
        <f>'6 - B1'!P51</f>
        <v>Portion 5</v>
      </c>
    </row>
    <row r="52" spans="1:16" x14ac:dyDescent="0.35">
      <c r="A52" s="55" t="str">
        <f>'6 - B1'!A52</f>
        <v>NAME\mL</v>
      </c>
      <c r="B52" s="55">
        <f>'6 - B1'!B52</f>
        <v>10.794725</v>
      </c>
      <c r="C52" s="55">
        <f>'6 - B1'!C52</f>
        <v>11.817764</v>
      </c>
      <c r="D52" s="55">
        <f>'6 - B1'!D52</f>
        <v>11.661454000000001</v>
      </c>
      <c r="E52" s="55">
        <f>'6 - B1'!E52</f>
        <v>11.792820000000001</v>
      </c>
      <c r="F52" s="55">
        <f>'6 - B1'!F52</f>
        <v>11.778202</v>
      </c>
      <c r="G52" s="55">
        <f>'6 - B1'!G52</f>
        <v>10.765807000000001</v>
      </c>
      <c r="H52" s="55">
        <f>'6 - B1'!H52</f>
        <v>11.557717999999999</v>
      </c>
      <c r="I52" s="55">
        <f>'6 - B1'!I52</f>
        <v>11.513206</v>
      </c>
      <c r="J52" s="55">
        <f>'6 - B1'!J52</f>
        <v>11.627454999999999</v>
      </c>
      <c r="K52" s="55">
        <f>'6 - B1'!K52</f>
        <v>11.623797</v>
      </c>
      <c r="L52" s="55">
        <f>'6 - B1'!L52</f>
        <v>10.700115</v>
      </c>
      <c r="M52" s="55">
        <f>'6 - B1'!M52</f>
        <v>11.625601</v>
      </c>
      <c r="N52" s="55">
        <f>'6 - B1'!N52</f>
        <v>11.478261</v>
      </c>
      <c r="O52" s="55">
        <f>'6 - B1'!O52</f>
        <v>11.572549</v>
      </c>
      <c r="P52" s="55">
        <f>'6 - B1'!P52</f>
        <v>11.671184</v>
      </c>
    </row>
    <row r="53" spans="1:16" x14ac:dyDescent="0.35">
      <c r="A53" s="55">
        <f>'6 - B1'!A53</f>
        <v>4</v>
      </c>
      <c r="B53" s="55">
        <f>'6 - B1'!B53</f>
        <v>11418.447265999999</v>
      </c>
      <c r="C53" s="55">
        <f>'6 - B1'!C53</f>
        <v>11549.815430000001</v>
      </c>
      <c r="D53" s="55">
        <f>'6 - B1'!D53</f>
        <v>11089.697265999999</v>
      </c>
      <c r="E53" s="55">
        <f>'6 - B1'!E53</f>
        <v>11333.930664</v>
      </c>
      <c r="F53" s="55">
        <f>'6 - B1'!F53</f>
        <v>11386.203125</v>
      </c>
      <c r="G53" s="55">
        <f>'6 - B1'!G53</f>
        <v>12207.909180000001</v>
      </c>
      <c r="H53" s="55">
        <f>'6 - B1'!H53</f>
        <v>12249.043944999999</v>
      </c>
      <c r="I53" s="55">
        <f>'6 - B1'!I53</f>
        <v>12479.756836</v>
      </c>
      <c r="J53" s="55">
        <f>'6 - B1'!J53</f>
        <v>12240.597656</v>
      </c>
      <c r="K53" s="55">
        <f>'6 - B1'!K53</f>
        <v>12626.338867</v>
      </c>
      <c r="L53" s="55">
        <f>'6 - B1'!L53</f>
        <v>12891.916992</v>
      </c>
      <c r="M53" s="55">
        <f>'6 - B1'!M53</f>
        <v>12675.043944999999</v>
      </c>
      <c r="N53" s="55">
        <f>'6 - B1'!N53</f>
        <v>12273.113281</v>
      </c>
      <c r="O53" s="55">
        <f>'6 - B1'!O53</f>
        <v>12978.558594</v>
      </c>
      <c r="P53" s="55">
        <f>'6 - B1'!P53</f>
        <v>12555.024414</v>
      </c>
    </row>
    <row r="54" spans="1:16" x14ac:dyDescent="0.35">
      <c r="A54" s="55">
        <f>'6 - B1'!A54</f>
        <v>5</v>
      </c>
      <c r="B54" s="55">
        <f>'6 - B1'!B54</f>
        <v>10016.373046999999</v>
      </c>
      <c r="C54" s="55">
        <f>'6 - B1'!C54</f>
        <v>10143.965819999999</v>
      </c>
      <c r="D54" s="55">
        <f>'6 - B1'!D54</f>
        <v>9743.2958980000003</v>
      </c>
      <c r="E54" s="55">
        <f>'6 - B1'!E54</f>
        <v>9951.9033199999994</v>
      </c>
      <c r="F54" s="55">
        <f>'6 - B1'!F54</f>
        <v>10031.497069999999</v>
      </c>
      <c r="G54" s="55">
        <f>'6 - B1'!G54</f>
        <v>10687.726562</v>
      </c>
      <c r="H54" s="55">
        <f>'6 - B1'!H54</f>
        <v>10704.015625</v>
      </c>
      <c r="I54" s="55">
        <f>'6 - B1'!I54</f>
        <v>10950.381836</v>
      </c>
      <c r="J54" s="55">
        <f>'6 - B1'!J54</f>
        <v>10724.014648</v>
      </c>
      <c r="K54" s="55">
        <f>'6 - B1'!K54</f>
        <v>11074.349609000001</v>
      </c>
      <c r="L54" s="55">
        <f>'6 - B1'!L54</f>
        <v>11285.486328000001</v>
      </c>
      <c r="M54" s="55">
        <f>'6 - B1'!M54</f>
        <v>11080.803711</v>
      </c>
      <c r="N54" s="55">
        <f>'6 - B1'!N54</f>
        <v>10777.852539</v>
      </c>
      <c r="O54" s="55">
        <f>'6 - B1'!O54</f>
        <v>11384.008789</v>
      </c>
      <c r="P54" s="55">
        <f>'6 - B1'!P54</f>
        <v>11033.842773</v>
      </c>
    </row>
    <row r="55" spans="1:16" x14ac:dyDescent="0.35">
      <c r="A55" s="55">
        <f>'6 - B1'!A55</f>
        <v>6</v>
      </c>
      <c r="B55" s="55">
        <f>'6 - B1'!B55</f>
        <v>8784.6611329999996</v>
      </c>
      <c r="C55" s="55">
        <f>'6 - B1'!C55</f>
        <v>8923.4306639999995</v>
      </c>
      <c r="D55" s="55">
        <f>'6 - B1'!D55</f>
        <v>8549.1054690000001</v>
      </c>
      <c r="E55" s="55">
        <f>'6 - B1'!E55</f>
        <v>8742.2685550000006</v>
      </c>
      <c r="F55" s="55">
        <f>'6 - B1'!F55</f>
        <v>8827.1533199999994</v>
      </c>
      <c r="G55" s="55">
        <f>'6 - B1'!G55</f>
        <v>9371.4296880000002</v>
      </c>
      <c r="H55" s="55">
        <f>'6 - B1'!H55</f>
        <v>9376.4179690000001</v>
      </c>
      <c r="I55" s="55">
        <f>'6 - B1'!I55</f>
        <v>9595.9375</v>
      </c>
      <c r="J55" s="55">
        <f>'6 - B1'!J55</f>
        <v>9400.6816409999992</v>
      </c>
      <c r="K55" s="55">
        <f>'6 - B1'!K55</f>
        <v>9690.6367190000001</v>
      </c>
      <c r="L55" s="55">
        <f>'6 - B1'!L55</f>
        <v>9851.5761719999991</v>
      </c>
      <c r="M55" s="55">
        <f>'6 - B1'!M55</f>
        <v>9710.5517579999996</v>
      </c>
      <c r="N55" s="55">
        <f>'6 - B1'!N55</f>
        <v>9460.4921880000002</v>
      </c>
      <c r="O55" s="55">
        <f>'6 - B1'!O55</f>
        <v>9964.3564449999994</v>
      </c>
      <c r="P55" s="55">
        <f>'6 - B1'!P55</f>
        <v>9702.8720699999994</v>
      </c>
    </row>
    <row r="56" spans="1:16" x14ac:dyDescent="0.35">
      <c r="A56" s="55">
        <f>'6 - B1'!A56</f>
        <v>7</v>
      </c>
      <c r="B56" s="55">
        <f>'6 - B1'!B56</f>
        <v>7685.7905270000001</v>
      </c>
      <c r="C56" s="55">
        <f>'6 - B1'!C56</f>
        <v>7819.1606449999999</v>
      </c>
      <c r="D56" s="55">
        <f>'6 - B1'!D56</f>
        <v>7499.4936520000001</v>
      </c>
      <c r="E56" s="55">
        <f>'6 - B1'!E56</f>
        <v>7655.1665039999998</v>
      </c>
      <c r="F56" s="55">
        <f>'6 - B1'!F56</f>
        <v>7737.1743159999996</v>
      </c>
      <c r="G56" s="55">
        <f>'6 - B1'!G56</f>
        <v>8141.7954099999997</v>
      </c>
      <c r="H56" s="55">
        <f>'6 - B1'!H56</f>
        <v>8174.4506840000004</v>
      </c>
      <c r="I56" s="55">
        <f>'6 - B1'!I56</f>
        <v>8376.1210940000001</v>
      </c>
      <c r="J56" s="55">
        <f>'6 - B1'!J56</f>
        <v>8228.7138670000004</v>
      </c>
      <c r="K56" s="55">
        <f>'6 - B1'!K56</f>
        <v>8446.6376949999994</v>
      </c>
      <c r="L56" s="55">
        <f>'6 - B1'!L56</f>
        <v>8584.2998050000006</v>
      </c>
      <c r="M56" s="55">
        <f>'6 - B1'!M56</f>
        <v>8491.0878909999992</v>
      </c>
      <c r="N56" s="55">
        <f>'6 - B1'!N56</f>
        <v>8266.234375</v>
      </c>
      <c r="O56" s="55">
        <f>'6 - B1'!O56</f>
        <v>8695.1455079999996</v>
      </c>
      <c r="P56" s="55">
        <f>'6 - B1'!P56</f>
        <v>8496.3105469999991</v>
      </c>
    </row>
    <row r="57" spans="1:16" x14ac:dyDescent="0.35">
      <c r="A57" s="55">
        <f>'6 - B1'!A57</f>
        <v>8</v>
      </c>
      <c r="B57" s="55">
        <f>'6 - B1'!B57</f>
        <v>6697.623047</v>
      </c>
      <c r="C57" s="55">
        <f>'6 - B1'!C57</f>
        <v>6810.3408200000003</v>
      </c>
      <c r="D57" s="55">
        <f>'6 - B1'!D57</f>
        <v>6543.8666990000002</v>
      </c>
      <c r="E57" s="55">
        <f>'6 - B1'!E57</f>
        <v>6668.294922</v>
      </c>
      <c r="F57" s="55">
        <f>'6 - B1'!F57</f>
        <v>6748.2285160000001</v>
      </c>
      <c r="G57" s="55">
        <f>'6 - B1'!G57</f>
        <v>7059.5727539999998</v>
      </c>
      <c r="H57" s="55">
        <f>'6 - B1'!H57</f>
        <v>7111.6977539999998</v>
      </c>
      <c r="I57" s="55">
        <f>'6 - B1'!I57</f>
        <v>7271.3891599999997</v>
      </c>
      <c r="J57" s="55">
        <f>'6 - B1'!J57</f>
        <v>7149.7158200000003</v>
      </c>
      <c r="K57" s="55">
        <f>'6 - B1'!K57</f>
        <v>7324.7148440000001</v>
      </c>
      <c r="L57" s="55">
        <f>'6 - B1'!L57</f>
        <v>7460.6674800000001</v>
      </c>
      <c r="M57" s="55">
        <f>'6 - B1'!M57</f>
        <v>7378.1992190000001</v>
      </c>
      <c r="N57" s="55">
        <f>'6 - B1'!N57</f>
        <v>7200.9165039999998</v>
      </c>
      <c r="O57" s="55">
        <f>'6 - B1'!O57</f>
        <v>7554.861328</v>
      </c>
      <c r="P57" s="55">
        <f>'6 - B1'!P57</f>
        <v>7411.4165039999998</v>
      </c>
    </row>
    <row r="58" spans="1:16" x14ac:dyDescent="0.35">
      <c r="A58" s="55">
        <f>'6 - B1'!A58</f>
        <v>9</v>
      </c>
      <c r="B58" s="55">
        <f>'6 - B1'!B58</f>
        <v>5830.5327150000003</v>
      </c>
      <c r="C58" s="55">
        <f>'6 - B1'!C58</f>
        <v>5924.216797</v>
      </c>
      <c r="D58" s="55">
        <f>'6 - B1'!D58</f>
        <v>5700.232422</v>
      </c>
      <c r="E58" s="55">
        <f>'6 - B1'!E58</f>
        <v>5781.8232420000004</v>
      </c>
      <c r="F58" s="55">
        <f>'6 - B1'!F58</f>
        <v>5868.4677730000003</v>
      </c>
      <c r="G58" s="55">
        <f>'6 - B1'!G58</f>
        <v>6098.1958009999998</v>
      </c>
      <c r="H58" s="55">
        <f>'6 - B1'!H58</f>
        <v>6153.03125</v>
      </c>
      <c r="I58" s="55">
        <f>'6 - B1'!I58</f>
        <v>6302.328125</v>
      </c>
      <c r="J58" s="55">
        <f>'6 - B1'!J58</f>
        <v>6189.0585940000001</v>
      </c>
      <c r="K58" s="55">
        <f>'6 - B1'!K58</f>
        <v>6343.2797849999997</v>
      </c>
      <c r="L58" s="55">
        <f>'6 - B1'!L58</f>
        <v>6462.080078</v>
      </c>
      <c r="M58" s="55">
        <f>'6 - B1'!M58</f>
        <v>6390.0351559999999</v>
      </c>
      <c r="N58" s="55">
        <f>'6 - B1'!N58</f>
        <v>6234.3066410000001</v>
      </c>
      <c r="O58" s="55">
        <f>'6 - B1'!O58</f>
        <v>6534.169922</v>
      </c>
      <c r="P58" s="55">
        <f>'6 - B1'!P58</f>
        <v>6428.2255859999996</v>
      </c>
    </row>
    <row r="59" spans="1:16" x14ac:dyDescent="0.35">
      <c r="A59" s="55">
        <f>'6 - B1'!A59</f>
        <v>10</v>
      </c>
      <c r="B59" s="55">
        <f>'6 - B1'!B59</f>
        <v>5028.7524409999996</v>
      </c>
      <c r="C59" s="55">
        <f>'6 - B1'!C59</f>
        <v>5097.2416990000002</v>
      </c>
      <c r="D59" s="55">
        <f>'6 - B1'!D59</f>
        <v>4910.3652339999999</v>
      </c>
      <c r="E59" s="55">
        <f>'6 - B1'!E59</f>
        <v>4992.2749020000001</v>
      </c>
      <c r="F59" s="55">
        <f>'6 - B1'!F59</f>
        <v>5059.9404299999997</v>
      </c>
      <c r="G59" s="55">
        <f>'6 - B1'!G59</f>
        <v>5234.9072269999997</v>
      </c>
      <c r="H59" s="55">
        <f>'6 - B1'!H59</f>
        <v>5294.8168949999999</v>
      </c>
      <c r="I59" s="55">
        <f>'6 - B1'!I59</f>
        <v>5401.970703</v>
      </c>
      <c r="J59" s="55">
        <f>'6 - B1'!J59</f>
        <v>5302.0200199999999</v>
      </c>
      <c r="K59" s="55">
        <f>'6 - B1'!K59</f>
        <v>5444.9501950000003</v>
      </c>
      <c r="L59" s="55">
        <f>'6 - B1'!L59</f>
        <v>5549.3793949999999</v>
      </c>
      <c r="M59" s="55">
        <f>'6 - B1'!M59</f>
        <v>5497.7802730000003</v>
      </c>
      <c r="N59" s="55">
        <f>'6 - B1'!N59</f>
        <v>5358.9125979999999</v>
      </c>
      <c r="O59" s="55">
        <f>'6 - B1'!O59</f>
        <v>5609.8271480000003</v>
      </c>
      <c r="P59" s="55">
        <f>'6 - B1'!P59</f>
        <v>5524.0327150000003</v>
      </c>
    </row>
    <row r="60" spans="1:16" x14ac:dyDescent="0.35">
      <c r="A60" s="55">
        <f>'6 - B1'!A60</f>
        <v>11</v>
      </c>
      <c r="B60" s="55">
        <f>'6 - B1'!B60</f>
        <v>4274.4023440000001</v>
      </c>
      <c r="C60" s="55">
        <f>'6 - B1'!C60</f>
        <v>4351.0766599999997</v>
      </c>
      <c r="D60" s="55">
        <f>'6 - B1'!D60</f>
        <v>4191.2441410000001</v>
      </c>
      <c r="E60" s="55">
        <f>'6 - B1'!E60</f>
        <v>4261.8305659999996</v>
      </c>
      <c r="F60" s="55">
        <f>'6 - B1'!F60</f>
        <v>4317.4672849999997</v>
      </c>
      <c r="G60" s="55">
        <f>'6 - B1'!G60</f>
        <v>4462.8330079999996</v>
      </c>
      <c r="H60" s="55">
        <f>'6 - B1'!H60</f>
        <v>4495.2646480000003</v>
      </c>
      <c r="I60" s="55">
        <f>'6 - B1'!I60</f>
        <v>4585.6040039999998</v>
      </c>
      <c r="J60" s="55">
        <f>'6 - B1'!J60</f>
        <v>4500.8129879999997</v>
      </c>
      <c r="K60" s="55">
        <f>'6 - B1'!K60</f>
        <v>4608.21875</v>
      </c>
      <c r="L60" s="55">
        <f>'6 - B1'!L60</f>
        <v>4722.0986329999996</v>
      </c>
      <c r="M60" s="55">
        <f>'6 - B1'!M60</f>
        <v>4676.0595700000003</v>
      </c>
      <c r="N60" s="55">
        <f>'6 - B1'!N60</f>
        <v>4535.9658200000003</v>
      </c>
      <c r="O60" s="55">
        <f>'6 - B1'!O60</f>
        <v>4764.1191410000001</v>
      </c>
      <c r="P60" s="55">
        <f>'6 - B1'!P60</f>
        <v>4694.2109380000002</v>
      </c>
    </row>
    <row r="61" spans="1:16" x14ac:dyDescent="0.35">
      <c r="A61" s="55">
        <f>'6 - B1'!A61</f>
        <v>12</v>
      </c>
      <c r="B61" s="55">
        <f>'6 - B1'!B61</f>
        <v>3616.9516600000002</v>
      </c>
      <c r="C61" s="55">
        <f>'6 - B1'!C61</f>
        <v>3667.0219729999999</v>
      </c>
      <c r="D61" s="55">
        <f>'6 - B1'!D61</f>
        <v>3546.0415039999998</v>
      </c>
      <c r="E61" s="55">
        <f>'6 - B1'!E61</f>
        <v>3582.5187989999999</v>
      </c>
      <c r="F61" s="55">
        <f>'6 - B1'!F61</f>
        <v>3637.9916990000002</v>
      </c>
      <c r="G61" s="55">
        <f>'6 - B1'!G61</f>
        <v>3753.8291020000001</v>
      </c>
      <c r="H61" s="55">
        <f>'6 - B1'!H61</f>
        <v>3773.5822750000002</v>
      </c>
      <c r="I61" s="55">
        <f>'6 - B1'!I61</f>
        <v>3844.0207519999999</v>
      </c>
      <c r="J61" s="55">
        <f>'6 - B1'!J61</f>
        <v>3749.6599120000001</v>
      </c>
      <c r="K61" s="55">
        <f>'6 - B1'!K61</f>
        <v>3858.3776859999998</v>
      </c>
      <c r="L61" s="55">
        <f>'6 - B1'!L61</f>
        <v>3979.6767580000001</v>
      </c>
      <c r="M61" s="55">
        <f>'6 - B1'!M61</f>
        <v>3930.4636230000001</v>
      </c>
      <c r="N61" s="55">
        <f>'6 - B1'!N61</f>
        <v>3812.0756839999999</v>
      </c>
      <c r="O61" s="55">
        <f>'6 - B1'!O61</f>
        <v>3993.329346</v>
      </c>
      <c r="P61" s="55">
        <f>'6 - B1'!P61</f>
        <v>3929.5927729999999</v>
      </c>
    </row>
    <row r="62" spans="1:16" x14ac:dyDescent="0.35">
      <c r="A62" s="55">
        <f>'6 - B1'!A62</f>
        <v>13</v>
      </c>
      <c r="B62" s="55">
        <f>'6 - B1'!B62</f>
        <v>3011.3781739999999</v>
      </c>
      <c r="C62" s="55">
        <f>'6 - B1'!C62</f>
        <v>3055.4848630000001</v>
      </c>
      <c r="D62" s="55">
        <f>'6 - B1'!D62</f>
        <v>2964.6389159999999</v>
      </c>
      <c r="E62" s="55">
        <f>'6 - B1'!E62</f>
        <v>2975.7937010000001</v>
      </c>
      <c r="F62" s="55">
        <f>'6 - B1'!F62</f>
        <v>3031.2775879999999</v>
      </c>
      <c r="G62" s="55">
        <f>'6 - B1'!G62</f>
        <v>3102.0432129999999</v>
      </c>
      <c r="H62" s="55">
        <f>'6 - B1'!H62</f>
        <v>3118.7817380000001</v>
      </c>
      <c r="I62" s="55">
        <f>'6 - B1'!I62</f>
        <v>3167.0588379999999</v>
      </c>
      <c r="J62" s="55">
        <f>'6 - B1'!J62</f>
        <v>3100.2485350000002</v>
      </c>
      <c r="K62" s="55">
        <f>'6 - B1'!K62</f>
        <v>3190.0073240000002</v>
      </c>
      <c r="L62" s="55">
        <f>'6 - B1'!L62</f>
        <v>3302.7680660000001</v>
      </c>
      <c r="M62" s="55">
        <f>'6 - B1'!M62</f>
        <v>3259.186279</v>
      </c>
      <c r="N62" s="55">
        <f>'6 - B1'!N62</f>
        <v>3153.0036620000001</v>
      </c>
      <c r="O62" s="55">
        <f>'6 - B1'!O62</f>
        <v>3314.9135740000002</v>
      </c>
      <c r="P62" s="55">
        <f>'6 - B1'!P62</f>
        <v>3245.2578119999998</v>
      </c>
    </row>
    <row r="63" spans="1:16" x14ac:dyDescent="0.35">
      <c r="A63" s="55">
        <f>'6 - B1'!A63</f>
        <v>14</v>
      </c>
      <c r="B63" s="55">
        <f>'6 - B1'!B63</f>
        <v>2469.6320799999999</v>
      </c>
      <c r="C63" s="55">
        <f>'6 - B1'!C63</f>
        <v>2504.0268550000001</v>
      </c>
      <c r="D63" s="55">
        <f>'6 - B1'!D63</f>
        <v>2423.540039</v>
      </c>
      <c r="E63" s="55">
        <f>'6 - B1'!E63</f>
        <v>2438.7719729999999</v>
      </c>
      <c r="F63" s="55">
        <f>'6 - B1'!F63</f>
        <v>2472.1938479999999</v>
      </c>
      <c r="G63" s="55">
        <f>'6 - B1'!G63</f>
        <v>2520.4797359999998</v>
      </c>
      <c r="H63" s="55">
        <f>'6 - B1'!H63</f>
        <v>2536.0541990000002</v>
      </c>
      <c r="I63" s="55">
        <f>'6 - B1'!I63</f>
        <v>2568.876221</v>
      </c>
      <c r="J63" s="55">
        <f>'6 - B1'!J63</f>
        <v>2521.2741700000001</v>
      </c>
      <c r="K63" s="55">
        <f>'6 - B1'!K63</f>
        <v>2587.1064449999999</v>
      </c>
      <c r="L63" s="55">
        <f>'6 - B1'!L63</f>
        <v>2695.1110840000001</v>
      </c>
      <c r="M63" s="55">
        <f>'6 - B1'!M63</f>
        <v>2647.3471679999998</v>
      </c>
      <c r="N63" s="55">
        <f>'6 - B1'!N63</f>
        <v>2566.7651369999999</v>
      </c>
      <c r="O63" s="55">
        <f>'6 - B1'!O63</f>
        <v>2700.0102539999998</v>
      </c>
      <c r="P63" s="55">
        <f>'6 - B1'!P63</f>
        <v>2631.1813959999999</v>
      </c>
    </row>
    <row r="64" spans="1:16" x14ac:dyDescent="0.35">
      <c r="A64" s="55">
        <f>'6 - B1'!A64</f>
        <v>15</v>
      </c>
      <c r="B64" s="55">
        <f>'6 - B1'!B64</f>
        <v>1989.7680660000001</v>
      </c>
      <c r="C64" s="55">
        <f>'6 - B1'!C64</f>
        <v>2008.4171140000001</v>
      </c>
      <c r="D64" s="55">
        <f>'6 - B1'!D64</f>
        <v>1944.8688959999999</v>
      </c>
      <c r="E64" s="55">
        <f>'6 - B1'!E64</f>
        <v>1951.356812</v>
      </c>
      <c r="F64" s="55">
        <f>'6 - B1'!F64</f>
        <v>1985.1926269999999</v>
      </c>
      <c r="G64" s="55">
        <f>'6 - B1'!G64</f>
        <v>2012.7613530000001</v>
      </c>
      <c r="H64" s="55">
        <f>'6 - B1'!H64</f>
        <v>2013.8057859999999</v>
      </c>
      <c r="I64" s="55">
        <f>'6 - B1'!I64</f>
        <v>2055.1184079999998</v>
      </c>
      <c r="J64" s="55">
        <f>'6 - B1'!J64</f>
        <v>2017.208496</v>
      </c>
      <c r="K64" s="55">
        <f>'6 - B1'!K64</f>
        <v>2061.3745119999999</v>
      </c>
      <c r="L64" s="55">
        <f>'6 - B1'!L64</f>
        <v>2150.7246089999999</v>
      </c>
      <c r="M64" s="55">
        <f>'6 - B1'!M64</f>
        <v>2115.8476559999999</v>
      </c>
      <c r="N64" s="55">
        <f>'6 - B1'!N64</f>
        <v>2046.4772949999999</v>
      </c>
      <c r="O64" s="55">
        <f>'6 - B1'!O64</f>
        <v>2161.9265140000002</v>
      </c>
      <c r="P64" s="55">
        <f>'6 - B1'!P64</f>
        <v>2110.0688479999999</v>
      </c>
    </row>
    <row r="65" spans="1:16" x14ac:dyDescent="0.35">
      <c r="A65" s="55">
        <f>'6 - B1'!A65</f>
        <v>16</v>
      </c>
      <c r="B65" s="55">
        <f>'6 - B1'!B65</f>
        <v>1566.320557</v>
      </c>
      <c r="C65" s="55">
        <f>'6 - B1'!C65</f>
        <v>1587.4406739999999</v>
      </c>
      <c r="D65" s="55">
        <f>'6 - B1'!D65</f>
        <v>1542.174683</v>
      </c>
      <c r="E65" s="55">
        <f>'6 - B1'!E65</f>
        <v>1543.990356</v>
      </c>
      <c r="F65" s="55">
        <f>'6 - B1'!F65</f>
        <v>1557.1137699999999</v>
      </c>
      <c r="G65" s="55">
        <f>'6 - B1'!G65</f>
        <v>1571.0852050000001</v>
      </c>
      <c r="H65" s="55">
        <f>'6 - B1'!H65</f>
        <v>1571.8500979999999</v>
      </c>
      <c r="I65" s="55">
        <f>'6 - B1'!I65</f>
        <v>1602.594482</v>
      </c>
      <c r="J65" s="55">
        <f>'6 - B1'!J65</f>
        <v>1572.0551760000001</v>
      </c>
      <c r="K65" s="55">
        <f>'6 - B1'!K65</f>
        <v>1605.2413329999999</v>
      </c>
      <c r="L65" s="55">
        <f>'6 - B1'!L65</f>
        <v>1696.243408</v>
      </c>
      <c r="M65" s="55">
        <f>'6 - B1'!M65</f>
        <v>1658.0648189999999</v>
      </c>
      <c r="N65" s="55">
        <f>'6 - B1'!N65</f>
        <v>1602.159058</v>
      </c>
      <c r="O65" s="55">
        <f>'6 - B1'!O65</f>
        <v>1695.391357</v>
      </c>
      <c r="P65" s="55">
        <f>'6 - B1'!P65</f>
        <v>1646.4482419999999</v>
      </c>
    </row>
    <row r="66" spans="1:16" x14ac:dyDescent="0.35">
      <c r="A66" s="55">
        <f>'6 - B1'!A66</f>
        <v>17</v>
      </c>
      <c r="B66" s="55">
        <f>'6 - B1'!B66</f>
        <v>1211.6102289999999</v>
      </c>
      <c r="C66" s="55">
        <f>'6 - B1'!C66</f>
        <v>1227.051025</v>
      </c>
      <c r="D66" s="55">
        <f>'6 - B1'!D66</f>
        <v>1197.535034</v>
      </c>
      <c r="E66" s="55">
        <f>'6 - B1'!E66</f>
        <v>1194.4555660000001</v>
      </c>
      <c r="F66" s="55">
        <f>'6 - B1'!F66</f>
        <v>1213.3431399999999</v>
      </c>
      <c r="G66" s="55">
        <f>'6 - B1'!G66</f>
        <v>1206.0405270000001</v>
      </c>
      <c r="H66" s="55">
        <f>'6 - B1'!H66</f>
        <v>1210.3599850000001</v>
      </c>
      <c r="I66" s="55">
        <f>'6 - B1'!I66</f>
        <v>1229.457764</v>
      </c>
      <c r="J66" s="55">
        <f>'6 - B1'!J66</f>
        <v>1207.229004</v>
      </c>
      <c r="K66" s="55">
        <f>'6 - B1'!K66</f>
        <v>1222.234009</v>
      </c>
      <c r="L66" s="55">
        <f>'6 - B1'!L66</f>
        <v>1305.593384</v>
      </c>
      <c r="M66" s="55">
        <f>'6 - B1'!M66</f>
        <v>1272.708374</v>
      </c>
      <c r="N66" s="55">
        <f>'6 - B1'!N66</f>
        <v>1229.193115</v>
      </c>
      <c r="O66" s="55">
        <f>'6 - B1'!O66</f>
        <v>1294.874634</v>
      </c>
      <c r="P66" s="55">
        <f>'6 - B1'!P66</f>
        <v>1275.2777100000001</v>
      </c>
    </row>
    <row r="67" spans="1:16" x14ac:dyDescent="0.35">
      <c r="A67" s="55">
        <f>'6 - B1'!A67</f>
        <v>18</v>
      </c>
      <c r="B67" s="55">
        <f>'6 - B1'!B67</f>
        <v>932.39984100000004</v>
      </c>
      <c r="C67" s="55">
        <f>'6 - B1'!C67</f>
        <v>939.01007100000004</v>
      </c>
      <c r="D67" s="55">
        <f>'6 - B1'!D67</f>
        <v>916.52374299999997</v>
      </c>
      <c r="E67" s="55">
        <f>'6 - B1'!E67</f>
        <v>907.92535399999997</v>
      </c>
      <c r="F67" s="55">
        <f>'6 - B1'!F67</f>
        <v>927.30621299999996</v>
      </c>
      <c r="G67" s="55">
        <f>'6 - B1'!G67</f>
        <v>918.74206500000003</v>
      </c>
      <c r="H67" s="55">
        <f>'6 - B1'!H67</f>
        <v>915.05950900000005</v>
      </c>
      <c r="I67" s="55">
        <f>'6 - B1'!I67</f>
        <v>928.06475799999998</v>
      </c>
      <c r="J67" s="55">
        <f>'6 - B1'!J67</f>
        <v>907.59332300000005</v>
      </c>
      <c r="K67" s="55">
        <f>'6 - B1'!K67</f>
        <v>929.64453100000003</v>
      </c>
      <c r="L67" s="55">
        <f>'6 - B1'!L67</f>
        <v>1001.297607</v>
      </c>
      <c r="M67" s="55">
        <f>'6 - B1'!M67</f>
        <v>964.07922399999995</v>
      </c>
      <c r="N67" s="55">
        <f>'6 - B1'!N67</f>
        <v>933.939392</v>
      </c>
      <c r="O67" s="55">
        <f>'6 - B1'!O67</f>
        <v>981.97900400000003</v>
      </c>
      <c r="P67" s="55">
        <f>'6 - B1'!P67</f>
        <v>972.30926499999998</v>
      </c>
    </row>
    <row r="68" spans="1:16" x14ac:dyDescent="0.35">
      <c r="A68" s="55">
        <f>'6 - B1'!A68</f>
        <v>19</v>
      </c>
      <c r="B68" s="55">
        <f>'6 - B1'!B68</f>
        <v>713.03344700000002</v>
      </c>
      <c r="C68" s="55">
        <f>'6 - B1'!C68</f>
        <v>711.21740699999998</v>
      </c>
      <c r="D68" s="55">
        <f>'6 - B1'!D68</f>
        <v>694.76757799999996</v>
      </c>
      <c r="E68" s="55">
        <f>'6 - B1'!E68</f>
        <v>692.37042199999996</v>
      </c>
      <c r="F68" s="55">
        <f>'6 - B1'!F68</f>
        <v>704.86138900000003</v>
      </c>
      <c r="G68" s="55">
        <f>'6 - B1'!G68</f>
        <v>692.65594499999997</v>
      </c>
      <c r="H68" s="55">
        <f>'6 - B1'!H68</f>
        <v>692.26464799999997</v>
      </c>
      <c r="I68" s="55">
        <f>'6 - B1'!I68</f>
        <v>700.76055899999994</v>
      </c>
      <c r="J68" s="55">
        <f>'6 - B1'!J68</f>
        <v>683.38256799999999</v>
      </c>
      <c r="K68" s="55">
        <f>'6 - B1'!K68</f>
        <v>697.87866199999996</v>
      </c>
      <c r="L68" s="55">
        <f>'6 - B1'!L68</f>
        <v>759.52453600000001</v>
      </c>
      <c r="M68" s="55">
        <f>'6 - B1'!M68</f>
        <v>730.11279300000001</v>
      </c>
      <c r="N68" s="55">
        <f>'6 - B1'!N68</f>
        <v>702.63256799999999</v>
      </c>
      <c r="O68" s="55">
        <f>'6 - B1'!O68</f>
        <v>741.84173599999997</v>
      </c>
      <c r="P68" s="55">
        <f>'6 - B1'!P68</f>
        <v>727.86108400000001</v>
      </c>
    </row>
    <row r="69" spans="1:16" x14ac:dyDescent="0.35">
      <c r="A69" s="55">
        <f>'6 - B1'!A69</f>
        <v>20</v>
      </c>
      <c r="B69" s="55">
        <f>'6 - B1'!B69</f>
        <v>536.83624299999997</v>
      </c>
      <c r="C69" s="55">
        <f>'6 - B1'!C69</f>
        <v>535.38043200000004</v>
      </c>
      <c r="D69" s="55">
        <f>'6 - B1'!D69</f>
        <v>529.60803199999998</v>
      </c>
      <c r="E69" s="55">
        <f>'6 - B1'!E69</f>
        <v>527.10040300000003</v>
      </c>
      <c r="F69" s="55">
        <f>'6 - B1'!F69</f>
        <v>536.75427200000001</v>
      </c>
      <c r="G69" s="55">
        <f>'6 - B1'!G69</f>
        <v>525.18127400000003</v>
      </c>
      <c r="H69" s="55">
        <f>'6 - B1'!H69</f>
        <v>523.20013400000005</v>
      </c>
      <c r="I69" s="55">
        <f>'6 - B1'!I69</f>
        <v>529.56579599999998</v>
      </c>
      <c r="J69" s="55">
        <f>'6 - B1'!J69</f>
        <v>512.40789800000005</v>
      </c>
      <c r="K69" s="55">
        <f>'6 - B1'!K69</f>
        <v>526.33404499999995</v>
      </c>
      <c r="L69" s="55">
        <f>'6 - B1'!L69</f>
        <v>576.44238299999995</v>
      </c>
      <c r="M69" s="55">
        <f>'6 - B1'!M69</f>
        <v>553.17571999999996</v>
      </c>
      <c r="N69" s="55">
        <f>'6 - B1'!N69</f>
        <v>529.78405799999996</v>
      </c>
      <c r="O69" s="55">
        <f>'6 - B1'!O69</f>
        <v>555.53881799999999</v>
      </c>
      <c r="P69" s="55">
        <f>'6 - B1'!P69</f>
        <v>549.98706100000004</v>
      </c>
    </row>
    <row r="70" spans="1:16" x14ac:dyDescent="0.35">
      <c r="A70" s="55">
        <f>'6 - B1'!A70</f>
        <v>21</v>
      </c>
      <c r="B70" s="55">
        <f>'6 - B1'!B70</f>
        <v>406.30954000000003</v>
      </c>
      <c r="C70" s="55">
        <f>'6 - B1'!C70</f>
        <v>409.21444700000001</v>
      </c>
      <c r="D70" s="55">
        <f>'6 - B1'!D70</f>
        <v>402.00817899999998</v>
      </c>
      <c r="E70" s="55">
        <f>'6 - B1'!E70</f>
        <v>404.05941799999999</v>
      </c>
      <c r="F70" s="55">
        <f>'6 - B1'!F70</f>
        <v>406.85327100000001</v>
      </c>
      <c r="G70" s="55">
        <f>'6 - B1'!G70</f>
        <v>394.86123700000002</v>
      </c>
      <c r="H70" s="55">
        <f>'6 - B1'!H70</f>
        <v>390.99414100000001</v>
      </c>
      <c r="I70" s="55">
        <f>'6 - B1'!I70</f>
        <v>399.88864100000001</v>
      </c>
      <c r="J70" s="55">
        <f>'6 - B1'!J70</f>
        <v>383.23089599999997</v>
      </c>
      <c r="K70" s="55">
        <f>'6 - B1'!K70</f>
        <v>389.63171399999999</v>
      </c>
      <c r="L70" s="55">
        <f>'6 - B1'!L70</f>
        <v>438.49993899999998</v>
      </c>
      <c r="M70" s="55">
        <f>'6 - B1'!M70</f>
        <v>422.51580799999999</v>
      </c>
      <c r="N70" s="55">
        <f>'6 - B1'!N70</f>
        <v>401.36743200000001</v>
      </c>
      <c r="O70" s="55">
        <f>'6 - B1'!O70</f>
        <v>420.82345600000002</v>
      </c>
      <c r="P70" s="55">
        <f>'6 - B1'!P70</f>
        <v>416.41021699999999</v>
      </c>
    </row>
    <row r="71" spans="1:16" x14ac:dyDescent="0.35">
      <c r="A71" s="55">
        <f>'6 - B1'!A71</f>
        <v>22</v>
      </c>
      <c r="B71" s="55">
        <f>'6 - B1'!B71</f>
        <v>309.68829299999999</v>
      </c>
      <c r="C71" s="55">
        <f>'6 - B1'!C71</f>
        <v>314.018799</v>
      </c>
      <c r="D71" s="55">
        <f>'6 - B1'!D71</f>
        <v>307.76608299999998</v>
      </c>
      <c r="E71" s="55">
        <f>'6 - B1'!E71</f>
        <v>306.71203600000001</v>
      </c>
      <c r="F71" s="55">
        <f>'6 - B1'!F71</f>
        <v>309.979401</v>
      </c>
      <c r="G71" s="55">
        <f>'6 - B1'!G71</f>
        <v>296.772919</v>
      </c>
      <c r="H71" s="55">
        <f>'6 - B1'!H71</f>
        <v>296.77139299999999</v>
      </c>
      <c r="I71" s="55">
        <f>'6 - B1'!I71</f>
        <v>301.74047899999999</v>
      </c>
      <c r="J71" s="55">
        <f>'6 - B1'!J71</f>
        <v>290.34728999999999</v>
      </c>
      <c r="K71" s="55">
        <f>'6 - B1'!K71</f>
        <v>296.202698</v>
      </c>
      <c r="L71" s="55">
        <f>'6 - B1'!L71</f>
        <v>333.45434599999999</v>
      </c>
      <c r="M71" s="55">
        <f>'6 - B1'!M71</f>
        <v>318.349152</v>
      </c>
      <c r="N71" s="55">
        <f>'6 - B1'!N71</f>
        <v>306.405304</v>
      </c>
      <c r="O71" s="55">
        <f>'6 - B1'!O71</f>
        <v>319.46289100000001</v>
      </c>
      <c r="P71" s="55">
        <f>'6 - B1'!P71</f>
        <v>315.22082499999999</v>
      </c>
    </row>
    <row r="72" spans="1:16" x14ac:dyDescent="0.35">
      <c r="A72" s="55">
        <f>'6 - B1'!A72</f>
        <v>23</v>
      </c>
      <c r="B72" s="55">
        <f>'6 - B1'!B72</f>
        <v>233.53997799999999</v>
      </c>
      <c r="C72" s="55">
        <f>'6 - B1'!C72</f>
        <v>239.97770700000001</v>
      </c>
      <c r="D72" s="55">
        <f>'6 - B1'!D72</f>
        <v>235.81964099999999</v>
      </c>
      <c r="E72" s="55">
        <f>'6 - B1'!E72</f>
        <v>234.29510500000001</v>
      </c>
      <c r="F72" s="55">
        <f>'6 - B1'!F72</f>
        <v>234.67079200000001</v>
      </c>
      <c r="G72" s="55">
        <f>'6 - B1'!G72</f>
        <v>224.04264800000001</v>
      </c>
      <c r="H72" s="55">
        <f>'6 - B1'!H72</f>
        <v>223.31397999999999</v>
      </c>
      <c r="I72" s="55">
        <f>'6 - B1'!I72</f>
        <v>227.21734599999999</v>
      </c>
      <c r="J72" s="55">
        <f>'6 - B1'!J72</f>
        <v>219.99655200000001</v>
      </c>
      <c r="K72" s="55">
        <f>'6 - B1'!K72</f>
        <v>223.42095900000001</v>
      </c>
      <c r="L72" s="55">
        <f>'6 - B1'!L72</f>
        <v>253.64213599999999</v>
      </c>
      <c r="M72" s="55">
        <f>'6 - B1'!M72</f>
        <v>239.81556699999999</v>
      </c>
      <c r="N72" s="55">
        <f>'6 - B1'!N72</f>
        <v>227.996216</v>
      </c>
      <c r="O72" s="55">
        <f>'6 - B1'!O72</f>
        <v>247.39579800000001</v>
      </c>
      <c r="P72" s="55">
        <f>'6 - B1'!P72</f>
        <v>238.79325900000001</v>
      </c>
    </row>
    <row r="73" spans="1:16" x14ac:dyDescent="0.35">
      <c r="A73" s="55">
        <f>'6 - B1'!A73</f>
        <v>24</v>
      </c>
      <c r="B73" s="55">
        <f>'6 - B1'!B73</f>
        <v>175.45605499999999</v>
      </c>
      <c r="C73" s="55">
        <f>'6 - B1'!C73</f>
        <v>178.544769</v>
      </c>
      <c r="D73" s="55">
        <f>'6 - B1'!D73</f>
        <v>177.50787399999999</v>
      </c>
      <c r="E73" s="55">
        <f>'6 - B1'!E73</f>
        <v>176.29371599999999</v>
      </c>
      <c r="F73" s="55">
        <f>'6 - B1'!F73</f>
        <v>176.51251199999999</v>
      </c>
      <c r="G73" s="55">
        <f>'6 - B1'!G73</f>
        <v>169.51817299999999</v>
      </c>
      <c r="H73" s="55">
        <f>'6 - B1'!H73</f>
        <v>170.189301</v>
      </c>
      <c r="I73" s="55">
        <f>'6 - B1'!I73</f>
        <v>170.499863</v>
      </c>
      <c r="J73" s="55">
        <f>'6 - B1'!J73</f>
        <v>166.15846300000001</v>
      </c>
      <c r="K73" s="55">
        <f>'6 - B1'!K73</f>
        <v>168.533569</v>
      </c>
      <c r="L73" s="55">
        <f>'6 - B1'!L73</f>
        <v>184.01670799999999</v>
      </c>
      <c r="M73" s="55">
        <f>'6 - B1'!M73</f>
        <v>182.528198</v>
      </c>
      <c r="N73" s="55">
        <f>'6 - B1'!N73</f>
        <v>174.590912</v>
      </c>
      <c r="O73" s="55">
        <f>'6 - B1'!O73</f>
        <v>185.69807399999999</v>
      </c>
      <c r="P73" s="55">
        <f>'6 - B1'!P73</f>
        <v>181.55827300000001</v>
      </c>
    </row>
    <row r="74" spans="1:16" x14ac:dyDescent="0.35">
      <c r="A74" s="55">
        <f>'6 - B1'!A74</f>
        <v>25</v>
      </c>
      <c r="B74" s="55">
        <f>'6 - B1'!B74</f>
        <v>131.82363900000001</v>
      </c>
      <c r="C74" s="55">
        <f>'6 - B1'!C74</f>
        <v>133.18931599999999</v>
      </c>
      <c r="D74" s="55">
        <f>'6 - B1'!D74</f>
        <v>132.65927099999999</v>
      </c>
      <c r="E74" s="55">
        <f>'6 - B1'!E74</f>
        <v>130.75752299999999</v>
      </c>
      <c r="F74" s="55">
        <f>'6 - B1'!F74</f>
        <v>131.853745</v>
      </c>
      <c r="G74" s="55">
        <f>'6 - B1'!G74</f>
        <v>125.489891</v>
      </c>
      <c r="H74" s="55">
        <f>'6 - B1'!H74</f>
        <v>127.620346</v>
      </c>
      <c r="I74" s="55">
        <f>'6 - B1'!I74</f>
        <v>124.552628</v>
      </c>
      <c r="J74" s="55">
        <f>'6 - B1'!J74</f>
        <v>124.102829</v>
      </c>
      <c r="K74" s="55">
        <f>'6 - B1'!K74</f>
        <v>127.75515</v>
      </c>
      <c r="L74" s="55">
        <f>'6 - B1'!L74</f>
        <v>138.97045900000001</v>
      </c>
      <c r="M74" s="55">
        <f>'6 - B1'!M74</f>
        <v>136.165009</v>
      </c>
      <c r="N74" s="55">
        <f>'6 - B1'!N74</f>
        <v>132.16287199999999</v>
      </c>
      <c r="O74" s="55">
        <f>'6 - B1'!O74</f>
        <v>138.69027700000001</v>
      </c>
      <c r="P74" s="55">
        <f>'6 - B1'!P74</f>
        <v>135.718887</v>
      </c>
    </row>
    <row r="75" spans="1:16" x14ac:dyDescent="0.35">
      <c r="A75" s="55">
        <f>'6 - B1'!A75</f>
        <v>26</v>
      </c>
      <c r="B75" s="55">
        <f>'6 - B1'!B75</f>
        <v>96.435989000000006</v>
      </c>
      <c r="C75" s="55">
        <f>'6 - B1'!C75</f>
        <v>100.272774</v>
      </c>
      <c r="D75" s="55">
        <f>'6 - B1'!D75</f>
        <v>98.358231000000004</v>
      </c>
      <c r="E75" s="55">
        <f>'6 - B1'!E75</f>
        <v>95.651420999999999</v>
      </c>
      <c r="F75" s="55">
        <f>'6 - B1'!F75</f>
        <v>96.704063000000005</v>
      </c>
      <c r="G75" s="55">
        <f>'6 - B1'!G75</f>
        <v>91.028937999999997</v>
      </c>
      <c r="H75" s="55">
        <f>'6 - B1'!H75</f>
        <v>93.876662999999994</v>
      </c>
      <c r="I75" s="55">
        <f>'6 - B1'!I75</f>
        <v>91.112762000000004</v>
      </c>
      <c r="J75" s="55">
        <f>'6 - B1'!J75</f>
        <v>90.733528000000007</v>
      </c>
      <c r="K75" s="55">
        <f>'6 - B1'!K75</f>
        <v>96.095962999999998</v>
      </c>
      <c r="L75" s="55">
        <f>'6 - B1'!L75</f>
        <v>104.578316</v>
      </c>
      <c r="M75" s="55">
        <f>'6 - B1'!M75</f>
        <v>97.715378000000001</v>
      </c>
      <c r="N75" s="55">
        <f>'6 - B1'!N75</f>
        <v>97.924239999999998</v>
      </c>
      <c r="O75" s="55">
        <f>'6 - B1'!O75</f>
        <v>104.384956</v>
      </c>
      <c r="P75" s="55">
        <f>'6 - B1'!P75</f>
        <v>98.876007000000001</v>
      </c>
    </row>
    <row r="76" spans="1:16" x14ac:dyDescent="0.35">
      <c r="A76" s="55">
        <f>'6 - B1'!A76</f>
        <v>27</v>
      </c>
      <c r="B76" s="55">
        <f>'6 - B1'!B76</f>
        <v>67.810897999999995</v>
      </c>
      <c r="C76" s="55">
        <f>'6 - B1'!C76</f>
        <v>74.294929999999994</v>
      </c>
      <c r="D76" s="55">
        <f>'6 - B1'!D76</f>
        <v>69.545356999999996</v>
      </c>
      <c r="E76" s="55">
        <f>'6 - B1'!E76</f>
        <v>70.297011999999995</v>
      </c>
      <c r="F76" s="55">
        <f>'6 - B1'!F76</f>
        <v>71.233283999999998</v>
      </c>
      <c r="G76" s="55">
        <f>'6 - B1'!G76</f>
        <v>65.763762999999997</v>
      </c>
      <c r="H76" s="55">
        <f>'6 - B1'!H76</f>
        <v>66.881714000000002</v>
      </c>
      <c r="I76" s="55">
        <f>'6 - B1'!I76</f>
        <v>67.661438000000004</v>
      </c>
      <c r="J76" s="55">
        <f>'6 - B1'!J76</f>
        <v>68.114647000000005</v>
      </c>
      <c r="K76" s="55">
        <f>'6 - B1'!K76</f>
        <v>68.996384000000006</v>
      </c>
      <c r="L76" s="55">
        <f>'6 - B1'!L76</f>
        <v>77.195426999999995</v>
      </c>
      <c r="M76" s="55">
        <f>'6 - B1'!M76</f>
        <v>72.770432</v>
      </c>
      <c r="N76" s="55">
        <f>'6 - B1'!N76</f>
        <v>70.655304000000001</v>
      </c>
      <c r="O76" s="55">
        <f>'6 - B1'!O76</f>
        <v>75.523551999999995</v>
      </c>
      <c r="P76" s="55">
        <f>'6 - B1'!P76</f>
        <v>70.515556000000004</v>
      </c>
    </row>
    <row r="77" spans="1:16" x14ac:dyDescent="0.35">
      <c r="A77" s="55">
        <f>'6 - B1'!A77</f>
        <v>28</v>
      </c>
      <c r="B77" s="55">
        <f>'6 - B1'!B77</f>
        <v>48.356949</v>
      </c>
      <c r="C77" s="55">
        <f>'6 - B1'!C77</f>
        <v>52.209538000000002</v>
      </c>
      <c r="D77" s="55">
        <f>'6 - B1'!D77</f>
        <v>48.878982999999998</v>
      </c>
      <c r="E77" s="55">
        <f>'6 - B1'!E77</f>
        <v>51.471995999999997</v>
      </c>
      <c r="F77" s="55">
        <f>'6 - B1'!F77</f>
        <v>50.347244000000003</v>
      </c>
      <c r="G77" s="55">
        <f>'6 - B1'!G77</f>
        <v>48.672615</v>
      </c>
      <c r="H77" s="55">
        <f>'6 - B1'!H77</f>
        <v>46.981589999999997</v>
      </c>
      <c r="I77" s="55">
        <f>'6 - B1'!I77</f>
        <v>47.250092000000002</v>
      </c>
      <c r="J77" s="55">
        <f>'6 - B1'!J77</f>
        <v>47.645851</v>
      </c>
      <c r="K77" s="55">
        <f>'6 - B1'!K77</f>
        <v>48.865268999999998</v>
      </c>
      <c r="L77" s="55">
        <f>'6 - B1'!L77</f>
        <v>55.233051000000003</v>
      </c>
      <c r="M77" s="55">
        <f>'6 - B1'!M77</f>
        <v>53.158543000000002</v>
      </c>
      <c r="N77" s="55">
        <f>'6 - B1'!N77</f>
        <v>50.094695999999999</v>
      </c>
      <c r="O77" s="55">
        <f>'6 - B1'!O77</f>
        <v>54.266350000000003</v>
      </c>
      <c r="P77" s="55">
        <f>'6 - B1'!P77</f>
        <v>50.380493000000001</v>
      </c>
    </row>
    <row r="78" spans="1:16" x14ac:dyDescent="0.35">
      <c r="A78" s="55">
        <f>'6 - B1'!A78</f>
        <v>29</v>
      </c>
      <c r="B78" s="55">
        <f>'6 - B1'!B78</f>
        <v>35.109741</v>
      </c>
      <c r="C78" s="55">
        <f>'6 - B1'!C78</f>
        <v>37.570557000000001</v>
      </c>
      <c r="D78" s="55">
        <f>'6 - B1'!D78</f>
        <v>33.186256</v>
      </c>
      <c r="E78" s="55">
        <f>'6 - B1'!E78</f>
        <v>35.190902999999999</v>
      </c>
      <c r="F78" s="55">
        <f>'6 - B1'!F78</f>
        <v>34.555359000000003</v>
      </c>
      <c r="G78" s="55">
        <f>'6 - B1'!G78</f>
        <v>34.832500000000003</v>
      </c>
      <c r="H78" s="55">
        <f>'6 - B1'!H78</f>
        <v>33.484119</v>
      </c>
      <c r="I78" s="55">
        <f>'6 - B1'!I78</f>
        <v>33.439861000000001</v>
      </c>
      <c r="J78" s="55">
        <f>'6 - B1'!J78</f>
        <v>34.401336999999998</v>
      </c>
      <c r="K78" s="55">
        <f>'6 - B1'!K78</f>
        <v>35.100406999999997</v>
      </c>
      <c r="L78" s="55">
        <f>'6 - B1'!L78</f>
        <v>40.093024999999997</v>
      </c>
      <c r="M78" s="55">
        <f>'6 - B1'!M78</f>
        <v>38.277591999999999</v>
      </c>
      <c r="N78" s="55">
        <f>'6 - B1'!N78</f>
        <v>36.155304000000001</v>
      </c>
      <c r="O78" s="55">
        <f>'6 - B1'!O78</f>
        <v>38.193832</v>
      </c>
      <c r="P78" s="55">
        <f>'6 - B1'!P78</f>
        <v>35.643344999999997</v>
      </c>
    </row>
    <row r="79" spans="1:16" x14ac:dyDescent="0.35">
      <c r="A79" s="55">
        <f>'6 - B1'!A79</f>
        <v>30</v>
      </c>
      <c r="B79" s="55">
        <f>'6 - B1'!B79</f>
        <v>23.715285999999999</v>
      </c>
      <c r="C79" s="55">
        <f>'6 - B1'!C79</f>
        <v>25.554749000000001</v>
      </c>
      <c r="D79" s="55">
        <f>'6 - B1'!D79</f>
        <v>23.667717</v>
      </c>
      <c r="E79" s="55">
        <f>'6 - B1'!E79</f>
        <v>23.912855</v>
      </c>
      <c r="F79" s="55">
        <f>'6 - B1'!F79</f>
        <v>23.687826000000001</v>
      </c>
      <c r="G79" s="55">
        <f>'6 - B1'!G79</f>
        <v>24.429195</v>
      </c>
      <c r="H79" s="55">
        <f>'6 - B1'!H79</f>
        <v>22.668835000000001</v>
      </c>
      <c r="I79" s="55">
        <f>'6 - B1'!I79</f>
        <v>23.885615999999999</v>
      </c>
      <c r="J79" s="55">
        <f>'6 - B1'!J79</f>
        <v>23.822925999999999</v>
      </c>
      <c r="K79" s="55">
        <f>'6 - B1'!K79</f>
        <v>23.142178999999999</v>
      </c>
      <c r="L79" s="55">
        <f>'6 - B1'!L79</f>
        <v>27.009053999999999</v>
      </c>
      <c r="M79" s="55">
        <f>'6 - B1'!M79</f>
        <v>27.353424</v>
      </c>
      <c r="N79" s="55">
        <f>'6 - B1'!N79</f>
        <v>24.829546000000001</v>
      </c>
      <c r="O79" s="55">
        <f>'6 - B1'!O79</f>
        <v>25.404947</v>
      </c>
      <c r="P79" s="55">
        <f>'6 - B1'!P79</f>
        <v>22.705496</v>
      </c>
    </row>
    <row r="80" spans="1:16" x14ac:dyDescent="0.35">
      <c r="A80" s="55">
        <f>'6 - B1'!A80</f>
        <v>38</v>
      </c>
      <c r="B80" s="55">
        <f>'6 - B1'!B80</f>
        <v>15.007329</v>
      </c>
      <c r="C80" s="55">
        <f>'6 - B1'!C80</f>
        <v>17.008292999999998</v>
      </c>
      <c r="D80" s="55">
        <f>'6 - B1'!D80</f>
        <v>14.835198999999999</v>
      </c>
      <c r="E80" s="55">
        <f>'6 - B1'!E80</f>
        <v>16.196297000000001</v>
      </c>
      <c r="F80" s="55">
        <f>'6 - B1'!F80</f>
        <v>13.159903999999999</v>
      </c>
      <c r="G80" s="55">
        <f>'6 - B1'!G80</f>
        <v>16.905374999999999</v>
      </c>
      <c r="H80" s="55">
        <f>'6 - B1'!H80</f>
        <v>15.400964</v>
      </c>
      <c r="I80" s="55">
        <f>'6 - B1'!I80</f>
        <v>16.763359000000001</v>
      </c>
      <c r="J80" s="55">
        <f>'6 - B1'!J80</f>
        <v>17.716688000000001</v>
      </c>
      <c r="K80" s="55">
        <f>'6 - B1'!K80</f>
        <v>16.517838000000001</v>
      </c>
      <c r="L80" s="55">
        <f>'6 - B1'!L80</f>
        <v>18.130645999999999</v>
      </c>
      <c r="M80" s="55">
        <f>'6 - B1'!M80</f>
        <v>19.181805000000001</v>
      </c>
      <c r="N80" s="55">
        <f>'6 - B1'!N80</f>
        <v>16.378788</v>
      </c>
      <c r="O80" s="55">
        <f>'6 - B1'!O80</f>
        <v>17.109455000000001</v>
      </c>
      <c r="P80" s="55">
        <f>'6 - B1'!P80</f>
        <v>15.593963</v>
      </c>
    </row>
    <row r="81" spans="1:16" x14ac:dyDescent="0.35">
      <c r="A81" s="55">
        <f>'6 - B1'!A81</f>
        <v>50</v>
      </c>
      <c r="B81" s="55">
        <f>'6 - B1'!B81</f>
        <v>10.468076</v>
      </c>
      <c r="C81" s="55">
        <f>'6 - B1'!C81</f>
        <v>11.254244</v>
      </c>
      <c r="D81" s="55">
        <f>'6 - B1'!D81</f>
        <v>10.461817</v>
      </c>
      <c r="E81" s="55">
        <f>'6 - B1'!E81</f>
        <v>9.9212910000000001</v>
      </c>
      <c r="F81" s="55">
        <f>'6 - B1'!F81</f>
        <v>8.1506500000000006</v>
      </c>
      <c r="G81" s="55">
        <f>'6 - B1'!G81</f>
        <v>11.1464</v>
      </c>
      <c r="H81" s="55">
        <f>'6 - B1'!H81</f>
        <v>9.9500609999999998</v>
      </c>
      <c r="I81" s="55">
        <f>'6 - B1'!I81</f>
        <v>10.683384</v>
      </c>
      <c r="J81" s="55">
        <f>'6 - B1'!J81</f>
        <v>10.922423999999999</v>
      </c>
      <c r="K81" s="55">
        <f>'6 - B1'!K81</f>
        <v>11.097922000000001</v>
      </c>
      <c r="L81" s="55">
        <f>'6 - B1'!L81</f>
        <v>11.682117</v>
      </c>
      <c r="M81" s="55">
        <f>'6 - B1'!M81</f>
        <v>12.386456000000001</v>
      </c>
      <c r="N81" s="55">
        <f>'6 - B1'!N81</f>
        <v>11.064394</v>
      </c>
      <c r="O81" s="55">
        <f>'6 - B1'!O81</f>
        <v>11.492715</v>
      </c>
      <c r="P81" s="55">
        <f>'6 - B1'!P81</f>
        <v>9.6819659999999992</v>
      </c>
    </row>
    <row r="82" spans="1:16" x14ac:dyDescent="0.35">
      <c r="A82" s="55">
        <f>'6 - B1'!A82</f>
        <v>70</v>
      </c>
      <c r="B82" s="55">
        <f>'6 - B1'!B82</f>
        <v>6.2067350000000001</v>
      </c>
      <c r="C82" s="55">
        <f>'6 - B1'!C82</f>
        <v>6.938707</v>
      </c>
      <c r="D82" s="55">
        <f>'6 - B1'!D82</f>
        <v>6.9459609999999996</v>
      </c>
      <c r="E82" s="55">
        <f>'6 - B1'!E82</f>
        <v>6.5293970000000003</v>
      </c>
      <c r="F82" s="55">
        <f>'6 - B1'!F82</f>
        <v>5.2639610000000001</v>
      </c>
      <c r="G82" s="55">
        <f>'6 - B1'!G82</f>
        <v>7.2451610000000004</v>
      </c>
      <c r="H82" s="55">
        <f>'6 - B1'!H82</f>
        <v>6.4026480000000001</v>
      </c>
      <c r="I82" s="55">
        <f>'6 - B1'!I82</f>
        <v>7.035399</v>
      </c>
      <c r="J82" s="55">
        <f>'6 - B1'!J82</f>
        <v>6.3642469999999998</v>
      </c>
      <c r="K82" s="55">
        <f>'6 - B1'!K82</f>
        <v>7.3986150000000004</v>
      </c>
      <c r="L82" s="55">
        <f>'6 - B1'!L82</f>
        <v>7.756926</v>
      </c>
      <c r="M82" s="55">
        <f>'6 - B1'!M82</f>
        <v>9.0317919999999994</v>
      </c>
      <c r="N82" s="55">
        <f>'6 - B1'!N82</f>
        <v>7.3181820000000002</v>
      </c>
      <c r="O82" s="55">
        <f>'6 - B1'!O82</f>
        <v>8.1226699999999994</v>
      </c>
      <c r="P82" s="55">
        <f>'6 - B1'!P82</f>
        <v>6.5117649999999996</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70" zoomScaleNormal="70" workbookViewId="0">
      <selection activeCell="E37" sqref="E37"/>
    </sheetView>
  </sheetViews>
  <sheetFormatPr defaultColWidth="11.53125" defaultRowHeight="12.75" x14ac:dyDescent="0.35"/>
  <cols>
    <col min="11" max="11" width="27.6640625" customWidth="1"/>
    <col min="12" max="12" width="15.3984375" customWidth="1"/>
  </cols>
  <sheetData>
    <row r="1" spans="1:16" ht="37.25" customHeight="1" x14ac:dyDescent="0.7">
      <c r="B1" s="58"/>
      <c r="K1" s="153"/>
      <c r="L1" s="153"/>
      <c r="M1" s="153"/>
      <c r="N1" s="153"/>
      <c r="O1" s="153"/>
    </row>
    <row r="2" spans="1:16" ht="52.15" x14ac:dyDescent="0.5">
      <c r="B2" s="59" t="s">
        <v>110</v>
      </c>
      <c r="C2" s="59" t="s">
        <v>111</v>
      </c>
      <c r="D2" s="59" t="s">
        <v>112</v>
      </c>
      <c r="E2" s="59" t="s">
        <v>113</v>
      </c>
      <c r="F2" s="60" t="s">
        <v>114</v>
      </c>
      <c r="G2" s="61" t="s">
        <v>63</v>
      </c>
      <c r="H2" s="62" t="s">
        <v>115</v>
      </c>
      <c r="K2" s="63" t="s">
        <v>116</v>
      </c>
      <c r="L2" s="64" t="s">
        <v>117</v>
      </c>
      <c r="M2" s="64" t="s">
        <v>118</v>
      </c>
      <c r="O2" s="11"/>
      <c r="P2" s="11"/>
    </row>
    <row r="3" spans="1:16" ht="26.25" x14ac:dyDescent="0.45">
      <c r="B3" s="60" t="s">
        <v>119</v>
      </c>
      <c r="C3" s="60" t="s">
        <v>119</v>
      </c>
      <c r="D3" s="60" t="s">
        <v>119</v>
      </c>
      <c r="E3" s="60" t="s">
        <v>119</v>
      </c>
      <c r="F3" s="60"/>
      <c r="G3" s="65" t="s">
        <v>120</v>
      </c>
      <c r="H3" s="65" t="s">
        <v>121</v>
      </c>
      <c r="K3" s="66" t="s">
        <v>122</v>
      </c>
      <c r="L3" s="64" t="str">
        <f>"/ml"</f>
        <v>/ml</v>
      </c>
      <c r="M3" s="64"/>
      <c r="O3" s="67"/>
      <c r="P3" s="68"/>
    </row>
    <row r="4" spans="1:16" ht="13.9" x14ac:dyDescent="0.4">
      <c r="A4" s="93">
        <v>30</v>
      </c>
      <c r="B4" s="95">
        <f>'6 - B1'!$L38</f>
        <v>6.6551999999999998</v>
      </c>
      <c r="C4" s="95">
        <f>'6 - B2'!$L38</f>
        <v>6.8892139999999999</v>
      </c>
      <c r="D4" s="95">
        <f>'6 - B3'!$L38</f>
        <v>8.0573924999999988</v>
      </c>
      <c r="E4" s="96">
        <f t="shared" ref="E4:E33" si="0">AVERAGE(B4:D4)</f>
        <v>7.2006021666666662</v>
      </c>
      <c r="F4" s="97">
        <f>'Clause 6'!D19</f>
        <v>16000.000000000053</v>
      </c>
      <c r="G4" s="93">
        <f>'6 - B1'!$M38+'6 - B2'!$M38+'6 - B3'!$M38</f>
        <v>13</v>
      </c>
      <c r="H4" s="24">
        <f>STDEVP('6 - B1'!$B38:F38,'6 - B2'!B38:F38,'6 - B3'!B38:F38)/SQRT(G4)</f>
        <v>0.21060289417253772</v>
      </c>
      <c r="K4" s="69">
        <v>4</v>
      </c>
      <c r="L4" s="70">
        <v>10563.4</v>
      </c>
      <c r="M4" s="88">
        <f>CubicSpline(L4,$E$4:$E$33,$F$4:$F$33)</f>
        <v>143.3576196750065</v>
      </c>
    </row>
    <row r="5" spans="1:16" ht="13.9" x14ac:dyDescent="0.4">
      <c r="A5" s="93">
        <v>29</v>
      </c>
      <c r="B5" s="95">
        <f>'6 - B1'!$L37</f>
        <v>10.526357000000001</v>
      </c>
      <c r="C5" s="95">
        <f>'6 - B2'!$L37</f>
        <v>10.7600382</v>
      </c>
      <c r="D5" s="95">
        <f>'6 - B3'!$L37</f>
        <v>11.656420499999999</v>
      </c>
      <c r="E5" s="96">
        <f t="shared" si="0"/>
        <v>10.980938566666666</v>
      </c>
      <c r="F5" s="97">
        <f>'Clause 6'!D20</f>
        <v>13515.939313205179</v>
      </c>
      <c r="G5" s="93">
        <f>'6 - B1'!$M37+'6 - B2'!$M37+'6 - B3'!$M37</f>
        <v>13</v>
      </c>
      <c r="H5" s="24">
        <f>STDEVP('6 - B1'!$B37:F37,'6 - B2'!B37:F37,'6 - B3'!B37:F37)/SQRT(G5)</f>
        <v>0.18297435143796481</v>
      </c>
      <c r="K5" s="69">
        <v>5</v>
      </c>
      <c r="L5" s="70">
        <v>6899.8</v>
      </c>
      <c r="M5" s="88">
        <f t="shared" ref="M5:M9" si="1">CubicSpline(L5,$E$4:$E$33,$F$4:$F$33)</f>
        <v>243.53284575436837</v>
      </c>
    </row>
    <row r="6" spans="1:16" ht="13.9" x14ac:dyDescent="0.4">
      <c r="A6" s="93">
        <v>28</v>
      </c>
      <c r="B6" s="95">
        <f>'6 - B1'!$L36</f>
        <v>15.761779499999999</v>
      </c>
      <c r="C6" s="95">
        <f>'6 - B2'!$L36</f>
        <v>16.6608448</v>
      </c>
      <c r="D6" s="95">
        <f>'6 - B3'!$L36</f>
        <v>17.700173499999998</v>
      </c>
      <c r="E6" s="96">
        <f t="shared" si="0"/>
        <v>16.707599266666666</v>
      </c>
      <c r="F6" s="97">
        <f>'Clause 6'!D21</f>
        <v>11417.538469890293</v>
      </c>
      <c r="G6" s="93">
        <f>'6 - B1'!$M36+'6 - B2'!$M36+'6 - B3'!$M36</f>
        <v>13</v>
      </c>
      <c r="H6" s="24">
        <f>STDEVP('6 - B1'!$B36:F36,'6 - B2'!B36:F36,'6 - B3'!B36:F36)/SQRT(G6)</f>
        <v>0.32607247469610146</v>
      </c>
      <c r="K6" s="69">
        <v>6</v>
      </c>
      <c r="L6" s="70">
        <v>4593.5</v>
      </c>
      <c r="M6" s="88">
        <f t="shared" si="1"/>
        <v>382.59218634917329</v>
      </c>
    </row>
    <row r="7" spans="1:16" ht="13.9" x14ac:dyDescent="0.4">
      <c r="A7" s="93">
        <v>27</v>
      </c>
      <c r="B7" s="95">
        <f>'6 - B1'!$L35</f>
        <v>24.212651749999999</v>
      </c>
      <c r="C7" s="95">
        <f>'6 - B2'!$L35</f>
        <v>23.589750199999997</v>
      </c>
      <c r="D7" s="95">
        <f>'6 - B3'!$L35</f>
        <v>26.149242749999999</v>
      </c>
      <c r="E7" s="96">
        <f t="shared" si="0"/>
        <v>24.650548233333335</v>
      </c>
      <c r="F7" s="97">
        <f>'Clause 6'!D22</f>
        <v>9644.9223165763869</v>
      </c>
      <c r="G7" s="93">
        <f>'6 - B1'!$M35+'6 - B2'!$M35+'6 - B3'!$M35</f>
        <v>13</v>
      </c>
      <c r="H7" s="24">
        <f>STDEVP('6 - B1'!$B35:F35,'6 - B2'!B35:F35,'6 - B3'!B35:F35)/SQRT(G7)</f>
        <v>0.37768031340125513</v>
      </c>
      <c r="K7" s="69">
        <v>7</v>
      </c>
      <c r="L7" s="70">
        <v>3202.3</v>
      </c>
      <c r="M7" s="88">
        <f t="shared" si="1"/>
        <v>537.55539218408853</v>
      </c>
    </row>
    <row r="8" spans="1:16" ht="13.9" x14ac:dyDescent="0.4">
      <c r="A8" s="93">
        <v>26</v>
      </c>
      <c r="B8" s="95">
        <f>'6 - B1'!$L34</f>
        <v>35.26436425</v>
      </c>
      <c r="C8" s="95">
        <f>'6 - B2'!$L34</f>
        <v>34.251644800000001</v>
      </c>
      <c r="D8" s="95">
        <f>'6 - B3'!$L34</f>
        <v>38.179938249999999</v>
      </c>
      <c r="E8" s="96">
        <f t="shared" si="0"/>
        <v>35.8986491</v>
      </c>
      <c r="F8" s="97">
        <f>'Clause 6'!D23</f>
        <v>8147.5115444640205</v>
      </c>
      <c r="G8" s="93">
        <f>'6 - B1'!$M34+'6 - B2'!$M34+'6 - B3'!$M34</f>
        <v>13</v>
      </c>
      <c r="H8" s="24">
        <f>STDEVP('6 - B1'!$B34:F34,'6 - B2'!B34:F34,'6 - B3'!B34:F34)/SQRT(G8)</f>
        <v>0.57329250856701452</v>
      </c>
      <c r="K8" s="69">
        <v>8</v>
      </c>
      <c r="L8" s="70">
        <v>2184.8000000000002</v>
      </c>
      <c r="M8" s="88">
        <f t="shared" si="1"/>
        <v>730.57231139294777</v>
      </c>
    </row>
    <row r="9" spans="1:16" ht="13.9" x14ac:dyDescent="0.4">
      <c r="A9" s="93">
        <v>25</v>
      </c>
      <c r="B9" s="95">
        <f>'6 - B1'!$L33</f>
        <v>50.229366499999998</v>
      </c>
      <c r="C9" s="95">
        <f>'6 - B2'!$L33</f>
        <v>47.883083399999997</v>
      </c>
      <c r="D9" s="95">
        <f>'6 - B3'!$L33</f>
        <v>52.626626599999994</v>
      </c>
      <c r="E9" s="96">
        <f t="shared" si="0"/>
        <v>50.246358833333339</v>
      </c>
      <c r="F9" s="97">
        <f>'Clause 6'!D24</f>
        <v>6882.5794742883709</v>
      </c>
      <c r="G9" s="93">
        <f>'6 - B1'!$M33+'6 - B2'!$M33+'6 - B3'!$M33</f>
        <v>14</v>
      </c>
      <c r="H9" s="24">
        <f>STDEVP('6 - B1'!$B33:F33,'6 - B2'!B33:F33,'6 - B3'!B33:F33)/SQRT(G9)</f>
        <v>0.68186461291358524</v>
      </c>
      <c r="K9" s="69">
        <v>9</v>
      </c>
      <c r="L9" s="70">
        <v>1501.7</v>
      </c>
      <c r="M9" s="88">
        <f t="shared" si="1"/>
        <v>948.08832363570173</v>
      </c>
    </row>
    <row r="10" spans="1:16" ht="13.9" x14ac:dyDescent="0.4">
      <c r="A10" s="93">
        <v>24</v>
      </c>
      <c r="B10" s="95">
        <f>'6 - B1'!$L32</f>
        <v>70.487049249999984</v>
      </c>
      <c r="C10" s="95">
        <f>'6 - B2'!$L32</f>
        <v>67.483589200000011</v>
      </c>
      <c r="D10" s="95">
        <f>'6 - B3'!$L32</f>
        <v>73.332054200000002</v>
      </c>
      <c r="E10" s="96">
        <f t="shared" si="0"/>
        <v>70.434230883333328</v>
      </c>
      <c r="F10" s="97">
        <f>'Clause 6'!D25</f>
        <v>5814.0329057995577</v>
      </c>
      <c r="G10" s="93">
        <f>'6 - B1'!$M32+'6 - B2'!$M32+'6 - B3'!$M32</f>
        <v>14</v>
      </c>
      <c r="H10" s="24">
        <f>STDEVP('6 - B1'!$B32:F32,'6 - B2'!B32:F32,'6 - B3'!B32:F32)/SQRT(G10)</f>
        <v>0.87275596973695202</v>
      </c>
      <c r="K10" s="69">
        <v>10</v>
      </c>
      <c r="L10" s="70">
        <v>1069.5</v>
      </c>
      <c r="M10" s="88">
        <f t="shared" ref="M10:M30" si="2">CubicSpline(L10,$E$4:$E$33,$F$4:$F$33)</f>
        <v>1175.7576469195853</v>
      </c>
    </row>
    <row r="11" spans="1:16" ht="13.9" x14ac:dyDescent="0.4">
      <c r="A11" s="93">
        <v>23</v>
      </c>
      <c r="B11" s="95">
        <f>'6 - B1'!$L31</f>
        <v>97.679603750000012</v>
      </c>
      <c r="C11" s="95">
        <f>'6 - B2'!$L31</f>
        <v>92.569570799999994</v>
      </c>
      <c r="D11" s="95">
        <f>'6 - B3'!$L31</f>
        <v>100.69577940000001</v>
      </c>
      <c r="E11" s="96">
        <f t="shared" si="0"/>
        <v>96.981651316666671</v>
      </c>
      <c r="F11" s="97">
        <f>'Clause 6'!D26</f>
        <v>4911.3822449852833</v>
      </c>
      <c r="G11" s="93">
        <f>'6 - B1'!$M31+'6 - B2'!$M31+'6 - B3'!$M31</f>
        <v>14</v>
      </c>
      <c r="H11" s="24">
        <f>STDEVP('6 - B1'!$B31:F31,'6 - B2'!B31:F31,'6 - B3'!B31:F31)/SQRT(G11)</f>
        <v>1.1330734566327871</v>
      </c>
      <c r="K11" s="69">
        <v>11</v>
      </c>
      <c r="L11" s="70">
        <v>779</v>
      </c>
      <c r="M11" s="88">
        <f t="shared" si="2"/>
        <v>1425.9717392041091</v>
      </c>
    </row>
    <row r="12" spans="1:16" ht="13.9" x14ac:dyDescent="0.4">
      <c r="A12" s="93">
        <v>22</v>
      </c>
      <c r="B12" s="95">
        <f>'6 - B1'!$L30</f>
        <v>132.10743725</v>
      </c>
      <c r="C12" s="95">
        <f>'6 - B2'!$L30</f>
        <v>125.90416880000001</v>
      </c>
      <c r="D12" s="95">
        <f>'6 - B3'!$L30</f>
        <v>136.34150080000001</v>
      </c>
      <c r="E12" s="96">
        <f t="shared" si="0"/>
        <v>131.45103561666667</v>
      </c>
      <c r="F12" s="97">
        <f>'Clause 6'!D27</f>
        <v>4148.8715229483923</v>
      </c>
      <c r="G12" s="93">
        <f>'6 - B1'!$M30+'6 - B2'!$M30+'6 - B3'!$M30</f>
        <v>14</v>
      </c>
      <c r="H12" s="24">
        <f>STDEVP('6 - B1'!$B30:F30,'6 - B2'!B30:F30,'6 - B3'!B30:F30)/SQRT(G12)</f>
        <v>1.2785809867468201</v>
      </c>
      <c r="K12" s="69">
        <v>12</v>
      </c>
      <c r="L12" s="70">
        <v>583.4</v>
      </c>
      <c r="M12" s="88">
        <f t="shared" si="2"/>
        <v>1697.5399001563219</v>
      </c>
    </row>
    <row r="13" spans="1:16" ht="13.9" x14ac:dyDescent="0.4">
      <c r="A13" s="93">
        <v>21</v>
      </c>
      <c r="B13" s="95">
        <f>'6 - B1'!$L29</f>
        <v>176.8629852</v>
      </c>
      <c r="C13" s="95">
        <f>'6 - B2'!$L29</f>
        <v>168.97987380000001</v>
      </c>
      <c r="D13" s="95">
        <f>'6 - B3'!$L29</f>
        <v>181.67843299999998</v>
      </c>
      <c r="E13" s="96">
        <f t="shared" si="0"/>
        <v>175.84043066666663</v>
      </c>
      <c r="F13" s="97">
        <f>'Clause 6'!D28</f>
        <v>3504.7434826534645</v>
      </c>
      <c r="G13" s="93">
        <f>'6 - B1'!$M29+'6 - B2'!$M29+'6 - B3'!$M29</f>
        <v>15</v>
      </c>
      <c r="H13" s="24">
        <f>STDEVP('6 - B1'!$B29:F29,'6 - B2'!B29:F29,'6 - B3'!B29:F29)/SQRT(G13)</f>
        <v>1.4928916137730099</v>
      </c>
      <c r="K13" s="69">
        <v>13</v>
      </c>
      <c r="L13" s="70">
        <v>453.2</v>
      </c>
      <c r="M13" s="88">
        <f t="shared" si="2"/>
        <v>1976.6518029739339</v>
      </c>
    </row>
    <row r="14" spans="1:16" ht="13.9" x14ac:dyDescent="0.4">
      <c r="A14" s="93">
        <v>20</v>
      </c>
      <c r="B14" s="95">
        <f>'6 - B1'!$L28</f>
        <v>235.66064460000001</v>
      </c>
      <c r="C14" s="95">
        <f>'6 - B2'!$L28</f>
        <v>223.598297</v>
      </c>
      <c r="D14" s="95">
        <f>'6 - B3'!$L28</f>
        <v>238.50021000000001</v>
      </c>
      <c r="E14" s="96">
        <f t="shared" si="0"/>
        <v>232.58638386666667</v>
      </c>
      <c r="F14" s="97">
        <f>'Clause 6'!D29</f>
        <v>2960.618763743465</v>
      </c>
      <c r="G14" s="93">
        <f>'6 - B1'!$M28+'6 - B2'!$M28+'6 - B3'!$M28</f>
        <v>14</v>
      </c>
      <c r="H14" s="24">
        <f>STDEVP('6 - B1'!$B28:F28,'6 - B2'!B28:F28,'6 - B3'!B28:F28)/SQRT(G14)</f>
        <v>2.0606176746223559</v>
      </c>
      <c r="K14" s="69">
        <v>14</v>
      </c>
      <c r="L14" s="70">
        <v>364.1</v>
      </c>
      <c r="M14" s="88">
        <f t="shared" si="2"/>
        <v>2257.7184589334101</v>
      </c>
    </row>
    <row r="15" spans="1:16" ht="13.9" x14ac:dyDescent="0.4">
      <c r="A15" s="93">
        <v>19</v>
      </c>
      <c r="B15" s="95">
        <f>'6 - B1'!$L27</f>
        <v>309.63292239999998</v>
      </c>
      <c r="C15" s="95">
        <f>'6 - B2'!$L27</f>
        <v>296.36695580000003</v>
      </c>
      <c r="D15" s="95">
        <f>'6 - B3'!$L27</f>
        <v>318.57850360000003</v>
      </c>
      <c r="E15" s="96">
        <f t="shared" si="0"/>
        <v>308.19279393333335</v>
      </c>
      <c r="F15" s="97">
        <f>'Clause 6'!D30</f>
        <v>2500.9714712683176</v>
      </c>
      <c r="G15" s="93">
        <f>'6 - B1'!$M27+'6 - B2'!$M27+'6 - B3'!$M27</f>
        <v>15</v>
      </c>
      <c r="H15" s="24">
        <f>STDEVP('6 - B1'!$B27:F27,'6 - B2'!B27:F27,'6 - B3'!B27:F27)/SQRT(G15)</f>
        <v>2.7707723081430493</v>
      </c>
      <c r="K15" s="69">
        <v>15</v>
      </c>
      <c r="L15" s="70">
        <v>296.89999999999998</v>
      </c>
      <c r="M15" s="88">
        <f t="shared" si="2"/>
        <v>2557.2978011447294</v>
      </c>
    </row>
    <row r="16" spans="1:16" ht="13.9" x14ac:dyDescent="0.4">
      <c r="A16" s="93">
        <v>18</v>
      </c>
      <c r="B16" s="95">
        <f>'6 - B1'!$L26</f>
        <v>405.68897099999998</v>
      </c>
      <c r="C16" s="95">
        <f>'6 - B2'!$L26</f>
        <v>391.72132579999999</v>
      </c>
      <c r="D16" s="95">
        <f>'6 - B3'!$L26</f>
        <v>419.92337040000001</v>
      </c>
      <c r="E16" s="96">
        <f t="shared" si="0"/>
        <v>405.77788906666666</v>
      </c>
      <c r="F16" s="97">
        <f>'Clause 6'!D31</f>
        <v>2112.6861643574962</v>
      </c>
      <c r="G16" s="93">
        <f>'6 - B1'!$M26+'6 - B2'!$M26+'6 - B3'!$M26</f>
        <v>15</v>
      </c>
      <c r="H16" s="24">
        <f>STDEVP('6 - B1'!$B26:F26,'6 - B2'!B26:F26,'6 - B3'!B26:F26)/SQRT(G16)</f>
        <v>3.5787350894656118</v>
      </c>
      <c r="K16" s="69">
        <v>16</v>
      </c>
      <c r="L16" s="70">
        <v>246.4</v>
      </c>
      <c r="M16" s="88">
        <f t="shared" si="2"/>
        <v>2861.4562905955968</v>
      </c>
    </row>
    <row r="17" spans="1:13" ht="13.9" x14ac:dyDescent="0.4">
      <c r="A17" s="93">
        <v>17</v>
      </c>
      <c r="B17" s="95">
        <f>'6 - B1'!$L25</f>
        <v>533.13587640000003</v>
      </c>
      <c r="C17" s="95">
        <f>'6 - B2'!$L25</f>
        <v>523.33782940000003</v>
      </c>
      <c r="D17" s="95">
        <f>'6 - B3'!$L25</f>
        <v>552.98560799999996</v>
      </c>
      <c r="E17" s="96">
        <f t="shared" si="0"/>
        <v>536.48643793333338</v>
      </c>
      <c r="F17" s="97">
        <f>'Clause 6'!D32</f>
        <v>1784.683624081503</v>
      </c>
      <c r="G17" s="93">
        <f>'6 - B1'!$M25+'6 - B2'!$M25+'6 - B3'!$M25</f>
        <v>15</v>
      </c>
      <c r="H17" s="24">
        <f>STDEVP('6 - B1'!$B25:F25,'6 - B2'!B25:F25,'6 - B3'!B25:F25)/SQRT(G17)</f>
        <v>4.0205550264258978</v>
      </c>
      <c r="K17" s="69">
        <v>17</v>
      </c>
      <c r="L17" s="70">
        <v>208.5</v>
      </c>
      <c r="M17" s="88">
        <f t="shared" si="2"/>
        <v>3162.9192815089182</v>
      </c>
    </row>
    <row r="18" spans="1:13" ht="13.9" x14ac:dyDescent="0.4">
      <c r="A18" s="93">
        <v>16</v>
      </c>
      <c r="B18" s="95">
        <f>'6 - B1'!$L24</f>
        <v>703.25004860000001</v>
      </c>
      <c r="C18" s="95">
        <f>'6 - B2'!$L24</f>
        <v>693.38847639999994</v>
      </c>
      <c r="D18" s="95">
        <f>'6 - B3'!$L24</f>
        <v>732.39454339999998</v>
      </c>
      <c r="E18" s="96">
        <f t="shared" si="0"/>
        <v>709.67768946666672</v>
      </c>
      <c r="F18" s="97">
        <f>'Clause 6'!D33</f>
        <v>1507.6047222722875</v>
      </c>
      <c r="G18" s="93">
        <f>'6 - B1'!$M24+'6 - B2'!$M24+'6 - B3'!$M24</f>
        <v>15</v>
      </c>
      <c r="H18" s="24">
        <f>STDEVP('6 - B1'!$B24:F24,'6 - B2'!B24:F24,'6 - B3'!B24:F24)/SQRT(G18)</f>
        <v>5.3245335837649934</v>
      </c>
      <c r="K18" s="69">
        <v>18</v>
      </c>
      <c r="L18" s="70">
        <v>178.7</v>
      </c>
      <c r="M18" s="88">
        <f t="shared" si="2"/>
        <v>3471.9798245419715</v>
      </c>
    </row>
    <row r="19" spans="1:13" ht="13.9" x14ac:dyDescent="0.4">
      <c r="A19" s="93">
        <v>15</v>
      </c>
      <c r="B19" s="95">
        <f>'6 - B1'!$L23</f>
        <v>924.6330443999999</v>
      </c>
      <c r="C19" s="95">
        <f>'6 - B2'!$L23</f>
        <v>919.82083720000014</v>
      </c>
      <c r="D19" s="95">
        <f>'6 - B3'!$L23</f>
        <v>970.7208983999999</v>
      </c>
      <c r="E19" s="96">
        <f t="shared" si="0"/>
        <v>938.39159333333328</v>
      </c>
      <c r="F19" s="97">
        <f>'Clause 6'!D34</f>
        <v>1273.5433709083575</v>
      </c>
      <c r="G19" s="93">
        <f>'6 - B1'!$M23+'6 - B2'!$M23+'6 - B3'!$M23</f>
        <v>15</v>
      </c>
      <c r="H19" s="24">
        <f>STDEVP('6 - B1'!$B23:F23,'6 - B2'!B23:F23,'6 - B3'!B23:F23)/SQRT(G19)</f>
        <v>7.0914207736369166</v>
      </c>
      <c r="K19" s="69">
        <v>19</v>
      </c>
      <c r="L19" s="70">
        <v>153.30000000000001</v>
      </c>
      <c r="M19" s="88">
        <f t="shared" si="2"/>
        <v>3798.6559594662085</v>
      </c>
    </row>
    <row r="20" spans="1:13" ht="13.9" x14ac:dyDescent="0.4">
      <c r="A20" s="93">
        <v>14</v>
      </c>
      <c r="B20" s="95">
        <f>'6 - B1'!$L22</f>
        <v>1208.7989987999999</v>
      </c>
      <c r="C20" s="95">
        <f>'6 - B2'!$L22</f>
        <v>1215.0642578</v>
      </c>
      <c r="D20" s="95">
        <f>'6 - B3'!$L22</f>
        <v>1275.5294434000002</v>
      </c>
      <c r="E20" s="96">
        <f t="shared" si="0"/>
        <v>1233.1308999999999</v>
      </c>
      <c r="F20" s="97">
        <f>'Clause 6'!D35</f>
        <v>1075.8209321207535</v>
      </c>
      <c r="G20" s="93">
        <f>'6 - B1'!$M22+'6 - B2'!$M22+'6 - B3'!$M22</f>
        <v>15</v>
      </c>
      <c r="H20" s="24">
        <f>STDEVP('6 - B1'!$B22:F22,'6 - B2'!B22:F22,'6 - B3'!B22:F22)/SQRT(G20)</f>
        <v>8.9768562840209736</v>
      </c>
      <c r="K20" s="69">
        <v>20</v>
      </c>
      <c r="L20" s="70">
        <v>130.4</v>
      </c>
      <c r="M20" s="88">
        <f t="shared" si="2"/>
        <v>4167.4360991972662</v>
      </c>
    </row>
    <row r="21" spans="1:13" ht="13.9" x14ac:dyDescent="0.4">
      <c r="A21" s="93">
        <v>13</v>
      </c>
      <c r="B21" s="95">
        <f>'6 - B1'!$L21</f>
        <v>1559.4080079999999</v>
      </c>
      <c r="C21" s="95">
        <f>'6 - B2'!$L21</f>
        <v>1584.5652588</v>
      </c>
      <c r="D21" s="95">
        <f>'6 - B3'!$L21</f>
        <v>1659.6613768</v>
      </c>
      <c r="E21" s="96">
        <f t="shared" si="0"/>
        <v>1601.2115478666665</v>
      </c>
      <c r="F21" s="97">
        <f>'Clause 6'!D36</f>
        <v>908.79565190124276</v>
      </c>
      <c r="G21" s="93">
        <f>'6 - B1'!$M21+'6 - B2'!$M21+'6 - B3'!$M21</f>
        <v>15</v>
      </c>
      <c r="H21" s="24">
        <f>STDEVP('6 - B1'!$B21:F21,'6 - B2'!B21:F21,'6 - B3'!B21:F21)/SQRT(G21)</f>
        <v>12.636741317389754</v>
      </c>
      <c r="K21" s="69">
        <v>21</v>
      </c>
      <c r="L21" s="70">
        <v>109.4</v>
      </c>
      <c r="M21" s="88">
        <f t="shared" si="2"/>
        <v>4599.7189171017926</v>
      </c>
    </row>
    <row r="22" spans="1:13" ht="13.9" x14ac:dyDescent="0.4">
      <c r="A22" s="93">
        <v>12</v>
      </c>
      <c r="B22" s="95">
        <f>'6 - B1'!$L20</f>
        <v>1975.9207030000002</v>
      </c>
      <c r="C22" s="95">
        <f>'6 - B2'!$L20</f>
        <v>2032.0537109999998</v>
      </c>
      <c r="D22" s="95">
        <f>'6 - B3'!$L20</f>
        <v>2117.0089844000004</v>
      </c>
      <c r="E22" s="96">
        <f t="shared" si="0"/>
        <v>2041.6611328000001</v>
      </c>
      <c r="F22" s="97">
        <f>'Clause 6'!D37</f>
        <v>767.70167995011843</v>
      </c>
      <c r="G22" s="93">
        <f>'6 - B1'!$M20+'6 - B2'!$M20+'6 - B3'!$M20</f>
        <v>15</v>
      </c>
      <c r="H22" s="24">
        <f>STDEVP('6 - B1'!$B20:F20,'6 - B2'!B20:F20,'6 - B3'!B20:F20)/SQRT(G22)</f>
        <v>16.846255675292841</v>
      </c>
      <c r="K22" s="69">
        <v>22</v>
      </c>
      <c r="L22" s="70">
        <v>91.3</v>
      </c>
      <c r="M22" s="88">
        <f t="shared" si="2"/>
        <v>5072.2283259776568</v>
      </c>
    </row>
    <row r="23" spans="1:13" ht="13.9" x14ac:dyDescent="0.4">
      <c r="A23" s="93">
        <v>11</v>
      </c>
      <c r="B23" s="95">
        <f>'6 - B1'!$L19</f>
        <v>2461.6329589999996</v>
      </c>
      <c r="C23" s="95">
        <f>'6 - B2'!$L19</f>
        <v>2546.7581541999998</v>
      </c>
      <c r="D23" s="95">
        <f>'6 - B3'!$L19</f>
        <v>2648.0830077999999</v>
      </c>
      <c r="E23" s="96">
        <f t="shared" si="0"/>
        <v>2552.1580403333332</v>
      </c>
      <c r="F23" s="97">
        <f>'Clause 6'!D38</f>
        <v>648.51308230321445</v>
      </c>
      <c r="G23" s="93">
        <f>'6 - B1'!$M19+'6 - B2'!$M19+'6 - B3'!$M19</f>
        <v>15</v>
      </c>
      <c r="H23" s="24">
        <f>STDEVP('6 - B1'!$B19:F19,'6 - B2'!B19:F19,'6 - B3'!B19:F19)/SQRT(G23)</f>
        <v>21.751407230009107</v>
      </c>
      <c r="K23" s="69">
        <v>23</v>
      </c>
      <c r="L23" s="70">
        <v>76.099999999999994</v>
      </c>
      <c r="M23" s="88">
        <f t="shared" si="2"/>
        <v>5588.5901365765203</v>
      </c>
    </row>
    <row r="24" spans="1:13" ht="13.9" x14ac:dyDescent="0.4">
      <c r="A24" s="93">
        <v>10</v>
      </c>
      <c r="B24" s="95">
        <f>'6 - B1'!$L18</f>
        <v>3007.7146483999995</v>
      </c>
      <c r="C24" s="95">
        <f>'6 - B2'!$L18</f>
        <v>3135.6279296000002</v>
      </c>
      <c r="D24" s="95">
        <f>'6 - B3'!$L18</f>
        <v>3255.0258786000004</v>
      </c>
      <c r="E24" s="96">
        <f t="shared" si="0"/>
        <v>3132.7894855333338</v>
      </c>
      <c r="F24" s="97">
        <f>'Clause 6'!D39</f>
        <v>547.82896651436579</v>
      </c>
      <c r="G24" s="93">
        <f>'6 - B1'!$M18+'6 - B2'!$M18+'6 - B3'!$M18</f>
        <v>15</v>
      </c>
      <c r="H24" s="24">
        <f>STDEVP('6 - B1'!$B18:F18,'6 - B2'!B18:F18,'6 - B3'!B18:F18)/SQRT(G24)</f>
        <v>28.416598315352548</v>
      </c>
      <c r="K24" s="69">
        <v>24</v>
      </c>
      <c r="L24" s="70">
        <v>63.1</v>
      </c>
      <c r="M24" s="88">
        <f t="shared" si="2"/>
        <v>6145.5448899865769</v>
      </c>
    </row>
    <row r="25" spans="1:13" ht="13.9" x14ac:dyDescent="0.4">
      <c r="A25" s="93">
        <v>9</v>
      </c>
      <c r="B25" s="95">
        <f>'6 - B1'!$L17</f>
        <v>3610.1051269999998</v>
      </c>
      <c r="C25" s="95">
        <f>'6 - B2'!$L17</f>
        <v>3795.8939454000001</v>
      </c>
      <c r="D25" s="95">
        <f>'6 - B3'!$L17</f>
        <v>3929.0276368</v>
      </c>
      <c r="E25" s="96">
        <f t="shared" si="0"/>
        <v>3778.3422363999998</v>
      </c>
      <c r="F25" s="97">
        <f>'Clause 6'!D40</f>
        <v>462.77644158900353</v>
      </c>
      <c r="G25" s="93">
        <f>'6 - B1'!$M17+'6 - B2'!$M17+'6 - B3'!$M17</f>
        <v>15</v>
      </c>
      <c r="H25" s="24">
        <f>STDEVP('6 - B1'!$B17:F17,'6 - B2'!B17:F17,'6 - B3'!B17:F17)/SQRT(G25)</f>
        <v>36.302680784453166</v>
      </c>
      <c r="K25" s="69">
        <v>25</v>
      </c>
      <c r="L25" s="70">
        <v>52.1</v>
      </c>
      <c r="M25" s="88">
        <f t="shared" si="2"/>
        <v>6762.4770808018084</v>
      </c>
    </row>
    <row r="26" spans="1:13" ht="13.9" x14ac:dyDescent="0.4">
      <c r="A26" s="93">
        <v>8</v>
      </c>
      <c r="B26" s="95">
        <f>'6 - B1'!$L16</f>
        <v>4279.2041991999995</v>
      </c>
      <c r="C26" s="95">
        <f>'6 - B2'!$L16</f>
        <v>4530.5466795999992</v>
      </c>
      <c r="D26" s="95">
        <f>'6 - B3'!$L16</f>
        <v>4678.4908204000003</v>
      </c>
      <c r="E26" s="96">
        <f t="shared" si="0"/>
        <v>4496.080566399999</v>
      </c>
      <c r="F26" s="97">
        <f>'Clause 6'!D41</f>
        <v>390.92864375612453</v>
      </c>
      <c r="G26" s="93">
        <f>'6 - B1'!$M16+'6 - B2'!$M16+'6 - B3'!$M16</f>
        <v>15</v>
      </c>
      <c r="H26" s="24">
        <f>STDEVP('6 - B1'!$B16:F16,'6 - B2'!B16:F16,'6 - B3'!B16:F16)/SQRT(G26)</f>
        <v>45.595030109810864</v>
      </c>
      <c r="K26" s="69">
        <v>26</v>
      </c>
      <c r="L26" s="70">
        <v>43</v>
      </c>
      <c r="M26" s="88">
        <f t="shared" si="2"/>
        <v>7449.9084644407912</v>
      </c>
    </row>
    <row r="27" spans="1:13" ht="13.9" x14ac:dyDescent="0.4">
      <c r="A27" s="93">
        <v>7</v>
      </c>
      <c r="B27" s="95">
        <f>'6 - B1'!$L15</f>
        <v>5017.7149411999999</v>
      </c>
      <c r="C27" s="95">
        <f>'6 - B2'!$L15</f>
        <v>5335.7330080000002</v>
      </c>
      <c r="D27" s="95">
        <f>'6 - B3'!$L15</f>
        <v>5507.9864257999998</v>
      </c>
      <c r="E27" s="96">
        <f t="shared" si="0"/>
        <v>5287.1447916666666</v>
      </c>
      <c r="F27" s="97">
        <f>'Clause 6'!D42</f>
        <v>330.2354890500855</v>
      </c>
      <c r="G27" s="93">
        <f>'6 - B1'!$M15+'6 - B2'!$M15+'6 - B3'!$M15</f>
        <v>15</v>
      </c>
      <c r="H27" s="24">
        <f>STDEVP('6 - B1'!$B15:F15,'6 - B2'!B15:F15,'6 - B3'!B15:F15)/SQRT(G27)</f>
        <v>55.896087513952466</v>
      </c>
      <c r="K27" s="69">
        <v>27</v>
      </c>
      <c r="L27" s="70">
        <v>35.700000000000003</v>
      </c>
      <c r="M27" s="88">
        <f t="shared" si="2"/>
        <v>8168.655655845223</v>
      </c>
    </row>
    <row r="28" spans="1:13" ht="13.9" x14ac:dyDescent="0.4">
      <c r="A28" s="93">
        <v>6</v>
      </c>
      <c r="B28" s="95">
        <f>'6 - B1'!$L14</f>
        <v>5821.0545898</v>
      </c>
      <c r="C28" s="95">
        <f>'6 - B2'!$L14</f>
        <v>6217.1787110000005</v>
      </c>
      <c r="D28" s="95">
        <f>'6 - B3'!$L14</f>
        <v>6409.7634766000001</v>
      </c>
      <c r="E28" s="96">
        <f t="shared" si="0"/>
        <v>6149.3322591333335</v>
      </c>
      <c r="F28" s="97">
        <f>'Clause 6'!D43</f>
        <v>278.96517681672339</v>
      </c>
      <c r="G28" s="93">
        <f>'6 - B1'!$M14+'6 - B2'!$M14+'6 - B3'!$M14</f>
        <v>15</v>
      </c>
      <c r="H28" s="24">
        <f>STDEVP('6 - B1'!$B14:F14,'6 - B2'!B14:F14,'6 - B3'!B14:F14)/SQRT(G28)</f>
        <v>67.396997750093206</v>
      </c>
      <c r="K28" s="69">
        <v>28</v>
      </c>
      <c r="L28" s="70">
        <v>29.8</v>
      </c>
      <c r="M28" s="88">
        <f t="shared" si="2"/>
        <v>8873.8938617485965</v>
      </c>
    </row>
    <row r="29" spans="1:13" ht="13.9" x14ac:dyDescent="0.4">
      <c r="A29" s="93">
        <v>5</v>
      </c>
      <c r="B29" s="95">
        <f>'6 - B1'!$L13</f>
        <v>6693.6708008000005</v>
      </c>
      <c r="C29" s="95">
        <f>'6 - B2'!$L13</f>
        <v>7183.4180663999996</v>
      </c>
      <c r="D29" s="95">
        <f>'6 - B3'!$L13</f>
        <v>7401.2122069999996</v>
      </c>
      <c r="E29" s="96">
        <f t="shared" si="0"/>
        <v>7092.7670247333335</v>
      </c>
      <c r="F29" s="97">
        <f>'Clause 6'!D44</f>
        <v>235.6547750220233</v>
      </c>
      <c r="G29" s="93">
        <f>'6 - B1'!$M13+'6 - B2'!$M13+'6 - B3'!$M13</f>
        <v>15</v>
      </c>
      <c r="H29" s="24">
        <f>STDEVP('6 - B1'!$B13:F13,'6 - B2'!B13:F13,'6 - B3'!B13:F13)/SQRT(G29)</f>
        <v>80.831086578914039</v>
      </c>
      <c r="K29" s="69">
        <v>29</v>
      </c>
      <c r="L29" s="70">
        <v>25.2</v>
      </c>
      <c r="M29" s="88">
        <f t="shared" si="2"/>
        <v>9554.3619895931188</v>
      </c>
    </row>
    <row r="30" spans="1:13" ht="13.9" x14ac:dyDescent="0.4">
      <c r="A30" s="93">
        <v>4</v>
      </c>
      <c r="B30" s="95">
        <f>'6 - B1'!$L12</f>
        <v>7679.3571288000003</v>
      </c>
      <c r="C30" s="95">
        <f>'6 - B2'!$L12</f>
        <v>8273.5437500000007</v>
      </c>
      <c r="D30" s="95">
        <f>'6 - B3'!$L12</f>
        <v>8506.6156252000001</v>
      </c>
      <c r="E30" s="96">
        <f t="shared" si="0"/>
        <v>8153.1721680000001</v>
      </c>
      <c r="F30" s="97">
        <f>'Clause 6'!D45</f>
        <v>199.06847737904226</v>
      </c>
      <c r="G30" s="93">
        <f>'6 - B1'!$M12+'6 - B2'!$M12+'6 - B3'!$M12</f>
        <v>15</v>
      </c>
      <c r="H30" s="24">
        <f>STDEVP('6 - B1'!$B12:F12,'6 - B2'!B12:F12,'6 - B3'!B12:F12)/SQRT(G30)</f>
        <v>95.331140579952958</v>
      </c>
      <c r="K30" s="69">
        <v>30</v>
      </c>
      <c r="L30" s="70">
        <v>21.1</v>
      </c>
      <c r="M30" s="88">
        <f t="shared" si="2"/>
        <v>10328.465268707214</v>
      </c>
    </row>
    <row r="31" spans="1:13" ht="13.9" x14ac:dyDescent="0.4">
      <c r="A31" s="93">
        <v>3</v>
      </c>
      <c r="B31" s="95">
        <f>'6 - B1'!$L11</f>
        <v>8765.3238282000002</v>
      </c>
      <c r="C31" s="95">
        <f>'6 - B2'!$L11</f>
        <v>9487.0207033999995</v>
      </c>
      <c r="D31" s="95">
        <f>'6 - B3'!$L11</f>
        <v>9737.9697265999985</v>
      </c>
      <c r="E31" s="96">
        <f t="shared" si="0"/>
        <v>9330.104752733334</v>
      </c>
      <c r="F31" s="97">
        <f>'Clause 6'!D46</f>
        <v>168.16234121420527</v>
      </c>
      <c r="G31" s="93">
        <f>'6 - B1'!$M11+'6 - B2'!$M11+'6 - B3'!$M11</f>
        <v>15</v>
      </c>
      <c r="H31" s="24">
        <f>STDEVP('6 - B1'!$B11:F11,'6 - B2'!B11:F11,'6 - B3'!B11:F11)/SQRT(G31)</f>
        <v>112.65980288407478</v>
      </c>
    </row>
    <row r="32" spans="1:13" ht="13.9" x14ac:dyDescent="0.4">
      <c r="A32" s="93">
        <v>2</v>
      </c>
      <c r="B32" s="95">
        <f>'6 - B1'!$L10</f>
        <v>9977.4070309999988</v>
      </c>
      <c r="C32" s="95">
        <f>'6 - B2'!$L10</f>
        <v>10828.097656000002</v>
      </c>
      <c r="D32" s="95">
        <f>'6 - B3'!$L10</f>
        <v>11112.398827999999</v>
      </c>
      <c r="E32" s="96">
        <f t="shared" si="0"/>
        <v>10639.301171666666</v>
      </c>
      <c r="F32" s="97">
        <f>'Clause 6'!D47</f>
        <v>142.05449991360581</v>
      </c>
      <c r="G32" s="93">
        <f>'6 - B1'!$M10+'6 - B2'!$M10+'6 - B3'!$M10</f>
        <v>15</v>
      </c>
      <c r="H32" s="24">
        <f>STDEVP('6 - B1'!$B10:F10,'6 - B2'!B10:F10,'6 - B3'!B10:F10)/SQRT(G32)</f>
        <v>131.99057301251696</v>
      </c>
      <c r="K32" s="30" t="s">
        <v>123</v>
      </c>
    </row>
    <row r="33" spans="1:40" ht="13.9" x14ac:dyDescent="0.4">
      <c r="A33" s="93">
        <v>1</v>
      </c>
      <c r="B33" s="95">
        <f>'6 - B1'!$L9</f>
        <v>11355.618750199999</v>
      </c>
      <c r="C33" s="95">
        <f>'6 - B2'!$L9</f>
        <v>12360.7292968</v>
      </c>
      <c r="D33" s="95">
        <f>'6 - B3'!$L9</f>
        <v>12674.731445200001</v>
      </c>
      <c r="E33" s="96">
        <f t="shared" si="0"/>
        <v>12130.359830733332</v>
      </c>
      <c r="F33" s="97">
        <f>'Clause 6'!D48</f>
        <v>120</v>
      </c>
      <c r="G33" s="93">
        <f>'6 - B1'!$M9+'6 - B2'!$M9+'6 - B3'!$M9</f>
        <v>15</v>
      </c>
      <c r="H33" s="24">
        <f>STDEVP('6 - B1'!$B9:F9,'6 - B2'!B9:F9,'6 - B3'!B9:F9)/SQRT(G33)</f>
        <v>153.65233421859037</v>
      </c>
    </row>
    <row r="34" spans="1:40" x14ac:dyDescent="0.35">
      <c r="B34" s="24"/>
      <c r="C34" s="24"/>
      <c r="D34" s="24"/>
      <c r="E34" s="24"/>
      <c r="F34" s="24"/>
    </row>
    <row r="35" spans="1:40" x14ac:dyDescent="0.35">
      <c r="B35" s="24"/>
      <c r="C35" s="24"/>
      <c r="D35" s="24"/>
      <c r="E35" s="24"/>
      <c r="F35" s="24"/>
    </row>
    <row r="36" spans="1:40" x14ac:dyDescent="0.35">
      <c r="B36" s="24"/>
      <c r="C36" s="24"/>
      <c r="D36" s="24"/>
      <c r="E36" s="24"/>
      <c r="F36" s="24"/>
    </row>
    <row r="37" spans="1:40" x14ac:dyDescent="0.35">
      <c r="B37" s="24"/>
      <c r="C37" s="24"/>
      <c r="D37" s="24"/>
      <c r="E37" s="24"/>
      <c r="F37" s="24"/>
    </row>
    <row r="38" spans="1:40" x14ac:dyDescent="0.35">
      <c r="B38" s="24"/>
      <c r="C38" s="24"/>
      <c r="D38" s="24"/>
      <c r="E38" s="24"/>
      <c r="F38" s="24"/>
    </row>
    <row r="42" spans="1:40" x14ac:dyDescent="0.35">
      <c r="M42" s="71"/>
      <c r="N42" s="71"/>
      <c r="O42" s="71"/>
      <c r="P42" s="71"/>
      <c r="Q42" s="71"/>
      <c r="R42" s="71"/>
      <c r="S42" s="71"/>
      <c r="T42" s="71"/>
      <c r="U42" s="71"/>
      <c r="V42" s="71"/>
      <c r="W42" s="71"/>
      <c r="X42" s="71"/>
      <c r="Y42" s="71"/>
      <c r="Z42" s="71"/>
      <c r="AA42" s="71"/>
      <c r="AB42" s="71"/>
      <c r="AC42" s="71"/>
      <c r="AD42" s="71"/>
      <c r="AE42" s="71"/>
      <c r="AF42" s="71"/>
      <c r="AG42" s="71"/>
      <c r="AH42" s="71"/>
      <c r="AI42" s="71"/>
      <c r="AJ42" s="71"/>
      <c r="AK42" s="71"/>
      <c r="AL42" s="71"/>
      <c r="AM42" s="71"/>
      <c r="AN42" s="71"/>
    </row>
    <row r="45" spans="1:40" x14ac:dyDescent="0.35">
      <c r="M45" s="71"/>
    </row>
    <row r="46" spans="1:40" x14ac:dyDescent="0.35">
      <c r="M46" s="71"/>
    </row>
    <row r="47" spans="1:40" x14ac:dyDescent="0.35">
      <c r="M47" s="71"/>
    </row>
    <row r="48" spans="1:40" x14ac:dyDescent="0.35">
      <c r="M48" s="71"/>
    </row>
    <row r="49" spans="13:13" x14ac:dyDescent="0.35">
      <c r="M49" s="71"/>
    </row>
    <row r="50" spans="13:13" x14ac:dyDescent="0.35">
      <c r="M50" s="71"/>
    </row>
    <row r="51" spans="13:13" x14ac:dyDescent="0.35">
      <c r="M51" s="71"/>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46"/>
  <sheetViews>
    <sheetView zoomScale="85" zoomScaleNormal="85" workbookViewId="0">
      <selection activeCell="J6" sqref="J6"/>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19</v>
      </c>
      <c r="B1" s="7"/>
      <c r="C1" s="17"/>
      <c r="D1" s="72" t="s">
        <v>124</v>
      </c>
    </row>
    <row r="2" spans="1:17" ht="13.15" x14ac:dyDescent="0.4">
      <c r="A2" s="7" t="s">
        <v>25</v>
      </c>
      <c r="B2" s="7"/>
      <c r="C2" s="7"/>
      <c r="D2" s="7" t="s">
        <v>125</v>
      </c>
    </row>
    <row r="3" spans="1:17" ht="13.15" x14ac:dyDescent="0.4">
      <c r="A3" s="7" t="s">
        <v>9</v>
      </c>
      <c r="B3" s="7"/>
      <c r="C3" s="7"/>
      <c r="D3" s="73"/>
    </row>
    <row r="4" spans="1:17" ht="13.15" x14ac:dyDescent="0.4">
      <c r="A4" s="7" t="s">
        <v>29</v>
      </c>
      <c r="B4" s="7"/>
      <c r="C4" s="7"/>
      <c r="D4" s="7" t="s">
        <v>125</v>
      </c>
    </row>
    <row r="5" spans="1:17" ht="13.15" x14ac:dyDescent="0.4">
      <c r="A5" s="7" t="s">
        <v>27</v>
      </c>
      <c r="B5" s="7"/>
      <c r="C5" s="7"/>
      <c r="D5" s="72" t="s">
        <v>124</v>
      </c>
    </row>
    <row r="6" spans="1:17" ht="13.15" x14ac:dyDescent="0.4">
      <c r="A6" s="17" t="s">
        <v>31</v>
      </c>
      <c r="B6" s="7"/>
      <c r="C6" s="7"/>
      <c r="D6" s="74" t="s">
        <v>126</v>
      </c>
    </row>
    <row r="7" spans="1:17" ht="13.15" x14ac:dyDescent="0.4">
      <c r="A7" s="7" t="s">
        <v>17</v>
      </c>
      <c r="B7" s="7"/>
      <c r="C7" s="7"/>
      <c r="D7" s="75" t="s">
        <v>18</v>
      </c>
    </row>
    <row r="10" spans="1:17" x14ac:dyDescent="0.35">
      <c r="A10" s="76" t="s">
        <v>127</v>
      </c>
      <c r="B10" s="76"/>
      <c r="C10" s="76"/>
      <c r="D10" s="76"/>
    </row>
    <row r="11" spans="1:17" ht="13.5" thickBot="1" x14ac:dyDescent="0.45">
      <c r="A11" s="76"/>
      <c r="B11" s="76"/>
      <c r="C11" s="76"/>
      <c r="D11" s="76"/>
      <c r="H11" s="30"/>
    </row>
    <row r="12" spans="1:17" ht="13.15" x14ac:dyDescent="0.4">
      <c r="A12" s="120">
        <v>49.4</v>
      </c>
      <c r="B12" s="140" t="s">
        <v>128</v>
      </c>
      <c r="C12" s="140" t="s">
        <v>129</v>
      </c>
      <c r="D12" s="141"/>
      <c r="F12" s="120">
        <v>39</v>
      </c>
      <c r="G12" s="77" t="s">
        <v>128</v>
      </c>
      <c r="H12" s="77" t="s">
        <v>129</v>
      </c>
      <c r="I12" s="43"/>
      <c r="J12" s="44"/>
      <c r="M12" s="120">
        <v>69.7</v>
      </c>
      <c r="N12" s="77" t="s">
        <v>128</v>
      </c>
      <c r="O12" s="77" t="s">
        <v>129</v>
      </c>
      <c r="P12" s="43"/>
      <c r="Q12" s="44"/>
    </row>
    <row r="13" spans="1:17" x14ac:dyDescent="0.35">
      <c r="A13" s="142">
        <f>(4/3)*(3.1415936)*((A12*0.000001/2)^3)</f>
        <v>6.3121832711697054E-14</v>
      </c>
      <c r="B13" s="76" t="s">
        <v>130</v>
      </c>
      <c r="C13" s="76" t="s">
        <v>131</v>
      </c>
      <c r="D13" s="143"/>
      <c r="F13" s="78">
        <f>(4/3)*(3.1415936)*((F12*0.000001/2)^3)</f>
        <v>3.1059365126399994E-14</v>
      </c>
      <c r="G13" s="76" t="s">
        <v>130</v>
      </c>
      <c r="H13" s="76" t="s">
        <v>131</v>
      </c>
      <c r="J13" s="49"/>
      <c r="M13" s="78">
        <f>(4/3)*(3.1415936)*((M12*0.000001/2)^3)</f>
        <v>1.7729524472000214E-13</v>
      </c>
      <c r="N13" s="76" t="s">
        <v>130</v>
      </c>
      <c r="O13" s="76" t="s">
        <v>131</v>
      </c>
      <c r="Q13" s="49"/>
    </row>
    <row r="14" spans="1:17" x14ac:dyDescent="0.35">
      <c r="A14" s="142">
        <f>A13*1.05*1000</f>
        <v>6.6277924347281912E-11</v>
      </c>
      <c r="B14" s="76" t="s">
        <v>132</v>
      </c>
      <c r="C14" s="76" t="s">
        <v>133</v>
      </c>
      <c r="D14" s="143"/>
      <c r="F14" s="78">
        <f>F13*1.05*1000</f>
        <v>3.2612333382719997E-11</v>
      </c>
      <c r="G14" s="76" t="s">
        <v>132</v>
      </c>
      <c r="H14" s="76" t="s">
        <v>133</v>
      </c>
      <c r="J14" s="49"/>
      <c r="M14" s="78">
        <f>M13*1.05*1000</f>
        <v>1.8616000695600225E-10</v>
      </c>
      <c r="N14" s="76" t="s">
        <v>132</v>
      </c>
      <c r="O14" s="76" t="s">
        <v>133</v>
      </c>
      <c r="Q14" s="49"/>
    </row>
    <row r="15" spans="1:17" x14ac:dyDescent="0.35">
      <c r="A15" s="142">
        <f>0.000001/A14</f>
        <v>15087.980045364991</v>
      </c>
      <c r="B15" s="76" t="s">
        <v>44</v>
      </c>
      <c r="C15" s="76" t="s">
        <v>134</v>
      </c>
      <c r="D15" s="143"/>
      <c r="F15" s="78">
        <f>0.000001/F14</f>
        <v>30663.245964787693</v>
      </c>
      <c r="G15" s="76" t="s">
        <v>44</v>
      </c>
      <c r="H15" s="76" t="s">
        <v>134</v>
      </c>
      <c r="J15" s="49"/>
      <c r="M15" s="78">
        <f>0.000001/M14</f>
        <v>5371.7230480999269</v>
      </c>
      <c r="N15" s="76" t="s">
        <v>44</v>
      </c>
      <c r="O15" s="76" t="s">
        <v>134</v>
      </c>
      <c r="Q15" s="49"/>
    </row>
    <row r="16" spans="1:17" ht="13.15" x14ac:dyDescent="0.4">
      <c r="A16" s="144">
        <v>5000</v>
      </c>
      <c r="B16" s="76"/>
      <c r="C16" s="76" t="s">
        <v>135</v>
      </c>
      <c r="D16" s="143"/>
      <c r="F16" s="79">
        <v>3000</v>
      </c>
      <c r="G16" s="76"/>
      <c r="H16" s="76" t="s">
        <v>135</v>
      </c>
      <c r="J16" s="49"/>
      <c r="M16" s="79">
        <v>2000</v>
      </c>
      <c r="N16" s="76"/>
      <c r="O16" s="76" t="s">
        <v>135</v>
      </c>
      <c r="Q16" s="49"/>
    </row>
    <row r="17" spans="1:17" x14ac:dyDescent="0.35">
      <c r="A17" s="145">
        <f>A16/A15*1000</f>
        <v>331.38962173640959</v>
      </c>
      <c r="B17" s="76" t="s">
        <v>136</v>
      </c>
      <c r="C17" s="76" t="s">
        <v>137</v>
      </c>
      <c r="D17" s="143"/>
      <c r="F17" s="80">
        <f>F16/F15*1000</f>
        <v>97.837000148159987</v>
      </c>
      <c r="G17" s="76" t="s">
        <v>136</v>
      </c>
      <c r="H17" s="76" t="s">
        <v>137</v>
      </c>
      <c r="J17" s="49"/>
      <c r="M17" s="80">
        <f>M16/M15*1000</f>
        <v>372.32001391200447</v>
      </c>
      <c r="N17" s="76" t="s">
        <v>136</v>
      </c>
      <c r="O17" s="76" t="s">
        <v>137</v>
      </c>
      <c r="Q17" s="49"/>
    </row>
    <row r="18" spans="1:17" ht="13.15" x14ac:dyDescent="0.4">
      <c r="A18" s="144">
        <v>0.20280000000000001</v>
      </c>
      <c r="B18" s="76" t="s">
        <v>138</v>
      </c>
      <c r="C18" s="76" t="s">
        <v>139</v>
      </c>
      <c r="D18" s="143"/>
      <c r="F18" s="79">
        <v>0.2</v>
      </c>
      <c r="G18" s="76" t="s">
        <v>138</v>
      </c>
      <c r="H18" s="76" t="s">
        <v>139</v>
      </c>
      <c r="J18" s="49"/>
      <c r="M18" s="79">
        <v>0.2</v>
      </c>
      <c r="N18" s="76" t="s">
        <v>138</v>
      </c>
      <c r="O18" s="76" t="s">
        <v>139</v>
      </c>
      <c r="Q18" s="49"/>
    </row>
    <row r="19" spans="1:17" x14ac:dyDescent="0.35">
      <c r="A19" s="145">
        <f>A18*A17</f>
        <v>67.205815288143867</v>
      </c>
      <c r="B19" s="76" t="s">
        <v>140</v>
      </c>
      <c r="C19" s="76" t="s">
        <v>141</v>
      </c>
      <c r="D19" s="143"/>
      <c r="F19" s="80">
        <f>F18*F17</f>
        <v>19.567400029631997</v>
      </c>
      <c r="G19" s="76" t="s">
        <v>140</v>
      </c>
      <c r="H19" s="76" t="s">
        <v>141</v>
      </c>
      <c r="J19" s="49"/>
      <c r="M19" s="80">
        <f>M18*M17</f>
        <v>74.464002782400897</v>
      </c>
      <c r="N19" s="76" t="s">
        <v>140</v>
      </c>
      <c r="O19" s="76" t="s">
        <v>141</v>
      </c>
      <c r="Q19" s="49"/>
    </row>
    <row r="20" spans="1:17" ht="13.15" x14ac:dyDescent="0.4">
      <c r="A20" s="144">
        <v>67.2</v>
      </c>
      <c r="B20" s="76" t="s">
        <v>140</v>
      </c>
      <c r="C20" s="76" t="s">
        <v>142</v>
      </c>
      <c r="D20" s="143"/>
      <c r="F20" s="79">
        <v>20.8</v>
      </c>
      <c r="G20" s="76" t="s">
        <v>140</v>
      </c>
      <c r="H20" s="76" t="s">
        <v>142</v>
      </c>
      <c r="J20" s="49"/>
      <c r="M20" s="79">
        <v>77.569999999999993</v>
      </c>
      <c r="N20" s="76" t="s">
        <v>140</v>
      </c>
      <c r="O20" s="76" t="s">
        <v>142</v>
      </c>
      <c r="Q20" s="49"/>
    </row>
    <row r="21" spans="1:17" ht="13.15" x14ac:dyDescent="0.4">
      <c r="A21" s="146">
        <f>A20/A19*A16</f>
        <v>4999.5673523102923</v>
      </c>
      <c r="B21" s="76" t="s">
        <v>143</v>
      </c>
      <c r="C21" s="76" t="s">
        <v>144</v>
      </c>
      <c r="D21" s="143"/>
      <c r="F21" s="82">
        <f>F20/F19*F16</f>
        <v>3188.9775803379202</v>
      </c>
      <c r="G21" s="76" t="s">
        <v>143</v>
      </c>
      <c r="H21" s="76" t="s">
        <v>144</v>
      </c>
      <c r="J21" s="49"/>
      <c r="M21" s="81">
        <f>M20/M19*M16</f>
        <v>2083.4227842055566</v>
      </c>
      <c r="N21" s="76" t="s">
        <v>143</v>
      </c>
      <c r="O21" s="76" t="s">
        <v>144</v>
      </c>
      <c r="Q21" s="49"/>
    </row>
    <row r="22" spans="1:17" x14ac:dyDescent="0.35">
      <c r="A22" s="83">
        <f>A20*A15</f>
        <v>1013912.2590485275</v>
      </c>
      <c r="C22" t="s">
        <v>145</v>
      </c>
      <c r="D22" s="12"/>
      <c r="F22" s="83">
        <f>F20*F15</f>
        <v>637795.51606758405</v>
      </c>
      <c r="H22" t="s">
        <v>145</v>
      </c>
      <c r="J22" s="49"/>
      <c r="M22" s="83">
        <f>M20*M15</f>
        <v>416684.55684111128</v>
      </c>
      <c r="O22" t="s">
        <v>145</v>
      </c>
      <c r="Q22" s="49"/>
    </row>
    <row r="23" spans="1:17" x14ac:dyDescent="0.35">
      <c r="A23" s="83">
        <f>A21/A16*A18*1000</f>
        <v>202.78245180970546</v>
      </c>
      <c r="B23" t="s">
        <v>8</v>
      </c>
      <c r="C23" t="s">
        <v>146</v>
      </c>
      <c r="D23" s="12"/>
      <c r="F23" s="83">
        <f>F21/F16*F18*1000</f>
        <v>212.59850535586136</v>
      </c>
      <c r="G23" t="s">
        <v>8</v>
      </c>
      <c r="H23" t="s">
        <v>146</v>
      </c>
      <c r="J23" s="49"/>
      <c r="M23" s="83">
        <f>M21/M16*M18*1000</f>
        <v>208.34227842055566</v>
      </c>
      <c r="N23" t="s">
        <v>8</v>
      </c>
      <c r="O23" t="s">
        <v>146</v>
      </c>
      <c r="Q23" s="49"/>
    </row>
    <row r="24" spans="1:17" x14ac:dyDescent="0.35">
      <c r="A24" s="83">
        <f>A23-A18*1000</f>
        <v>-1.7548190294547794E-2</v>
      </c>
      <c r="B24" t="s">
        <v>8</v>
      </c>
      <c r="C24" t="s">
        <v>147</v>
      </c>
      <c r="D24" s="12"/>
      <c r="F24" s="83">
        <f>F23-F18*1000</f>
        <v>12.598505355861363</v>
      </c>
      <c r="G24" t="s">
        <v>8</v>
      </c>
      <c r="H24" t="s">
        <v>147</v>
      </c>
      <c r="J24" s="49"/>
      <c r="M24" s="83">
        <f>M23-M18*1000</f>
        <v>8.3422784205556582</v>
      </c>
      <c r="N24" t="s">
        <v>8</v>
      </c>
      <c r="O24" t="s">
        <v>147</v>
      </c>
      <c r="Q24" s="49"/>
    </row>
    <row r="25" spans="1:17" ht="13.15" x14ac:dyDescent="0.4">
      <c r="A25" s="84">
        <f>A22/(A23)</f>
        <v>5000.0000000000009</v>
      </c>
      <c r="C25" t="s">
        <v>34</v>
      </c>
      <c r="D25" s="12"/>
      <c r="F25" s="84">
        <f>F22/(F23)</f>
        <v>3000</v>
      </c>
      <c r="H25" t="s">
        <v>34</v>
      </c>
      <c r="J25" s="49"/>
      <c r="M25" s="48">
        <f>M22/(M23)</f>
        <v>1999.9999999999998</v>
      </c>
      <c r="O25" t="s">
        <v>34</v>
      </c>
      <c r="Q25" s="49"/>
    </row>
    <row r="26" spans="1:17" x14ac:dyDescent="0.35">
      <c r="A26" s="15"/>
      <c r="D26" s="12"/>
      <c r="F26" s="48"/>
      <c r="J26" s="49"/>
      <c r="M26" s="48"/>
      <c r="Q26" s="49"/>
    </row>
    <row r="27" spans="1:17" x14ac:dyDescent="0.35">
      <c r="A27" s="15" t="s">
        <v>148</v>
      </c>
      <c r="D27" s="12"/>
      <c r="F27" s="48" t="s">
        <v>148</v>
      </c>
      <c r="J27" s="49"/>
      <c r="M27" s="48" t="s">
        <v>148</v>
      </c>
      <c r="Q27" s="49"/>
    </row>
    <row r="28" spans="1:17" x14ac:dyDescent="0.35">
      <c r="A28" s="15">
        <v>100</v>
      </c>
      <c r="B28" t="s">
        <v>8</v>
      </c>
      <c r="C28" t="s">
        <v>149</v>
      </c>
      <c r="D28" s="12"/>
      <c r="F28" s="48">
        <v>100</v>
      </c>
      <c r="G28" t="s">
        <v>8</v>
      </c>
      <c r="H28" t="s">
        <v>149</v>
      </c>
      <c r="J28" s="49"/>
      <c r="M28" s="48">
        <v>100</v>
      </c>
      <c r="N28" t="s">
        <v>8</v>
      </c>
      <c r="O28" t="s">
        <v>149</v>
      </c>
      <c r="Q28" s="49"/>
    </row>
    <row r="29" spans="1:17" x14ac:dyDescent="0.35">
      <c r="A29" s="15">
        <v>300</v>
      </c>
      <c r="B29" t="s">
        <v>121</v>
      </c>
      <c r="C29" t="s">
        <v>150</v>
      </c>
      <c r="D29" s="12"/>
      <c r="F29" s="48">
        <v>300</v>
      </c>
      <c r="G29" t="s">
        <v>121</v>
      </c>
      <c r="H29" t="s">
        <v>151</v>
      </c>
      <c r="J29" s="49"/>
      <c r="M29" s="48">
        <v>300</v>
      </c>
      <c r="N29" t="s">
        <v>121</v>
      </c>
      <c r="O29" t="s">
        <v>151</v>
      </c>
      <c r="Q29" s="49"/>
    </row>
    <row r="30" spans="1:17" x14ac:dyDescent="0.35">
      <c r="A30" s="15">
        <f>A28*A29</f>
        <v>30000</v>
      </c>
      <c r="B30" t="s">
        <v>152</v>
      </c>
      <c r="C30" t="s">
        <v>153</v>
      </c>
      <c r="D30" s="12"/>
      <c r="F30" s="48">
        <f>F28*F29</f>
        <v>30000</v>
      </c>
      <c r="G30" t="s">
        <v>152</v>
      </c>
      <c r="H30" t="s">
        <v>153</v>
      </c>
      <c r="J30" s="49"/>
      <c r="M30" s="48">
        <f>M28*M29</f>
        <v>30000</v>
      </c>
      <c r="N30" t="s">
        <v>152</v>
      </c>
      <c r="O30" t="s">
        <v>153</v>
      </c>
      <c r="Q30" s="49"/>
    </row>
    <row r="31" spans="1:17" x14ac:dyDescent="0.35">
      <c r="A31" s="147">
        <f>A30/A21</f>
        <v>6.0005192221557024</v>
      </c>
      <c r="B31" t="s">
        <v>8</v>
      </c>
      <c r="C31" t="s">
        <v>154</v>
      </c>
      <c r="D31" s="12"/>
      <c r="F31" s="83">
        <f>F30/F25</f>
        <v>10</v>
      </c>
      <c r="G31" t="s">
        <v>8</v>
      </c>
      <c r="H31" t="s">
        <v>154</v>
      </c>
      <c r="J31" s="49"/>
      <c r="M31" s="83">
        <f>M30/M25</f>
        <v>15.000000000000002</v>
      </c>
      <c r="N31" t="s">
        <v>8</v>
      </c>
      <c r="O31" t="s">
        <v>154</v>
      </c>
      <c r="Q31" s="49"/>
    </row>
    <row r="32" spans="1:17" x14ac:dyDescent="0.35">
      <c r="A32" s="147">
        <f>A28-A31</f>
        <v>93.999480777844298</v>
      </c>
      <c r="B32" t="s">
        <v>8</v>
      </c>
      <c r="C32" t="s">
        <v>155</v>
      </c>
      <c r="D32" s="12"/>
      <c r="F32" s="83">
        <f>F28-F31</f>
        <v>90</v>
      </c>
      <c r="G32" t="s">
        <v>8</v>
      </c>
      <c r="H32" t="s">
        <v>155</v>
      </c>
      <c r="J32" s="49"/>
      <c r="M32" s="83">
        <f>M28-M31</f>
        <v>85</v>
      </c>
      <c r="N32" t="s">
        <v>8</v>
      </c>
      <c r="O32" t="s">
        <v>155</v>
      </c>
      <c r="Q32" s="49"/>
    </row>
    <row r="33" spans="1:17" x14ac:dyDescent="0.35">
      <c r="A33" s="15"/>
      <c r="D33" s="12"/>
      <c r="F33" s="48"/>
      <c r="J33" s="49"/>
      <c r="M33" s="48"/>
      <c r="Q33" s="49"/>
    </row>
    <row r="34" spans="1:17" ht="13.15" thickBot="1" x14ac:dyDescent="0.4">
      <c r="A34" s="25"/>
      <c r="B34" s="148"/>
      <c r="C34" s="148"/>
      <c r="D34" s="27"/>
      <c r="F34" s="50"/>
      <c r="G34" s="51"/>
      <c r="H34" s="51"/>
      <c r="I34" s="51"/>
      <c r="J34" s="52"/>
      <c r="M34" s="50"/>
      <c r="N34" s="51"/>
      <c r="O34" s="51"/>
      <c r="P34" s="51"/>
      <c r="Q34" s="52"/>
    </row>
    <row r="37" spans="1:17" ht="13.15" x14ac:dyDescent="0.4">
      <c r="A37" s="30" t="s">
        <v>156</v>
      </c>
    </row>
    <row r="39" spans="1:17" x14ac:dyDescent="0.35">
      <c r="F39" s="33"/>
    </row>
    <row r="40" spans="1:17" ht="13.15" x14ac:dyDescent="0.4">
      <c r="A40" t="s">
        <v>157</v>
      </c>
      <c r="C40" s="30">
        <f>A12</f>
        <v>49.4</v>
      </c>
      <c r="D40" t="s">
        <v>158</v>
      </c>
      <c r="G40" s="30">
        <f>F12</f>
        <v>39</v>
      </c>
      <c r="H40" t="s">
        <v>158</v>
      </c>
      <c r="N40" s="30">
        <v>70</v>
      </c>
    </row>
    <row r="42" spans="1:17" ht="13.15" x14ac:dyDescent="0.4">
      <c r="A42" t="s">
        <v>159</v>
      </c>
      <c r="B42" s="150">
        <f>0.56*C42</f>
        <v>8736</v>
      </c>
      <c r="C42" s="120">
        <v>15600</v>
      </c>
      <c r="D42" s="150">
        <f>1.56*C42</f>
        <v>24336</v>
      </c>
      <c r="F42" s="150">
        <f>0.56*G42</f>
        <v>5600.0000000000009</v>
      </c>
      <c r="G42" s="120">
        <v>10000</v>
      </c>
      <c r="H42" s="150">
        <f>1.56*G42</f>
        <v>15600</v>
      </c>
      <c r="M42" s="150">
        <f>0.56*N42</f>
        <v>14000.000000000002</v>
      </c>
      <c r="N42" s="120">
        <v>25000</v>
      </c>
      <c r="O42" s="150">
        <f>1.56*N42</f>
        <v>39000</v>
      </c>
    </row>
    <row r="43" spans="1:17" x14ac:dyDescent="0.35">
      <c r="B43" s="50"/>
      <c r="C43" s="51"/>
      <c r="D43" s="52"/>
      <c r="F43" s="50"/>
      <c r="G43" s="51"/>
      <c r="H43" s="52"/>
      <c r="M43" s="50"/>
      <c r="N43" s="51"/>
      <c r="O43" s="52"/>
    </row>
    <row r="44" spans="1:17" x14ac:dyDescent="0.35">
      <c r="A44" t="s">
        <v>160</v>
      </c>
      <c r="B44" s="85">
        <v>13047</v>
      </c>
      <c r="C44" s="85">
        <v>13354</v>
      </c>
      <c r="D44" s="85"/>
      <c r="F44" s="85">
        <v>10000</v>
      </c>
      <c r="G44" s="85">
        <v>10000</v>
      </c>
      <c r="H44" s="85"/>
      <c r="M44" s="85">
        <v>10000</v>
      </c>
      <c r="N44" s="85">
        <v>10000</v>
      </c>
      <c r="O44" s="85"/>
    </row>
    <row r="46" spans="1:17" ht="13.9" x14ac:dyDescent="0.4">
      <c r="A46" t="s">
        <v>161</v>
      </c>
      <c r="B46" s="149">
        <f>(1-B44/C44)</f>
        <v>2.2989366481952933E-2</v>
      </c>
      <c r="F46" s="149">
        <f>(1-F44/G44)</f>
        <v>0</v>
      </c>
      <c r="M46" s="149">
        <f>(1-M44/N44)</f>
        <v>0</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70" zoomScaleNormal="70" workbookViewId="0">
      <selection sqref="A1:B1"/>
    </sheetView>
  </sheetViews>
  <sheetFormatPr defaultColWidth="11.53125" defaultRowHeight="12.75" x14ac:dyDescent="0.35"/>
  <sheetData>
    <row r="1" spans="1:4" ht="14.25" x14ac:dyDescent="0.45">
      <c r="A1" s="154" t="s">
        <v>162</v>
      </c>
      <c r="B1" s="155"/>
      <c r="C1" s="154" t="s">
        <v>163</v>
      </c>
      <c r="D1" s="155"/>
    </row>
    <row r="2" spans="1:4" ht="92.85" customHeight="1" x14ac:dyDescent="0.45">
      <c r="A2" s="156" t="s">
        <v>164</v>
      </c>
      <c r="B2" s="157"/>
      <c r="C2" s="156" t="s">
        <v>165</v>
      </c>
      <c r="D2" s="157"/>
    </row>
    <row r="3" spans="1:4" ht="57" x14ac:dyDescent="0.45">
      <c r="A3" s="98" t="s">
        <v>166</v>
      </c>
      <c r="B3" s="99" t="s">
        <v>167</v>
      </c>
      <c r="C3" s="98" t="s">
        <v>116</v>
      </c>
      <c r="D3" s="100" t="s">
        <v>118</v>
      </c>
    </row>
    <row r="4" spans="1:4" ht="14.25" x14ac:dyDescent="0.45">
      <c r="A4" s="101" t="s">
        <v>122</v>
      </c>
      <c r="B4" s="100" t="s">
        <v>168</v>
      </c>
      <c r="C4" s="101" t="s">
        <v>122</v>
      </c>
      <c r="D4" s="100" t="s">
        <v>168</v>
      </c>
    </row>
    <row r="5" spans="1:4" x14ac:dyDescent="0.35">
      <c r="A5" s="107">
        <v>4</v>
      </c>
      <c r="B5" s="102">
        <f>'6 - Thresholds'!$M4</f>
        <v>143.3576196750065</v>
      </c>
      <c r="C5" s="103">
        <v>4</v>
      </c>
      <c r="D5" s="108">
        <f>CubicSpline(C5,$A$5:$A$34,$B$5:$B$34)</f>
        <v>143.3576196750065</v>
      </c>
    </row>
    <row r="6" spans="1:4" x14ac:dyDescent="0.35">
      <c r="A6" s="109">
        <v>5</v>
      </c>
      <c r="B6" s="97">
        <f>'6 - Thresholds'!$M5</f>
        <v>243.53284575436837</v>
      </c>
      <c r="C6" s="93">
        <v>5</v>
      </c>
      <c r="D6" s="110">
        <f t="shared" ref="D6:D30" si="0">CubicSpline(C6,$A$5:$A$34,$B$5:$B$34)</f>
        <v>243.53284575436834</v>
      </c>
    </row>
    <row r="7" spans="1:4" x14ac:dyDescent="0.35">
      <c r="A7" s="109">
        <v>6</v>
      </c>
      <c r="B7" s="97">
        <f>'6 - Thresholds'!$M6</f>
        <v>382.59218634917329</v>
      </c>
      <c r="C7" s="104">
        <v>6</v>
      </c>
      <c r="D7" s="110">
        <f t="shared" si="0"/>
        <v>382.59218634917329</v>
      </c>
    </row>
    <row r="8" spans="1:4" x14ac:dyDescent="0.35">
      <c r="A8" s="109">
        <v>7</v>
      </c>
      <c r="B8" s="97">
        <f>'6 - Thresholds'!$M7</f>
        <v>537.55539218408853</v>
      </c>
      <c r="C8" s="93">
        <v>7</v>
      </c>
      <c r="D8" s="110">
        <f t="shared" si="0"/>
        <v>537.55539218408819</v>
      </c>
    </row>
    <row r="9" spans="1:4" x14ac:dyDescent="0.35">
      <c r="A9" s="109">
        <v>8</v>
      </c>
      <c r="B9" s="97">
        <f>'6 - Thresholds'!$M8</f>
        <v>730.57231139294777</v>
      </c>
      <c r="C9" s="93">
        <v>8</v>
      </c>
      <c r="D9" s="110">
        <f t="shared" si="0"/>
        <v>730.572311392948</v>
      </c>
    </row>
    <row r="10" spans="1:4" x14ac:dyDescent="0.35">
      <c r="A10" s="109">
        <v>9</v>
      </c>
      <c r="B10" s="97">
        <f>'6 - Thresholds'!$M9</f>
        <v>948.08832363570173</v>
      </c>
      <c r="C10" s="93">
        <v>9</v>
      </c>
      <c r="D10" s="110">
        <f t="shared" si="0"/>
        <v>948.08832363570195</v>
      </c>
    </row>
    <row r="11" spans="1:4" x14ac:dyDescent="0.35">
      <c r="A11" s="109">
        <v>10</v>
      </c>
      <c r="B11" s="97">
        <f>'6 - Thresholds'!$M10</f>
        <v>1175.7576469195853</v>
      </c>
      <c r="C11" s="93">
        <v>10</v>
      </c>
      <c r="D11" s="110">
        <f t="shared" si="0"/>
        <v>1175.7576469195856</v>
      </c>
    </row>
    <row r="12" spans="1:4" x14ac:dyDescent="0.35">
      <c r="A12" s="109">
        <v>11</v>
      </c>
      <c r="B12" s="97">
        <f>'6 - Thresholds'!$M11</f>
        <v>1425.9717392041091</v>
      </c>
      <c r="C12" s="93">
        <v>11</v>
      </c>
      <c r="D12" s="110">
        <f t="shared" si="0"/>
        <v>1425.9717392041091</v>
      </c>
    </row>
    <row r="13" spans="1:4" x14ac:dyDescent="0.35">
      <c r="A13" s="109">
        <v>12</v>
      </c>
      <c r="B13" s="97">
        <f>'6 - Thresholds'!$M12</f>
        <v>1697.5399001563219</v>
      </c>
      <c r="C13" s="93">
        <v>12</v>
      </c>
      <c r="D13" s="110">
        <f t="shared" si="0"/>
        <v>1697.5399001563219</v>
      </c>
    </row>
    <row r="14" spans="1:4" x14ac:dyDescent="0.35">
      <c r="A14" s="109">
        <v>13</v>
      </c>
      <c r="B14" s="97">
        <f>'6 - Thresholds'!$M13</f>
        <v>1976.6518029739339</v>
      </c>
      <c r="C14" s="93">
        <v>13</v>
      </c>
      <c r="D14" s="110">
        <f t="shared" si="0"/>
        <v>1976.6518029739339</v>
      </c>
    </row>
    <row r="15" spans="1:4" x14ac:dyDescent="0.35">
      <c r="A15" s="109">
        <v>14</v>
      </c>
      <c r="B15" s="97">
        <f>'6 - Thresholds'!$M14</f>
        <v>2257.7184589334101</v>
      </c>
      <c r="C15" s="104">
        <v>14</v>
      </c>
      <c r="D15" s="110">
        <f t="shared" si="0"/>
        <v>2257.7184589334106</v>
      </c>
    </row>
    <row r="16" spans="1:4" x14ac:dyDescent="0.35">
      <c r="A16" s="109">
        <v>15</v>
      </c>
      <c r="B16" s="97">
        <f>'6 - Thresholds'!$M15</f>
        <v>2557.2978011447294</v>
      </c>
      <c r="C16" s="93">
        <v>15</v>
      </c>
      <c r="D16" s="110">
        <f t="shared" si="0"/>
        <v>2557.297801144729</v>
      </c>
    </row>
    <row r="17" spans="1:36" x14ac:dyDescent="0.35">
      <c r="A17" s="109">
        <v>16</v>
      </c>
      <c r="B17" s="97">
        <f>'6 - Thresholds'!$M16</f>
        <v>2861.4562905955968</v>
      </c>
      <c r="C17" s="93">
        <v>16</v>
      </c>
      <c r="D17" s="110">
        <f t="shared" si="0"/>
        <v>2861.4562905955972</v>
      </c>
    </row>
    <row r="18" spans="1:36" x14ac:dyDescent="0.35">
      <c r="A18" s="109">
        <v>17</v>
      </c>
      <c r="B18" s="97">
        <f>'6 - Thresholds'!$M17</f>
        <v>3162.9192815089182</v>
      </c>
      <c r="C18" s="93">
        <v>17</v>
      </c>
      <c r="D18" s="110">
        <f t="shared" si="0"/>
        <v>3162.9192815089186</v>
      </c>
    </row>
    <row r="19" spans="1:36" x14ac:dyDescent="0.35">
      <c r="A19" s="109">
        <v>18</v>
      </c>
      <c r="B19" s="97">
        <f>'6 - Thresholds'!$M18</f>
        <v>3471.9798245419715</v>
      </c>
      <c r="C19" s="93">
        <v>18</v>
      </c>
      <c r="D19" s="110">
        <f t="shared" si="0"/>
        <v>3471.9798245419729</v>
      </c>
    </row>
    <row r="20" spans="1:36" x14ac:dyDescent="0.35">
      <c r="A20" s="109">
        <v>19</v>
      </c>
      <c r="B20" s="97">
        <f>'6 - Thresholds'!$M19</f>
        <v>3798.6559594662085</v>
      </c>
      <c r="C20" s="93">
        <v>19</v>
      </c>
      <c r="D20" s="110">
        <f t="shared" si="0"/>
        <v>3798.6559594662062</v>
      </c>
      <c r="G20" s="97">
        <f>'6 - Curve'!$D$5</f>
        <v>143.3576196750065</v>
      </c>
      <c r="H20" s="97">
        <f>'6 - Curve'!$D$6</f>
        <v>243.53284575436834</v>
      </c>
      <c r="I20" s="97">
        <f>'6 - Curve'!$D$7</f>
        <v>382.59218634917329</v>
      </c>
      <c r="J20" s="97">
        <f>'6 - Curve'!$D$8</f>
        <v>537.55539218408819</v>
      </c>
      <c r="K20" s="97">
        <f>'6 - Curve'!$D$9</f>
        <v>730.572311392948</v>
      </c>
      <c r="L20" s="97">
        <f>'6 - Curve'!$D$10</f>
        <v>948.08832363570195</v>
      </c>
      <c r="M20" s="97">
        <f>'6 - Curve'!$D$11</f>
        <v>1175.7576469195856</v>
      </c>
      <c r="N20" s="97">
        <f>'6 - Curve'!$D$12</f>
        <v>1425.9717392041091</v>
      </c>
      <c r="O20" s="97">
        <f>'6 - Curve'!$D$13</f>
        <v>1697.5399001563219</v>
      </c>
      <c r="P20" s="97">
        <f>'6 - Curve'!$D$14</f>
        <v>1976.6518029739339</v>
      </c>
      <c r="Q20" s="97">
        <f>'6 - Curve'!$D$15</f>
        <v>2257.7184589334106</v>
      </c>
      <c r="R20" s="97">
        <f>'6 - Curve'!$D$16</f>
        <v>2557.297801144729</v>
      </c>
      <c r="S20" s="97">
        <f>'6 - Curve'!$D$17</f>
        <v>2861.4562905955972</v>
      </c>
      <c r="T20" s="97">
        <f>'6 - Curve'!$D$18</f>
        <v>3162.9192815089186</v>
      </c>
      <c r="U20" s="97">
        <f>'6 - Curve'!$D$19</f>
        <v>3471.9798245419729</v>
      </c>
      <c r="V20" s="97">
        <f>'6 - Curve'!$D$20</f>
        <v>3798.6559594662062</v>
      </c>
      <c r="W20" s="97">
        <f>'6 - Curve'!$D$21</f>
        <v>4167.4360991972662</v>
      </c>
      <c r="X20" s="97">
        <f>'6 - Curve'!$D$22</f>
        <v>4599.7189171017781</v>
      </c>
      <c r="Y20" s="97">
        <f>'6 - Curve'!$D$23</f>
        <v>5072.2283259776568</v>
      </c>
      <c r="Z20" s="97">
        <f>'6 - Curve'!$D$24</f>
        <v>5588.5901365765194</v>
      </c>
      <c r="AA20" s="97">
        <f>'6 - Curve'!$D$25</f>
        <v>6145.5448899865805</v>
      </c>
      <c r="AB20" s="97">
        <f>'6 - Curve'!$D$26</f>
        <v>6762.4770808018084</v>
      </c>
      <c r="AC20" s="97">
        <f>'6 - Curve'!$D$27</f>
        <v>7449.9084644407967</v>
      </c>
      <c r="AD20" s="97">
        <f>'6 - Curve'!$D$28</f>
        <v>8168.6556558452185</v>
      </c>
      <c r="AE20" s="97">
        <f>'6 - Curve'!$D$29</f>
        <v>8873.8938617485928</v>
      </c>
      <c r="AF20" s="97">
        <f>'6 - Curve'!$D$30</f>
        <v>9554.3619895929914</v>
      </c>
      <c r="AG20" s="97">
        <f>'6 - Curve'!$D$31</f>
        <v>10328.465268705997</v>
      </c>
      <c r="AH20" s="118">
        <f>'6 - Curve'!$D$32</f>
        <v>10011.26424103934</v>
      </c>
      <c r="AI20" s="118">
        <f>'6 - Curve'!$D$33</f>
        <v>15895.418171796442</v>
      </c>
      <c r="AJ20" s="118">
        <f>'6 - Curve'!$D$34</f>
        <v>24999.999999999996</v>
      </c>
    </row>
    <row r="21" spans="1:36" ht="13.15" thickBot="1" x14ac:dyDescent="0.4">
      <c r="A21" s="109">
        <v>20</v>
      </c>
      <c r="B21" s="97">
        <f>'6 - Thresholds'!$M20</f>
        <v>4167.4360991972662</v>
      </c>
      <c r="C21" s="93">
        <v>20</v>
      </c>
      <c r="D21" s="110">
        <f t="shared" si="0"/>
        <v>4167.4360991972662</v>
      </c>
    </row>
    <row r="22" spans="1:36" x14ac:dyDescent="0.35">
      <c r="A22" s="109">
        <v>21</v>
      </c>
      <c r="B22" s="97">
        <f>'6 - Thresholds'!$M21</f>
        <v>4599.7189171017926</v>
      </c>
      <c r="C22" s="104">
        <v>21</v>
      </c>
      <c r="D22" s="110">
        <f t="shared" si="0"/>
        <v>4599.7189171017781</v>
      </c>
      <c r="F22" s="11" t="s">
        <v>175</v>
      </c>
      <c r="G22" s="113">
        <v>4</v>
      </c>
      <c r="H22" s="114">
        <v>5</v>
      </c>
      <c r="I22" s="114">
        <v>6</v>
      </c>
      <c r="J22" s="114">
        <v>7</v>
      </c>
      <c r="K22" s="114">
        <v>8</v>
      </c>
      <c r="L22" s="114">
        <v>9</v>
      </c>
      <c r="M22" s="114">
        <v>10</v>
      </c>
      <c r="N22" s="114">
        <v>11</v>
      </c>
      <c r="O22" s="114">
        <v>12</v>
      </c>
      <c r="P22" s="114">
        <v>13</v>
      </c>
      <c r="Q22" s="114">
        <v>14</v>
      </c>
      <c r="R22" s="114">
        <v>15</v>
      </c>
      <c r="S22" s="114">
        <v>16</v>
      </c>
      <c r="T22" s="114">
        <v>17</v>
      </c>
      <c r="U22" s="114">
        <v>18</v>
      </c>
      <c r="V22" s="114">
        <v>19</v>
      </c>
      <c r="W22" s="114">
        <v>20</v>
      </c>
      <c r="X22" s="114">
        <v>21</v>
      </c>
      <c r="Y22" s="114">
        <v>22</v>
      </c>
      <c r="Z22" s="114">
        <v>23</v>
      </c>
      <c r="AA22" s="114">
        <v>24</v>
      </c>
      <c r="AB22" s="114">
        <v>25</v>
      </c>
      <c r="AC22" s="114">
        <v>26</v>
      </c>
      <c r="AD22" s="114">
        <v>27</v>
      </c>
      <c r="AE22" s="114">
        <v>28</v>
      </c>
      <c r="AF22" s="114">
        <v>29</v>
      </c>
      <c r="AG22" s="114">
        <v>30</v>
      </c>
      <c r="AH22" s="114">
        <v>38</v>
      </c>
      <c r="AI22" s="114">
        <v>50</v>
      </c>
      <c r="AJ22" s="5">
        <v>70</v>
      </c>
    </row>
    <row r="23" spans="1:36" ht="14.25" thickBot="1" x14ac:dyDescent="0.45">
      <c r="A23" s="109">
        <v>22</v>
      </c>
      <c r="B23" s="97">
        <f>'6 - Thresholds'!$M22</f>
        <v>5072.2283259776568</v>
      </c>
      <c r="C23" s="93">
        <v>22</v>
      </c>
      <c r="D23" s="110">
        <f t="shared" si="0"/>
        <v>5072.2283259776568</v>
      </c>
      <c r="F23" s="11" t="s">
        <v>176</v>
      </c>
      <c r="G23" s="115">
        <f t="shared" ref="G23:AJ23" si="1">INT(G20+0.5)</f>
        <v>143</v>
      </c>
      <c r="H23" s="116">
        <f t="shared" si="1"/>
        <v>244</v>
      </c>
      <c r="I23" s="116">
        <f t="shared" si="1"/>
        <v>383</v>
      </c>
      <c r="J23" s="116">
        <f t="shared" si="1"/>
        <v>538</v>
      </c>
      <c r="K23" s="116">
        <f t="shared" si="1"/>
        <v>731</v>
      </c>
      <c r="L23" s="116">
        <f t="shared" si="1"/>
        <v>948</v>
      </c>
      <c r="M23" s="116">
        <f t="shared" si="1"/>
        <v>1176</v>
      </c>
      <c r="N23" s="116">
        <f t="shared" si="1"/>
        <v>1426</v>
      </c>
      <c r="O23" s="116">
        <f t="shared" si="1"/>
        <v>1698</v>
      </c>
      <c r="P23" s="116">
        <f t="shared" si="1"/>
        <v>1977</v>
      </c>
      <c r="Q23" s="116">
        <f t="shared" si="1"/>
        <v>2258</v>
      </c>
      <c r="R23" s="116">
        <f t="shared" si="1"/>
        <v>2557</v>
      </c>
      <c r="S23" s="116">
        <f t="shared" si="1"/>
        <v>2861</v>
      </c>
      <c r="T23" s="116">
        <f t="shared" si="1"/>
        <v>3163</v>
      </c>
      <c r="U23" s="116">
        <f t="shared" si="1"/>
        <v>3472</v>
      </c>
      <c r="V23" s="116">
        <f t="shared" si="1"/>
        <v>3799</v>
      </c>
      <c r="W23" s="116">
        <f t="shared" si="1"/>
        <v>4167</v>
      </c>
      <c r="X23" s="116">
        <f t="shared" si="1"/>
        <v>4600</v>
      </c>
      <c r="Y23" s="116">
        <f t="shared" si="1"/>
        <v>5072</v>
      </c>
      <c r="Z23" s="116">
        <f t="shared" si="1"/>
        <v>5589</v>
      </c>
      <c r="AA23" s="116">
        <f t="shared" si="1"/>
        <v>6146</v>
      </c>
      <c r="AB23" s="116">
        <f t="shared" si="1"/>
        <v>6762</v>
      </c>
      <c r="AC23" s="116">
        <f t="shared" si="1"/>
        <v>7450</v>
      </c>
      <c r="AD23" s="116">
        <f t="shared" si="1"/>
        <v>8169</v>
      </c>
      <c r="AE23" s="116">
        <f t="shared" si="1"/>
        <v>8874</v>
      </c>
      <c r="AF23" s="116">
        <f t="shared" si="1"/>
        <v>9554</v>
      </c>
      <c r="AG23" s="116">
        <f t="shared" si="1"/>
        <v>10328</v>
      </c>
      <c r="AH23" s="116">
        <f t="shared" si="1"/>
        <v>10011</v>
      </c>
      <c r="AI23" s="116">
        <f t="shared" si="1"/>
        <v>15895</v>
      </c>
      <c r="AJ23" s="117">
        <f t="shared" si="1"/>
        <v>25000</v>
      </c>
    </row>
    <row r="24" spans="1:36" x14ac:dyDescent="0.35">
      <c r="A24" s="109">
        <v>23</v>
      </c>
      <c r="B24" s="97">
        <f>'6 - Thresholds'!$M23</f>
        <v>5588.5901365765203</v>
      </c>
      <c r="C24" s="93">
        <v>23</v>
      </c>
      <c r="D24" s="110">
        <f t="shared" si="0"/>
        <v>5588.5901365765194</v>
      </c>
    </row>
    <row r="25" spans="1:36" x14ac:dyDescent="0.35">
      <c r="A25" s="109">
        <v>24</v>
      </c>
      <c r="B25" s="97">
        <f>'6 - Thresholds'!$M24</f>
        <v>6145.5448899865769</v>
      </c>
      <c r="C25" s="93">
        <v>24</v>
      </c>
      <c r="D25" s="110">
        <f t="shared" si="0"/>
        <v>6145.5448899865805</v>
      </c>
    </row>
    <row r="26" spans="1:36" x14ac:dyDescent="0.35">
      <c r="A26" s="109">
        <v>25</v>
      </c>
      <c r="B26" s="97">
        <f>'6 - Thresholds'!$M25</f>
        <v>6762.4770808018084</v>
      </c>
      <c r="C26" s="104">
        <v>25</v>
      </c>
      <c r="D26" s="110">
        <f t="shared" si="0"/>
        <v>6762.4770808018084</v>
      </c>
    </row>
    <row r="27" spans="1:36" x14ac:dyDescent="0.35">
      <c r="A27" s="109">
        <v>26</v>
      </c>
      <c r="B27" s="97">
        <f>'6 - Thresholds'!$M26</f>
        <v>7449.9084644407912</v>
      </c>
      <c r="C27" s="93">
        <v>26</v>
      </c>
      <c r="D27" s="110">
        <f t="shared" si="0"/>
        <v>7449.9084644407967</v>
      </c>
      <c r="F27" s="86">
        <v>10</v>
      </c>
      <c r="G27">
        <f>CubicSpline(F27, $A$5:$A$107, $B$5:$B$107)</f>
        <v>1175.7576469195856</v>
      </c>
    </row>
    <row r="28" spans="1:36" x14ac:dyDescent="0.35">
      <c r="A28" s="109">
        <v>27</v>
      </c>
      <c r="B28" s="97">
        <f>'6 - Thresholds'!$M27</f>
        <v>8168.655655845223</v>
      </c>
      <c r="C28" s="93">
        <v>27</v>
      </c>
      <c r="D28" s="110">
        <f t="shared" si="0"/>
        <v>8168.6556558452185</v>
      </c>
      <c r="F28" s="86">
        <v>11</v>
      </c>
      <c r="G28">
        <f>CubicSpline(F28, $A$5:$A$107, $B$5:$B$107)</f>
        <v>1425.9717392041091</v>
      </c>
    </row>
    <row r="29" spans="1:36" x14ac:dyDescent="0.35">
      <c r="A29" s="109">
        <v>28</v>
      </c>
      <c r="B29" s="97">
        <f>'6 - Thresholds'!$M28</f>
        <v>8873.8938617485965</v>
      </c>
      <c r="C29" s="93">
        <v>28</v>
      </c>
      <c r="D29" s="110">
        <f t="shared" si="0"/>
        <v>8873.8938617485928</v>
      </c>
      <c r="F29">
        <v>9</v>
      </c>
      <c r="G29">
        <f>CubicSpline(F29, $A$5:$A$107, $B$5:$B$107)</f>
        <v>948.08832363570195</v>
      </c>
    </row>
    <row r="30" spans="1:36" x14ac:dyDescent="0.35">
      <c r="A30" s="109">
        <v>29</v>
      </c>
      <c r="B30" s="97">
        <f>'6 - Thresholds'!$M29</f>
        <v>9554.3619895931188</v>
      </c>
      <c r="C30" s="93">
        <v>29</v>
      </c>
      <c r="D30" s="110">
        <f t="shared" si="0"/>
        <v>9554.3619895929914</v>
      </c>
    </row>
    <row r="31" spans="1:36" x14ac:dyDescent="0.35">
      <c r="A31" s="109">
        <v>30</v>
      </c>
      <c r="B31" s="97">
        <f>'6 - Thresholds'!$M30</f>
        <v>10328.465268707214</v>
      </c>
      <c r="C31" s="93">
        <v>30</v>
      </c>
      <c r="D31" s="110">
        <f>CubicSpline(C31,$A$5:$A$34,$B$5:$B$34)</f>
        <v>10328.465268705997</v>
      </c>
    </row>
    <row r="32" spans="1:36" x14ac:dyDescent="0.35">
      <c r="A32" s="109">
        <f>'6 - Spheres'!$G$40</f>
        <v>39</v>
      </c>
      <c r="B32" s="93">
        <f>'6 - Spheres'!$G$42</f>
        <v>10000</v>
      </c>
      <c r="C32" s="104">
        <v>38</v>
      </c>
      <c r="D32" s="110">
        <f t="shared" ref="D32:D34" si="2">CubicSpline(C32,$A$5:$A$34,$B$5:$B$34)</f>
        <v>10011.26424103934</v>
      </c>
    </row>
    <row r="33" spans="1:4" x14ac:dyDescent="0.35">
      <c r="A33" s="109">
        <f>'6 - Spheres'!$C$40</f>
        <v>49.4</v>
      </c>
      <c r="B33" s="93">
        <f>'6 - Spheres'!$C$42</f>
        <v>15600</v>
      </c>
      <c r="C33" s="104">
        <v>50</v>
      </c>
      <c r="D33" s="110">
        <f t="shared" si="2"/>
        <v>15895.418171796442</v>
      </c>
    </row>
    <row r="34" spans="1:4" x14ac:dyDescent="0.35">
      <c r="A34" s="111">
        <f>'6 - Spheres'!$N$40</f>
        <v>70</v>
      </c>
      <c r="B34" s="105">
        <f>'6 - Spheres'!$N$42</f>
        <v>25000</v>
      </c>
      <c r="C34" s="106">
        <v>70</v>
      </c>
      <c r="D34" s="112">
        <f t="shared" si="2"/>
        <v>24999.999999999996</v>
      </c>
    </row>
    <row r="36" spans="1:4" ht="40.15" x14ac:dyDescent="0.35">
      <c r="A36" s="87" t="s">
        <v>169</v>
      </c>
    </row>
    <row r="39" spans="1:4" ht="13.15" x14ac:dyDescent="0.4">
      <c r="A39" t="s">
        <v>170</v>
      </c>
    </row>
    <row r="40" spans="1:4" ht="13.15" x14ac:dyDescent="0.4">
      <c r="A40" t="s">
        <v>171</v>
      </c>
    </row>
    <row r="41" spans="1:4" x14ac:dyDescent="0.35">
      <c r="A41" t="s">
        <v>172</v>
      </c>
    </row>
    <row r="42" spans="1:4" x14ac:dyDescent="0.35">
      <c r="A42" t="s">
        <v>173</v>
      </c>
    </row>
    <row r="44" spans="1:4" x14ac:dyDescent="0.35">
      <c r="A44" t="s">
        <v>174</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2025-12-23T11:54:06Z</dcterms:modified>
</cp:coreProperties>
</file>