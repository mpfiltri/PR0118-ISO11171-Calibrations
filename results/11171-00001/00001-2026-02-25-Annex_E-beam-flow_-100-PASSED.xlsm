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/>
  <mc:AlternateContent xmlns:mc="http://schemas.openxmlformats.org/markup-compatibility/2006">
    <mc:Choice Requires="x15">
      <x15ac:absPath xmlns:x15ac="http://schemas.microsoft.com/office/spreadsheetml/2010/11/ac" url="D:\mp\projects\PR0118 - ISO 11171 Calibrations\results\11171-00001\"/>
    </mc:Choice>
  </mc:AlternateContent>
  <xr:revisionPtr revIDLastSave="0" documentId="13_ncr:1_{3C2A3964-D6CE-4B83-B537-0FFCA8006825}" xr6:coauthVersionLast="47" xr6:coauthVersionMax="47" xr10:uidLastSave="{00000000-0000-0000-0000-000000000000}"/>
  <bookViews>
    <workbookView xWindow="-98" yWindow="-98" windowWidth="28996" windowHeight="17745" activeTab="3" xr2:uid="{1CED0541-8FE6-43FC-8C99-84ADE5FEB82D}"/>
  </bookViews>
  <sheets>
    <sheet name="E - B1" sheetId="1" r:id="rId1"/>
    <sheet name="E - B2" sheetId="2" r:id="rId2"/>
    <sheet name="E - B3" sheetId="3" r:id="rId3"/>
    <sheet name="Annex E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5" i="3" l="1"/>
  <c r="K14" i="3"/>
  <c r="K13" i="3"/>
  <c r="K12" i="3"/>
  <c r="K11" i="3"/>
  <c r="K10" i="3"/>
  <c r="K9" i="3"/>
  <c r="J12" i="2"/>
  <c r="K15" i="2"/>
  <c r="K14" i="2"/>
  <c r="K13" i="2"/>
  <c r="K12" i="2"/>
  <c r="K11" i="2"/>
  <c r="K10" i="2"/>
  <c r="J13" i="1"/>
  <c r="K14" i="1"/>
  <c r="K13" i="1"/>
  <c r="K12" i="1"/>
  <c r="K11" i="1"/>
  <c r="K10" i="1"/>
  <c r="K9" i="1"/>
  <c r="K15" i="1"/>
  <c r="H8" i="1"/>
  <c r="G9" i="1"/>
  <c r="H9" i="1" s="1"/>
  <c r="I9" i="1"/>
  <c r="G10" i="1"/>
  <c r="H10" i="1" s="1"/>
  <c r="I10" i="1"/>
  <c r="G11" i="1"/>
  <c r="H11" i="1" s="1"/>
  <c r="I11" i="1"/>
  <c r="G12" i="1"/>
  <c r="H12" i="1" s="1"/>
  <c r="I12" i="1"/>
  <c r="K28" i="4" l="1"/>
  <c r="K27" i="4"/>
  <c r="K26" i="4"/>
  <c r="K25" i="4"/>
  <c r="K24" i="4"/>
  <c r="K23" i="4"/>
  <c r="J28" i="4"/>
  <c r="J27" i="4"/>
  <c r="J26" i="4"/>
  <c r="J25" i="4"/>
  <c r="J24" i="4"/>
  <c r="J23" i="4"/>
  <c r="H8" i="2" l="1"/>
  <c r="G9" i="2"/>
  <c r="I9" i="2"/>
  <c r="G10" i="2"/>
  <c r="I10" i="2"/>
  <c r="G11" i="2"/>
  <c r="I11" i="2"/>
  <c r="G12" i="2"/>
  <c r="I12" i="2"/>
  <c r="G12" i="3"/>
  <c r="G9" i="3"/>
  <c r="I11" i="3"/>
  <c r="G10" i="3"/>
  <c r="H8" i="3"/>
  <c r="I10" i="3"/>
  <c r="G11" i="3"/>
  <c r="M34" i="1"/>
  <c r="M32" i="1"/>
  <c r="M25" i="1"/>
  <c r="M24" i="1"/>
  <c r="R22" i="1"/>
  <c r="H9" i="2" l="1"/>
  <c r="K9" i="2"/>
  <c r="H11" i="3"/>
  <c r="H10" i="2"/>
  <c r="H12" i="2"/>
  <c r="H11" i="2"/>
  <c r="H9" i="3"/>
  <c r="H10" i="3"/>
  <c r="I9" i="3"/>
  <c r="H12" i="3"/>
  <c r="I12" i="3"/>
  <c r="B25" i="4"/>
  <c r="B23" i="4"/>
  <c r="B20" i="4"/>
  <c r="B19" i="4"/>
  <c r="B15" i="4"/>
  <c r="B18" i="4" s="1"/>
  <c r="I15" i="3"/>
  <c r="G15" i="3"/>
  <c r="I14" i="3"/>
  <c r="G14" i="3"/>
  <c r="D28" i="4" s="1"/>
  <c r="I13" i="3"/>
  <c r="G13" i="3"/>
  <c r="D27" i="4" s="1"/>
  <c r="D26" i="4"/>
  <c r="D25" i="4"/>
  <c r="D24" i="4"/>
  <c r="I15" i="2"/>
  <c r="G15" i="2"/>
  <c r="I14" i="2"/>
  <c r="G14" i="2"/>
  <c r="I13" i="2"/>
  <c r="G13" i="2"/>
  <c r="C25" i="4"/>
  <c r="C23" i="4"/>
  <c r="I15" i="1"/>
  <c r="G15" i="1"/>
  <c r="I14" i="1"/>
  <c r="G14" i="1"/>
  <c r="H14" i="1" s="1"/>
  <c r="I13" i="1"/>
  <c r="G13" i="1"/>
  <c r="H13" i="1" s="1"/>
  <c r="B24" i="4"/>
  <c r="C28" i="4" l="1"/>
  <c r="H13" i="2"/>
  <c r="D23" i="4"/>
  <c r="E23" i="4" s="1"/>
  <c r="I23" i="4" s="1"/>
  <c r="H13" i="3"/>
  <c r="H15" i="3"/>
  <c r="J15" i="3" s="1"/>
  <c r="C26" i="4"/>
  <c r="H14" i="2"/>
  <c r="H15" i="2"/>
  <c r="J15" i="2" s="1"/>
  <c r="J11" i="1"/>
  <c r="J9" i="3"/>
  <c r="E25" i="4"/>
  <c r="I25" i="4" s="1"/>
  <c r="J12" i="1"/>
  <c r="J14" i="1"/>
  <c r="B26" i="4"/>
  <c r="H14" i="3"/>
  <c r="B27" i="4"/>
  <c r="C27" i="4"/>
  <c r="C24" i="4"/>
  <c r="E24" i="4" s="1"/>
  <c r="I24" i="4" s="1"/>
  <c r="H15" i="1"/>
  <c r="B28" i="4"/>
  <c r="E28" i="4" s="1"/>
  <c r="I28" i="4" s="1"/>
  <c r="J12" i="3"/>
  <c r="J13" i="2" l="1"/>
  <c r="J10" i="2"/>
  <c r="J9" i="2"/>
  <c r="J11" i="2"/>
  <c r="E26" i="4"/>
  <c r="I26" i="4" s="1"/>
  <c r="J10" i="3"/>
  <c r="J13" i="3"/>
  <c r="E27" i="4"/>
  <c r="I27" i="4" s="1"/>
  <c r="J14" i="2"/>
  <c r="J11" i="3"/>
  <c r="J14" i="3"/>
  <c r="J9" i="1"/>
  <c r="J15" i="1"/>
  <c r="J10" i="1"/>
</calcChain>
</file>

<file path=xl/sharedStrings.xml><?xml version="1.0" encoding="utf-8"?>
<sst xmlns="http://schemas.openxmlformats.org/spreadsheetml/2006/main" count="188" uniqueCount="92">
  <si>
    <t>Data Preprocessing and Quality Assessment</t>
  </si>
  <si>
    <t>Portion 1</t>
  </si>
  <si>
    <t>Portion 2</t>
  </si>
  <si>
    <t>Portion 3</t>
  </si>
  <si>
    <t>Portion 4</t>
  </si>
  <si>
    <t>Portion 5</t>
  </si>
  <si>
    <t>X / ml</t>
  </si>
  <si>
    <r>
      <rPr>
        <b/>
        <sz val="10"/>
        <rFont val="Arial"/>
        <family val="2"/>
      </rPr>
      <t>N</t>
    </r>
    <r>
      <rPr>
        <b/>
        <vertAlign val="subscript"/>
        <sz val="10"/>
        <rFont val="Arial"/>
        <family val="2"/>
      </rPr>
      <t>TOTAL</t>
    </r>
  </si>
  <si>
    <t>CV</t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</si>
  <si>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QMAX</t>
    </r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</si>
  <si>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</t>
    </r>
  </si>
  <si>
    <t>scanned_volume_ml</t>
  </si>
  <si>
    <t>count_4</t>
  </si>
  <si>
    <t>BOTTLE 1</t>
  </si>
  <si>
    <t>count_5</t>
  </si>
  <si>
    <t>count_6</t>
  </si>
  <si>
    <t>RM8632a</t>
  </si>
  <si>
    <t>count_7</t>
  </si>
  <si>
    <t>count_8</t>
  </si>
  <si>
    <t>#00001</t>
  </si>
  <si>
    <t>count_9</t>
  </si>
  <si>
    <t>count_10</t>
  </si>
  <si>
    <t>Table C.2</t>
  </si>
  <si>
    <t>Mean counted X</t>
  </si>
  <si>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V_MAX</t>
    </r>
  </si>
  <si>
    <t>X &gt;=</t>
  </si>
  <si>
    <t>X &lt;</t>
  </si>
  <si>
    <r>
      <rPr>
        <sz val="10"/>
        <rFont val="Arial"/>
        <family val="2"/>
      </rPr>
      <t>D</t>
    </r>
    <r>
      <rPr>
        <vertAlign val="subscript"/>
        <sz val="10"/>
        <rFont val="Arial"/>
        <family val="2"/>
      </rPr>
      <t>QMAX / SAMPLE</t>
    </r>
  </si>
  <si>
    <t>N=3</t>
  </si>
  <si>
    <t>N=6</t>
  </si>
  <si>
    <t>N=10</t>
  </si>
  <si>
    <t>N=20</t>
  </si>
  <si>
    <t>N=40</t>
  </si>
  <si>
    <t>Date</t>
  </si>
  <si>
    <t>Partistan 34D</t>
  </si>
  <si>
    <t>Scanned ml</t>
  </si>
  <si>
    <t>Counts per Table A.1
Cv &lt; Table C.2
6 sizes 5-15um</t>
  </si>
  <si>
    <t>RM8632x
1mg/l</t>
  </si>
  <si>
    <t>Annex E – particle counting accuracy. Ensure RM8632x counts in permitted range.</t>
  </si>
  <si>
    <t>Bottle Sampler</t>
  </si>
  <si>
    <t>APC Model</t>
  </si>
  <si>
    <t>APC S/N</t>
  </si>
  <si>
    <t>Sensor Model</t>
  </si>
  <si>
    <t>Sensor S/N</t>
  </si>
  <si>
    <t>Operator</t>
  </si>
  <si>
    <t>JMD</t>
  </si>
  <si>
    <t>Threshold Noise</t>
  </si>
  <si>
    <t>RM8632a mg/l</t>
  </si>
  <si>
    <t>Sample Volume Total</t>
  </si>
  <si>
    <t>ml</t>
  </si>
  <si>
    <t>Portions</t>
  </si>
  <si>
    <t>Portion Volume V</t>
  </si>
  <si>
    <t>Capture Fraction</t>
  </si>
  <si>
    <t>/100ml scanned</t>
  </si>
  <si>
    <t>Total scanned</t>
  </si>
  <si>
    <t>Portion scanned</t>
  </si>
  <si>
    <t>μm(c)</t>
  </si>
  <si>
    <t>B1 / ml</t>
  </si>
  <si>
    <t>B2 / ml</t>
  </si>
  <si>
    <t>B3 / ml</t>
  </si>
  <si>
    <t>AVERAGE</t>
  </si>
  <si>
    <t>Table A.1</t>
  </si>
  <si>
    <t>A.1 Lower</t>
  </si>
  <si>
    <t>A.1 Upper</t>
  </si>
  <si>
    <t>Deviation</t>
  </si>
  <si>
    <t>Median</t>
  </si>
  <si>
    <t>Minimum</t>
  </si>
  <si>
    <t>Maximum</t>
  </si>
  <si>
    <t>ANNEX E – VERIFICATION OF PARTICLE COUNTING ACCURACY</t>
  </si>
  <si>
    <t>BS110HP</t>
  </si>
  <si>
    <t>11171-00001</t>
  </si>
  <si>
    <t>REF</t>
  </si>
  <si>
    <t>Concentrate Dilution Calculator</t>
  </si>
  <si>
    <t>Concentrate Manufacturing Calculator</t>
  </si>
  <si>
    <t>Concentrate</t>
  </si>
  <si>
    <t>mg/l</t>
  </si>
  <si>
    <t>Target Final Fluid Volume ml</t>
  </si>
  <si>
    <t>Final fluid volume</t>
  </si>
  <si>
    <t>Target Concentration mg/l</t>
  </si>
  <si>
    <t>Target concentration</t>
  </si>
  <si>
    <t>mg required</t>
  </si>
  <si>
    <t>Concentrate to add</t>
  </si>
  <si>
    <t>Diluent to add</t>
  </si>
  <si>
    <t>Alt Concentrate Dilution Calculator</t>
  </si>
  <si>
    <t>Concentrate mg/l</t>
  </si>
  <si>
    <t>Diluent volume ml</t>
  </si>
  <si>
    <t>Target concentration mg/l</t>
  </si>
  <si>
    <t>Added</t>
  </si>
  <si>
    <t>Final Concentration</t>
  </si>
  <si>
    <t>Lower Limit</t>
  </si>
  <si>
    <t>Upper Limit</t>
  </si>
  <si>
    <t>portion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</si>
</sst>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yyyy\-mm\-dd"/>
  </numFmts>
  <fonts count="12" x14ac:knownFonts="1">
    <font>
      <sz val="10"/>
      <name val="Arial"/>
      <family val="2"/>
    </font>
    <font>
      <sz val="11"/>
      <color theme="1"/>
      <name val="Arial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vertAlign val="subscript"/>
      <sz val="10"/>
      <name val="Arial"/>
      <family val="2"/>
    </font>
    <font>
      <sz val="32"/>
      <name val="Arial"/>
      <family val="2"/>
    </font>
    <font>
      <vertAlign val="subscript"/>
      <sz val="10"/>
      <name val="Arial"/>
      <family val="2"/>
    </font>
    <font>
      <i/>
      <sz val="10"/>
      <name val="Arial"/>
      <family val="2"/>
    </font>
    <font>
      <sz val="20"/>
      <color rgb="FFC9211E"/>
      <name val="Arial Black"/>
      <family val="2"/>
    </font>
    <font>
      <b/>
      <sz val="11"/>
      <color rgb="FFFA7D00"/>
      <name val="Arial"/>
      <family val="2"/>
      <scheme val="minor"/>
    </font>
    <font>
      <sz val="10"/>
      <name val="Calibri"/>
      <family val="2"/>
    </font>
    <font>
      <sz val="10"/>
      <name val="Liberation Sans"/>
      <family val="2"/>
    </font>
  </fonts>
  <fills count="5">
    <fill>
      <patternFill patternType="none"/>
    </fill>
    <fill>
      <patternFill patternType="gray125"/>
    </fill>
    <fill>
      <patternFill patternType="solid">
        <fgColor rgb="FFE7E7E7"/>
        <bgColor rgb="FFDDDDDD"/>
      </patternFill>
    </fill>
    <fill>
      <patternFill patternType="solid">
        <fgColor rgb="FFF2F2F2"/>
      </patternFill>
    </fill>
    <fill>
      <patternFill patternType="solid">
        <fgColor theme="5" tint="0.79998168889431442"/>
        <bgColor indexed="65"/>
      </patternFill>
    </fill>
  </fills>
  <borders count="19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0" fontId="9" fillId="3" borderId="10" applyNumberFormat="0" applyAlignment="0" applyProtection="0"/>
    <xf numFmtId="0" fontId="1" fillId="4" borderId="0" applyNumberFormat="0" applyBorder="0" applyAlignment="0" applyProtection="0"/>
  </cellStyleXfs>
  <cellXfs count="68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64" fontId="3" fillId="0" borderId="0" xfId="0" applyNumberFormat="1" applyFont="1" applyAlignment="1">
      <alignment horizontal="right"/>
    </xf>
    <xf numFmtId="165" fontId="0" fillId="0" borderId="0" xfId="0" applyNumberFormat="1"/>
    <xf numFmtId="164" fontId="3" fillId="0" borderId="1" xfId="0" applyNumberFormat="1" applyFont="1" applyBorder="1"/>
    <xf numFmtId="1" fontId="0" fillId="0" borderId="1" xfId="0" applyNumberFormat="1" applyBorder="1" applyAlignment="1">
      <alignment horizontal="right"/>
    </xf>
    <xf numFmtId="165" fontId="0" fillId="0" borderId="1" xfId="0" applyNumberFormat="1" applyBorder="1"/>
    <xf numFmtId="0" fontId="5" fillId="0" borderId="0" xfId="0" applyFont="1"/>
    <xf numFmtId="1" fontId="0" fillId="0" borderId="0" xfId="0" applyNumberFormat="1" applyAlignment="1">
      <alignment horizontal="right"/>
    </xf>
    <xf numFmtId="166" fontId="0" fillId="0" borderId="0" xfId="0" applyNumberFormat="1"/>
    <xf numFmtId="1" fontId="0" fillId="0" borderId="2" xfId="0" applyNumberFormat="1" applyBorder="1" applyAlignment="1">
      <alignment horizontal="right"/>
    </xf>
    <xf numFmtId="165" fontId="0" fillId="0" borderId="2" xfId="0" applyNumberFormat="1" applyBorder="1"/>
    <xf numFmtId="1" fontId="0" fillId="0" borderId="0" xfId="0" applyNumberFormat="1"/>
    <xf numFmtId="164" fontId="3" fillId="0" borderId="0" xfId="0" applyNumberFormat="1" applyFont="1"/>
    <xf numFmtId="0" fontId="0" fillId="0" borderId="3" xfId="0" applyBorder="1"/>
    <xf numFmtId="0" fontId="0" fillId="0" borderId="1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1" xfId="0" applyBorder="1"/>
    <xf numFmtId="0" fontId="0" fillId="0" borderId="4" xfId="0" applyBorder="1"/>
    <xf numFmtId="0" fontId="0" fillId="0" borderId="5" xfId="0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7" xfId="0" applyBorder="1"/>
    <xf numFmtId="0" fontId="0" fillId="0" borderId="8" xfId="0" applyBorder="1"/>
    <xf numFmtId="164" fontId="0" fillId="0" borderId="0" xfId="0" applyNumberFormat="1"/>
    <xf numFmtId="10" fontId="0" fillId="0" borderId="0" xfId="0" applyNumberFormat="1"/>
    <xf numFmtId="0" fontId="0" fillId="0" borderId="5" xfId="0" applyBorder="1"/>
    <xf numFmtId="0" fontId="0" fillId="0" borderId="2" xfId="0" applyBorder="1"/>
    <xf numFmtId="0" fontId="0" fillId="0" borderId="6" xfId="0" applyBorder="1"/>
    <xf numFmtId="1" fontId="0" fillId="0" borderId="0" xfId="1" applyNumberFormat="1" applyFont="1"/>
    <xf numFmtId="1" fontId="3" fillId="0" borderId="0" xfId="1" applyNumberFormat="1" applyFont="1"/>
    <xf numFmtId="10" fontId="3" fillId="0" borderId="0" xfId="0" applyNumberFormat="1" applyFont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6" fontId="3" fillId="0" borderId="0" xfId="0" applyNumberFormat="1" applyFont="1" applyAlignment="1">
      <alignment horizontal="right"/>
    </xf>
    <xf numFmtId="166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0" fillId="0" borderId="9" xfId="0" applyBorder="1" applyAlignment="1">
      <alignment horizontal="right"/>
    </xf>
    <xf numFmtId="0" fontId="0" fillId="0" borderId="7" xfId="0" applyBorder="1" applyAlignment="1">
      <alignment horizontal="right"/>
    </xf>
    <xf numFmtId="1" fontId="7" fillId="0" borderId="0" xfId="0" applyNumberFormat="1" applyFont="1"/>
    <xf numFmtId="0" fontId="7" fillId="0" borderId="0" xfId="0" applyFont="1"/>
    <xf numFmtId="0" fontId="7" fillId="0" borderId="0" xfId="0" applyFont="1" applyAlignment="1">
      <alignment horizontal="right"/>
    </xf>
    <xf numFmtId="1" fontId="7" fillId="0" borderId="2" xfId="0" applyNumberFormat="1" applyFont="1" applyBorder="1"/>
    <xf numFmtId="1" fontId="0" fillId="0" borderId="2" xfId="0" applyNumberFormat="1" applyBorder="1"/>
    <xf numFmtId="0" fontId="7" fillId="0" borderId="2" xfId="0" applyFont="1" applyBorder="1" applyAlignment="1">
      <alignment horizontal="right"/>
    </xf>
    <xf numFmtId="164" fontId="7" fillId="0" borderId="0" xfId="0" applyNumberFormat="1" applyFont="1"/>
    <xf numFmtId="0" fontId="3" fillId="2" borderId="0" xfId="0" applyFont="1" applyFill="1"/>
    <xf numFmtId="0" fontId="8" fillId="0" borderId="0" xfId="0" applyFont="1"/>
    <xf numFmtId="0" fontId="3" fillId="0" borderId="11" xfId="0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0" fillId="0" borderId="0" xfId="0" applyFont="1"/>
    <xf numFmtId="0" fontId="1" fillId="4" borderId="0" xfId="3" applyBorder="1" applyAlignment="1">
      <alignment horizontal="right"/>
    </xf>
    <xf numFmtId="0" fontId="0" fillId="0" borderId="15" xfId="0" applyBorder="1"/>
    <xf numFmtId="2" fontId="1" fillId="4" borderId="0" xfId="3" applyNumberFormat="1" applyBorder="1" applyAlignment="1">
      <alignment horizontal="right"/>
    </xf>
    <xf numFmtId="2" fontId="9" fillId="3" borderId="10" xfId="2" applyNumberFormat="1" applyAlignment="1">
      <alignment horizontal="right"/>
    </xf>
    <xf numFmtId="164" fontId="9" fillId="3" borderId="10" xfId="2" applyNumberFormat="1" applyAlignment="1">
      <alignment horizontal="right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2" fontId="3" fillId="0" borderId="0" xfId="0" applyNumberFormat="1" applyFont="1" applyAlignment="1">
      <alignment horizontal="right"/>
    </xf>
    <xf numFmtId="2" fontId="0" fillId="0" borderId="9" xfId="0" applyNumberFormat="1" applyBorder="1" applyAlignment="1">
      <alignment horizontal="right"/>
    </xf>
    <xf numFmtId="165" fontId="0" fillId="0" borderId="0" xfId="1" applyNumberFormat="1" applyFont="1"/>
    <xf numFmtId="0" fontId="1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</cellXfs>
  <cellStyles count="4">
    <cellStyle name="20% - Accent2" xfId="3" builtinId="34"/>
    <cellStyle name="Calculation" xfId="2" builtinId="22"/>
    <cellStyle name="Normal" xfId="0" builtinId="0"/>
    <cellStyle name="Percent" xfId="1" builtinId="5"/>
  </cellStyles>
  <dxfs count="58">
    <dxf>
      <font>
        <color rgb="FF006100"/>
      </font>
      <fill>
        <patternFill>
          <bgColor rgb="FFC6EFCE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'Annex E'!$I$22</c:f>
              <c:strCache>
                <c:ptCount val="1"/>
                <c:pt idx="0">
                  <c:v>Deviation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'Annex E'!$A$23:$A$28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</c:numCache>
            </c:numRef>
          </c:cat>
          <c:val>
            <c:numRef>
              <c:f>'Annex E'!$I$23:$I$28</c:f>
              <c:numCache>
                <c:formatCode>0.0%</c:formatCode>
                <c:ptCount val="6"/>
                <c:pt idx="0">
                  <c:v>-9.1642116997354459E-2</c:v>
                </c:pt>
                <c:pt idx="1">
                  <c:v>-0.13461232570743398</c:v>
                </c:pt>
                <c:pt idx="2">
                  <c:v>-7.6337741467402465E-2</c:v>
                </c:pt>
                <c:pt idx="3">
                  <c:v>3.379045152420538E-2</c:v>
                </c:pt>
                <c:pt idx="4">
                  <c:v>8.8001832190274965E-2</c:v>
                </c:pt>
                <c:pt idx="5">
                  <c:v>0.16278793068297664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3E-435B-8B46-DF9397D54CE2}"/>
            </c:ext>
          </c:extLst>
        </c:ser>
        <c:ser>
          <c:idx val="1"/>
          <c:order val="1"/>
          <c:tx>
            <c:strRef>
              <c:f>'Annex E'!$J$22</c:f>
              <c:strCache>
                <c:ptCount val="1"/>
                <c:pt idx="0">
                  <c:v>Lower Limit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'Annex E'!$A$23:$A$28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</c:numCache>
            </c:numRef>
          </c:cat>
          <c:val>
            <c:numRef>
              <c:f>'Annex E'!$J$23:$J$28</c:f>
              <c:numCache>
                <c:formatCode>0.0%</c:formatCode>
                <c:ptCount val="6"/>
                <c:pt idx="0">
                  <c:v>-0.27730158730158733</c:v>
                </c:pt>
                <c:pt idx="1">
                  <c:v>-0.32949640287769782</c:v>
                </c:pt>
                <c:pt idx="2">
                  <c:v>-0.42477007970570202</c:v>
                </c:pt>
                <c:pt idx="3">
                  <c:v>-0.46271758898415166</c:v>
                </c:pt>
                <c:pt idx="4">
                  <c:v>-0.52598259034555528</c:v>
                </c:pt>
                <c:pt idx="5">
                  <c:v>-0.60973496432212027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3E-435B-8B46-DF9397D54CE2}"/>
            </c:ext>
          </c:extLst>
        </c:ser>
        <c:ser>
          <c:idx val="2"/>
          <c:order val="2"/>
          <c:tx>
            <c:strRef>
              <c:f>'Annex E'!$K$22</c:f>
              <c:strCache>
                <c:ptCount val="1"/>
                <c:pt idx="0">
                  <c:v>Upper Limit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'Annex E'!$A$23:$A$28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</c:numCache>
            </c:numRef>
          </c:cat>
          <c:val>
            <c:numRef>
              <c:f>'Annex E'!$K$23:$K$28</c:f>
              <c:numCache>
                <c:formatCode>0.0%</c:formatCode>
                <c:ptCount val="6"/>
                <c:pt idx="0">
                  <c:v>0.38301587301587303</c:v>
                </c:pt>
                <c:pt idx="1">
                  <c:v>0.49151079136690645</c:v>
                </c:pt>
                <c:pt idx="2">
                  <c:v>0.73758430410790921</c:v>
                </c:pt>
                <c:pt idx="3">
                  <c:v>0.86152247336970655</c:v>
                </c:pt>
                <c:pt idx="4">
                  <c:v>1.1089422316011606</c:v>
                </c:pt>
                <c:pt idx="5">
                  <c:v>1.5616717635066262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3E-435B-8B46-DF9397D54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564496"/>
        <c:axId val="642555376"/>
      </c:lineChart>
      <c:catAx>
        <c:axId val="642564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555376"/>
        <c:crosses val="autoZero"/>
        <c:auto val="1"/>
        <c:lblAlgn val="ctr"/>
        <c:lblOffset val="100"/>
        <c:noMultiLvlLbl val="0"/>
      </c:catAx>
      <c:valAx>
        <c:axId val="64255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564496"/>
        <c:crosses val="autoZero"/>
        <c:crossBetween val="between"/>
        <c:majorUnit val="0.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'Annex E'!$I$22</c:f>
              <c:strCache>
                <c:ptCount val="1"/>
                <c:pt idx="0">
                  <c:v>Deviation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'Annex E'!$A$23:$A$28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</c:numCache>
            </c:numRef>
          </c:cat>
          <c:val>
            <c:numRef>
              <c:f>'Annex E'!$I$23:$I$28</c:f>
              <c:numCache>
                <c:formatCode>0.0%</c:formatCode>
                <c:ptCount val="6"/>
                <c:pt idx="0">
                  <c:v>-9.1642116997354459E-2</c:v>
                </c:pt>
                <c:pt idx="1">
                  <c:v>-0.13461232570743398</c:v>
                </c:pt>
                <c:pt idx="2">
                  <c:v>-7.6337741467402465E-2</c:v>
                </c:pt>
                <c:pt idx="3">
                  <c:v>3.379045152420538E-2</c:v>
                </c:pt>
                <c:pt idx="4">
                  <c:v>8.8001832190274965E-2</c:v>
                </c:pt>
                <c:pt idx="5">
                  <c:v>0.16278793068297664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3E-435B-8B46-DF9397D54CE2}"/>
            </c:ext>
          </c:extLst>
        </c:ser>
        <c:ser>
          <c:idx val="1"/>
          <c:order val="1"/>
          <c:tx>
            <c:strRef>
              <c:f>'Annex E'!$J$22</c:f>
              <c:strCache>
                <c:ptCount val="1"/>
                <c:pt idx="0">
                  <c:v>Lower Limit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'Annex E'!$A$23:$A$28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</c:numCache>
            </c:numRef>
          </c:cat>
          <c:val>
            <c:numRef>
              <c:f>'Annex E'!$J$23:$J$28</c:f>
              <c:numCache>
                <c:formatCode>0.0%</c:formatCode>
                <c:ptCount val="6"/>
                <c:pt idx="0">
                  <c:v>-0.27730158730158733</c:v>
                </c:pt>
                <c:pt idx="1">
                  <c:v>-0.32949640287769782</c:v>
                </c:pt>
                <c:pt idx="2">
                  <c:v>-0.42477007970570202</c:v>
                </c:pt>
                <c:pt idx="3">
                  <c:v>-0.46271758898415166</c:v>
                </c:pt>
                <c:pt idx="4">
                  <c:v>-0.52598259034555528</c:v>
                </c:pt>
                <c:pt idx="5">
                  <c:v>-0.60973496432212027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3E-435B-8B46-DF9397D54CE2}"/>
            </c:ext>
          </c:extLst>
        </c:ser>
        <c:ser>
          <c:idx val="2"/>
          <c:order val="2"/>
          <c:tx>
            <c:strRef>
              <c:f>'Annex E'!$K$22</c:f>
              <c:strCache>
                <c:ptCount val="1"/>
                <c:pt idx="0">
                  <c:v>Upper Limit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'Annex E'!$A$23:$A$28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</c:numCache>
            </c:numRef>
          </c:cat>
          <c:val>
            <c:numRef>
              <c:f>'Annex E'!$K$23:$K$28</c:f>
              <c:numCache>
                <c:formatCode>0.0%</c:formatCode>
                <c:ptCount val="6"/>
                <c:pt idx="0">
                  <c:v>0.38301587301587303</c:v>
                </c:pt>
                <c:pt idx="1">
                  <c:v>0.49151079136690645</c:v>
                </c:pt>
                <c:pt idx="2">
                  <c:v>0.73758430410790921</c:v>
                </c:pt>
                <c:pt idx="3">
                  <c:v>0.86152247336970655</c:v>
                </c:pt>
                <c:pt idx="4">
                  <c:v>1.1089422316011606</c:v>
                </c:pt>
                <c:pt idx="5">
                  <c:v>1.5616717635066262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3E-435B-8B46-DF9397D54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564496"/>
        <c:axId val="642555376"/>
      </c:lineChart>
      <c:catAx>
        <c:axId val="642564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555376"/>
        <c:crosses val="autoZero"/>
        <c:auto val="1"/>
        <c:lblAlgn val="ctr"/>
        <c:lblOffset val="100"/>
        <c:noMultiLvlLbl val="0"/>
      </c:catAx>
      <c:valAx>
        <c:axId val="64255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564496"/>
        <c:crosses val="autoZero"/>
        <c:crossBetween val="between"/>
        <c:majorUnit val="0.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595312</xdr:colOff>
      <xdr:row>1</xdr:row>
      <xdr:rowOff>20411</xdr:rowOff>
    </xdr:from>
    <xdr:to>
      <xdr:col>10</xdr:col>
      <xdr:colOff>227920</xdr:colOff>
      <xdr:row>20</xdr:row>
      <xdr:rowOff>13607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C0C3DD5-9E5F-578E-E2ED-70813485FA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574902</xdr:colOff>
      <xdr:row>1</xdr:row>
      <xdr:rowOff>47625</xdr:rowOff>
    </xdr:from>
    <xdr:to>
      <xdr:col>10</xdr:col>
      <xdr:colOff>207510</xdr:colOff>
      <xdr:row>20</xdr:row>
      <xdr:rowOff>40821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AA0232D-BD83-6086-4408-710F8D1A86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BE6E1-8DDB-43AD-AA42-DA78302BC685}">
  <sheetPr codeName="Sheet13"/>
  <dimension ref="A1:AW71"/>
  <sheetViews>
    <sheetView zoomScale="85" zoomScaleNormal="85" workbookViewId="0">
      <selection activeCell="K9" sqref="K9"/>
    </sheetView>
  </sheetViews>
  <sheetFormatPr defaultColWidth="11.53125" defaultRowHeight="12.75" x14ac:dyDescent="0.35"/>
  <sheetData>
    <row r="1" spans="1:49" x14ac:dyDescent="0.35">
      <c r="A1" t="s">
        <v>0</v>
      </c>
    </row>
    <row r="3" spans="1:49" ht="40.15" x14ac:dyDescent="1.05">
      <c r="A3" s="9" t="s">
        <v>13</v>
      </c>
      <c r="D3" s="9" t="s">
        <v>16</v>
      </c>
    </row>
    <row r="4" spans="1:49" x14ac:dyDescent="0.35">
      <c r="A4" s="11">
        <v>46016</v>
      </c>
    </row>
    <row r="5" spans="1:49" x14ac:dyDescent="0.35">
      <c r="A5" t="s">
        <v>19</v>
      </c>
    </row>
    <row r="6" spans="1:49" ht="13.15" x14ac:dyDescent="0.4">
      <c r="B6" s="1"/>
      <c r="C6" s="1"/>
      <c r="D6" s="1"/>
      <c r="E6" s="1"/>
      <c r="F6" s="1"/>
    </row>
    <row r="7" spans="1:49" ht="14.65" x14ac:dyDescent="0.5">
      <c r="B7" s="2" t="s">
        <v>1</v>
      </c>
      <c r="C7" s="2" t="s">
        <v>2</v>
      </c>
      <c r="D7" s="2" t="s">
        <v>3</v>
      </c>
      <c r="E7" s="2" t="s">
        <v>4</v>
      </c>
      <c r="F7" s="2" t="s">
        <v>5</v>
      </c>
      <c r="G7" s="2" t="s">
        <v>6</v>
      </c>
      <c r="H7" s="2" t="s">
        <v>7</v>
      </c>
      <c r="I7" s="2" t="s">
        <v>8</v>
      </c>
      <c r="J7" s="2" t="s">
        <v>9</v>
      </c>
      <c r="K7" s="2" t="s">
        <v>10</v>
      </c>
      <c r="M7" s="2"/>
    </row>
    <row r="8" spans="1:49" ht="13.15" x14ac:dyDescent="0.4">
      <c r="A8" s="3" t="s">
        <v>11</v>
      </c>
      <c r="B8">
        <v>7.9410809999999996</v>
      </c>
      <c r="C8">
        <v>8.5984940000000005</v>
      </c>
      <c r="D8">
        <v>8.5434020000000004</v>
      </c>
      <c r="E8">
        <v>8.5981009999999998</v>
      </c>
      <c r="F8">
        <v>8.6309620000000002</v>
      </c>
      <c r="G8" s="4"/>
      <c r="H8" s="4">
        <f>AVERAGE(B$8:F$8)*5</f>
        <v>42.312039999999996</v>
      </c>
      <c r="I8" s="5"/>
      <c r="K8" s="5"/>
    </row>
    <row r="9" spans="1:49" ht="13.15" x14ac:dyDescent="0.4">
      <c r="A9" s="3" t="s">
        <v>12</v>
      </c>
      <c r="B9">
        <v>6039.2280270000001</v>
      </c>
      <c r="C9">
        <v>6091.1831050000001</v>
      </c>
      <c r="D9">
        <v>6070.064453</v>
      </c>
      <c r="E9">
        <v>5781.5092770000001</v>
      </c>
      <c r="G9" s="6">
        <f>AVERAGE(B9:F9)</f>
        <v>5995.4962155000003</v>
      </c>
      <c r="H9" s="7">
        <f t="shared" ref="H9:H15" si="0">G9*H$8</f>
        <v>253681.67569008461</v>
      </c>
      <c r="I9" s="8">
        <f t="shared" ref="I9:I15" si="1">STDEVP(B9:F9)/AVERAGE(B9:F9)</f>
        <v>2.0835516108185799E-2</v>
      </c>
      <c r="J9" s="8">
        <f t="shared" ref="J9:J15" si="2">IF(H9&gt;$A$21, $C$21, IF(H9&gt;$A$22, $C$22, IF(H9&gt;$A$23,$C$23,IF(H9&gt;$A$24,$C$24, IF(H9&gt;$A$25,$C$25,IF(H9&gt;$A$26,$C$26,$C$27))))))/100</f>
        <v>0.11</v>
      </c>
      <c r="K9" s="8">
        <f t="shared" ref="K9:K15" si="3">(MAX(B9:F9)-MIN(B9:F9))/G9</f>
        <v>5.1651075552246746E-2</v>
      </c>
    </row>
    <row r="10" spans="1:49" ht="13.15" x14ac:dyDescent="0.4">
      <c r="A10" s="3" t="s">
        <v>14</v>
      </c>
      <c r="B10">
        <v>3148.8156739999999</v>
      </c>
      <c r="C10">
        <v>3212.423096</v>
      </c>
      <c r="D10">
        <v>3222.6040039999998</v>
      </c>
      <c r="E10">
        <v>3032.0649410000001</v>
      </c>
      <c r="G10" s="6">
        <f t="shared" ref="G10:G15" si="4">AVERAGE(B10:F10)</f>
        <v>3153.9769287500003</v>
      </c>
      <c r="H10" s="10">
        <f t="shared" si="0"/>
        <v>133451.19796834714</v>
      </c>
      <c r="I10" s="5">
        <f t="shared" si="1"/>
        <v>2.4050001422727875E-2</v>
      </c>
      <c r="J10" s="5">
        <f t="shared" si="2"/>
        <v>0.11</v>
      </c>
      <c r="K10" s="8">
        <f t="shared" si="3"/>
        <v>6.0412319843923236E-2</v>
      </c>
    </row>
    <row r="11" spans="1:49" ht="13.15" x14ac:dyDescent="0.4">
      <c r="A11" s="3" t="s">
        <v>15</v>
      </c>
      <c r="B11">
        <v>1553.440918</v>
      </c>
      <c r="C11">
        <v>1619.4697269999999</v>
      </c>
      <c r="D11">
        <v>1580.5179439999999</v>
      </c>
      <c r="E11">
        <v>1529.4075929999999</v>
      </c>
      <c r="G11" s="6">
        <f t="shared" si="4"/>
        <v>1570.7090455</v>
      </c>
      <c r="H11" s="10">
        <f t="shared" si="0"/>
        <v>66459.903961557808</v>
      </c>
      <c r="I11" s="5">
        <f t="shared" si="1"/>
        <v>2.1301364216559968E-2</v>
      </c>
      <c r="J11" s="5">
        <f t="shared" si="2"/>
        <v>0.11</v>
      </c>
      <c r="K11" s="8">
        <f t="shared" si="3"/>
        <v>5.7338521260842906E-2</v>
      </c>
    </row>
    <row r="12" spans="1:49" ht="13.15" x14ac:dyDescent="0.4">
      <c r="A12" s="3" t="s">
        <v>17</v>
      </c>
      <c r="B12">
        <v>810.09118699999999</v>
      </c>
      <c r="C12">
        <v>845.72955300000001</v>
      </c>
      <c r="D12">
        <v>836.08380099999999</v>
      </c>
      <c r="E12">
        <v>813.20288100000005</v>
      </c>
      <c r="G12" s="6">
        <f t="shared" si="4"/>
        <v>826.27685550000001</v>
      </c>
      <c r="H12" s="10">
        <f t="shared" si="0"/>
        <v>34961.459360990215</v>
      </c>
      <c r="I12" s="5">
        <f t="shared" si="1"/>
        <v>1.8229087606000154E-2</v>
      </c>
      <c r="J12" s="5">
        <f t="shared" si="2"/>
        <v>0.11</v>
      </c>
      <c r="K12" s="8">
        <f t="shared" si="3"/>
        <v>4.3131264978291554E-2</v>
      </c>
    </row>
    <row r="13" spans="1:49" ht="13.15" x14ac:dyDescent="0.4">
      <c r="A13" s="3" t="s">
        <v>18</v>
      </c>
      <c r="B13">
        <v>413.29385400000001</v>
      </c>
      <c r="C13">
        <v>437.51849399999998</v>
      </c>
      <c r="D13">
        <v>421.14370700000001</v>
      </c>
      <c r="E13">
        <v>415.78949</v>
      </c>
      <c r="G13" s="6">
        <f t="shared" si="4"/>
        <v>421.93638624999994</v>
      </c>
      <c r="H13" s="10">
        <f t="shared" si="0"/>
        <v>17852.989252465446</v>
      </c>
      <c r="I13" s="5">
        <f t="shared" si="1"/>
        <v>2.2355890477926382E-2</v>
      </c>
      <c r="J13" s="5">
        <f t="shared" si="2"/>
        <v>0.11</v>
      </c>
      <c r="K13" s="8">
        <f t="shared" si="3"/>
        <v>5.7413014827421671E-2</v>
      </c>
    </row>
    <row r="14" spans="1:49" ht="13.15" x14ac:dyDescent="0.4">
      <c r="A14" s="3" t="s">
        <v>20</v>
      </c>
      <c r="B14">
        <v>226.92124899999999</v>
      </c>
      <c r="C14">
        <v>239.576843</v>
      </c>
      <c r="D14">
        <v>228.01222200000001</v>
      </c>
      <c r="E14">
        <v>230.86494400000001</v>
      </c>
      <c r="G14" s="6">
        <f t="shared" si="4"/>
        <v>231.34381450000001</v>
      </c>
      <c r="H14" s="12">
        <f t="shared" si="0"/>
        <v>9788.6287328765793</v>
      </c>
      <c r="I14" s="13">
        <f t="shared" si="1"/>
        <v>2.1468719884031467E-2</v>
      </c>
      <c r="J14" s="13">
        <f t="shared" si="2"/>
        <v>0.113</v>
      </c>
      <c r="K14" s="8">
        <f t="shared" si="3"/>
        <v>5.4704700133661917E-2</v>
      </c>
      <c r="M14" s="14"/>
    </row>
    <row r="15" spans="1:49" ht="13.15" x14ac:dyDescent="0.4">
      <c r="A15" s="3" t="s">
        <v>21</v>
      </c>
      <c r="B15">
        <v>142.04615799999999</v>
      </c>
      <c r="C15">
        <v>148.51438899999999</v>
      </c>
      <c r="D15">
        <v>143.15141299999999</v>
      </c>
      <c r="E15">
        <v>144.683121</v>
      </c>
      <c r="G15" s="6">
        <f t="shared" si="4"/>
        <v>144.59877025</v>
      </c>
      <c r="H15" s="10">
        <f t="shared" si="0"/>
        <v>6118.2689507688092</v>
      </c>
      <c r="I15" s="5">
        <f t="shared" si="1"/>
        <v>1.6922201894055643E-2</v>
      </c>
      <c r="J15" s="5">
        <f t="shared" si="2"/>
        <v>0.113</v>
      </c>
      <c r="K15" s="8">
        <f t="shared" si="3"/>
        <v>4.4732268392164994E-2</v>
      </c>
      <c r="M15" s="14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</row>
    <row r="16" spans="1:49" ht="13.15" x14ac:dyDescent="0.4">
      <c r="A16" s="3"/>
      <c r="G16" s="15"/>
      <c r="H16" s="10"/>
      <c r="I16" s="5"/>
      <c r="J16" s="5"/>
      <c r="K16" s="5"/>
      <c r="M16" s="14"/>
      <c r="P16" s="1"/>
      <c r="Q16" s="1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</row>
    <row r="17" spans="1:49" ht="13.15" x14ac:dyDescent="0.4">
      <c r="A17" s="3"/>
      <c r="G17" s="15"/>
      <c r="H17" s="10"/>
      <c r="I17" s="5"/>
      <c r="J17" s="5"/>
      <c r="K17" s="5"/>
      <c r="M17" s="14"/>
      <c r="P17" s="1"/>
      <c r="Q17" s="1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</row>
    <row r="18" spans="1:49" ht="13.5" thickBot="1" x14ac:dyDescent="0.45">
      <c r="A18" t="s">
        <v>22</v>
      </c>
      <c r="I18" s="5"/>
      <c r="J18" s="5"/>
      <c r="K18" s="5"/>
      <c r="M18" s="14"/>
      <c r="P18" s="1"/>
      <c r="Q18" s="1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</row>
    <row r="19" spans="1:49" ht="15" x14ac:dyDescent="0.5">
      <c r="A19" s="16"/>
      <c r="B19" s="17" t="s">
        <v>23</v>
      </c>
      <c r="C19" s="16"/>
      <c r="D19" s="18" t="s">
        <v>24</v>
      </c>
      <c r="E19" s="19"/>
      <c r="F19" s="19"/>
      <c r="G19" s="19"/>
      <c r="H19" s="20"/>
      <c r="I19" s="5"/>
      <c r="J19" s="5"/>
      <c r="K19" s="50" t="s">
        <v>72</v>
      </c>
      <c r="L19" s="51"/>
      <c r="M19" s="51"/>
      <c r="N19" s="52"/>
      <c r="P19" s="1" t="s">
        <v>73</v>
      </c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</row>
    <row r="20" spans="1:49" ht="15" x14ac:dyDescent="0.5">
      <c r="A20" s="21" t="s">
        <v>25</v>
      </c>
      <c r="B20" s="22" t="s">
        <v>26</v>
      </c>
      <c r="C20" s="21" t="s">
        <v>27</v>
      </c>
      <c r="D20" s="21" t="s">
        <v>28</v>
      </c>
      <c r="E20" s="22" t="s">
        <v>29</v>
      </c>
      <c r="F20" s="22" t="s">
        <v>30</v>
      </c>
      <c r="G20" s="22" t="s">
        <v>31</v>
      </c>
      <c r="H20" s="23" t="s">
        <v>32</v>
      </c>
      <c r="I20" s="5"/>
      <c r="J20" s="5"/>
      <c r="K20" s="53" t="s">
        <v>74</v>
      </c>
      <c r="L20" s="54"/>
      <c r="M20" s="55">
        <v>100</v>
      </c>
      <c r="N20" s="56" t="s">
        <v>75</v>
      </c>
      <c r="P20" t="s">
        <v>76</v>
      </c>
      <c r="R20" s="1">
        <v>250</v>
      </c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</row>
    <row r="21" spans="1:49" ht="13.9" x14ac:dyDescent="0.4">
      <c r="A21" s="24">
        <v>10000</v>
      </c>
      <c r="C21" s="24">
        <v>11</v>
      </c>
      <c r="D21" s="24">
        <v>7.8</v>
      </c>
      <c r="E21">
        <v>5.3</v>
      </c>
      <c r="F21">
        <v>4</v>
      </c>
      <c r="G21">
        <v>2.7</v>
      </c>
      <c r="H21" s="25">
        <v>1.8</v>
      </c>
      <c r="I21" s="5"/>
      <c r="J21" s="5"/>
      <c r="K21" s="53" t="s">
        <v>77</v>
      </c>
      <c r="M21" s="55">
        <v>500</v>
      </c>
      <c r="N21" s="56" t="s">
        <v>49</v>
      </c>
      <c r="P21" t="s">
        <v>78</v>
      </c>
      <c r="R21" s="1">
        <v>1000</v>
      </c>
      <c r="S21" s="2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</row>
    <row r="22" spans="1:49" ht="13.9" x14ac:dyDescent="0.4">
      <c r="A22" s="24">
        <v>5000</v>
      </c>
      <c r="B22">
        <v>10000</v>
      </c>
      <c r="C22" s="24">
        <v>11.3</v>
      </c>
      <c r="D22" s="24">
        <v>7.8</v>
      </c>
      <c r="E22">
        <v>5.3</v>
      </c>
      <c r="F22">
        <v>4</v>
      </c>
      <c r="G22">
        <v>2.7</v>
      </c>
      <c r="H22" s="25">
        <v>1.9</v>
      </c>
      <c r="I22" s="5"/>
      <c r="J22" s="5"/>
      <c r="K22" s="53" t="s">
        <v>79</v>
      </c>
      <c r="M22" s="57">
        <v>1</v>
      </c>
      <c r="N22" s="56" t="s">
        <v>75</v>
      </c>
      <c r="P22" t="s">
        <v>80</v>
      </c>
      <c r="R22" s="1">
        <f>R21*R20/1000</f>
        <v>250</v>
      </c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x14ac:dyDescent="0.35">
      <c r="A23" s="24">
        <v>2000</v>
      </c>
      <c r="B23">
        <v>5000</v>
      </c>
      <c r="C23" s="24">
        <v>11.9</v>
      </c>
      <c r="D23" s="24">
        <v>7.9</v>
      </c>
      <c r="E23">
        <v>5.4</v>
      </c>
      <c r="F23">
        <v>4.0999999999999996</v>
      </c>
      <c r="G23">
        <v>2.9</v>
      </c>
      <c r="H23" s="25">
        <v>2.1</v>
      </c>
      <c r="I23" s="5"/>
      <c r="J23" s="5"/>
      <c r="K23" s="53"/>
      <c r="N23" s="56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1:49" ht="13.9" x14ac:dyDescent="0.4">
      <c r="A24" s="24">
        <v>1000</v>
      </c>
      <c r="B24">
        <v>2000</v>
      </c>
      <c r="C24" s="24">
        <v>13.4</v>
      </c>
      <c r="D24" s="24">
        <v>8</v>
      </c>
      <c r="E24">
        <v>5.6</v>
      </c>
      <c r="F24">
        <v>4.3</v>
      </c>
      <c r="G24">
        <v>3.1</v>
      </c>
      <c r="H24" s="25">
        <v>2.4</v>
      </c>
      <c r="I24" s="5"/>
      <c r="J24" s="5"/>
      <c r="K24" s="53" t="s">
        <v>81</v>
      </c>
      <c r="M24" s="58">
        <f>M22/M20*M21</f>
        <v>5</v>
      </c>
      <c r="N24" s="56" t="s">
        <v>49</v>
      </c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</row>
    <row r="25" spans="1:49" ht="13.9" x14ac:dyDescent="0.4">
      <c r="A25" s="24">
        <v>500</v>
      </c>
      <c r="B25">
        <v>1000</v>
      </c>
      <c r="C25" s="24">
        <v>15.6</v>
      </c>
      <c r="D25" s="24">
        <v>8.1999999999999993</v>
      </c>
      <c r="E25">
        <v>5.9</v>
      </c>
      <c r="F25">
        <v>4.7</v>
      </c>
      <c r="G25">
        <v>3.6</v>
      </c>
      <c r="H25" s="25">
        <v>2.9</v>
      </c>
      <c r="I25" s="5"/>
      <c r="J25" s="5"/>
      <c r="K25" s="53" t="s">
        <v>82</v>
      </c>
      <c r="M25" s="59">
        <f>M21*(1-M22/M20)</f>
        <v>495</v>
      </c>
      <c r="N25" s="56" t="s">
        <v>49</v>
      </c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</row>
    <row r="26" spans="1:49" ht="13.15" thickBot="1" x14ac:dyDescent="0.4">
      <c r="A26" s="24">
        <v>200</v>
      </c>
      <c r="B26">
        <v>500</v>
      </c>
      <c r="C26" s="24">
        <v>19.3</v>
      </c>
      <c r="D26" s="24">
        <v>8.9</v>
      </c>
      <c r="E26">
        <v>6.8</v>
      </c>
      <c r="F26">
        <v>5.7</v>
      </c>
      <c r="G26">
        <v>4.7</v>
      </c>
      <c r="H26" s="25">
        <v>4.0999999999999996</v>
      </c>
      <c r="I26" s="5"/>
      <c r="J26" s="5"/>
      <c r="K26" s="60"/>
      <c r="L26" s="61"/>
      <c r="M26" s="61"/>
      <c r="N26" s="62"/>
    </row>
    <row r="27" spans="1:49" x14ac:dyDescent="0.35">
      <c r="A27" s="28">
        <v>100</v>
      </c>
      <c r="B27" s="29">
        <v>200</v>
      </c>
      <c r="C27" s="28">
        <v>27.5</v>
      </c>
      <c r="D27" s="28">
        <v>10</v>
      </c>
      <c r="E27" s="29">
        <v>8</v>
      </c>
      <c r="F27" s="29">
        <v>7</v>
      </c>
      <c r="G27" s="29">
        <v>6.1</v>
      </c>
      <c r="H27" s="30">
        <v>5.5</v>
      </c>
      <c r="I27" s="5"/>
      <c r="J27" s="5"/>
    </row>
    <row r="28" spans="1:49" ht="13.15" x14ac:dyDescent="0.4">
      <c r="A28" s="3"/>
      <c r="G28" s="15"/>
      <c r="H28" s="10"/>
      <c r="I28" s="5"/>
      <c r="J28" s="5"/>
      <c r="K28" s="1" t="s">
        <v>83</v>
      </c>
    </row>
    <row r="29" spans="1:49" ht="13.15" x14ac:dyDescent="0.4">
      <c r="A29" s="3"/>
      <c r="G29" s="15"/>
      <c r="H29" s="10"/>
      <c r="I29" s="5"/>
      <c r="J29" s="5"/>
      <c r="K29" t="s">
        <v>84</v>
      </c>
      <c r="L29" s="54"/>
      <c r="M29" s="2">
        <v>100</v>
      </c>
    </row>
    <row r="30" spans="1:49" ht="13.15" x14ac:dyDescent="0.4">
      <c r="A30" s="3"/>
      <c r="G30" s="15"/>
      <c r="H30" s="10"/>
      <c r="I30" s="5"/>
      <c r="J30" s="5"/>
      <c r="K30" t="s">
        <v>85</v>
      </c>
      <c r="M30" s="2">
        <v>500</v>
      </c>
    </row>
    <row r="31" spans="1:49" ht="13.15" x14ac:dyDescent="0.4">
      <c r="A31" s="3" t="s">
        <v>91</v>
      </c>
      <c r="B31" s="3" t="s">
        <v>11</v>
      </c>
      <c r="C31" s="3" t="s">
        <v>12</v>
      </c>
      <c r="D31" s="3" t="s">
        <v>14</v>
      </c>
      <c r="E31" s="3" t="s">
        <v>15</v>
      </c>
      <c r="F31" s="3" t="s">
        <v>17</v>
      </c>
      <c r="G31" s="3" t="s">
        <v>18</v>
      </c>
      <c r="H31" s="3" t="s">
        <v>20</v>
      </c>
      <c r="I31" s="5" t="s">
        <v>21</v>
      </c>
      <c r="J31" s="5"/>
      <c r="K31" t="s">
        <v>86</v>
      </c>
      <c r="M31" s="63">
        <v>6.5</v>
      </c>
    </row>
    <row r="32" spans="1:49" x14ac:dyDescent="0.35">
      <c r="A32" s="66">
        <v>1</v>
      </c>
      <c r="B32" s="66">
        <v>8.1256740000000001</v>
      </c>
      <c r="C32" s="66">
        <v>3014.8881839999999</v>
      </c>
      <c r="D32" s="66">
        <v>1499.8139650000001</v>
      </c>
      <c r="E32" s="66">
        <v>729.78558299999997</v>
      </c>
      <c r="F32" s="66">
        <v>362.800659</v>
      </c>
      <c r="G32" s="66">
        <v>171.43193099999999</v>
      </c>
      <c r="H32" s="66">
        <v>83.439232000000004</v>
      </c>
      <c r="I32" s="5">
        <v>44.304015999999997</v>
      </c>
      <c r="J32" s="5"/>
      <c r="K32" t="s">
        <v>81</v>
      </c>
      <c r="M32">
        <f>M31*M30/M29</f>
        <v>32.5</v>
      </c>
    </row>
    <row r="33" spans="1:13" ht="13.15" x14ac:dyDescent="0.4">
      <c r="A33" s="66">
        <v>2</v>
      </c>
      <c r="B33" s="66">
        <v>8.7935700000000008</v>
      </c>
      <c r="C33" s="66">
        <v>3135.2456050000001</v>
      </c>
      <c r="D33" s="66">
        <v>1568.418823</v>
      </c>
      <c r="E33" s="66">
        <v>741.90576199999998</v>
      </c>
      <c r="F33" s="66">
        <v>376.52514600000001</v>
      </c>
      <c r="G33" s="66">
        <v>183.202057</v>
      </c>
      <c r="H33" s="66">
        <v>88.701179999999994</v>
      </c>
      <c r="I33" s="5">
        <v>49.467964000000002</v>
      </c>
      <c r="J33" s="5"/>
      <c r="K33" t="s">
        <v>87</v>
      </c>
      <c r="M33" s="1">
        <v>3.27</v>
      </c>
    </row>
    <row r="34" spans="1:13" x14ac:dyDescent="0.35">
      <c r="A34" s="66">
        <v>3</v>
      </c>
      <c r="B34" s="66">
        <v>8.7506780000000006</v>
      </c>
      <c r="C34" s="66">
        <v>3053.9348140000002</v>
      </c>
      <c r="D34" s="66">
        <v>1520.1107179999999</v>
      </c>
      <c r="E34" s="66">
        <v>736.628601</v>
      </c>
      <c r="F34" s="66">
        <v>365.91449</v>
      </c>
      <c r="G34" s="66">
        <v>171.30100999999999</v>
      </c>
      <c r="H34" s="66">
        <v>82.964995999999999</v>
      </c>
      <c r="I34" s="5">
        <v>42.282435999999997</v>
      </c>
      <c r="J34" s="5"/>
      <c r="K34" t="s">
        <v>88</v>
      </c>
      <c r="M34" s="64">
        <f>M33*M29/(M30+M33)</f>
        <v>0.64975063087408347</v>
      </c>
    </row>
    <row r="35" spans="1:13" x14ac:dyDescent="0.35">
      <c r="A35" s="66">
        <v>4</v>
      </c>
      <c r="B35" s="66">
        <v>8.7961189999999991</v>
      </c>
      <c r="C35" s="66">
        <v>3026.4484859999998</v>
      </c>
      <c r="D35" s="66">
        <v>1513.394775</v>
      </c>
      <c r="E35" s="66">
        <v>728.50311299999998</v>
      </c>
      <c r="F35" s="66">
        <v>365.16104100000001</v>
      </c>
      <c r="G35" s="66">
        <v>176.32777400000001</v>
      </c>
      <c r="H35" s="66">
        <v>80.717421999999999</v>
      </c>
      <c r="I35" s="5">
        <v>39.903964999999999</v>
      </c>
      <c r="J35" s="5"/>
      <c r="K35" s="5"/>
      <c r="M35" s="14"/>
    </row>
    <row r="36" spans="1:13" x14ac:dyDescent="0.35">
      <c r="A36" s="66">
        <v>5</v>
      </c>
      <c r="B36" s="66">
        <v>8.7985220000000002</v>
      </c>
      <c r="C36" s="66">
        <v>3021.9848630000001</v>
      </c>
      <c r="D36" s="66">
        <v>1541.963501</v>
      </c>
      <c r="E36" s="66">
        <v>742.39739999999995</v>
      </c>
      <c r="F36" s="66">
        <v>365.51593000000003</v>
      </c>
      <c r="G36" s="66">
        <v>173.09726000000001</v>
      </c>
      <c r="H36" s="66">
        <v>82.627517999999995</v>
      </c>
      <c r="I36" s="5">
        <v>43.189072000000003</v>
      </c>
      <c r="J36" s="5"/>
      <c r="K36" s="5"/>
      <c r="M36" s="14"/>
    </row>
    <row r="37" spans="1:13" x14ac:dyDescent="0.35">
      <c r="A37">
        <v>1</v>
      </c>
      <c r="B37">
        <v>7.9949399999999997</v>
      </c>
      <c r="C37">
        <v>4883.2133789999998</v>
      </c>
      <c r="D37">
        <v>2478.0673830000001</v>
      </c>
      <c r="E37">
        <v>1195.631226</v>
      </c>
      <c r="F37">
        <v>584.11944600000004</v>
      </c>
      <c r="G37">
        <v>268.79501299999998</v>
      </c>
      <c r="H37">
        <v>125.204185</v>
      </c>
      <c r="I37" s="5">
        <v>65.416374000000005</v>
      </c>
      <c r="J37" s="5"/>
      <c r="K37" s="5"/>
    </row>
    <row r="38" spans="1:13" x14ac:dyDescent="0.35">
      <c r="A38">
        <v>2</v>
      </c>
      <c r="B38">
        <v>8.6560260000000007</v>
      </c>
      <c r="C38">
        <v>5226.4169920000004</v>
      </c>
      <c r="D38">
        <v>2666.350586</v>
      </c>
      <c r="E38">
        <v>1261.6644289999999</v>
      </c>
      <c r="F38">
        <v>623.149719</v>
      </c>
      <c r="G38">
        <v>290.43350199999998</v>
      </c>
      <c r="H38">
        <v>133.77963299999999</v>
      </c>
      <c r="I38" s="5">
        <v>71.164299</v>
      </c>
      <c r="J38" s="5"/>
      <c r="K38" s="5"/>
    </row>
    <row r="39" spans="1:13" x14ac:dyDescent="0.35">
      <c r="A39">
        <v>3</v>
      </c>
      <c r="B39">
        <v>8.5920900000000007</v>
      </c>
      <c r="C39">
        <v>5042.3125</v>
      </c>
      <c r="D39">
        <v>2561.4257809999999</v>
      </c>
      <c r="E39">
        <v>1218.679077</v>
      </c>
      <c r="F39">
        <v>604.27673300000004</v>
      </c>
      <c r="G39">
        <v>278.74475100000001</v>
      </c>
      <c r="H39">
        <v>129.18859900000001</v>
      </c>
      <c r="I39">
        <v>66.922020000000003</v>
      </c>
    </row>
    <row r="40" spans="1:13" x14ac:dyDescent="0.35">
      <c r="A40">
        <v>4</v>
      </c>
      <c r="B40">
        <v>8.6572580000000006</v>
      </c>
      <c r="C40">
        <v>5108.1992190000001</v>
      </c>
      <c r="D40">
        <v>2598.2822270000001</v>
      </c>
      <c r="E40">
        <v>1240.2310789999999</v>
      </c>
      <c r="F40">
        <v>610.00836200000003</v>
      </c>
      <c r="G40">
        <v>288.659515</v>
      </c>
      <c r="H40">
        <v>136.30181899999999</v>
      </c>
      <c r="I40">
        <v>70.923148999999995</v>
      </c>
    </row>
    <row r="41" spans="1:13" x14ac:dyDescent="0.35">
      <c r="A41">
        <v>5</v>
      </c>
      <c r="B41">
        <v>8.6539260000000002</v>
      </c>
      <c r="C41">
        <v>5023.1538090000004</v>
      </c>
      <c r="D41">
        <v>2581.7185060000002</v>
      </c>
      <c r="E41">
        <v>1231.1175539999999</v>
      </c>
      <c r="F41">
        <v>602.61669900000004</v>
      </c>
      <c r="G41">
        <v>275.59747299999998</v>
      </c>
      <c r="H41">
        <v>128.149933</v>
      </c>
      <c r="I41">
        <v>67.714934999999997</v>
      </c>
    </row>
    <row r="42" spans="1:13" x14ac:dyDescent="0.35">
      <c r="A42">
        <v>1</v>
      </c>
      <c r="B42">
        <v>7.9932239999999997</v>
      </c>
      <c r="C42">
        <v>5181.638672</v>
      </c>
      <c r="D42">
        <v>2643.7392580000001</v>
      </c>
      <c r="E42">
        <v>1276.3310550000001</v>
      </c>
      <c r="F42">
        <v>631.660034</v>
      </c>
      <c r="G42">
        <v>288.86965900000001</v>
      </c>
      <c r="H42">
        <v>132.487213</v>
      </c>
      <c r="I42">
        <v>65.930840000000003</v>
      </c>
    </row>
    <row r="43" spans="1:13" x14ac:dyDescent="0.35">
      <c r="A43">
        <v>2</v>
      </c>
      <c r="B43">
        <v>8.6095670000000002</v>
      </c>
      <c r="C43">
        <v>5115.9370120000003</v>
      </c>
      <c r="D43">
        <v>2640.6672359999998</v>
      </c>
      <c r="E43">
        <v>1307.2667240000001</v>
      </c>
      <c r="F43">
        <v>669.48779300000001</v>
      </c>
      <c r="G43" s="14">
        <v>338.692993</v>
      </c>
      <c r="H43" s="14">
        <v>186.188232</v>
      </c>
      <c r="I43">
        <v>116.49831399999999</v>
      </c>
    </row>
    <row r="44" spans="1:13" ht="13.15" x14ac:dyDescent="0.4">
      <c r="A44" s="1">
        <v>3</v>
      </c>
      <c r="B44">
        <v>7.7294859999999996</v>
      </c>
      <c r="C44">
        <v>3231.133057</v>
      </c>
      <c r="D44">
        <v>1908.2768550000001</v>
      </c>
      <c r="E44">
        <v>1174.8516850000001</v>
      </c>
      <c r="F44">
        <v>811.17938200000003</v>
      </c>
      <c r="G44">
        <v>608.06109600000002</v>
      </c>
      <c r="H44">
        <v>498.22198500000002</v>
      </c>
      <c r="I44">
        <v>437.415863</v>
      </c>
    </row>
    <row r="45" spans="1:13" x14ac:dyDescent="0.35">
      <c r="A45">
        <v>4</v>
      </c>
      <c r="B45">
        <v>8.6326699999999992</v>
      </c>
      <c r="C45">
        <v>4927.0966799999997</v>
      </c>
      <c r="D45">
        <v>2530.1557619999999</v>
      </c>
      <c r="E45">
        <v>1218.2789310000001</v>
      </c>
      <c r="F45">
        <v>605.37469499999997</v>
      </c>
      <c r="G45">
        <v>282.18383799999998</v>
      </c>
      <c r="H45">
        <v>133.09903</v>
      </c>
      <c r="I45">
        <v>72.283546000000001</v>
      </c>
    </row>
    <row r="46" spans="1:13" x14ac:dyDescent="0.35">
      <c r="A46">
        <v>5</v>
      </c>
      <c r="B46">
        <v>8.6579610000000002</v>
      </c>
      <c r="C46">
        <v>5074.173828</v>
      </c>
      <c r="D46">
        <v>2614.7033689999998</v>
      </c>
      <c r="E46">
        <v>1256.3004149999999</v>
      </c>
      <c r="F46">
        <v>624.74292000000003</v>
      </c>
      <c r="G46">
        <v>286.78808600000002</v>
      </c>
      <c r="H46">
        <v>131.90173300000001</v>
      </c>
      <c r="I46">
        <v>69.069382000000004</v>
      </c>
    </row>
    <row r="47" spans="1:13" x14ac:dyDescent="0.35">
      <c r="A47">
        <v>1</v>
      </c>
      <c r="B47">
        <v>7.9797849999999997</v>
      </c>
      <c r="C47">
        <v>5315.5566410000001</v>
      </c>
      <c r="D47">
        <v>2705.8371579999998</v>
      </c>
      <c r="E47">
        <v>1308.0551760000001</v>
      </c>
      <c r="F47">
        <v>653.27569600000004</v>
      </c>
      <c r="G47">
        <v>294.61944599999998</v>
      </c>
      <c r="H47">
        <v>138.72554</v>
      </c>
      <c r="I47">
        <v>71.931754999999995</v>
      </c>
    </row>
    <row r="48" spans="1:13" x14ac:dyDescent="0.35">
      <c r="A48">
        <v>2</v>
      </c>
      <c r="B48">
        <v>8.6416179999999994</v>
      </c>
      <c r="C48">
        <v>5165.236328</v>
      </c>
      <c r="D48">
        <v>2659.6872560000002</v>
      </c>
      <c r="E48">
        <v>1285.870361</v>
      </c>
      <c r="F48">
        <v>648.37396200000001</v>
      </c>
      <c r="G48">
        <v>298.786652</v>
      </c>
      <c r="H48" s="31">
        <v>140.367233</v>
      </c>
      <c r="I48">
        <v>72.787300000000002</v>
      </c>
    </row>
    <row r="49" spans="1:10" ht="13.15" x14ac:dyDescent="0.4">
      <c r="A49" s="1">
        <v>3</v>
      </c>
      <c r="B49">
        <v>8.5891059999999992</v>
      </c>
      <c r="C49">
        <v>5435.1411129999997</v>
      </c>
      <c r="D49">
        <v>2807.2770999999998</v>
      </c>
      <c r="E49">
        <v>1351.013794</v>
      </c>
      <c r="F49">
        <v>663.16564900000003</v>
      </c>
      <c r="G49">
        <v>307.36611900000003</v>
      </c>
      <c r="H49" s="32">
        <v>151.703812</v>
      </c>
      <c r="I49">
        <v>78.238647</v>
      </c>
    </row>
    <row r="50" spans="1:10" x14ac:dyDescent="0.35">
      <c r="A50">
        <v>4</v>
      </c>
      <c r="B50">
        <v>8.6458980000000007</v>
      </c>
      <c r="C50">
        <v>5112.0195309999999</v>
      </c>
      <c r="D50">
        <v>2628.4140619999998</v>
      </c>
      <c r="E50">
        <v>1287.66272</v>
      </c>
      <c r="F50">
        <v>632.20733600000005</v>
      </c>
      <c r="G50">
        <v>297.135132</v>
      </c>
      <c r="H50">
        <v>140.991714</v>
      </c>
      <c r="I50">
        <v>74.601851999999994</v>
      </c>
    </row>
    <row r="51" spans="1:10" x14ac:dyDescent="0.35">
      <c r="A51">
        <v>5</v>
      </c>
      <c r="B51">
        <v>8.6711790000000004</v>
      </c>
      <c r="C51">
        <v>3920.3435060000002</v>
      </c>
      <c r="D51">
        <v>2040.4376219999999</v>
      </c>
      <c r="E51">
        <v>993.40588400000001</v>
      </c>
      <c r="F51">
        <v>505.00631700000002</v>
      </c>
      <c r="G51">
        <v>236.53070099999999</v>
      </c>
      <c r="H51">
        <v>114.17132599999999</v>
      </c>
      <c r="I51">
        <v>56.855015000000002</v>
      </c>
    </row>
    <row r="52" spans="1:10" x14ac:dyDescent="0.35">
      <c r="A52">
        <v>1</v>
      </c>
      <c r="B52">
        <v>7.9410809999999996</v>
      </c>
      <c r="C52">
        <v>6039.2280270000001</v>
      </c>
      <c r="D52">
        <v>3148.8156739999999</v>
      </c>
      <c r="E52">
        <v>1553.440918</v>
      </c>
      <c r="F52">
        <v>810.09118699999999</v>
      </c>
      <c r="G52">
        <v>413.29385400000001</v>
      </c>
      <c r="H52">
        <v>226.92124899999999</v>
      </c>
      <c r="I52">
        <v>142.04615799999999</v>
      </c>
    </row>
    <row r="53" spans="1:10" x14ac:dyDescent="0.35">
      <c r="A53">
        <v>2</v>
      </c>
      <c r="B53">
        <v>8.5984940000000005</v>
      </c>
      <c r="C53">
        <v>6091.1831050000001</v>
      </c>
      <c r="D53">
        <v>3212.423096</v>
      </c>
      <c r="E53">
        <v>1619.4697269999999</v>
      </c>
      <c r="F53">
        <v>845.72955300000001</v>
      </c>
      <c r="G53">
        <v>437.51849399999998</v>
      </c>
      <c r="H53">
        <v>239.576843</v>
      </c>
      <c r="I53">
        <v>148.51438899999999</v>
      </c>
    </row>
    <row r="54" spans="1:10" x14ac:dyDescent="0.35">
      <c r="A54">
        <v>3</v>
      </c>
      <c r="B54">
        <v>8.5434020000000004</v>
      </c>
      <c r="C54">
        <v>6070.064453</v>
      </c>
      <c r="D54">
        <v>3222.6040039999998</v>
      </c>
      <c r="E54">
        <v>1580.5179439999999</v>
      </c>
      <c r="F54">
        <v>836.08380099999999</v>
      </c>
      <c r="G54">
        <v>421.14370700000001</v>
      </c>
      <c r="H54">
        <v>228.01222200000001</v>
      </c>
      <c r="I54">
        <v>143.15141299999999</v>
      </c>
    </row>
    <row r="55" spans="1:10" x14ac:dyDescent="0.35">
      <c r="A55">
        <v>4</v>
      </c>
      <c r="B55">
        <v>8.5981009999999998</v>
      </c>
      <c r="C55">
        <v>5781.5092770000001</v>
      </c>
      <c r="D55">
        <v>3032.0649410000001</v>
      </c>
      <c r="E55">
        <v>1529.4075929999999</v>
      </c>
      <c r="F55">
        <v>813.20288100000005</v>
      </c>
      <c r="G55">
        <v>415.78949</v>
      </c>
      <c r="H55">
        <v>230.86494400000001</v>
      </c>
      <c r="I55">
        <v>144.683121</v>
      </c>
    </row>
    <row r="56" spans="1:10" x14ac:dyDescent="0.35">
      <c r="A56">
        <v>5</v>
      </c>
      <c r="B56">
        <v>8.6309620000000002</v>
      </c>
      <c r="C56">
        <v>3820.3156739999999</v>
      </c>
      <c r="D56">
        <v>2035.6942140000001</v>
      </c>
      <c r="E56">
        <v>1029.085693</v>
      </c>
      <c r="F56">
        <v>547.79522699999995</v>
      </c>
      <c r="G56">
        <v>292.78311200000002</v>
      </c>
      <c r="H56">
        <v>159.42602500000001</v>
      </c>
      <c r="I56">
        <v>96.281265000000005</v>
      </c>
    </row>
    <row r="57" spans="1:10" x14ac:dyDescent="0.35">
      <c r="A57">
        <v>1</v>
      </c>
      <c r="B57">
        <v>7.8957769999999998</v>
      </c>
      <c r="C57">
        <v>5623.5122069999998</v>
      </c>
      <c r="D57">
        <v>2951.9577640000002</v>
      </c>
      <c r="E57">
        <v>1501.4354249999999</v>
      </c>
      <c r="F57">
        <v>795.99511700000005</v>
      </c>
      <c r="G57">
        <v>412.24566700000003</v>
      </c>
      <c r="H57">
        <v>228.223251</v>
      </c>
      <c r="I57">
        <v>142.10127299999999</v>
      </c>
    </row>
    <row r="58" spans="1:10" x14ac:dyDescent="0.35">
      <c r="A58">
        <v>2</v>
      </c>
      <c r="B58">
        <v>8.6034609999999994</v>
      </c>
      <c r="C58">
        <v>5766.3999020000001</v>
      </c>
      <c r="D58">
        <v>3024.0153810000002</v>
      </c>
      <c r="E58">
        <v>1517.7612300000001</v>
      </c>
      <c r="F58">
        <v>799.67816200000004</v>
      </c>
      <c r="G58">
        <v>414.71679699999999</v>
      </c>
      <c r="H58">
        <v>230.953552</v>
      </c>
      <c r="I58">
        <v>144.941666</v>
      </c>
    </row>
    <row r="59" spans="1:10" x14ac:dyDescent="0.35">
      <c r="A59">
        <v>3</v>
      </c>
      <c r="B59">
        <v>8.5462530000000001</v>
      </c>
      <c r="C59">
        <v>5736.4321289999998</v>
      </c>
      <c r="D59">
        <v>3020.5048830000001</v>
      </c>
      <c r="E59">
        <v>1517.7410890000001</v>
      </c>
      <c r="F59">
        <v>800.70178199999998</v>
      </c>
      <c r="G59">
        <v>418.19494600000002</v>
      </c>
      <c r="H59">
        <v>230.86140399999999</v>
      </c>
      <c r="I59">
        <v>145.560867</v>
      </c>
    </row>
    <row r="60" spans="1:10" x14ac:dyDescent="0.35">
      <c r="A60">
        <v>4</v>
      </c>
      <c r="B60">
        <v>8.6071050000000007</v>
      </c>
      <c r="C60">
        <v>5597.1201170000004</v>
      </c>
      <c r="D60">
        <v>2966.2702640000002</v>
      </c>
      <c r="E60">
        <v>1484.5874020000001</v>
      </c>
      <c r="F60">
        <v>786.675659</v>
      </c>
      <c r="G60">
        <v>414.19268799999998</v>
      </c>
      <c r="H60">
        <v>228.18356299999999</v>
      </c>
      <c r="I60">
        <v>143.253738</v>
      </c>
    </row>
    <row r="61" spans="1:10" x14ac:dyDescent="0.35">
      <c r="A61">
        <v>5</v>
      </c>
      <c r="B61">
        <v>8.6337879999999991</v>
      </c>
      <c r="C61">
        <v>4193.0610349999997</v>
      </c>
      <c r="D61">
        <v>2246.6384280000002</v>
      </c>
      <c r="E61">
        <v>1163.799683</v>
      </c>
      <c r="F61">
        <v>614.56219499999997</v>
      </c>
      <c r="G61">
        <v>315.96792599999998</v>
      </c>
      <c r="H61">
        <v>173.620193</v>
      </c>
      <c r="I61">
        <v>102.967552</v>
      </c>
    </row>
    <row r="62" spans="1:10" x14ac:dyDescent="0.35">
      <c r="A62">
        <v>1</v>
      </c>
      <c r="B62">
        <v>7.9547509999999999</v>
      </c>
      <c r="C62">
        <v>5650.9624020000001</v>
      </c>
      <c r="D62">
        <v>2956.094971</v>
      </c>
      <c r="E62">
        <v>1484.7730710000001</v>
      </c>
      <c r="F62">
        <v>792.35668899999996</v>
      </c>
      <c r="G62">
        <v>419.49774200000002</v>
      </c>
      <c r="H62">
        <v>238.850967</v>
      </c>
      <c r="I62">
        <v>150.350403</v>
      </c>
    </row>
    <row r="63" spans="1:10" x14ac:dyDescent="0.35">
      <c r="A63">
        <v>2</v>
      </c>
      <c r="B63">
        <v>8.6228660000000001</v>
      </c>
      <c r="C63">
        <v>5458.6259769999997</v>
      </c>
      <c r="D63">
        <v>2841.9785160000001</v>
      </c>
      <c r="E63">
        <v>1427.1357419999999</v>
      </c>
      <c r="F63">
        <v>756.59301800000003</v>
      </c>
      <c r="G63">
        <v>391.98104899999998</v>
      </c>
      <c r="H63">
        <v>214.54583700000001</v>
      </c>
      <c r="I63">
        <v>135.91769400000001</v>
      </c>
    </row>
    <row r="64" spans="1:10" x14ac:dyDescent="0.35">
      <c r="A64">
        <v>3</v>
      </c>
      <c r="B64">
        <v>8.5697240000000008</v>
      </c>
      <c r="C64">
        <v>5327.0092770000001</v>
      </c>
      <c r="D64">
        <v>2804.8745119999999</v>
      </c>
      <c r="E64">
        <v>1403.429077</v>
      </c>
      <c r="F64">
        <v>741.79748500000005</v>
      </c>
      <c r="G64">
        <v>381.57586700000002</v>
      </c>
      <c r="H64">
        <v>209.34162900000001</v>
      </c>
      <c r="I64">
        <v>137.227295</v>
      </c>
      <c r="J64" s="14"/>
    </row>
    <row r="65" spans="1:11" x14ac:dyDescent="0.35">
      <c r="A65">
        <v>4</v>
      </c>
      <c r="B65">
        <v>8.6153069999999996</v>
      </c>
      <c r="C65">
        <v>5529.8090819999998</v>
      </c>
      <c r="D65">
        <v>2905.0620119999999</v>
      </c>
      <c r="E65">
        <v>1458.2185059999999</v>
      </c>
      <c r="F65">
        <v>770.83734100000004</v>
      </c>
      <c r="G65">
        <v>409.38763399999999</v>
      </c>
      <c r="H65">
        <v>231.33244300000001</v>
      </c>
      <c r="I65">
        <v>144.62631200000001</v>
      </c>
    </row>
    <row r="66" spans="1:11" x14ac:dyDescent="0.35">
      <c r="A66">
        <v>5</v>
      </c>
      <c r="B66">
        <v>8.6371149999999997</v>
      </c>
      <c r="C66">
        <v>4258.9448240000002</v>
      </c>
      <c r="D66">
        <v>2280.6225589999999</v>
      </c>
      <c r="E66">
        <v>1168.214111</v>
      </c>
      <c r="F66">
        <v>626.82965100000001</v>
      </c>
      <c r="G66">
        <v>330.20281999999997</v>
      </c>
      <c r="H66">
        <v>185.13125600000001</v>
      </c>
      <c r="I66">
        <v>115.895172</v>
      </c>
    </row>
    <row r="69" spans="1:11" x14ac:dyDescent="0.35">
      <c r="J69" s="27"/>
    </row>
    <row r="70" spans="1:11" ht="13.15" x14ac:dyDescent="0.4">
      <c r="J70" s="33"/>
    </row>
    <row r="71" spans="1:11" ht="13.15" x14ac:dyDescent="0.4">
      <c r="K71" s="2"/>
    </row>
  </sheetData>
  <conditionalFormatting sqref="H9:H18 H28:H30">
    <cfRule type="cellIs" dxfId="50" priority="3" operator="greaterThan">
      <formula>1000</formula>
    </cfRule>
  </conditionalFormatting>
  <conditionalFormatting sqref="K9:K15">
    <cfRule type="cellIs" dxfId="49" priority="4" operator="lessThan">
      <formula>J11</formula>
    </cfRule>
  </conditionalFormatting>
  <conditionalFormatting sqref="K14">
    <cfRule type="cellIs" dxfId="48" priority="2" operator="lessThan">
      <formula>"J14"</formula>
    </cfRule>
  </conditionalFormatting>
  <conditionalFormatting sqref="K9:K15">
    <cfRule type="cellIs" dxfId="47" priority="1" operator="lessThan">
      <formula>"J15"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 r:id="rId1"/>
  <headerFooter>
    <oddHeader>&amp;CISO11171:2020 Summary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17EAF-9D68-4A64-89C4-AC7C3A06D1A9}">
  <sheetPr codeName="Sheet14"/>
  <dimension ref="A1:AW79"/>
  <sheetViews>
    <sheetView zoomScale="85" zoomScaleNormal="85" workbookViewId="0">
      <selection activeCell="J12" sqref="J12"/>
    </sheetView>
  </sheetViews>
  <sheetFormatPr defaultColWidth="11.53125" defaultRowHeight="12.75" x14ac:dyDescent="0.35"/>
  <sheetData>
    <row r="1" spans="1:49" x14ac:dyDescent="0.35">
      <c r="A1" t="s">
        <v>0</v>
      </c>
    </row>
    <row r="2" spans="1:49" ht="40.15" x14ac:dyDescent="1.05">
      <c r="O2" s="9"/>
    </row>
    <row r="4" spans="1:49" ht="40.15" x14ac:dyDescent="1.05">
      <c r="A4" s="1" t="s">
        <v>33</v>
      </c>
      <c r="O4" s="9" t="s">
        <v>16</v>
      </c>
    </row>
    <row r="5" spans="1:49" x14ac:dyDescent="0.35">
      <c r="O5" s="11">
        <v>46016</v>
      </c>
    </row>
    <row r="6" spans="1:49" ht="13.15" x14ac:dyDescent="0.4">
      <c r="A6" t="s">
        <v>34</v>
      </c>
      <c r="B6" s="1"/>
      <c r="C6" s="1"/>
      <c r="D6" s="1"/>
      <c r="E6" s="1"/>
      <c r="F6" s="1"/>
      <c r="O6" t="s">
        <v>19</v>
      </c>
    </row>
    <row r="7" spans="1:49" ht="14.65" x14ac:dyDescent="0.5">
      <c r="B7" s="2" t="s">
        <v>1</v>
      </c>
      <c r="C7" s="2" t="s">
        <v>2</v>
      </c>
      <c r="D7" s="2" t="s">
        <v>3</v>
      </c>
      <c r="E7" s="2" t="s">
        <v>4</v>
      </c>
      <c r="F7" s="2" t="s">
        <v>5</v>
      </c>
      <c r="G7" s="2" t="s">
        <v>6</v>
      </c>
      <c r="H7" s="2" t="s">
        <v>7</v>
      </c>
      <c r="I7" s="2" t="s">
        <v>8</v>
      </c>
      <c r="J7" s="2" t="s">
        <v>9</v>
      </c>
      <c r="K7" s="2" t="s">
        <v>10</v>
      </c>
      <c r="M7" s="2"/>
    </row>
    <row r="8" spans="1:49" ht="13.15" x14ac:dyDescent="0.4">
      <c r="A8" s="3" t="s">
        <v>35</v>
      </c>
      <c r="B8">
        <v>7.8957769999999998</v>
      </c>
      <c r="C8">
        <v>8.6034609999999994</v>
      </c>
      <c r="D8">
        <v>8.5462530000000001</v>
      </c>
      <c r="E8">
        <v>8.6071050000000007</v>
      </c>
      <c r="F8">
        <v>8.6337879999999991</v>
      </c>
      <c r="G8" s="4"/>
      <c r="H8" s="4">
        <f>AVERAGE(B$8:F$8)*5</f>
        <v>42.286383999999998</v>
      </c>
      <c r="I8" s="5"/>
      <c r="K8" s="5"/>
    </row>
    <row r="9" spans="1:49" ht="13.15" x14ac:dyDescent="0.4">
      <c r="A9" s="17" t="s">
        <v>12</v>
      </c>
      <c r="B9">
        <v>5623.5122069999998</v>
      </c>
      <c r="C9">
        <v>5766.3999020000001</v>
      </c>
      <c r="D9">
        <v>5736.4321289999998</v>
      </c>
      <c r="E9">
        <v>5597.1201170000004</v>
      </c>
      <c r="G9" s="6">
        <f>AVERAGE(B9:F9)</f>
        <v>5680.8660887500009</v>
      </c>
      <c r="H9" s="7">
        <f t="shared" ref="H9:H15" si="0">G9*H$8</f>
        <v>240223.2848814606</v>
      </c>
      <c r="I9" s="8">
        <f t="shared" ref="I9:I15" si="1">STDEVP(B9:F9)/AVERAGE(B9:F9)</f>
        <v>1.2665097092463162E-2</v>
      </c>
      <c r="J9" s="8">
        <f t="shared" ref="J9:J15" si="2">IF(H9&gt;$A$21, $C$21, IF(H9&gt;$A$22, $C$22, IF(H9&gt;$A$23,$C$23,IF(H9&gt;$A$24,$C$24, IF(H9&gt;$A$25,$C$25,IF(H9&gt;$A$26,$C$26,$C$27))))))/100</f>
        <v>0.11</v>
      </c>
      <c r="K9" s="65">
        <f t="shared" ref="K9:K15" si="3">(MAX(B9:F9)-MIN(B9:F9))/G9</f>
        <v>2.9798235402033125E-2</v>
      </c>
      <c r="M9" s="14"/>
    </row>
    <row r="10" spans="1:49" ht="13.15" x14ac:dyDescent="0.4">
      <c r="A10" s="3" t="s">
        <v>14</v>
      </c>
      <c r="B10">
        <v>2951.9577640000002</v>
      </c>
      <c r="C10">
        <v>3024.0153810000002</v>
      </c>
      <c r="D10">
        <v>3020.5048830000001</v>
      </c>
      <c r="E10">
        <v>2966.2702640000002</v>
      </c>
      <c r="G10" s="6">
        <f t="shared" ref="G10:G15" si="4">AVERAGE(B10:F10)</f>
        <v>2990.6870730000001</v>
      </c>
      <c r="H10" s="10">
        <f t="shared" si="0"/>
        <v>126465.34199271403</v>
      </c>
      <c r="I10" s="5">
        <f t="shared" si="1"/>
        <v>1.0699905715538298E-2</v>
      </c>
      <c r="J10" s="5">
        <f t="shared" si="2"/>
        <v>0.11</v>
      </c>
      <c r="K10" s="65">
        <f t="shared" si="3"/>
        <v>2.409400089047696E-2</v>
      </c>
      <c r="M10" s="14"/>
    </row>
    <row r="11" spans="1:49" ht="13.15" x14ac:dyDescent="0.4">
      <c r="A11" s="3" t="s">
        <v>15</v>
      </c>
      <c r="B11">
        <v>1501.4354249999999</v>
      </c>
      <c r="C11">
        <v>1517.7612300000001</v>
      </c>
      <c r="D11">
        <v>1517.7410890000001</v>
      </c>
      <c r="E11">
        <v>1484.5874020000001</v>
      </c>
      <c r="G11" s="6">
        <f t="shared" si="4"/>
        <v>1505.3812865</v>
      </c>
      <c r="H11" s="10">
        <f t="shared" si="0"/>
        <v>63657.131147353015</v>
      </c>
      <c r="I11" s="5">
        <f t="shared" si="1"/>
        <v>9.1201990835663854E-3</v>
      </c>
      <c r="J11" s="5">
        <f t="shared" si="2"/>
        <v>0.11</v>
      </c>
      <c r="K11" s="65">
        <f t="shared" si="3"/>
        <v>2.2036827677809689E-2</v>
      </c>
      <c r="M11" s="14"/>
    </row>
    <row r="12" spans="1:49" ht="13.15" x14ac:dyDescent="0.4">
      <c r="A12" s="3" t="s">
        <v>17</v>
      </c>
      <c r="B12">
        <v>795.99511700000005</v>
      </c>
      <c r="C12">
        <v>799.67816200000004</v>
      </c>
      <c r="D12">
        <v>800.70178199999998</v>
      </c>
      <c r="E12">
        <v>786.675659</v>
      </c>
      <c r="G12" s="6">
        <f t="shared" si="4"/>
        <v>795.76268000000005</v>
      </c>
      <c r="H12" s="10">
        <f t="shared" si="0"/>
        <v>33649.926259349122</v>
      </c>
      <c r="I12" s="5">
        <f t="shared" si="1"/>
        <v>6.9501631586616165E-3</v>
      </c>
      <c r="J12" s="5">
        <f t="shared" si="2"/>
        <v>0.11</v>
      </c>
      <c r="K12" s="65">
        <f t="shared" si="3"/>
        <v>1.7626012569476095E-2</v>
      </c>
      <c r="M12" s="14"/>
    </row>
    <row r="13" spans="1:49" ht="13.15" x14ac:dyDescent="0.4">
      <c r="A13" s="3" t="s">
        <v>18</v>
      </c>
      <c r="B13">
        <v>412.24566700000003</v>
      </c>
      <c r="C13">
        <v>414.71679699999999</v>
      </c>
      <c r="D13">
        <v>418.19494600000002</v>
      </c>
      <c r="E13">
        <v>414.19268799999998</v>
      </c>
      <c r="G13" s="6">
        <f t="shared" si="4"/>
        <v>414.83752449999997</v>
      </c>
      <c r="H13" s="10">
        <f t="shared" si="0"/>
        <v>17541.978858616407</v>
      </c>
      <c r="I13" s="5">
        <f t="shared" si="1"/>
        <v>5.172987441499439E-3</v>
      </c>
      <c r="J13" s="5">
        <f t="shared" si="2"/>
        <v>0.11</v>
      </c>
      <c r="K13" s="65">
        <f t="shared" si="3"/>
        <v>1.4341226742133811E-2</v>
      </c>
      <c r="M13" s="14"/>
    </row>
    <row r="14" spans="1:49" ht="13.15" x14ac:dyDescent="0.4">
      <c r="A14" s="22" t="s">
        <v>20</v>
      </c>
      <c r="B14">
        <v>228.223251</v>
      </c>
      <c r="C14">
        <v>230.953552</v>
      </c>
      <c r="D14">
        <v>230.86140399999999</v>
      </c>
      <c r="E14">
        <v>228.18356299999999</v>
      </c>
      <c r="G14" s="6">
        <f t="shared" si="4"/>
        <v>229.55544250000003</v>
      </c>
      <c r="H14" s="12">
        <f t="shared" si="0"/>
        <v>9707.0695908449215</v>
      </c>
      <c r="I14" s="13">
        <f t="shared" si="1"/>
        <v>5.8918261324149845E-3</v>
      </c>
      <c r="J14" s="13">
        <f t="shared" si="2"/>
        <v>0.113</v>
      </c>
      <c r="K14" s="65">
        <f t="shared" si="3"/>
        <v>1.2066753764725092E-2</v>
      </c>
      <c r="M14" s="14"/>
    </row>
    <row r="15" spans="1:49" ht="13.15" x14ac:dyDescent="0.4">
      <c r="A15" s="3" t="s">
        <v>21</v>
      </c>
      <c r="B15">
        <v>142.10127299999999</v>
      </c>
      <c r="C15">
        <v>144.941666</v>
      </c>
      <c r="D15">
        <v>145.560867</v>
      </c>
      <c r="E15">
        <v>143.253738</v>
      </c>
      <c r="G15" s="6">
        <f t="shared" si="4"/>
        <v>143.96438599999999</v>
      </c>
      <c r="H15" s="10">
        <f t="shared" si="0"/>
        <v>6087.7333087202232</v>
      </c>
      <c r="I15" s="5">
        <f t="shared" si="1"/>
        <v>9.498758563506432E-3</v>
      </c>
      <c r="J15" s="5">
        <f t="shared" si="2"/>
        <v>0.113</v>
      </c>
      <c r="K15" s="65">
        <f t="shared" si="3"/>
        <v>2.4030901642577145E-2</v>
      </c>
      <c r="M15" s="14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</row>
    <row r="16" spans="1:49" ht="13.15" x14ac:dyDescent="0.4">
      <c r="A16" s="3"/>
      <c r="G16" s="15"/>
      <c r="H16" s="10"/>
      <c r="I16" s="5"/>
      <c r="J16" s="5"/>
      <c r="K16" s="5"/>
      <c r="M16" s="14"/>
      <c r="P16" s="1"/>
      <c r="Q16" s="1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</row>
    <row r="17" spans="1:49" ht="13.15" x14ac:dyDescent="0.4">
      <c r="A17" s="3"/>
      <c r="G17" s="15"/>
      <c r="H17" s="10"/>
      <c r="I17" s="5"/>
      <c r="J17" s="5"/>
      <c r="K17" s="5"/>
      <c r="M17" s="14"/>
      <c r="P17" s="1"/>
      <c r="Q17" s="1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</row>
    <row r="18" spans="1:49" ht="13.15" x14ac:dyDescent="0.4">
      <c r="A18" t="s">
        <v>22</v>
      </c>
      <c r="I18" s="5"/>
      <c r="J18" s="5"/>
      <c r="K18" s="5"/>
      <c r="M18" s="14"/>
      <c r="P18" s="1"/>
      <c r="Q18" s="1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</row>
    <row r="19" spans="1:49" ht="15" x14ac:dyDescent="0.5">
      <c r="A19" s="16"/>
      <c r="B19" s="17" t="s">
        <v>23</v>
      </c>
      <c r="C19" s="16"/>
      <c r="D19" s="18" t="s">
        <v>24</v>
      </c>
      <c r="E19" s="19"/>
      <c r="F19" s="19"/>
      <c r="G19" s="19"/>
      <c r="H19" s="20"/>
      <c r="I19" s="5"/>
      <c r="J19" s="5"/>
      <c r="K19" s="5"/>
      <c r="M19" s="14"/>
      <c r="P19" s="1"/>
      <c r="Q19" s="1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</row>
    <row r="20" spans="1:49" ht="15" x14ac:dyDescent="0.5">
      <c r="A20" s="21" t="s">
        <v>25</v>
      </c>
      <c r="B20" s="22" t="s">
        <v>26</v>
      </c>
      <c r="C20" s="21" t="s">
        <v>27</v>
      </c>
      <c r="D20" s="21" t="s">
        <v>28</v>
      </c>
      <c r="E20" s="22" t="s">
        <v>29</v>
      </c>
      <c r="F20" s="22" t="s">
        <v>30</v>
      </c>
      <c r="G20" s="22" t="s">
        <v>31</v>
      </c>
      <c r="H20" s="23" t="s">
        <v>32</v>
      </c>
      <c r="I20" s="5"/>
      <c r="J20" s="5"/>
      <c r="K20" s="5"/>
      <c r="M20" s="14"/>
      <c r="P20" s="1"/>
      <c r="Q20" s="1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</row>
    <row r="21" spans="1:49" ht="13.15" x14ac:dyDescent="0.4">
      <c r="A21" s="24">
        <v>10000</v>
      </c>
      <c r="C21" s="24">
        <v>11</v>
      </c>
      <c r="D21" s="24">
        <v>7.8</v>
      </c>
      <c r="E21">
        <v>5.3</v>
      </c>
      <c r="F21">
        <v>4</v>
      </c>
      <c r="G21">
        <v>2.7</v>
      </c>
      <c r="H21" s="25">
        <v>1.8</v>
      </c>
      <c r="I21" s="5"/>
      <c r="J21" s="5"/>
      <c r="K21" s="5"/>
      <c r="M21" s="14"/>
      <c r="O21" s="1"/>
      <c r="R21" s="2"/>
      <c r="S21" s="2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</row>
    <row r="22" spans="1:49" ht="13.15" x14ac:dyDescent="0.4">
      <c r="A22" s="24">
        <v>5000</v>
      </c>
      <c r="B22">
        <v>10000</v>
      </c>
      <c r="C22" s="24">
        <v>11.3</v>
      </c>
      <c r="D22" s="24">
        <v>7.8</v>
      </c>
      <c r="E22">
        <v>5.3</v>
      </c>
      <c r="F22">
        <v>4</v>
      </c>
      <c r="G22">
        <v>2.7</v>
      </c>
      <c r="H22" s="25">
        <v>1.9</v>
      </c>
      <c r="I22" s="5"/>
      <c r="J22" s="5"/>
      <c r="K22" s="5"/>
      <c r="M22" s="14"/>
      <c r="O22" s="2"/>
      <c r="P22" s="3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ht="13.15" x14ac:dyDescent="0.4">
      <c r="A23" s="24">
        <v>2000</v>
      </c>
      <c r="B23">
        <v>5000</v>
      </c>
      <c r="C23" s="24">
        <v>11.9</v>
      </c>
      <c r="D23" s="24">
        <v>7.9</v>
      </c>
      <c r="E23">
        <v>5.4</v>
      </c>
      <c r="F23">
        <v>4.0999999999999996</v>
      </c>
      <c r="G23">
        <v>2.9</v>
      </c>
      <c r="H23" s="25">
        <v>2.1</v>
      </c>
      <c r="I23" s="5"/>
      <c r="J23" s="5"/>
      <c r="K23" s="5"/>
      <c r="M23" s="14"/>
      <c r="O23" s="2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1:49" ht="13.15" x14ac:dyDescent="0.4">
      <c r="A24" s="24">
        <v>1000</v>
      </c>
      <c r="B24">
        <v>2000</v>
      </c>
      <c r="C24" s="24">
        <v>13.4</v>
      </c>
      <c r="D24" s="24">
        <v>8</v>
      </c>
      <c r="E24">
        <v>5.6</v>
      </c>
      <c r="F24">
        <v>4.3</v>
      </c>
      <c r="G24">
        <v>3.1</v>
      </c>
      <c r="H24" s="25">
        <v>2.4</v>
      </c>
      <c r="I24" s="5"/>
      <c r="J24" s="5"/>
      <c r="K24" s="5"/>
      <c r="M24" s="14"/>
      <c r="O24" s="2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</row>
    <row r="25" spans="1:49" ht="13.15" x14ac:dyDescent="0.4">
      <c r="A25" s="24">
        <v>500</v>
      </c>
      <c r="B25">
        <v>1000</v>
      </c>
      <c r="C25" s="24">
        <v>15.6</v>
      </c>
      <c r="D25" s="24">
        <v>8.1999999999999993</v>
      </c>
      <c r="E25">
        <v>5.9</v>
      </c>
      <c r="F25">
        <v>4.7</v>
      </c>
      <c r="G25">
        <v>3.6</v>
      </c>
      <c r="H25" s="25">
        <v>2.9</v>
      </c>
      <c r="I25" s="5"/>
      <c r="J25" s="5"/>
      <c r="K25" s="5"/>
      <c r="M25" s="14"/>
      <c r="O25" s="2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</row>
    <row r="26" spans="1:49" x14ac:dyDescent="0.35">
      <c r="A26" s="24">
        <v>200</v>
      </c>
      <c r="B26">
        <v>500</v>
      </c>
      <c r="C26" s="24">
        <v>19.3</v>
      </c>
      <c r="D26" s="24">
        <v>8.9</v>
      </c>
      <c r="E26">
        <v>6.8</v>
      </c>
      <c r="F26">
        <v>5.7</v>
      </c>
      <c r="G26">
        <v>4.7</v>
      </c>
      <c r="H26" s="25">
        <v>4.0999999999999996</v>
      </c>
      <c r="I26" s="5"/>
      <c r="J26" s="5"/>
      <c r="K26" s="5"/>
      <c r="M26" s="14"/>
    </row>
    <row r="27" spans="1:49" x14ac:dyDescent="0.35">
      <c r="A27" s="28">
        <v>100</v>
      </c>
      <c r="B27" s="29">
        <v>200</v>
      </c>
      <c r="C27" s="28">
        <v>27.5</v>
      </c>
      <c r="D27" s="28">
        <v>10</v>
      </c>
      <c r="E27" s="29">
        <v>8</v>
      </c>
      <c r="F27" s="29">
        <v>7</v>
      </c>
      <c r="G27" s="29">
        <v>6.1</v>
      </c>
      <c r="H27" s="30">
        <v>5.5</v>
      </c>
      <c r="I27" s="5"/>
      <c r="J27" s="5"/>
      <c r="K27" s="5"/>
      <c r="M27" s="14"/>
    </row>
    <row r="28" spans="1:49" ht="13.15" x14ac:dyDescent="0.4">
      <c r="A28" s="3"/>
      <c r="G28" s="15"/>
      <c r="H28" s="10"/>
      <c r="I28" s="5"/>
      <c r="J28" s="5"/>
      <c r="K28" s="5"/>
      <c r="M28" s="14"/>
    </row>
    <row r="29" spans="1:49" ht="13.15" x14ac:dyDescent="0.4">
      <c r="A29" s="3"/>
      <c r="G29" s="15"/>
      <c r="H29" s="10"/>
      <c r="I29" s="5"/>
      <c r="J29" s="5"/>
      <c r="K29" s="5"/>
      <c r="M29" s="14"/>
    </row>
    <row r="30" spans="1:49" ht="13.15" x14ac:dyDescent="0.4">
      <c r="A30" s="3"/>
      <c r="G30" s="15"/>
      <c r="H30" s="10"/>
      <c r="I30" s="5"/>
      <c r="J30" s="5"/>
      <c r="K30" s="5"/>
      <c r="M30" s="14"/>
    </row>
    <row r="31" spans="1:49" ht="13.15" x14ac:dyDescent="0.4">
      <c r="A31" s="3"/>
      <c r="G31" s="15"/>
      <c r="H31" s="10"/>
      <c r="I31" s="5"/>
      <c r="J31" s="5"/>
      <c r="K31" s="5"/>
      <c r="M31" s="14"/>
    </row>
    <row r="32" spans="1:49" x14ac:dyDescent="0.35">
      <c r="A32" s="66"/>
      <c r="B32" s="66"/>
      <c r="C32" s="66"/>
      <c r="D32" s="66"/>
      <c r="E32" s="66"/>
      <c r="F32" s="66"/>
      <c r="G32" s="66"/>
      <c r="H32" s="66"/>
      <c r="I32" s="5"/>
      <c r="J32" s="5"/>
      <c r="K32" s="5"/>
      <c r="M32" s="14"/>
    </row>
    <row r="33" spans="1:13" x14ac:dyDescent="0.35">
      <c r="A33" s="66"/>
      <c r="B33" s="66"/>
      <c r="C33" s="66"/>
      <c r="D33" s="66"/>
      <c r="E33" s="66"/>
      <c r="F33" s="66"/>
      <c r="G33" s="66"/>
      <c r="H33" s="66"/>
      <c r="I33" s="5"/>
      <c r="J33" s="5"/>
      <c r="K33" s="5"/>
      <c r="M33" s="14"/>
    </row>
    <row r="34" spans="1:13" x14ac:dyDescent="0.35">
      <c r="A34" s="66"/>
      <c r="B34" s="66"/>
      <c r="C34" s="66"/>
      <c r="D34" s="66"/>
      <c r="E34" s="66"/>
      <c r="F34" s="66"/>
      <c r="G34" s="66"/>
      <c r="H34" s="66"/>
      <c r="I34" s="5"/>
      <c r="J34" s="5"/>
      <c r="K34" s="5"/>
      <c r="M34" s="14"/>
    </row>
    <row r="35" spans="1:13" x14ac:dyDescent="0.35">
      <c r="A35" s="66"/>
      <c r="B35" s="66"/>
      <c r="C35" s="66"/>
      <c r="D35" s="66"/>
      <c r="E35" s="66"/>
      <c r="F35" s="66"/>
      <c r="G35" s="66"/>
      <c r="H35" s="66"/>
      <c r="I35" s="5"/>
      <c r="J35" s="5"/>
      <c r="K35" s="5"/>
      <c r="M35" s="14"/>
    </row>
    <row r="36" spans="1:13" x14ac:dyDescent="0.35">
      <c r="A36" s="66"/>
      <c r="B36" s="66"/>
      <c r="C36" s="66"/>
      <c r="D36" s="66"/>
      <c r="E36" s="66"/>
      <c r="F36" s="66"/>
      <c r="G36" s="66"/>
      <c r="H36" s="66"/>
      <c r="I36" s="5"/>
      <c r="J36" s="5"/>
      <c r="K36" s="5"/>
      <c r="M36" s="14"/>
    </row>
    <row r="37" spans="1:13" ht="13.15" x14ac:dyDescent="0.4">
      <c r="A37" s="3"/>
      <c r="G37" s="15"/>
      <c r="H37" s="10"/>
      <c r="I37" s="5"/>
      <c r="J37" s="5"/>
      <c r="K37" s="5"/>
    </row>
    <row r="38" spans="1:13" ht="13.15" x14ac:dyDescent="0.4">
      <c r="A38" s="3"/>
      <c r="G38" s="15"/>
      <c r="H38" s="10"/>
      <c r="I38" s="5"/>
      <c r="J38" s="5"/>
      <c r="K38" s="5"/>
    </row>
    <row r="52" spans="26:31" x14ac:dyDescent="0.35">
      <c r="Z52">
        <v>4</v>
      </c>
      <c r="AA52">
        <v>4</v>
      </c>
      <c r="AB52">
        <v>4</v>
      </c>
      <c r="AC52">
        <v>0</v>
      </c>
      <c r="AD52">
        <v>0</v>
      </c>
      <c r="AE52">
        <v>0</v>
      </c>
    </row>
    <row r="53" spans="26:31" x14ac:dyDescent="0.35">
      <c r="Z53">
        <v>5</v>
      </c>
      <c r="AA53">
        <v>5</v>
      </c>
      <c r="AB53">
        <v>4</v>
      </c>
      <c r="AC53">
        <v>1</v>
      </c>
      <c r="AD53">
        <v>0</v>
      </c>
      <c r="AE53">
        <v>0</v>
      </c>
    </row>
    <row r="54" spans="26:31" x14ac:dyDescent="0.35">
      <c r="Z54">
        <v>4</v>
      </c>
      <c r="AA54">
        <v>3</v>
      </c>
      <c r="AB54">
        <v>3</v>
      </c>
      <c r="AC54">
        <v>2</v>
      </c>
      <c r="AD54">
        <v>0</v>
      </c>
      <c r="AE54">
        <v>0</v>
      </c>
    </row>
    <row r="55" spans="26:31" x14ac:dyDescent="0.35">
      <c r="Z55">
        <v>5</v>
      </c>
      <c r="AA55">
        <v>5</v>
      </c>
      <c r="AB55">
        <v>5</v>
      </c>
      <c r="AC55">
        <v>0</v>
      </c>
      <c r="AD55">
        <v>0</v>
      </c>
      <c r="AE55">
        <v>0</v>
      </c>
    </row>
    <row r="56" spans="26:31" x14ac:dyDescent="0.35">
      <c r="Z56">
        <v>6</v>
      </c>
      <c r="AA56">
        <v>5</v>
      </c>
      <c r="AB56">
        <v>5</v>
      </c>
      <c r="AC56">
        <v>1</v>
      </c>
      <c r="AD56">
        <v>0</v>
      </c>
      <c r="AE56">
        <v>0</v>
      </c>
    </row>
    <row r="71" spans="1:11" x14ac:dyDescent="0.35">
      <c r="H71" s="14"/>
      <c r="J71" s="14"/>
    </row>
    <row r="72" spans="1:11" x14ac:dyDescent="0.35">
      <c r="G72" s="14"/>
      <c r="H72" s="14"/>
      <c r="I72" s="14"/>
      <c r="J72" s="14"/>
    </row>
    <row r="73" spans="1:11" ht="13.15" x14ac:dyDescent="0.4">
      <c r="A73" s="1"/>
    </row>
    <row r="77" spans="1:11" x14ac:dyDescent="0.35">
      <c r="H77" s="27"/>
      <c r="J77" s="27"/>
    </row>
    <row r="78" spans="1:11" ht="13.15" x14ac:dyDescent="0.4">
      <c r="A78" s="1"/>
      <c r="H78" s="33"/>
      <c r="J78" s="33"/>
    </row>
    <row r="79" spans="1:11" ht="13.15" x14ac:dyDescent="0.4">
      <c r="K79" s="2"/>
    </row>
  </sheetData>
  <conditionalFormatting sqref="H9:H18 H28:H31 H37:H39">
    <cfRule type="cellIs" dxfId="12" priority="10" operator="greaterThan">
      <formula>1000</formula>
    </cfRule>
  </conditionalFormatting>
  <conditionalFormatting sqref="K16:K38">
    <cfRule type="cellIs" dxfId="11" priority="11" operator="lessThan">
      <formula>J18</formula>
    </cfRule>
  </conditionalFormatting>
  <conditionalFormatting sqref="K9:K15">
    <cfRule type="cellIs" dxfId="7" priority="1" operator="lessThan">
      <formula>$J9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A4457-5AF2-4EEE-B60E-ABE4B99AA965}">
  <sheetPr codeName="Sheet15"/>
  <dimension ref="A1:AW79"/>
  <sheetViews>
    <sheetView zoomScale="85" zoomScaleNormal="85" workbookViewId="0">
      <selection activeCell="H9" sqref="H9"/>
    </sheetView>
  </sheetViews>
  <sheetFormatPr defaultColWidth="11.53125" defaultRowHeight="12.75" x14ac:dyDescent="0.35"/>
  <sheetData>
    <row r="1" spans="1:49" x14ac:dyDescent="0.35">
      <c r="A1" t="s">
        <v>0</v>
      </c>
    </row>
    <row r="2" spans="1:49" ht="16.899999999999999" customHeight="1" x14ac:dyDescent="1.05">
      <c r="O2" s="9"/>
    </row>
    <row r="4" spans="1:49" ht="40.15" x14ac:dyDescent="1.05">
      <c r="A4" s="1" t="s">
        <v>33</v>
      </c>
      <c r="O4" s="9" t="s">
        <v>16</v>
      </c>
    </row>
    <row r="5" spans="1:49" x14ac:dyDescent="0.35">
      <c r="O5" s="11">
        <v>46078</v>
      </c>
    </row>
    <row r="6" spans="1:49" ht="13.15" x14ac:dyDescent="0.4">
      <c r="A6" t="s">
        <v>34</v>
      </c>
      <c r="B6" s="1"/>
      <c r="C6" s="1"/>
      <c r="D6" s="1"/>
      <c r="E6" s="1"/>
      <c r="F6" s="1"/>
      <c r="O6" t="s">
        <v>19</v>
      </c>
    </row>
    <row r="7" spans="1:49" ht="14.65" x14ac:dyDescent="0.5">
      <c r="B7" s="2" t="s">
        <v>1</v>
      </c>
      <c r="C7" s="2" t="s">
        <v>2</v>
      </c>
      <c r="D7" s="2" t="s">
        <v>3</v>
      </c>
      <c r="E7" s="2" t="s">
        <v>4</v>
      </c>
      <c r="F7" s="2" t="s">
        <v>5</v>
      </c>
      <c r="G7" s="2" t="s">
        <v>6</v>
      </c>
      <c r="H7" s="2" t="s">
        <v>7</v>
      </c>
      <c r="I7" s="2" t="s">
        <v>8</v>
      </c>
      <c r="J7" s="2" t="s">
        <v>9</v>
      </c>
      <c r="K7" s="2" t="s">
        <v>10</v>
      </c>
      <c r="M7" s="2"/>
    </row>
    <row r="8" spans="1:49" ht="13.15" x14ac:dyDescent="0.4">
      <c r="A8" s="3" t="s">
        <v>35</v>
      </c>
      <c r="B8">
        <v>7.9547509999999999</v>
      </c>
      <c r="C8">
        <v>8.6228660000000001</v>
      </c>
      <c r="D8">
        <v>8.5697240000000008</v>
      </c>
      <c r="E8">
        <v>8.6153069999999996</v>
      </c>
      <c r="F8">
        <v>8.6371149999999997</v>
      </c>
      <c r="G8" s="4"/>
      <c r="H8" s="4">
        <f>AVERAGE(B$8:F$8)*5</f>
        <v>42.399763000000007</v>
      </c>
      <c r="I8" s="5"/>
      <c r="K8" s="5"/>
    </row>
    <row r="9" spans="1:49" ht="13.15" x14ac:dyDescent="0.4">
      <c r="A9" s="17" t="s">
        <v>12</v>
      </c>
      <c r="B9">
        <v>5650.9624020000001</v>
      </c>
      <c r="C9">
        <v>5458.6259769999997</v>
      </c>
      <c r="D9">
        <v>5327.0092770000001</v>
      </c>
      <c r="E9">
        <v>5529.8090819999998</v>
      </c>
      <c r="G9" s="6">
        <f>AVERAGE(B9:F9)</f>
        <v>5491.6016845000004</v>
      </c>
      <c r="H9" s="7">
        <f t="shared" ref="H9:H15" si="0">G9*H$8</f>
        <v>232842.60991320084</v>
      </c>
      <c r="I9" s="8">
        <f t="shared" ref="I9:I15" si="1">STDEVP(B9:F9)/AVERAGE(B9:F9)</f>
        <v>2.1359217409283784E-2</v>
      </c>
      <c r="J9" s="8">
        <f t="shared" ref="J9:J15" si="2">IF(H9&gt;$A$21, $C$21, IF(H9&gt;$A$22, $C$22, IF(H9&gt;$A$23,$C$23,IF(H9&gt;$A$24,$C$24, IF(H9&gt;$A$25,$C$25,IF(H9&gt;$A$26,$C$26,$C$27))))))/100</f>
        <v>0.11</v>
      </c>
      <c r="K9" s="8">
        <f>(MAX(B9:F9)-MIN(B9:F9))/G9</f>
        <v>5.8990644917739567E-2</v>
      </c>
      <c r="M9" s="14"/>
    </row>
    <row r="10" spans="1:49" ht="13.15" x14ac:dyDescent="0.4">
      <c r="A10" s="3" t="s">
        <v>14</v>
      </c>
      <c r="B10">
        <v>2956.094971</v>
      </c>
      <c r="C10">
        <v>2841.9785160000001</v>
      </c>
      <c r="D10">
        <v>2804.8745119999999</v>
      </c>
      <c r="E10">
        <v>2905.0620119999999</v>
      </c>
      <c r="G10" s="6">
        <f t="shared" ref="G10:G15" si="3">AVERAGE(B10:F10)</f>
        <v>2877.0025027500001</v>
      </c>
      <c r="H10" s="10">
        <f t="shared" si="0"/>
        <v>121984.22426700687</v>
      </c>
      <c r="I10" s="5">
        <f t="shared" si="1"/>
        <v>2.0171914188434354E-2</v>
      </c>
      <c r="J10" s="5">
        <f t="shared" si="2"/>
        <v>0.11</v>
      </c>
      <c r="K10" s="8">
        <f t="shared" ref="K10:K15" si="4">(MAX(B10:F10)-MIN(B10:F10))/G10</f>
        <v>5.256181002813002E-2</v>
      </c>
      <c r="M10" s="14"/>
    </row>
    <row r="11" spans="1:49" ht="13.15" x14ac:dyDescent="0.4">
      <c r="A11" s="3" t="s">
        <v>15</v>
      </c>
      <c r="B11">
        <v>1484.7730710000001</v>
      </c>
      <c r="C11">
        <v>1427.1357419999999</v>
      </c>
      <c r="D11">
        <v>1403.429077</v>
      </c>
      <c r="E11">
        <v>1458.2185059999999</v>
      </c>
      <c r="G11" s="6">
        <f t="shared" si="3"/>
        <v>1443.389099</v>
      </c>
      <c r="H11" s="10">
        <f t="shared" si="0"/>
        <v>61199.35571438355</v>
      </c>
      <c r="I11" s="5">
        <f t="shared" si="1"/>
        <v>2.1335741421846695E-2</v>
      </c>
      <c r="J11" s="5">
        <f t="shared" si="2"/>
        <v>0.11</v>
      </c>
      <c r="K11" s="8">
        <f t="shared" si="4"/>
        <v>5.6356247983552266E-2</v>
      </c>
      <c r="M11" s="14"/>
    </row>
    <row r="12" spans="1:49" ht="13.15" x14ac:dyDescent="0.4">
      <c r="A12" s="3" t="s">
        <v>17</v>
      </c>
      <c r="B12">
        <v>792.35668899999996</v>
      </c>
      <c r="C12">
        <v>756.59301800000003</v>
      </c>
      <c r="D12">
        <v>741.79748500000005</v>
      </c>
      <c r="E12">
        <v>770.83734100000004</v>
      </c>
      <c r="G12" s="6">
        <f t="shared" si="3"/>
        <v>765.39613324999993</v>
      </c>
      <c r="H12" s="10">
        <f t="shared" si="0"/>
        <v>32452.614650916421</v>
      </c>
      <c r="I12" s="5">
        <f t="shared" si="1"/>
        <v>2.4362783631102211E-2</v>
      </c>
      <c r="J12" s="5">
        <f t="shared" si="2"/>
        <v>0.11</v>
      </c>
      <c r="K12" s="8">
        <f t="shared" si="4"/>
        <v>6.6056257411854266E-2</v>
      </c>
      <c r="M12" s="14"/>
    </row>
    <row r="13" spans="1:49" ht="13.15" x14ac:dyDescent="0.4">
      <c r="A13" s="3" t="s">
        <v>18</v>
      </c>
      <c r="B13">
        <v>419.49774200000002</v>
      </c>
      <c r="C13">
        <v>391.98104899999998</v>
      </c>
      <c r="D13">
        <v>381.57586700000002</v>
      </c>
      <c r="E13">
        <v>409.38763399999999</v>
      </c>
      <c r="G13" s="6">
        <f t="shared" si="3"/>
        <v>400.61057299999999</v>
      </c>
      <c r="H13" s="10">
        <f t="shared" si="0"/>
        <v>16985.793350494201</v>
      </c>
      <c r="I13" s="5">
        <f t="shared" si="1"/>
        <v>3.6825158449959823E-2</v>
      </c>
      <c r="J13" s="5">
        <f t="shared" si="2"/>
        <v>0.11</v>
      </c>
      <c r="K13" s="8">
        <f t="shared" si="4"/>
        <v>9.4660195101740369E-2</v>
      </c>
      <c r="M13" s="14"/>
    </row>
    <row r="14" spans="1:49" ht="13.15" x14ac:dyDescent="0.4">
      <c r="A14" s="22" t="s">
        <v>20</v>
      </c>
      <c r="B14">
        <v>238.850967</v>
      </c>
      <c r="C14">
        <v>214.54583700000001</v>
      </c>
      <c r="D14">
        <v>209.34162900000001</v>
      </c>
      <c r="E14">
        <v>231.33244300000001</v>
      </c>
      <c r="G14" s="6">
        <f t="shared" si="3"/>
        <v>223.517719</v>
      </c>
      <c r="H14" s="12">
        <f t="shared" si="0"/>
        <v>9477.0983119005978</v>
      </c>
      <c r="I14" s="13">
        <f t="shared" si="1"/>
        <v>5.3763142677870683E-2</v>
      </c>
      <c r="J14" s="13">
        <f t="shared" si="2"/>
        <v>0.113</v>
      </c>
      <c r="K14" s="8">
        <f t="shared" si="4"/>
        <v>0.13202236552888225</v>
      </c>
      <c r="M14" s="14"/>
    </row>
    <row r="15" spans="1:49" ht="13.15" x14ac:dyDescent="0.4">
      <c r="A15" s="3" t="s">
        <v>21</v>
      </c>
      <c r="B15">
        <v>150.350403</v>
      </c>
      <c r="C15">
        <v>135.91769400000001</v>
      </c>
      <c r="D15" s="14">
        <v>137.227295</v>
      </c>
      <c r="E15">
        <v>144.62631200000001</v>
      </c>
      <c r="G15" s="6">
        <f t="shared" si="3"/>
        <v>142.03042600000001</v>
      </c>
      <c r="H15" s="10">
        <f t="shared" si="0"/>
        <v>6022.0564011890392</v>
      </c>
      <c r="I15" s="5">
        <f t="shared" si="1"/>
        <v>4.1114001963896724E-2</v>
      </c>
      <c r="J15" s="5">
        <f t="shared" si="2"/>
        <v>0.113</v>
      </c>
      <c r="K15" s="8">
        <f t="shared" si="4"/>
        <v>0.10161702253853683</v>
      </c>
      <c r="M15" s="14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</row>
    <row r="16" spans="1:49" ht="13.15" x14ac:dyDescent="0.4">
      <c r="A16" s="3"/>
      <c r="G16" s="15"/>
      <c r="H16" s="10"/>
      <c r="I16" s="5"/>
      <c r="J16" s="5"/>
      <c r="K16" s="5"/>
      <c r="M16" s="14"/>
      <c r="P16" s="1"/>
      <c r="Q16" s="1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</row>
    <row r="17" spans="1:49" ht="13.15" x14ac:dyDescent="0.4">
      <c r="A17" s="3"/>
      <c r="G17" s="15"/>
      <c r="H17" s="10"/>
      <c r="I17" s="5"/>
      <c r="J17" s="5"/>
      <c r="K17" s="5"/>
      <c r="M17" s="14"/>
      <c r="P17" s="1"/>
      <c r="Q17" s="1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</row>
    <row r="18" spans="1:49" ht="13.15" x14ac:dyDescent="0.4">
      <c r="A18" t="s">
        <v>22</v>
      </c>
      <c r="I18" s="5"/>
      <c r="J18" s="5"/>
      <c r="K18" s="5"/>
      <c r="M18" s="14"/>
      <c r="P18" s="1"/>
      <c r="Q18" s="1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</row>
    <row r="19" spans="1:49" ht="15" x14ac:dyDescent="0.5">
      <c r="A19" s="16"/>
      <c r="B19" s="17" t="s">
        <v>23</v>
      </c>
      <c r="C19" s="16"/>
      <c r="D19" s="18" t="s">
        <v>24</v>
      </c>
      <c r="E19" s="19"/>
      <c r="F19" s="19"/>
      <c r="G19" s="19"/>
      <c r="H19" s="20"/>
      <c r="I19" s="5"/>
      <c r="J19" s="5"/>
      <c r="K19" s="5"/>
      <c r="M19" s="14"/>
      <c r="P19" s="1"/>
      <c r="Q19" s="1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</row>
    <row r="20" spans="1:49" ht="15" x14ac:dyDescent="0.5">
      <c r="A20" s="21" t="s">
        <v>25</v>
      </c>
      <c r="B20" s="22" t="s">
        <v>26</v>
      </c>
      <c r="C20" s="21" t="s">
        <v>27</v>
      </c>
      <c r="D20" s="21" t="s">
        <v>28</v>
      </c>
      <c r="E20" s="22" t="s">
        <v>29</v>
      </c>
      <c r="F20" s="22" t="s">
        <v>30</v>
      </c>
      <c r="G20" s="22" t="s">
        <v>31</v>
      </c>
      <c r="H20" s="23" t="s">
        <v>32</v>
      </c>
      <c r="I20" s="5"/>
      <c r="J20" s="5"/>
      <c r="K20" s="5"/>
      <c r="M20" s="14"/>
      <c r="P20" s="1"/>
      <c r="Q20" s="1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</row>
    <row r="21" spans="1:49" ht="13.15" x14ac:dyDescent="0.4">
      <c r="A21" s="24">
        <v>10000</v>
      </c>
      <c r="C21" s="24">
        <v>11</v>
      </c>
      <c r="D21" s="24">
        <v>7.8</v>
      </c>
      <c r="E21">
        <v>5.3</v>
      </c>
      <c r="F21">
        <v>4</v>
      </c>
      <c r="G21">
        <v>2.7</v>
      </c>
      <c r="H21" s="25">
        <v>1.8</v>
      </c>
      <c r="I21" s="5"/>
      <c r="J21" s="5"/>
      <c r="K21" s="5"/>
      <c r="M21" s="14"/>
      <c r="O21" s="1"/>
      <c r="R21" s="2"/>
      <c r="S21" s="2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</row>
    <row r="22" spans="1:49" ht="13.15" x14ac:dyDescent="0.4">
      <c r="A22" s="24">
        <v>5000</v>
      </c>
      <c r="B22">
        <v>10000</v>
      </c>
      <c r="C22" s="24">
        <v>11.3</v>
      </c>
      <c r="D22" s="24">
        <v>7.8</v>
      </c>
      <c r="E22">
        <v>5.3</v>
      </c>
      <c r="F22">
        <v>4</v>
      </c>
      <c r="G22">
        <v>2.7</v>
      </c>
      <c r="H22" s="25">
        <v>1.9</v>
      </c>
      <c r="I22" s="5"/>
      <c r="J22" s="5"/>
      <c r="K22" s="5"/>
      <c r="M22" s="14"/>
      <c r="O22" s="2"/>
      <c r="P22" s="3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ht="13.15" x14ac:dyDescent="0.4">
      <c r="A23" s="24">
        <v>2000</v>
      </c>
      <c r="B23">
        <v>5000</v>
      </c>
      <c r="C23" s="24">
        <v>11.9</v>
      </c>
      <c r="D23" s="24">
        <v>7.9</v>
      </c>
      <c r="E23">
        <v>5.4</v>
      </c>
      <c r="F23">
        <v>4.0999999999999996</v>
      </c>
      <c r="G23">
        <v>2.9</v>
      </c>
      <c r="H23" s="25">
        <v>2.1</v>
      </c>
      <c r="I23" s="5"/>
      <c r="J23" s="5"/>
      <c r="K23" s="5"/>
      <c r="M23" s="14"/>
      <c r="O23" s="2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1:49" ht="13.15" x14ac:dyDescent="0.4">
      <c r="A24" s="24">
        <v>1000</v>
      </c>
      <c r="B24">
        <v>2000</v>
      </c>
      <c r="C24" s="24">
        <v>13.4</v>
      </c>
      <c r="D24" s="24">
        <v>8</v>
      </c>
      <c r="E24">
        <v>5.6</v>
      </c>
      <c r="F24">
        <v>4.3</v>
      </c>
      <c r="G24">
        <v>3.1</v>
      </c>
      <c r="H24" s="25">
        <v>2.4</v>
      </c>
      <c r="I24" s="5"/>
      <c r="J24" s="5"/>
      <c r="K24" s="5"/>
      <c r="M24" s="14"/>
      <c r="O24" s="2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</row>
    <row r="25" spans="1:49" ht="13.15" x14ac:dyDescent="0.4">
      <c r="A25" s="24">
        <v>500</v>
      </c>
      <c r="B25">
        <v>1000</v>
      </c>
      <c r="C25" s="24">
        <v>15.6</v>
      </c>
      <c r="D25" s="24">
        <v>8.1999999999999993</v>
      </c>
      <c r="E25">
        <v>5.9</v>
      </c>
      <c r="F25">
        <v>4.7</v>
      </c>
      <c r="G25">
        <v>3.6</v>
      </c>
      <c r="H25" s="25">
        <v>2.9</v>
      </c>
      <c r="I25" s="5"/>
      <c r="J25" s="5"/>
      <c r="K25" s="5"/>
      <c r="M25" s="14"/>
      <c r="O25" s="2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</row>
    <row r="26" spans="1:49" x14ac:dyDescent="0.35">
      <c r="A26" s="24">
        <v>200</v>
      </c>
      <c r="B26">
        <v>500</v>
      </c>
      <c r="C26" s="24">
        <v>19.3</v>
      </c>
      <c r="D26" s="24">
        <v>8.9</v>
      </c>
      <c r="E26">
        <v>6.8</v>
      </c>
      <c r="F26">
        <v>5.7</v>
      </c>
      <c r="G26">
        <v>4.7</v>
      </c>
      <c r="H26" s="25">
        <v>4.0999999999999996</v>
      </c>
      <c r="I26" s="5"/>
      <c r="J26" s="5"/>
      <c r="K26" s="5"/>
      <c r="M26" s="14"/>
    </row>
    <row r="27" spans="1:49" x14ac:dyDescent="0.35">
      <c r="A27" s="28">
        <v>100</v>
      </c>
      <c r="B27" s="29">
        <v>200</v>
      </c>
      <c r="C27" s="28">
        <v>27.5</v>
      </c>
      <c r="D27" s="28">
        <v>10</v>
      </c>
      <c r="E27" s="29">
        <v>8</v>
      </c>
      <c r="F27" s="29">
        <v>7</v>
      </c>
      <c r="G27" s="29">
        <v>6.1</v>
      </c>
      <c r="H27" s="30">
        <v>5.5</v>
      </c>
      <c r="I27" s="5"/>
      <c r="J27" s="5"/>
      <c r="K27" s="5"/>
      <c r="M27" s="14"/>
    </row>
    <row r="28" spans="1:49" ht="13.15" x14ac:dyDescent="0.4">
      <c r="A28" s="3"/>
      <c r="G28" s="15"/>
      <c r="H28" s="10"/>
      <c r="I28" s="5"/>
      <c r="J28" s="5"/>
      <c r="K28" s="5"/>
      <c r="M28" s="14"/>
    </row>
    <row r="29" spans="1:49" ht="13.15" x14ac:dyDescent="0.4">
      <c r="A29" s="3"/>
      <c r="G29" s="15"/>
      <c r="H29" s="10"/>
      <c r="I29" s="5"/>
      <c r="J29" s="5"/>
      <c r="K29" s="5"/>
      <c r="M29" s="14"/>
    </row>
    <row r="30" spans="1:49" ht="13.15" x14ac:dyDescent="0.4">
      <c r="A30" s="3"/>
      <c r="G30" s="15"/>
      <c r="H30" s="10"/>
      <c r="I30" s="5"/>
      <c r="J30" s="5"/>
      <c r="K30" s="5"/>
      <c r="M30" s="14"/>
    </row>
    <row r="31" spans="1:49" x14ac:dyDescent="0.35">
      <c r="A31" s="3"/>
      <c r="I31" s="5"/>
      <c r="J31" s="5"/>
      <c r="K31" s="5"/>
      <c r="M31" s="14"/>
    </row>
    <row r="32" spans="1:49" x14ac:dyDescent="0.35">
      <c r="A32" s="66"/>
      <c r="B32" s="66"/>
      <c r="C32" s="66"/>
      <c r="D32" s="66"/>
      <c r="E32" s="66"/>
      <c r="F32" s="66"/>
      <c r="G32" s="66"/>
      <c r="H32" s="66"/>
      <c r="I32" s="5"/>
      <c r="J32" s="5"/>
      <c r="K32" s="5"/>
      <c r="M32" s="14"/>
    </row>
    <row r="33" spans="1:13" x14ac:dyDescent="0.35">
      <c r="A33" s="66"/>
      <c r="B33" s="66"/>
      <c r="C33" s="66"/>
      <c r="D33" s="66"/>
      <c r="E33" s="66"/>
      <c r="F33" s="66"/>
      <c r="G33" s="66"/>
      <c r="H33" s="66"/>
      <c r="I33" s="5"/>
      <c r="J33" s="5"/>
      <c r="K33" s="5"/>
      <c r="M33" s="14"/>
    </row>
    <row r="34" spans="1:13" x14ac:dyDescent="0.35">
      <c r="A34" s="66"/>
      <c r="B34" s="66"/>
      <c r="C34" s="66"/>
      <c r="D34" s="66"/>
      <c r="E34" s="66"/>
      <c r="F34" s="66"/>
      <c r="G34" s="66"/>
      <c r="H34" s="66"/>
      <c r="I34" s="5"/>
      <c r="J34" s="5"/>
      <c r="K34" s="5"/>
      <c r="M34" s="14"/>
    </row>
    <row r="35" spans="1:13" x14ac:dyDescent="0.35">
      <c r="A35" s="66"/>
      <c r="B35" s="66"/>
      <c r="C35" s="66"/>
      <c r="D35" s="66"/>
      <c r="E35" s="66"/>
      <c r="F35" s="66"/>
      <c r="G35" s="66"/>
      <c r="H35" s="66"/>
      <c r="I35" s="5"/>
      <c r="J35" s="5"/>
      <c r="K35" s="5"/>
      <c r="M35" s="14"/>
    </row>
    <row r="36" spans="1:13" x14ac:dyDescent="0.35">
      <c r="A36" s="66"/>
      <c r="B36" s="66"/>
      <c r="C36" s="66"/>
      <c r="D36" s="66"/>
      <c r="E36" s="66"/>
      <c r="F36" s="66"/>
      <c r="G36" s="66"/>
      <c r="H36" s="66"/>
      <c r="I36" s="5"/>
      <c r="J36" s="5"/>
      <c r="K36" s="5"/>
      <c r="M36" s="14"/>
    </row>
    <row r="37" spans="1:13" x14ac:dyDescent="0.35">
      <c r="A37" s="3"/>
      <c r="I37" s="5"/>
      <c r="J37" s="5"/>
      <c r="K37" s="5"/>
    </row>
    <row r="38" spans="1:13" x14ac:dyDescent="0.35">
      <c r="A38" s="3"/>
      <c r="I38" s="5"/>
      <c r="J38" s="5"/>
      <c r="K38" s="5"/>
    </row>
    <row r="51" spans="27:31" x14ac:dyDescent="0.35">
      <c r="AA51">
        <v>5</v>
      </c>
      <c r="AB51">
        <v>5</v>
      </c>
      <c r="AC51">
        <v>4</v>
      </c>
      <c r="AD51">
        <v>1</v>
      </c>
      <c r="AE51">
        <v>1</v>
      </c>
    </row>
    <row r="52" spans="27:31" x14ac:dyDescent="0.35">
      <c r="AA52">
        <v>4</v>
      </c>
      <c r="AB52">
        <v>3</v>
      </c>
      <c r="AC52">
        <v>0</v>
      </c>
      <c r="AD52">
        <v>0</v>
      </c>
      <c r="AE52">
        <v>0</v>
      </c>
    </row>
    <row r="53" spans="27:31" x14ac:dyDescent="0.35">
      <c r="AA53">
        <v>10</v>
      </c>
      <c r="AB53">
        <v>7</v>
      </c>
      <c r="AC53">
        <v>2</v>
      </c>
      <c r="AD53">
        <v>1</v>
      </c>
      <c r="AE53">
        <v>1</v>
      </c>
    </row>
    <row r="54" spans="27:31" x14ac:dyDescent="0.35">
      <c r="AA54">
        <v>5</v>
      </c>
      <c r="AB54">
        <v>5</v>
      </c>
      <c r="AC54">
        <v>3</v>
      </c>
      <c r="AD54">
        <v>1</v>
      </c>
      <c r="AE54">
        <v>1</v>
      </c>
    </row>
    <row r="55" spans="27:31" x14ac:dyDescent="0.35">
      <c r="AA55">
        <v>5</v>
      </c>
      <c r="AB55">
        <v>4</v>
      </c>
      <c r="AC55">
        <v>3</v>
      </c>
      <c r="AD55">
        <v>0</v>
      </c>
      <c r="AE55">
        <v>0</v>
      </c>
    </row>
    <row r="71" spans="1:11" x14ac:dyDescent="0.35">
      <c r="H71" s="14"/>
      <c r="J71" s="14"/>
    </row>
    <row r="72" spans="1:11" x14ac:dyDescent="0.35">
      <c r="G72" s="14"/>
      <c r="H72" s="14"/>
      <c r="I72" s="14"/>
      <c r="J72" s="14"/>
    </row>
    <row r="73" spans="1:11" ht="13.15" x14ac:dyDescent="0.4">
      <c r="A73" s="1"/>
    </row>
    <row r="77" spans="1:11" x14ac:dyDescent="0.35">
      <c r="H77" s="27"/>
      <c r="J77" s="27"/>
    </row>
    <row r="78" spans="1:11" ht="13.15" x14ac:dyDescent="0.4">
      <c r="A78" s="1"/>
      <c r="H78" s="33"/>
      <c r="J78" s="33"/>
    </row>
    <row r="79" spans="1:11" ht="13.15" x14ac:dyDescent="0.4">
      <c r="K79" s="2"/>
    </row>
  </sheetData>
  <conditionalFormatting sqref="H9:H18 H28:H30 H39">
    <cfRule type="cellIs" dxfId="4" priority="4" operator="greaterThan">
      <formula>1000</formula>
    </cfRule>
  </conditionalFormatting>
  <conditionalFormatting sqref="K16:K38">
    <cfRule type="cellIs" dxfId="3" priority="5" operator="lessThan">
      <formula>J18</formula>
    </cfRule>
  </conditionalFormatting>
  <conditionalFormatting sqref="K9:K15">
    <cfRule type="cellIs" dxfId="0" priority="1" operator="lessThan">
      <formula>"$J9"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C4881-7118-4CA1-BCD2-99D4C68E29C2}">
  <sheetPr codeName="Sheet16"/>
  <dimension ref="A1:AMJ56"/>
  <sheetViews>
    <sheetView tabSelected="1" zoomScale="70" zoomScaleNormal="70" workbookViewId="0">
      <selection activeCell="E23" sqref="E23"/>
    </sheetView>
  </sheetViews>
  <sheetFormatPr defaultColWidth="11.53125" defaultRowHeight="12.75" x14ac:dyDescent="0.35"/>
  <cols>
    <col min="1" max="1" width="25.59765625" customWidth="1"/>
    <col min="2" max="2" width="10.796875" customWidth="1"/>
  </cols>
  <sheetData>
    <row r="1" spans="1:1024" ht="33.85" customHeight="1" x14ac:dyDescent="0.35">
      <c r="A1" s="34" t="s">
        <v>36</v>
      </c>
      <c r="B1" s="34" t="s">
        <v>37</v>
      </c>
      <c r="C1" s="67" t="s">
        <v>38</v>
      </c>
      <c r="D1" s="67"/>
      <c r="E1" s="67"/>
      <c r="F1" s="67"/>
      <c r="G1" s="67"/>
      <c r="H1" s="67"/>
      <c r="I1" s="67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35"/>
      <c r="BK1" s="35"/>
      <c r="BL1" s="35"/>
      <c r="BM1" s="35"/>
      <c r="BN1" s="35"/>
      <c r="BO1" s="35"/>
      <c r="BP1" s="35"/>
      <c r="BQ1" s="35"/>
      <c r="BR1" s="35"/>
      <c r="BS1" s="35"/>
      <c r="BT1" s="35"/>
      <c r="BU1" s="35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  <c r="CW1" s="35"/>
      <c r="CX1" s="35"/>
      <c r="CY1" s="35"/>
      <c r="CZ1" s="35"/>
      <c r="DA1" s="35"/>
      <c r="DB1" s="35"/>
      <c r="DC1" s="35"/>
      <c r="DD1" s="35"/>
      <c r="DE1" s="35"/>
      <c r="DF1" s="35"/>
      <c r="DG1" s="35"/>
      <c r="DH1" s="35"/>
      <c r="DI1" s="35"/>
      <c r="DJ1" s="35"/>
      <c r="DK1" s="35"/>
      <c r="DL1" s="35"/>
      <c r="DM1" s="35"/>
      <c r="DN1" s="35"/>
      <c r="DO1" s="35"/>
      <c r="DP1" s="35"/>
      <c r="DQ1" s="35"/>
      <c r="DR1" s="35"/>
      <c r="DS1" s="35"/>
      <c r="DT1" s="35"/>
      <c r="DU1" s="35"/>
      <c r="DV1" s="35"/>
      <c r="DW1" s="35"/>
      <c r="DX1" s="35"/>
      <c r="DY1" s="35"/>
      <c r="DZ1" s="35"/>
      <c r="EA1" s="35"/>
      <c r="EB1" s="35"/>
      <c r="EC1" s="35"/>
      <c r="ED1" s="35"/>
      <c r="EE1" s="35"/>
      <c r="EF1" s="35"/>
      <c r="EG1" s="35"/>
      <c r="EH1" s="35"/>
      <c r="EI1" s="35"/>
      <c r="EJ1" s="35"/>
      <c r="EK1" s="35"/>
      <c r="EL1" s="35"/>
      <c r="EM1" s="35"/>
      <c r="EN1" s="35"/>
      <c r="EO1" s="35"/>
      <c r="EP1" s="35"/>
      <c r="EQ1" s="35"/>
      <c r="ER1" s="35"/>
      <c r="ES1" s="35"/>
      <c r="ET1" s="35"/>
      <c r="EU1" s="35"/>
      <c r="EV1" s="35"/>
      <c r="EW1" s="35"/>
      <c r="EX1" s="35"/>
      <c r="EY1" s="35"/>
      <c r="EZ1" s="35"/>
      <c r="FA1" s="35"/>
      <c r="FB1" s="35"/>
      <c r="FC1" s="35"/>
      <c r="FD1" s="35"/>
      <c r="FE1" s="35"/>
      <c r="FF1" s="35"/>
      <c r="FG1" s="35"/>
      <c r="FH1" s="35"/>
      <c r="FI1" s="35"/>
      <c r="FJ1" s="35"/>
      <c r="FK1" s="35"/>
      <c r="FL1" s="35"/>
      <c r="FM1" s="35"/>
      <c r="FN1" s="35"/>
      <c r="FO1" s="35"/>
      <c r="FP1" s="35"/>
      <c r="FQ1" s="35"/>
      <c r="FR1" s="35"/>
      <c r="FS1" s="35"/>
      <c r="FT1" s="35"/>
      <c r="FU1" s="35"/>
      <c r="FV1" s="35"/>
      <c r="FW1" s="35"/>
      <c r="FX1" s="35"/>
      <c r="FY1" s="35"/>
      <c r="FZ1" s="35"/>
      <c r="GA1" s="35"/>
      <c r="GB1" s="35"/>
      <c r="GC1" s="35"/>
      <c r="GD1" s="35"/>
      <c r="GE1" s="35"/>
      <c r="GF1" s="35"/>
      <c r="GG1" s="35"/>
      <c r="GH1" s="35"/>
      <c r="GI1" s="35"/>
      <c r="GJ1" s="35"/>
      <c r="GK1" s="35"/>
      <c r="GL1" s="35"/>
      <c r="GM1" s="35"/>
      <c r="GN1" s="35"/>
      <c r="GO1" s="35"/>
      <c r="GP1" s="35"/>
      <c r="GQ1" s="35"/>
      <c r="GR1" s="35"/>
      <c r="GS1" s="35"/>
      <c r="GT1" s="35"/>
      <c r="GU1" s="35"/>
      <c r="GV1" s="35"/>
      <c r="GW1" s="35"/>
      <c r="GX1" s="35"/>
      <c r="GY1" s="35"/>
      <c r="GZ1" s="35"/>
      <c r="HA1" s="35"/>
      <c r="HB1" s="35"/>
      <c r="HC1" s="35"/>
      <c r="HD1" s="35"/>
      <c r="HE1" s="35"/>
      <c r="HF1" s="35"/>
      <c r="HG1" s="35"/>
      <c r="HH1" s="35"/>
      <c r="HI1" s="35"/>
      <c r="HJ1" s="35"/>
      <c r="HK1" s="35"/>
      <c r="HL1" s="35"/>
      <c r="HM1" s="35"/>
      <c r="HN1" s="35"/>
      <c r="HO1" s="35"/>
      <c r="HP1" s="35"/>
      <c r="HQ1" s="35"/>
      <c r="HR1" s="35"/>
      <c r="HS1" s="35"/>
      <c r="HT1" s="35"/>
      <c r="HU1" s="35"/>
      <c r="HV1" s="35"/>
      <c r="HW1" s="35"/>
      <c r="HX1" s="35"/>
      <c r="HY1" s="35"/>
      <c r="HZ1" s="35"/>
      <c r="IA1" s="35"/>
      <c r="IB1" s="35"/>
      <c r="IC1" s="35"/>
      <c r="ID1" s="35"/>
      <c r="IE1" s="35"/>
      <c r="IF1" s="35"/>
      <c r="IG1" s="35"/>
      <c r="IH1" s="35"/>
      <c r="II1" s="35"/>
      <c r="IJ1" s="35"/>
      <c r="IK1" s="35"/>
      <c r="IL1" s="35"/>
      <c r="IM1" s="35"/>
      <c r="IN1" s="35"/>
      <c r="IO1" s="35"/>
      <c r="IP1" s="35"/>
      <c r="IQ1" s="35"/>
      <c r="IR1" s="35"/>
      <c r="IS1" s="35"/>
      <c r="IT1" s="35"/>
      <c r="IU1" s="35"/>
      <c r="IV1" s="35"/>
      <c r="IW1" s="35"/>
      <c r="IX1" s="35"/>
      <c r="IY1" s="35"/>
      <c r="IZ1" s="35"/>
      <c r="JA1" s="35"/>
      <c r="JB1" s="35"/>
      <c r="JC1" s="35"/>
      <c r="JD1" s="35"/>
      <c r="JE1" s="35"/>
      <c r="JF1" s="35"/>
      <c r="JG1" s="35"/>
      <c r="JH1" s="35"/>
      <c r="JI1" s="35"/>
      <c r="JJ1" s="35"/>
      <c r="JK1" s="35"/>
      <c r="JL1" s="35"/>
      <c r="JM1" s="35"/>
      <c r="JN1" s="35"/>
      <c r="JO1" s="35"/>
      <c r="JP1" s="35"/>
      <c r="JQ1" s="35"/>
      <c r="JR1" s="35"/>
      <c r="JS1" s="35"/>
      <c r="JT1" s="35"/>
      <c r="JU1" s="35"/>
      <c r="JV1" s="35"/>
      <c r="JW1" s="35"/>
      <c r="JX1" s="35"/>
      <c r="JY1" s="35"/>
      <c r="JZ1" s="35"/>
      <c r="KA1" s="35"/>
      <c r="KB1" s="35"/>
      <c r="KC1" s="35"/>
      <c r="KD1" s="35"/>
      <c r="KE1" s="35"/>
      <c r="KF1" s="35"/>
      <c r="KG1" s="35"/>
      <c r="KH1" s="35"/>
      <c r="KI1" s="35"/>
      <c r="KJ1" s="35"/>
      <c r="KK1" s="35"/>
      <c r="KL1" s="35"/>
      <c r="KM1" s="35"/>
      <c r="KN1" s="35"/>
      <c r="KO1" s="35"/>
      <c r="KP1" s="35"/>
      <c r="KQ1" s="35"/>
      <c r="KR1" s="35"/>
      <c r="KS1" s="35"/>
      <c r="KT1" s="35"/>
      <c r="KU1" s="35"/>
      <c r="KV1" s="35"/>
      <c r="KW1" s="35"/>
      <c r="KX1" s="35"/>
      <c r="KY1" s="35"/>
      <c r="KZ1" s="35"/>
      <c r="LA1" s="35"/>
      <c r="LB1" s="35"/>
      <c r="LC1" s="35"/>
      <c r="LD1" s="35"/>
      <c r="LE1" s="35"/>
      <c r="LF1" s="35"/>
      <c r="LG1" s="35"/>
      <c r="LH1" s="35"/>
      <c r="LI1" s="35"/>
      <c r="LJ1" s="35"/>
      <c r="LK1" s="35"/>
      <c r="LL1" s="35"/>
      <c r="LM1" s="35"/>
      <c r="LN1" s="35"/>
      <c r="LO1" s="35"/>
      <c r="LP1" s="35"/>
      <c r="LQ1" s="35"/>
      <c r="LR1" s="35"/>
      <c r="LS1" s="35"/>
      <c r="LT1" s="35"/>
      <c r="LU1" s="35"/>
      <c r="LV1" s="35"/>
      <c r="LW1" s="35"/>
      <c r="LX1" s="35"/>
      <c r="LY1" s="35"/>
      <c r="LZ1" s="35"/>
      <c r="MA1" s="35"/>
      <c r="MB1" s="35"/>
      <c r="MC1" s="35"/>
      <c r="MD1" s="35"/>
      <c r="ME1" s="35"/>
      <c r="MF1" s="35"/>
      <c r="MG1" s="35"/>
      <c r="MH1" s="35"/>
      <c r="MI1" s="35"/>
      <c r="MJ1" s="35"/>
      <c r="MK1" s="35"/>
      <c r="ML1" s="35"/>
      <c r="MM1" s="35"/>
      <c r="MN1" s="35"/>
      <c r="MO1" s="35"/>
      <c r="MP1" s="35"/>
      <c r="MQ1" s="35"/>
      <c r="MR1" s="35"/>
      <c r="MS1" s="35"/>
      <c r="MT1" s="35"/>
      <c r="MU1" s="35"/>
      <c r="MV1" s="35"/>
      <c r="MW1" s="35"/>
      <c r="MX1" s="35"/>
      <c r="MY1" s="35"/>
      <c r="MZ1" s="35"/>
      <c r="NA1" s="35"/>
      <c r="NB1" s="35"/>
      <c r="NC1" s="35"/>
      <c r="ND1" s="35"/>
      <c r="NE1" s="35"/>
      <c r="NF1" s="35"/>
      <c r="NG1" s="35"/>
      <c r="NH1" s="35"/>
      <c r="NI1" s="35"/>
      <c r="NJ1" s="35"/>
      <c r="NK1" s="35"/>
      <c r="NL1" s="35"/>
      <c r="NM1" s="35"/>
      <c r="NN1" s="35"/>
      <c r="NO1" s="35"/>
      <c r="NP1" s="35"/>
      <c r="NQ1" s="35"/>
      <c r="NR1" s="35"/>
      <c r="NS1" s="35"/>
      <c r="NT1" s="35"/>
      <c r="NU1" s="35"/>
      <c r="NV1" s="35"/>
      <c r="NW1" s="35"/>
      <c r="NX1" s="35"/>
      <c r="NY1" s="35"/>
      <c r="NZ1" s="35"/>
      <c r="OA1" s="35"/>
      <c r="OB1" s="35"/>
      <c r="OC1" s="35"/>
      <c r="OD1" s="35"/>
      <c r="OE1" s="35"/>
      <c r="OF1" s="35"/>
      <c r="OG1" s="35"/>
      <c r="OH1" s="35"/>
      <c r="OI1" s="35"/>
      <c r="OJ1" s="35"/>
      <c r="OK1" s="35"/>
      <c r="OL1" s="35"/>
      <c r="OM1" s="35"/>
      <c r="ON1" s="35"/>
      <c r="OO1" s="35"/>
      <c r="OP1" s="35"/>
      <c r="OQ1" s="35"/>
      <c r="OR1" s="35"/>
      <c r="OS1" s="35"/>
      <c r="OT1" s="35"/>
      <c r="OU1" s="35"/>
      <c r="OV1" s="35"/>
      <c r="OW1" s="35"/>
      <c r="OX1" s="35"/>
      <c r="OY1" s="35"/>
      <c r="OZ1" s="35"/>
      <c r="PA1" s="35"/>
      <c r="PB1" s="35"/>
      <c r="PC1" s="35"/>
      <c r="PD1" s="35"/>
      <c r="PE1" s="35"/>
      <c r="PF1" s="35"/>
      <c r="PG1" s="35"/>
      <c r="PH1" s="35"/>
      <c r="PI1" s="35"/>
      <c r="PJ1" s="35"/>
      <c r="PK1" s="35"/>
      <c r="PL1" s="35"/>
      <c r="PM1" s="35"/>
      <c r="PN1" s="35"/>
      <c r="PO1" s="35"/>
      <c r="PP1" s="35"/>
      <c r="PQ1" s="35"/>
      <c r="PR1" s="35"/>
      <c r="PS1" s="35"/>
      <c r="PT1" s="35"/>
      <c r="PU1" s="35"/>
      <c r="PV1" s="35"/>
      <c r="PW1" s="35"/>
      <c r="PX1" s="35"/>
      <c r="PY1" s="35"/>
      <c r="PZ1" s="35"/>
      <c r="QA1" s="35"/>
      <c r="QB1" s="35"/>
      <c r="QC1" s="35"/>
      <c r="QD1" s="35"/>
      <c r="QE1" s="35"/>
      <c r="QF1" s="35"/>
      <c r="QG1" s="35"/>
      <c r="QH1" s="35"/>
      <c r="QI1" s="35"/>
      <c r="QJ1" s="35"/>
      <c r="QK1" s="35"/>
      <c r="QL1" s="35"/>
      <c r="QM1" s="35"/>
      <c r="QN1" s="35"/>
      <c r="QO1" s="35"/>
      <c r="QP1" s="35"/>
      <c r="QQ1" s="35"/>
      <c r="QR1" s="35"/>
      <c r="QS1" s="35"/>
      <c r="QT1" s="35"/>
      <c r="QU1" s="35"/>
      <c r="QV1" s="35"/>
      <c r="QW1" s="35"/>
      <c r="QX1" s="35"/>
      <c r="QY1" s="35"/>
      <c r="QZ1" s="35"/>
      <c r="RA1" s="35"/>
      <c r="RB1" s="35"/>
      <c r="RC1" s="35"/>
      <c r="RD1" s="35"/>
      <c r="RE1" s="35"/>
      <c r="RF1" s="35"/>
      <c r="RG1" s="35"/>
      <c r="RH1" s="35"/>
      <c r="RI1" s="35"/>
      <c r="RJ1" s="35"/>
      <c r="RK1" s="35"/>
      <c r="RL1" s="35"/>
      <c r="RM1" s="35"/>
      <c r="RN1" s="35"/>
      <c r="RO1" s="35"/>
      <c r="RP1" s="35"/>
      <c r="RQ1" s="35"/>
      <c r="RR1" s="35"/>
      <c r="RS1" s="35"/>
      <c r="RT1" s="35"/>
      <c r="RU1" s="35"/>
      <c r="RV1" s="35"/>
      <c r="RW1" s="35"/>
      <c r="RX1" s="35"/>
      <c r="RY1" s="35"/>
      <c r="RZ1" s="35"/>
      <c r="SA1" s="35"/>
      <c r="SB1" s="35"/>
      <c r="SC1" s="35"/>
      <c r="SD1" s="35"/>
      <c r="SE1" s="35"/>
      <c r="SF1" s="35"/>
      <c r="SG1" s="35"/>
      <c r="SH1" s="35"/>
      <c r="SI1" s="35"/>
      <c r="SJ1" s="35"/>
      <c r="SK1" s="35"/>
      <c r="SL1" s="35"/>
      <c r="SM1" s="35"/>
      <c r="SN1" s="35"/>
      <c r="SO1" s="35"/>
      <c r="SP1" s="35"/>
      <c r="SQ1" s="35"/>
      <c r="SR1" s="35"/>
      <c r="SS1" s="35"/>
      <c r="ST1" s="35"/>
      <c r="SU1" s="35"/>
      <c r="SV1" s="35"/>
      <c r="SW1" s="35"/>
      <c r="SX1" s="35"/>
      <c r="SY1" s="35"/>
      <c r="SZ1" s="35"/>
      <c r="TA1" s="35"/>
      <c r="TB1" s="35"/>
      <c r="TC1" s="35"/>
      <c r="TD1" s="35"/>
      <c r="TE1" s="35"/>
      <c r="TF1" s="35"/>
      <c r="TG1" s="35"/>
      <c r="TH1" s="35"/>
      <c r="TI1" s="35"/>
      <c r="TJ1" s="35"/>
      <c r="TK1" s="35"/>
      <c r="TL1" s="35"/>
      <c r="TM1" s="35"/>
      <c r="TN1" s="35"/>
      <c r="TO1" s="35"/>
      <c r="TP1" s="35"/>
      <c r="TQ1" s="35"/>
      <c r="TR1" s="35"/>
      <c r="TS1" s="35"/>
      <c r="TT1" s="35"/>
      <c r="TU1" s="35"/>
      <c r="TV1" s="35"/>
      <c r="TW1" s="35"/>
      <c r="TX1" s="35"/>
      <c r="TY1" s="35"/>
      <c r="TZ1" s="35"/>
      <c r="UA1" s="35"/>
      <c r="UB1" s="35"/>
      <c r="UC1" s="35"/>
      <c r="UD1" s="35"/>
      <c r="UE1" s="35"/>
      <c r="UF1" s="35"/>
      <c r="UG1" s="35"/>
      <c r="UH1" s="35"/>
      <c r="UI1" s="35"/>
      <c r="UJ1" s="35"/>
      <c r="UK1" s="35"/>
      <c r="UL1" s="35"/>
      <c r="UM1" s="35"/>
      <c r="UN1" s="35"/>
      <c r="UO1" s="35"/>
      <c r="UP1" s="35"/>
      <c r="UQ1" s="35"/>
      <c r="UR1" s="35"/>
      <c r="US1" s="35"/>
      <c r="UT1" s="35"/>
      <c r="UU1" s="35"/>
      <c r="UV1" s="35"/>
      <c r="UW1" s="35"/>
      <c r="UX1" s="35"/>
      <c r="UY1" s="35"/>
      <c r="UZ1" s="35"/>
      <c r="VA1" s="35"/>
      <c r="VB1" s="35"/>
      <c r="VC1" s="35"/>
      <c r="VD1" s="35"/>
      <c r="VE1" s="35"/>
      <c r="VF1" s="35"/>
      <c r="VG1" s="35"/>
      <c r="VH1" s="35"/>
      <c r="VI1" s="35"/>
      <c r="VJ1" s="35"/>
      <c r="VK1" s="35"/>
      <c r="VL1" s="35"/>
      <c r="VM1" s="35"/>
      <c r="VN1" s="35"/>
      <c r="VO1" s="35"/>
      <c r="VP1" s="35"/>
      <c r="VQ1" s="35"/>
      <c r="VR1" s="35"/>
      <c r="VS1" s="35"/>
      <c r="VT1" s="35"/>
      <c r="VU1" s="35"/>
      <c r="VV1" s="35"/>
      <c r="VW1" s="35"/>
      <c r="VX1" s="35"/>
      <c r="VY1" s="35"/>
      <c r="VZ1" s="35"/>
      <c r="WA1" s="35"/>
      <c r="WB1" s="35"/>
      <c r="WC1" s="35"/>
      <c r="WD1" s="35"/>
      <c r="WE1" s="35"/>
      <c r="WF1" s="35"/>
      <c r="WG1" s="35"/>
      <c r="WH1" s="35"/>
      <c r="WI1" s="35"/>
      <c r="WJ1" s="35"/>
      <c r="WK1" s="35"/>
      <c r="WL1" s="35"/>
      <c r="WM1" s="35"/>
      <c r="WN1" s="35"/>
      <c r="WO1" s="35"/>
      <c r="WP1" s="35"/>
      <c r="WQ1" s="35"/>
      <c r="WR1" s="35"/>
      <c r="WS1" s="35"/>
      <c r="WT1" s="35"/>
      <c r="WU1" s="35"/>
      <c r="WV1" s="35"/>
      <c r="WW1" s="35"/>
      <c r="WX1" s="35"/>
      <c r="WY1" s="35"/>
      <c r="WZ1" s="35"/>
      <c r="XA1" s="35"/>
      <c r="XB1" s="35"/>
      <c r="XC1" s="35"/>
      <c r="XD1" s="35"/>
      <c r="XE1" s="35"/>
      <c r="XF1" s="35"/>
      <c r="XG1" s="35"/>
      <c r="XH1" s="35"/>
      <c r="XI1" s="35"/>
      <c r="XJ1" s="35"/>
      <c r="XK1" s="35"/>
      <c r="XL1" s="35"/>
      <c r="XM1" s="35"/>
      <c r="XN1" s="35"/>
      <c r="XO1" s="35"/>
      <c r="XP1" s="35"/>
      <c r="XQ1" s="35"/>
      <c r="XR1" s="35"/>
      <c r="XS1" s="35"/>
      <c r="XT1" s="35"/>
      <c r="XU1" s="35"/>
      <c r="XV1" s="35"/>
      <c r="XW1" s="35"/>
      <c r="XX1" s="35"/>
      <c r="XY1" s="35"/>
      <c r="XZ1" s="35"/>
      <c r="YA1" s="35"/>
      <c r="YB1" s="35"/>
      <c r="YC1" s="35"/>
      <c r="YD1" s="35"/>
      <c r="YE1" s="35"/>
      <c r="YF1" s="35"/>
      <c r="YG1" s="35"/>
      <c r="YH1" s="35"/>
      <c r="YI1" s="35"/>
      <c r="YJ1" s="35"/>
      <c r="YK1" s="35"/>
      <c r="YL1" s="35"/>
      <c r="YM1" s="35"/>
      <c r="YN1" s="35"/>
      <c r="YO1" s="35"/>
      <c r="YP1" s="35"/>
      <c r="YQ1" s="35"/>
      <c r="YR1" s="35"/>
      <c r="YS1" s="35"/>
      <c r="YT1" s="35"/>
      <c r="YU1" s="35"/>
      <c r="YV1" s="35"/>
      <c r="YW1" s="35"/>
      <c r="YX1" s="35"/>
      <c r="YY1" s="35"/>
      <c r="YZ1" s="35"/>
      <c r="ZA1" s="35"/>
      <c r="ZB1" s="35"/>
      <c r="ZC1" s="35"/>
      <c r="ZD1" s="35"/>
      <c r="ZE1" s="35"/>
      <c r="ZF1" s="35"/>
      <c r="ZG1" s="35"/>
      <c r="ZH1" s="35"/>
      <c r="ZI1" s="35"/>
      <c r="ZJ1" s="35"/>
      <c r="ZK1" s="35"/>
      <c r="ZL1" s="35"/>
      <c r="ZM1" s="35"/>
      <c r="ZN1" s="35"/>
      <c r="ZO1" s="35"/>
      <c r="ZP1" s="35"/>
      <c r="ZQ1" s="35"/>
      <c r="ZR1" s="35"/>
      <c r="ZS1" s="35"/>
      <c r="ZT1" s="35"/>
      <c r="ZU1" s="35"/>
      <c r="ZV1" s="35"/>
      <c r="ZW1" s="35"/>
      <c r="ZX1" s="35"/>
      <c r="ZY1" s="35"/>
      <c r="ZZ1" s="35"/>
      <c r="AAA1" s="35"/>
      <c r="AAB1" s="35"/>
      <c r="AAC1" s="35"/>
      <c r="AAD1" s="35"/>
      <c r="AAE1" s="35"/>
      <c r="AAF1" s="35"/>
      <c r="AAG1" s="35"/>
      <c r="AAH1" s="35"/>
      <c r="AAI1" s="35"/>
      <c r="AAJ1" s="35"/>
      <c r="AAK1" s="35"/>
      <c r="AAL1" s="35"/>
      <c r="AAM1" s="35"/>
      <c r="AAN1" s="35"/>
      <c r="AAO1" s="35"/>
      <c r="AAP1" s="35"/>
      <c r="AAQ1" s="35"/>
      <c r="AAR1" s="35"/>
      <c r="AAS1" s="35"/>
      <c r="AAT1" s="35"/>
      <c r="AAU1" s="35"/>
      <c r="AAV1" s="35"/>
      <c r="AAW1" s="35"/>
      <c r="AAX1" s="35"/>
      <c r="AAY1" s="35"/>
      <c r="AAZ1" s="35"/>
      <c r="ABA1" s="35"/>
      <c r="ABB1" s="35"/>
      <c r="ABC1" s="35"/>
      <c r="ABD1" s="35"/>
      <c r="ABE1" s="35"/>
      <c r="ABF1" s="35"/>
      <c r="ABG1" s="35"/>
      <c r="ABH1" s="35"/>
      <c r="ABI1" s="35"/>
      <c r="ABJ1" s="35"/>
      <c r="ABK1" s="35"/>
      <c r="ABL1" s="35"/>
      <c r="ABM1" s="35"/>
      <c r="ABN1" s="35"/>
      <c r="ABO1" s="35"/>
      <c r="ABP1" s="35"/>
      <c r="ABQ1" s="35"/>
      <c r="ABR1" s="35"/>
      <c r="ABS1" s="35"/>
      <c r="ABT1" s="35"/>
      <c r="ABU1" s="35"/>
      <c r="ABV1" s="35"/>
      <c r="ABW1" s="35"/>
      <c r="ABX1" s="35"/>
      <c r="ABY1" s="35"/>
      <c r="ABZ1" s="35"/>
      <c r="ACA1" s="35"/>
      <c r="ACB1" s="35"/>
      <c r="ACC1" s="35"/>
      <c r="ACD1" s="35"/>
      <c r="ACE1" s="35"/>
      <c r="ACF1" s="35"/>
      <c r="ACG1" s="35"/>
      <c r="ACH1" s="35"/>
      <c r="ACI1" s="35"/>
      <c r="ACJ1" s="35"/>
      <c r="ACK1" s="35"/>
      <c r="ACL1" s="35"/>
      <c r="ACM1" s="35"/>
      <c r="ACN1" s="35"/>
      <c r="ACO1" s="35"/>
      <c r="ACP1" s="35"/>
      <c r="ACQ1" s="35"/>
      <c r="ACR1" s="35"/>
      <c r="ACS1" s="35"/>
      <c r="ACT1" s="35"/>
      <c r="ACU1" s="35"/>
      <c r="ACV1" s="35"/>
      <c r="ACW1" s="35"/>
      <c r="ACX1" s="35"/>
      <c r="ACY1" s="35"/>
      <c r="ACZ1" s="35"/>
      <c r="ADA1" s="35"/>
      <c r="ADB1" s="35"/>
      <c r="ADC1" s="35"/>
      <c r="ADD1" s="35"/>
      <c r="ADE1" s="35"/>
      <c r="ADF1" s="35"/>
      <c r="ADG1" s="35"/>
      <c r="ADH1" s="35"/>
      <c r="ADI1" s="35"/>
      <c r="ADJ1" s="35"/>
      <c r="ADK1" s="35"/>
      <c r="ADL1" s="35"/>
      <c r="ADM1" s="35"/>
      <c r="ADN1" s="35"/>
      <c r="ADO1" s="35"/>
      <c r="ADP1" s="35"/>
      <c r="ADQ1" s="35"/>
      <c r="ADR1" s="35"/>
      <c r="ADS1" s="35"/>
      <c r="ADT1" s="35"/>
      <c r="ADU1" s="35"/>
      <c r="ADV1" s="35"/>
      <c r="ADW1" s="35"/>
      <c r="ADX1" s="35"/>
      <c r="ADY1" s="35"/>
      <c r="ADZ1" s="35"/>
      <c r="AEA1" s="35"/>
      <c r="AEB1" s="35"/>
      <c r="AEC1" s="35"/>
      <c r="AED1" s="35"/>
      <c r="AEE1" s="35"/>
      <c r="AEF1" s="35"/>
      <c r="AEG1" s="35"/>
      <c r="AEH1" s="35"/>
      <c r="AEI1" s="35"/>
      <c r="AEJ1" s="35"/>
      <c r="AEK1" s="35"/>
      <c r="AEL1" s="35"/>
      <c r="AEM1" s="35"/>
      <c r="AEN1" s="35"/>
      <c r="AEO1" s="35"/>
      <c r="AEP1" s="35"/>
      <c r="AEQ1" s="35"/>
      <c r="AER1" s="35"/>
      <c r="AES1" s="35"/>
      <c r="AET1" s="35"/>
      <c r="AEU1" s="35"/>
      <c r="AEV1" s="35"/>
      <c r="AEW1" s="35"/>
      <c r="AEX1" s="35"/>
      <c r="AEY1" s="35"/>
      <c r="AEZ1" s="35"/>
      <c r="AFA1" s="35"/>
      <c r="AFB1" s="35"/>
      <c r="AFC1" s="35"/>
      <c r="AFD1" s="35"/>
      <c r="AFE1" s="35"/>
      <c r="AFF1" s="35"/>
      <c r="AFG1" s="35"/>
      <c r="AFH1" s="35"/>
      <c r="AFI1" s="35"/>
      <c r="AFJ1" s="35"/>
      <c r="AFK1" s="35"/>
      <c r="AFL1" s="35"/>
      <c r="AFM1" s="35"/>
      <c r="AFN1" s="35"/>
      <c r="AFO1" s="35"/>
      <c r="AFP1" s="35"/>
      <c r="AFQ1" s="35"/>
      <c r="AFR1" s="35"/>
      <c r="AFS1" s="35"/>
      <c r="AFT1" s="35"/>
      <c r="AFU1" s="35"/>
      <c r="AFV1" s="35"/>
      <c r="AFW1" s="35"/>
      <c r="AFX1" s="35"/>
      <c r="AFY1" s="35"/>
      <c r="AFZ1" s="35"/>
      <c r="AGA1" s="35"/>
      <c r="AGB1" s="35"/>
      <c r="AGC1" s="35"/>
      <c r="AGD1" s="35"/>
      <c r="AGE1" s="35"/>
      <c r="AGF1" s="35"/>
      <c r="AGG1" s="35"/>
      <c r="AGH1" s="35"/>
      <c r="AGI1" s="35"/>
      <c r="AGJ1" s="35"/>
      <c r="AGK1" s="35"/>
      <c r="AGL1" s="35"/>
      <c r="AGM1" s="35"/>
      <c r="AGN1" s="35"/>
      <c r="AGO1" s="35"/>
      <c r="AGP1" s="35"/>
      <c r="AGQ1" s="35"/>
      <c r="AGR1" s="35"/>
      <c r="AGS1" s="35"/>
      <c r="AGT1" s="35"/>
      <c r="AGU1" s="35"/>
      <c r="AGV1" s="35"/>
      <c r="AGW1" s="35"/>
      <c r="AGX1" s="35"/>
      <c r="AGY1" s="35"/>
      <c r="AGZ1" s="35"/>
      <c r="AHA1" s="35"/>
      <c r="AHB1" s="35"/>
      <c r="AHC1" s="35"/>
      <c r="AHD1" s="35"/>
      <c r="AHE1" s="35"/>
      <c r="AHF1" s="35"/>
      <c r="AHG1" s="35"/>
      <c r="AHH1" s="35"/>
      <c r="AHI1" s="35"/>
      <c r="AHJ1" s="35"/>
      <c r="AHK1" s="35"/>
      <c r="AHL1" s="35"/>
      <c r="AHM1" s="35"/>
      <c r="AHN1" s="35"/>
      <c r="AHO1" s="35"/>
      <c r="AHP1" s="35"/>
      <c r="AHQ1" s="35"/>
      <c r="AHR1" s="35"/>
      <c r="AHS1" s="35"/>
      <c r="AHT1" s="35"/>
      <c r="AHU1" s="35"/>
      <c r="AHV1" s="35"/>
      <c r="AHW1" s="35"/>
      <c r="AHX1" s="35"/>
      <c r="AHY1" s="35"/>
      <c r="AHZ1" s="35"/>
      <c r="AIA1" s="35"/>
      <c r="AIB1" s="35"/>
      <c r="AIC1" s="35"/>
      <c r="AID1" s="35"/>
      <c r="AIE1" s="35"/>
      <c r="AIF1" s="35"/>
      <c r="AIG1" s="35"/>
      <c r="AIH1" s="35"/>
      <c r="AII1" s="35"/>
      <c r="AIJ1" s="35"/>
      <c r="AIK1" s="35"/>
      <c r="AIL1" s="35"/>
      <c r="AIM1" s="35"/>
      <c r="AIN1" s="35"/>
      <c r="AIO1" s="35"/>
      <c r="AIP1" s="35"/>
      <c r="AIQ1" s="35"/>
      <c r="AIR1" s="35"/>
      <c r="AIS1" s="35"/>
      <c r="AIT1" s="35"/>
      <c r="AIU1" s="35"/>
      <c r="AIV1" s="35"/>
      <c r="AIW1" s="35"/>
      <c r="AIX1" s="35"/>
      <c r="AIY1" s="35"/>
      <c r="AIZ1" s="35"/>
      <c r="AJA1" s="35"/>
      <c r="AJB1" s="35"/>
      <c r="AJC1" s="35"/>
      <c r="AJD1" s="35"/>
      <c r="AJE1" s="35"/>
      <c r="AJF1" s="35"/>
      <c r="AJG1" s="35"/>
      <c r="AJH1" s="35"/>
      <c r="AJI1" s="35"/>
      <c r="AJJ1" s="35"/>
      <c r="AJK1" s="35"/>
      <c r="AJL1" s="35"/>
      <c r="AJM1" s="35"/>
      <c r="AJN1" s="35"/>
      <c r="AJO1" s="35"/>
      <c r="AJP1" s="35"/>
      <c r="AJQ1" s="35"/>
      <c r="AJR1" s="35"/>
      <c r="AJS1" s="35"/>
      <c r="AJT1" s="35"/>
      <c r="AJU1" s="35"/>
      <c r="AJV1" s="35"/>
      <c r="AJW1" s="35"/>
      <c r="AJX1" s="35"/>
      <c r="AJY1" s="35"/>
      <c r="AJZ1" s="35"/>
      <c r="AKA1" s="35"/>
      <c r="AKB1" s="35"/>
      <c r="AKC1" s="35"/>
      <c r="AKD1" s="35"/>
      <c r="AKE1" s="35"/>
      <c r="AKF1" s="35"/>
      <c r="AKG1" s="35"/>
      <c r="AKH1" s="35"/>
      <c r="AKI1" s="35"/>
      <c r="AKJ1" s="35"/>
      <c r="AKK1" s="35"/>
      <c r="AKL1" s="35"/>
      <c r="AKM1" s="35"/>
      <c r="AKN1" s="35"/>
      <c r="AKO1" s="35"/>
      <c r="AKP1" s="35"/>
      <c r="AKQ1" s="35"/>
      <c r="AKR1" s="35"/>
      <c r="AKS1" s="35"/>
      <c r="AKT1" s="35"/>
      <c r="AKU1" s="35"/>
      <c r="AKV1" s="35"/>
      <c r="AKW1" s="35"/>
      <c r="AKX1" s="35"/>
      <c r="AKY1" s="35"/>
      <c r="AKZ1" s="35"/>
      <c r="ALA1" s="35"/>
      <c r="ALB1" s="35"/>
      <c r="ALC1" s="35"/>
      <c r="ALD1" s="35"/>
      <c r="ALE1" s="35"/>
      <c r="ALF1" s="35"/>
      <c r="ALG1" s="35"/>
      <c r="ALH1" s="35"/>
      <c r="ALI1" s="35"/>
      <c r="ALJ1" s="35"/>
      <c r="ALK1" s="35"/>
      <c r="ALL1" s="35"/>
      <c r="ALM1" s="35"/>
      <c r="ALN1" s="35"/>
      <c r="ALO1" s="35"/>
      <c r="ALP1" s="35"/>
      <c r="ALQ1" s="35"/>
      <c r="ALR1" s="35"/>
      <c r="ALS1" s="35"/>
      <c r="ALT1" s="35"/>
      <c r="ALU1" s="35"/>
      <c r="ALV1" s="35"/>
      <c r="ALW1" s="35"/>
      <c r="ALX1" s="35"/>
      <c r="ALY1" s="35"/>
      <c r="ALZ1" s="35"/>
      <c r="AMA1" s="35"/>
      <c r="AMB1" s="35"/>
      <c r="AMC1" s="35"/>
      <c r="AMD1" s="35"/>
      <c r="AME1" s="35"/>
      <c r="AMF1" s="35"/>
      <c r="AMG1" s="35"/>
      <c r="AMH1" s="35"/>
      <c r="AMI1" s="35"/>
      <c r="AMJ1" s="35"/>
    </row>
    <row r="3" spans="1:1024" ht="13.15" x14ac:dyDescent="0.4">
      <c r="A3" s="1" t="s">
        <v>39</v>
      </c>
      <c r="D3" s="3" t="s">
        <v>69</v>
      </c>
    </row>
    <row r="4" spans="1:1024" x14ac:dyDescent="0.35">
      <c r="A4" t="s">
        <v>40</v>
      </c>
      <c r="D4" s="3" t="s">
        <v>71</v>
      </c>
    </row>
    <row r="5" spans="1:1024" x14ac:dyDescent="0.35">
      <c r="A5" t="s">
        <v>41</v>
      </c>
      <c r="D5" s="3" t="s">
        <v>70</v>
      </c>
    </row>
    <row r="6" spans="1:1024" x14ac:dyDescent="0.35">
      <c r="A6" t="s">
        <v>42</v>
      </c>
      <c r="D6" s="3" t="s">
        <v>71</v>
      </c>
    </row>
    <row r="7" spans="1:1024" x14ac:dyDescent="0.35">
      <c r="A7" t="s">
        <v>43</v>
      </c>
      <c r="D7" s="3"/>
    </row>
    <row r="8" spans="1:1024" ht="13.15" x14ac:dyDescent="0.4">
      <c r="A8" t="s">
        <v>33</v>
      </c>
      <c r="D8" s="36">
        <v>46078</v>
      </c>
    </row>
    <row r="9" spans="1:1024" x14ac:dyDescent="0.35">
      <c r="A9" t="s">
        <v>44</v>
      </c>
      <c r="D9" s="37" t="s">
        <v>45</v>
      </c>
    </row>
    <row r="10" spans="1:1024" ht="13.15" x14ac:dyDescent="0.4">
      <c r="A10" t="s">
        <v>46</v>
      </c>
      <c r="D10" s="2">
        <v>80</v>
      </c>
    </row>
    <row r="11" spans="1:1024" x14ac:dyDescent="0.35">
      <c r="A11" t="s">
        <v>47</v>
      </c>
      <c r="D11">
        <v>1</v>
      </c>
    </row>
    <row r="13" spans="1:1024" x14ac:dyDescent="0.35">
      <c r="A13" t="s">
        <v>48</v>
      </c>
      <c r="B13">
        <v>50</v>
      </c>
      <c r="C13" t="s">
        <v>49</v>
      </c>
    </row>
    <row r="14" spans="1:1024" x14ac:dyDescent="0.35">
      <c r="A14" t="s">
        <v>50</v>
      </c>
      <c r="B14">
        <v>5</v>
      </c>
    </row>
    <row r="15" spans="1:1024" x14ac:dyDescent="0.35">
      <c r="A15" t="s">
        <v>51</v>
      </c>
      <c r="B15">
        <f>B13/B14</f>
        <v>10</v>
      </c>
      <c r="C15" t="s">
        <v>49</v>
      </c>
    </row>
    <row r="16" spans="1:1024" x14ac:dyDescent="0.35">
      <c r="A16" t="s">
        <v>52</v>
      </c>
      <c r="B16">
        <v>0.7</v>
      </c>
    </row>
    <row r="17" spans="1:11" x14ac:dyDescent="0.35">
      <c r="D17" s="3"/>
    </row>
    <row r="18" spans="1:11" x14ac:dyDescent="0.35">
      <c r="A18" t="s">
        <v>53</v>
      </c>
      <c r="B18">
        <f>$B$16*$B$15/100</f>
        <v>7.0000000000000007E-2</v>
      </c>
    </row>
    <row r="19" spans="1:11" x14ac:dyDescent="0.35">
      <c r="A19" s="38" t="s">
        <v>54</v>
      </c>
      <c r="B19">
        <f>B16*$B$13</f>
        <v>35</v>
      </c>
      <c r="C19" t="s">
        <v>49</v>
      </c>
    </row>
    <row r="20" spans="1:11" x14ac:dyDescent="0.35">
      <c r="A20" t="s">
        <v>55</v>
      </c>
      <c r="B20">
        <f>B15*B16</f>
        <v>7</v>
      </c>
      <c r="C20" t="s">
        <v>49</v>
      </c>
    </row>
    <row r="22" spans="1:11" x14ac:dyDescent="0.35">
      <c r="A22" s="39" t="s">
        <v>56</v>
      </c>
      <c r="B22" s="39" t="s">
        <v>57</v>
      </c>
      <c r="C22" s="39" t="s">
        <v>58</v>
      </c>
      <c r="D22" s="39" t="s">
        <v>59</v>
      </c>
      <c r="E22" s="39" t="s">
        <v>60</v>
      </c>
      <c r="F22" s="39" t="s">
        <v>61</v>
      </c>
      <c r="G22" s="39" t="s">
        <v>62</v>
      </c>
      <c r="H22" s="39" t="s">
        <v>63</v>
      </c>
      <c r="I22" s="39" t="s">
        <v>64</v>
      </c>
      <c r="J22" s="3" t="s">
        <v>89</v>
      </c>
      <c r="K22" s="3" t="s">
        <v>90</v>
      </c>
    </row>
    <row r="23" spans="1:11" x14ac:dyDescent="0.35">
      <c r="A23" s="40">
        <v>4</v>
      </c>
      <c r="B23" s="41">
        <f>'E - B1'!$G9</f>
        <v>5995.4962155000003</v>
      </c>
      <c r="C23" s="41">
        <f>'E - B2'!$G9</f>
        <v>5680.8660887500009</v>
      </c>
      <c r="D23" s="41">
        <f>'E - B3'!$G9</f>
        <v>5491.6016845000004</v>
      </c>
      <c r="E23" s="14">
        <f t="shared" ref="E23:E28" si="0">AVERAGE(B23:D23)</f>
        <v>5722.6546629166669</v>
      </c>
      <c r="F23" s="42">
        <v>6300</v>
      </c>
      <c r="G23">
        <v>4553</v>
      </c>
      <c r="H23">
        <v>8713</v>
      </c>
      <c r="I23" s="5">
        <f t="shared" ref="I23:I28" si="1">(E23-F23)/F23</f>
        <v>-9.1642116997354459E-2</v>
      </c>
      <c r="J23" s="65">
        <f>(G23-F23)/F23</f>
        <v>-0.27730158730158733</v>
      </c>
      <c r="K23" s="65">
        <f>(H23-F23)/F23</f>
        <v>0.38301587301587303</v>
      </c>
    </row>
    <row r="24" spans="1:11" x14ac:dyDescent="0.35">
      <c r="A24" s="3">
        <v>5</v>
      </c>
      <c r="B24" s="41">
        <f>'E - B1'!$G10</f>
        <v>3153.9769287500003</v>
      </c>
      <c r="C24" s="41">
        <f>'E - B2'!$G10</f>
        <v>2990.6870730000001</v>
      </c>
      <c r="D24" s="41">
        <f>'E - B3'!$G10</f>
        <v>2877.0025027500001</v>
      </c>
      <c r="E24" s="14">
        <f t="shared" si="0"/>
        <v>3007.222168166667</v>
      </c>
      <c r="F24" s="43">
        <v>3475</v>
      </c>
      <c r="G24">
        <v>2330</v>
      </c>
      <c r="H24">
        <v>5183</v>
      </c>
      <c r="I24" s="5">
        <f t="shared" si="1"/>
        <v>-0.13461232570743398</v>
      </c>
      <c r="J24" s="65">
        <f t="shared" ref="J24:J28" si="2">(G24-F24)/F24</f>
        <v>-0.32949640287769782</v>
      </c>
      <c r="K24" s="65">
        <f t="shared" ref="K24:K28" si="3">(H24-F24)/F24</f>
        <v>0.49151079136690645</v>
      </c>
    </row>
    <row r="25" spans="1:11" x14ac:dyDescent="0.35">
      <c r="A25" s="3">
        <v>6</v>
      </c>
      <c r="B25" s="41">
        <f>'E - B1'!$G11</f>
        <v>1570.7090455</v>
      </c>
      <c r="C25" s="41">
        <f>'E - B2'!$G11</f>
        <v>1505.3812865</v>
      </c>
      <c r="D25" s="41">
        <f>'E - B3'!$G11</f>
        <v>1443.389099</v>
      </c>
      <c r="E25" s="14">
        <f t="shared" si="0"/>
        <v>1506.4931436666666</v>
      </c>
      <c r="F25" s="43">
        <v>1631</v>
      </c>
      <c r="G25">
        <v>938.2</v>
      </c>
      <c r="H25">
        <v>2834</v>
      </c>
      <c r="I25" s="5">
        <f t="shared" si="1"/>
        <v>-7.6337741467402465E-2</v>
      </c>
      <c r="J25" s="65">
        <f t="shared" si="2"/>
        <v>-0.42477007970570202</v>
      </c>
      <c r="K25" s="65">
        <f t="shared" si="3"/>
        <v>0.73758430410790921</v>
      </c>
    </row>
    <row r="26" spans="1:11" x14ac:dyDescent="0.35">
      <c r="A26" s="3">
        <v>7</v>
      </c>
      <c r="B26" s="41">
        <f>'E - B1'!$G12</f>
        <v>826.27685550000001</v>
      </c>
      <c r="C26" s="41">
        <f>'E - B2'!$G12</f>
        <v>795.76268000000005</v>
      </c>
      <c r="D26" s="41">
        <f>'E - B3'!$G12</f>
        <v>765.39613324999993</v>
      </c>
      <c r="E26" s="14">
        <f t="shared" si="0"/>
        <v>795.81188958333325</v>
      </c>
      <c r="F26" s="43">
        <v>769.8</v>
      </c>
      <c r="G26">
        <v>413.6</v>
      </c>
      <c r="H26">
        <v>1433</v>
      </c>
      <c r="I26" s="5">
        <f t="shared" si="1"/>
        <v>3.379045152420538E-2</v>
      </c>
      <c r="J26" s="65">
        <f t="shared" si="2"/>
        <v>-0.46271758898415166</v>
      </c>
      <c r="K26" s="65">
        <f t="shared" si="3"/>
        <v>0.86152247336970655</v>
      </c>
    </row>
    <row r="27" spans="1:11" x14ac:dyDescent="0.35">
      <c r="A27" s="3">
        <v>8</v>
      </c>
      <c r="B27" s="41">
        <f>'E - B1'!$G13</f>
        <v>421.93638624999994</v>
      </c>
      <c r="C27" s="41">
        <f>'E - B2'!$G13</f>
        <v>414.83752449999997</v>
      </c>
      <c r="D27" s="41">
        <f>'E - B3'!$G13</f>
        <v>400.61057299999999</v>
      </c>
      <c r="E27" s="14">
        <f t="shared" si="0"/>
        <v>412.46149458333326</v>
      </c>
      <c r="F27" s="43">
        <v>379.1</v>
      </c>
      <c r="G27">
        <v>179.7</v>
      </c>
      <c r="H27">
        <v>799.5</v>
      </c>
      <c r="I27" s="5">
        <f t="shared" si="1"/>
        <v>8.8001832190274965E-2</v>
      </c>
      <c r="J27" s="65">
        <f t="shared" si="2"/>
        <v>-0.52598259034555528</v>
      </c>
      <c r="K27" s="65">
        <f t="shared" si="3"/>
        <v>1.1089422316011606</v>
      </c>
    </row>
    <row r="28" spans="1:11" x14ac:dyDescent="0.35">
      <c r="A28" s="22">
        <v>9</v>
      </c>
      <c r="B28" s="44">
        <f>'E - B1'!$G14</f>
        <v>231.34381450000001</v>
      </c>
      <c r="C28" s="44">
        <f>'E - B2'!$G14</f>
        <v>229.55544250000003</v>
      </c>
      <c r="D28" s="44">
        <f>'E - B3'!$G14</f>
        <v>223.517719</v>
      </c>
      <c r="E28" s="45">
        <f t="shared" si="0"/>
        <v>228.138992</v>
      </c>
      <c r="F28" s="46">
        <v>196.2</v>
      </c>
      <c r="G28" s="29">
        <v>76.569999999999993</v>
      </c>
      <c r="H28" s="29">
        <v>502.6</v>
      </c>
      <c r="I28" s="13">
        <f t="shared" si="1"/>
        <v>0.16278793068297664</v>
      </c>
      <c r="J28" s="65">
        <f t="shared" si="2"/>
        <v>-0.60973496432212027</v>
      </c>
      <c r="K28" s="65">
        <f t="shared" si="3"/>
        <v>1.5616717635066262</v>
      </c>
    </row>
    <row r="29" spans="1:11" ht="13.15" x14ac:dyDescent="0.4">
      <c r="A29" s="1"/>
      <c r="B29" s="1"/>
      <c r="C29" s="47"/>
      <c r="D29" s="42"/>
      <c r="E29" s="42"/>
      <c r="J29" s="3"/>
    </row>
    <row r="30" spans="1:11" x14ac:dyDescent="0.35">
      <c r="A30" t="s">
        <v>61</v>
      </c>
      <c r="C30" s="26"/>
    </row>
    <row r="31" spans="1:11" x14ac:dyDescent="0.35">
      <c r="A31" s="39" t="s">
        <v>56</v>
      </c>
      <c r="B31" s="39" t="s">
        <v>65</v>
      </c>
      <c r="C31" s="39" t="s">
        <v>66</v>
      </c>
      <c r="D31" s="39" t="s">
        <v>67</v>
      </c>
    </row>
    <row r="32" spans="1:11" x14ac:dyDescent="0.35">
      <c r="A32">
        <v>2</v>
      </c>
      <c r="B32">
        <v>20210</v>
      </c>
      <c r="C32">
        <v>14180</v>
      </c>
      <c r="D32">
        <v>28820</v>
      </c>
    </row>
    <row r="33" spans="1:21" x14ac:dyDescent="0.35">
      <c r="A33">
        <v>3</v>
      </c>
      <c r="B33">
        <v>10700</v>
      </c>
      <c r="C33">
        <v>7928</v>
      </c>
      <c r="D33">
        <v>14440</v>
      </c>
      <c r="U33" s="11"/>
    </row>
    <row r="34" spans="1:21" ht="13.15" x14ac:dyDescent="0.4">
      <c r="A34" s="48">
        <v>4</v>
      </c>
      <c r="B34" s="48">
        <v>6300</v>
      </c>
      <c r="C34" s="48">
        <v>4553</v>
      </c>
      <c r="D34" s="48">
        <v>8713</v>
      </c>
    </row>
    <row r="35" spans="1:21" x14ac:dyDescent="0.35">
      <c r="A35">
        <v>5</v>
      </c>
      <c r="B35">
        <v>3475</v>
      </c>
      <c r="C35">
        <v>2330</v>
      </c>
      <c r="D35">
        <v>5183</v>
      </c>
      <c r="E35" s="27"/>
      <c r="F35" s="14"/>
      <c r="G35" s="27"/>
      <c r="H35" s="14"/>
      <c r="I35" s="27"/>
      <c r="J35" s="14"/>
      <c r="K35" s="27"/>
    </row>
    <row r="36" spans="1:21" ht="13.15" x14ac:dyDescent="0.4">
      <c r="A36" s="48">
        <v>6</v>
      </c>
      <c r="B36" s="48">
        <v>1631</v>
      </c>
      <c r="C36" s="48">
        <v>938.2</v>
      </c>
      <c r="D36" s="48">
        <v>2834</v>
      </c>
      <c r="E36" s="27"/>
      <c r="F36" s="14"/>
      <c r="G36" s="27"/>
      <c r="H36" s="14"/>
      <c r="I36" s="27"/>
      <c r="J36" s="14"/>
      <c r="K36" s="27"/>
    </row>
    <row r="37" spans="1:21" x14ac:dyDescent="0.35">
      <c r="A37">
        <v>7</v>
      </c>
      <c r="B37">
        <v>769.8</v>
      </c>
      <c r="C37">
        <v>413.6</v>
      </c>
      <c r="D37">
        <v>1433</v>
      </c>
      <c r="E37" s="27"/>
      <c r="F37" s="14"/>
      <c r="G37" s="27"/>
      <c r="H37" s="14"/>
      <c r="I37" s="27"/>
      <c r="J37" s="14"/>
      <c r="K37" s="27"/>
    </row>
    <row r="38" spans="1:21" x14ac:dyDescent="0.35">
      <c r="A38">
        <v>8</v>
      </c>
      <c r="B38">
        <v>379.1</v>
      </c>
      <c r="C38">
        <v>179.7</v>
      </c>
      <c r="D38">
        <v>799.5</v>
      </c>
      <c r="E38" s="27"/>
      <c r="F38" s="14"/>
      <c r="G38" s="27"/>
      <c r="H38" s="14"/>
      <c r="I38" s="27"/>
      <c r="J38" s="14"/>
      <c r="K38" s="27"/>
    </row>
    <row r="39" spans="1:21" x14ac:dyDescent="0.35">
      <c r="A39">
        <v>9</v>
      </c>
      <c r="B39">
        <v>196.2</v>
      </c>
      <c r="C39">
        <v>76.569999999999993</v>
      </c>
      <c r="D39">
        <v>502.6</v>
      </c>
      <c r="E39" s="27"/>
      <c r="F39" s="14"/>
      <c r="G39" s="27"/>
      <c r="H39" s="14"/>
      <c r="I39" s="27"/>
      <c r="J39" s="14"/>
      <c r="K39" s="27"/>
    </row>
    <row r="40" spans="1:21" x14ac:dyDescent="0.35">
      <c r="A40" s="29">
        <v>10</v>
      </c>
      <c r="B40" s="29">
        <v>88.9</v>
      </c>
      <c r="C40" s="29">
        <v>27.89</v>
      </c>
      <c r="D40" s="29">
        <v>283.39999999999998</v>
      </c>
    </row>
    <row r="42" spans="1:21" x14ac:dyDescent="0.35">
      <c r="A42" t="s">
        <v>22</v>
      </c>
    </row>
    <row r="43" spans="1:21" ht="15" x14ac:dyDescent="0.5">
      <c r="A43" s="16"/>
      <c r="B43" s="17" t="s">
        <v>23</v>
      </c>
      <c r="C43" s="16"/>
      <c r="D43" s="18" t="s">
        <v>24</v>
      </c>
      <c r="E43" s="19"/>
      <c r="F43" s="19"/>
      <c r="G43" s="19"/>
      <c r="H43" s="20"/>
      <c r="U43" s="11"/>
    </row>
    <row r="44" spans="1:21" ht="15" x14ac:dyDescent="0.5">
      <c r="A44" s="21" t="s">
        <v>25</v>
      </c>
      <c r="B44" s="22" t="s">
        <v>26</v>
      </c>
      <c r="C44" s="21" t="s">
        <v>27</v>
      </c>
      <c r="D44" s="21" t="s">
        <v>28</v>
      </c>
      <c r="E44" s="22" t="s">
        <v>29</v>
      </c>
      <c r="F44" s="22" t="s">
        <v>30</v>
      </c>
      <c r="G44" s="22" t="s">
        <v>31</v>
      </c>
      <c r="H44" s="23" t="s">
        <v>32</v>
      </c>
      <c r="I44" s="14"/>
      <c r="J44" s="14"/>
    </row>
    <row r="45" spans="1:21" x14ac:dyDescent="0.35">
      <c r="A45" s="24">
        <v>10000</v>
      </c>
      <c r="C45" s="24">
        <v>11</v>
      </c>
      <c r="D45" s="24">
        <v>7.8</v>
      </c>
      <c r="E45">
        <v>5.3</v>
      </c>
      <c r="F45">
        <v>4</v>
      </c>
      <c r="G45">
        <v>2.7</v>
      </c>
      <c r="H45" s="25">
        <v>1.8</v>
      </c>
      <c r="I45" s="14"/>
      <c r="J45" s="14"/>
    </row>
    <row r="46" spans="1:21" x14ac:dyDescent="0.35">
      <c r="A46" s="24">
        <v>5000</v>
      </c>
      <c r="B46">
        <v>10000</v>
      </c>
      <c r="C46" s="24">
        <v>11.3</v>
      </c>
      <c r="D46" s="24">
        <v>7.8</v>
      </c>
      <c r="E46">
        <v>5.3</v>
      </c>
      <c r="F46">
        <v>4</v>
      </c>
      <c r="G46">
        <v>2.7</v>
      </c>
      <c r="H46" s="25">
        <v>1.9</v>
      </c>
    </row>
    <row r="47" spans="1:21" x14ac:dyDescent="0.35">
      <c r="A47" s="24">
        <v>2000</v>
      </c>
      <c r="B47">
        <v>5000</v>
      </c>
      <c r="C47" s="24">
        <v>11.9</v>
      </c>
      <c r="D47" s="24">
        <v>7.9</v>
      </c>
      <c r="E47">
        <v>5.4</v>
      </c>
      <c r="F47">
        <v>4.0999999999999996</v>
      </c>
      <c r="G47">
        <v>2.9</v>
      </c>
      <c r="H47" s="25">
        <v>2.1</v>
      </c>
      <c r="J47" s="14"/>
    </row>
    <row r="48" spans="1:21" x14ac:dyDescent="0.35">
      <c r="A48" s="24">
        <v>1000</v>
      </c>
      <c r="B48">
        <v>2000</v>
      </c>
      <c r="C48" s="24">
        <v>13.4</v>
      </c>
      <c r="D48" s="24">
        <v>8</v>
      </c>
      <c r="E48">
        <v>5.6</v>
      </c>
      <c r="F48">
        <v>4.3</v>
      </c>
      <c r="G48">
        <v>3.1</v>
      </c>
      <c r="H48" s="25">
        <v>2.4</v>
      </c>
      <c r="J48" s="14"/>
    </row>
    <row r="49" spans="1:12" x14ac:dyDescent="0.35">
      <c r="A49" s="24">
        <v>500</v>
      </c>
      <c r="B49">
        <v>1000</v>
      </c>
      <c r="C49" s="24">
        <v>15.6</v>
      </c>
      <c r="D49" s="24">
        <v>8.1999999999999993</v>
      </c>
      <c r="E49">
        <v>5.9</v>
      </c>
      <c r="F49">
        <v>4.7</v>
      </c>
      <c r="G49">
        <v>3.6</v>
      </c>
      <c r="H49" s="25">
        <v>2.9</v>
      </c>
      <c r="I49" s="14"/>
      <c r="J49" s="14"/>
    </row>
    <row r="50" spans="1:12" x14ac:dyDescent="0.35">
      <c r="A50" s="24">
        <v>200</v>
      </c>
      <c r="B50">
        <v>500</v>
      </c>
      <c r="C50" s="24">
        <v>19.3</v>
      </c>
      <c r="D50" s="24">
        <v>8.9</v>
      </c>
      <c r="E50">
        <v>6.8</v>
      </c>
      <c r="F50">
        <v>5.7</v>
      </c>
      <c r="G50">
        <v>4.7</v>
      </c>
      <c r="H50" s="25">
        <v>4.0999999999999996</v>
      </c>
    </row>
    <row r="51" spans="1:12" x14ac:dyDescent="0.35">
      <c r="A51" s="28">
        <v>100</v>
      </c>
      <c r="B51" s="29">
        <v>200</v>
      </c>
      <c r="C51" s="28">
        <v>27.5</v>
      </c>
      <c r="D51" s="28">
        <v>10</v>
      </c>
      <c r="E51" s="29">
        <v>8</v>
      </c>
      <c r="F51" s="29">
        <v>7</v>
      </c>
      <c r="G51" s="29">
        <v>6.1</v>
      </c>
      <c r="H51" s="30">
        <v>5.5</v>
      </c>
    </row>
    <row r="53" spans="1:12" ht="30" x14ac:dyDescent="1.1000000000000001">
      <c r="A53" s="49" t="s">
        <v>68</v>
      </c>
    </row>
    <row r="54" spans="1:12" x14ac:dyDescent="0.35">
      <c r="B54" s="27"/>
      <c r="D54" s="27"/>
      <c r="F54" s="27"/>
      <c r="H54" s="27"/>
      <c r="J54" s="27"/>
    </row>
    <row r="55" spans="1:12" ht="13.15" x14ac:dyDescent="0.4">
      <c r="A55" s="1"/>
      <c r="B55" s="33"/>
      <c r="D55" s="33"/>
      <c r="F55" s="33"/>
      <c r="H55" s="33"/>
      <c r="J55" s="33"/>
    </row>
    <row r="56" spans="1:12" ht="13.15" x14ac:dyDescent="0.4">
      <c r="B56" s="27"/>
      <c r="D56" s="27"/>
      <c r="K56" s="2"/>
      <c r="L56" s="2"/>
    </row>
  </sheetData>
  <mergeCells count="1">
    <mergeCell ref="C1:I1"/>
  </mergeCells>
  <conditionalFormatting sqref="A29">
    <cfRule type="cellIs" dxfId="46" priority="1" operator="between">
      <formula>$C$34</formula>
      <formula>$D$34</formula>
    </cfRule>
  </conditionalFormatting>
  <conditionalFormatting sqref="B29">
    <cfRule type="cellIs" dxfId="45" priority="2" operator="between">
      <formula>$C$36</formula>
      <formula>$D$36</formula>
    </cfRule>
  </conditionalFormatting>
  <conditionalFormatting sqref="B55 D55">
    <cfRule type="cellIs" dxfId="44" priority="3" operator="lessThan">
      <formula>B56</formula>
    </cfRule>
  </conditionalFormatting>
  <conditionalFormatting sqref="E23:E28">
    <cfRule type="cellIs" dxfId="43" priority="4" operator="between">
      <formula>G23</formula>
      <formula>H23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 - B1</vt:lpstr>
      <vt:lpstr>E - B2</vt:lpstr>
      <vt:lpstr>E - B3</vt:lpstr>
      <vt:lpstr>Annex 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Devereux</dc:creator>
  <cp:lastModifiedBy>John Devereux</cp:lastModifiedBy>
  <dcterms:created xsi:type="dcterms:W3CDTF">2025-12-19T13:06:00Z</dcterms:created>
  <dcterms:modified xsi:type="dcterms:W3CDTF">2026-02-25T13:50:22Z</dcterms:modified>
</cp:coreProperties>
</file>