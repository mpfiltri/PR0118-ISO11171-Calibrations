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87EBDAEB-EC4B-4B7B-B0C1-B7E7A772620A}" xr6:coauthVersionLast="47" xr6:coauthVersionMax="47" xr10:uidLastSave="{00000000-0000-0000-0000-000000000000}"/>
  <bookViews>
    <workbookView xWindow="-98" yWindow="-98" windowWidth="28996" windowHeight="17745" xr2:uid="{E292ACDD-9F35-45EB-94A5-BD6193290DC2}"/>
  </bookViews>
  <sheets>
    <sheet name="Clause 6" sheetId="1" r:id="rId1"/>
    <sheet name="6 - B1" sheetId="2" r:id="rId2"/>
    <sheet name="6 - B2" sheetId="3" r:id="rId3"/>
    <sheet name="6 - B3" sheetId="4" r:id="rId4"/>
    <sheet name="6 - Thresholds" sheetId="5" r:id="rId5"/>
    <sheet name="6 - Spheres" sheetId="6" r:id="rId6"/>
    <sheet name="6 - Curve" sheetId="7" r:id="rId7"/>
  </sheets>
  <functionGroups builtInGroupCount="19"/>
  <definedNames>
    <definedName name="_xlnm._FilterDatabase" localSheetId="4" hidden="1">'6 - Thresholds'!$A$4:$H$33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8" i="1" l="1"/>
  <c r="D18" i="1" s="1"/>
  <c r="E4" i="3" s="1"/>
  <c r="C17" i="1"/>
  <c r="B4" i="2"/>
  <c r="B3" i="2"/>
  <c r="B5" i="2"/>
  <c r="A23" i="6"/>
  <c r="A24" i="6" s="1"/>
  <c r="A22" i="6"/>
  <c r="A25" i="6" s="1"/>
  <c r="H21"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P19" i="1"/>
  <c r="Q19" i="1" s="1"/>
  <c r="P20" i="1"/>
  <c r="Q20" i="1" s="1"/>
  <c r="B38" i="3" l="1"/>
  <c r="F34" i="3"/>
  <c r="E31" i="3"/>
  <c r="D28" i="3"/>
  <c r="C25" i="3"/>
  <c r="B22" i="3"/>
  <c r="F18" i="3"/>
  <c r="E15" i="3"/>
  <c r="D12" i="3"/>
  <c r="C9" i="3"/>
  <c r="F37" i="3"/>
  <c r="E34" i="3"/>
  <c r="D31" i="3"/>
  <c r="C28" i="3"/>
  <c r="B25" i="3"/>
  <c r="F21" i="3"/>
  <c r="E18" i="3"/>
  <c r="D15" i="3"/>
  <c r="C12" i="3"/>
  <c r="B9" i="3"/>
  <c r="E37" i="3"/>
  <c r="D34" i="3"/>
  <c r="C31" i="3"/>
  <c r="B28" i="3"/>
  <c r="F24" i="3"/>
  <c r="E21" i="3"/>
  <c r="D18" i="3"/>
  <c r="C15" i="3"/>
  <c r="B12" i="3"/>
  <c r="F8" i="3"/>
  <c r="D37" i="3"/>
  <c r="C34" i="3"/>
  <c r="B31" i="3"/>
  <c r="F27" i="3"/>
  <c r="E24" i="3"/>
  <c r="D21" i="3"/>
  <c r="C18" i="3"/>
  <c r="B15" i="3"/>
  <c r="F11" i="3"/>
  <c r="E8" i="3"/>
  <c r="C37" i="3"/>
  <c r="B34" i="3"/>
  <c r="F30" i="3"/>
  <c r="E27" i="3"/>
  <c r="D24" i="3"/>
  <c r="C21" i="3"/>
  <c r="B18" i="3"/>
  <c r="F14" i="3"/>
  <c r="E11" i="3"/>
  <c r="D8" i="3"/>
  <c r="F29" i="3"/>
  <c r="E10" i="3"/>
  <c r="C35" i="3"/>
  <c r="B37" i="3"/>
  <c r="F33" i="3"/>
  <c r="E30" i="3"/>
  <c r="D27" i="3"/>
  <c r="C24" i="3"/>
  <c r="B21" i="3"/>
  <c r="F17" i="3"/>
  <c r="E14" i="3"/>
  <c r="D11" i="3"/>
  <c r="C8" i="3"/>
  <c r="B33" i="3"/>
  <c r="F13" i="3"/>
  <c r="E25" i="3"/>
  <c r="F36" i="3"/>
  <c r="E33" i="3"/>
  <c r="D30" i="3"/>
  <c r="C27" i="3"/>
  <c r="B24" i="3"/>
  <c r="F20" i="3"/>
  <c r="E17" i="3"/>
  <c r="D14" i="3"/>
  <c r="C11" i="3"/>
  <c r="B8" i="3"/>
  <c r="C20" i="3"/>
  <c r="F28" i="3"/>
  <c r="E36" i="3"/>
  <c r="D33" i="3"/>
  <c r="C30" i="3"/>
  <c r="B27" i="3"/>
  <c r="F23" i="3"/>
  <c r="E20" i="3"/>
  <c r="D17" i="3"/>
  <c r="C14" i="3"/>
  <c r="B11" i="3"/>
  <c r="E26" i="3"/>
  <c r="B16" i="3"/>
  <c r="D36" i="3"/>
  <c r="C33" i="3"/>
  <c r="B30" i="3"/>
  <c r="F26" i="3"/>
  <c r="E23" i="3"/>
  <c r="D20" i="3"/>
  <c r="C17" i="3"/>
  <c r="B14" i="3"/>
  <c r="F10" i="3"/>
  <c r="D23" i="3"/>
  <c r="D22" i="3"/>
  <c r="C36" i="3"/>
  <c r="B17" i="3"/>
  <c r="B32" i="3"/>
  <c r="B36" i="3"/>
  <c r="F32" i="3"/>
  <c r="E29" i="3"/>
  <c r="D26" i="3"/>
  <c r="C23" i="3"/>
  <c r="B20" i="3"/>
  <c r="F16" i="3"/>
  <c r="E13" i="3"/>
  <c r="D10" i="3"/>
  <c r="E9" i="3"/>
  <c r="F35" i="3"/>
  <c r="E32" i="3"/>
  <c r="D29" i="3"/>
  <c r="C26" i="3"/>
  <c r="B23" i="3"/>
  <c r="F19" i="3"/>
  <c r="E16" i="3"/>
  <c r="D13" i="3"/>
  <c r="C10" i="3"/>
  <c r="F38" i="3"/>
  <c r="E35" i="3"/>
  <c r="D32" i="3"/>
  <c r="C29" i="3"/>
  <c r="B26" i="3"/>
  <c r="F22" i="3"/>
  <c r="E19" i="3"/>
  <c r="D16" i="3"/>
  <c r="C13" i="3"/>
  <c r="B10" i="3"/>
  <c r="F12" i="3"/>
  <c r="E38" i="3"/>
  <c r="D35" i="3"/>
  <c r="C32" i="3"/>
  <c r="B29" i="3"/>
  <c r="F25" i="3"/>
  <c r="E22" i="3"/>
  <c r="D19" i="3"/>
  <c r="C16" i="3"/>
  <c r="B13" i="3"/>
  <c r="F9" i="3"/>
  <c r="D38" i="3"/>
  <c r="C19" i="3"/>
  <c r="C38" i="3"/>
  <c r="B35" i="3"/>
  <c r="F31" i="3"/>
  <c r="E28" i="3"/>
  <c r="D25" i="3"/>
  <c r="C22" i="3"/>
  <c r="B19" i="3"/>
  <c r="F15" i="3"/>
  <c r="E12" i="3"/>
  <c r="D9" i="3"/>
  <c r="E4" i="2"/>
  <c r="E4" i="4"/>
  <c r="P34" i="2"/>
  <c r="B34" i="7"/>
  <c r="A34" i="7"/>
  <c r="B33" i="7"/>
  <c r="B32" i="7"/>
  <c r="B46" i="6"/>
  <c r="M46" i="6"/>
  <c r="O42" i="6"/>
  <c r="M42" i="6"/>
  <c r="H42" i="6"/>
  <c r="F42" i="6"/>
  <c r="D42" i="6"/>
  <c r="B42" i="6"/>
  <c r="G40" i="6"/>
  <c r="A32" i="7" s="1"/>
  <c r="C40" i="6"/>
  <c r="A33" i="7" s="1"/>
  <c r="M30" i="6"/>
  <c r="F30" i="6"/>
  <c r="A30" i="6"/>
  <c r="M13" i="6"/>
  <c r="M14" i="6" s="1"/>
  <c r="M15" i="6" s="1"/>
  <c r="F13" i="6"/>
  <c r="F14" i="6" s="1"/>
  <c r="F15" i="6" s="1"/>
  <c r="A13" i="6"/>
  <c r="A14" i="6" s="1"/>
  <c r="A15" i="6" s="1"/>
  <c r="A17" i="6" s="1"/>
  <c r="A19" i="6" s="1"/>
  <c r="A21" i="6" s="1"/>
  <c r="L3" i="5"/>
  <c r="P82" i="4"/>
  <c r="O82" i="4"/>
  <c r="N82" i="4"/>
  <c r="M82" i="4"/>
  <c r="L82" i="4"/>
  <c r="K82" i="4"/>
  <c r="J82" i="4"/>
  <c r="I82" i="4"/>
  <c r="H82" i="4"/>
  <c r="G82" i="4"/>
  <c r="F82" i="4"/>
  <c r="E82" i="4"/>
  <c r="D82" i="4"/>
  <c r="C82" i="4"/>
  <c r="B82" i="4"/>
  <c r="A82" i="4"/>
  <c r="P81" i="4"/>
  <c r="O81" i="4"/>
  <c r="N81" i="4"/>
  <c r="M81" i="4"/>
  <c r="L81" i="4"/>
  <c r="K81" i="4"/>
  <c r="J81" i="4"/>
  <c r="I81" i="4"/>
  <c r="H81" i="4"/>
  <c r="G81" i="4"/>
  <c r="F81" i="4"/>
  <c r="E81" i="4"/>
  <c r="D81" i="4"/>
  <c r="C81" i="4"/>
  <c r="B81" i="4"/>
  <c r="A81" i="4"/>
  <c r="P80" i="4"/>
  <c r="O80" i="4"/>
  <c r="N80" i="4"/>
  <c r="M80" i="4"/>
  <c r="L80" i="4"/>
  <c r="K80" i="4"/>
  <c r="J80" i="4"/>
  <c r="I80" i="4"/>
  <c r="H80" i="4"/>
  <c r="G80" i="4"/>
  <c r="F80" i="4"/>
  <c r="E80" i="4"/>
  <c r="D80" i="4"/>
  <c r="C80" i="4"/>
  <c r="B80" i="4"/>
  <c r="A80" i="4"/>
  <c r="P79" i="4"/>
  <c r="O79" i="4"/>
  <c r="N79" i="4"/>
  <c r="M79" i="4"/>
  <c r="L79" i="4"/>
  <c r="K79" i="4"/>
  <c r="J79" i="4"/>
  <c r="I79" i="4"/>
  <c r="H79" i="4"/>
  <c r="G79" i="4"/>
  <c r="F79" i="4"/>
  <c r="E79" i="4"/>
  <c r="D79" i="4"/>
  <c r="C79" i="4"/>
  <c r="B79" i="4"/>
  <c r="A79" i="4"/>
  <c r="P78" i="4"/>
  <c r="O78" i="4"/>
  <c r="N78" i="4"/>
  <c r="M78" i="4"/>
  <c r="L78" i="4"/>
  <c r="K78" i="4"/>
  <c r="J78" i="4"/>
  <c r="I78" i="4"/>
  <c r="H78" i="4"/>
  <c r="G78" i="4"/>
  <c r="F78" i="4"/>
  <c r="E78" i="4"/>
  <c r="D78" i="4"/>
  <c r="C78" i="4"/>
  <c r="B78" i="4"/>
  <c r="A78" i="4"/>
  <c r="P77" i="4"/>
  <c r="O77" i="4"/>
  <c r="N77" i="4"/>
  <c r="M77" i="4"/>
  <c r="L77" i="4"/>
  <c r="K77" i="4"/>
  <c r="J77" i="4"/>
  <c r="I77" i="4"/>
  <c r="H77" i="4"/>
  <c r="G77" i="4"/>
  <c r="F77" i="4"/>
  <c r="E77" i="4"/>
  <c r="D77" i="4"/>
  <c r="C77" i="4"/>
  <c r="B77" i="4"/>
  <c r="A77" i="4"/>
  <c r="P76" i="4"/>
  <c r="O76" i="4"/>
  <c r="N76" i="4"/>
  <c r="M76" i="4"/>
  <c r="L76" i="4"/>
  <c r="K76" i="4"/>
  <c r="J76" i="4"/>
  <c r="I76" i="4"/>
  <c r="H76" i="4"/>
  <c r="G76" i="4"/>
  <c r="F76" i="4"/>
  <c r="E76" i="4"/>
  <c r="D76" i="4"/>
  <c r="C76" i="4"/>
  <c r="B76" i="4"/>
  <c r="A76" i="4"/>
  <c r="P75" i="4"/>
  <c r="O75" i="4"/>
  <c r="N75" i="4"/>
  <c r="M75" i="4"/>
  <c r="L75" i="4"/>
  <c r="K75" i="4"/>
  <c r="J75" i="4"/>
  <c r="I75" i="4"/>
  <c r="H75" i="4"/>
  <c r="G75" i="4"/>
  <c r="F75" i="4"/>
  <c r="E75" i="4"/>
  <c r="D75" i="4"/>
  <c r="C75" i="4"/>
  <c r="B75" i="4"/>
  <c r="A75" i="4"/>
  <c r="P74" i="4"/>
  <c r="O74" i="4"/>
  <c r="N74" i="4"/>
  <c r="M74" i="4"/>
  <c r="L74" i="4"/>
  <c r="K74" i="4"/>
  <c r="J74" i="4"/>
  <c r="I74" i="4"/>
  <c r="H74" i="4"/>
  <c r="G74" i="4"/>
  <c r="F74" i="4"/>
  <c r="E74" i="4"/>
  <c r="D74" i="4"/>
  <c r="C74" i="4"/>
  <c r="B74" i="4"/>
  <c r="A74" i="4"/>
  <c r="P73" i="4"/>
  <c r="O73" i="4"/>
  <c r="N73" i="4"/>
  <c r="M73" i="4"/>
  <c r="L73" i="4"/>
  <c r="K73" i="4"/>
  <c r="J73" i="4"/>
  <c r="I73" i="4"/>
  <c r="H73" i="4"/>
  <c r="G73" i="4"/>
  <c r="F73" i="4"/>
  <c r="E73" i="4"/>
  <c r="D73" i="4"/>
  <c r="C73" i="4"/>
  <c r="B73" i="4"/>
  <c r="A73" i="4"/>
  <c r="P72" i="4"/>
  <c r="O72" i="4"/>
  <c r="N72" i="4"/>
  <c r="M72" i="4"/>
  <c r="L72" i="4"/>
  <c r="K72" i="4"/>
  <c r="J72" i="4"/>
  <c r="I72" i="4"/>
  <c r="H72" i="4"/>
  <c r="G72" i="4"/>
  <c r="F72" i="4"/>
  <c r="E72" i="4"/>
  <c r="D72" i="4"/>
  <c r="C72" i="4"/>
  <c r="B72" i="4"/>
  <c r="A72" i="4"/>
  <c r="P71" i="4"/>
  <c r="O71" i="4"/>
  <c r="N71" i="4"/>
  <c r="M71" i="4"/>
  <c r="L71" i="4"/>
  <c r="K71" i="4"/>
  <c r="J71" i="4"/>
  <c r="I71" i="4"/>
  <c r="H71" i="4"/>
  <c r="G71" i="4"/>
  <c r="F71" i="4"/>
  <c r="E71" i="4"/>
  <c r="D71" i="4"/>
  <c r="C71" i="4"/>
  <c r="B71" i="4"/>
  <c r="A71" i="4"/>
  <c r="P70" i="4"/>
  <c r="O70" i="4"/>
  <c r="N70" i="4"/>
  <c r="M70" i="4"/>
  <c r="L70" i="4"/>
  <c r="K70" i="4"/>
  <c r="J70" i="4"/>
  <c r="I70" i="4"/>
  <c r="H70" i="4"/>
  <c r="G70" i="4"/>
  <c r="F70" i="4"/>
  <c r="E70" i="4"/>
  <c r="D70" i="4"/>
  <c r="C70" i="4"/>
  <c r="B70" i="4"/>
  <c r="A70" i="4"/>
  <c r="P69" i="4"/>
  <c r="O69" i="4"/>
  <c r="N69" i="4"/>
  <c r="M69" i="4"/>
  <c r="L69" i="4"/>
  <c r="K69" i="4"/>
  <c r="J69" i="4"/>
  <c r="I69" i="4"/>
  <c r="H69" i="4"/>
  <c r="G69" i="4"/>
  <c r="F69" i="4"/>
  <c r="E69" i="4"/>
  <c r="D69" i="4"/>
  <c r="C69" i="4"/>
  <c r="B69" i="4"/>
  <c r="A69" i="4"/>
  <c r="P68" i="4"/>
  <c r="O68" i="4"/>
  <c r="N68" i="4"/>
  <c r="M68" i="4"/>
  <c r="L68" i="4"/>
  <c r="K68" i="4"/>
  <c r="J68" i="4"/>
  <c r="I68" i="4"/>
  <c r="H68" i="4"/>
  <c r="G68" i="4"/>
  <c r="F68" i="4"/>
  <c r="E68" i="4"/>
  <c r="D68" i="4"/>
  <c r="C68" i="4"/>
  <c r="B68" i="4"/>
  <c r="A68" i="4"/>
  <c r="P67" i="4"/>
  <c r="O67" i="4"/>
  <c r="N67" i="4"/>
  <c r="M67" i="4"/>
  <c r="L67" i="4"/>
  <c r="K67" i="4"/>
  <c r="J67" i="4"/>
  <c r="I67" i="4"/>
  <c r="H67" i="4"/>
  <c r="G67" i="4"/>
  <c r="F67" i="4"/>
  <c r="E67" i="4"/>
  <c r="D67" i="4"/>
  <c r="C67" i="4"/>
  <c r="B67" i="4"/>
  <c r="A67" i="4"/>
  <c r="P66" i="4"/>
  <c r="O66" i="4"/>
  <c r="N66" i="4"/>
  <c r="M66" i="4"/>
  <c r="L66" i="4"/>
  <c r="K66" i="4"/>
  <c r="J66" i="4"/>
  <c r="I66" i="4"/>
  <c r="H66" i="4"/>
  <c r="G66" i="4"/>
  <c r="F66" i="4"/>
  <c r="E66" i="4"/>
  <c r="D66" i="4"/>
  <c r="C66" i="4"/>
  <c r="B66" i="4"/>
  <c r="A66" i="4"/>
  <c r="P65" i="4"/>
  <c r="O65" i="4"/>
  <c r="N65" i="4"/>
  <c r="M65" i="4"/>
  <c r="L65" i="4"/>
  <c r="K65" i="4"/>
  <c r="J65" i="4"/>
  <c r="I65" i="4"/>
  <c r="H65" i="4"/>
  <c r="G65" i="4"/>
  <c r="F65" i="4"/>
  <c r="E65" i="4"/>
  <c r="D65" i="4"/>
  <c r="C65" i="4"/>
  <c r="B65" i="4"/>
  <c r="A65" i="4"/>
  <c r="P64" i="4"/>
  <c r="O64" i="4"/>
  <c r="N64" i="4"/>
  <c r="M64" i="4"/>
  <c r="L64" i="4"/>
  <c r="K64" i="4"/>
  <c r="J64" i="4"/>
  <c r="I64" i="4"/>
  <c r="H64" i="4"/>
  <c r="G64" i="4"/>
  <c r="F64" i="4"/>
  <c r="E64" i="4"/>
  <c r="D64" i="4"/>
  <c r="C64" i="4"/>
  <c r="B64" i="4"/>
  <c r="A64" i="4"/>
  <c r="P63" i="4"/>
  <c r="O63" i="4"/>
  <c r="N63" i="4"/>
  <c r="M63" i="4"/>
  <c r="L63" i="4"/>
  <c r="K63" i="4"/>
  <c r="J63" i="4"/>
  <c r="I63" i="4"/>
  <c r="H63" i="4"/>
  <c r="G63" i="4"/>
  <c r="F63" i="4"/>
  <c r="E63" i="4"/>
  <c r="D63" i="4"/>
  <c r="C63" i="4"/>
  <c r="B63" i="4"/>
  <c r="A63" i="4"/>
  <c r="P62" i="4"/>
  <c r="O62" i="4"/>
  <c r="N62" i="4"/>
  <c r="M62" i="4"/>
  <c r="L62" i="4"/>
  <c r="K62" i="4"/>
  <c r="J62" i="4"/>
  <c r="I62" i="4"/>
  <c r="H62" i="4"/>
  <c r="G62" i="4"/>
  <c r="F62" i="4"/>
  <c r="E62" i="4"/>
  <c r="D62" i="4"/>
  <c r="C62" i="4"/>
  <c r="B62" i="4"/>
  <c r="A62" i="4"/>
  <c r="P61" i="4"/>
  <c r="O61" i="4"/>
  <c r="N61" i="4"/>
  <c r="M61" i="4"/>
  <c r="L61" i="4"/>
  <c r="K61" i="4"/>
  <c r="J61" i="4"/>
  <c r="I61" i="4"/>
  <c r="H61" i="4"/>
  <c r="G61" i="4"/>
  <c r="F61" i="4"/>
  <c r="E61" i="4"/>
  <c r="D61" i="4"/>
  <c r="C61" i="4"/>
  <c r="B61" i="4"/>
  <c r="A61" i="4"/>
  <c r="P60" i="4"/>
  <c r="O60" i="4"/>
  <c r="N60" i="4"/>
  <c r="M60" i="4"/>
  <c r="L60" i="4"/>
  <c r="K60" i="4"/>
  <c r="J60" i="4"/>
  <c r="I60" i="4"/>
  <c r="H60" i="4"/>
  <c r="G60" i="4"/>
  <c r="F60" i="4"/>
  <c r="E60" i="4"/>
  <c r="D60" i="4"/>
  <c r="C60" i="4"/>
  <c r="B60" i="4"/>
  <c r="A60" i="4"/>
  <c r="P59" i="4"/>
  <c r="O59" i="4"/>
  <c r="N59" i="4"/>
  <c r="M59" i="4"/>
  <c r="L59" i="4"/>
  <c r="K59" i="4"/>
  <c r="J59" i="4"/>
  <c r="I59" i="4"/>
  <c r="H59" i="4"/>
  <c r="G59" i="4"/>
  <c r="F59" i="4"/>
  <c r="E59" i="4"/>
  <c r="D59" i="4"/>
  <c r="C59" i="4"/>
  <c r="B59" i="4"/>
  <c r="A59" i="4"/>
  <c r="P58" i="4"/>
  <c r="O58" i="4"/>
  <c r="N58" i="4"/>
  <c r="M58" i="4"/>
  <c r="L58" i="4"/>
  <c r="K58" i="4"/>
  <c r="J58" i="4"/>
  <c r="I58" i="4"/>
  <c r="H58" i="4"/>
  <c r="G58" i="4"/>
  <c r="F58" i="4"/>
  <c r="E58" i="4"/>
  <c r="D58" i="4"/>
  <c r="C58" i="4"/>
  <c r="B58" i="4"/>
  <c r="A58" i="4"/>
  <c r="P57" i="4"/>
  <c r="O57" i="4"/>
  <c r="N57" i="4"/>
  <c r="M57" i="4"/>
  <c r="L57" i="4"/>
  <c r="K57" i="4"/>
  <c r="J57" i="4"/>
  <c r="I57" i="4"/>
  <c r="H57" i="4"/>
  <c r="G57" i="4"/>
  <c r="F57" i="4"/>
  <c r="E57" i="4"/>
  <c r="D57" i="4"/>
  <c r="C57" i="4"/>
  <c r="B57" i="4"/>
  <c r="A57" i="4"/>
  <c r="P56" i="4"/>
  <c r="O56" i="4"/>
  <c r="N56" i="4"/>
  <c r="M56" i="4"/>
  <c r="L56" i="4"/>
  <c r="K56" i="4"/>
  <c r="J56" i="4"/>
  <c r="I56" i="4"/>
  <c r="H56" i="4"/>
  <c r="G56" i="4"/>
  <c r="F56" i="4"/>
  <c r="E56" i="4"/>
  <c r="D56" i="4"/>
  <c r="C56" i="4"/>
  <c r="B56" i="4"/>
  <c r="A56" i="4"/>
  <c r="P55" i="4"/>
  <c r="O55" i="4"/>
  <c r="N55" i="4"/>
  <c r="M55" i="4"/>
  <c r="L55" i="4"/>
  <c r="K55" i="4"/>
  <c r="J55" i="4"/>
  <c r="I55" i="4"/>
  <c r="H55" i="4"/>
  <c r="G55" i="4"/>
  <c r="F55" i="4"/>
  <c r="E55" i="4"/>
  <c r="D55" i="4"/>
  <c r="C55" i="4"/>
  <c r="B55" i="4"/>
  <c r="A55" i="4"/>
  <c r="P54" i="4"/>
  <c r="O54" i="4"/>
  <c r="N54" i="4"/>
  <c r="M54" i="4"/>
  <c r="L54" i="4"/>
  <c r="K54" i="4"/>
  <c r="J54" i="4"/>
  <c r="I54" i="4"/>
  <c r="H54" i="4"/>
  <c r="G54" i="4"/>
  <c r="F54" i="4"/>
  <c r="E54" i="4"/>
  <c r="D54" i="4"/>
  <c r="C54" i="4"/>
  <c r="B54" i="4"/>
  <c r="A54" i="4"/>
  <c r="P53" i="4"/>
  <c r="O53" i="4"/>
  <c r="N53" i="4"/>
  <c r="M53" i="4"/>
  <c r="L53" i="4"/>
  <c r="K53" i="4"/>
  <c r="J53" i="4"/>
  <c r="I53" i="4"/>
  <c r="H53" i="4"/>
  <c r="G53" i="4"/>
  <c r="F53" i="4"/>
  <c r="E53" i="4"/>
  <c r="D53" i="4"/>
  <c r="C53" i="4"/>
  <c r="B53" i="4"/>
  <c r="A53" i="4"/>
  <c r="P52" i="4"/>
  <c r="O52" i="4"/>
  <c r="N52" i="4"/>
  <c r="M52" i="4"/>
  <c r="L52" i="4"/>
  <c r="K52" i="4"/>
  <c r="J52" i="4"/>
  <c r="I52" i="4"/>
  <c r="H52" i="4"/>
  <c r="G52" i="4"/>
  <c r="F52" i="4"/>
  <c r="E52" i="4"/>
  <c r="D52" i="4"/>
  <c r="C52" i="4"/>
  <c r="B52" i="4"/>
  <c r="A52" i="4"/>
  <c r="P51" i="4"/>
  <c r="O51" i="4"/>
  <c r="N51" i="4"/>
  <c r="M51" i="4"/>
  <c r="L51" i="4"/>
  <c r="K51" i="4"/>
  <c r="J51" i="4"/>
  <c r="I51" i="4"/>
  <c r="H51" i="4"/>
  <c r="G51" i="4"/>
  <c r="F51" i="4"/>
  <c r="E51" i="4"/>
  <c r="D51" i="4"/>
  <c r="C51" i="4"/>
  <c r="B51" i="4"/>
  <c r="A51" i="4"/>
  <c r="B5" i="4"/>
  <c r="A5" i="4"/>
  <c r="B4" i="4"/>
  <c r="A4" i="4"/>
  <c r="B3" i="4"/>
  <c r="A3" i="4"/>
  <c r="A1" i="4"/>
  <c r="P82" i="3"/>
  <c r="O82" i="3"/>
  <c r="N82" i="3"/>
  <c r="M82" i="3"/>
  <c r="L82" i="3"/>
  <c r="K82" i="3"/>
  <c r="J82" i="3"/>
  <c r="I82" i="3"/>
  <c r="H82" i="3"/>
  <c r="G82" i="3"/>
  <c r="F82" i="3"/>
  <c r="E82" i="3"/>
  <c r="D82" i="3"/>
  <c r="C82" i="3"/>
  <c r="B82" i="3"/>
  <c r="A82" i="3"/>
  <c r="P81" i="3"/>
  <c r="O81" i="3"/>
  <c r="N81" i="3"/>
  <c r="M81" i="3"/>
  <c r="L81" i="3"/>
  <c r="K81" i="3"/>
  <c r="J81" i="3"/>
  <c r="I81" i="3"/>
  <c r="H81" i="3"/>
  <c r="G81" i="3"/>
  <c r="F81" i="3"/>
  <c r="E81" i="3"/>
  <c r="D81" i="3"/>
  <c r="C81" i="3"/>
  <c r="B81" i="3"/>
  <c r="A81" i="3"/>
  <c r="P80" i="3"/>
  <c r="O80" i="3"/>
  <c r="N80" i="3"/>
  <c r="M80" i="3"/>
  <c r="L80" i="3"/>
  <c r="K80" i="3"/>
  <c r="J80" i="3"/>
  <c r="I80" i="3"/>
  <c r="H80" i="3"/>
  <c r="G80" i="3"/>
  <c r="F80" i="3"/>
  <c r="E80" i="3"/>
  <c r="D80" i="3"/>
  <c r="C80" i="3"/>
  <c r="B80" i="3"/>
  <c r="A80" i="3"/>
  <c r="P79" i="3"/>
  <c r="O79" i="3"/>
  <c r="N79" i="3"/>
  <c r="M79" i="3"/>
  <c r="L79" i="3"/>
  <c r="K79" i="3"/>
  <c r="J79" i="3"/>
  <c r="I79" i="3"/>
  <c r="H79" i="3"/>
  <c r="G79" i="3"/>
  <c r="F79" i="3"/>
  <c r="E79" i="3"/>
  <c r="D79" i="3"/>
  <c r="C79" i="3"/>
  <c r="B79" i="3"/>
  <c r="A79" i="3"/>
  <c r="P78" i="3"/>
  <c r="O78" i="3"/>
  <c r="N78" i="3"/>
  <c r="M78" i="3"/>
  <c r="L78" i="3"/>
  <c r="K78" i="3"/>
  <c r="J78" i="3"/>
  <c r="I78" i="3"/>
  <c r="H78" i="3"/>
  <c r="G78" i="3"/>
  <c r="F78" i="3"/>
  <c r="E78" i="3"/>
  <c r="D78" i="3"/>
  <c r="C78" i="3"/>
  <c r="B78" i="3"/>
  <c r="A78" i="3"/>
  <c r="P77" i="3"/>
  <c r="O77" i="3"/>
  <c r="N77" i="3"/>
  <c r="M77" i="3"/>
  <c r="L77" i="3"/>
  <c r="K77" i="3"/>
  <c r="J77" i="3"/>
  <c r="I77" i="3"/>
  <c r="H77" i="3"/>
  <c r="G77" i="3"/>
  <c r="F77" i="3"/>
  <c r="E77" i="3"/>
  <c r="D77" i="3"/>
  <c r="C77" i="3"/>
  <c r="B77" i="3"/>
  <c r="A77" i="3"/>
  <c r="P76" i="3"/>
  <c r="O76" i="3"/>
  <c r="N76" i="3"/>
  <c r="M76" i="3"/>
  <c r="L76" i="3"/>
  <c r="K76" i="3"/>
  <c r="J76" i="3"/>
  <c r="I76" i="3"/>
  <c r="H76" i="3"/>
  <c r="G76" i="3"/>
  <c r="F76" i="3"/>
  <c r="E76" i="3"/>
  <c r="D76" i="3"/>
  <c r="C76" i="3"/>
  <c r="B76" i="3"/>
  <c r="A76" i="3"/>
  <c r="P75" i="3"/>
  <c r="O75" i="3"/>
  <c r="N75" i="3"/>
  <c r="M75" i="3"/>
  <c r="L75" i="3"/>
  <c r="K75" i="3"/>
  <c r="J75" i="3"/>
  <c r="I75" i="3"/>
  <c r="H75" i="3"/>
  <c r="G75" i="3"/>
  <c r="F75" i="3"/>
  <c r="E75" i="3"/>
  <c r="D75" i="3"/>
  <c r="C75" i="3"/>
  <c r="B75" i="3"/>
  <c r="A75" i="3"/>
  <c r="P74" i="3"/>
  <c r="O74" i="3"/>
  <c r="N74" i="3"/>
  <c r="M74" i="3"/>
  <c r="L74" i="3"/>
  <c r="K74" i="3"/>
  <c r="J74" i="3"/>
  <c r="I74" i="3"/>
  <c r="H74" i="3"/>
  <c r="G74" i="3"/>
  <c r="F74" i="3"/>
  <c r="E74" i="3"/>
  <c r="D74" i="3"/>
  <c r="C74" i="3"/>
  <c r="B74" i="3"/>
  <c r="A74" i="3"/>
  <c r="P73" i="3"/>
  <c r="O73" i="3"/>
  <c r="N73" i="3"/>
  <c r="M73" i="3"/>
  <c r="L73" i="3"/>
  <c r="K73" i="3"/>
  <c r="J73" i="3"/>
  <c r="I73" i="3"/>
  <c r="H73" i="3"/>
  <c r="G73" i="3"/>
  <c r="F73" i="3"/>
  <c r="E73" i="3"/>
  <c r="D73" i="3"/>
  <c r="C73" i="3"/>
  <c r="B73" i="3"/>
  <c r="A73" i="3"/>
  <c r="P72" i="3"/>
  <c r="O72" i="3"/>
  <c r="N72" i="3"/>
  <c r="M72" i="3"/>
  <c r="L72" i="3"/>
  <c r="K72" i="3"/>
  <c r="J72" i="3"/>
  <c r="I72" i="3"/>
  <c r="H72" i="3"/>
  <c r="G72" i="3"/>
  <c r="F72" i="3"/>
  <c r="E72" i="3"/>
  <c r="D72" i="3"/>
  <c r="C72" i="3"/>
  <c r="B72" i="3"/>
  <c r="A72" i="3"/>
  <c r="P71" i="3"/>
  <c r="O71" i="3"/>
  <c r="N71" i="3"/>
  <c r="M71" i="3"/>
  <c r="L71" i="3"/>
  <c r="K71" i="3"/>
  <c r="J71" i="3"/>
  <c r="I71" i="3"/>
  <c r="H71" i="3"/>
  <c r="G71" i="3"/>
  <c r="F71" i="3"/>
  <c r="E71" i="3"/>
  <c r="D71" i="3"/>
  <c r="C71" i="3"/>
  <c r="B71" i="3"/>
  <c r="A71" i="3"/>
  <c r="P70" i="3"/>
  <c r="O70" i="3"/>
  <c r="N70" i="3"/>
  <c r="M70" i="3"/>
  <c r="L70" i="3"/>
  <c r="K70" i="3"/>
  <c r="J70" i="3"/>
  <c r="I70" i="3"/>
  <c r="H70" i="3"/>
  <c r="G70" i="3"/>
  <c r="F70" i="3"/>
  <c r="E70" i="3"/>
  <c r="D70" i="3"/>
  <c r="C70" i="3"/>
  <c r="B70" i="3"/>
  <c r="A70" i="3"/>
  <c r="P69" i="3"/>
  <c r="O69" i="3"/>
  <c r="N69" i="3"/>
  <c r="M69" i="3"/>
  <c r="L69" i="3"/>
  <c r="K69" i="3"/>
  <c r="J69" i="3"/>
  <c r="I69" i="3"/>
  <c r="H69" i="3"/>
  <c r="G69" i="3"/>
  <c r="F69" i="3"/>
  <c r="E69" i="3"/>
  <c r="D69" i="3"/>
  <c r="C69" i="3"/>
  <c r="B69" i="3"/>
  <c r="A69" i="3"/>
  <c r="P68" i="3"/>
  <c r="O68" i="3"/>
  <c r="N68" i="3"/>
  <c r="M68" i="3"/>
  <c r="L68" i="3"/>
  <c r="K68" i="3"/>
  <c r="J68" i="3"/>
  <c r="I68" i="3"/>
  <c r="H68" i="3"/>
  <c r="G68" i="3"/>
  <c r="F68" i="3"/>
  <c r="E68" i="3"/>
  <c r="D68" i="3"/>
  <c r="C68" i="3"/>
  <c r="B68" i="3"/>
  <c r="A68" i="3"/>
  <c r="P67" i="3"/>
  <c r="O67" i="3"/>
  <c r="N67" i="3"/>
  <c r="M67" i="3"/>
  <c r="L67" i="3"/>
  <c r="K67" i="3"/>
  <c r="J67" i="3"/>
  <c r="I67" i="3"/>
  <c r="H67" i="3"/>
  <c r="G67" i="3"/>
  <c r="F67" i="3"/>
  <c r="E67" i="3"/>
  <c r="D67" i="3"/>
  <c r="C67" i="3"/>
  <c r="B67" i="3"/>
  <c r="A67" i="3"/>
  <c r="P66" i="3"/>
  <c r="O66" i="3"/>
  <c r="N66" i="3"/>
  <c r="M66" i="3"/>
  <c r="L66" i="3"/>
  <c r="K66" i="3"/>
  <c r="J66" i="3"/>
  <c r="I66" i="3"/>
  <c r="H66" i="3"/>
  <c r="G66" i="3"/>
  <c r="F66" i="3"/>
  <c r="E66" i="3"/>
  <c r="D66" i="3"/>
  <c r="C66" i="3"/>
  <c r="B66" i="3"/>
  <c r="A66" i="3"/>
  <c r="P65" i="3"/>
  <c r="O65" i="3"/>
  <c r="N65" i="3"/>
  <c r="M65" i="3"/>
  <c r="L65" i="3"/>
  <c r="K65" i="3"/>
  <c r="J65" i="3"/>
  <c r="I65" i="3"/>
  <c r="H65" i="3"/>
  <c r="G65" i="3"/>
  <c r="F65" i="3"/>
  <c r="E65" i="3"/>
  <c r="D65" i="3"/>
  <c r="C65" i="3"/>
  <c r="B65" i="3"/>
  <c r="A65" i="3"/>
  <c r="P64" i="3"/>
  <c r="O64" i="3"/>
  <c r="N64" i="3"/>
  <c r="M64" i="3"/>
  <c r="L64" i="3"/>
  <c r="K64" i="3"/>
  <c r="J64" i="3"/>
  <c r="I64" i="3"/>
  <c r="H64" i="3"/>
  <c r="G64" i="3"/>
  <c r="F64" i="3"/>
  <c r="E64" i="3"/>
  <c r="D64" i="3"/>
  <c r="C64" i="3"/>
  <c r="B64" i="3"/>
  <c r="A64" i="3"/>
  <c r="P63" i="3"/>
  <c r="O63" i="3"/>
  <c r="N63" i="3"/>
  <c r="M63" i="3"/>
  <c r="L63" i="3"/>
  <c r="K63" i="3"/>
  <c r="J63" i="3"/>
  <c r="I63" i="3"/>
  <c r="H63" i="3"/>
  <c r="G63" i="3"/>
  <c r="F63" i="3"/>
  <c r="E63" i="3"/>
  <c r="D63" i="3"/>
  <c r="C63" i="3"/>
  <c r="B63" i="3"/>
  <c r="A63" i="3"/>
  <c r="P62" i="3"/>
  <c r="O62" i="3"/>
  <c r="N62" i="3"/>
  <c r="M62" i="3"/>
  <c r="L62" i="3"/>
  <c r="K62" i="3"/>
  <c r="J62" i="3"/>
  <c r="I62" i="3"/>
  <c r="H62" i="3"/>
  <c r="G62" i="3"/>
  <c r="F62" i="3"/>
  <c r="E62" i="3"/>
  <c r="D62" i="3"/>
  <c r="C62" i="3"/>
  <c r="B62" i="3"/>
  <c r="A62" i="3"/>
  <c r="P61" i="3"/>
  <c r="O61" i="3"/>
  <c r="N61" i="3"/>
  <c r="M61" i="3"/>
  <c r="L61" i="3"/>
  <c r="K61" i="3"/>
  <c r="J61" i="3"/>
  <c r="I61" i="3"/>
  <c r="H61" i="3"/>
  <c r="G61" i="3"/>
  <c r="F61" i="3"/>
  <c r="E61" i="3"/>
  <c r="D61" i="3"/>
  <c r="C61" i="3"/>
  <c r="B61" i="3"/>
  <c r="A61" i="3"/>
  <c r="P60" i="3"/>
  <c r="O60" i="3"/>
  <c r="N60" i="3"/>
  <c r="M60" i="3"/>
  <c r="L60" i="3"/>
  <c r="K60" i="3"/>
  <c r="J60" i="3"/>
  <c r="I60" i="3"/>
  <c r="H60" i="3"/>
  <c r="G60" i="3"/>
  <c r="F60" i="3"/>
  <c r="E60" i="3"/>
  <c r="D60" i="3"/>
  <c r="C60" i="3"/>
  <c r="B60" i="3"/>
  <c r="A60" i="3"/>
  <c r="P59" i="3"/>
  <c r="O59" i="3"/>
  <c r="N59" i="3"/>
  <c r="M59" i="3"/>
  <c r="L59" i="3"/>
  <c r="K59" i="3"/>
  <c r="J59" i="3"/>
  <c r="I59" i="3"/>
  <c r="H59" i="3"/>
  <c r="G59" i="3"/>
  <c r="F59" i="3"/>
  <c r="E59" i="3"/>
  <c r="D59" i="3"/>
  <c r="C59" i="3"/>
  <c r="B59" i="3"/>
  <c r="A59" i="3"/>
  <c r="P58" i="3"/>
  <c r="O58" i="3"/>
  <c r="N58" i="3"/>
  <c r="M58" i="3"/>
  <c r="L58" i="3"/>
  <c r="K58" i="3"/>
  <c r="J58" i="3"/>
  <c r="I58" i="3"/>
  <c r="H58" i="3"/>
  <c r="G58" i="3"/>
  <c r="F58" i="3"/>
  <c r="E58" i="3"/>
  <c r="D58" i="3"/>
  <c r="C58" i="3"/>
  <c r="B58" i="3"/>
  <c r="A58" i="3"/>
  <c r="P57" i="3"/>
  <c r="O57" i="3"/>
  <c r="N57" i="3"/>
  <c r="M57" i="3"/>
  <c r="L57" i="3"/>
  <c r="K57" i="3"/>
  <c r="J57" i="3"/>
  <c r="I57" i="3"/>
  <c r="H57" i="3"/>
  <c r="G57" i="3"/>
  <c r="F57" i="3"/>
  <c r="E57" i="3"/>
  <c r="D57" i="3"/>
  <c r="C57" i="3"/>
  <c r="B57" i="3"/>
  <c r="A57" i="3"/>
  <c r="P56" i="3"/>
  <c r="O56" i="3"/>
  <c r="N56" i="3"/>
  <c r="M56" i="3"/>
  <c r="L56" i="3"/>
  <c r="K56" i="3"/>
  <c r="J56" i="3"/>
  <c r="I56" i="3"/>
  <c r="H56" i="3"/>
  <c r="G56" i="3"/>
  <c r="F56" i="3"/>
  <c r="E56" i="3"/>
  <c r="D56" i="3"/>
  <c r="C56" i="3"/>
  <c r="B56" i="3"/>
  <c r="A56" i="3"/>
  <c r="P55" i="3"/>
  <c r="O55" i="3"/>
  <c r="N55" i="3"/>
  <c r="M55" i="3"/>
  <c r="L55" i="3"/>
  <c r="K55" i="3"/>
  <c r="J55" i="3"/>
  <c r="I55" i="3"/>
  <c r="H55" i="3"/>
  <c r="G55" i="3"/>
  <c r="F55" i="3"/>
  <c r="E55" i="3"/>
  <c r="D55" i="3"/>
  <c r="C55" i="3"/>
  <c r="B55" i="3"/>
  <c r="A55" i="3"/>
  <c r="P54" i="3"/>
  <c r="O54" i="3"/>
  <c r="N54" i="3"/>
  <c r="M54" i="3"/>
  <c r="L54" i="3"/>
  <c r="K54" i="3"/>
  <c r="J54" i="3"/>
  <c r="I54" i="3"/>
  <c r="H54" i="3"/>
  <c r="G54" i="3"/>
  <c r="F54" i="3"/>
  <c r="E54" i="3"/>
  <c r="D54" i="3"/>
  <c r="C54" i="3"/>
  <c r="B54" i="3"/>
  <c r="A54" i="3"/>
  <c r="P53" i="3"/>
  <c r="O53" i="3"/>
  <c r="N53" i="3"/>
  <c r="M53" i="3"/>
  <c r="L53" i="3"/>
  <c r="K53" i="3"/>
  <c r="J53" i="3"/>
  <c r="I53" i="3"/>
  <c r="H53" i="3"/>
  <c r="G53" i="3"/>
  <c r="F53" i="3"/>
  <c r="E53" i="3"/>
  <c r="D53" i="3"/>
  <c r="C53" i="3"/>
  <c r="B53" i="3"/>
  <c r="A53" i="3"/>
  <c r="P52" i="3"/>
  <c r="O52" i="3"/>
  <c r="N52" i="3"/>
  <c r="M52" i="3"/>
  <c r="L52" i="3"/>
  <c r="K52" i="3"/>
  <c r="J52" i="3"/>
  <c r="I52" i="3"/>
  <c r="H52" i="3"/>
  <c r="G52" i="3"/>
  <c r="F52" i="3"/>
  <c r="E52" i="3"/>
  <c r="D52" i="3"/>
  <c r="C52" i="3"/>
  <c r="B52" i="3"/>
  <c r="A52" i="3"/>
  <c r="P51" i="3"/>
  <c r="O51" i="3"/>
  <c r="N51" i="3"/>
  <c r="M51" i="3"/>
  <c r="L51" i="3"/>
  <c r="K51" i="3"/>
  <c r="J51" i="3"/>
  <c r="I51" i="3"/>
  <c r="H51" i="3"/>
  <c r="G51" i="3"/>
  <c r="F51" i="3"/>
  <c r="E51" i="3"/>
  <c r="D51" i="3"/>
  <c r="C51" i="3"/>
  <c r="B51" i="3"/>
  <c r="A51" i="3"/>
  <c r="B5" i="3"/>
  <c r="A5" i="3"/>
  <c r="B4" i="3"/>
  <c r="A4" i="3"/>
  <c r="B3" i="3"/>
  <c r="A3" i="3"/>
  <c r="A1" i="3"/>
  <c r="D51" i="1"/>
  <c r="F33" i="5" s="1"/>
  <c r="P34" i="1"/>
  <c r="Q34" i="1" s="1"/>
  <c r="P33" i="1"/>
  <c r="Q33" i="1" s="1"/>
  <c r="P32" i="1"/>
  <c r="Q32" i="1" s="1"/>
  <c r="P31" i="1"/>
  <c r="Q31" i="1" s="1"/>
  <c r="P30" i="1"/>
  <c r="Q30" i="1" s="1"/>
  <c r="P29" i="1"/>
  <c r="Q29" i="1" s="1"/>
  <c r="P28" i="1"/>
  <c r="Q28" i="1" s="1"/>
  <c r="P27" i="1"/>
  <c r="Q27" i="1" s="1"/>
  <c r="P26" i="1"/>
  <c r="Q26" i="1" s="1"/>
  <c r="P25" i="1"/>
  <c r="Q25" i="1" s="1"/>
  <c r="P24" i="1"/>
  <c r="Q24" i="1" s="1"/>
  <c r="P23" i="1"/>
  <c r="Q23" i="1" s="1"/>
  <c r="P22" i="1"/>
  <c r="Q22" i="1" s="1"/>
  <c r="P21" i="1"/>
  <c r="Q21" i="1" s="1"/>
  <c r="B22" i="1"/>
  <c r="P18" i="1"/>
  <c r="Q18" i="1" s="1"/>
  <c r="P17" i="1"/>
  <c r="Q17" i="1" s="1"/>
  <c r="P16" i="1"/>
  <c r="Q16" i="1" s="1"/>
  <c r="P15" i="1"/>
  <c r="Q15" i="1" s="1"/>
  <c r="P14" i="1"/>
  <c r="Q14" i="1" s="1"/>
  <c r="B14" i="1"/>
  <c r="B16" i="1" s="1"/>
  <c r="P13" i="1"/>
  <c r="Q13" i="1" s="1"/>
  <c r="P12" i="1"/>
  <c r="Q12" i="1" s="1"/>
  <c r="P11" i="1"/>
  <c r="Q11" i="1" s="1"/>
  <c r="I11" i="1"/>
  <c r="H11" i="1"/>
  <c r="G11" i="1"/>
  <c r="F11" i="1"/>
  <c r="P10" i="1"/>
  <c r="Q10" i="1" s="1"/>
  <c r="P9" i="1"/>
  <c r="Q9" i="1" s="1"/>
  <c r="I9" i="1"/>
  <c r="H9" i="1"/>
  <c r="G9" i="1"/>
  <c r="F9" i="1"/>
  <c r="P8" i="1"/>
  <c r="Q8" i="1" s="1"/>
  <c r="P7" i="1"/>
  <c r="Q7" i="1" s="1"/>
  <c r="I7" i="1"/>
  <c r="H7" i="1"/>
  <c r="G7" i="1"/>
  <c r="F7" i="1"/>
  <c r="P6" i="1"/>
  <c r="Q6" i="1" s="1"/>
  <c r="P5" i="1"/>
  <c r="Q5" i="1" s="1"/>
  <c r="F38" i="4" l="1"/>
  <c r="E35" i="4"/>
  <c r="D32" i="4"/>
  <c r="C29" i="4"/>
  <c r="B26" i="4"/>
  <c r="F22" i="4"/>
  <c r="E19" i="4"/>
  <c r="D16" i="4"/>
  <c r="C13" i="4"/>
  <c r="B10" i="4"/>
  <c r="E38" i="4"/>
  <c r="D35" i="4"/>
  <c r="C32" i="4"/>
  <c r="B29" i="4"/>
  <c r="F25" i="4"/>
  <c r="E22" i="4"/>
  <c r="D19" i="4"/>
  <c r="C16" i="4"/>
  <c r="B13" i="4"/>
  <c r="F9" i="4"/>
  <c r="D38" i="4"/>
  <c r="C35" i="4"/>
  <c r="B32" i="4"/>
  <c r="F28" i="4"/>
  <c r="E25" i="4"/>
  <c r="D22" i="4"/>
  <c r="C19" i="4"/>
  <c r="B16" i="4"/>
  <c r="F12" i="4"/>
  <c r="E9" i="4"/>
  <c r="C38" i="4"/>
  <c r="B35" i="4"/>
  <c r="F31" i="4"/>
  <c r="E28" i="4"/>
  <c r="D25" i="4"/>
  <c r="C22" i="4"/>
  <c r="B19" i="4"/>
  <c r="F15" i="4"/>
  <c r="E12" i="4"/>
  <c r="D9" i="4"/>
  <c r="B38" i="4"/>
  <c r="F34" i="4"/>
  <c r="E31" i="4"/>
  <c r="D28" i="4"/>
  <c r="C25" i="4"/>
  <c r="B22" i="4"/>
  <c r="F18" i="4"/>
  <c r="E15" i="4"/>
  <c r="D12" i="4"/>
  <c r="C9" i="4"/>
  <c r="C24" i="4"/>
  <c r="F37" i="4"/>
  <c r="E34" i="4"/>
  <c r="D31" i="4"/>
  <c r="C28" i="4"/>
  <c r="B25" i="4"/>
  <c r="F21" i="4"/>
  <c r="E18" i="4"/>
  <c r="D15" i="4"/>
  <c r="C12" i="4"/>
  <c r="B9" i="4"/>
  <c r="B21" i="4"/>
  <c r="E37" i="4"/>
  <c r="D34" i="4"/>
  <c r="C31" i="4"/>
  <c r="B28" i="4"/>
  <c r="F24" i="4"/>
  <c r="E21" i="4"/>
  <c r="D18" i="4"/>
  <c r="C15" i="4"/>
  <c r="B12" i="4"/>
  <c r="F8" i="4"/>
  <c r="D27" i="4"/>
  <c r="D37" i="4"/>
  <c r="C34" i="4"/>
  <c r="B31" i="4"/>
  <c r="F27" i="4"/>
  <c r="E24" i="4"/>
  <c r="D21" i="4"/>
  <c r="C18" i="4"/>
  <c r="B15" i="4"/>
  <c r="F11" i="4"/>
  <c r="E8" i="4"/>
  <c r="E30" i="4"/>
  <c r="C37" i="4"/>
  <c r="B34" i="4"/>
  <c r="F30" i="4"/>
  <c r="E27" i="4"/>
  <c r="D24" i="4"/>
  <c r="C21" i="4"/>
  <c r="B18" i="4"/>
  <c r="F14" i="4"/>
  <c r="E11" i="4"/>
  <c r="D8" i="4"/>
  <c r="F33" i="4"/>
  <c r="B37" i="4"/>
  <c r="F17" i="4"/>
  <c r="E14" i="4"/>
  <c r="D11" i="4"/>
  <c r="C8" i="4"/>
  <c r="F36" i="4"/>
  <c r="E33" i="4"/>
  <c r="D30" i="4"/>
  <c r="C27" i="4"/>
  <c r="B24" i="4"/>
  <c r="F20" i="4"/>
  <c r="E17" i="4"/>
  <c r="D14" i="4"/>
  <c r="C11" i="4"/>
  <c r="B8" i="4"/>
  <c r="E36" i="4"/>
  <c r="D33" i="4"/>
  <c r="C30" i="4"/>
  <c r="B27" i="4"/>
  <c r="F23" i="4"/>
  <c r="E20" i="4"/>
  <c r="D17" i="4"/>
  <c r="C14" i="4"/>
  <c r="B11" i="4"/>
  <c r="D36" i="4"/>
  <c r="C33" i="4"/>
  <c r="B30" i="4"/>
  <c r="F26" i="4"/>
  <c r="E23" i="4"/>
  <c r="D20" i="4"/>
  <c r="C17" i="4"/>
  <c r="B14" i="4"/>
  <c r="F10" i="4"/>
  <c r="C36" i="4"/>
  <c r="B33" i="4"/>
  <c r="F29" i="4"/>
  <c r="E26" i="4"/>
  <c r="D23" i="4"/>
  <c r="C20" i="4"/>
  <c r="B17" i="4"/>
  <c r="F13" i="4"/>
  <c r="E10" i="4"/>
  <c r="B36" i="4"/>
  <c r="F32" i="4"/>
  <c r="E29" i="4"/>
  <c r="D26" i="4"/>
  <c r="C23" i="4"/>
  <c r="B20" i="4"/>
  <c r="F16" i="4"/>
  <c r="E13" i="4"/>
  <c r="D10" i="4"/>
  <c r="F35" i="4"/>
  <c r="E32" i="4"/>
  <c r="D29" i="4"/>
  <c r="C26" i="4"/>
  <c r="B23" i="4"/>
  <c r="F19" i="4"/>
  <c r="E16" i="4"/>
  <c r="D13" i="4"/>
  <c r="C10" i="4"/>
  <c r="B37" i="2"/>
  <c r="E29" i="2"/>
  <c r="C23" i="2"/>
  <c r="E13" i="2"/>
  <c r="E36" i="2"/>
  <c r="D29" i="2"/>
  <c r="B23" i="2"/>
  <c r="E16" i="2"/>
  <c r="C10" i="2"/>
  <c r="D36" i="2"/>
  <c r="E32" i="2"/>
  <c r="C29" i="2"/>
  <c r="B26" i="2"/>
  <c r="F22" i="2"/>
  <c r="E19" i="2"/>
  <c r="D16" i="2"/>
  <c r="C13" i="2"/>
  <c r="B10" i="2"/>
  <c r="C36" i="2"/>
  <c r="D32" i="2"/>
  <c r="B29" i="2"/>
  <c r="F25" i="2"/>
  <c r="E22" i="2"/>
  <c r="D19" i="2"/>
  <c r="C16" i="2"/>
  <c r="B13" i="2"/>
  <c r="F9" i="2"/>
  <c r="D37" i="2"/>
  <c r="B36" i="2"/>
  <c r="B32" i="2"/>
  <c r="F28" i="2"/>
  <c r="E25" i="2"/>
  <c r="D22" i="2"/>
  <c r="C19" i="2"/>
  <c r="B16" i="2"/>
  <c r="F12" i="2"/>
  <c r="E9" i="2"/>
  <c r="B31" i="2"/>
  <c r="F11" i="2"/>
  <c r="C21" i="2"/>
  <c r="C17" i="2"/>
  <c r="F35" i="2"/>
  <c r="F31" i="2"/>
  <c r="E28" i="2"/>
  <c r="D25" i="2"/>
  <c r="C22" i="2"/>
  <c r="B19" i="2"/>
  <c r="F15" i="2"/>
  <c r="E12" i="2"/>
  <c r="D9" i="2"/>
  <c r="B35" i="2"/>
  <c r="D21" i="2"/>
  <c r="D8" i="2"/>
  <c r="D11" i="2"/>
  <c r="F26" i="2"/>
  <c r="E35" i="2"/>
  <c r="E31" i="2"/>
  <c r="D28" i="2"/>
  <c r="C25" i="2"/>
  <c r="B22" i="2"/>
  <c r="F18" i="2"/>
  <c r="E15" i="2"/>
  <c r="D12" i="2"/>
  <c r="C9" i="2"/>
  <c r="E38" i="2"/>
  <c r="B15" i="2"/>
  <c r="F14" i="2"/>
  <c r="C8" i="2"/>
  <c r="D20" i="2"/>
  <c r="E33" i="2"/>
  <c r="D35" i="2"/>
  <c r="D31" i="2"/>
  <c r="C28" i="2"/>
  <c r="B25" i="2"/>
  <c r="F21" i="2"/>
  <c r="E18" i="2"/>
  <c r="D15" i="2"/>
  <c r="C12" i="2"/>
  <c r="B9" i="2"/>
  <c r="E24" i="2"/>
  <c r="E8" i="2"/>
  <c r="D24" i="2"/>
  <c r="F33" i="2"/>
  <c r="C35" i="2"/>
  <c r="C31" i="2"/>
  <c r="B28" i="2"/>
  <c r="F24" i="2"/>
  <c r="E21" i="2"/>
  <c r="D18" i="2"/>
  <c r="C15" i="2"/>
  <c r="B12" i="2"/>
  <c r="F8" i="2"/>
  <c r="C18" i="2"/>
  <c r="B18" i="2"/>
  <c r="B30" i="2"/>
  <c r="F27" i="2"/>
  <c r="D38" i="2"/>
  <c r="F34" i="2"/>
  <c r="F30" i="2"/>
  <c r="E27" i="2"/>
  <c r="E11" i="2"/>
  <c r="E23" i="2"/>
  <c r="C38" i="2"/>
  <c r="E34" i="2"/>
  <c r="E30" i="2"/>
  <c r="D27" i="2"/>
  <c r="C24" i="2"/>
  <c r="B21" i="2"/>
  <c r="F17" i="2"/>
  <c r="E14" i="2"/>
  <c r="B38" i="2"/>
  <c r="D34" i="2"/>
  <c r="D30" i="2"/>
  <c r="C27" i="2"/>
  <c r="B24" i="2"/>
  <c r="F20" i="2"/>
  <c r="E17" i="2"/>
  <c r="D14" i="2"/>
  <c r="C11" i="2"/>
  <c r="B8" i="2"/>
  <c r="D33" i="2"/>
  <c r="F10" i="2"/>
  <c r="E37" i="2"/>
  <c r="B34" i="2"/>
  <c r="C30" i="2"/>
  <c r="B27" i="2"/>
  <c r="F23" i="2"/>
  <c r="E20" i="2"/>
  <c r="D17" i="2"/>
  <c r="C14" i="2"/>
  <c r="B11" i="2"/>
  <c r="B14" i="2"/>
  <c r="C37" i="2"/>
  <c r="C33" i="2"/>
  <c r="F29" i="2"/>
  <c r="E26" i="2"/>
  <c r="D23" i="2"/>
  <c r="C20" i="2"/>
  <c r="B17" i="2"/>
  <c r="F13" i="2"/>
  <c r="E10" i="2"/>
  <c r="B33" i="2"/>
  <c r="D26" i="2"/>
  <c r="B20" i="2"/>
  <c r="F16" i="2"/>
  <c r="D10" i="2"/>
  <c r="F32" i="2"/>
  <c r="C26" i="2"/>
  <c r="F19" i="2"/>
  <c r="D13" i="2"/>
  <c r="C22" i="1"/>
  <c r="H22" i="1"/>
  <c r="E3" i="2"/>
  <c r="P32" i="2"/>
  <c r="F46" i="6"/>
  <c r="D50" i="1"/>
  <c r="F32" i="5" s="1"/>
  <c r="B56" i="1"/>
  <c r="G8" i="3"/>
  <c r="M9" i="3"/>
  <c r="I9" i="3"/>
  <c r="G9" i="3"/>
  <c r="O9" i="3" s="1"/>
  <c r="M10" i="3"/>
  <c r="I10" i="3"/>
  <c r="G10" i="3"/>
  <c r="R10" i="3" s="1"/>
  <c r="M11" i="3"/>
  <c r="I11" i="3"/>
  <c r="G11" i="3"/>
  <c r="S11" i="3" s="1"/>
  <c r="M12" i="3"/>
  <c r="I12" i="3"/>
  <c r="G12" i="3"/>
  <c r="I13" i="3"/>
  <c r="G13" i="3"/>
  <c r="O13" i="3" s="1"/>
  <c r="M13" i="3"/>
  <c r="I14" i="3"/>
  <c r="G14" i="3"/>
  <c r="O14" i="3" s="1"/>
  <c r="M14" i="3"/>
  <c r="I15" i="3"/>
  <c r="G15" i="3"/>
  <c r="O15" i="3" s="1"/>
  <c r="M15" i="3"/>
  <c r="I16" i="3"/>
  <c r="G16" i="3"/>
  <c r="O16" i="3" s="1"/>
  <c r="M16" i="3"/>
  <c r="G17" i="3"/>
  <c r="O17" i="3" s="1"/>
  <c r="M17" i="3"/>
  <c r="I17" i="3"/>
  <c r="G18" i="3"/>
  <c r="O18" i="3" s="1"/>
  <c r="M18" i="3"/>
  <c r="I18" i="3"/>
  <c r="M19" i="3"/>
  <c r="I19" i="3"/>
  <c r="G19" i="3"/>
  <c r="P19" i="3" s="1"/>
  <c r="M20" i="3"/>
  <c r="I20" i="3"/>
  <c r="G20" i="3"/>
  <c r="R20" i="3" s="1"/>
  <c r="M21" i="3"/>
  <c r="I21" i="3"/>
  <c r="G21" i="3"/>
  <c r="P21" i="3" s="1"/>
  <c r="M23" i="3"/>
  <c r="I23" i="3"/>
  <c r="G23" i="3"/>
  <c r="P23" i="3" s="1"/>
  <c r="M24" i="3"/>
  <c r="I24" i="3"/>
  <c r="G24" i="3"/>
  <c r="O24" i="3" s="1"/>
  <c r="M25" i="3"/>
  <c r="I25" i="3"/>
  <c r="G25" i="3"/>
  <c r="O25" i="3" s="1"/>
  <c r="M26" i="3"/>
  <c r="I26" i="3"/>
  <c r="G26" i="3"/>
  <c r="O26" i="3" s="1"/>
  <c r="M27" i="3"/>
  <c r="I27" i="3"/>
  <c r="G27" i="3"/>
  <c r="S27" i="3" s="1"/>
  <c r="M28" i="3"/>
  <c r="I28" i="3"/>
  <c r="G28" i="3"/>
  <c r="O28" i="3" s="1"/>
  <c r="I29" i="3"/>
  <c r="G29" i="3"/>
  <c r="R29" i="3" s="1"/>
  <c r="M29" i="3"/>
  <c r="I30" i="3"/>
  <c r="G30" i="3"/>
  <c r="O30" i="3" s="1"/>
  <c r="M30" i="3"/>
  <c r="I31" i="3"/>
  <c r="G31" i="3"/>
  <c r="P31" i="3" s="1"/>
  <c r="M31" i="3"/>
  <c r="I32" i="3"/>
  <c r="G32" i="3"/>
  <c r="P32" i="3" s="1"/>
  <c r="M32" i="3"/>
  <c r="I33" i="3"/>
  <c r="G33" i="3"/>
  <c r="M33" i="3"/>
  <c r="I34" i="3"/>
  <c r="G34" i="3"/>
  <c r="P34" i="3" s="1"/>
  <c r="M34" i="3"/>
  <c r="I35" i="3"/>
  <c r="G35" i="3"/>
  <c r="M35" i="3"/>
  <c r="I36" i="3"/>
  <c r="G36" i="3"/>
  <c r="P36" i="3" s="1"/>
  <c r="M36" i="3"/>
  <c r="I37" i="3"/>
  <c r="G37" i="3"/>
  <c r="M37" i="3"/>
  <c r="I38" i="3"/>
  <c r="G38" i="3"/>
  <c r="M38" i="3"/>
  <c r="F22" i="6"/>
  <c r="F25" i="6" s="1"/>
  <c r="F17" i="6"/>
  <c r="F19" i="6" s="1"/>
  <c r="F21" i="6" s="1"/>
  <c r="F23" i="6" s="1"/>
  <c r="F24" i="6" s="1"/>
  <c r="M17" i="6"/>
  <c r="M19" i="6" s="1"/>
  <c r="M21" i="6" s="1"/>
  <c r="M23" i="6" s="1"/>
  <c r="M24" i="6" s="1"/>
  <c r="M22" i="6"/>
  <c r="A31" i="6"/>
  <c r="A32" i="6" s="1"/>
  <c r="F31" i="6"/>
  <c r="F32" i="6" s="1"/>
  <c r="B23" i="1"/>
  <c r="H23" i="1" s="1"/>
  <c r="G22" i="3"/>
  <c r="Q22" i="3" s="1"/>
  <c r="I22" i="3"/>
  <c r="M22" i="3"/>
  <c r="G21" i="4" l="1"/>
  <c r="I21" i="4" s="1"/>
  <c r="M20" i="4"/>
  <c r="G14" i="4"/>
  <c r="S14" i="4" s="1"/>
  <c r="M18" i="4"/>
  <c r="G37" i="4"/>
  <c r="S37" i="4" s="1"/>
  <c r="M13" i="4"/>
  <c r="M28" i="4"/>
  <c r="M16" i="4"/>
  <c r="M10" i="4"/>
  <c r="M37" i="4"/>
  <c r="M34" i="4"/>
  <c r="G35" i="4"/>
  <c r="P35" i="4" s="1"/>
  <c r="G24" i="4"/>
  <c r="S24" i="4" s="1"/>
  <c r="G26" i="4"/>
  <c r="R26" i="4" s="1"/>
  <c r="G11" i="4"/>
  <c r="P11" i="4" s="1"/>
  <c r="G28" i="4"/>
  <c r="I28" i="4" s="1"/>
  <c r="G27" i="4"/>
  <c r="P27" i="4" s="1"/>
  <c r="G32" i="4"/>
  <c r="R32" i="4" s="1"/>
  <c r="G8" i="4"/>
  <c r="G34" i="4"/>
  <c r="O34" i="4" s="1"/>
  <c r="G12" i="4"/>
  <c r="O12" i="4" s="1"/>
  <c r="G8" i="2"/>
  <c r="M33" i="4"/>
  <c r="M35" i="4"/>
  <c r="G16" i="4"/>
  <c r="S16" i="4" s="1"/>
  <c r="G29" i="4"/>
  <c r="O29" i="4" s="1"/>
  <c r="G19" i="4"/>
  <c r="O19" i="4" s="1"/>
  <c r="M26" i="4"/>
  <c r="M9" i="4"/>
  <c r="M30" i="4"/>
  <c r="M17" i="4"/>
  <c r="G15" i="4"/>
  <c r="R15" i="4" s="1"/>
  <c r="M12" i="4"/>
  <c r="G30" i="4"/>
  <c r="K30" i="4" s="1"/>
  <c r="G36" i="4"/>
  <c r="I36" i="4" s="1"/>
  <c r="M38" i="4"/>
  <c r="M25" i="4"/>
  <c r="M30" i="2"/>
  <c r="G23" i="4"/>
  <c r="L23" i="4" s="1"/>
  <c r="D19" i="5" s="1"/>
  <c r="G17" i="4"/>
  <c r="S17" i="4" s="1"/>
  <c r="G22" i="4"/>
  <c r="P22" i="4" s="1"/>
  <c r="G9" i="4"/>
  <c r="Q9" i="4" s="1"/>
  <c r="M29" i="4"/>
  <c r="M27" i="4"/>
  <c r="G10" i="4"/>
  <c r="P10" i="4" s="1"/>
  <c r="M32" i="4"/>
  <c r="M31" i="4"/>
  <c r="M11" i="4"/>
  <c r="G31" i="4"/>
  <c r="P31" i="4" s="1"/>
  <c r="M19" i="4"/>
  <c r="M15" i="4"/>
  <c r="M24" i="4"/>
  <c r="G25" i="4"/>
  <c r="Q25" i="4" s="1"/>
  <c r="G13" i="4"/>
  <c r="S13" i="4" s="1"/>
  <c r="M21" i="4"/>
  <c r="I29" i="2"/>
  <c r="G29" i="2"/>
  <c r="K29" i="2" s="1"/>
  <c r="M29" i="2"/>
  <c r="M23" i="4"/>
  <c r="I14" i="2"/>
  <c r="I24" i="2"/>
  <c r="M15" i="2"/>
  <c r="I15" i="2"/>
  <c r="G15" i="2"/>
  <c r="O15" i="2" s="1"/>
  <c r="G10" i="2"/>
  <c r="K10" i="2" s="1"/>
  <c r="M10" i="2"/>
  <c r="I10" i="2"/>
  <c r="G33" i="4"/>
  <c r="R33" i="4" s="1"/>
  <c r="G37" i="2"/>
  <c r="P37" i="2" s="1"/>
  <c r="M37" i="2"/>
  <c r="I37" i="2"/>
  <c r="M9" i="2"/>
  <c r="G35" i="2"/>
  <c r="K35" i="2" s="1"/>
  <c r="M35" i="2"/>
  <c r="I35" i="2"/>
  <c r="M22" i="4"/>
  <c r="G38" i="2"/>
  <c r="Q38" i="2" s="1"/>
  <c r="I38" i="2"/>
  <c r="M38" i="2"/>
  <c r="I30" i="2"/>
  <c r="G30" i="2"/>
  <c r="K30" i="2" s="1"/>
  <c r="G9" i="2"/>
  <c r="K9" i="2" s="1"/>
  <c r="I9" i="2"/>
  <c r="I19" i="2"/>
  <c r="G19" i="2"/>
  <c r="R19" i="2" s="1"/>
  <c r="M19" i="2"/>
  <c r="M14" i="4"/>
  <c r="G33" i="2"/>
  <c r="O33" i="2" s="1"/>
  <c r="M33" i="2"/>
  <c r="I33" i="2"/>
  <c r="I27" i="2"/>
  <c r="G27" i="2"/>
  <c r="Q27" i="2" s="1"/>
  <c r="M27" i="2"/>
  <c r="I18" i="2"/>
  <c r="G18" i="2"/>
  <c r="P18" i="2" s="1"/>
  <c r="M18" i="2"/>
  <c r="G32" i="2"/>
  <c r="K32" i="2" s="1"/>
  <c r="M32" i="2"/>
  <c r="I32" i="2"/>
  <c r="G18" i="4"/>
  <c r="P18" i="4" s="1"/>
  <c r="G16" i="2"/>
  <c r="Q16" i="2" s="1"/>
  <c r="M16" i="2"/>
  <c r="I16" i="2"/>
  <c r="M20" i="2"/>
  <c r="G20" i="2"/>
  <c r="R20" i="2" s="1"/>
  <c r="I20" i="2"/>
  <c r="I36" i="2"/>
  <c r="G36" i="2"/>
  <c r="K36" i="2" s="1"/>
  <c r="M36" i="2"/>
  <c r="G26" i="2"/>
  <c r="P26" i="2" s="1"/>
  <c r="I26" i="2"/>
  <c r="M26" i="2"/>
  <c r="M11" i="2"/>
  <c r="G11" i="2"/>
  <c r="K11" i="2" s="1"/>
  <c r="I11" i="2"/>
  <c r="I34" i="2"/>
  <c r="M34" i="2"/>
  <c r="G34" i="2"/>
  <c r="K34" i="2" s="1"/>
  <c r="I21" i="2"/>
  <c r="G21" i="2"/>
  <c r="K21" i="2" s="1"/>
  <c r="M22" i="2"/>
  <c r="G22" i="2"/>
  <c r="O22" i="2" s="1"/>
  <c r="I22" i="2"/>
  <c r="G20" i="4"/>
  <c r="K20" i="4" s="1"/>
  <c r="M36" i="4"/>
  <c r="G17" i="2"/>
  <c r="I17" i="2"/>
  <c r="M17" i="2"/>
  <c r="G12" i="2"/>
  <c r="P12" i="2" s="1"/>
  <c r="M12" i="2"/>
  <c r="I12" i="2"/>
  <c r="I25" i="2"/>
  <c r="M25" i="2"/>
  <c r="G25" i="2"/>
  <c r="O25" i="2" s="1"/>
  <c r="G13" i="2"/>
  <c r="P13" i="2" s="1"/>
  <c r="M13" i="2"/>
  <c r="I13" i="2"/>
  <c r="M24" i="2"/>
  <c r="G24" i="2"/>
  <c r="K24" i="2" s="1"/>
  <c r="G14" i="2"/>
  <c r="K14" i="2" s="1"/>
  <c r="M14" i="2"/>
  <c r="G28" i="5" s="1"/>
  <c r="H28" i="5" s="1"/>
  <c r="G38" i="4"/>
  <c r="O38" i="4" s="1"/>
  <c r="M21" i="2"/>
  <c r="G21" i="5" s="1"/>
  <c r="H21" i="5" s="1"/>
  <c r="G23" i="2"/>
  <c r="Q23" i="2" s="1"/>
  <c r="M23" i="2"/>
  <c r="I23" i="2"/>
  <c r="G28" i="2"/>
  <c r="O28" i="2" s="1"/>
  <c r="I28" i="2"/>
  <c r="M28" i="2"/>
  <c r="G14" i="5" s="1"/>
  <c r="H14" i="5" s="1"/>
  <c r="M31" i="2"/>
  <c r="G31" i="2"/>
  <c r="K31" i="2" s="1"/>
  <c r="I31" i="2"/>
  <c r="L22" i="4"/>
  <c r="D20" i="5" s="1"/>
  <c r="K9" i="4"/>
  <c r="Q13" i="3"/>
  <c r="Q11" i="3"/>
  <c r="Q16" i="3"/>
  <c r="P16" i="3"/>
  <c r="D49" i="1"/>
  <c r="D48" i="1" s="1"/>
  <c r="S13" i="3"/>
  <c r="R13" i="3"/>
  <c r="Q21" i="3"/>
  <c r="S29" i="3"/>
  <c r="O29" i="3"/>
  <c r="O35" i="3"/>
  <c r="Q35" i="3"/>
  <c r="O34" i="3"/>
  <c r="Q34" i="3"/>
  <c r="P33" i="3"/>
  <c r="Q33" i="3"/>
  <c r="O38" i="3"/>
  <c r="S38" i="3"/>
  <c r="Q37" i="3"/>
  <c r="S37" i="3"/>
  <c r="Q32" i="3"/>
  <c r="S36" i="3"/>
  <c r="Q31" i="3"/>
  <c r="Q20" i="3"/>
  <c r="O33" i="3"/>
  <c r="P15" i="3"/>
  <c r="O20" i="3"/>
  <c r="P17" i="3"/>
  <c r="O37" i="3"/>
  <c r="S9" i="3"/>
  <c r="P35" i="3"/>
  <c r="O31" i="3"/>
  <c r="P20" i="3"/>
  <c r="S19" i="3"/>
  <c r="Q19" i="3"/>
  <c r="S20" i="3"/>
  <c r="R19" i="3"/>
  <c r="R30" i="3"/>
  <c r="Q30" i="3"/>
  <c r="P38" i="3"/>
  <c r="O36" i="3"/>
  <c r="O32" i="3"/>
  <c r="P30" i="3"/>
  <c r="Q15" i="3"/>
  <c r="S18" i="3"/>
  <c r="Q38" i="3"/>
  <c r="P22" i="3"/>
  <c r="R21" i="3"/>
  <c r="R28" i="3"/>
  <c r="S14" i="3"/>
  <c r="Q18" i="3"/>
  <c r="R18" i="3"/>
  <c r="Q14" i="3"/>
  <c r="R14" i="3"/>
  <c r="P14" i="3"/>
  <c r="S28" i="3"/>
  <c r="O21" i="3"/>
  <c r="R15" i="3"/>
  <c r="S38" i="2"/>
  <c r="L12" i="3"/>
  <c r="C30" i="5" s="1"/>
  <c r="K12" i="3"/>
  <c r="H12" i="3"/>
  <c r="J12" i="3" s="1"/>
  <c r="Q12" i="3"/>
  <c r="L29" i="4"/>
  <c r="D13" i="5" s="1"/>
  <c r="O22" i="3"/>
  <c r="H37" i="3"/>
  <c r="J37" i="3" s="1"/>
  <c r="R37" i="3"/>
  <c r="L37" i="3"/>
  <c r="C5" i="5" s="1"/>
  <c r="K37" i="3"/>
  <c r="H33" i="3"/>
  <c r="J33" i="3" s="1"/>
  <c r="S33" i="3"/>
  <c r="R33" i="3"/>
  <c r="L33" i="3"/>
  <c r="C9" i="5" s="1"/>
  <c r="K33" i="3"/>
  <c r="L29" i="3"/>
  <c r="C13" i="5" s="1"/>
  <c r="K29" i="3"/>
  <c r="H29" i="3"/>
  <c r="J29" i="3" s="1"/>
  <c r="P29" i="3"/>
  <c r="H16" i="3"/>
  <c r="J16" i="3" s="1"/>
  <c r="R16" i="3"/>
  <c r="L16" i="3"/>
  <c r="C26" i="5" s="1"/>
  <c r="K16" i="3"/>
  <c r="I17" i="4"/>
  <c r="S17" i="3"/>
  <c r="S16" i="3"/>
  <c r="S37" i="2"/>
  <c r="R24" i="3"/>
  <c r="Q24" i="3"/>
  <c r="P24" i="3"/>
  <c r="L24" i="3"/>
  <c r="C18" i="5" s="1"/>
  <c r="K24" i="3"/>
  <c r="H24" i="3"/>
  <c r="J24" i="3" s="1"/>
  <c r="S24" i="3"/>
  <c r="L19" i="3"/>
  <c r="C23" i="5" s="1"/>
  <c r="K19" i="3"/>
  <c r="H19" i="3"/>
  <c r="J19" i="3" s="1"/>
  <c r="L11" i="3"/>
  <c r="C31" i="5" s="1"/>
  <c r="K11" i="3"/>
  <c r="H11" i="3"/>
  <c r="J11" i="3" s="1"/>
  <c r="R11" i="3"/>
  <c r="P11" i="3"/>
  <c r="S12" i="3"/>
  <c r="P12" i="3"/>
  <c r="L28" i="3"/>
  <c r="C14" i="5" s="1"/>
  <c r="K28" i="3"/>
  <c r="H28" i="3"/>
  <c r="J28" i="3" s="1"/>
  <c r="Q28" i="3"/>
  <c r="P28" i="3"/>
  <c r="H36" i="3"/>
  <c r="J36" i="3" s="1"/>
  <c r="R36" i="3"/>
  <c r="L36" i="3"/>
  <c r="C6" i="5" s="1"/>
  <c r="K36" i="3"/>
  <c r="H32" i="3"/>
  <c r="J32" i="3" s="1"/>
  <c r="S32" i="3"/>
  <c r="R32" i="3"/>
  <c r="L32" i="3"/>
  <c r="C10" i="5" s="1"/>
  <c r="K32" i="3"/>
  <c r="H15" i="3"/>
  <c r="J15" i="3" s="1"/>
  <c r="S15" i="3"/>
  <c r="L15" i="3"/>
  <c r="C27" i="5" s="1"/>
  <c r="K15" i="3"/>
  <c r="M25" i="6"/>
  <c r="M31" i="6" s="1"/>
  <c r="M32" i="6" s="1"/>
  <c r="O19" i="3"/>
  <c r="O11" i="3"/>
  <c r="S22" i="3"/>
  <c r="R22" i="3"/>
  <c r="L22" i="3"/>
  <c r="C20" i="5" s="1"/>
  <c r="K22" i="3"/>
  <c r="H22" i="3"/>
  <c r="J22" i="3" s="1"/>
  <c r="P37" i="3"/>
  <c r="L27" i="3"/>
  <c r="C15" i="5" s="1"/>
  <c r="K27" i="3"/>
  <c r="H27" i="3"/>
  <c r="J27" i="3" s="1"/>
  <c r="R27" i="3"/>
  <c r="Q27" i="3"/>
  <c r="P27" i="3"/>
  <c r="S23" i="3"/>
  <c r="R23" i="3"/>
  <c r="Q23" i="3"/>
  <c r="L23" i="3"/>
  <c r="C19" i="5" s="1"/>
  <c r="K23" i="3"/>
  <c r="H23" i="3"/>
  <c r="J23" i="3" s="1"/>
  <c r="P10" i="3"/>
  <c r="L10" i="3"/>
  <c r="C32" i="5" s="1"/>
  <c r="K10" i="3"/>
  <c r="H10" i="3"/>
  <c r="J10" i="3" s="1"/>
  <c r="S10" i="3"/>
  <c r="Q10" i="3"/>
  <c r="C56" i="1"/>
  <c r="C23" i="1"/>
  <c r="B24" i="1"/>
  <c r="H24" i="1" s="1"/>
  <c r="Q29" i="3"/>
  <c r="H35" i="3"/>
  <c r="J35" i="3" s="1"/>
  <c r="S35" i="3"/>
  <c r="R35" i="3"/>
  <c r="L35" i="3"/>
  <c r="C7" i="5" s="1"/>
  <c r="K35" i="3"/>
  <c r="H31" i="3"/>
  <c r="J31" i="3" s="1"/>
  <c r="S31" i="3"/>
  <c r="R31" i="3"/>
  <c r="L31" i="3"/>
  <c r="C11" i="5" s="1"/>
  <c r="K31" i="3"/>
  <c r="K14" i="3"/>
  <c r="H14" i="3"/>
  <c r="J14" i="3" s="1"/>
  <c r="L14" i="3"/>
  <c r="C28" i="5" s="1"/>
  <c r="I24" i="4"/>
  <c r="O27" i="3"/>
  <c r="O23" i="3"/>
  <c r="P18" i="3"/>
  <c r="L18" i="3"/>
  <c r="C24" i="5" s="1"/>
  <c r="K18" i="3"/>
  <c r="H18" i="3"/>
  <c r="J18" i="3" s="1"/>
  <c r="O10" i="3"/>
  <c r="Q36" i="3"/>
  <c r="Q35" i="2"/>
  <c r="Q31" i="2"/>
  <c r="S36" i="2"/>
  <c r="R17" i="3"/>
  <c r="P26" i="3"/>
  <c r="L26" i="3"/>
  <c r="C16" i="5" s="1"/>
  <c r="K26" i="3"/>
  <c r="H26" i="3"/>
  <c r="J26" i="3" s="1"/>
  <c r="S26" i="3"/>
  <c r="R26" i="3"/>
  <c r="Q26" i="3"/>
  <c r="S21" i="3"/>
  <c r="L21" i="3"/>
  <c r="C21" i="5" s="1"/>
  <c r="K21" i="3"/>
  <c r="H21" i="3"/>
  <c r="J21" i="3" s="1"/>
  <c r="Q9" i="3"/>
  <c r="P9" i="3"/>
  <c r="L9" i="3"/>
  <c r="C33" i="5" s="1"/>
  <c r="K9" i="3"/>
  <c r="H9" i="3"/>
  <c r="J9" i="3" s="1"/>
  <c r="R9" i="3"/>
  <c r="S29" i="4"/>
  <c r="R12" i="3"/>
  <c r="H38" i="3"/>
  <c r="J38" i="3" s="1"/>
  <c r="R38" i="3"/>
  <c r="L38" i="3"/>
  <c r="C4" i="5" s="1"/>
  <c r="K38" i="3"/>
  <c r="H34" i="3"/>
  <c r="J34" i="3" s="1"/>
  <c r="S34" i="3"/>
  <c r="R34" i="3"/>
  <c r="L34" i="3"/>
  <c r="C8" i="5" s="1"/>
  <c r="K34" i="3"/>
  <c r="K30" i="3"/>
  <c r="H30" i="3"/>
  <c r="J30" i="3" s="1"/>
  <c r="S30" i="3"/>
  <c r="L30" i="3"/>
  <c r="C12" i="5" s="1"/>
  <c r="L13" i="3"/>
  <c r="C29" i="5" s="1"/>
  <c r="K13" i="3"/>
  <c r="H13" i="3"/>
  <c r="J13" i="3" s="1"/>
  <c r="P13" i="3"/>
  <c r="H17" i="3"/>
  <c r="J17" i="3" s="1"/>
  <c r="Q17" i="3"/>
  <c r="L17" i="3"/>
  <c r="C25" i="5" s="1"/>
  <c r="K17" i="3"/>
  <c r="Q25" i="3"/>
  <c r="P25" i="3"/>
  <c r="L25" i="3"/>
  <c r="C17" i="5" s="1"/>
  <c r="K25" i="3"/>
  <c r="H25" i="3"/>
  <c r="J25" i="3" s="1"/>
  <c r="S25" i="3"/>
  <c r="R25" i="3"/>
  <c r="L20" i="3"/>
  <c r="C22" i="5" s="1"/>
  <c r="K20" i="3"/>
  <c r="H20" i="3"/>
  <c r="J20" i="3" s="1"/>
  <c r="O12" i="3"/>
  <c r="S32" i="4" l="1"/>
  <c r="L21" i="4"/>
  <c r="D21" i="5" s="1"/>
  <c r="S19" i="4"/>
  <c r="O21" i="4"/>
  <c r="K37" i="4"/>
  <c r="K21" i="4"/>
  <c r="L19" i="4"/>
  <c r="D23" i="5" s="1"/>
  <c r="P21" i="4"/>
  <c r="S10" i="4"/>
  <c r="L16" i="4"/>
  <c r="D26" i="5" s="1"/>
  <c r="Q24" i="4"/>
  <c r="Q21" i="4"/>
  <c r="K16" i="4"/>
  <c r="I37" i="4"/>
  <c r="R37" i="4"/>
  <c r="L37" i="4"/>
  <c r="D5" i="5" s="1"/>
  <c r="O36" i="4"/>
  <c r="Q37" i="4"/>
  <c r="R37" i="2"/>
  <c r="I32" i="4"/>
  <c r="K32" i="4"/>
  <c r="O22" i="4"/>
  <c r="S21" i="4"/>
  <c r="P32" i="4"/>
  <c r="R21" i="4"/>
  <c r="O32" i="4"/>
  <c r="K22" i="4"/>
  <c r="G13" i="5"/>
  <c r="H13" i="5" s="1"/>
  <c r="K19" i="4"/>
  <c r="O37" i="4"/>
  <c r="P37" i="4"/>
  <c r="G25" i="5"/>
  <c r="H25" i="5" s="1"/>
  <c r="K17" i="4"/>
  <c r="L17" i="4"/>
  <c r="D25" i="5" s="1"/>
  <c r="Q17" i="4"/>
  <c r="O17" i="4"/>
  <c r="P17" i="4"/>
  <c r="G7" i="5"/>
  <c r="H7" i="5" s="1"/>
  <c r="G26" i="5"/>
  <c r="H26" i="5" s="1"/>
  <c r="Q33" i="2"/>
  <c r="R10" i="4"/>
  <c r="R17" i="4"/>
  <c r="I22" i="4"/>
  <c r="S31" i="2"/>
  <c r="S33" i="2"/>
  <c r="Q22" i="4"/>
  <c r="P29" i="2"/>
  <c r="I16" i="4"/>
  <c r="L11" i="4"/>
  <c r="D31" i="5" s="1"/>
  <c r="O16" i="4"/>
  <c r="R33" i="2"/>
  <c r="P9" i="4"/>
  <c r="G5" i="5"/>
  <c r="H5" i="5" s="1"/>
  <c r="S22" i="4"/>
  <c r="R24" i="2"/>
  <c r="Q29" i="2"/>
  <c r="O24" i="4"/>
  <c r="S24" i="2"/>
  <c r="I29" i="4"/>
  <c r="R29" i="2"/>
  <c r="O9" i="4"/>
  <c r="P16" i="4"/>
  <c r="S29" i="2"/>
  <c r="S35" i="2"/>
  <c r="P24" i="4"/>
  <c r="K29" i="4"/>
  <c r="Q16" i="4"/>
  <c r="R16" i="4"/>
  <c r="R9" i="4"/>
  <c r="Q36" i="4"/>
  <c r="K24" i="4"/>
  <c r="Q24" i="2"/>
  <c r="Q29" i="4"/>
  <c r="I9" i="4"/>
  <c r="P29" i="4"/>
  <c r="L9" i="4"/>
  <c r="D33" i="5" s="1"/>
  <c r="G32" i="5"/>
  <c r="H32" i="5" s="1"/>
  <c r="H22" i="4"/>
  <c r="J22" i="4" s="1"/>
  <c r="L24" i="4"/>
  <c r="D18" i="5" s="1"/>
  <c r="R29" i="4"/>
  <c r="R22" i="4"/>
  <c r="I19" i="4"/>
  <c r="H17" i="4"/>
  <c r="J17" i="4" s="1"/>
  <c r="R19" i="4"/>
  <c r="P26" i="4"/>
  <c r="H35" i="4"/>
  <c r="J35" i="4" s="1"/>
  <c r="K35" i="4"/>
  <c r="S26" i="4"/>
  <c r="S11" i="4"/>
  <c r="Q35" i="4"/>
  <c r="H21" i="4"/>
  <c r="J21" i="4" s="1"/>
  <c r="I26" i="4"/>
  <c r="R35" i="4"/>
  <c r="R36" i="4"/>
  <c r="K11" i="4"/>
  <c r="K14" i="4"/>
  <c r="G8" i="5"/>
  <c r="H8" i="5" s="1"/>
  <c r="K36" i="4"/>
  <c r="I14" i="4"/>
  <c r="P19" i="4"/>
  <c r="S36" i="4"/>
  <c r="Q19" i="4"/>
  <c r="G24" i="5"/>
  <c r="H24" i="5" s="1"/>
  <c r="L32" i="4"/>
  <c r="D10" i="5" s="1"/>
  <c r="K26" i="4"/>
  <c r="Q32" i="4"/>
  <c r="O10" i="4"/>
  <c r="Q26" i="4"/>
  <c r="O26" i="4"/>
  <c r="G22" i="5"/>
  <c r="H22" i="5" s="1"/>
  <c r="R24" i="4"/>
  <c r="K10" i="4"/>
  <c r="L26" i="4"/>
  <c r="D16" i="5" s="1"/>
  <c r="I38" i="4"/>
  <c r="Q36" i="2"/>
  <c r="I10" i="4"/>
  <c r="K38" i="4"/>
  <c r="O35" i="4"/>
  <c r="G10" i="5"/>
  <c r="H10" i="5" s="1"/>
  <c r="H32" i="4"/>
  <c r="J32" i="4" s="1"/>
  <c r="L36" i="4"/>
  <c r="D6" i="5" s="1"/>
  <c r="H38" i="4"/>
  <c r="J38" i="4" s="1"/>
  <c r="H19" i="4"/>
  <c r="J19" i="4" s="1"/>
  <c r="S35" i="4"/>
  <c r="P36" i="4"/>
  <c r="O11" i="4"/>
  <c r="Q38" i="4"/>
  <c r="I35" i="4"/>
  <c r="R38" i="4"/>
  <c r="R14" i="4"/>
  <c r="S28" i="4"/>
  <c r="L38" i="4"/>
  <c r="D4" i="5" s="1"/>
  <c r="L35" i="4"/>
  <c r="D7" i="5" s="1"/>
  <c r="Q14" i="4"/>
  <c r="R11" i="4"/>
  <c r="H37" i="4"/>
  <c r="J37" i="4" s="1"/>
  <c r="P14" i="4"/>
  <c r="H26" i="4"/>
  <c r="J26" i="4" s="1"/>
  <c r="G29" i="5"/>
  <c r="H29" i="5" s="1"/>
  <c r="H24" i="4"/>
  <c r="J24" i="4" s="1"/>
  <c r="H29" i="4"/>
  <c r="J29" i="4" s="1"/>
  <c r="O14" i="4"/>
  <c r="H16" i="4"/>
  <c r="J16" i="4" s="1"/>
  <c r="L14" i="4"/>
  <c r="D28" i="5" s="1"/>
  <c r="G11" i="5"/>
  <c r="H11" i="5" s="1"/>
  <c r="H36" i="4"/>
  <c r="J36" i="4" s="1"/>
  <c r="Q37" i="2"/>
  <c r="H14" i="4"/>
  <c r="J14" i="4" s="1"/>
  <c r="H9" i="4"/>
  <c r="J9" i="4" s="1"/>
  <c r="Q11" i="4"/>
  <c r="G17" i="5"/>
  <c r="H17" i="5" s="1"/>
  <c r="I11" i="4"/>
  <c r="H11" i="4"/>
  <c r="J11" i="4" s="1"/>
  <c r="Q10" i="4"/>
  <c r="O27" i="2"/>
  <c r="R28" i="4"/>
  <c r="L10" i="4"/>
  <c r="D32" i="5" s="1"/>
  <c r="G15" i="5"/>
  <c r="H15" i="5" s="1"/>
  <c r="L28" i="4"/>
  <c r="D14" i="5" s="1"/>
  <c r="Q15" i="2"/>
  <c r="Q27" i="4"/>
  <c r="O28" i="4"/>
  <c r="Q28" i="4"/>
  <c r="I15" i="4"/>
  <c r="S27" i="4"/>
  <c r="P28" i="4"/>
  <c r="O27" i="4"/>
  <c r="K15" i="4"/>
  <c r="K28" i="4"/>
  <c r="L15" i="4"/>
  <c r="D27" i="5" s="1"/>
  <c r="K27" i="4"/>
  <c r="H28" i="4"/>
  <c r="J28" i="4" s="1"/>
  <c r="R20" i="4"/>
  <c r="L27" i="4"/>
  <c r="D15" i="5" s="1"/>
  <c r="R31" i="4"/>
  <c r="O11" i="2"/>
  <c r="R27" i="4"/>
  <c r="G19" i="5"/>
  <c r="H19" i="5" s="1"/>
  <c r="G12" i="5"/>
  <c r="H12" i="5" s="1"/>
  <c r="H27" i="4"/>
  <c r="J27" i="4" s="1"/>
  <c r="I27" i="4"/>
  <c r="G18" i="5"/>
  <c r="H18" i="5" s="1"/>
  <c r="H10" i="4"/>
  <c r="J10" i="4" s="1"/>
  <c r="R36" i="2"/>
  <c r="K18" i="2"/>
  <c r="G9" i="5"/>
  <c r="H9" i="5" s="1"/>
  <c r="G4" i="5"/>
  <c r="H4" i="5" s="1"/>
  <c r="S9" i="2"/>
  <c r="P30" i="2"/>
  <c r="R18" i="2"/>
  <c r="P34" i="4"/>
  <c r="I25" i="4"/>
  <c r="P24" i="2"/>
  <c r="Q30" i="2"/>
  <c r="S34" i="4"/>
  <c r="H25" i="4"/>
  <c r="J25" i="4" s="1"/>
  <c r="Q18" i="2"/>
  <c r="I34" i="4"/>
  <c r="K34" i="4"/>
  <c r="L34" i="4"/>
  <c r="D8" i="5" s="1"/>
  <c r="S30" i="2"/>
  <c r="Q33" i="4"/>
  <c r="S9" i="4"/>
  <c r="O24" i="2"/>
  <c r="G33" i="5"/>
  <c r="H33" i="5" s="1"/>
  <c r="H34" i="4"/>
  <c r="J34" i="4" s="1"/>
  <c r="Q34" i="4"/>
  <c r="L33" i="4"/>
  <c r="D9" i="5" s="1"/>
  <c r="O37" i="2"/>
  <c r="K33" i="4"/>
  <c r="I33" i="4"/>
  <c r="H13" i="4"/>
  <c r="J13" i="4" s="1"/>
  <c r="R34" i="4"/>
  <c r="S25" i="4"/>
  <c r="K37" i="2"/>
  <c r="R30" i="2"/>
  <c r="H12" i="4"/>
  <c r="J12" i="4" s="1"/>
  <c r="Q12" i="2"/>
  <c r="K23" i="4"/>
  <c r="L25" i="4"/>
  <c r="D17" i="5" s="1"/>
  <c r="S23" i="4"/>
  <c r="K13" i="4"/>
  <c r="K23" i="2"/>
  <c r="R13" i="4"/>
  <c r="O25" i="4"/>
  <c r="H23" i="4"/>
  <c r="J23" i="4" s="1"/>
  <c r="R27" i="2"/>
  <c r="S27" i="2"/>
  <c r="S12" i="4"/>
  <c r="Q13" i="4"/>
  <c r="S38" i="4"/>
  <c r="G23" i="5"/>
  <c r="H23" i="5" s="1"/>
  <c r="S23" i="2"/>
  <c r="P12" i="4"/>
  <c r="P13" i="4"/>
  <c r="G30" i="5"/>
  <c r="H30" i="5" s="1"/>
  <c r="Q12" i="4"/>
  <c r="Q23" i="4"/>
  <c r="R23" i="4"/>
  <c r="S15" i="2"/>
  <c r="G31" i="5"/>
  <c r="H31" i="5" s="1"/>
  <c r="O13" i="4"/>
  <c r="P23" i="4"/>
  <c r="I23" i="4"/>
  <c r="K25" i="4"/>
  <c r="P25" i="4"/>
  <c r="P38" i="4"/>
  <c r="L13" i="4"/>
  <c r="D29" i="5" s="1"/>
  <c r="G16" i="5"/>
  <c r="H16" i="5" s="1"/>
  <c r="K12" i="4"/>
  <c r="I12" i="4"/>
  <c r="I13" i="4"/>
  <c r="R34" i="2"/>
  <c r="R12" i="4"/>
  <c r="O23" i="4"/>
  <c r="R25" i="4"/>
  <c r="Q34" i="2"/>
  <c r="R38" i="2"/>
  <c r="S34" i="2"/>
  <c r="L12" i="4"/>
  <c r="D30" i="5" s="1"/>
  <c r="G6" i="5"/>
  <c r="H6" i="5" s="1"/>
  <c r="G20" i="5"/>
  <c r="H20" i="5" s="1"/>
  <c r="H15" i="4"/>
  <c r="J15" i="4" s="1"/>
  <c r="S26" i="2"/>
  <c r="S15" i="4"/>
  <c r="H30" i="4"/>
  <c r="J30" i="4" s="1"/>
  <c r="I31" i="4"/>
  <c r="O15" i="4"/>
  <c r="S31" i="4"/>
  <c r="O18" i="2"/>
  <c r="O9" i="2"/>
  <c r="P15" i="4"/>
  <c r="Q30" i="4"/>
  <c r="O29" i="2"/>
  <c r="O31" i="4"/>
  <c r="Q15" i="4"/>
  <c r="P30" i="4"/>
  <c r="O34" i="2"/>
  <c r="O30" i="4"/>
  <c r="Q31" i="4"/>
  <c r="Q13" i="2"/>
  <c r="K31" i="4"/>
  <c r="Q32" i="2"/>
  <c r="L30" i="4"/>
  <c r="D12" i="5" s="1"/>
  <c r="L31" i="4"/>
  <c r="D11" i="5" s="1"/>
  <c r="Q26" i="2"/>
  <c r="S32" i="2"/>
  <c r="I30" i="4"/>
  <c r="Q9" i="2"/>
  <c r="H31" i="4"/>
  <c r="J31" i="4" s="1"/>
  <c r="O35" i="2"/>
  <c r="R30" i="4"/>
  <c r="S30" i="4"/>
  <c r="R26" i="2"/>
  <c r="G27" i="5"/>
  <c r="H27" i="5" s="1"/>
  <c r="L20" i="4"/>
  <c r="D22" i="5" s="1"/>
  <c r="P20" i="4"/>
  <c r="Q20" i="4"/>
  <c r="K25" i="2"/>
  <c r="R10" i="2"/>
  <c r="P33" i="2"/>
  <c r="P10" i="2"/>
  <c r="R13" i="2"/>
  <c r="P19" i="2"/>
  <c r="R11" i="2"/>
  <c r="R31" i="2"/>
  <c r="P15" i="2"/>
  <c r="K15" i="2"/>
  <c r="S19" i="2"/>
  <c r="S10" i="2"/>
  <c r="K26" i="2"/>
  <c r="O20" i="4"/>
  <c r="S25" i="2"/>
  <c r="P25" i="2"/>
  <c r="K22" i="2"/>
  <c r="S11" i="2"/>
  <c r="Q21" i="2"/>
  <c r="S21" i="2"/>
  <c r="S22" i="2"/>
  <c r="Q25" i="2"/>
  <c r="R28" i="2"/>
  <c r="P38" i="2"/>
  <c r="O21" i="2"/>
  <c r="K33" i="2"/>
  <c r="K38" i="2"/>
  <c r="Q28" i="2"/>
  <c r="P11" i="2"/>
  <c r="O13" i="2"/>
  <c r="O38" i="2"/>
  <c r="Q22" i="2"/>
  <c r="Q10" i="2"/>
  <c r="R25" i="2"/>
  <c r="S28" i="2"/>
  <c r="S20" i="4"/>
  <c r="Q19" i="2"/>
  <c r="R12" i="2"/>
  <c r="H20" i="4"/>
  <c r="J20" i="4" s="1"/>
  <c r="Q11" i="2"/>
  <c r="P21" i="2"/>
  <c r="K13" i="2"/>
  <c r="K28" i="2"/>
  <c r="P22" i="2"/>
  <c r="O10" i="2"/>
  <c r="I20" i="4"/>
  <c r="R21" i="2"/>
  <c r="S13" i="2"/>
  <c r="R15" i="2"/>
  <c r="H17" i="2"/>
  <c r="J17" i="2" s="1"/>
  <c r="L17" i="2"/>
  <c r="B25" i="5" s="1"/>
  <c r="R18" i="4"/>
  <c r="O33" i="4"/>
  <c r="L31" i="2"/>
  <c r="B11" i="5" s="1"/>
  <c r="H31" i="2"/>
  <c r="J31" i="2" s="1"/>
  <c r="H26" i="2"/>
  <c r="J26" i="2" s="1"/>
  <c r="L26" i="2"/>
  <c r="B16" i="5" s="1"/>
  <c r="O16" i="2"/>
  <c r="R14" i="2"/>
  <c r="H19" i="2"/>
  <c r="J19" i="2" s="1"/>
  <c r="L19" i="2"/>
  <c r="B23" i="5" s="1"/>
  <c r="E23" i="5" s="1"/>
  <c r="P31" i="2"/>
  <c r="R17" i="2"/>
  <c r="H24" i="2"/>
  <c r="J24" i="2" s="1"/>
  <c r="L24" i="2"/>
  <c r="B18" i="5" s="1"/>
  <c r="P20" i="2"/>
  <c r="L34" i="2"/>
  <c r="B8" i="5" s="1"/>
  <c r="H34" i="2"/>
  <c r="J34" i="2" s="1"/>
  <c r="L36" i="2"/>
  <c r="B6" i="5" s="1"/>
  <c r="O36" i="2"/>
  <c r="H36" i="2"/>
  <c r="J36" i="2" s="1"/>
  <c r="K27" i="2"/>
  <c r="H27" i="2"/>
  <c r="J27" i="2" s="1"/>
  <c r="L27" i="2"/>
  <c r="B15" i="5" s="1"/>
  <c r="Q17" i="2"/>
  <c r="P27" i="2"/>
  <c r="S14" i="2"/>
  <c r="S16" i="2"/>
  <c r="P14" i="2"/>
  <c r="H35" i="2"/>
  <c r="J35" i="2" s="1"/>
  <c r="L35" i="2"/>
  <c r="B7" i="5" s="1"/>
  <c r="L9" i="2"/>
  <c r="B33" i="5" s="1"/>
  <c r="E33" i="5" s="1"/>
  <c r="H9" i="2"/>
  <c r="J9" i="2" s="1"/>
  <c r="P35" i="2"/>
  <c r="S12" i="2"/>
  <c r="R35" i="2"/>
  <c r="H28" i="2"/>
  <c r="J28" i="2" s="1"/>
  <c r="L28" i="2"/>
  <c r="B14" i="5" s="1"/>
  <c r="S17" i="2"/>
  <c r="H32" i="2"/>
  <c r="J32" i="2" s="1"/>
  <c r="L32" i="2"/>
  <c r="B10" i="5" s="1"/>
  <c r="O32" i="2"/>
  <c r="R32" i="2"/>
  <c r="L16" i="2"/>
  <c r="B26" i="5" s="1"/>
  <c r="H16" i="2"/>
  <c r="J16" i="2" s="1"/>
  <c r="Q18" i="4"/>
  <c r="H18" i="4"/>
  <c r="J18" i="4" s="1"/>
  <c r="O14" i="2"/>
  <c r="K12" i="2"/>
  <c r="H30" i="2"/>
  <c r="J30" i="2" s="1"/>
  <c r="L30" i="2"/>
  <c r="B12" i="5" s="1"/>
  <c r="I18" i="4"/>
  <c r="H33" i="4"/>
  <c r="J33" i="4" s="1"/>
  <c r="S33" i="4"/>
  <c r="O12" i="2"/>
  <c r="H22" i="2"/>
  <c r="J22" i="2" s="1"/>
  <c r="L22" i="2"/>
  <c r="B20" i="5" s="1"/>
  <c r="E20" i="5" s="1"/>
  <c r="H33" i="2"/>
  <c r="J33" i="2" s="1"/>
  <c r="L33" i="2"/>
  <c r="B9" i="5" s="1"/>
  <c r="O30" i="2"/>
  <c r="P9" i="2"/>
  <c r="P36" i="2"/>
  <c r="K18" i="4"/>
  <c r="H13" i="2"/>
  <c r="J13" i="2" s="1"/>
  <c r="L13" i="2"/>
  <c r="B29" i="5" s="1"/>
  <c r="L11" i="2"/>
  <c r="B31" i="5" s="1"/>
  <c r="H11" i="2"/>
  <c r="J11" i="2" s="1"/>
  <c r="H10" i="2"/>
  <c r="J10" i="2" s="1"/>
  <c r="L10" i="2"/>
  <c r="B32" i="5" s="1"/>
  <c r="R16" i="2"/>
  <c r="Q14" i="2"/>
  <c r="H14" i="2"/>
  <c r="J14" i="2" s="1"/>
  <c r="L14" i="2"/>
  <c r="B28" i="5" s="1"/>
  <c r="H12" i="2"/>
  <c r="J12" i="2" s="1"/>
  <c r="L12" i="2"/>
  <c r="B30" i="5" s="1"/>
  <c r="L20" i="2"/>
  <c r="B22" i="5" s="1"/>
  <c r="E22" i="5" s="1"/>
  <c r="Q20" i="2"/>
  <c r="H20" i="2"/>
  <c r="J20" i="2" s="1"/>
  <c r="O20" i="2"/>
  <c r="S18" i="4"/>
  <c r="H23" i="2"/>
  <c r="J23" i="2" s="1"/>
  <c r="L23" i="2"/>
  <c r="B19" i="5" s="1"/>
  <c r="E19" i="5" s="1"/>
  <c r="O23" i="2"/>
  <c r="R23" i="2"/>
  <c r="P16" i="2"/>
  <c r="K17" i="2"/>
  <c r="L29" i="2"/>
  <c r="B13" i="5" s="1"/>
  <c r="E13" i="5" s="1"/>
  <c r="H29" i="2"/>
  <c r="J29" i="2" s="1"/>
  <c r="K20" i="2"/>
  <c r="L18" i="4"/>
  <c r="D24" i="5" s="1"/>
  <c r="O18" i="4"/>
  <c r="O31" i="2"/>
  <c r="R22" i="2"/>
  <c r="P17" i="2"/>
  <c r="L25" i="2"/>
  <c r="B17" i="5" s="1"/>
  <c r="H25" i="2"/>
  <c r="J25" i="2" s="1"/>
  <c r="O17" i="2"/>
  <c r="K16" i="2"/>
  <c r="S18" i="2"/>
  <c r="H18" i="2"/>
  <c r="J18" i="2" s="1"/>
  <c r="L18" i="2"/>
  <c r="B24" i="5" s="1"/>
  <c r="O19" i="2"/>
  <c r="S20" i="2"/>
  <c r="P33" i="4"/>
  <c r="P28" i="2"/>
  <c r="H21" i="2"/>
  <c r="J21" i="2" s="1"/>
  <c r="L21" i="2"/>
  <c r="B21" i="5" s="1"/>
  <c r="O26" i="2"/>
  <c r="K19" i="2"/>
  <c r="H38" i="2"/>
  <c r="J38" i="2" s="1"/>
  <c r="L38" i="2"/>
  <c r="B4" i="5" s="1"/>
  <c r="L37" i="2"/>
  <c r="B5" i="5" s="1"/>
  <c r="H37" i="2"/>
  <c r="J37" i="2" s="1"/>
  <c r="H15" i="2"/>
  <c r="J15" i="2" s="1"/>
  <c r="L15" i="2"/>
  <c r="B27" i="5" s="1"/>
  <c r="R9" i="2"/>
  <c r="P23" i="2"/>
  <c r="F31" i="5"/>
  <c r="C24" i="1"/>
  <c r="B25" i="1"/>
  <c r="H25" i="1" s="1"/>
  <c r="D56" i="1"/>
  <c r="F30" i="5"/>
  <c r="D47" i="1"/>
  <c r="E26" i="5" l="1"/>
  <c r="E21" i="5"/>
  <c r="E16" i="5"/>
  <c r="E5" i="5"/>
  <c r="E27" i="5"/>
  <c r="E31" i="5"/>
  <c r="E24" i="5"/>
  <c r="E25" i="5"/>
  <c r="E18" i="5"/>
  <c r="E6" i="5"/>
  <c r="E10" i="5"/>
  <c r="E9" i="5"/>
  <c r="E28" i="5"/>
  <c r="E15" i="5"/>
  <c r="E14" i="5"/>
  <c r="E7" i="5"/>
  <c r="E32" i="5"/>
  <c r="E4" i="5"/>
  <c r="E17" i="5"/>
  <c r="E30" i="5"/>
  <c r="E12" i="5"/>
  <c r="E8" i="5"/>
  <c r="E29" i="5"/>
  <c r="E11" i="5"/>
  <c r="F29" i="5"/>
  <c r="D46" i="1"/>
  <c r="C25" i="1"/>
  <c r="B26" i="1"/>
  <c r="H26" i="1" s="1"/>
  <c r="E56" i="1"/>
  <c r="B27" i="1" l="1"/>
  <c r="H27" i="1" s="1"/>
  <c r="C26" i="1"/>
  <c r="F56" i="1"/>
  <c r="F28" i="5"/>
  <c r="D45" i="1"/>
  <c r="F27" i="5" l="1"/>
  <c r="D44" i="1"/>
  <c r="C27" i="1"/>
  <c r="B28" i="1"/>
  <c r="H28" i="1" s="1"/>
  <c r="G56" i="1"/>
  <c r="H56" i="1" l="1"/>
  <c r="B29" i="1"/>
  <c r="H29" i="1" s="1"/>
  <c r="C28" i="1"/>
  <c r="D43" i="1"/>
  <c r="F26" i="5"/>
  <c r="I56" i="1" l="1"/>
  <c r="B30" i="1"/>
  <c r="H30" i="1" s="1"/>
  <c r="C29" i="1"/>
  <c r="F25" i="5"/>
  <c r="D42" i="1"/>
  <c r="F24" i="5" l="1"/>
  <c r="D41" i="1"/>
  <c r="C30" i="1"/>
  <c r="B31" i="1"/>
  <c r="H31" i="1" s="1"/>
  <c r="J56" i="1"/>
  <c r="K56" i="1" l="1"/>
  <c r="B32" i="1"/>
  <c r="H32" i="1" s="1"/>
  <c r="C31" i="1"/>
  <c r="F23" i="5"/>
  <c r="D40" i="1"/>
  <c r="C32" i="1" l="1"/>
  <c r="B33" i="1"/>
  <c r="H33" i="1" s="1"/>
  <c r="L56" i="1"/>
  <c r="F22" i="5"/>
  <c r="D39" i="1"/>
  <c r="F21" i="5" l="1"/>
  <c r="D38" i="1"/>
  <c r="B34" i="1"/>
  <c r="H34" i="1" s="1"/>
  <c r="C33" i="1"/>
  <c r="M56" i="1"/>
  <c r="F20" i="5" l="1"/>
  <c r="D37" i="1"/>
  <c r="B35" i="1"/>
  <c r="H35" i="1" s="1"/>
  <c r="C34" i="1"/>
  <c r="N56" i="1"/>
  <c r="F19" i="5" l="1"/>
  <c r="D36" i="1"/>
  <c r="O56" i="1"/>
  <c r="B36" i="1"/>
  <c r="H36" i="1" s="1"/>
  <c r="C35" i="1"/>
  <c r="P56" i="1" l="1"/>
  <c r="B37" i="1"/>
  <c r="H37" i="1" s="1"/>
  <c r="C36" i="1"/>
  <c r="F18" i="5"/>
  <c r="D35" i="1"/>
  <c r="F17" i="5" l="1"/>
  <c r="D34" i="1"/>
  <c r="B38" i="1"/>
  <c r="H38" i="1" s="1"/>
  <c r="Q56" i="1"/>
  <c r="C37" i="1"/>
  <c r="C38" i="1" l="1"/>
  <c r="R56" i="1"/>
  <c r="B39" i="1"/>
  <c r="H39" i="1" s="1"/>
  <c r="D33" i="1"/>
  <c r="F16" i="5"/>
  <c r="F15" i="5" l="1"/>
  <c r="D32" i="1"/>
  <c r="S56" i="1"/>
  <c r="B40" i="1"/>
  <c r="H40" i="1" s="1"/>
  <c r="C39" i="1"/>
  <c r="B41" i="1" l="1"/>
  <c r="H41" i="1" s="1"/>
  <c r="T56" i="1"/>
  <c r="C40" i="1"/>
  <c r="F14" i="5"/>
  <c r="D31" i="1"/>
  <c r="F13" i="5" l="1"/>
  <c r="D30" i="1"/>
  <c r="U56" i="1"/>
  <c r="B42" i="1"/>
  <c r="H42" i="1" s="1"/>
  <c r="C41" i="1"/>
  <c r="B43" i="1" l="1"/>
  <c r="H43" i="1" s="1"/>
  <c r="C42" i="1"/>
  <c r="V56" i="1"/>
  <c r="F12" i="5"/>
  <c r="D29" i="1"/>
  <c r="D28" i="1" l="1"/>
  <c r="F11" i="5"/>
  <c r="C43" i="1"/>
  <c r="B44" i="1"/>
  <c r="H44" i="1" s="1"/>
  <c r="W56" i="1"/>
  <c r="X56" i="1" l="1"/>
  <c r="B45" i="1"/>
  <c r="H45" i="1" s="1"/>
  <c r="C44" i="1"/>
  <c r="F10" i="5"/>
  <c r="D27" i="1"/>
  <c r="F9" i="5" l="1"/>
  <c r="D26" i="1"/>
  <c r="Y56" i="1"/>
  <c r="C45" i="1"/>
  <c r="B46" i="1"/>
  <c r="H46" i="1" s="1"/>
  <c r="C46" i="1" l="1"/>
  <c r="B47" i="1"/>
  <c r="H47" i="1" s="1"/>
  <c r="Z56" i="1"/>
  <c r="D25" i="1"/>
  <c r="F8" i="5"/>
  <c r="B48" i="1" l="1"/>
  <c r="H48" i="1" s="1"/>
  <c r="C47" i="1"/>
  <c r="AA56" i="1"/>
  <c r="F7" i="5"/>
  <c r="D24" i="1"/>
  <c r="F6" i="5" l="1"/>
  <c r="D23" i="1"/>
  <c r="B49" i="1"/>
  <c r="H49" i="1" s="1"/>
  <c r="C48" i="1"/>
  <c r="AB56" i="1"/>
  <c r="B50" i="1" l="1"/>
  <c r="H50" i="1" s="1"/>
  <c r="C49" i="1"/>
  <c r="AC56" i="1"/>
  <c r="F5" i="5"/>
  <c r="D22" i="1"/>
  <c r="F4" i="5" s="1"/>
  <c r="M21" i="5"/>
  <c r="M30" i="5"/>
  <c r="M17" i="5"/>
  <c r="M4" i="5"/>
  <c r="M7" i="5"/>
  <c r="M26" i="5"/>
  <c r="M9" i="5"/>
  <c r="M19" i="5"/>
  <c r="M13" i="5"/>
  <c r="M20" i="5"/>
  <c r="M10" i="5"/>
  <c r="M11" i="5"/>
  <c r="M28" i="5"/>
  <c r="M6" i="5"/>
  <c r="M5" i="5"/>
  <c r="M22" i="5"/>
  <c r="M16" i="5"/>
  <c r="M8" i="5"/>
  <c r="M23" i="5"/>
  <c r="M27" i="5"/>
  <c r="M14" i="5"/>
  <c r="M12" i="5"/>
  <c r="M25" i="5"/>
  <c r="M29" i="5"/>
  <c r="M15" i="5"/>
  <c r="M24" i="5"/>
  <c r="M18" i="5"/>
  <c r="B13" i="7" l="1"/>
  <c r="B29" i="7"/>
  <c r="B14" i="7"/>
  <c r="B30" i="7"/>
  <c r="B16" i="7"/>
  <c r="B17" i="7"/>
  <c r="B18" i="7"/>
  <c r="B19" i="7"/>
  <c r="B20" i="7"/>
  <c r="B15" i="7"/>
  <c r="B21" i="7"/>
  <c r="B6" i="7"/>
  <c r="B22" i="7"/>
  <c r="B7" i="7"/>
  <c r="B23" i="7"/>
  <c r="B8" i="7"/>
  <c r="B24" i="7"/>
  <c r="B9" i="7"/>
  <c r="B25" i="7"/>
  <c r="B31" i="7"/>
  <c r="B10" i="7"/>
  <c r="B26" i="7"/>
  <c r="B11" i="7"/>
  <c r="B27" i="7"/>
  <c r="B12" i="7"/>
  <c r="B28" i="7"/>
  <c r="B5" i="7"/>
  <c r="B51" i="1"/>
  <c r="H51" i="1" s="1"/>
  <c r="C50" i="1"/>
  <c r="AD56" i="1"/>
  <c r="D21" i="7"/>
  <c r="D15" i="7"/>
  <c r="D33" i="7"/>
  <c r="D22" i="7"/>
  <c r="D8" i="7"/>
  <c r="D34" i="7"/>
  <c r="G29" i="7"/>
  <c r="D32" i="7"/>
  <c r="D5" i="7"/>
  <c r="D16" i="7"/>
  <c r="D31" i="7"/>
  <c r="D10" i="7"/>
  <c r="D26" i="7"/>
  <c r="G27" i="7"/>
  <c r="D12" i="7"/>
  <c r="D25" i="7"/>
  <c r="D9" i="7"/>
  <c r="D14" i="7"/>
  <c r="D24" i="7"/>
  <c r="D18" i="7"/>
  <c r="D27" i="7"/>
  <c r="D7" i="7"/>
  <c r="D13" i="7"/>
  <c r="G28" i="7"/>
  <c r="D30" i="7"/>
  <c r="D28" i="7"/>
  <c r="D19" i="7"/>
  <c r="D6" i="7"/>
  <c r="D17" i="7"/>
  <c r="D20" i="7"/>
  <c r="D29" i="7"/>
  <c r="D23" i="7"/>
  <c r="D11" i="7"/>
  <c r="G28" i="1" l="1"/>
  <c r="G51" i="1"/>
  <c r="G36" i="1"/>
  <c r="G27" i="1"/>
  <c r="G35" i="1"/>
  <c r="G41" i="1"/>
  <c r="G42" i="1"/>
  <c r="G26" i="1"/>
  <c r="G34" i="1"/>
  <c r="G43" i="1"/>
  <c r="G31" i="1"/>
  <c r="G25" i="1"/>
  <c r="G33" i="1"/>
  <c r="G29" i="1"/>
  <c r="G37" i="1"/>
  <c r="G47" i="1"/>
  <c r="G40" i="1"/>
  <c r="G32" i="1"/>
  <c r="G45" i="1"/>
  <c r="G23" i="1"/>
  <c r="G38" i="1"/>
  <c r="G44" i="1"/>
  <c r="G48" i="1"/>
  <c r="G46" i="1"/>
  <c r="G50" i="1"/>
  <c r="G24" i="1"/>
  <c r="G39" i="1"/>
  <c r="G49" i="1"/>
  <c r="G30" i="1"/>
  <c r="G22" i="1"/>
  <c r="AB20" i="7"/>
  <c r="AB23" i="7" s="1"/>
  <c r="M20" i="7"/>
  <c r="M23" i="7" s="1"/>
  <c r="P20" i="7"/>
  <c r="P23" i="7" s="1"/>
  <c r="AJ20" i="7"/>
  <c r="AJ23" i="7" s="1"/>
  <c r="AA20" i="7"/>
  <c r="AA23" i="7" s="1"/>
  <c r="L20" i="7"/>
  <c r="L23" i="7" s="1"/>
  <c r="Z20" i="7"/>
  <c r="Z23" i="7" s="1"/>
  <c r="K20" i="7"/>
  <c r="K23" i="7" s="1"/>
  <c r="Y20" i="7"/>
  <c r="Y23" i="7" s="1"/>
  <c r="J20" i="7"/>
  <c r="J23" i="7" s="1"/>
  <c r="AI20" i="7"/>
  <c r="AI23" i="7" s="1"/>
  <c r="I20" i="7"/>
  <c r="I23" i="7" s="1"/>
  <c r="X20" i="7"/>
  <c r="X23" i="7" s="1"/>
  <c r="H20" i="7"/>
  <c r="H23" i="7" s="1"/>
  <c r="AH20" i="7"/>
  <c r="AH23" i="7" s="1"/>
  <c r="W20" i="7"/>
  <c r="W23" i="7" s="1"/>
  <c r="G20" i="7"/>
  <c r="G23" i="7" s="1"/>
  <c r="V20" i="7"/>
  <c r="V23" i="7" s="1"/>
  <c r="AG20" i="7"/>
  <c r="AG23" i="7" s="1"/>
  <c r="U20" i="7"/>
  <c r="U23" i="7" s="1"/>
  <c r="AF20" i="7"/>
  <c r="AF23" i="7" s="1"/>
  <c r="T20" i="7"/>
  <c r="T23" i="7" s="1"/>
  <c r="S20" i="7"/>
  <c r="S23" i="7" s="1"/>
  <c r="AE20" i="7"/>
  <c r="AE23" i="7" s="1"/>
  <c r="R20" i="7"/>
  <c r="R23" i="7" s="1"/>
  <c r="Q20" i="7"/>
  <c r="Q23" i="7" s="1"/>
  <c r="AD20" i="7"/>
  <c r="AD23" i="7" s="1"/>
  <c r="O20" i="7"/>
  <c r="O23" i="7" s="1"/>
  <c r="AC20" i="7"/>
  <c r="AC23" i="7" s="1"/>
  <c r="N20" i="7"/>
  <c r="N23" i="7" s="1"/>
  <c r="C51" i="1"/>
  <c r="AE56" i="1"/>
  <c r="I45" i="1"/>
  <c r="I26" i="1"/>
  <c r="I34" i="1"/>
  <c r="I48" i="1"/>
  <c r="I30" i="1"/>
  <c r="I32" i="1"/>
  <c r="I22" i="1"/>
  <c r="I38" i="1"/>
  <c r="I28" i="1"/>
  <c r="I39" i="1"/>
  <c r="I29" i="1"/>
  <c r="I50" i="1"/>
  <c r="I23" i="1"/>
  <c r="I40" i="1"/>
  <c r="I51" i="1"/>
  <c r="I43" i="1"/>
  <c r="I49" i="1"/>
  <c r="I44" i="1"/>
  <c r="I24" i="1"/>
  <c r="I47" i="1"/>
  <c r="I36" i="1"/>
  <c r="I35" i="1"/>
  <c r="I27" i="1"/>
  <c r="I46" i="1"/>
  <c r="I41" i="1"/>
  <c r="I33" i="1"/>
  <c r="I42" i="1"/>
  <c r="I31" i="1"/>
  <c r="I37" i="1"/>
  <c r="I25" i="1"/>
</calcChain>
</file>

<file path=xl/sharedStrings.xml><?xml version="1.0" encoding="utf-8"?>
<sst xmlns="http://schemas.openxmlformats.org/spreadsheetml/2006/main" count="432" uniqueCount="185">
  <si>
    <t>Clause 6 - Sizing Calibration - Initial Threshold Setting</t>
  </si>
  <si>
    <t>Reference Fluid Dilution Calculator</t>
  </si>
  <si>
    <t>Dilution to</t>
  </si>
  <si>
    <t>Captured</t>
  </si>
  <si>
    <t>RM</t>
  </si>
  <si>
    <t>Target Concentration</t>
  </si>
  <si>
    <t>Information Only</t>
  </si>
  <si>
    <t>ml</t>
  </si>
  <si>
    <t>Date</t>
  </si>
  <si>
    <t>Fluid Density</t>
  </si>
  <si>
    <t>um(c)</t>
  </si>
  <si>
    <t>SRM2806D</t>
  </si>
  <si>
    <t>34D</t>
  </si>
  <si>
    <t>RM USED</t>
  </si>
  <si>
    <t>Diluted</t>
  </si>
  <si>
    <t>Counted</t>
  </si>
  <si>
    <t>Operator</t>
  </si>
  <si>
    <t>JMD</t>
  </si>
  <si>
    <t>APC Model</t>
  </si>
  <si>
    <t>Bottle Number</t>
  </si>
  <si>
    <t>B0</t>
  </si>
  <si>
    <t>B1</t>
  </si>
  <si>
    <t>B2</t>
  </si>
  <si>
    <t>B3</t>
  </si>
  <si>
    <t>APC S/N</t>
  </si>
  <si>
    <t>Ref Fluid to Add / g</t>
  </si>
  <si>
    <t>Sensor Model</t>
  </si>
  <si>
    <t>Ref Fluid Added / g</t>
  </si>
  <si>
    <t>Sensor S/N</t>
  </si>
  <si>
    <t>Diluent to add / g</t>
  </si>
  <si>
    <t>Bottle Sampler</t>
  </si>
  <si>
    <t>BS110-HP D2 BS2044</t>
  </si>
  <si>
    <t>Diluent Added / g</t>
  </si>
  <si>
    <t>Final Concentration</t>
  </si>
  <si>
    <t>Threshold Noise</t>
  </si>
  <si>
    <t>Lowest threshold J</t>
  </si>
  <si>
    <t>Highest threshold H</t>
  </si>
  <si>
    <t>Threshold Factor K</t>
  </si>
  <si>
    <t>Threshold#</t>
  </si>
  <si>
    <t>Initial Value</t>
  </si>
  <si>
    <t>INT</t>
  </si>
  <si>
    <t>Reversed</t>
  </si>
  <si>
    <t>INITIAL Thresholds to Load into Instrument</t>
  </si>
  <si>
    <t>Number</t>
  </si>
  <si>
    <t>Value</t>
  </si>
  <si>
    <t>ENSURE CALIBRATION THRESHOLDS LOADED INTO INSTRUMENT</t>
  </si>
  <si>
    <t>Data Preprocessing and Quality Assessment per ISO 11171 Clause 6.6</t>
  </si>
  <si>
    <t>BOTTLE 1</t>
  </si>
  <si>
    <t>CHECK CALIBRATION THRESHOLDS ENTERED ON PARTICLE COUNTER</t>
  </si>
  <si>
    <t>Serial #</t>
  </si>
  <si>
    <t>Dilution Ratio</t>
  </si>
  <si>
    <t>Portion 1</t>
  </si>
  <si>
    <t>Portion 2</t>
  </si>
  <si>
    <t>Portion 3</t>
  </si>
  <si>
    <t>Portion 4</t>
  </si>
  <si>
    <t>Portion 5</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</si>
  <si>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</si>
  <si>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</si>
  <si>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</si>
  <si>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</si>
  <si>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</si>
  <si>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t>X̅</t>
    </r>
    <r>
      <rPr>
        <b/>
        <vertAlign val="subscript"/>
        <sz val="10"/>
        <rFont val="Arial"/>
        <family val="2"/>
      </rPr>
      <t>N</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</si>
  <si>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</si>
  <si>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</si>
  <si>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</si>
  <si>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</si>
  <si>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</si>
  <si>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</si>
  <si>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</si>
  <si>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</si>
  <si>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</si>
  <si>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</si>
  <si>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</si>
  <si>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</si>
  <si>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</si>
  <si>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</si>
  <si>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</si>
  <si>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</si>
  <si>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</si>
  <si>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</si>
  <si>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</si>
  <si>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</si>
  <si>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</si>
  <si>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</si>
  <si>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</si>
  <si>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</si>
  <si>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</si>
  <si>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</si>
  <si>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</si>
  <si>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</si>
  <si>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</si>
  <si>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</si>
  <si>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</si>
  <si>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</si>
  <si>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</si>
  <si>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</si>
  <si>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</si>
  <si>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</si>
  <si>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</si>
  <si>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</si>
  <si>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</si>
  <si>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</si>
  <si>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</si>
  <si>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</si>
  <si>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</si>
  <si>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</si>
  <si>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RAW CSV DATA</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</si>
  <si>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</si>
  <si>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</si>
  <si>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</si>
  <si>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</si>
  <si>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</si>
  <si>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r>
      <t>Mean X̅</t>
    </r>
    <r>
      <rPr>
        <vertAlign val="subscript"/>
        <sz val="11"/>
        <color rgb="FF000000"/>
        <rFont val="Calibri"/>
        <family val="2"/>
      </rPr>
      <t>N</t>
    </r>
    <r>
      <rPr>
        <sz val="11"/>
        <color rgb="FF000000"/>
        <rFont val="Calibri"/>
        <family val="2"/>
      </rPr>
      <t xml:space="preserve"> </t>
    </r>
  </si>
  <si>
    <t>Threshold Voltage Setting</t>
  </si>
  <si>
    <t>Uncertainty
S</t>
  </si>
  <si>
    <t xml:space="preserve"> Particle Size</t>
  </si>
  <si>
    <t>Undiluted Particle Concentration</t>
  </si>
  <si>
    <t>Interpolated Threshold Voltage Setting</t>
  </si>
  <si>
    <t>particles per millilitre</t>
  </si>
  <si>
    <t>samples</t>
  </si>
  <si>
    <t>/ml</t>
  </si>
  <si>
    <t xml:space="preserve">µm(c) </t>
  </si>
  <si>
    <t>4-30um(c) threshold interpolation</t>
  </si>
  <si>
    <t>REF</t>
  </si>
  <si>
    <t>11171-00001</t>
  </si>
  <si>
    <t>BS110-HP BS2044</t>
  </si>
  <si>
    <t>Poly Spheres Concentrate Calculator</t>
  </si>
  <si>
    <t>microns</t>
  </si>
  <si>
    <t>diameter</t>
  </si>
  <si>
    <t>m^3</t>
  </si>
  <si>
    <t>volume of a sphere</t>
  </si>
  <si>
    <t>kg</t>
  </si>
  <si>
    <t>mass of a sphere</t>
  </si>
  <si>
    <t>spheres per mg</t>
  </si>
  <si>
    <t>Target concentration per ml</t>
  </si>
  <si>
    <t>mg/l</t>
  </si>
  <si>
    <t>spheres to add per liter</t>
  </si>
  <si>
    <t>litres</t>
  </si>
  <si>
    <t>Bottle / Rig volume</t>
  </si>
  <si>
    <t>mg</t>
  </si>
  <si>
    <t>Total mass of spheres to add</t>
  </si>
  <si>
    <t>Actual mass added</t>
  </si>
  <si>
    <t>N/ml</t>
  </si>
  <si>
    <t>Concentration expected</t>
  </si>
  <si>
    <t>Spheres added</t>
  </si>
  <si>
    <t>Adjusted volume required</t>
  </si>
  <si>
    <t>Extra volume to add</t>
  </si>
  <si>
    <t>Dilution</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</si>
  <si>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</si>
  <si>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</si>
  <si>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</si>
  <si>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</si>
  <si>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</si>
  <si>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</si>
  <si>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</si>
  <si>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</si>
  <si>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</si>
  <si>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</si>
  <si>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</si>
  <si>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</si>
  <si>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</si>
  <si>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</si>
  <si>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</si>
  <si>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</si>
  <si>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</si>
  <si>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</si>
  <si>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</si>
  <si>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mV</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</si>
  <si>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</si>
  <si>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</si>
  <si>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</si>
  <si>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</si>
  <si>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</si>
  <si>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</si>
  <si>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Size</t>
  </si>
  <si>
    <t>Threshold</t>
  </si>
  <si>
    <t>Channel Label</t>
  </si>
  <si>
    <t>Calibration Curve</t>
  </si>
  <si>
    <t>Calibrated Sizes for Initial Values Used</t>
  </si>
  <si>
    <t>Expected Counts vs Size Calculator</t>
  </si>
  <si>
    <t>Equipment Details</t>
  </si>
  <si>
    <t>SRM2806d</t>
  </si>
  <si>
    <t>Ref Beam Flow Correction</t>
  </si>
  <si>
    <t>Final Beam Flow Correction</t>
  </si>
  <si>
    <t>Scale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</si>
</sst>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yyyy\-mm\-dd"/>
    <numFmt numFmtId="165" formatCode="0.000"/>
    <numFmt numFmtId="166" formatCode="0.0"/>
    <numFmt numFmtId="167" formatCode="0.0%"/>
    <numFmt numFmtId="168" formatCode="0.000E+00"/>
  </numFmts>
  <fonts count="30" x14ac:knownFonts="1">
    <font>
      <sz val="10"/>
      <name val="Arial"/>
      <family val="2"/>
    </font>
    <font>
      <sz val="11"/>
      <color theme="1"/>
      <name val="Arial"/>
      <family val="2"/>
      <scheme val="minor"/>
    </font>
    <font>
      <b/>
      <sz val="11"/>
      <color rgb="FFFA7D00"/>
      <name val="Arial"/>
      <family val="2"/>
      <scheme val="minor"/>
    </font>
    <font>
      <sz val="10"/>
      <name val="Arial"/>
      <family val="2"/>
    </font>
    <font>
      <sz val="24"/>
      <color rgb="FFC00000"/>
      <name val="Arial Black"/>
      <family val="2"/>
    </font>
    <font>
      <b/>
      <sz val="12"/>
      <name val="Calibri"/>
      <family val="2"/>
    </font>
    <font>
      <sz val="10"/>
      <name val="Calibri"/>
      <family val="2"/>
    </font>
    <font>
      <b/>
      <sz val="10"/>
      <name val="Calibri"/>
      <family val="2"/>
    </font>
    <font>
      <b/>
      <sz val="10"/>
      <name val="Arial"/>
      <family val="2"/>
    </font>
    <font>
      <sz val="32"/>
      <name val="Arial"/>
      <family val="2"/>
    </font>
    <font>
      <b/>
      <sz val="10"/>
      <color rgb="FFFC5C00"/>
      <name val="Arial"/>
      <family val="2"/>
    </font>
    <font>
      <b/>
      <vertAlign val="subscript"/>
      <sz val="10"/>
      <name val="Arial"/>
      <family val="2"/>
    </font>
    <font>
      <vertAlign val="subscript"/>
      <sz val="10"/>
      <name val="Arial"/>
      <family val="2"/>
    </font>
    <font>
      <i/>
      <sz val="10"/>
      <color theme="2" tint="-0.499984740745262"/>
      <name val="Arial"/>
      <family val="2"/>
    </font>
    <font>
      <b/>
      <i/>
      <sz val="10"/>
      <color theme="2" tint="-0.499984740745262"/>
      <name val="Arial"/>
      <family val="2"/>
    </font>
    <font>
      <b/>
      <sz val="20"/>
      <color rgb="FFFF0000"/>
      <name val="Arial"/>
      <family val="2"/>
    </font>
    <font>
      <vertAlign val="subscript"/>
      <sz val="11"/>
      <color rgb="FF000000"/>
      <name val="Calibri"/>
      <family val="2"/>
    </font>
    <font>
      <sz val="11"/>
      <color rgb="FF000000"/>
      <name val="Calibri"/>
      <family val="2"/>
    </font>
    <font>
      <b/>
      <u/>
      <sz val="10"/>
      <name val="Arial"/>
      <family val="2"/>
    </font>
    <font>
      <b/>
      <u/>
      <sz val="10"/>
      <color theme="4" tint="0.39997558519241921"/>
      <name val="Arial"/>
      <family val="2"/>
    </font>
    <font>
      <i/>
      <sz val="10"/>
      <name val="Arial"/>
      <family val="2"/>
    </font>
    <font>
      <u/>
      <sz val="11"/>
      <color rgb="FF000000"/>
      <name val="Calibri"/>
      <family val="2"/>
    </font>
    <font>
      <b/>
      <sz val="32"/>
      <color rgb="FFFC5C00"/>
      <name val="Arial"/>
      <family val="2"/>
    </font>
    <font>
      <b/>
      <sz val="15"/>
      <color theme="3"/>
      <name val="Arial"/>
      <family val="2"/>
      <scheme val="minor"/>
    </font>
    <font>
      <b/>
      <i/>
      <sz val="10"/>
      <color theme="2" tint="-0.34998626667073579"/>
      <name val="Arial"/>
      <family val="2"/>
    </font>
    <font>
      <i/>
      <sz val="10"/>
      <color theme="2" tint="-0.34998626667073579"/>
      <name val="Arial"/>
      <family val="2"/>
    </font>
    <font>
      <sz val="10"/>
      <color rgb="FFFA7D00"/>
      <name val="Arial"/>
      <family val="2"/>
      <scheme val="minor"/>
    </font>
    <font>
      <b/>
      <i/>
      <sz val="10"/>
      <color theme="2" tint="-0.34998626667073579"/>
      <name val="Arial"/>
      <family val="2"/>
      <scheme val="minor"/>
    </font>
    <font>
      <b/>
      <sz val="10"/>
      <color theme="5" tint="0.39994506668294322"/>
      <name val="Arial"/>
      <family val="2"/>
    </font>
    <font>
      <i/>
      <sz val="11"/>
      <color theme="2" tint="-0.499984740745262"/>
      <name val="Arial"/>
      <family val="2"/>
      <scheme val="minor"/>
    </font>
  </fonts>
  <fills count="7">
    <fill>
      <patternFill patternType="none"/>
    </fill>
    <fill>
      <patternFill patternType="gray125"/>
    </fill>
    <fill>
      <patternFill patternType="solid">
        <fgColor rgb="FFF2F2F2"/>
      </patternFill>
    </fill>
    <fill>
      <patternFill patternType="solid">
        <fgColor theme="5" tint="0.79998168889431442"/>
        <bgColor indexed="65"/>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top/>
      <bottom/>
      <diagonal/>
    </border>
    <border>
      <left/>
      <right style="thin">
        <color auto="1"/>
      </right>
      <top/>
      <bottom/>
      <diagonal/>
    </border>
    <border>
      <left style="thin">
        <color auto="1"/>
      </left>
      <right style="thin">
        <color auto="1"/>
      </right>
      <top style="thin">
        <color auto="1"/>
      </top>
      <bottom style="thin">
        <color auto="1"/>
      </bottom>
      <diagonal/>
    </border>
    <border>
      <left/>
      <right/>
      <top/>
      <bottom style="thick">
        <color theme="4"/>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indexed="64"/>
      </left>
      <right style="thin">
        <color rgb="FF7F7F7F"/>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style="medium">
        <color indexed="64"/>
      </left>
      <right/>
      <top style="medium">
        <color indexed="64"/>
      </top>
      <bottom style="thick">
        <color theme="4"/>
      </bottom>
      <diagonal/>
    </border>
    <border>
      <left/>
      <right/>
      <top style="thin">
        <color indexed="64"/>
      </top>
      <bottom style="medium">
        <color indexed="64"/>
      </bottom>
      <diagonal/>
    </border>
  </borders>
  <cellStyleXfs count="6">
    <xf numFmtId="0" fontId="0" fillId="0" borderId="0"/>
    <xf numFmtId="9" fontId="3" fillId="0" borderId="0" applyFont="0" applyFill="0" applyBorder="0" applyAlignment="0" applyProtection="0"/>
    <xf numFmtId="0" fontId="2" fillId="2" borderId="1" applyNumberFormat="0" applyAlignment="0" applyProtection="0"/>
    <xf numFmtId="0" fontId="1" fillId="3" borderId="0" applyNumberFormat="0" applyBorder="0" applyAlignment="0" applyProtection="0"/>
    <xf numFmtId="0" fontId="23" fillId="0" borderId="21" applyNumberFormat="0" applyFill="0" applyAlignment="0" applyProtection="0"/>
    <xf numFmtId="0" fontId="28" fillId="0" borderId="0" applyNumberFormat="0"/>
  </cellStyleXfs>
  <cellXfs count="154">
    <xf numFmtId="0" fontId="0" fillId="0" borderId="0" xfId="0"/>
    <xf numFmtId="0" fontId="4" fillId="0" borderId="0" xfId="0" applyFont="1" applyAlignment="1">
      <alignment vertical="center"/>
    </xf>
    <xf numFmtId="0" fontId="0" fillId="0" borderId="0" xfId="0" applyAlignment="1">
      <alignment vertical="center"/>
    </xf>
    <xf numFmtId="0" fontId="0" fillId="0" borderId="0" xfId="0" applyAlignment="1">
      <alignment vertical="center" wrapText="1"/>
    </xf>
    <xf numFmtId="0" fontId="0" fillId="0" borderId="3" xfId="0" applyBorder="1" applyAlignment="1">
      <alignment horizontal="right"/>
    </xf>
    <xf numFmtId="0" fontId="0" fillId="0" borderId="4" xfId="0" applyBorder="1"/>
    <xf numFmtId="0" fontId="5" fillId="0" borderId="0" xfId="0" applyFont="1"/>
    <xf numFmtId="0" fontId="6" fillId="0" borderId="0" xfId="0" applyFont="1"/>
    <xf numFmtId="0" fontId="0" fillId="0" borderId="0" xfId="0" applyAlignment="1">
      <alignment horizontal="right" vertical="center"/>
    </xf>
    <xf numFmtId="0" fontId="3" fillId="0" borderId="0" xfId="0" applyFont="1"/>
    <xf numFmtId="0" fontId="0" fillId="0" borderId="5" xfId="0" applyBorder="1" applyAlignment="1">
      <alignment horizontal="left"/>
    </xf>
    <xf numFmtId="0" fontId="0" fillId="0" borderId="0" xfId="0" applyAlignment="1">
      <alignment horizontal="right"/>
    </xf>
    <xf numFmtId="0" fontId="0" fillId="0" borderId="6" xfId="0" applyBorder="1"/>
    <xf numFmtId="0" fontId="8" fillId="0" borderId="5" xfId="0" applyFont="1" applyBorder="1" applyAlignment="1">
      <alignment horizontal="right"/>
    </xf>
    <xf numFmtId="0" fontId="8" fillId="0" borderId="0" xfId="0" applyFont="1" applyAlignment="1">
      <alignment horizontal="right"/>
    </xf>
    <xf numFmtId="0" fontId="0" fillId="0" borderId="5" xfId="0" applyBorder="1"/>
    <xf numFmtId="1" fontId="0" fillId="0" borderId="0" xfId="0" applyNumberFormat="1"/>
    <xf numFmtId="0" fontId="7" fillId="0" borderId="0" xfId="0" applyFont="1"/>
    <xf numFmtId="164" fontId="0" fillId="0" borderId="0" xfId="0" applyNumberFormat="1" applyAlignment="1">
      <alignment horizontal="right" vertical="center"/>
    </xf>
    <xf numFmtId="2" fontId="3" fillId="0" borderId="0" xfId="0" applyNumberFormat="1" applyFont="1"/>
    <xf numFmtId="0" fontId="0" fillId="0" borderId="0" xfId="0" applyAlignment="1">
      <alignment horizontal="left"/>
    </xf>
    <xf numFmtId="0" fontId="0" fillId="0" borderId="5" xfId="0" applyBorder="1" applyAlignment="1">
      <alignment horizontal="right"/>
    </xf>
    <xf numFmtId="166" fontId="0" fillId="0" borderId="0" xfId="0" applyNumberFormat="1"/>
    <xf numFmtId="0" fontId="0" fillId="0" borderId="7" xfId="0" applyBorder="1"/>
    <xf numFmtId="1" fontId="0" fillId="0" borderId="8" xfId="0" applyNumberFormat="1" applyBorder="1"/>
    <xf numFmtId="0" fontId="0" fillId="0" borderId="9" xfId="0" applyBorder="1"/>
    <xf numFmtId="0" fontId="10" fillId="0" borderId="0" xfId="0" applyFont="1"/>
    <xf numFmtId="0" fontId="8" fillId="0" borderId="0" xfId="0" applyFont="1"/>
    <xf numFmtId="0" fontId="9" fillId="0" borderId="0" xfId="0" applyFont="1"/>
    <xf numFmtId="164" fontId="0" fillId="0" borderId="0" xfId="0" applyNumberFormat="1"/>
    <xf numFmtId="165" fontId="0" fillId="0" borderId="0" xfId="0" applyNumberFormat="1"/>
    <xf numFmtId="166" fontId="8" fillId="0" borderId="0" xfId="0" applyNumberFormat="1" applyFont="1" applyAlignment="1">
      <alignment horizontal="right"/>
    </xf>
    <xf numFmtId="167" fontId="0" fillId="0" borderId="0" xfId="0" applyNumberFormat="1"/>
    <xf numFmtId="166" fontId="8" fillId="0" borderId="0" xfId="0" applyNumberFormat="1" applyFont="1"/>
    <xf numFmtId="1" fontId="0" fillId="0" borderId="0" xfId="0" applyNumberFormat="1" applyAlignment="1">
      <alignment horizontal="right"/>
    </xf>
    <xf numFmtId="10" fontId="0" fillId="0" borderId="0" xfId="0" applyNumberFormat="1"/>
    <xf numFmtId="0" fontId="0" fillId="0" borderId="12" xfId="0" applyBorder="1"/>
    <xf numFmtId="0" fontId="0" fillId="0" borderId="13" xfId="0" applyBorder="1" applyAlignment="1">
      <alignment horizontal="right"/>
    </xf>
    <xf numFmtId="0" fontId="0" fillId="0" borderId="12" xfId="0" applyBorder="1" applyAlignment="1">
      <alignment horizontal="right"/>
    </xf>
    <xf numFmtId="0" fontId="0" fillId="0" borderId="13" xfId="0" applyBorder="1"/>
    <xf numFmtId="0" fontId="0" fillId="0" borderId="14" xfId="0" applyBorder="1"/>
    <xf numFmtId="0" fontId="0" fillId="0" borderId="15" xfId="0" applyBorder="1" applyAlignment="1">
      <alignment horizontal="right"/>
    </xf>
    <xf numFmtId="0" fontId="0" fillId="0" borderId="16" xfId="0" applyBorder="1" applyAlignment="1">
      <alignment horizontal="right"/>
    </xf>
    <xf numFmtId="0" fontId="0" fillId="0" borderId="17" xfId="0" applyBorder="1" applyAlignment="1">
      <alignment horizontal="right"/>
    </xf>
    <xf numFmtId="0" fontId="0" fillId="0" borderId="18" xfId="0" applyBorder="1"/>
    <xf numFmtId="0" fontId="0" fillId="0" borderId="19" xfId="0" applyBorder="1"/>
    <xf numFmtId="0" fontId="0" fillId="0" borderId="15" xfId="0" applyBorder="1"/>
    <xf numFmtId="0" fontId="0" fillId="0" borderId="16" xfId="0" applyBorder="1"/>
    <xf numFmtId="0" fontId="0" fillId="0" borderId="17" xfId="0" applyBorder="1"/>
    <xf numFmtId="0" fontId="13" fillId="0" borderId="0" xfId="0" applyFont="1"/>
    <xf numFmtId="0" fontId="14" fillId="0" borderId="0" xfId="0" applyFont="1" applyAlignment="1">
      <alignment horizontal="right"/>
    </xf>
    <xf numFmtId="0" fontId="14" fillId="0" borderId="0" xfId="0" applyFont="1"/>
    <xf numFmtId="0" fontId="15" fillId="0" borderId="0" xfId="0" applyFont="1"/>
    <xf numFmtId="0" fontId="0" fillId="4" borderId="20" xfId="0" applyFill="1" applyBorder="1" applyAlignment="1">
      <alignment horizontal="center" vertical="center" wrapText="1"/>
    </xf>
    <xf numFmtId="0" fontId="0" fillId="4" borderId="20" xfId="0" applyFill="1" applyBorder="1" applyAlignment="1">
      <alignment horizontal="center" wrapText="1"/>
    </xf>
    <xf numFmtId="0" fontId="8" fillId="5" borderId="20" xfId="0" applyFont="1" applyFill="1" applyBorder="1" applyAlignment="1">
      <alignment horizontal="center"/>
    </xf>
    <xf numFmtId="0" fontId="8" fillId="5" borderId="20" xfId="0" applyFont="1" applyFill="1" applyBorder="1" applyAlignment="1">
      <alignment horizontal="center" wrapText="1"/>
    </xf>
    <xf numFmtId="0" fontId="0" fillId="5" borderId="20" xfId="0" applyFill="1" applyBorder="1" applyAlignment="1">
      <alignment horizontal="center" vertical="center"/>
    </xf>
    <xf numFmtId="0" fontId="0" fillId="5" borderId="20" xfId="0" applyFill="1" applyBorder="1" applyAlignment="1">
      <alignment horizontal="center" wrapText="1"/>
    </xf>
    <xf numFmtId="0" fontId="0" fillId="5" borderId="20" xfId="0" applyFill="1" applyBorder="1" applyAlignment="1">
      <alignment horizontal="center"/>
    </xf>
    <xf numFmtId="0" fontId="17" fillId="5" borderId="20" xfId="0" applyFont="1" applyFill="1" applyBorder="1" applyAlignment="1">
      <alignment horizontal="center"/>
    </xf>
    <xf numFmtId="0" fontId="18" fillId="0" borderId="0" xfId="0" applyFont="1" applyAlignment="1">
      <alignment horizontal="right"/>
    </xf>
    <xf numFmtId="10" fontId="19" fillId="0" borderId="0" xfId="0" applyNumberFormat="1" applyFont="1" applyAlignment="1">
      <alignment horizontal="right"/>
    </xf>
    <xf numFmtId="0" fontId="0" fillId="6" borderId="20" xfId="0" applyFill="1" applyBorder="1"/>
    <xf numFmtId="0" fontId="0" fillId="0" borderId="20" xfId="0" applyBorder="1"/>
    <xf numFmtId="3" fontId="0" fillId="0" borderId="0" xfId="0" applyNumberFormat="1"/>
    <xf numFmtId="0" fontId="7" fillId="0" borderId="0" xfId="0" applyFont="1" applyAlignment="1">
      <alignment horizontal="right"/>
    </xf>
    <xf numFmtId="164" fontId="7" fillId="0" borderId="0" xfId="0" applyNumberFormat="1" applyFont="1" applyAlignment="1">
      <alignment horizontal="right"/>
    </xf>
    <xf numFmtId="0" fontId="6" fillId="0" borderId="0" xfId="0" applyFont="1" applyAlignment="1">
      <alignment horizontal="right"/>
    </xf>
    <xf numFmtId="164" fontId="6" fillId="0" borderId="0" xfId="0" applyNumberFormat="1" applyFont="1" applyAlignment="1">
      <alignment horizontal="right"/>
    </xf>
    <xf numFmtId="0" fontId="0" fillId="0" borderId="0" xfId="0" applyProtection="1">
      <protection locked="0"/>
    </xf>
    <xf numFmtId="0" fontId="0" fillId="0" borderId="13" xfId="0" applyBorder="1" applyProtection="1">
      <protection locked="0"/>
    </xf>
    <xf numFmtId="168" fontId="0" fillId="0" borderId="18" xfId="0" applyNumberFormat="1" applyBorder="1" applyProtection="1">
      <protection locked="0"/>
    </xf>
    <xf numFmtId="0" fontId="8" fillId="0" borderId="18" xfId="0" applyFont="1" applyBorder="1" applyProtection="1">
      <protection locked="0"/>
    </xf>
    <xf numFmtId="2" fontId="0" fillId="0" borderId="18" xfId="0" applyNumberFormat="1" applyBorder="1" applyProtection="1">
      <protection locked="0"/>
    </xf>
    <xf numFmtId="1" fontId="8" fillId="0" borderId="18" xfId="0" applyNumberFormat="1" applyFont="1" applyBorder="1" applyProtection="1">
      <protection locked="0"/>
    </xf>
    <xf numFmtId="1" fontId="0" fillId="0" borderId="18" xfId="0" applyNumberFormat="1" applyBorder="1" applyProtection="1">
      <protection locked="0"/>
    </xf>
    <xf numFmtId="166" fontId="0" fillId="0" borderId="18" xfId="0" applyNumberFormat="1" applyBorder="1"/>
    <xf numFmtId="0" fontId="8" fillId="0" borderId="18" xfId="0" applyFont="1" applyBorder="1"/>
    <xf numFmtId="0" fontId="20" fillId="0" borderId="0" xfId="0" applyFont="1"/>
    <xf numFmtId="2" fontId="0" fillId="0" borderId="0" xfId="0" applyNumberFormat="1"/>
    <xf numFmtId="0" fontId="22" fillId="0" borderId="0" xfId="0" applyFont="1" applyAlignment="1">
      <alignment vertical="center"/>
    </xf>
    <xf numFmtId="1" fontId="2" fillId="2" borderId="1" xfId="2" applyNumberFormat="1"/>
    <xf numFmtId="0" fontId="24" fillId="0" borderId="0" xfId="0" applyFont="1" applyAlignment="1">
      <alignment horizontal="right"/>
    </xf>
    <xf numFmtId="0" fontId="25" fillId="0" borderId="0" xfId="0" applyFont="1"/>
    <xf numFmtId="167" fontId="25" fillId="0" borderId="0" xfId="1" applyNumberFormat="1" applyFont="1"/>
    <xf numFmtId="166" fontId="25" fillId="0" borderId="0" xfId="0" applyNumberFormat="1" applyFont="1"/>
    <xf numFmtId="166" fontId="2" fillId="2" borderId="1" xfId="2" applyNumberFormat="1"/>
    <xf numFmtId="1" fontId="25" fillId="0" borderId="0" xfId="0" applyNumberFormat="1" applyFont="1"/>
    <xf numFmtId="0" fontId="17" fillId="0" borderId="20" xfId="0" applyFont="1" applyBorder="1" applyAlignment="1">
      <alignment horizontal="center" vertical="center"/>
    </xf>
    <xf numFmtId="0" fontId="17" fillId="0" borderId="20" xfId="0" applyFont="1" applyBorder="1" applyAlignment="1">
      <alignment horizontal="center" vertical="center" wrapText="1"/>
    </xf>
    <xf numFmtId="0" fontId="17" fillId="0" borderId="20" xfId="0" applyFont="1" applyBorder="1" applyAlignment="1">
      <alignment horizontal="center" wrapText="1"/>
    </xf>
    <xf numFmtId="0" fontId="17" fillId="0" borderId="20" xfId="0" applyFont="1" applyBorder="1" applyAlignment="1">
      <alignment horizontal="center"/>
    </xf>
    <xf numFmtId="1" fontId="25" fillId="0" borderId="13" xfId="0" applyNumberFormat="1" applyFont="1" applyBorder="1"/>
    <xf numFmtId="0" fontId="24" fillId="0" borderId="13" xfId="0" applyFont="1" applyBorder="1"/>
    <xf numFmtId="0" fontId="24" fillId="0" borderId="0" xfId="0" applyFont="1"/>
    <xf numFmtId="0" fontId="25" fillId="0" borderId="16" xfId="0" applyFont="1" applyBorder="1"/>
    <xf numFmtId="0" fontId="24" fillId="0" borderId="16" xfId="0" applyFont="1" applyBorder="1"/>
    <xf numFmtId="0" fontId="25" fillId="0" borderId="12" xfId="0" applyFont="1" applyBorder="1"/>
    <xf numFmtId="1" fontId="24" fillId="0" borderId="14" xfId="0" applyNumberFormat="1" applyFont="1" applyBorder="1"/>
    <xf numFmtId="0" fontId="25" fillId="0" borderId="18" xfId="0" applyFont="1" applyBorder="1"/>
    <xf numFmtId="1" fontId="24" fillId="0" borderId="19" xfId="0" applyNumberFormat="1" applyFont="1" applyBorder="1"/>
    <xf numFmtId="0" fontId="25" fillId="0" borderId="15" xfId="0" applyFont="1" applyBorder="1"/>
    <xf numFmtId="1" fontId="24" fillId="0" borderId="17" xfId="0" applyNumberFormat="1" applyFont="1" applyBorder="1"/>
    <xf numFmtId="0" fontId="0" fillId="0" borderId="2" xfId="0" applyBorder="1"/>
    <xf numFmtId="0" fontId="0" fillId="0" borderId="3" xfId="0" applyBorder="1"/>
    <xf numFmtId="0" fontId="2" fillId="2" borderId="24" xfId="2" applyBorder="1"/>
    <xf numFmtId="0" fontId="2" fillId="2" borderId="25" xfId="2" applyBorder="1"/>
    <xf numFmtId="0" fontId="2" fillId="2" borderId="26" xfId="2" applyBorder="1"/>
    <xf numFmtId="1" fontId="24" fillId="0" borderId="0" xfId="0" applyNumberFormat="1" applyFont="1"/>
    <xf numFmtId="165" fontId="2" fillId="2" borderId="1" xfId="2" applyNumberFormat="1"/>
    <xf numFmtId="0" fontId="28" fillId="0" borderId="0" xfId="5"/>
    <xf numFmtId="0" fontId="8" fillId="0" borderId="0" xfId="0" applyFont="1" applyAlignment="1">
      <alignment horizontal="left"/>
    </xf>
    <xf numFmtId="1" fontId="0" fillId="0" borderId="2" xfId="0" applyNumberFormat="1" applyBorder="1"/>
    <xf numFmtId="1" fontId="0" fillId="0" borderId="3" xfId="0" applyNumberFormat="1" applyBorder="1"/>
    <xf numFmtId="1" fontId="0" fillId="0" borderId="4" xfId="0" applyNumberFormat="1" applyBorder="1"/>
    <xf numFmtId="1" fontId="2" fillId="2" borderId="24" xfId="2" applyNumberFormat="1" applyBorder="1"/>
    <xf numFmtId="1" fontId="2" fillId="2" borderId="25" xfId="2" applyNumberFormat="1" applyBorder="1"/>
    <xf numFmtId="1" fontId="2" fillId="2" borderId="26" xfId="2" applyNumberFormat="1" applyBorder="1"/>
    <xf numFmtId="166" fontId="26" fillId="2" borderId="1" xfId="2" applyNumberFormat="1" applyFont="1"/>
    <xf numFmtId="0" fontId="25" fillId="0" borderId="0" xfId="0" applyFont="1" applyAlignment="1">
      <alignment horizontal="right"/>
    </xf>
    <xf numFmtId="0" fontId="25" fillId="0" borderId="2" xfId="0" applyFont="1" applyBorder="1"/>
    <xf numFmtId="166" fontId="25" fillId="0" borderId="4" xfId="0" applyNumberFormat="1" applyFont="1" applyBorder="1"/>
    <xf numFmtId="0" fontId="25" fillId="0" borderId="5" xfId="0" applyFont="1" applyBorder="1"/>
    <xf numFmtId="166" fontId="25" fillId="0" borderId="6" xfId="0" applyNumberFormat="1" applyFont="1" applyBorder="1"/>
    <xf numFmtId="0" fontId="25" fillId="0" borderId="7" xfId="0" applyFont="1" applyBorder="1"/>
    <xf numFmtId="166" fontId="25" fillId="0" borderId="9" xfId="0" applyNumberFormat="1" applyFont="1" applyBorder="1"/>
    <xf numFmtId="0" fontId="23" fillId="0" borderId="21" xfId="4"/>
    <xf numFmtId="0" fontId="23" fillId="0" borderId="27" xfId="4" applyBorder="1" applyAlignment="1">
      <alignment horizontal="left"/>
    </xf>
    <xf numFmtId="0" fontId="28" fillId="0" borderId="3" xfId="5" applyBorder="1"/>
    <xf numFmtId="0" fontId="0" fillId="0" borderId="3" xfId="0" applyBorder="1" applyProtection="1">
      <protection locked="0"/>
    </xf>
    <xf numFmtId="0" fontId="0" fillId="0" borderId="4" xfId="0" applyBorder="1" applyProtection="1">
      <protection locked="0"/>
    </xf>
    <xf numFmtId="168" fontId="0" fillId="0" borderId="5" xfId="0" applyNumberFormat="1" applyBorder="1" applyProtection="1">
      <protection locked="0"/>
    </xf>
    <xf numFmtId="0" fontId="0" fillId="0" borderId="6" xfId="0" applyBorder="1" applyProtection="1">
      <protection locked="0"/>
    </xf>
    <xf numFmtId="0" fontId="8" fillId="0" borderId="5" xfId="0" applyFont="1" applyBorder="1" applyProtection="1">
      <protection locked="0"/>
    </xf>
    <xf numFmtId="2" fontId="0" fillId="0" borderId="5" xfId="0" applyNumberFormat="1" applyBorder="1" applyProtection="1">
      <protection locked="0"/>
    </xf>
    <xf numFmtId="1" fontId="8" fillId="0" borderId="5" xfId="0" applyNumberFormat="1" applyFont="1" applyBorder="1" applyProtection="1">
      <protection locked="0"/>
    </xf>
    <xf numFmtId="166" fontId="0" fillId="0" borderId="5" xfId="0" applyNumberFormat="1" applyBorder="1"/>
    <xf numFmtId="0" fontId="0" fillId="0" borderId="8" xfId="0" applyBorder="1"/>
    <xf numFmtId="10" fontId="2" fillId="2" borderId="1" xfId="2" applyNumberFormat="1"/>
    <xf numFmtId="0" fontId="27" fillId="2" borderId="1" xfId="2" applyFont="1"/>
    <xf numFmtId="0" fontId="29" fillId="0" borderId="10" xfId="3" applyFont="1" applyFill="1" applyBorder="1"/>
    <xf numFmtId="164" fontId="29" fillId="0" borderId="11" xfId="3" applyNumberFormat="1" applyFont="1" applyFill="1" applyBorder="1"/>
    <xf numFmtId="0" fontId="29" fillId="0" borderId="11" xfId="3" applyFont="1" applyFill="1" applyBorder="1" applyAlignment="1">
      <alignment horizontal="right"/>
    </xf>
    <xf numFmtId="164" fontId="28" fillId="0" borderId="0" xfId="5" applyNumberFormat="1" applyAlignment="1">
      <alignment horizontal="left"/>
    </xf>
    <xf numFmtId="0" fontId="13" fillId="0" borderId="0" xfId="0" applyFont="1" applyAlignment="1">
      <alignment horizontal="right"/>
    </xf>
    <xf numFmtId="165" fontId="13" fillId="0" borderId="0" xfId="0" applyNumberFormat="1" applyFont="1" applyAlignment="1">
      <alignment horizontal="right"/>
    </xf>
    <xf numFmtId="165" fontId="13" fillId="0" borderId="28" xfId="0" applyNumberFormat="1" applyFont="1" applyBorder="1"/>
    <xf numFmtId="0" fontId="9" fillId="0" borderId="0" xfId="0" applyFont="1" applyAlignment="1">
      <alignment horizontal="left" vertical="center"/>
    </xf>
    <xf numFmtId="0" fontId="0" fillId="0" borderId="0" xfId="0" applyAlignment="1">
      <alignment vertical="center" wrapText="1"/>
    </xf>
    <xf numFmtId="0" fontId="17" fillId="0" borderId="22" xfId="0" applyFont="1" applyBorder="1" applyAlignment="1">
      <alignment horizontal="center"/>
    </xf>
    <xf numFmtId="0" fontId="17" fillId="0" borderId="23" xfId="0" applyFont="1" applyBorder="1" applyAlignment="1">
      <alignment horizontal="center"/>
    </xf>
    <xf numFmtId="0" fontId="0" fillId="0" borderId="22" xfId="0" applyBorder="1" applyAlignment="1">
      <alignment wrapText="1"/>
    </xf>
    <xf numFmtId="0" fontId="0" fillId="0" borderId="23" xfId="0" applyBorder="1" applyAlignment="1">
      <alignment wrapText="1"/>
    </xf>
  </cellXfs>
  <cellStyles count="6">
    <cellStyle name="20% - Accent2" xfId="3" builtinId="34"/>
    <cellStyle name="Calculation" xfId="2" builtinId="22"/>
    <cellStyle name="Heading 1" xfId="4" builtinId="16"/>
    <cellStyle name="Normal" xfId="0" builtinId="0"/>
    <cellStyle name="Percent" xfId="1" builtinId="5"/>
    <cellStyle name="User Input" xfId="5" xr:uid="{19E21E44-AB1A-4741-BBF0-29C00497A086}"/>
  </cellStyles>
  <dxfs count="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Sample Deviation</a:t>
            </a:r>
            <a:r>
              <a:rPr lang="en-GB" baseline="0"/>
              <a:t>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5.5328130665617259E-3</c:v>
                </c:pt>
                <c:pt idx="1">
                  <c:v>1.7101373696310596E-2</c:v>
                </c:pt>
                <c:pt idx="2">
                  <c:v>-2.341761290597355E-2</c:v>
                </c:pt>
                <c:pt idx="3">
                  <c:v>-1.9098991148867039E-3</c:v>
                </c:pt>
                <c:pt idx="4">
                  <c:v>2.6933252579883771E-3</c:v>
                </c:pt>
              </c:numCache>
            </c:numRef>
          </c:val>
          <c:smooth val="0"/>
          <c:extLst>
            <c:ext xmlns:c16="http://schemas.microsoft.com/office/drawing/2014/chart" uri="{C3380CC4-5D6E-409C-BE32-E72D297353CC}">
              <c16:uniqueId val="{00000000-3A04-4B7C-9495-17C2012AC6CD}"/>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3.9054251148551433E-3</c:v>
                </c:pt>
                <c:pt idx="1">
                  <c:v>1.6693594686725488E-2</c:v>
                </c:pt>
                <c:pt idx="2">
                  <c:v>-2.3464125726515128E-2</c:v>
                </c:pt>
                <c:pt idx="3">
                  <c:v>-2.5561461931701279E-3</c:v>
                </c:pt>
                <c:pt idx="4">
                  <c:v>5.4212521181047357E-3</c:v>
                </c:pt>
              </c:numCache>
            </c:numRef>
          </c:val>
          <c:smooth val="0"/>
          <c:extLst>
            <c:ext xmlns:c16="http://schemas.microsoft.com/office/drawing/2014/chart" uri="{C3380CC4-5D6E-409C-BE32-E72D297353CC}">
              <c16:uniqueId val="{00000001-3A04-4B7C-9495-17C2012AC6CD}"/>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2.2061141355425029E-3</c:v>
                </c:pt>
                <c:pt idx="1">
                  <c:v>1.8037763224598047E-2</c:v>
                </c:pt>
                <c:pt idx="2">
                  <c:v>-2.4667469615255677E-2</c:v>
                </c:pt>
                <c:pt idx="3">
                  <c:v>-2.6302819669737909E-3</c:v>
                </c:pt>
                <c:pt idx="4">
                  <c:v>7.0538742220886963E-3</c:v>
                </c:pt>
              </c:numCache>
            </c:numRef>
          </c:val>
          <c:smooth val="0"/>
          <c:extLst>
            <c:ext xmlns:c16="http://schemas.microsoft.com/office/drawing/2014/chart" uri="{C3380CC4-5D6E-409C-BE32-E72D297353CC}">
              <c16:uniqueId val="{00000002-3A04-4B7C-9495-17C2012AC6CD}"/>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8.3775218317083677E-4</c:v>
                </c:pt>
                <c:pt idx="1">
                  <c:v>1.8205106736824739E-2</c:v>
                </c:pt>
                <c:pt idx="2">
                  <c:v>-2.3421684104969587E-2</c:v>
                </c:pt>
                <c:pt idx="3">
                  <c:v>-3.150084622224103E-3</c:v>
                </c:pt>
                <c:pt idx="4">
                  <c:v>7.5289098071982252E-3</c:v>
                </c:pt>
              </c:numCache>
            </c:numRef>
          </c:val>
          <c:smooth val="0"/>
          <c:extLst>
            <c:ext xmlns:c16="http://schemas.microsoft.com/office/drawing/2014/chart" uri="{C3380CC4-5D6E-409C-BE32-E72D297353CC}">
              <c16:uniqueId val="{00000003-3A04-4B7C-9495-17C2012AC6CD}"/>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5.9044526054763402E-4</c:v>
                </c:pt>
                <c:pt idx="1">
                  <c:v>1.7429900972431467E-2</c:v>
                </c:pt>
                <c:pt idx="2">
                  <c:v>-2.2379962543436882E-2</c:v>
                </c:pt>
                <c:pt idx="3">
                  <c:v>-3.791025814560256E-3</c:v>
                </c:pt>
                <c:pt idx="4">
                  <c:v>8.15064212501726E-3</c:v>
                </c:pt>
              </c:numCache>
            </c:numRef>
          </c:val>
          <c:smooth val="0"/>
          <c:extLst>
            <c:ext xmlns:c16="http://schemas.microsoft.com/office/drawing/2014/chart" uri="{C3380CC4-5D6E-409C-BE32-E72D297353CC}">
              <c16:uniqueId val="{00000004-3A04-4B7C-9495-17C2012AC6CD}"/>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1.6282488084906621E-3</c:v>
                </c:pt>
                <c:pt idx="1">
                  <c:v>1.7722253864577597E-2</c:v>
                </c:pt>
                <c:pt idx="2">
                  <c:v>-2.0756061626996614E-2</c:v>
                </c:pt>
                <c:pt idx="3">
                  <c:v>-6.7395601939110872E-3</c:v>
                </c:pt>
                <c:pt idx="4">
                  <c:v>8.1451191478396634E-3</c:v>
                </c:pt>
              </c:numCache>
            </c:numRef>
          </c:val>
          <c:smooth val="0"/>
          <c:extLst>
            <c:ext xmlns:c16="http://schemas.microsoft.com/office/drawing/2014/chart" uri="{C3380CC4-5D6E-409C-BE32-E72D297353CC}">
              <c16:uniqueId val="{00000005-3A04-4B7C-9495-17C2012AC6CD}"/>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2.1997064260010912E-3</c:v>
                </c:pt>
                <c:pt idx="1">
                  <c:v>1.5849198037739098E-2</c:v>
                </c:pt>
                <c:pt idx="2">
                  <c:v>-2.1394142245618863E-2</c:v>
                </c:pt>
                <c:pt idx="3">
                  <c:v>-5.0700447311411434E-3</c:v>
                </c:pt>
                <c:pt idx="4">
                  <c:v>8.4152825130201503E-3</c:v>
                </c:pt>
              </c:numCache>
            </c:numRef>
          </c:val>
          <c:smooth val="0"/>
          <c:extLst>
            <c:ext xmlns:c16="http://schemas.microsoft.com/office/drawing/2014/chart" uri="{C3380CC4-5D6E-409C-BE32-E72D297353CC}">
              <c16:uniqueId val="{00000006-3A04-4B7C-9495-17C2012AC6CD}"/>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-1.122137429407366E-3</c:v>
                </c:pt>
                <c:pt idx="1">
                  <c:v>1.6795753942622449E-2</c:v>
                </c:pt>
                <c:pt idx="2">
                  <c:v>-2.0555237400552984E-2</c:v>
                </c:pt>
                <c:pt idx="3">
                  <c:v>-4.0600149913967432E-3</c:v>
                </c:pt>
                <c:pt idx="4">
                  <c:v>8.941635878735088E-3</c:v>
                </c:pt>
              </c:numCache>
            </c:numRef>
          </c:val>
          <c:smooth val="0"/>
          <c:extLst>
            <c:ext xmlns:c16="http://schemas.microsoft.com/office/drawing/2014/chart" uri="{C3380CC4-5D6E-409C-BE32-E72D297353CC}">
              <c16:uniqueId val="{00000007-3A04-4B7C-9495-17C2012AC6CD}"/>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1.896491309572923E-3</c:v>
                </c:pt>
                <c:pt idx="1">
                  <c:v>1.5765980213240383E-2</c:v>
                </c:pt>
                <c:pt idx="2">
                  <c:v>-1.7745639183985973E-2</c:v>
                </c:pt>
                <c:pt idx="3">
                  <c:v>-7.6414195790813766E-3</c:v>
                </c:pt>
                <c:pt idx="4">
                  <c:v>7.7245872402542659E-3</c:v>
                </c:pt>
              </c:numCache>
            </c:numRef>
          </c:val>
          <c:smooth val="0"/>
          <c:extLst>
            <c:ext xmlns:c16="http://schemas.microsoft.com/office/drawing/2014/chart" uri="{C3380CC4-5D6E-409C-BE32-E72D297353CC}">
              <c16:uniqueId val="{00000008-3A04-4B7C-9495-17C2012AC6CD}"/>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1.2180429423211958E-3</c:v>
                </c:pt>
                <c:pt idx="1">
                  <c:v>1.5882562072639494E-2</c:v>
                </c:pt>
                <c:pt idx="2">
                  <c:v>-1.432174838225253E-2</c:v>
                </c:pt>
                <c:pt idx="3">
                  <c:v>-1.0613023884091022E-2</c:v>
                </c:pt>
                <c:pt idx="4">
                  <c:v>7.834167251382862E-3</c:v>
                </c:pt>
              </c:numCache>
            </c:numRef>
          </c:val>
          <c:smooth val="0"/>
          <c:extLst>
            <c:ext xmlns:c16="http://schemas.microsoft.com/office/drawing/2014/chart" uri="{C3380CC4-5D6E-409C-BE32-E72D297353CC}">
              <c16:uniqueId val="{00000009-3A04-4B7C-9495-17C2012AC6CD}"/>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3.2495181585681099E-3</c:v>
                </c:pt>
                <c:pt idx="1">
                  <c:v>1.7221859109825433E-2</c:v>
                </c:pt>
                <c:pt idx="2">
                  <c:v>-1.547465468429321E-2</c:v>
                </c:pt>
                <c:pt idx="3">
                  <c:v>-9.2869190414506253E-3</c:v>
                </c:pt>
                <c:pt idx="4">
                  <c:v>4.2901964573509588E-3</c:v>
                </c:pt>
              </c:numCache>
            </c:numRef>
          </c:val>
          <c:smooth val="0"/>
          <c:extLst>
            <c:ext xmlns:c16="http://schemas.microsoft.com/office/drawing/2014/chart" uri="{C3380CC4-5D6E-409C-BE32-E72D297353CC}">
              <c16:uniqueId val="{0000000A-3A04-4B7C-9495-17C2012AC6CD}"/>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7.0080560312848483E-3</c:v>
                </c:pt>
                <c:pt idx="1">
                  <c:v>1.6446212112996905E-2</c:v>
                </c:pt>
                <c:pt idx="2">
                  <c:v>-1.5715107874954115E-2</c:v>
                </c:pt>
                <c:pt idx="3">
                  <c:v>-1.2431617808703166E-2</c:v>
                </c:pt>
                <c:pt idx="4">
                  <c:v>4.6924575393751944E-3</c:v>
                </c:pt>
              </c:numCache>
            </c:numRef>
          </c:val>
          <c:smooth val="0"/>
          <c:extLst>
            <c:ext xmlns:c16="http://schemas.microsoft.com/office/drawing/2014/chart" uri="{C3380CC4-5D6E-409C-BE32-E72D297353CC}">
              <c16:uniqueId val="{0000000B-3A04-4B7C-9495-17C2012AC6CD}"/>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4.4328033231442188E-3</c:v>
                </c:pt>
                <c:pt idx="1">
                  <c:v>1.7976479443601701E-2</c:v>
                </c:pt>
                <c:pt idx="2">
                  <c:v>-1.1051196936010643E-2</c:v>
                </c:pt>
                <c:pt idx="3">
                  <c:v>-9.886862143137054E-3</c:v>
                </c:pt>
                <c:pt idx="4">
                  <c:v>-1.4712236875983331E-3</c:v>
                </c:pt>
              </c:numCache>
            </c:numRef>
          </c:val>
          <c:smooth val="0"/>
          <c:extLst>
            <c:ext xmlns:c16="http://schemas.microsoft.com/office/drawing/2014/chart" uri="{C3380CC4-5D6E-409C-BE32-E72D297353CC}">
              <c16:uniqueId val="{0000000C-3A04-4B7C-9495-17C2012AC6CD}"/>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2.3256390870531884E-3</c:v>
                </c:pt>
                <c:pt idx="1">
                  <c:v>1.5099306185825112E-2</c:v>
                </c:pt>
                <c:pt idx="2">
                  <c:v>-9.3183108285015415E-3</c:v>
                </c:pt>
                <c:pt idx="3">
                  <c:v>-1.1865854301863932E-2</c:v>
                </c:pt>
                <c:pt idx="4">
                  <c:v>3.7592198574876168E-3</c:v>
                </c:pt>
              </c:numCache>
            </c:numRef>
          </c:val>
          <c:smooth val="0"/>
          <c:extLst>
            <c:ext xmlns:c16="http://schemas.microsoft.com/office/drawing/2014/chart" uri="{C3380CC4-5D6E-409C-BE32-E72D297353CC}">
              <c16:uniqueId val="{0000000D-3A04-4B7C-9495-17C2012AC6CD}"/>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8.399869166519025E-3</c:v>
                </c:pt>
                <c:pt idx="1">
                  <c:v>1.5548899844185726E-2</c:v>
                </c:pt>
                <c:pt idx="2">
                  <c:v>-8.7702915757916777E-3</c:v>
                </c:pt>
                <c:pt idx="3">
                  <c:v>-1.8069536343297776E-2</c:v>
                </c:pt>
                <c:pt idx="4">
                  <c:v>2.8910589083852578E-3</c:v>
                </c:pt>
              </c:numCache>
            </c:numRef>
          </c:val>
          <c:smooth val="0"/>
          <c:extLst>
            <c:ext xmlns:c16="http://schemas.microsoft.com/office/drawing/2014/chart" uri="{C3380CC4-5D6E-409C-BE32-E72D297353CC}">
              <c16:uniqueId val="{0000000E-3A04-4B7C-9495-17C2012AC6CD}"/>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1.3911692461986203E-2</c:v>
                </c:pt>
                <c:pt idx="1">
                  <c:v>1.1329339281043849E-2</c:v>
                </c:pt>
                <c:pt idx="2">
                  <c:v>-1.206181303063758E-2</c:v>
                </c:pt>
                <c:pt idx="3">
                  <c:v>-1.5470495340396573E-2</c:v>
                </c:pt>
                <c:pt idx="4">
                  <c:v>2.291276628004324E-3</c:v>
                </c:pt>
              </c:numCache>
            </c:numRef>
          </c:val>
          <c:smooth val="0"/>
          <c:extLst>
            <c:ext xmlns:c16="http://schemas.microsoft.com/office/drawing/2014/chart" uri="{C3380CC4-5D6E-409C-BE32-E72D297353CC}">
              <c16:uniqueId val="{0000000F-3A04-4B7C-9495-17C2012AC6CD}"/>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6.940757063633729E-3</c:v>
                </c:pt>
                <c:pt idx="1">
                  <c:v>4.2101004628620764E-3</c:v>
                </c:pt>
                <c:pt idx="2">
                  <c:v>-6.617158132035339E-3</c:v>
                </c:pt>
                <c:pt idx="3">
                  <c:v>-1.1320703909019514E-2</c:v>
                </c:pt>
                <c:pt idx="4">
                  <c:v>6.7870045145586033E-3</c:v>
                </c:pt>
              </c:numCache>
            </c:numRef>
          </c:val>
          <c:smooth val="0"/>
          <c:extLst>
            <c:ext xmlns:c16="http://schemas.microsoft.com/office/drawing/2014/chart" uri="{C3380CC4-5D6E-409C-BE32-E72D297353CC}">
              <c16:uniqueId val="{00000010-3A04-4B7C-9495-17C2012AC6CD}"/>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1.5296669230875359E-3</c:v>
                </c:pt>
                <c:pt idx="1">
                  <c:v>8.69009574332269E-3</c:v>
                </c:pt>
                <c:pt idx="2">
                  <c:v>-9.0729407578594712E-3</c:v>
                </c:pt>
                <c:pt idx="3">
                  <c:v>-4.0167545003336746E-3</c:v>
                </c:pt>
                <c:pt idx="4">
                  <c:v>2.8699325917835861E-3</c:v>
                </c:pt>
              </c:numCache>
            </c:numRef>
          </c:val>
          <c:smooth val="0"/>
          <c:extLst>
            <c:ext xmlns:c16="http://schemas.microsoft.com/office/drawing/2014/chart" uri="{C3380CC4-5D6E-409C-BE32-E72D297353CC}">
              <c16:uniqueId val="{00000011-3A04-4B7C-9495-17C2012AC6CD}"/>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1.7882659108314769E-4</c:v>
                </c:pt>
                <c:pt idx="1">
                  <c:v>1.416476182831139E-2</c:v>
                </c:pt>
                <c:pt idx="2">
                  <c:v>-6.0292018869634312E-3</c:v>
                </c:pt>
                <c:pt idx="3">
                  <c:v>-9.4333844649331366E-3</c:v>
                </c:pt>
                <c:pt idx="4">
                  <c:v>1.1189979325014754E-3</c:v>
                </c:pt>
              </c:numCache>
            </c:numRef>
          </c:val>
          <c:smooth val="0"/>
          <c:extLst>
            <c:ext xmlns:c16="http://schemas.microsoft.com/office/drawing/2014/chart" uri="{C3380CC4-5D6E-409C-BE32-E72D297353CC}">
              <c16:uniqueId val="{00000012-3A04-4B7C-9495-17C2012AC6CD}"/>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-8.9988152395980014E-3</c:v>
                </c:pt>
                <c:pt idx="1">
                  <c:v>1.8318979001893387E-2</c:v>
                </c:pt>
                <c:pt idx="2">
                  <c:v>6.7468371848811159E-4</c:v>
                </c:pt>
                <c:pt idx="3">
                  <c:v>-5.7945169517709116E-3</c:v>
                </c:pt>
                <c:pt idx="4">
                  <c:v>-4.2003305290116977E-3</c:v>
                </c:pt>
              </c:numCache>
            </c:numRef>
          </c:val>
          <c:smooth val="0"/>
          <c:extLst>
            <c:ext xmlns:c16="http://schemas.microsoft.com/office/drawing/2014/chart" uri="{C3380CC4-5D6E-409C-BE32-E72D297353CC}">
              <c16:uniqueId val="{00000013-3A04-4B7C-9495-17C2012AC6CD}"/>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-7.9549160521579232E-3</c:v>
                </c:pt>
                <c:pt idx="1">
                  <c:v>9.5089642306906974E-3</c:v>
                </c:pt>
                <c:pt idx="2">
                  <c:v>3.6462621009742957E-3</c:v>
                </c:pt>
                <c:pt idx="3">
                  <c:v>-3.2187017501502657E-3</c:v>
                </c:pt>
                <c:pt idx="4">
                  <c:v>-1.9816085293581365E-3</c:v>
                </c:pt>
              </c:numCache>
            </c:numRef>
          </c:val>
          <c:smooth val="0"/>
          <c:extLst>
            <c:ext xmlns:c16="http://schemas.microsoft.com/office/drawing/2014/chart" uri="{C3380CC4-5D6E-409C-BE32-E72D297353CC}">
              <c16:uniqueId val="{00000014-3A04-4B7C-9495-17C2012AC6CD}"/>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-1.7648464797151986E-3</c:v>
                </c:pt>
                <c:pt idx="1">
                  <c:v>8.5767493076238654E-3</c:v>
                </c:pt>
                <c:pt idx="2">
                  <c:v>4.5629809428493484E-3</c:v>
                </c:pt>
                <c:pt idx="3">
                  <c:v>-9.8380151238492974E-3</c:v>
                </c:pt>
                <c:pt idx="4">
                  <c:v>-1.5368686469088289E-3</c:v>
                </c:pt>
              </c:numCache>
            </c:numRef>
          </c:val>
          <c:smooth val="0"/>
          <c:extLst>
            <c:ext xmlns:c16="http://schemas.microsoft.com/office/drawing/2014/chart" uri="{C3380CC4-5D6E-409C-BE32-E72D297353CC}">
              <c16:uniqueId val="{00000015-3A04-4B7C-9495-17C2012AC6CD}"/>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-1.0755624199998315E-2</c:v>
                </c:pt>
                <c:pt idx="1">
                  <c:v>2.8602275498669005E-2</c:v>
                </c:pt>
                <c:pt idx="2">
                  <c:v>8.9628139800315143E-3</c:v>
                </c:pt>
                <c:pt idx="3">
                  <c:v>-1.880375529172873E-2</c:v>
                </c:pt>
                <c:pt idx="4">
                  <c:v>-8.0057099869735859E-3</c:v>
                </c:pt>
              </c:numCache>
            </c:numRef>
          </c:val>
          <c:smooth val="0"/>
          <c:extLst>
            <c:ext xmlns:c16="http://schemas.microsoft.com/office/drawing/2014/chart" uri="{C3380CC4-5D6E-409C-BE32-E72D297353CC}">
              <c16:uniqueId val="{00000016-3A04-4B7C-9495-17C2012AC6CD}"/>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-2.7405262005624764E-2</c:v>
                </c:pt>
                <c:pt idx="1">
                  <c:v>0</c:v>
                </c:pt>
                <c:pt idx="2">
                  <c:v>-2.5283506769030462E-3</c:v>
                </c:pt>
                <c:pt idx="3">
                  <c:v>8.2524488604687196E-3</c:v>
                </c:pt>
                <c:pt idx="4">
                  <c:v>2.1681163822058869E-2</c:v>
                </c:pt>
              </c:numCache>
            </c:numRef>
          </c:val>
          <c:smooth val="0"/>
          <c:extLst>
            <c:ext xmlns:c16="http://schemas.microsoft.com/office/drawing/2014/chart" uri="{C3380CC4-5D6E-409C-BE32-E72D297353CC}">
              <c16:uniqueId val="{00000017-3A04-4B7C-9495-17C2012AC6CD}"/>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-3.7728995050677949E-2</c:v>
                </c:pt>
                <c:pt idx="1">
                  <c:v>3.8934954295810176E-2</c:v>
                </c:pt>
                <c:pt idx="2">
                  <c:v>-2.7340866928746377E-2</c:v>
                </c:pt>
                <c:pt idx="3">
                  <c:v>2.4258360833879111E-2</c:v>
                </c:pt>
                <c:pt idx="4">
                  <c:v>1.876546849734817E-3</c:v>
                </c:pt>
              </c:numCache>
            </c:numRef>
          </c:val>
          <c:smooth val="0"/>
          <c:extLst>
            <c:ext xmlns:c16="http://schemas.microsoft.com/office/drawing/2014/chart" uri="{C3380CC4-5D6E-409C-BE32-E72D297353CC}">
              <c16:uniqueId val="{00000018-3A04-4B7C-9495-17C2012AC6CD}"/>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1.7362110830133615E-2</c:v>
                </c:pt>
                <c:pt idx="1">
                  <c:v>0</c:v>
                </c:pt>
                <c:pt idx="2">
                  <c:v>-3.8374009802317199E-2</c:v>
                </c:pt>
                <c:pt idx="3">
                  <c:v>1.9713912389683452E-2</c:v>
                </c:pt>
                <c:pt idx="4">
                  <c:v>1.2979865825000214E-3</c:v>
                </c:pt>
              </c:numCache>
            </c:numRef>
          </c:val>
          <c:smooth val="0"/>
          <c:extLst>
            <c:ext xmlns:c16="http://schemas.microsoft.com/office/drawing/2014/chart" uri="{C3380CC4-5D6E-409C-BE32-E72D297353CC}">
              <c16:uniqueId val="{00000019-3A04-4B7C-9495-17C2012AC6CD}"/>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-1.6276991090468429E-2</c:v>
                </c:pt>
                <c:pt idx="1">
                  <c:v>6.0024938270103467E-2</c:v>
                </c:pt>
                <c:pt idx="2">
                  <c:v>-1.8250179177292103E-2</c:v>
                </c:pt>
                <c:pt idx="3">
                  <c:v>-8.0817211220923779E-3</c:v>
                </c:pt>
                <c:pt idx="4">
                  <c:v>-1.7416046880251113E-2</c:v>
                </c:pt>
              </c:numCache>
            </c:numRef>
          </c:val>
          <c:smooth val="0"/>
          <c:extLst>
            <c:ext xmlns:c16="http://schemas.microsoft.com/office/drawing/2014/chart" uri="{C3380CC4-5D6E-409C-BE32-E72D297353CC}">
              <c16:uniqueId val="{0000001A-3A04-4B7C-9495-17C2012AC6CD}"/>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-4.7865819972928825E-2</c:v>
                </c:pt>
                <c:pt idx="1">
                  <c:v>7.9084566561789416E-2</c:v>
                </c:pt>
                <c:pt idx="2">
                  <c:v>-5.8786541202406895E-2</c:v>
                </c:pt>
                <c:pt idx="3">
                  <c:v>2.7567794613545971E-2</c:v>
                </c:pt>
                <c:pt idx="4">
                  <c:v>0</c:v>
                </c:pt>
              </c:numCache>
            </c:numRef>
          </c:val>
          <c:smooth val="0"/>
          <c:extLst>
            <c:ext xmlns:c16="http://schemas.microsoft.com/office/drawing/2014/chart" uri="{C3380CC4-5D6E-409C-BE32-E72D297353CC}">
              <c16:uniqueId val="{0000001B-3A04-4B7C-9495-17C2012AC6CD}"/>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-5.5366733239239352E-3</c:v>
                </c:pt>
                <c:pt idx="1">
                  <c:v>6.9148994281687415E-2</c:v>
                </c:pt>
                <c:pt idx="2">
                  <c:v>-6.1312759960543417E-3</c:v>
                </c:pt>
                <c:pt idx="3">
                  <c:v>-5.7481044961708805E-2</c:v>
                </c:pt>
                <c:pt idx="4">
                  <c:v>0</c:v>
                </c:pt>
              </c:numCache>
            </c:numRef>
          </c:val>
          <c:smooth val="0"/>
          <c:extLst>
            <c:ext xmlns:c16="http://schemas.microsoft.com/office/drawing/2014/chart" uri="{C3380CC4-5D6E-409C-BE32-E72D297353CC}">
              <c16:uniqueId val="{0000001C-3A04-4B7C-9495-17C2012AC6CD}"/>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-6.7385653323716821E-2</c:v>
                </c:pt>
                <c:pt idx="1">
                  <c:v>4.2599320831830711E-2</c:v>
                </c:pt>
                <c:pt idx="2">
                  <c:v>4.3689295588412058E-2</c:v>
                </c:pt>
                <c:pt idx="3">
                  <c:v>-1.890296309652606E-2</c:v>
                </c:pt>
                <c:pt idx="4">
                  <c:v>0</c:v>
                </c:pt>
              </c:numCache>
            </c:numRef>
          </c:val>
          <c:smooth val="0"/>
          <c:extLst>
            <c:ext xmlns:c16="http://schemas.microsoft.com/office/drawing/2014/chart" uri="{C3380CC4-5D6E-409C-BE32-E72D297353CC}">
              <c16:uniqueId val="{0000001D-3A04-4B7C-9495-17C2012AC6CD}"/>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r>
              <a:rPr lang="en-GB" sz="1400" b="0" i="0" u="none" strike="noStrike" kern="1200" spc="0" baseline="0">
                <a:solidFill>
                  <a:srgbClr val="000000">
                    <a:lumMod val="65000"/>
                    <a:lumOff val="35000"/>
                  </a:srgbClr>
                </a:solidFill>
              </a:rPr>
              <a:t>Sample Deviation from Mean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rgbClr val="000000">
                  <a:lumMod val="65000"/>
                  <a:lumOff val="35000"/>
                </a:srgb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2297-43B4-9682-249C2958FBB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-1.2363357624825655E-2</c:v>
                </c:pt>
                <c:pt idx="1">
                  <c:v>-9.035498563091604E-3</c:v>
                </c:pt>
                <c:pt idx="2">
                  <c:v>9.6294916215675652E-3</c:v>
                </c:pt>
                <c:pt idx="3">
                  <c:v>-9.7188149594943374E-3</c:v>
                </c:pt>
                <c:pt idx="4">
                  <c:v>2.1488179525844364E-2</c:v>
                </c:pt>
              </c:numCache>
            </c:numRef>
          </c:val>
          <c:smooth val="0"/>
          <c:extLst>
            <c:ext xmlns:c16="http://schemas.microsoft.com/office/drawing/2014/chart" uri="{C3380CC4-5D6E-409C-BE32-E72D297353CC}">
              <c16:uniqueId val="{00000001-2297-43B4-9682-249C2958FBB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-1.2963596973307512E-2</c:v>
                </c:pt>
                <c:pt idx="1">
                  <c:v>-1.1459264123947377E-2</c:v>
                </c:pt>
                <c:pt idx="2">
                  <c:v>1.1293228403074229E-2</c:v>
                </c:pt>
                <c:pt idx="3">
                  <c:v>-9.6123078408261176E-3</c:v>
                </c:pt>
                <c:pt idx="4">
                  <c:v>2.2741940535006888E-2</c:v>
                </c:pt>
              </c:numCache>
            </c:numRef>
          </c:val>
          <c:smooth val="0"/>
          <c:extLst>
            <c:ext xmlns:c16="http://schemas.microsoft.com/office/drawing/2014/chart" uri="{C3380CC4-5D6E-409C-BE32-E72D297353CC}">
              <c16:uniqueId val="{00000002-2297-43B4-9682-249C2958FBB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-1.218412176106809E-2</c:v>
                </c:pt>
                <c:pt idx="1">
                  <c:v>-1.1658321179836895E-2</c:v>
                </c:pt>
                <c:pt idx="2">
                  <c:v>1.1480611248267492E-2</c:v>
                </c:pt>
                <c:pt idx="3">
                  <c:v>-9.1007561909354218E-3</c:v>
                </c:pt>
                <c:pt idx="4">
                  <c:v>2.1462587883573248E-2</c:v>
                </c:pt>
              </c:numCache>
            </c:numRef>
          </c:val>
          <c:smooth val="0"/>
          <c:extLst>
            <c:ext xmlns:c16="http://schemas.microsoft.com/office/drawing/2014/chart" uri="{C3380CC4-5D6E-409C-BE32-E72D297353CC}">
              <c16:uniqueId val="{00000003-2297-43B4-9682-249C2958FBB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-1.5924051891307189E-2</c:v>
                </c:pt>
                <c:pt idx="1">
                  <c:v>-1.1977100622692638E-2</c:v>
                </c:pt>
                <c:pt idx="2">
                  <c:v>1.2398235520299172E-2</c:v>
                </c:pt>
                <c:pt idx="3">
                  <c:v>-5.4184620707421471E-3</c:v>
                </c:pt>
                <c:pt idx="4">
                  <c:v>2.0921379064442469E-2</c:v>
                </c:pt>
              </c:numCache>
            </c:numRef>
          </c:val>
          <c:smooth val="0"/>
          <c:extLst>
            <c:ext xmlns:c16="http://schemas.microsoft.com/office/drawing/2014/chart" uri="{C3380CC4-5D6E-409C-BE32-E72D297353CC}">
              <c16:uniqueId val="{00000004-2297-43B4-9682-249C2958FBB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-1.7240443373229053E-2</c:v>
                </c:pt>
                <c:pt idx="1">
                  <c:v>-9.9841484564942018E-3</c:v>
                </c:pt>
                <c:pt idx="2">
                  <c:v>1.2246411497540244E-2</c:v>
                </c:pt>
                <c:pt idx="3">
                  <c:v>-4.6916726951532484E-3</c:v>
                </c:pt>
                <c:pt idx="4">
                  <c:v>1.9669853027336259E-2</c:v>
                </c:pt>
              </c:numCache>
            </c:numRef>
          </c:val>
          <c:smooth val="0"/>
          <c:extLst>
            <c:ext xmlns:c16="http://schemas.microsoft.com/office/drawing/2014/chart" uri="{C3380CC4-5D6E-409C-BE32-E72D297353CC}">
              <c16:uniqueId val="{00000005-2297-43B4-9682-249C2958FBB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-1.9137765782650806E-2</c:v>
                </c:pt>
                <c:pt idx="1">
                  <c:v>-1.0317776596401318E-2</c:v>
                </c:pt>
                <c:pt idx="2">
                  <c:v>1.3695828599770588E-2</c:v>
                </c:pt>
                <c:pt idx="3">
                  <c:v>-4.5229706764337019E-3</c:v>
                </c:pt>
                <c:pt idx="4">
                  <c:v>2.0282684455714461E-2</c:v>
                </c:pt>
              </c:numCache>
            </c:numRef>
          </c:val>
          <c:smooth val="0"/>
          <c:extLst>
            <c:ext xmlns:c16="http://schemas.microsoft.com/office/drawing/2014/chart" uri="{C3380CC4-5D6E-409C-BE32-E72D297353CC}">
              <c16:uniqueId val="{00000006-2297-43B4-9682-249C2958FBB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-1.889633174089278E-2</c:v>
                </c:pt>
                <c:pt idx="1">
                  <c:v>-7.6683209108576733E-3</c:v>
                </c:pt>
                <c:pt idx="2">
                  <c:v>1.2413982277728053E-2</c:v>
                </c:pt>
                <c:pt idx="3">
                  <c:v>-6.3183423813473194E-3</c:v>
                </c:pt>
                <c:pt idx="4">
                  <c:v>2.0469012755369942E-2</c:v>
                </c:pt>
              </c:numCache>
            </c:numRef>
          </c:val>
          <c:smooth val="0"/>
          <c:extLst>
            <c:ext xmlns:c16="http://schemas.microsoft.com/office/drawing/2014/chart" uri="{C3380CC4-5D6E-409C-BE32-E72D297353CC}">
              <c16:uniqueId val="{00000007-2297-43B4-9682-249C2958FBB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-1.4946026691414427E-2</c:v>
                </c:pt>
                <c:pt idx="1">
                  <c:v>-7.7875881422579951E-3</c:v>
                </c:pt>
                <c:pt idx="2">
                  <c:v>1.2152468188421972E-2</c:v>
                </c:pt>
                <c:pt idx="3">
                  <c:v>-6.5629368159662027E-3</c:v>
                </c:pt>
                <c:pt idx="4">
                  <c:v>1.7144083461216653E-2</c:v>
                </c:pt>
              </c:numCache>
            </c:numRef>
          </c:val>
          <c:smooth val="0"/>
          <c:extLst>
            <c:ext xmlns:c16="http://schemas.microsoft.com/office/drawing/2014/chart" uri="{C3380CC4-5D6E-409C-BE32-E72D297353CC}">
              <c16:uniqueId val="{00000008-2297-43B4-9682-249C2958FBB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-1.1081669826675578E-2</c:v>
                </c:pt>
                <c:pt idx="1">
                  <c:v>-5.8778434595196938E-3</c:v>
                </c:pt>
                <c:pt idx="2">
                  <c:v>1.2678648901221834E-2</c:v>
                </c:pt>
                <c:pt idx="3">
                  <c:v>-1.2180011893121456E-2</c:v>
                </c:pt>
                <c:pt idx="4">
                  <c:v>1.6460876278095116E-2</c:v>
                </c:pt>
              </c:numCache>
            </c:numRef>
          </c:val>
          <c:smooth val="0"/>
          <c:extLst>
            <c:ext xmlns:c16="http://schemas.microsoft.com/office/drawing/2014/chart" uri="{C3380CC4-5D6E-409C-BE32-E72D297353CC}">
              <c16:uniqueId val="{00000009-2297-43B4-9682-249C2958FBB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-1.0710682949008121E-2</c:v>
                </c:pt>
                <c:pt idx="1">
                  <c:v>-5.3725097422987478E-3</c:v>
                </c:pt>
                <c:pt idx="2">
                  <c:v>1.0023800369710623E-2</c:v>
                </c:pt>
                <c:pt idx="3">
                  <c:v>-1.1283033380976693E-2</c:v>
                </c:pt>
                <c:pt idx="4">
                  <c:v>1.7342425702572939E-2</c:v>
                </c:pt>
              </c:numCache>
            </c:numRef>
          </c:val>
          <c:smooth val="0"/>
          <c:extLst>
            <c:ext xmlns:c16="http://schemas.microsoft.com/office/drawing/2014/chart" uri="{C3380CC4-5D6E-409C-BE32-E72D297353CC}">
              <c16:uniqueId val="{0000000A-2297-43B4-9682-249C2958FBB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-1.0318379920238319E-2</c:v>
                </c:pt>
                <c:pt idx="1">
                  <c:v>-4.2029727802569417E-3</c:v>
                </c:pt>
                <c:pt idx="2">
                  <c:v>8.6847927682194292E-3</c:v>
                </c:pt>
                <c:pt idx="3">
                  <c:v>-1.0006440602918221E-2</c:v>
                </c:pt>
                <c:pt idx="4">
                  <c:v>1.5843000535193941E-2</c:v>
                </c:pt>
              </c:numCache>
            </c:numRef>
          </c:val>
          <c:smooth val="0"/>
          <c:extLst>
            <c:ext xmlns:c16="http://schemas.microsoft.com/office/drawing/2014/chart" uri="{C3380CC4-5D6E-409C-BE32-E72D297353CC}">
              <c16:uniqueId val="{0000000B-2297-43B4-9682-249C2958FBB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-9.4940197178674524E-3</c:v>
                </c:pt>
                <c:pt idx="1">
                  <c:v>-8.9800406855484738E-3</c:v>
                </c:pt>
                <c:pt idx="2">
                  <c:v>1.135043669128688E-2</c:v>
                </c:pt>
                <c:pt idx="3">
                  <c:v>-7.3055229394967114E-3</c:v>
                </c:pt>
                <c:pt idx="4">
                  <c:v>1.4429146651626201E-2</c:v>
                </c:pt>
              </c:numCache>
            </c:numRef>
          </c:val>
          <c:smooth val="0"/>
          <c:extLst>
            <c:ext xmlns:c16="http://schemas.microsoft.com/office/drawing/2014/chart" uri="{C3380CC4-5D6E-409C-BE32-E72D297353CC}">
              <c16:uniqueId val="{0000000C-2297-43B4-9682-249C2958FBB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-8.5070991712946631E-3</c:v>
                </c:pt>
                <c:pt idx="1">
                  <c:v>-8.0243844356586713E-3</c:v>
                </c:pt>
                <c:pt idx="2">
                  <c:v>1.1378025044959994E-2</c:v>
                </c:pt>
                <c:pt idx="3">
                  <c:v>-7.8949621863310115E-3</c:v>
                </c:pt>
                <c:pt idx="4">
                  <c:v>1.3048420748324352E-2</c:v>
                </c:pt>
              </c:numCache>
            </c:numRef>
          </c:val>
          <c:smooth val="0"/>
          <c:extLst>
            <c:ext xmlns:c16="http://schemas.microsoft.com/office/drawing/2014/chart" uri="{C3380CC4-5D6E-409C-BE32-E72D297353CC}">
              <c16:uniqueId val="{0000000D-2297-43B4-9682-249C2958FBB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-7.4265461617135653E-3</c:v>
                </c:pt>
                <c:pt idx="1">
                  <c:v>-3.8716247061019171E-3</c:v>
                </c:pt>
                <c:pt idx="2">
                  <c:v>1.1845880666476738E-2</c:v>
                </c:pt>
                <c:pt idx="3">
                  <c:v>-6.4484275211803554E-3</c:v>
                </c:pt>
                <c:pt idx="4">
                  <c:v>5.9007177225192109E-3</c:v>
                </c:pt>
              </c:numCache>
            </c:numRef>
          </c:val>
          <c:smooth val="0"/>
          <c:extLst>
            <c:ext xmlns:c16="http://schemas.microsoft.com/office/drawing/2014/chart" uri="{C3380CC4-5D6E-409C-BE32-E72D297353CC}">
              <c16:uniqueId val="{0000000E-2297-43B4-9682-249C2958FBB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-1.1728068732210772E-3</c:v>
                </c:pt>
                <c:pt idx="1">
                  <c:v>-5.176364795663746E-3</c:v>
                </c:pt>
                <c:pt idx="2">
                  <c:v>8.9625288606149933E-3</c:v>
                </c:pt>
                <c:pt idx="3">
                  <c:v>-1.32933650831627E-2</c:v>
                </c:pt>
                <c:pt idx="4">
                  <c:v>1.0680007891432419E-2</c:v>
                </c:pt>
              </c:numCache>
            </c:numRef>
          </c:val>
          <c:smooth val="0"/>
          <c:extLst>
            <c:ext xmlns:c16="http://schemas.microsoft.com/office/drawing/2014/chart" uri="{C3380CC4-5D6E-409C-BE32-E72D297353CC}">
              <c16:uniqueId val="{0000000F-2297-43B4-9682-249C2958FBB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-1.0564516500234378E-3</c:v>
                </c:pt>
                <c:pt idx="1">
                  <c:v>-1.620777440425436E-3</c:v>
                </c:pt>
                <c:pt idx="2">
                  <c:v>1.0631965847305525E-2</c:v>
                </c:pt>
                <c:pt idx="3">
                  <c:v>-1.4430450952905294E-2</c:v>
                </c:pt>
                <c:pt idx="4">
                  <c:v>6.475714196048532E-3</c:v>
                </c:pt>
              </c:numCache>
            </c:numRef>
          </c:val>
          <c:smooth val="0"/>
          <c:extLst>
            <c:ext xmlns:c16="http://schemas.microsoft.com/office/drawing/2014/chart" uri="{C3380CC4-5D6E-409C-BE32-E72D297353CC}">
              <c16:uniqueId val="{00000010-2297-43B4-9682-249C2958FBB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3.5224753427696154E-3</c:v>
                </c:pt>
                <c:pt idx="1">
                  <c:v>-2.6310996886613758E-4</c:v>
                </c:pt>
                <c:pt idx="2">
                  <c:v>1.1900470881572422E-2</c:v>
                </c:pt>
                <c:pt idx="3">
                  <c:v>-2.0885039807901795E-2</c:v>
                </c:pt>
                <c:pt idx="4">
                  <c:v>5.72520355242645E-3</c:v>
                </c:pt>
              </c:numCache>
            </c:numRef>
          </c:val>
          <c:smooth val="0"/>
          <c:extLst>
            <c:ext xmlns:c16="http://schemas.microsoft.com/office/drawing/2014/chart" uri="{C3380CC4-5D6E-409C-BE32-E72D297353CC}">
              <c16:uniqueId val="{00000011-2297-43B4-9682-249C2958FBB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8.0156759236618136E-3</c:v>
                </c:pt>
                <c:pt idx="1">
                  <c:v>-1.8563829745926741E-3</c:v>
                </c:pt>
                <c:pt idx="2">
                  <c:v>2.0849809959465837E-2</c:v>
                </c:pt>
                <c:pt idx="3">
                  <c:v>-2.1674668292976706E-2</c:v>
                </c:pt>
                <c:pt idx="4">
                  <c:v>-5.3344346155587141E-3</c:v>
                </c:pt>
              </c:numCache>
            </c:numRef>
          </c:val>
          <c:smooth val="0"/>
          <c:extLst>
            <c:ext xmlns:c16="http://schemas.microsoft.com/office/drawing/2014/chart" uri="{C3380CC4-5D6E-409C-BE32-E72D297353CC}">
              <c16:uniqueId val="{00000012-2297-43B4-9682-249C2958FBB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1.3697991360208661E-3</c:v>
                </c:pt>
                <c:pt idx="1">
                  <c:v>1.3646501139381595E-3</c:v>
                </c:pt>
                <c:pt idx="2">
                  <c:v>1.8131316919239415E-2</c:v>
                </c:pt>
                <c:pt idx="3">
                  <c:v>-2.0311528266539702E-2</c:v>
                </c:pt>
                <c:pt idx="4">
                  <c:v>-5.5423790265896056E-4</c:v>
                </c:pt>
              </c:numCache>
            </c:numRef>
          </c:val>
          <c:smooth val="0"/>
          <c:extLst>
            <c:ext xmlns:c16="http://schemas.microsoft.com/office/drawing/2014/chart" uri="{C3380CC4-5D6E-409C-BE32-E72D297353CC}">
              <c16:uniqueId val="{00000013-2297-43B4-9682-249C2958FBB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1.9872736329473728E-3</c:v>
                </c:pt>
                <c:pt idx="1">
                  <c:v>-1.2715526183099124E-3</c:v>
                </c:pt>
                <c:pt idx="2">
                  <c:v>1.6185494471811834E-2</c:v>
                </c:pt>
                <c:pt idx="3">
                  <c:v>-1.6108105689194741E-2</c:v>
                </c:pt>
                <c:pt idx="4">
                  <c:v>-7.9310979725366604E-4</c:v>
                </c:pt>
              </c:numCache>
            </c:numRef>
          </c:val>
          <c:smooth val="0"/>
          <c:extLst>
            <c:ext xmlns:c16="http://schemas.microsoft.com/office/drawing/2014/chart" uri="{C3380CC4-5D6E-409C-BE32-E72D297353CC}">
              <c16:uniqueId val="{00000014-2297-43B4-9682-249C2958FBB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3.1855817376045259E-3</c:v>
                </c:pt>
                <c:pt idx="1">
                  <c:v>7.1572263181558515E-3</c:v>
                </c:pt>
                <c:pt idx="2">
                  <c:v>8.9950901596660415E-3</c:v>
                </c:pt>
                <c:pt idx="3">
                  <c:v>-1.6696726873753787E-2</c:v>
                </c:pt>
                <c:pt idx="4">
                  <c:v>-2.6411713416726323E-3</c:v>
                </c:pt>
              </c:numCache>
            </c:numRef>
          </c:val>
          <c:smooth val="0"/>
          <c:extLst>
            <c:ext xmlns:c16="http://schemas.microsoft.com/office/drawing/2014/chart" uri="{C3380CC4-5D6E-409C-BE32-E72D297353CC}">
              <c16:uniqueId val="{00000015-2297-43B4-9682-249C2958FBB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-3.2904216274051157E-3</c:v>
                </c:pt>
                <c:pt idx="1">
                  <c:v>1.3630821094781753E-2</c:v>
                </c:pt>
                <c:pt idx="2">
                  <c:v>-1.0734678707477352E-2</c:v>
                </c:pt>
                <c:pt idx="3">
                  <c:v>-1.4307229197957905E-2</c:v>
                </c:pt>
                <c:pt idx="4">
                  <c:v>1.4701508438059063E-2</c:v>
                </c:pt>
              </c:numCache>
            </c:numRef>
          </c:val>
          <c:smooth val="0"/>
          <c:extLst>
            <c:ext xmlns:c16="http://schemas.microsoft.com/office/drawing/2014/chart" uri="{C3380CC4-5D6E-409C-BE32-E72D297353CC}">
              <c16:uniqueId val="{00000016-2297-43B4-9682-249C2958FBB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-1.6642972271402101E-2</c:v>
                </c:pt>
                <c:pt idx="1">
                  <c:v>1.4120106517767184E-2</c:v>
                </c:pt>
                <c:pt idx="2">
                  <c:v>-1.573744792603049E-2</c:v>
                </c:pt>
                <c:pt idx="3">
                  <c:v>-1.983419372189632E-2</c:v>
                </c:pt>
                <c:pt idx="4">
                  <c:v>3.809450740156195E-2</c:v>
                </c:pt>
              </c:numCache>
            </c:numRef>
          </c:val>
          <c:smooth val="0"/>
          <c:extLst>
            <c:ext xmlns:c16="http://schemas.microsoft.com/office/drawing/2014/chart" uri="{C3380CC4-5D6E-409C-BE32-E72D297353CC}">
              <c16:uniqueId val="{00000017-2297-43B4-9682-249C2958FBB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-2.5485102680341876E-2</c:v>
                </c:pt>
                <c:pt idx="1">
                  <c:v>-8.9188380039513238E-3</c:v>
                </c:pt>
                <c:pt idx="2">
                  <c:v>2.6354377724771005E-3</c:v>
                </c:pt>
                <c:pt idx="3">
                  <c:v>9.3512779548483582E-3</c:v>
                </c:pt>
                <c:pt idx="4">
                  <c:v>2.2417224956967852E-2</c:v>
                </c:pt>
              </c:numCache>
            </c:numRef>
          </c:val>
          <c:smooth val="0"/>
          <c:extLst>
            <c:ext xmlns:c16="http://schemas.microsoft.com/office/drawing/2014/chart" uri="{C3380CC4-5D6E-409C-BE32-E72D297353CC}">
              <c16:uniqueId val="{00000018-2297-43B4-9682-249C2958FBB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1.6488737648837404E-2</c:v>
                </c:pt>
                <c:pt idx="1">
                  <c:v>-1.8826970528802667E-2</c:v>
                </c:pt>
                <c:pt idx="2">
                  <c:v>-1.3219520445502453E-2</c:v>
                </c:pt>
                <c:pt idx="3">
                  <c:v>-4.9544094313690445E-3</c:v>
                </c:pt>
                <c:pt idx="4">
                  <c:v>2.0512162756836982E-2</c:v>
                </c:pt>
              </c:numCache>
            </c:numRef>
          </c:val>
          <c:smooth val="0"/>
          <c:extLst>
            <c:ext xmlns:c16="http://schemas.microsoft.com/office/drawing/2014/chart" uri="{C3380CC4-5D6E-409C-BE32-E72D297353CC}">
              <c16:uniqueId val="{00000019-2297-43B4-9682-249C2958FBB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1.695846151014635E-2</c:v>
                </c:pt>
                <c:pt idx="1">
                  <c:v>-2.2408436280408894E-2</c:v>
                </c:pt>
                <c:pt idx="2">
                  <c:v>-2.3700578606957845E-2</c:v>
                </c:pt>
                <c:pt idx="3">
                  <c:v>4.3703653028657197E-3</c:v>
                </c:pt>
                <c:pt idx="4">
                  <c:v>2.4780188074355003E-2</c:v>
                </c:pt>
              </c:numCache>
            </c:numRef>
          </c:val>
          <c:smooth val="0"/>
          <c:extLst>
            <c:ext xmlns:c16="http://schemas.microsoft.com/office/drawing/2014/chart" uri="{C3380CC4-5D6E-409C-BE32-E72D297353CC}">
              <c16:uniqueId val="{0000001A-2297-43B4-9682-249C2958FBB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3.5585150028422108E-2</c:v>
                </c:pt>
                <c:pt idx="1">
                  <c:v>-3.9038785582392377E-2</c:v>
                </c:pt>
                <c:pt idx="2">
                  <c:v>1.2542133659389165E-2</c:v>
                </c:pt>
                <c:pt idx="3">
                  <c:v>9.8846235345042555E-3</c:v>
                </c:pt>
                <c:pt idx="4">
                  <c:v>-1.8973121639923041E-2</c:v>
                </c:pt>
              </c:numCache>
            </c:numRef>
          </c:val>
          <c:smooth val="0"/>
          <c:extLst>
            <c:ext xmlns:c16="http://schemas.microsoft.com/office/drawing/2014/chart" uri="{C3380CC4-5D6E-409C-BE32-E72D297353CC}">
              <c16:uniqueId val="{0000001B-2297-43B4-9682-249C2958FBB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1.4676938830856745E-2</c:v>
                </c:pt>
                <c:pt idx="1">
                  <c:v>-7.5619262715897806E-2</c:v>
                </c:pt>
                <c:pt idx="2">
                  <c:v>6.153001317196205E-3</c:v>
                </c:pt>
                <c:pt idx="3">
                  <c:v>6.337272885466172E-2</c:v>
                </c:pt>
                <c:pt idx="4">
                  <c:v>-8.5834062868168637E-3</c:v>
                </c:pt>
              </c:numCache>
            </c:numRef>
          </c:val>
          <c:smooth val="0"/>
          <c:extLst>
            <c:ext xmlns:c16="http://schemas.microsoft.com/office/drawing/2014/chart" uri="{C3380CC4-5D6E-409C-BE32-E72D297353CC}">
              <c16:uniqueId val="{0000001C-2297-43B4-9682-249C2958FBB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3.5907103006381336E-2</c:v>
                </c:pt>
                <c:pt idx="1">
                  <c:v>-7.5276424204516412E-2</c:v>
                </c:pt>
                <c:pt idx="2">
                  <c:v>-7.1239709911068427E-3</c:v>
                </c:pt>
                <c:pt idx="3">
                  <c:v>1.5091563522515727E-2</c:v>
                </c:pt>
                <c:pt idx="4">
                  <c:v>3.1401728666725193E-2</c:v>
                </c:pt>
              </c:numCache>
            </c:numRef>
          </c:val>
          <c:smooth val="0"/>
          <c:extLst>
            <c:ext xmlns:c16="http://schemas.microsoft.com/office/drawing/2014/chart" uri="{C3380CC4-5D6E-409C-BE32-E72D297353CC}">
              <c16:uniqueId val="{0000001D-2297-43B4-9682-249C2958FBB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5.1667287443821541E-2</c:v>
                </c:pt>
                <c:pt idx="1">
                  <c:v>-7.0627215238196928E-2</c:v>
                </c:pt>
                <c:pt idx="2">
                  <c:v>2.1219401806940485E-2</c:v>
                </c:pt>
                <c:pt idx="3">
                  <c:v>-7.6201290887465634E-2</c:v>
                </c:pt>
                <c:pt idx="4">
                  <c:v>7.3941816874900423E-2</c:v>
                </c:pt>
              </c:numCache>
            </c:numRef>
          </c:val>
          <c:smooth val="0"/>
          <c:extLst>
            <c:ext xmlns:c16="http://schemas.microsoft.com/office/drawing/2014/chart" uri="{C3380CC4-5D6E-409C-BE32-E72D297353CC}">
              <c16:uniqueId val="{0000001E-2297-43B4-9682-249C2958FBBD}"/>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Sample Deviation from Mean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BBC6-4DB9-A803-1275A88FB58D}"/>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1.7135317441558273E-2</c:v>
                </c:pt>
                <c:pt idx="1">
                  <c:v>2.465533895934513E-5</c:v>
                </c:pt>
                <c:pt idx="2">
                  <c:v>-3.168652258522564E-2</c:v>
                </c:pt>
                <c:pt idx="3">
                  <c:v>2.3971091625382135E-2</c:v>
                </c:pt>
                <c:pt idx="4">
                  <c:v>-9.4445418206736687E-3</c:v>
                </c:pt>
              </c:numCache>
            </c:numRef>
          </c:val>
          <c:smooth val="0"/>
          <c:extLst>
            <c:ext xmlns:c16="http://schemas.microsoft.com/office/drawing/2014/chart" uri="{C3380CC4-5D6E-409C-BE32-E72D297353CC}">
              <c16:uniqueId val="{00000001-BBC6-4DB9-A803-1275A88FB58D}"/>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1.5576069818864724E-2</c:v>
                </c:pt>
                <c:pt idx="1">
                  <c:v>-2.8432310151063067E-3</c:v>
                </c:pt>
                <c:pt idx="2">
                  <c:v>-3.0105676927023484E-2</c:v>
                </c:pt>
                <c:pt idx="3">
                  <c:v>2.4442063788749246E-2</c:v>
                </c:pt>
                <c:pt idx="4">
                  <c:v>-7.0692256654848462E-3</c:v>
                </c:pt>
              </c:numCache>
            </c:numRef>
          </c:val>
          <c:smooth val="0"/>
          <c:extLst>
            <c:ext xmlns:c16="http://schemas.microsoft.com/office/drawing/2014/chart" uri="{C3380CC4-5D6E-409C-BE32-E72D297353CC}">
              <c16:uniqueId val="{00000002-BBC6-4DB9-A803-1275A88FB58D}"/>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1.166633791124605E-2</c:v>
                </c:pt>
                <c:pt idx="1">
                  <c:v>-2.8155734069601479E-3</c:v>
                </c:pt>
                <c:pt idx="2">
                  <c:v>-2.8494393224703485E-2</c:v>
                </c:pt>
                <c:pt idx="3">
                  <c:v>2.3247835509450088E-2</c:v>
                </c:pt>
                <c:pt idx="4">
                  <c:v>-3.6042067890319496E-3</c:v>
                </c:pt>
              </c:numCache>
            </c:numRef>
          </c:val>
          <c:smooth val="0"/>
          <c:extLst>
            <c:ext xmlns:c16="http://schemas.microsoft.com/office/drawing/2014/chart" uri="{C3380CC4-5D6E-409C-BE32-E72D297353CC}">
              <c16:uniqueId val="{00000003-BBC6-4DB9-A803-1275A88FB58D}"/>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9.1322075926258961E-3</c:v>
                </c:pt>
                <c:pt idx="1">
                  <c:v>-1.8253715559923833E-3</c:v>
                </c:pt>
                <c:pt idx="2">
                  <c:v>-2.8258153511473316E-2</c:v>
                </c:pt>
                <c:pt idx="3">
                  <c:v>2.2162736757671109E-2</c:v>
                </c:pt>
                <c:pt idx="4">
                  <c:v>-1.2114192828311943E-3</c:v>
                </c:pt>
              </c:numCache>
            </c:numRef>
          </c:val>
          <c:smooth val="0"/>
          <c:extLst>
            <c:ext xmlns:c16="http://schemas.microsoft.com/office/drawing/2014/chart" uri="{C3380CC4-5D6E-409C-BE32-E72D297353CC}">
              <c16:uniqueId val="{00000004-BBC6-4DB9-A803-1275A88FB58D}"/>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8.0331804219540004E-3</c:v>
                </c:pt>
                <c:pt idx="1">
                  <c:v>-3.1093538945193844E-3</c:v>
                </c:pt>
                <c:pt idx="2">
                  <c:v>-2.7062553727423611E-2</c:v>
                </c:pt>
                <c:pt idx="3">
                  <c:v>2.0759993998642479E-2</c:v>
                </c:pt>
                <c:pt idx="4">
                  <c:v>1.3787332013461828E-3</c:v>
                </c:pt>
              </c:numCache>
            </c:numRef>
          </c:val>
          <c:smooth val="0"/>
          <c:extLst>
            <c:ext xmlns:c16="http://schemas.microsoft.com/office/drawing/2014/chart" uri="{C3380CC4-5D6E-409C-BE32-E72D297353CC}">
              <c16:uniqueId val="{00000005-BBC6-4DB9-A803-1275A88FB58D}"/>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8.1620174583652005E-3</c:v>
                </c:pt>
                <c:pt idx="1">
                  <c:v>-3.0778546933942774E-3</c:v>
                </c:pt>
                <c:pt idx="2">
                  <c:v>-2.7373371301536609E-2</c:v>
                </c:pt>
                <c:pt idx="3">
                  <c:v>1.9408897981051609E-2</c:v>
                </c:pt>
                <c:pt idx="4">
                  <c:v>2.8803105555141872E-3</c:v>
                </c:pt>
              </c:numCache>
            </c:numRef>
          </c:val>
          <c:smooth val="0"/>
          <c:extLst>
            <c:ext xmlns:c16="http://schemas.microsoft.com/office/drawing/2014/chart" uri="{C3380CC4-5D6E-409C-BE32-E72D297353CC}">
              <c16:uniqueId val="{00000006-BBC6-4DB9-A803-1275A88FB58D}"/>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7.5150819192493223E-3</c:v>
                </c:pt>
                <c:pt idx="1">
                  <c:v>-1.8529734845010859E-3</c:v>
                </c:pt>
                <c:pt idx="2">
                  <c:v>-2.706503180576536E-2</c:v>
                </c:pt>
                <c:pt idx="3">
                  <c:v>1.8489646547233285E-2</c:v>
                </c:pt>
                <c:pt idx="4">
                  <c:v>2.9132768237840612E-3</c:v>
                </c:pt>
              </c:numCache>
            </c:numRef>
          </c:val>
          <c:smooth val="0"/>
          <c:extLst>
            <c:ext xmlns:c16="http://schemas.microsoft.com/office/drawing/2014/chart" uri="{C3380CC4-5D6E-409C-BE32-E72D297353CC}">
              <c16:uniqueId val="{00000007-BBC6-4DB9-A803-1275A88FB58D}"/>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9.3209144303230129E-3</c:v>
                </c:pt>
                <c:pt idx="1">
                  <c:v>-5.1966552748128336E-4</c:v>
                </c:pt>
                <c:pt idx="2">
                  <c:v>-3.0463883733304775E-2</c:v>
                </c:pt>
                <c:pt idx="3">
                  <c:v>1.8302551802950706E-2</c:v>
                </c:pt>
                <c:pt idx="4">
                  <c:v>3.3600830275128946E-3</c:v>
                </c:pt>
              </c:numCache>
            </c:numRef>
          </c:val>
          <c:smooth val="0"/>
          <c:extLst>
            <c:ext xmlns:c16="http://schemas.microsoft.com/office/drawing/2014/chart" uri="{C3380CC4-5D6E-409C-BE32-E72D297353CC}">
              <c16:uniqueId val="{00000008-BBC6-4DB9-A803-1275A88FB58D}"/>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1.289100660061826E-2</c:v>
                </c:pt>
                <c:pt idx="1">
                  <c:v>3.6548131821478869E-4</c:v>
                </c:pt>
                <c:pt idx="2">
                  <c:v>-2.9766131371692595E-2</c:v>
                </c:pt>
                <c:pt idx="3">
                  <c:v>1.6365807305028346E-2</c:v>
                </c:pt>
                <c:pt idx="4">
                  <c:v>1.4383614783120002E-4</c:v>
                </c:pt>
              </c:numCache>
            </c:numRef>
          </c:val>
          <c:smooth val="0"/>
          <c:extLst>
            <c:ext xmlns:c16="http://schemas.microsoft.com/office/drawing/2014/chart" uri="{C3380CC4-5D6E-409C-BE32-E72D297353CC}">
              <c16:uniqueId val="{00000009-BBC6-4DB9-A803-1275A88FB58D}"/>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1.466722206845672E-2</c:v>
                </c:pt>
                <c:pt idx="1">
                  <c:v>1.2781466431195376E-3</c:v>
                </c:pt>
                <c:pt idx="2">
                  <c:v>-3.1342981716593998E-2</c:v>
                </c:pt>
                <c:pt idx="3">
                  <c:v>1.8398531266288431E-2</c:v>
                </c:pt>
                <c:pt idx="4">
                  <c:v>-3.0009182612710239E-3</c:v>
                </c:pt>
              </c:numCache>
            </c:numRef>
          </c:val>
          <c:smooth val="0"/>
          <c:extLst>
            <c:ext xmlns:c16="http://schemas.microsoft.com/office/drawing/2014/chart" uri="{C3380CC4-5D6E-409C-BE32-E72D297353CC}">
              <c16:uniqueId val="{0000000A-BBC6-4DB9-A803-1275A88FB58D}"/>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1.775929080073313E-2</c:v>
                </c:pt>
                <c:pt idx="1">
                  <c:v>-2.7787641015508679E-4</c:v>
                </c:pt>
                <c:pt idx="2">
                  <c:v>-3.0708203088980257E-2</c:v>
                </c:pt>
                <c:pt idx="3">
                  <c:v>1.9609372533658131E-2</c:v>
                </c:pt>
                <c:pt idx="4">
                  <c:v>-6.3825838352558062E-3</c:v>
                </c:pt>
              </c:numCache>
            </c:numRef>
          </c:val>
          <c:smooth val="0"/>
          <c:extLst>
            <c:ext xmlns:c16="http://schemas.microsoft.com/office/drawing/2014/chart" uri="{C3380CC4-5D6E-409C-BE32-E72D297353CC}">
              <c16:uniqueId val="{0000000B-BBC6-4DB9-A803-1275A88FB58D}"/>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1.5926065901678443E-2</c:v>
                </c:pt>
                <c:pt idx="1">
                  <c:v>-5.4857036911881707E-4</c:v>
                </c:pt>
                <c:pt idx="2">
                  <c:v>-3.3316669848706515E-2</c:v>
                </c:pt>
                <c:pt idx="3">
                  <c:v>2.1217448735925126E-2</c:v>
                </c:pt>
                <c:pt idx="4">
                  <c:v>-3.2782744197786817E-3</c:v>
                </c:pt>
              </c:numCache>
            </c:numRef>
          </c:val>
          <c:smooth val="0"/>
          <c:extLst>
            <c:ext xmlns:c16="http://schemas.microsoft.com/office/drawing/2014/chart" uri="{C3380CC4-5D6E-409C-BE32-E72D297353CC}">
              <c16:uniqueId val="{0000000C-BBC6-4DB9-A803-1275A88FB58D}"/>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2.2041864510056852E-2</c:v>
                </c:pt>
                <c:pt idx="1">
                  <c:v>-9.619780410136114E-4</c:v>
                </c:pt>
                <c:pt idx="2">
                  <c:v>-3.4647018725512901E-2</c:v>
                </c:pt>
                <c:pt idx="3">
                  <c:v>2.1528476049066825E-2</c:v>
                </c:pt>
                <c:pt idx="4">
                  <c:v>-7.9613437925971642E-3</c:v>
                </c:pt>
              </c:numCache>
            </c:numRef>
          </c:val>
          <c:smooth val="0"/>
          <c:extLst>
            <c:ext xmlns:c16="http://schemas.microsoft.com/office/drawing/2014/chart" uri="{C3380CC4-5D6E-409C-BE32-E72D297353CC}">
              <c16:uniqueId val="{0000000D-BBC6-4DB9-A803-1275A88FB58D}"/>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2.3569773912754943E-2</c:v>
                </c:pt>
                <c:pt idx="1">
                  <c:v>-2.2116850493705265E-3</c:v>
                </c:pt>
                <c:pt idx="2">
                  <c:v>-3.6327133520718702E-2</c:v>
                </c:pt>
                <c:pt idx="3">
                  <c:v>1.5166400666090984E-2</c:v>
                </c:pt>
                <c:pt idx="4">
                  <c:v>-1.9735600875558923E-4</c:v>
                </c:pt>
              </c:numCache>
            </c:numRef>
          </c:val>
          <c:smooth val="0"/>
          <c:extLst>
            <c:ext xmlns:c16="http://schemas.microsoft.com/office/drawing/2014/chart" uri="{C3380CC4-5D6E-409C-BE32-E72D297353CC}">
              <c16:uniqueId val="{0000000E-BBC6-4DB9-A803-1275A88FB58D}"/>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3.1498970147236127E-2</c:v>
                </c:pt>
                <c:pt idx="1">
                  <c:v>-6.842002073868314E-3</c:v>
                </c:pt>
                <c:pt idx="2">
                  <c:v>-3.7890918451045641E-2</c:v>
                </c:pt>
                <c:pt idx="3">
                  <c:v>1.1597675107805294E-2</c:v>
                </c:pt>
                <c:pt idx="4">
                  <c:v>1.6362752698719785E-3</c:v>
                </c:pt>
              </c:numCache>
            </c:numRef>
          </c:val>
          <c:smooth val="0"/>
          <c:extLst>
            <c:ext xmlns:c16="http://schemas.microsoft.com/office/drawing/2014/chart" uri="{C3380CC4-5D6E-409C-BE32-E72D297353CC}">
              <c16:uniqueId val="{0000000F-BBC6-4DB9-A803-1275A88FB58D}"/>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3.7042865549017145E-2</c:v>
                </c:pt>
                <c:pt idx="1">
                  <c:v>-3.1154661385207616E-3</c:v>
                </c:pt>
                <c:pt idx="2">
                  <c:v>-4.063653350260632E-2</c:v>
                </c:pt>
                <c:pt idx="3">
                  <c:v>1.2899048313690376E-2</c:v>
                </c:pt>
                <c:pt idx="4">
                  <c:v>-6.1899142215812164E-3</c:v>
                </c:pt>
              </c:numCache>
            </c:numRef>
          </c:val>
          <c:smooth val="0"/>
          <c:extLst>
            <c:ext xmlns:c16="http://schemas.microsoft.com/office/drawing/2014/chart" uri="{C3380CC4-5D6E-409C-BE32-E72D297353CC}">
              <c16:uniqueId val="{00000010-BBC6-4DB9-A803-1275A88FB58D}"/>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4.2418418600145724E-2</c:v>
                </c:pt>
                <c:pt idx="1">
                  <c:v>3.4379194910250099E-4</c:v>
                </c:pt>
                <c:pt idx="2">
                  <c:v>-4.1956878559486821E-2</c:v>
                </c:pt>
                <c:pt idx="3">
                  <c:v>4.6171364373013279E-3</c:v>
                </c:pt>
                <c:pt idx="4">
                  <c:v>-5.4224684270623991E-3</c:v>
                </c:pt>
              </c:numCache>
            </c:numRef>
          </c:val>
          <c:smooth val="0"/>
          <c:extLst>
            <c:ext xmlns:c16="http://schemas.microsoft.com/office/drawing/2014/chart" uri="{C3380CC4-5D6E-409C-BE32-E72D297353CC}">
              <c16:uniqueId val="{00000011-BBC6-4DB9-A803-1275A88FB58D}"/>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4.4237996523758039E-2</c:v>
                </c:pt>
                <c:pt idx="1">
                  <c:v>6.1735968577567579E-3</c:v>
                </c:pt>
                <c:pt idx="2">
                  <c:v>-4.4188868036385776E-2</c:v>
                </c:pt>
                <c:pt idx="3">
                  <c:v>2.1434520282654912E-3</c:v>
                </c:pt>
                <c:pt idx="4">
                  <c:v>-8.3661773733944012E-3</c:v>
                </c:pt>
              </c:numCache>
            </c:numRef>
          </c:val>
          <c:smooth val="0"/>
          <c:extLst>
            <c:ext xmlns:c16="http://schemas.microsoft.com/office/drawing/2014/chart" uri="{C3380CC4-5D6E-409C-BE32-E72D297353CC}">
              <c16:uniqueId val="{00000012-BBC6-4DB9-A803-1275A88FB58D}"/>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4.6694432398608487E-2</c:v>
                </c:pt>
                <c:pt idx="1">
                  <c:v>-7.1992176938573404E-4</c:v>
                </c:pt>
                <c:pt idx="2">
                  <c:v>-3.8210988696476433E-2</c:v>
                </c:pt>
                <c:pt idx="3">
                  <c:v>2.7760422941482954E-3</c:v>
                </c:pt>
                <c:pt idx="4">
                  <c:v>-1.0539564226893838E-2</c:v>
                </c:pt>
              </c:numCache>
            </c:numRef>
          </c:val>
          <c:smooth val="0"/>
          <c:extLst>
            <c:ext xmlns:c16="http://schemas.microsoft.com/office/drawing/2014/chart" uri="{C3380CC4-5D6E-409C-BE32-E72D297353CC}">
              <c16:uniqueId val="{00000013-BBC6-4DB9-A803-1275A88FB58D}"/>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5.0153650709429565E-2</c:v>
                </c:pt>
                <c:pt idx="1">
                  <c:v>-7.0924446796104545E-3</c:v>
                </c:pt>
                <c:pt idx="2">
                  <c:v>-5.6028062386544231E-2</c:v>
                </c:pt>
                <c:pt idx="3">
                  <c:v>2.4291959281846687E-2</c:v>
                </c:pt>
                <c:pt idx="4">
                  <c:v>-1.1325102925121344E-2</c:v>
                </c:pt>
              </c:numCache>
            </c:numRef>
          </c:val>
          <c:smooth val="0"/>
          <c:extLst>
            <c:ext xmlns:c16="http://schemas.microsoft.com/office/drawing/2014/chart" uri="{C3380CC4-5D6E-409C-BE32-E72D297353CC}">
              <c16:uniqueId val="{00000014-BBC6-4DB9-A803-1275A88FB58D}"/>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1.2870404931332402E-2</c:v>
                </c:pt>
                <c:pt idx="1">
                  <c:v>4.677302561278518E-3</c:v>
                </c:pt>
                <c:pt idx="2">
                  <c:v>-3.9011350345585671E-2</c:v>
                </c:pt>
                <c:pt idx="3">
                  <c:v>2.2125031208299673E-2</c:v>
                </c:pt>
                <c:pt idx="4">
                  <c:v>-6.6138835532558726E-4</c:v>
                </c:pt>
              </c:numCache>
            </c:numRef>
          </c:val>
          <c:smooth val="0"/>
          <c:extLst>
            <c:ext xmlns:c16="http://schemas.microsoft.com/office/drawing/2014/chart" uri="{C3380CC4-5D6E-409C-BE32-E72D297353CC}">
              <c16:uniqueId val="{00000015-BBC6-4DB9-A803-1275A88FB58D}"/>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1.9282156823668961E-2</c:v>
                </c:pt>
                <c:pt idx="1">
                  <c:v>-1.2944833301996583E-3</c:v>
                </c:pt>
                <c:pt idx="2">
                  <c:v>-3.0648252919921015E-2</c:v>
                </c:pt>
                <c:pt idx="3">
                  <c:v>1.7227155240468139E-2</c:v>
                </c:pt>
                <c:pt idx="4">
                  <c:v>-4.566575814016649E-3</c:v>
                </c:pt>
              </c:numCache>
            </c:numRef>
          </c:val>
          <c:smooth val="0"/>
          <c:extLst>
            <c:ext xmlns:c16="http://schemas.microsoft.com/office/drawing/2014/chart" uri="{C3380CC4-5D6E-409C-BE32-E72D297353CC}">
              <c16:uniqueId val="{00000016-BBC6-4DB9-A803-1275A88FB58D}"/>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3.8557093684901567E-2</c:v>
                </c:pt>
                <c:pt idx="1">
                  <c:v>-2.9598076679666852E-2</c:v>
                </c:pt>
                <c:pt idx="2">
                  <c:v>-2.7523888454057843E-2</c:v>
                </c:pt>
                <c:pt idx="3">
                  <c:v>3.6636854314868961E-2</c:v>
                </c:pt>
                <c:pt idx="4">
                  <c:v>-1.8071982866046721E-2</c:v>
                </c:pt>
              </c:numCache>
            </c:numRef>
          </c:val>
          <c:smooth val="0"/>
          <c:extLst>
            <c:ext xmlns:c16="http://schemas.microsoft.com/office/drawing/2014/chart" uri="{C3380CC4-5D6E-409C-BE32-E72D297353CC}">
              <c16:uniqueId val="{00000017-BBC6-4DB9-A803-1275A88FB58D}"/>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5.2683275303639476E-2</c:v>
                </c:pt>
                <c:pt idx="1">
                  <c:v>-7.6586181326419034E-3</c:v>
                </c:pt>
                <c:pt idx="2">
                  <c:v>-3.6501775781428991E-2</c:v>
                </c:pt>
                <c:pt idx="3">
                  <c:v>2.9884582177707397E-2</c:v>
                </c:pt>
                <c:pt idx="4">
                  <c:v>-3.8407463567275757E-2</c:v>
                </c:pt>
              </c:numCache>
            </c:numRef>
          </c:val>
          <c:smooth val="0"/>
          <c:extLst>
            <c:ext xmlns:c16="http://schemas.microsoft.com/office/drawing/2014/chart" uri="{C3380CC4-5D6E-409C-BE32-E72D297353CC}">
              <c16:uniqueId val="{00000018-BBC6-4DB9-A803-1275A88FB58D}"/>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4.9526723797264971E-2</c:v>
                </c:pt>
                <c:pt idx="1">
                  <c:v>1.0107362648245521E-2</c:v>
                </c:pt>
                <c:pt idx="2">
                  <c:v>-4.8111208404910344E-2</c:v>
                </c:pt>
                <c:pt idx="3">
                  <c:v>3.1157676369094833E-2</c:v>
                </c:pt>
                <c:pt idx="4">
                  <c:v>-4.2680554409694871E-2</c:v>
                </c:pt>
              </c:numCache>
            </c:numRef>
          </c:val>
          <c:smooth val="0"/>
          <c:extLst>
            <c:ext xmlns:c16="http://schemas.microsoft.com/office/drawing/2014/chart" uri="{C3380CC4-5D6E-409C-BE32-E72D297353CC}">
              <c16:uniqueId val="{00000019-BBC6-4DB9-A803-1275A88FB58D}"/>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6.4248396466700664E-2</c:v>
                </c:pt>
                <c:pt idx="1">
                  <c:v>1.605867620631285E-2</c:v>
                </c:pt>
                <c:pt idx="2">
                  <c:v>-4.027634967014615E-2</c:v>
                </c:pt>
                <c:pt idx="3">
                  <c:v>1.3835310778335108E-2</c:v>
                </c:pt>
                <c:pt idx="4">
                  <c:v>-5.3866033781202916E-2</c:v>
                </c:pt>
              </c:numCache>
            </c:numRef>
          </c:val>
          <c:smooth val="0"/>
          <c:extLst>
            <c:ext xmlns:c16="http://schemas.microsoft.com/office/drawing/2014/chart" uri="{C3380CC4-5D6E-409C-BE32-E72D297353CC}">
              <c16:uniqueId val="{0000001A-BBC6-4DB9-A803-1275A88FB58D}"/>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6.0822097029745725E-2</c:v>
                </c:pt>
                <c:pt idx="1">
                  <c:v>7.4347757926796598E-2</c:v>
                </c:pt>
                <c:pt idx="2">
                  <c:v>-2.4781428626988067E-2</c:v>
                </c:pt>
                <c:pt idx="3">
                  <c:v>-2.1816702106801644E-3</c:v>
                </c:pt>
                <c:pt idx="4">
                  <c:v>-0.10820675611887387</c:v>
                </c:pt>
              </c:numCache>
            </c:numRef>
          </c:val>
          <c:smooth val="0"/>
          <c:extLst>
            <c:ext xmlns:c16="http://schemas.microsoft.com/office/drawing/2014/chart" uri="{C3380CC4-5D6E-409C-BE32-E72D297353CC}">
              <c16:uniqueId val="{0000001B-BBC6-4DB9-A803-1275A88FB58D}"/>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4.9292087588240552E-2</c:v>
                </c:pt>
                <c:pt idx="1">
                  <c:v>0.11012681027253812</c:v>
                </c:pt>
                <c:pt idx="2">
                  <c:v>-5.2094853504655925E-2</c:v>
                </c:pt>
                <c:pt idx="3">
                  <c:v>-9.8082685830906957E-3</c:v>
                </c:pt>
                <c:pt idx="4">
                  <c:v>-9.7515775773031943E-2</c:v>
                </c:pt>
              </c:numCache>
            </c:numRef>
          </c:val>
          <c:smooth val="0"/>
          <c:extLst>
            <c:ext xmlns:c16="http://schemas.microsoft.com/office/drawing/2014/chart" uri="{C3380CC4-5D6E-409C-BE32-E72D297353CC}">
              <c16:uniqueId val="{0000001C-BBC6-4DB9-A803-1275A88FB58D}"/>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3.7347271191295217E-2</c:v>
                </c:pt>
                <c:pt idx="1">
                  <c:v>9.9891084067301072E-2</c:v>
                </c:pt>
                <c:pt idx="2">
                  <c:v>-1.7505224157116195E-2</c:v>
                </c:pt>
                <c:pt idx="3">
                  <c:v>2.0528774350510925E-2</c:v>
                </c:pt>
                <c:pt idx="4">
                  <c:v>-0.14026190545199135</c:v>
                </c:pt>
              </c:numCache>
            </c:numRef>
          </c:val>
          <c:smooth val="0"/>
          <c:extLst>
            <c:ext xmlns:c16="http://schemas.microsoft.com/office/drawing/2014/chart" uri="{C3380CC4-5D6E-409C-BE32-E72D297353CC}">
              <c16:uniqueId val="{0000001D-BBC6-4DB9-A803-1275A88FB58D}"/>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1.1175402189935735E-3</c:v>
                </c:pt>
                <c:pt idx="1">
                  <c:v>0.16565317121880296</c:v>
                </c:pt>
                <c:pt idx="2">
                  <c:v>-5.5507250847189327E-2</c:v>
                </c:pt>
                <c:pt idx="3">
                  <c:v>4.8320869686085954E-2</c:v>
                </c:pt>
                <c:pt idx="4">
                  <c:v>-0.15958433027669283</c:v>
                </c:pt>
              </c:numCache>
            </c:numRef>
          </c:val>
          <c:smooth val="0"/>
          <c:extLst>
            <c:ext xmlns:c16="http://schemas.microsoft.com/office/drawing/2014/chart" uri="{C3380CC4-5D6E-409C-BE32-E72D297353CC}">
              <c16:uniqueId val="{0000001E-BBC6-4DB9-A803-1275A88FB58D}"/>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max val="0.30000000000000004"/>
          <c:min val="-0.3000000000000000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120.09349087121291</c:v>
                </c:pt>
                <c:pt idx="1">
                  <c:v>206.29024422435066</c:v>
                </c:pt>
                <c:pt idx="2">
                  <c:v>331.25798092741627</c:v>
                </c:pt>
                <c:pt idx="3">
                  <c:v>474.80044260114596</c:v>
                </c:pt>
                <c:pt idx="4">
                  <c:v>657.5317552772085</c:v>
                </c:pt>
                <c:pt idx="5">
                  <c:v>864.86959973830471</c:v>
                </c:pt>
                <c:pt idx="6">
                  <c:v>1078.9056437532038</c:v>
                </c:pt>
                <c:pt idx="7">
                  <c:v>1311.224988346507</c:v>
                </c:pt>
                <c:pt idx="8">
                  <c:v>1560.9261757065337</c:v>
                </c:pt>
                <c:pt idx="9">
                  <c:v>1817.7486603661039</c:v>
                </c:pt>
                <c:pt idx="10">
                  <c:v>2076.1041772415656</c:v>
                </c:pt>
                <c:pt idx="11">
                  <c:v>2352.5240188478751</c:v>
                </c:pt>
                <c:pt idx="12">
                  <c:v>2635.4838729240946</c:v>
                </c:pt>
                <c:pt idx="13">
                  <c:v>2918.7112229169315</c:v>
                </c:pt>
                <c:pt idx="14">
                  <c:v>3200.481581894398</c:v>
                </c:pt>
                <c:pt idx="15">
                  <c:v>3503.5923911680684</c:v>
                </c:pt>
                <c:pt idx="16">
                  <c:v>3851.8731106348205</c:v>
                </c:pt>
                <c:pt idx="17">
                  <c:v>4256.3317191026872</c:v>
                </c:pt>
                <c:pt idx="18">
                  <c:v>4709.5951333061803</c:v>
                </c:pt>
                <c:pt idx="19">
                  <c:v>5189.9801970413146</c:v>
                </c:pt>
                <c:pt idx="20">
                  <c:v>5722.7532196247848</c:v>
                </c:pt>
                <c:pt idx="21">
                  <c:v>6309.9821331356197</c:v>
                </c:pt>
                <c:pt idx="22">
                  <c:v>6943.2699490807172</c:v>
                </c:pt>
                <c:pt idx="23">
                  <c:v>7610.3717188202918</c:v>
                </c:pt>
                <c:pt idx="24">
                  <c:v>8285.2336278579678</c:v>
                </c:pt>
                <c:pt idx="25">
                  <c:v>8945.2208776148836</c:v>
                </c:pt>
                <c:pt idx="26">
                  <c:v>9673.8604689042295</c:v>
                </c:pt>
                <c:pt idx="27">
                  <c:v>9941.9807255838896</c:v>
                </c:pt>
                <c:pt idx="28">
                  <c:v>15895.418171796442</c:v>
                </c:pt>
                <c:pt idx="29">
                  <c:v>24999.999999999996</c:v>
                </c:pt>
              </c:numCache>
            </c:numRef>
          </c:yVal>
          <c:smooth val="1"/>
          <c:extLst>
            <c:ext xmlns:c16="http://schemas.microsoft.com/office/drawing/2014/chart" uri="{C3380CC4-5D6E-409C-BE32-E72D297353CC}">
              <c16:uniqueId val="{00000000-47F6-4963-BC5B-EA0E3B84A074}"/>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19</xdr:col>
      <xdr:colOff>568185</xdr:colOff>
      <xdr:row>70</xdr:row>
      <xdr:rowOff>136045</xdr:rowOff>
    </xdr:from>
    <xdr:to>
      <xdr:col>29</xdr:col>
      <xdr:colOff>555225</xdr:colOff>
      <xdr:row>78</xdr:row>
      <xdr:rowOff>90377</xdr:rowOff>
    </xdr:to>
    <xdr:sp macro="" textlink="">
      <xdr:nvSpPr>
        <xdr:cNvPr id="2" name="Text Frame 1">
          <a:extLst>
            <a:ext uri="{FF2B5EF4-FFF2-40B4-BE49-F238E27FC236}">
              <a16:creationId xmlns:a16="http://schemas.microsoft.com/office/drawing/2014/main" id="{1396723B-533A-4FFD-99B0-0DB6F39B54C1}"/>
            </a:ext>
          </a:extLst>
        </xdr:cNvPr>
        <xdr:cNvSpPr txBox="1"/>
      </xdr:nvSpPr>
      <xdr:spPr>
        <a:xfrm>
          <a:off x="16284435" y="12333828"/>
          <a:ext cx="8226165" cy="1326951"/>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3" name="Chart 2">
          <a:extLst>
            <a:ext uri="{FF2B5EF4-FFF2-40B4-BE49-F238E27FC236}">
              <a16:creationId xmlns:a16="http://schemas.microsoft.com/office/drawing/2014/main" id="{668AC87C-305B-41D2-BC8C-69946CE732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2" name="Chart 1">
          <a:extLst>
            <a:ext uri="{FF2B5EF4-FFF2-40B4-BE49-F238E27FC236}">
              <a16:creationId xmlns:a16="http://schemas.microsoft.com/office/drawing/2014/main" id="{32571181-4161-4FF3-821D-E3ADEAE01A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54051337-C623-4342-A74E-FD48B50F7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05EB75E2-DF06-4D6F-A4AF-F0BCDBEF2AA3}"/>
            </a:ext>
          </a:extLst>
        </xdr:cNvPr>
        <xdr:cNvSpPr txBox="1"/>
      </xdr:nvSpPr>
      <xdr:spPr>
        <a:xfrm>
          <a:off x="15507540" y="522474"/>
          <a:ext cx="5139578" cy="762644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18</xdr:row>
      <xdr:rowOff>210</xdr:rowOff>
    </xdr:to>
    <xdr:graphicFrame macro="">
      <xdr:nvGraphicFramePr>
        <xdr:cNvPr id="2" name="Chart 1">
          <a:extLst>
            <a:ext uri="{FF2B5EF4-FFF2-40B4-BE49-F238E27FC236}">
              <a16:creationId xmlns:a16="http://schemas.microsoft.com/office/drawing/2014/main" id="{2E80EEA8-6592-430A-B70C-3CAC7D8F5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48095-E982-4EC7-9B34-26CA7F285F7D}">
  <sheetPr codeName="Sheet4"/>
  <dimension ref="A1:AMJ128"/>
  <sheetViews>
    <sheetView tabSelected="1" zoomScale="70" zoomScaleNormal="70" workbookViewId="0">
      <selection activeCell="D18" sqref="D18"/>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 t="s">
        <v>0</v>
      </c>
      <c r="B1" s="2"/>
      <c r="C1" s="3"/>
      <c r="D1" s="3"/>
      <c r="E1" s="3"/>
      <c r="F1" s="3"/>
      <c r="G1" s="3"/>
      <c r="H1" s="2"/>
      <c r="I1" s="2"/>
      <c r="J1" s="2"/>
      <c r="K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2"/>
      <c r="CR1" s="2"/>
      <c r="CS1" s="2"/>
      <c r="CT1" s="2"/>
      <c r="CU1" s="2"/>
      <c r="CV1" s="2"/>
      <c r="CW1" s="2"/>
      <c r="CX1" s="2"/>
      <c r="CY1" s="2"/>
      <c r="CZ1" s="2"/>
      <c r="DA1" s="2"/>
      <c r="DB1" s="2"/>
      <c r="DC1" s="2"/>
      <c r="DD1" s="2"/>
      <c r="DE1" s="2"/>
      <c r="DF1" s="2"/>
      <c r="DG1" s="2"/>
      <c r="DH1" s="2"/>
      <c r="DI1" s="2"/>
      <c r="DJ1" s="2"/>
      <c r="DK1" s="2"/>
      <c r="DL1" s="2"/>
      <c r="DM1" s="2"/>
      <c r="DN1" s="2"/>
      <c r="DO1" s="2"/>
      <c r="DP1" s="2"/>
      <c r="DQ1" s="2"/>
      <c r="DR1" s="2"/>
      <c r="DS1" s="2"/>
      <c r="DT1" s="2"/>
      <c r="DU1" s="2"/>
      <c r="DV1" s="2"/>
      <c r="DW1" s="2"/>
      <c r="DX1" s="2"/>
      <c r="DY1" s="2"/>
      <c r="DZ1" s="2"/>
      <c r="EA1" s="2"/>
      <c r="EB1" s="2"/>
      <c r="EC1" s="2"/>
      <c r="ED1" s="2"/>
      <c r="EE1" s="2"/>
      <c r="EF1" s="2"/>
      <c r="EG1" s="2"/>
      <c r="EH1" s="2"/>
      <c r="EI1" s="2"/>
      <c r="EJ1" s="2"/>
      <c r="EK1" s="2"/>
      <c r="EL1" s="2"/>
      <c r="EM1" s="2"/>
      <c r="EN1" s="2"/>
      <c r="EO1" s="2"/>
      <c r="EP1" s="2"/>
      <c r="EQ1" s="2"/>
      <c r="ER1" s="2"/>
      <c r="ES1" s="2"/>
      <c r="ET1" s="2"/>
      <c r="EU1" s="2"/>
      <c r="EV1" s="2"/>
      <c r="EW1" s="2"/>
      <c r="EX1" s="2"/>
      <c r="EY1" s="2"/>
      <c r="EZ1" s="2"/>
      <c r="FA1" s="2"/>
      <c r="FB1" s="2"/>
      <c r="FC1" s="2"/>
      <c r="FD1" s="2"/>
      <c r="FE1" s="2"/>
      <c r="FF1" s="2"/>
      <c r="FG1" s="2"/>
      <c r="FH1" s="2"/>
      <c r="FI1" s="2"/>
      <c r="FJ1" s="2"/>
      <c r="FK1" s="2"/>
      <c r="FL1" s="2"/>
      <c r="FM1" s="2"/>
      <c r="FN1" s="2"/>
      <c r="FO1" s="2"/>
      <c r="FP1" s="2"/>
      <c r="FQ1" s="2"/>
      <c r="FR1" s="2"/>
      <c r="FS1" s="2"/>
      <c r="FT1" s="2"/>
      <c r="FU1" s="2"/>
      <c r="FV1" s="2"/>
      <c r="FW1" s="2"/>
      <c r="FX1" s="2"/>
      <c r="FY1" s="2"/>
      <c r="FZ1" s="2"/>
      <c r="GA1" s="2"/>
      <c r="GB1" s="2"/>
      <c r="GC1" s="2"/>
      <c r="GD1" s="2"/>
      <c r="GE1" s="2"/>
      <c r="GF1" s="2"/>
      <c r="GG1" s="2"/>
      <c r="GH1" s="2"/>
      <c r="GI1" s="2"/>
      <c r="GJ1" s="2"/>
      <c r="GK1" s="2"/>
      <c r="GL1" s="2"/>
      <c r="GM1" s="2"/>
      <c r="GN1" s="2"/>
      <c r="GO1" s="2"/>
      <c r="GP1" s="2"/>
      <c r="GQ1" s="2"/>
      <c r="GR1" s="2"/>
      <c r="GS1" s="2"/>
      <c r="GT1" s="2"/>
      <c r="GU1" s="2"/>
      <c r="GV1" s="2"/>
      <c r="GW1" s="2"/>
      <c r="GX1" s="2"/>
      <c r="GY1" s="2"/>
      <c r="GZ1" s="2"/>
      <c r="HA1" s="2"/>
      <c r="HB1" s="2"/>
      <c r="HC1" s="2"/>
      <c r="HD1" s="2"/>
      <c r="HE1" s="2"/>
      <c r="HF1" s="2"/>
      <c r="HG1" s="2"/>
      <c r="HH1" s="2"/>
      <c r="HI1" s="2"/>
      <c r="HJ1" s="2"/>
      <c r="HK1" s="2"/>
      <c r="HL1" s="2"/>
      <c r="HM1" s="2"/>
      <c r="HN1" s="2"/>
      <c r="HO1" s="2"/>
      <c r="HP1" s="2"/>
      <c r="HQ1" s="2"/>
      <c r="HR1" s="2"/>
      <c r="HS1" s="2"/>
      <c r="HT1" s="2"/>
      <c r="HU1" s="2"/>
      <c r="HV1" s="2"/>
      <c r="HW1" s="2"/>
      <c r="HX1" s="2"/>
      <c r="HY1" s="2"/>
      <c r="HZ1" s="2"/>
      <c r="IA1" s="2"/>
      <c r="IB1" s="2"/>
      <c r="IC1" s="2"/>
      <c r="ID1" s="2"/>
      <c r="IE1" s="2"/>
      <c r="IF1" s="2"/>
      <c r="IG1" s="2"/>
      <c r="IH1" s="2"/>
      <c r="II1" s="2"/>
      <c r="IJ1" s="2"/>
      <c r="IK1" s="2"/>
      <c r="IL1" s="2"/>
      <c r="IM1" s="2"/>
      <c r="IN1" s="2"/>
      <c r="IO1" s="2"/>
      <c r="IP1" s="2"/>
      <c r="IQ1" s="2"/>
      <c r="IR1" s="2"/>
      <c r="IS1" s="2"/>
      <c r="IT1" s="2"/>
      <c r="IU1" s="2"/>
      <c r="IV1" s="2"/>
      <c r="IW1" s="2"/>
      <c r="IX1" s="2"/>
      <c r="IY1" s="2"/>
      <c r="IZ1" s="2"/>
      <c r="JA1" s="2"/>
      <c r="JB1" s="2"/>
      <c r="JC1" s="2"/>
      <c r="JD1" s="2"/>
      <c r="JE1" s="2"/>
      <c r="JF1" s="2"/>
      <c r="JG1" s="2"/>
      <c r="JH1" s="2"/>
      <c r="JI1" s="2"/>
      <c r="JJ1" s="2"/>
      <c r="JK1" s="2"/>
      <c r="JL1" s="2"/>
      <c r="JM1" s="2"/>
      <c r="JN1" s="2"/>
      <c r="JO1" s="2"/>
      <c r="JP1" s="2"/>
      <c r="JQ1" s="2"/>
      <c r="JR1" s="2"/>
      <c r="JS1" s="2"/>
      <c r="JT1" s="2"/>
      <c r="JU1" s="2"/>
      <c r="JV1" s="2"/>
      <c r="JW1" s="2"/>
      <c r="JX1" s="2"/>
      <c r="JY1" s="2"/>
      <c r="JZ1" s="2"/>
      <c r="KA1" s="2"/>
      <c r="KB1" s="2"/>
      <c r="KC1" s="2"/>
      <c r="KD1" s="2"/>
      <c r="KE1" s="2"/>
      <c r="KF1" s="2"/>
      <c r="KG1" s="2"/>
      <c r="KH1" s="2"/>
      <c r="KI1" s="2"/>
      <c r="KJ1" s="2"/>
      <c r="KK1" s="2"/>
      <c r="KL1" s="2"/>
      <c r="KM1" s="2"/>
      <c r="KN1" s="2"/>
      <c r="KO1" s="2"/>
      <c r="KP1" s="2"/>
      <c r="KQ1" s="2"/>
      <c r="KR1" s="2"/>
      <c r="KS1" s="2"/>
      <c r="KT1" s="2"/>
      <c r="KU1" s="2"/>
      <c r="KV1" s="2"/>
      <c r="KW1" s="2"/>
      <c r="KX1" s="2"/>
      <c r="KY1" s="2"/>
      <c r="KZ1" s="2"/>
      <c r="LA1" s="2"/>
      <c r="LB1" s="2"/>
      <c r="LC1" s="2"/>
      <c r="LD1" s="2"/>
      <c r="LE1" s="2"/>
      <c r="LF1" s="2"/>
      <c r="LG1" s="2"/>
      <c r="LH1" s="2"/>
      <c r="LI1" s="2"/>
      <c r="LJ1" s="2"/>
      <c r="LK1" s="2"/>
      <c r="LL1" s="2"/>
      <c r="LM1" s="2"/>
      <c r="LN1" s="2"/>
      <c r="LO1" s="2"/>
      <c r="LP1" s="2"/>
      <c r="LQ1" s="2"/>
      <c r="LR1" s="2"/>
      <c r="LS1" s="2"/>
      <c r="LT1" s="2"/>
      <c r="LU1" s="2"/>
      <c r="LV1" s="2"/>
      <c r="LW1" s="2"/>
      <c r="LX1" s="2"/>
      <c r="LY1" s="2"/>
      <c r="LZ1" s="2"/>
      <c r="MA1" s="2"/>
      <c r="MB1" s="2"/>
      <c r="MC1" s="2"/>
      <c r="MD1" s="2"/>
      <c r="ME1" s="2"/>
      <c r="MF1" s="2"/>
      <c r="MG1" s="2"/>
      <c r="MH1" s="2"/>
      <c r="MI1" s="2"/>
      <c r="MJ1" s="2"/>
      <c r="MK1" s="2"/>
      <c r="ML1" s="2"/>
      <c r="MM1" s="2"/>
      <c r="MN1" s="2"/>
      <c r="MO1" s="2"/>
      <c r="MP1" s="2"/>
      <c r="MQ1" s="2"/>
      <c r="MR1" s="2"/>
      <c r="MS1" s="2"/>
      <c r="MT1" s="2"/>
      <c r="MU1" s="2"/>
      <c r="MV1" s="2"/>
      <c r="MW1" s="2"/>
      <c r="MX1" s="2"/>
      <c r="MY1" s="2"/>
      <c r="MZ1" s="2"/>
      <c r="NA1" s="2"/>
      <c r="NB1" s="2"/>
      <c r="NC1" s="2"/>
      <c r="ND1" s="2"/>
      <c r="NE1" s="2"/>
      <c r="NF1" s="2"/>
      <c r="NG1" s="2"/>
      <c r="NH1" s="2"/>
      <c r="NI1" s="2"/>
      <c r="NJ1" s="2"/>
      <c r="NK1" s="2"/>
      <c r="NL1" s="2"/>
      <c r="NM1" s="2"/>
      <c r="NN1" s="2"/>
      <c r="NO1" s="2"/>
      <c r="NP1" s="2"/>
      <c r="NQ1" s="2"/>
      <c r="NR1" s="2"/>
      <c r="NS1" s="2"/>
      <c r="NT1" s="2"/>
      <c r="NU1" s="2"/>
      <c r="NV1" s="2"/>
      <c r="NW1" s="2"/>
      <c r="NX1" s="2"/>
      <c r="NY1" s="2"/>
      <c r="NZ1" s="2"/>
      <c r="OA1" s="2"/>
      <c r="OB1" s="2"/>
      <c r="OC1" s="2"/>
      <c r="OD1" s="2"/>
      <c r="OE1" s="2"/>
      <c r="OF1" s="2"/>
      <c r="OG1" s="2"/>
      <c r="OH1" s="2"/>
      <c r="OI1" s="2"/>
      <c r="OJ1" s="2"/>
      <c r="OK1" s="2"/>
      <c r="OL1" s="2"/>
      <c r="OM1" s="2"/>
      <c r="ON1" s="2"/>
      <c r="OO1" s="2"/>
      <c r="OP1" s="2"/>
      <c r="OQ1" s="2"/>
      <c r="OR1" s="2"/>
      <c r="OS1" s="2"/>
      <c r="OT1" s="2"/>
      <c r="OU1" s="2"/>
      <c r="OV1" s="2"/>
      <c r="OW1" s="2"/>
      <c r="OX1" s="2"/>
      <c r="OY1" s="2"/>
      <c r="OZ1" s="2"/>
      <c r="PA1" s="2"/>
      <c r="PB1" s="2"/>
      <c r="PC1" s="2"/>
      <c r="PD1" s="2"/>
      <c r="PE1" s="2"/>
      <c r="PF1" s="2"/>
      <c r="PG1" s="2"/>
      <c r="PH1" s="2"/>
      <c r="PI1" s="2"/>
      <c r="PJ1" s="2"/>
      <c r="PK1" s="2"/>
      <c r="PL1" s="2"/>
      <c r="PM1" s="2"/>
      <c r="PN1" s="2"/>
      <c r="PO1" s="2"/>
      <c r="PP1" s="2"/>
      <c r="PQ1" s="2"/>
      <c r="PR1" s="2"/>
      <c r="PS1" s="2"/>
      <c r="PT1" s="2"/>
      <c r="PU1" s="2"/>
      <c r="PV1" s="2"/>
      <c r="PW1" s="2"/>
      <c r="PX1" s="2"/>
      <c r="PY1" s="2"/>
      <c r="PZ1" s="2"/>
      <c r="QA1" s="2"/>
      <c r="QB1" s="2"/>
      <c r="QC1" s="2"/>
      <c r="QD1" s="2"/>
      <c r="QE1" s="2"/>
      <c r="QF1" s="2"/>
      <c r="QG1" s="2"/>
      <c r="QH1" s="2"/>
      <c r="QI1" s="2"/>
      <c r="QJ1" s="2"/>
      <c r="QK1" s="2"/>
      <c r="QL1" s="2"/>
      <c r="QM1" s="2"/>
      <c r="QN1" s="2"/>
      <c r="QO1" s="2"/>
      <c r="QP1" s="2"/>
      <c r="QQ1" s="2"/>
      <c r="QR1" s="2"/>
      <c r="QS1" s="2"/>
      <c r="QT1" s="2"/>
      <c r="QU1" s="2"/>
      <c r="QV1" s="2"/>
      <c r="QW1" s="2"/>
      <c r="QX1" s="2"/>
      <c r="QY1" s="2"/>
      <c r="QZ1" s="2"/>
      <c r="RA1" s="2"/>
      <c r="RB1" s="2"/>
      <c r="RC1" s="2"/>
      <c r="RD1" s="2"/>
      <c r="RE1" s="2"/>
      <c r="RF1" s="2"/>
      <c r="RG1" s="2"/>
      <c r="RH1" s="2"/>
      <c r="RI1" s="2"/>
      <c r="RJ1" s="2"/>
      <c r="RK1" s="2"/>
      <c r="RL1" s="2"/>
      <c r="RM1" s="2"/>
      <c r="RN1" s="2"/>
      <c r="RO1" s="2"/>
      <c r="RP1" s="2"/>
      <c r="RQ1" s="2"/>
      <c r="RR1" s="2"/>
      <c r="RS1" s="2"/>
      <c r="RT1" s="2"/>
      <c r="RU1" s="2"/>
      <c r="RV1" s="2"/>
      <c r="RW1" s="2"/>
      <c r="RX1" s="2"/>
      <c r="RY1" s="2"/>
      <c r="RZ1" s="2"/>
      <c r="SA1" s="2"/>
      <c r="SB1" s="2"/>
      <c r="SC1" s="2"/>
      <c r="SD1" s="2"/>
      <c r="SE1" s="2"/>
      <c r="SF1" s="2"/>
      <c r="SG1" s="2"/>
      <c r="SH1" s="2"/>
      <c r="SI1" s="2"/>
      <c r="SJ1" s="2"/>
      <c r="SK1" s="2"/>
      <c r="SL1" s="2"/>
      <c r="SM1" s="2"/>
      <c r="SN1" s="2"/>
      <c r="SO1" s="2"/>
      <c r="SP1" s="2"/>
      <c r="SQ1" s="2"/>
      <c r="SR1" s="2"/>
      <c r="SS1" s="2"/>
      <c r="ST1" s="2"/>
      <c r="SU1" s="2"/>
      <c r="SV1" s="2"/>
      <c r="SW1" s="2"/>
      <c r="SX1" s="2"/>
      <c r="SY1" s="2"/>
      <c r="SZ1" s="2"/>
      <c r="TA1" s="2"/>
      <c r="TB1" s="2"/>
      <c r="TC1" s="2"/>
      <c r="TD1" s="2"/>
      <c r="TE1" s="2"/>
      <c r="TF1" s="2"/>
      <c r="TG1" s="2"/>
      <c r="TH1" s="2"/>
      <c r="TI1" s="2"/>
      <c r="TJ1" s="2"/>
      <c r="TK1" s="2"/>
      <c r="TL1" s="2"/>
      <c r="TM1" s="2"/>
      <c r="TN1" s="2"/>
      <c r="TO1" s="2"/>
      <c r="TP1" s="2"/>
      <c r="TQ1" s="2"/>
      <c r="TR1" s="2"/>
      <c r="TS1" s="2"/>
      <c r="TT1" s="2"/>
      <c r="TU1" s="2"/>
      <c r="TV1" s="2"/>
      <c r="TW1" s="2"/>
      <c r="TX1" s="2"/>
      <c r="TY1" s="2"/>
      <c r="TZ1" s="2"/>
      <c r="UA1" s="2"/>
      <c r="UB1" s="2"/>
      <c r="UC1" s="2"/>
      <c r="UD1" s="2"/>
      <c r="UE1" s="2"/>
      <c r="UF1" s="2"/>
      <c r="UG1" s="2"/>
      <c r="UH1" s="2"/>
      <c r="UI1" s="2"/>
      <c r="UJ1" s="2"/>
      <c r="UK1" s="2"/>
      <c r="UL1" s="2"/>
      <c r="UM1" s="2"/>
      <c r="UN1" s="2"/>
      <c r="UO1" s="2"/>
      <c r="UP1" s="2"/>
      <c r="UQ1" s="2"/>
      <c r="UR1" s="2"/>
      <c r="US1" s="2"/>
      <c r="UT1" s="2"/>
      <c r="UU1" s="2"/>
      <c r="UV1" s="2"/>
      <c r="UW1" s="2"/>
      <c r="UX1" s="2"/>
      <c r="UY1" s="2"/>
      <c r="UZ1" s="2"/>
      <c r="VA1" s="2"/>
      <c r="VB1" s="2"/>
      <c r="VC1" s="2"/>
      <c r="VD1" s="2"/>
      <c r="VE1" s="2"/>
      <c r="VF1" s="2"/>
      <c r="VG1" s="2"/>
      <c r="VH1" s="2"/>
      <c r="VI1" s="2"/>
      <c r="VJ1" s="2"/>
      <c r="VK1" s="2"/>
      <c r="VL1" s="2"/>
      <c r="VM1" s="2"/>
      <c r="VN1" s="2"/>
      <c r="VO1" s="2"/>
      <c r="VP1" s="2"/>
      <c r="VQ1" s="2"/>
      <c r="VR1" s="2"/>
      <c r="VS1" s="2"/>
      <c r="VT1" s="2"/>
      <c r="VU1" s="2"/>
      <c r="VV1" s="2"/>
      <c r="VW1" s="2"/>
      <c r="VX1" s="2"/>
      <c r="VY1" s="2"/>
      <c r="VZ1" s="2"/>
      <c r="WA1" s="2"/>
      <c r="WB1" s="2"/>
      <c r="WC1" s="2"/>
      <c r="WD1" s="2"/>
      <c r="WE1" s="2"/>
      <c r="WF1" s="2"/>
      <c r="WG1" s="2"/>
      <c r="WH1" s="2"/>
      <c r="WI1" s="2"/>
      <c r="WJ1" s="2"/>
      <c r="WK1" s="2"/>
      <c r="WL1" s="2"/>
      <c r="WM1" s="2"/>
      <c r="WN1" s="2"/>
      <c r="WO1" s="2"/>
      <c r="WP1" s="2"/>
      <c r="WQ1" s="2"/>
      <c r="WR1" s="2"/>
      <c r="WS1" s="2"/>
      <c r="WT1" s="2"/>
      <c r="WU1" s="2"/>
      <c r="WV1" s="2"/>
      <c r="WW1" s="2"/>
      <c r="WX1" s="2"/>
      <c r="WY1" s="2"/>
      <c r="WZ1" s="2"/>
      <c r="XA1" s="2"/>
      <c r="XB1" s="2"/>
      <c r="XC1" s="2"/>
      <c r="XD1" s="2"/>
      <c r="XE1" s="2"/>
      <c r="XF1" s="2"/>
      <c r="XG1" s="2"/>
      <c r="XH1" s="2"/>
      <c r="XI1" s="2"/>
      <c r="XJ1" s="2"/>
      <c r="XK1" s="2"/>
      <c r="XL1" s="2"/>
      <c r="XM1" s="2"/>
      <c r="XN1" s="2"/>
      <c r="XO1" s="2"/>
      <c r="XP1" s="2"/>
      <c r="XQ1" s="2"/>
      <c r="XR1" s="2"/>
      <c r="XS1" s="2"/>
      <c r="XT1" s="2"/>
      <c r="XU1" s="2"/>
      <c r="XV1" s="2"/>
      <c r="XW1" s="2"/>
      <c r="XX1" s="2"/>
      <c r="XY1" s="2"/>
      <c r="XZ1" s="2"/>
      <c r="YA1" s="2"/>
      <c r="YB1" s="2"/>
      <c r="YC1" s="2"/>
      <c r="YD1" s="2"/>
      <c r="YE1" s="2"/>
      <c r="YF1" s="2"/>
      <c r="YG1" s="2"/>
      <c r="YH1" s="2"/>
      <c r="YI1" s="2"/>
      <c r="YJ1" s="2"/>
      <c r="YK1" s="2"/>
      <c r="YL1" s="2"/>
      <c r="YM1" s="2"/>
      <c r="YN1" s="2"/>
      <c r="YO1" s="2"/>
      <c r="YP1" s="2"/>
      <c r="YQ1" s="2"/>
      <c r="YR1" s="2"/>
      <c r="YS1" s="2"/>
      <c r="YT1" s="2"/>
      <c r="YU1" s="2"/>
      <c r="YV1" s="2"/>
      <c r="YW1" s="2"/>
      <c r="YX1" s="2"/>
      <c r="YY1" s="2"/>
      <c r="YZ1" s="2"/>
      <c r="ZA1" s="2"/>
      <c r="ZB1" s="2"/>
      <c r="ZC1" s="2"/>
      <c r="ZD1" s="2"/>
      <c r="ZE1" s="2"/>
      <c r="ZF1" s="2"/>
      <c r="ZG1" s="2"/>
      <c r="ZH1" s="2"/>
      <c r="ZI1" s="2"/>
      <c r="ZJ1" s="2"/>
      <c r="ZK1" s="2"/>
      <c r="ZL1" s="2"/>
      <c r="ZM1" s="2"/>
      <c r="ZN1" s="2"/>
      <c r="ZO1" s="2"/>
      <c r="ZP1" s="2"/>
      <c r="ZQ1" s="2"/>
      <c r="ZR1" s="2"/>
      <c r="ZS1" s="2"/>
      <c r="ZT1" s="2"/>
      <c r="ZU1" s="2"/>
      <c r="ZV1" s="2"/>
      <c r="ZW1" s="2"/>
      <c r="ZX1" s="2"/>
      <c r="ZY1" s="2"/>
      <c r="ZZ1" s="2"/>
      <c r="AAA1" s="2"/>
      <c r="AAB1" s="2"/>
      <c r="AAC1" s="2"/>
      <c r="AAD1" s="2"/>
      <c r="AAE1" s="2"/>
      <c r="AAF1" s="2"/>
      <c r="AAG1" s="2"/>
      <c r="AAH1" s="2"/>
      <c r="AAI1" s="2"/>
      <c r="AAJ1" s="2"/>
      <c r="AAK1" s="2"/>
      <c r="AAL1" s="2"/>
      <c r="AAM1" s="2"/>
      <c r="AAN1" s="2"/>
      <c r="AAO1" s="2"/>
      <c r="AAP1" s="2"/>
      <c r="AAQ1" s="2"/>
      <c r="AAR1" s="2"/>
      <c r="AAS1" s="2"/>
      <c r="AAT1" s="2"/>
      <c r="AAU1" s="2"/>
      <c r="AAV1" s="2"/>
      <c r="AAW1" s="2"/>
      <c r="AAX1" s="2"/>
      <c r="AAY1" s="2"/>
      <c r="AAZ1" s="2"/>
      <c r="ABA1" s="2"/>
      <c r="ABB1" s="2"/>
      <c r="ABC1" s="2"/>
      <c r="ABD1" s="2"/>
      <c r="ABE1" s="2"/>
      <c r="ABF1" s="2"/>
      <c r="ABG1" s="2"/>
      <c r="ABH1" s="2"/>
      <c r="ABI1" s="2"/>
      <c r="ABJ1" s="2"/>
      <c r="ABK1" s="2"/>
      <c r="ABL1" s="2"/>
      <c r="ABM1" s="2"/>
      <c r="ABN1" s="2"/>
      <c r="ABO1" s="2"/>
      <c r="ABP1" s="2"/>
      <c r="ABQ1" s="2"/>
      <c r="ABR1" s="2"/>
      <c r="ABS1" s="2"/>
      <c r="ABT1" s="2"/>
      <c r="ABU1" s="2"/>
      <c r="ABV1" s="2"/>
      <c r="ABW1" s="2"/>
      <c r="ABX1" s="2"/>
      <c r="ABY1" s="2"/>
      <c r="ABZ1" s="2"/>
      <c r="ACA1" s="2"/>
      <c r="ACB1" s="2"/>
      <c r="ACC1" s="2"/>
      <c r="ACD1" s="2"/>
      <c r="ACE1" s="2"/>
      <c r="ACF1" s="2"/>
      <c r="ACG1" s="2"/>
      <c r="ACH1" s="2"/>
      <c r="ACI1" s="2"/>
      <c r="ACJ1" s="2"/>
      <c r="ACK1" s="2"/>
      <c r="ACL1" s="2"/>
      <c r="ACM1" s="2"/>
      <c r="ACN1" s="2"/>
      <c r="ACO1" s="2"/>
      <c r="ACP1" s="2"/>
      <c r="ACQ1" s="2"/>
      <c r="ACR1" s="2"/>
      <c r="ACS1" s="2"/>
      <c r="ACT1" s="2"/>
      <c r="ACU1" s="2"/>
      <c r="ACV1" s="2"/>
      <c r="ACW1" s="2"/>
      <c r="ACX1" s="2"/>
      <c r="ACY1" s="2"/>
      <c r="ACZ1" s="2"/>
      <c r="ADA1" s="2"/>
      <c r="ADB1" s="2"/>
      <c r="ADC1" s="2"/>
      <c r="ADD1" s="2"/>
      <c r="ADE1" s="2"/>
      <c r="ADF1" s="2"/>
      <c r="ADG1" s="2"/>
      <c r="ADH1" s="2"/>
      <c r="ADI1" s="2"/>
      <c r="ADJ1" s="2"/>
      <c r="ADK1" s="2"/>
      <c r="ADL1" s="2"/>
      <c r="ADM1" s="2"/>
      <c r="ADN1" s="2"/>
      <c r="ADO1" s="2"/>
      <c r="ADP1" s="2"/>
      <c r="ADQ1" s="2"/>
      <c r="ADR1" s="2"/>
      <c r="ADS1" s="2"/>
      <c r="ADT1" s="2"/>
      <c r="ADU1" s="2"/>
      <c r="ADV1" s="2"/>
      <c r="ADW1" s="2"/>
      <c r="ADX1" s="2"/>
      <c r="ADY1" s="2"/>
      <c r="ADZ1" s="2"/>
      <c r="AEA1" s="2"/>
      <c r="AEB1" s="2"/>
      <c r="AEC1" s="2"/>
      <c r="AED1" s="2"/>
      <c r="AEE1" s="2"/>
      <c r="AEF1" s="2"/>
      <c r="AEG1" s="2"/>
      <c r="AEH1" s="2"/>
      <c r="AEI1" s="2"/>
      <c r="AEJ1" s="2"/>
      <c r="AEK1" s="2"/>
      <c r="AEL1" s="2"/>
      <c r="AEM1" s="2"/>
      <c r="AEN1" s="2"/>
      <c r="AEO1" s="2"/>
      <c r="AEP1" s="2"/>
      <c r="AEQ1" s="2"/>
      <c r="AER1" s="2"/>
      <c r="AES1" s="2"/>
      <c r="AET1" s="2"/>
      <c r="AEU1" s="2"/>
      <c r="AEV1" s="2"/>
      <c r="AEW1" s="2"/>
      <c r="AEX1" s="2"/>
      <c r="AEY1" s="2"/>
      <c r="AEZ1" s="2"/>
      <c r="AFA1" s="2"/>
      <c r="AFB1" s="2"/>
      <c r="AFC1" s="2"/>
      <c r="AFD1" s="2"/>
      <c r="AFE1" s="2"/>
      <c r="AFF1" s="2"/>
      <c r="AFG1" s="2"/>
      <c r="AFH1" s="2"/>
      <c r="AFI1" s="2"/>
      <c r="AFJ1" s="2"/>
      <c r="AFK1" s="2"/>
      <c r="AFL1" s="2"/>
      <c r="AFM1" s="2"/>
      <c r="AFN1" s="2"/>
      <c r="AFO1" s="2"/>
      <c r="AFP1" s="2"/>
      <c r="AFQ1" s="2"/>
      <c r="AFR1" s="2"/>
      <c r="AFS1" s="2"/>
      <c r="AFT1" s="2"/>
      <c r="AFU1" s="2"/>
      <c r="AFV1" s="2"/>
      <c r="AFW1" s="2"/>
      <c r="AFX1" s="2"/>
      <c r="AFY1" s="2"/>
      <c r="AFZ1" s="2"/>
      <c r="AGA1" s="2"/>
      <c r="AGB1" s="2"/>
      <c r="AGC1" s="2"/>
      <c r="AGD1" s="2"/>
      <c r="AGE1" s="2"/>
      <c r="AGF1" s="2"/>
      <c r="AGG1" s="2"/>
      <c r="AGH1" s="2"/>
      <c r="AGI1" s="2"/>
      <c r="AGJ1" s="2"/>
      <c r="AGK1" s="2"/>
      <c r="AGL1" s="2"/>
      <c r="AGM1" s="2"/>
      <c r="AGN1" s="2"/>
      <c r="AGO1" s="2"/>
      <c r="AGP1" s="2"/>
      <c r="AGQ1" s="2"/>
      <c r="AGR1" s="2"/>
      <c r="AGS1" s="2"/>
      <c r="AGT1" s="2"/>
      <c r="AGU1" s="2"/>
      <c r="AGV1" s="2"/>
      <c r="AGW1" s="2"/>
      <c r="AGX1" s="2"/>
      <c r="AGY1" s="2"/>
      <c r="AGZ1" s="2"/>
      <c r="AHA1" s="2"/>
      <c r="AHB1" s="2"/>
      <c r="AHC1" s="2"/>
      <c r="AHD1" s="2"/>
      <c r="AHE1" s="2"/>
      <c r="AHF1" s="2"/>
      <c r="AHG1" s="2"/>
      <c r="AHH1" s="2"/>
      <c r="AHI1" s="2"/>
      <c r="AHJ1" s="2"/>
      <c r="AHK1" s="2"/>
      <c r="AHL1" s="2"/>
      <c r="AHM1" s="2"/>
      <c r="AHN1" s="2"/>
      <c r="AHO1" s="2"/>
      <c r="AHP1" s="2"/>
      <c r="AHQ1" s="2"/>
      <c r="AHR1" s="2"/>
      <c r="AHS1" s="2"/>
      <c r="AHT1" s="2"/>
      <c r="AHU1" s="2"/>
      <c r="AHV1" s="2"/>
      <c r="AHW1" s="2"/>
      <c r="AHX1" s="2"/>
      <c r="AHY1" s="2"/>
      <c r="AHZ1" s="2"/>
      <c r="AIA1" s="2"/>
      <c r="AIB1" s="2"/>
      <c r="AIC1" s="2"/>
      <c r="AID1" s="2"/>
      <c r="AIE1" s="2"/>
      <c r="AIF1" s="2"/>
      <c r="AIG1" s="2"/>
      <c r="AIH1" s="2"/>
      <c r="AII1" s="2"/>
      <c r="AIJ1" s="2"/>
      <c r="AIK1" s="2"/>
      <c r="AIL1" s="2"/>
      <c r="AIM1" s="2"/>
      <c r="AIN1" s="2"/>
      <c r="AIO1" s="2"/>
      <c r="AIP1" s="2"/>
      <c r="AIQ1" s="2"/>
      <c r="AIR1" s="2"/>
      <c r="AIS1" s="2"/>
      <c r="AIT1" s="2"/>
      <c r="AIU1" s="2"/>
      <c r="AIV1" s="2"/>
      <c r="AIW1" s="2"/>
      <c r="AIX1" s="2"/>
      <c r="AIY1" s="2"/>
      <c r="AIZ1" s="2"/>
      <c r="AJA1" s="2"/>
      <c r="AJB1" s="2"/>
      <c r="AJC1" s="2"/>
      <c r="AJD1" s="2"/>
      <c r="AJE1" s="2"/>
      <c r="AJF1" s="2"/>
      <c r="AJG1" s="2"/>
      <c r="AJH1" s="2"/>
      <c r="AJI1" s="2"/>
      <c r="AJJ1" s="2"/>
      <c r="AJK1" s="2"/>
      <c r="AJL1" s="2"/>
      <c r="AJM1" s="2"/>
      <c r="AJN1" s="2"/>
      <c r="AJO1" s="2"/>
      <c r="AJP1" s="2"/>
      <c r="AJQ1" s="2"/>
      <c r="AJR1" s="2"/>
      <c r="AJS1" s="2"/>
      <c r="AJT1" s="2"/>
      <c r="AJU1" s="2"/>
      <c r="AJV1" s="2"/>
      <c r="AJW1" s="2"/>
      <c r="AJX1" s="2"/>
      <c r="AJY1" s="2"/>
      <c r="AJZ1" s="2"/>
      <c r="AKA1" s="2"/>
      <c r="AKB1" s="2"/>
      <c r="AKC1" s="2"/>
      <c r="AKD1" s="2"/>
      <c r="AKE1" s="2"/>
      <c r="AKF1" s="2"/>
      <c r="AKG1" s="2"/>
      <c r="AKH1" s="2"/>
      <c r="AKI1" s="2"/>
      <c r="AKJ1" s="2"/>
      <c r="AKK1" s="2"/>
      <c r="AKL1" s="2"/>
      <c r="AKM1" s="2"/>
      <c r="AKN1" s="2"/>
      <c r="AKO1" s="2"/>
      <c r="AKP1" s="2"/>
      <c r="AKQ1" s="2"/>
      <c r="AKR1" s="2"/>
      <c r="AKS1" s="2"/>
      <c r="AKT1" s="2"/>
      <c r="AKU1" s="2"/>
      <c r="AKV1" s="2"/>
      <c r="AKW1" s="2"/>
      <c r="AKX1" s="2"/>
      <c r="AKY1" s="2"/>
      <c r="AKZ1" s="2"/>
      <c r="ALA1" s="2"/>
      <c r="ALB1" s="2"/>
      <c r="ALC1" s="2"/>
      <c r="ALD1" s="2"/>
      <c r="ALE1" s="2"/>
      <c r="ALF1" s="2"/>
      <c r="ALG1" s="2"/>
      <c r="ALH1" s="2"/>
      <c r="ALI1" s="2"/>
      <c r="ALJ1" s="2"/>
      <c r="ALK1" s="2"/>
      <c r="ALL1" s="2"/>
      <c r="ALM1" s="2"/>
      <c r="ALN1" s="2"/>
      <c r="ALO1" s="2"/>
      <c r="ALP1" s="2"/>
      <c r="ALQ1" s="2"/>
      <c r="ALR1" s="2"/>
      <c r="ALS1" s="2"/>
      <c r="ALT1" s="2"/>
      <c r="ALU1" s="2"/>
      <c r="ALV1" s="2"/>
      <c r="ALW1" s="2"/>
      <c r="ALX1" s="2"/>
      <c r="ALY1" s="2"/>
      <c r="ALZ1" s="2"/>
      <c r="AMA1" s="2"/>
      <c r="AMB1" s="2"/>
      <c r="AMC1" s="2"/>
      <c r="AMD1" s="2"/>
      <c r="AME1" s="2"/>
      <c r="AMF1" s="2"/>
      <c r="AMG1" s="2"/>
      <c r="AMH1" s="2"/>
      <c r="AMI1" s="2"/>
      <c r="AMJ1" s="2"/>
    </row>
    <row r="2" spans="1:1024" ht="19.149999999999999" thickBot="1" x14ac:dyDescent="0.55000000000000004">
      <c r="A2" s="127" t="s">
        <v>180</v>
      </c>
      <c r="F2" s="127" t="s">
        <v>1</v>
      </c>
      <c r="L2" s="128" t="s">
        <v>179</v>
      </c>
      <c r="M2" s="4"/>
      <c r="N2" s="4"/>
      <c r="O2" s="4"/>
      <c r="P2" s="4" t="s">
        <v>2</v>
      </c>
      <c r="Q2" s="129">
        <v>0.89</v>
      </c>
      <c r="R2" s="5" t="s">
        <v>3</v>
      </c>
    </row>
    <row r="3" spans="1:1024" ht="16.149999999999999" thickTop="1" x14ac:dyDescent="0.5">
      <c r="A3" s="6" t="s">
        <v>4</v>
      </c>
      <c r="B3" s="111" t="s">
        <v>181</v>
      </c>
      <c r="C3" s="7"/>
      <c r="E3" s="8" t="s">
        <v>5</v>
      </c>
      <c r="F3" s="111">
        <v>1</v>
      </c>
      <c r="G3" s="9"/>
      <c r="H3" s="9"/>
      <c r="L3" s="10" t="s">
        <v>6</v>
      </c>
      <c r="M3" s="11"/>
      <c r="N3" s="11"/>
      <c r="O3" s="11"/>
      <c r="P3" s="111">
        <v>1</v>
      </c>
      <c r="Q3" s="111">
        <v>50</v>
      </c>
      <c r="R3" s="12" t="s">
        <v>7</v>
      </c>
    </row>
    <row r="4" spans="1:1024" ht="13.15" x14ac:dyDescent="0.4">
      <c r="A4" s="7" t="s">
        <v>8</v>
      </c>
      <c r="B4" s="144">
        <v>46013</v>
      </c>
      <c r="C4" s="7"/>
      <c r="E4" s="8" t="s">
        <v>9</v>
      </c>
      <c r="F4" s="9">
        <v>0.86799999999999999</v>
      </c>
      <c r="G4" s="9"/>
      <c r="H4" s="9"/>
      <c r="L4" s="13" t="s">
        <v>10</v>
      </c>
      <c r="M4" s="14" t="s">
        <v>11</v>
      </c>
      <c r="N4" s="14" t="s">
        <v>12</v>
      </c>
      <c r="O4" s="14" t="s">
        <v>13</v>
      </c>
      <c r="P4" s="14" t="s">
        <v>14</v>
      </c>
      <c r="Q4" s="14" t="s">
        <v>15</v>
      </c>
      <c r="R4" s="12"/>
    </row>
    <row r="5" spans="1:1024" ht="13.15" x14ac:dyDescent="0.4">
      <c r="A5" s="7" t="s">
        <v>16</v>
      </c>
      <c r="B5" s="111" t="s">
        <v>17</v>
      </c>
      <c r="C5" s="7"/>
      <c r="L5" s="15">
        <v>1.5</v>
      </c>
      <c r="M5" s="16">
        <v>67392.070000000007</v>
      </c>
      <c r="N5" s="16"/>
      <c r="O5" s="16">
        <v>67392.070000000007</v>
      </c>
      <c r="P5" s="16">
        <f>O5*P$3</f>
        <v>67392.070000000007</v>
      </c>
      <c r="Q5" s="16">
        <f>P5*Q$2*Q$3</f>
        <v>2998947.1150000007</v>
      </c>
      <c r="R5" s="12"/>
    </row>
    <row r="6" spans="1:1024" ht="13.15" x14ac:dyDescent="0.4">
      <c r="A6" s="7" t="s">
        <v>18</v>
      </c>
      <c r="B6" s="111" t="s">
        <v>123</v>
      </c>
      <c r="C6" s="17"/>
      <c r="E6" s="11" t="s">
        <v>19</v>
      </c>
      <c r="F6" s="14" t="s">
        <v>20</v>
      </c>
      <c r="G6" s="14" t="s">
        <v>21</v>
      </c>
      <c r="H6" s="14" t="s">
        <v>22</v>
      </c>
      <c r="I6" s="14" t="s">
        <v>23</v>
      </c>
      <c r="L6" s="15">
        <v>2</v>
      </c>
      <c r="M6" s="16">
        <v>41165</v>
      </c>
      <c r="N6" s="16"/>
      <c r="O6" s="16">
        <v>41165</v>
      </c>
      <c r="P6" s="16">
        <f t="shared" ref="P6:P34" si="0">O6*P$3</f>
        <v>41165</v>
      </c>
      <c r="Q6" s="16">
        <f t="shared" ref="Q6:Q34" si="1">P6*Q$2*Q$3</f>
        <v>1831842.5</v>
      </c>
      <c r="R6" s="12"/>
    </row>
    <row r="7" spans="1:1024" ht="13.15" x14ac:dyDescent="0.4">
      <c r="A7" s="7" t="s">
        <v>24</v>
      </c>
      <c r="B7" s="111" t="s">
        <v>124</v>
      </c>
      <c r="C7" s="7"/>
      <c r="E7" s="8" t="s">
        <v>25</v>
      </c>
      <c r="F7" s="9">
        <f>$F3*$F4*100</f>
        <v>86.8</v>
      </c>
      <c r="G7" s="9">
        <f>$F3*$F4*100</f>
        <v>86.8</v>
      </c>
      <c r="H7" s="9">
        <f>$F3*$F4*100</f>
        <v>86.8</v>
      </c>
      <c r="I7" s="9">
        <f>$F3*$F4*100</f>
        <v>86.8</v>
      </c>
      <c r="L7" s="15">
        <v>3</v>
      </c>
      <c r="M7" s="16">
        <v>17975.47</v>
      </c>
      <c r="N7" s="16">
        <v>17634.099999999999</v>
      </c>
      <c r="O7" s="16">
        <v>17975.47</v>
      </c>
      <c r="P7" s="16">
        <f t="shared" si="0"/>
        <v>17975.47</v>
      </c>
      <c r="Q7" s="16">
        <f t="shared" si="1"/>
        <v>799908.41500000004</v>
      </c>
      <c r="R7" s="12"/>
    </row>
    <row r="8" spans="1:1024" ht="13.15" x14ac:dyDescent="0.4">
      <c r="A8" s="7" t="s">
        <v>26</v>
      </c>
      <c r="B8" s="111" t="s">
        <v>123</v>
      </c>
      <c r="C8" s="7"/>
      <c r="E8" s="8" t="s">
        <v>27</v>
      </c>
      <c r="F8" s="111">
        <v>26.08</v>
      </c>
      <c r="G8" s="111">
        <v>26.08</v>
      </c>
      <c r="H8" s="111">
        <v>26.11</v>
      </c>
      <c r="I8" s="111">
        <v>26.16</v>
      </c>
      <c r="L8" s="15">
        <v>4</v>
      </c>
      <c r="M8" s="16">
        <v>10898.56</v>
      </c>
      <c r="N8" s="16">
        <v>10750.3</v>
      </c>
      <c r="O8" s="16">
        <v>10898.56</v>
      </c>
      <c r="P8" s="16">
        <f t="shared" si="0"/>
        <v>10898.56</v>
      </c>
      <c r="Q8" s="16">
        <f t="shared" si="1"/>
        <v>484985.92</v>
      </c>
      <c r="R8" s="12"/>
    </row>
    <row r="9" spans="1:1024" ht="13.15" x14ac:dyDescent="0.4">
      <c r="A9" s="7" t="s">
        <v>28</v>
      </c>
      <c r="B9" s="111" t="s">
        <v>124</v>
      </c>
      <c r="C9" s="7"/>
      <c r="E9" s="18" t="s">
        <v>29</v>
      </c>
      <c r="F9" s="19">
        <f>(1/$F$3-1)*F8</f>
        <v>0</v>
      </c>
      <c r="G9" s="19">
        <f>(1/$F$3-1)*G8</f>
        <v>0</v>
      </c>
      <c r="H9" s="19">
        <f>(1/$F$3-1)*H8</f>
        <v>0</v>
      </c>
      <c r="I9" s="19">
        <f>(1/$F$3-1)*I8</f>
        <v>0</v>
      </c>
      <c r="L9" s="15">
        <v>5</v>
      </c>
      <c r="M9" s="16">
        <v>6986.32</v>
      </c>
      <c r="N9" s="16">
        <v>7121.1</v>
      </c>
      <c r="O9" s="16">
        <v>6986.32</v>
      </c>
      <c r="P9" s="16">
        <f t="shared" si="0"/>
        <v>6986.32</v>
      </c>
      <c r="Q9" s="16">
        <f t="shared" si="1"/>
        <v>310891.24</v>
      </c>
      <c r="R9" s="12"/>
    </row>
    <row r="10" spans="1:1024" ht="13.15" x14ac:dyDescent="0.4">
      <c r="A10" s="17" t="s">
        <v>30</v>
      </c>
      <c r="B10" s="111" t="s">
        <v>31</v>
      </c>
      <c r="C10" s="7"/>
      <c r="E10" s="8" t="s">
        <v>32</v>
      </c>
      <c r="F10" s="111">
        <v>61</v>
      </c>
      <c r="G10" s="111">
        <v>61.18</v>
      </c>
      <c r="H10" s="111">
        <v>61.2</v>
      </c>
      <c r="I10" s="111">
        <v>61.09</v>
      </c>
      <c r="L10" s="15">
        <v>6</v>
      </c>
      <c r="M10" s="16">
        <v>4679.6499999999996</v>
      </c>
      <c r="N10" s="16">
        <v>4729.1000000000004</v>
      </c>
      <c r="O10" s="16">
        <v>4679.6499999999996</v>
      </c>
      <c r="P10" s="16">
        <f t="shared" si="0"/>
        <v>4679.6499999999996</v>
      </c>
      <c r="Q10" s="16">
        <f t="shared" si="1"/>
        <v>208244.42499999999</v>
      </c>
      <c r="R10" s="12"/>
    </row>
    <row r="11" spans="1:1024" ht="13.9" x14ac:dyDescent="0.4">
      <c r="B11" s="20"/>
      <c r="E11" s="8" t="s">
        <v>33</v>
      </c>
      <c r="F11" s="110">
        <f>IF($F3=1, 1, F8/(F8+F10))</f>
        <v>1</v>
      </c>
      <c r="G11" s="110">
        <f>IF($F3=1, 1, G8/(G8+G10))</f>
        <v>1</v>
      </c>
      <c r="H11" s="110">
        <f>IF($F3=1, 1, H8/(H8+H10))</f>
        <v>1</v>
      </c>
      <c r="I11" s="110">
        <f>IF($F3=1, 1, I8/(I8+I10))</f>
        <v>1</v>
      </c>
      <c r="L11" s="15">
        <v>7</v>
      </c>
      <c r="M11" s="16">
        <v>3163.23</v>
      </c>
      <c r="N11" s="16">
        <v>3199.3</v>
      </c>
      <c r="O11" s="16">
        <v>3163.23</v>
      </c>
      <c r="P11" s="16">
        <f t="shared" si="0"/>
        <v>3163.23</v>
      </c>
      <c r="Q11" s="16">
        <f t="shared" si="1"/>
        <v>140763.73499999999</v>
      </c>
      <c r="R11" s="12"/>
    </row>
    <row r="12" spans="1:1024" ht="13.15" x14ac:dyDescent="0.4">
      <c r="A12" s="7" t="s">
        <v>34</v>
      </c>
      <c r="B12" s="111">
        <v>80</v>
      </c>
      <c r="C12" s="7"/>
      <c r="L12" s="15">
        <v>8</v>
      </c>
      <c r="M12" s="16">
        <v>2175.4699999999998</v>
      </c>
      <c r="N12" s="16">
        <v>2280.6</v>
      </c>
      <c r="O12" s="16">
        <v>2175.4699999999998</v>
      </c>
      <c r="P12" s="16">
        <f t="shared" si="0"/>
        <v>2175.4699999999998</v>
      </c>
      <c r="Q12" s="16">
        <f t="shared" si="1"/>
        <v>96808.414999999994</v>
      </c>
      <c r="R12" s="12"/>
    </row>
    <row r="13" spans="1:1024" hidden="1" x14ac:dyDescent="0.35">
      <c r="B13" s="20"/>
      <c r="L13" s="21">
        <v>9</v>
      </c>
      <c r="M13" s="16">
        <v>1512.11</v>
      </c>
      <c r="N13" s="16">
        <v>1615</v>
      </c>
      <c r="O13" s="16">
        <v>1512.11</v>
      </c>
      <c r="P13" s="16">
        <f t="shared" si="0"/>
        <v>1512.11</v>
      </c>
      <c r="Q13" s="16">
        <f t="shared" si="1"/>
        <v>67288.89499999999</v>
      </c>
      <c r="R13" s="12"/>
    </row>
    <row r="14" spans="1:1024" x14ac:dyDescent="0.35">
      <c r="A14" t="s">
        <v>35</v>
      </c>
      <c r="B14" s="145">
        <f>B12*1.5</f>
        <v>120</v>
      </c>
      <c r="L14" s="15">
        <v>10</v>
      </c>
      <c r="M14" s="16">
        <v>1079.78</v>
      </c>
      <c r="N14" s="16">
        <v>1130.5</v>
      </c>
      <c r="O14" s="16">
        <v>1079.78</v>
      </c>
      <c r="P14" s="16">
        <f t="shared" si="0"/>
        <v>1079.78</v>
      </c>
      <c r="Q14" s="16">
        <f t="shared" si="1"/>
        <v>48050.21</v>
      </c>
      <c r="R14" s="12"/>
    </row>
    <row r="15" spans="1:1024" ht="13.15" x14ac:dyDescent="0.4">
      <c r="A15" t="s">
        <v>36</v>
      </c>
      <c r="B15" s="111">
        <v>16000</v>
      </c>
      <c r="L15" s="15">
        <v>11</v>
      </c>
      <c r="M15" s="16">
        <v>786.62</v>
      </c>
      <c r="N15" s="16">
        <v>816.2</v>
      </c>
      <c r="O15" s="16">
        <v>786.62</v>
      </c>
      <c r="P15" s="16">
        <f t="shared" si="0"/>
        <v>786.62</v>
      </c>
      <c r="Q15" s="16">
        <f t="shared" si="1"/>
        <v>35004.590000000004</v>
      </c>
      <c r="R15" s="12"/>
    </row>
    <row r="16" spans="1:1024" x14ac:dyDescent="0.35">
      <c r="A16" t="s">
        <v>37</v>
      </c>
      <c r="B16" s="146">
        <f>10^((LOG(B15)-LOG(B14))/(30-1))</f>
        <v>1.1837874992800483</v>
      </c>
      <c r="L16" s="15">
        <v>12</v>
      </c>
      <c r="M16" s="16">
        <v>586.05999999999995</v>
      </c>
      <c r="N16" s="16">
        <v>618.6</v>
      </c>
      <c r="O16" s="16">
        <v>586.05999999999995</v>
      </c>
      <c r="P16" s="16">
        <f t="shared" si="0"/>
        <v>586.05999999999995</v>
      </c>
      <c r="Q16" s="16">
        <f t="shared" si="1"/>
        <v>26079.67</v>
      </c>
      <c r="R16" s="12"/>
    </row>
    <row r="17" spans="1:18" ht="13.15" x14ac:dyDescent="0.4">
      <c r="A17" t="s">
        <v>182</v>
      </c>
      <c r="B17" s="111">
        <v>300</v>
      </c>
      <c r="C17" s="49">
        <f>1+B17/1000</f>
        <v>1.3</v>
      </c>
      <c r="D17" s="145" t="s">
        <v>184</v>
      </c>
      <c r="L17" s="15">
        <v>13</v>
      </c>
      <c r="M17" s="16">
        <v>449.93</v>
      </c>
      <c r="N17" s="16">
        <v>481.9</v>
      </c>
      <c r="O17" s="16">
        <v>449.93</v>
      </c>
      <c r="P17" s="16">
        <f t="shared" si="0"/>
        <v>449.93</v>
      </c>
      <c r="Q17" s="16">
        <f t="shared" si="1"/>
        <v>20021.885000000002</v>
      </c>
      <c r="R17" s="12"/>
    </row>
    <row r="18" spans="1:18" ht="13.5" thickBot="1" x14ac:dyDescent="0.45">
      <c r="A18" t="s">
        <v>183</v>
      </c>
      <c r="B18" s="111">
        <v>492</v>
      </c>
      <c r="C18" s="49">
        <f>1+B18/1000</f>
        <v>1.492</v>
      </c>
      <c r="D18" s="147">
        <f>C17/C18</f>
        <v>0.87131367292225204</v>
      </c>
      <c r="L18" s="15">
        <v>14</v>
      </c>
      <c r="M18" s="16">
        <v>352.62</v>
      </c>
      <c r="N18" s="16">
        <v>384.7</v>
      </c>
      <c r="O18" s="16">
        <v>352.62</v>
      </c>
      <c r="P18" s="16">
        <f t="shared" si="0"/>
        <v>352.62</v>
      </c>
      <c r="Q18" s="16">
        <f t="shared" si="1"/>
        <v>15691.59</v>
      </c>
      <c r="R18" s="12"/>
    </row>
    <row r="19" spans="1:18" x14ac:dyDescent="0.35">
      <c r="L19" s="15">
        <v>15</v>
      </c>
      <c r="M19" s="16">
        <v>282.04000000000002</v>
      </c>
      <c r="N19" s="16">
        <v>314.60000000000002</v>
      </c>
      <c r="O19" s="16">
        <v>282.04000000000002</v>
      </c>
      <c r="P19" s="16">
        <f t="shared" si="0"/>
        <v>282.04000000000002</v>
      </c>
      <c r="Q19" s="16">
        <f t="shared" si="1"/>
        <v>12550.780000000002</v>
      </c>
      <c r="R19" s="12"/>
    </row>
    <row r="20" spans="1:18" x14ac:dyDescent="0.35">
      <c r="G20" t="s">
        <v>178</v>
      </c>
      <c r="L20" s="15">
        <v>16</v>
      </c>
      <c r="M20" s="16">
        <v>229.42</v>
      </c>
      <c r="N20" s="16">
        <v>261.8</v>
      </c>
      <c r="O20" s="16">
        <v>229.42</v>
      </c>
      <c r="P20" s="16">
        <f t="shared" si="0"/>
        <v>229.42</v>
      </c>
      <c r="Q20" s="16">
        <f t="shared" si="1"/>
        <v>10209.189999999999</v>
      </c>
      <c r="R20" s="12"/>
    </row>
    <row r="21" spans="1:18" ht="13.15" thickBot="1" x14ac:dyDescent="0.4">
      <c r="A21" s="11" t="s">
        <v>38</v>
      </c>
      <c r="B21" s="120" t="s">
        <v>39</v>
      </c>
      <c r="C21" s="120" t="s">
        <v>40</v>
      </c>
      <c r="D21" s="120" t="s">
        <v>41</v>
      </c>
      <c r="G21" s="11" t="s">
        <v>177</v>
      </c>
      <c r="H21" s="11" t="str">
        <f>B21</f>
        <v>Initial Value</v>
      </c>
      <c r="I21" s="11" t="s">
        <v>174</v>
      </c>
      <c r="L21" s="15">
        <v>17</v>
      </c>
      <c r="M21" s="16">
        <v>186.1</v>
      </c>
      <c r="N21" s="16">
        <v>221.2</v>
      </c>
      <c r="O21" s="16">
        <v>186.1</v>
      </c>
      <c r="P21" s="16">
        <f t="shared" si="0"/>
        <v>186.1</v>
      </c>
      <c r="Q21" s="16">
        <f t="shared" si="1"/>
        <v>8281.4499999999989</v>
      </c>
      <c r="R21" s="12"/>
    </row>
    <row r="22" spans="1:18" x14ac:dyDescent="0.35">
      <c r="A22">
        <v>4</v>
      </c>
      <c r="B22" s="86">
        <f>B12*1.5</f>
        <v>120</v>
      </c>
      <c r="C22" s="88">
        <f t="shared" ref="C22:C51" si="2">INT($B22+0.5)</f>
        <v>120</v>
      </c>
      <c r="D22" s="88">
        <f t="shared" ref="D22:D50" si="3">D23*B$16</f>
        <v>16000.000000000053</v>
      </c>
      <c r="E22" s="11"/>
      <c r="F22" s="121">
        <f>'6 - Curve'!C5</f>
        <v>4</v>
      </c>
      <c r="G22" s="122">
        <f>'6 - Curve'!D5</f>
        <v>120.09349087121291</v>
      </c>
      <c r="H22" s="88">
        <f t="shared" ref="H22:H51" si="4">B22</f>
        <v>120</v>
      </c>
      <c r="I22" s="119">
        <f t="shared" ref="I22:I51" si="5">CubicSpline(B22,$G$22:$G$51, $F$22:$F$51)</f>
        <v>0</v>
      </c>
      <c r="L22" s="15">
        <v>18</v>
      </c>
      <c r="M22" s="16">
        <v>153.87</v>
      </c>
      <c r="N22" s="16">
        <v>188.7</v>
      </c>
      <c r="O22" s="16">
        <v>153.87</v>
      </c>
      <c r="P22" s="16">
        <f t="shared" si="0"/>
        <v>153.87</v>
      </c>
      <c r="Q22" s="16">
        <f t="shared" si="1"/>
        <v>6847.2150000000001</v>
      </c>
      <c r="R22" s="12"/>
    </row>
    <row r="23" spans="1:18" x14ac:dyDescent="0.35">
      <c r="A23">
        <v>5</v>
      </c>
      <c r="B23" s="86">
        <f t="shared" ref="B23:B51" si="6">B22*B$16</f>
        <v>142.05449991360581</v>
      </c>
      <c r="C23" s="88">
        <f t="shared" si="2"/>
        <v>142</v>
      </c>
      <c r="D23" s="88">
        <f t="shared" si="3"/>
        <v>13515.939313205179</v>
      </c>
      <c r="F23" s="123">
        <f>'6 - Curve'!C6</f>
        <v>5</v>
      </c>
      <c r="G23" s="124">
        <f>'6 - Curve'!D6</f>
        <v>206.29024422435066</v>
      </c>
      <c r="H23" s="88">
        <f t="shared" si="4"/>
        <v>142.05449991360581</v>
      </c>
      <c r="I23" s="119">
        <f t="shared" si="5"/>
        <v>4.2766487484234705</v>
      </c>
      <c r="L23" s="15">
        <v>19</v>
      </c>
      <c r="M23" s="16">
        <v>128.62</v>
      </c>
      <c r="N23" s="16">
        <v>161</v>
      </c>
      <c r="O23" s="16">
        <v>128.62</v>
      </c>
      <c r="P23" s="16">
        <f t="shared" si="0"/>
        <v>128.62</v>
      </c>
      <c r="Q23" s="16">
        <f t="shared" si="1"/>
        <v>5723.59</v>
      </c>
      <c r="R23" s="12"/>
    </row>
    <row r="24" spans="1:18" x14ac:dyDescent="0.35">
      <c r="A24">
        <v>6</v>
      </c>
      <c r="B24" s="86">
        <f t="shared" si="6"/>
        <v>168.16234121420527</v>
      </c>
      <c r="C24" s="88">
        <f t="shared" si="2"/>
        <v>168</v>
      </c>
      <c r="D24" s="88">
        <f t="shared" si="3"/>
        <v>11417.538469890293</v>
      </c>
      <c r="F24" s="123">
        <f>'6 - Curve'!C7</f>
        <v>6</v>
      </c>
      <c r="G24" s="124">
        <f>'6 - Curve'!D7</f>
        <v>331.25798092741627</v>
      </c>
      <c r="H24" s="88">
        <f t="shared" si="4"/>
        <v>168.16234121420527</v>
      </c>
      <c r="I24" s="119">
        <f t="shared" si="5"/>
        <v>4.5929382730219901</v>
      </c>
      <c r="L24" s="15">
        <v>20</v>
      </c>
      <c r="M24" s="16">
        <v>107.35</v>
      </c>
      <c r="N24" s="16">
        <v>136.4</v>
      </c>
      <c r="O24" s="16">
        <v>107.35</v>
      </c>
      <c r="P24" s="16">
        <f t="shared" si="0"/>
        <v>107.35</v>
      </c>
      <c r="Q24" s="16">
        <f t="shared" si="1"/>
        <v>4777.0749999999998</v>
      </c>
      <c r="R24" s="12"/>
    </row>
    <row r="25" spans="1:18" x14ac:dyDescent="0.35">
      <c r="A25">
        <v>7</v>
      </c>
      <c r="B25" s="86">
        <f t="shared" si="6"/>
        <v>199.06847737904226</v>
      </c>
      <c r="C25" s="88">
        <f t="shared" si="2"/>
        <v>199</v>
      </c>
      <c r="D25" s="88">
        <f t="shared" si="3"/>
        <v>9644.9223165763869</v>
      </c>
      <c r="F25" s="123">
        <f>'6 - Curve'!C8</f>
        <v>7</v>
      </c>
      <c r="G25" s="124">
        <f>'6 - Curve'!D8</f>
        <v>474.80044260114596</v>
      </c>
      <c r="H25" s="88">
        <f t="shared" si="4"/>
        <v>199.06847737904226</v>
      </c>
      <c r="I25" s="119">
        <f t="shared" si="5"/>
        <v>4.9297213216066353</v>
      </c>
      <c r="L25" s="15">
        <v>21</v>
      </c>
      <c r="M25" s="16">
        <v>88.64</v>
      </c>
      <c r="N25" s="16">
        <v>114.4</v>
      </c>
      <c r="O25" s="16">
        <v>88.64</v>
      </c>
      <c r="P25" s="16">
        <f t="shared" si="0"/>
        <v>88.64</v>
      </c>
      <c r="Q25" s="16">
        <f t="shared" si="1"/>
        <v>3944.48</v>
      </c>
      <c r="R25" s="12"/>
    </row>
    <row r="26" spans="1:18" x14ac:dyDescent="0.35">
      <c r="A26">
        <v>8</v>
      </c>
      <c r="B26" s="86">
        <f t="shared" si="6"/>
        <v>235.6547750220233</v>
      </c>
      <c r="C26" s="88">
        <f t="shared" si="2"/>
        <v>236</v>
      </c>
      <c r="D26" s="88">
        <f t="shared" si="3"/>
        <v>8147.5115444640205</v>
      </c>
      <c r="F26" s="123">
        <f>'6 - Curve'!C9</f>
        <v>8</v>
      </c>
      <c r="G26" s="124">
        <f>'6 - Curve'!D9</f>
        <v>657.5317552772085</v>
      </c>
      <c r="H26" s="88">
        <f t="shared" si="4"/>
        <v>235.6547750220233</v>
      </c>
      <c r="I26" s="119">
        <f t="shared" si="5"/>
        <v>5.2631488684309282</v>
      </c>
      <c r="L26" s="15">
        <v>22</v>
      </c>
      <c r="M26" s="16">
        <v>75.56</v>
      </c>
      <c r="N26" s="16">
        <v>95.3</v>
      </c>
      <c r="O26" s="16">
        <v>75.56</v>
      </c>
      <c r="P26" s="16">
        <f t="shared" si="0"/>
        <v>75.56</v>
      </c>
      <c r="Q26" s="16">
        <f t="shared" si="1"/>
        <v>3362.42</v>
      </c>
      <c r="R26" s="12"/>
    </row>
    <row r="27" spans="1:18" x14ac:dyDescent="0.35">
      <c r="A27">
        <v>9</v>
      </c>
      <c r="B27" s="86">
        <f t="shared" si="6"/>
        <v>278.96517681672339</v>
      </c>
      <c r="C27" s="88">
        <f t="shared" si="2"/>
        <v>279</v>
      </c>
      <c r="D27" s="88">
        <f t="shared" si="3"/>
        <v>6882.5794742883709</v>
      </c>
      <c r="F27" s="123">
        <f>'6 - Curve'!C10</f>
        <v>9</v>
      </c>
      <c r="G27" s="124">
        <f>'6 - Curve'!D10</f>
        <v>864.86959973830471</v>
      </c>
      <c r="H27" s="88">
        <f t="shared" si="4"/>
        <v>278.96517681672339</v>
      </c>
      <c r="I27" s="119">
        <f t="shared" si="5"/>
        <v>5.6100359986455572</v>
      </c>
      <c r="L27" s="15">
        <v>23</v>
      </c>
      <c r="M27" s="16">
        <v>61.94</v>
      </c>
      <c r="N27" s="16">
        <v>79</v>
      </c>
      <c r="O27" s="16">
        <v>61.94</v>
      </c>
      <c r="P27" s="16">
        <f t="shared" si="0"/>
        <v>61.94</v>
      </c>
      <c r="Q27" s="16">
        <f t="shared" si="1"/>
        <v>2756.33</v>
      </c>
      <c r="R27" s="12"/>
    </row>
    <row r="28" spans="1:18" x14ac:dyDescent="0.35">
      <c r="A28">
        <v>10</v>
      </c>
      <c r="B28" s="86">
        <f t="shared" si="6"/>
        <v>330.2354890500855</v>
      </c>
      <c r="C28" s="88">
        <f t="shared" si="2"/>
        <v>330</v>
      </c>
      <c r="D28" s="88">
        <f t="shared" si="3"/>
        <v>5814.0329057995577</v>
      </c>
      <c r="E28" s="22"/>
      <c r="F28" s="123">
        <f>'6 - Curve'!C11</f>
        <v>10</v>
      </c>
      <c r="G28" s="124">
        <f>'6 - Curve'!D11</f>
        <v>1078.9056437532038</v>
      </c>
      <c r="H28" s="88">
        <f t="shared" si="4"/>
        <v>330.2354890500855</v>
      </c>
      <c r="I28" s="119">
        <f t="shared" si="5"/>
        <v>5.9923869291778216</v>
      </c>
      <c r="L28" s="15">
        <v>24</v>
      </c>
      <c r="M28" s="16">
        <v>50.86</v>
      </c>
      <c r="N28" s="16">
        <v>65.3</v>
      </c>
      <c r="O28" s="16">
        <v>50.86</v>
      </c>
      <c r="P28" s="16">
        <f t="shared" si="0"/>
        <v>50.86</v>
      </c>
      <c r="Q28" s="16">
        <f t="shared" si="1"/>
        <v>2263.27</v>
      </c>
      <c r="R28" s="12"/>
    </row>
    <row r="29" spans="1:18" x14ac:dyDescent="0.35">
      <c r="A29">
        <v>11</v>
      </c>
      <c r="B29" s="86">
        <f t="shared" si="6"/>
        <v>390.92864375612453</v>
      </c>
      <c r="C29" s="88">
        <f t="shared" si="2"/>
        <v>391</v>
      </c>
      <c r="D29" s="88">
        <f t="shared" si="3"/>
        <v>4911.3822449852833</v>
      </c>
      <c r="E29" s="22"/>
      <c r="F29" s="123">
        <f>'6 - Curve'!C12</f>
        <v>11</v>
      </c>
      <c r="G29" s="124">
        <f>'6 - Curve'!D12</f>
        <v>1311.224988346507</v>
      </c>
      <c r="H29" s="88">
        <f t="shared" si="4"/>
        <v>390.92864375612453</v>
      </c>
      <c r="I29" s="119">
        <f t="shared" si="5"/>
        <v>6.4376458628398447</v>
      </c>
      <c r="L29" s="15">
        <v>25</v>
      </c>
      <c r="M29" s="16">
        <v>41.61</v>
      </c>
      <c r="N29" s="16">
        <v>53.8</v>
      </c>
      <c r="O29" s="16">
        <v>41.61</v>
      </c>
      <c r="P29" s="16">
        <f t="shared" si="0"/>
        <v>41.61</v>
      </c>
      <c r="Q29" s="16">
        <f t="shared" si="1"/>
        <v>1851.645</v>
      </c>
      <c r="R29" s="12"/>
    </row>
    <row r="30" spans="1:18" x14ac:dyDescent="0.35">
      <c r="A30">
        <v>12</v>
      </c>
      <c r="B30" s="86">
        <f t="shared" si="6"/>
        <v>462.77644158900353</v>
      </c>
      <c r="C30" s="88">
        <f t="shared" si="2"/>
        <v>463</v>
      </c>
      <c r="D30" s="88">
        <f t="shared" si="3"/>
        <v>4148.8715229483923</v>
      </c>
      <c r="E30" s="22"/>
      <c r="F30" s="123">
        <f>'6 - Curve'!C13</f>
        <v>12</v>
      </c>
      <c r="G30" s="124">
        <f>'6 - Curve'!D13</f>
        <v>1560.9261757065337</v>
      </c>
      <c r="H30" s="88">
        <f t="shared" si="4"/>
        <v>462.77644158900353</v>
      </c>
      <c r="I30" s="119">
        <f t="shared" si="5"/>
        <v>6.9251247828206841</v>
      </c>
      <c r="L30" s="15">
        <v>26</v>
      </c>
      <c r="M30" s="16">
        <v>33.44</v>
      </c>
      <c r="N30" s="16">
        <v>44.6</v>
      </c>
      <c r="O30" s="16">
        <v>33.44</v>
      </c>
      <c r="P30" s="16">
        <f t="shared" si="0"/>
        <v>33.44</v>
      </c>
      <c r="Q30" s="16">
        <f t="shared" si="1"/>
        <v>1488.08</v>
      </c>
      <c r="R30" s="12"/>
    </row>
    <row r="31" spans="1:18" x14ac:dyDescent="0.35">
      <c r="A31">
        <v>13</v>
      </c>
      <c r="B31" s="86">
        <f t="shared" si="6"/>
        <v>547.82896651436579</v>
      </c>
      <c r="C31" s="88">
        <f t="shared" si="2"/>
        <v>548</v>
      </c>
      <c r="D31" s="88">
        <f t="shared" si="3"/>
        <v>3504.7434826534645</v>
      </c>
      <c r="E31" s="22"/>
      <c r="F31" s="123">
        <f>'6 - Curve'!C14</f>
        <v>13</v>
      </c>
      <c r="G31" s="124">
        <f>'6 - Curve'!D14</f>
        <v>1817.7486603661039</v>
      </c>
      <c r="H31" s="88">
        <f t="shared" si="4"/>
        <v>547.82896651436579</v>
      </c>
      <c r="I31" s="119">
        <f t="shared" si="5"/>
        <v>7.4229995235022352</v>
      </c>
      <c r="L31" s="15">
        <v>27</v>
      </c>
      <c r="M31" s="16">
        <v>26.08</v>
      </c>
      <c r="N31" s="16">
        <v>37</v>
      </c>
      <c r="O31" s="16">
        <v>26.08</v>
      </c>
      <c r="P31" s="16">
        <f t="shared" si="0"/>
        <v>26.08</v>
      </c>
      <c r="Q31" s="16">
        <f t="shared" si="1"/>
        <v>1160.56</v>
      </c>
      <c r="R31" s="12"/>
    </row>
    <row r="32" spans="1:18" x14ac:dyDescent="0.35">
      <c r="A32">
        <v>14</v>
      </c>
      <c r="B32" s="86">
        <f t="shared" si="6"/>
        <v>648.51308230321445</v>
      </c>
      <c r="C32" s="88">
        <f t="shared" si="2"/>
        <v>649</v>
      </c>
      <c r="D32" s="88">
        <f t="shared" si="3"/>
        <v>2960.618763743465</v>
      </c>
      <c r="E32" s="22"/>
      <c r="F32" s="123">
        <f>'6 - Curve'!C15</f>
        <v>14</v>
      </c>
      <c r="G32" s="124">
        <f>'6 - Curve'!D15</f>
        <v>2076.1041772415656</v>
      </c>
      <c r="H32" s="88">
        <f t="shared" si="4"/>
        <v>648.51308230321445</v>
      </c>
      <c r="I32" s="119">
        <f t="shared" si="5"/>
        <v>7.953736990235365</v>
      </c>
      <c r="L32" s="15">
        <v>28</v>
      </c>
      <c r="M32" s="16">
        <v>20.41</v>
      </c>
      <c r="N32" s="16">
        <v>30.7</v>
      </c>
      <c r="O32" s="16">
        <v>20.41</v>
      </c>
      <c r="P32" s="16">
        <f t="shared" si="0"/>
        <v>20.41</v>
      </c>
      <c r="Q32" s="16">
        <f t="shared" si="1"/>
        <v>908.245</v>
      </c>
      <c r="R32" s="12"/>
    </row>
    <row r="33" spans="1:18" x14ac:dyDescent="0.35">
      <c r="A33">
        <v>15</v>
      </c>
      <c r="B33" s="86">
        <f t="shared" si="6"/>
        <v>767.70167995011843</v>
      </c>
      <c r="C33" s="88">
        <f t="shared" si="2"/>
        <v>768</v>
      </c>
      <c r="D33" s="88">
        <f t="shared" si="3"/>
        <v>2500.9714712683176</v>
      </c>
      <c r="E33" s="22"/>
      <c r="F33" s="123">
        <f>'6 - Curve'!C16</f>
        <v>15</v>
      </c>
      <c r="G33" s="124">
        <f>'6 - Curve'!D16</f>
        <v>2352.5240188478751</v>
      </c>
      <c r="H33" s="88">
        <f t="shared" si="4"/>
        <v>767.70167995011843</v>
      </c>
      <c r="I33" s="119">
        <f t="shared" si="5"/>
        <v>8.5408197116848346</v>
      </c>
      <c r="L33" s="15">
        <v>29</v>
      </c>
      <c r="M33" s="16">
        <v>16.39</v>
      </c>
      <c r="N33" s="16">
        <v>25.2</v>
      </c>
      <c r="O33" s="16">
        <v>16.39</v>
      </c>
      <c r="P33" s="16">
        <f t="shared" si="0"/>
        <v>16.39</v>
      </c>
      <c r="Q33" s="16">
        <f t="shared" si="1"/>
        <v>729.35500000000002</v>
      </c>
      <c r="R33" s="12"/>
    </row>
    <row r="34" spans="1:18" ht="13.15" thickBot="1" x14ac:dyDescent="0.4">
      <c r="A34">
        <v>16</v>
      </c>
      <c r="B34" s="86">
        <f t="shared" si="6"/>
        <v>908.79565190124276</v>
      </c>
      <c r="C34" s="88">
        <f t="shared" si="2"/>
        <v>909</v>
      </c>
      <c r="D34" s="88">
        <f t="shared" si="3"/>
        <v>2112.6861643574962</v>
      </c>
      <c r="E34" s="22"/>
      <c r="F34" s="123">
        <f>'6 - Curve'!C17</f>
        <v>16</v>
      </c>
      <c r="G34" s="124">
        <f>'6 - Curve'!D17</f>
        <v>2635.4838729240946</v>
      </c>
      <c r="H34" s="88">
        <f t="shared" si="4"/>
        <v>908.79565190124276</v>
      </c>
      <c r="I34" s="119">
        <f t="shared" si="5"/>
        <v>9.2086592013820141</v>
      </c>
      <c r="L34" s="23">
        <v>30</v>
      </c>
      <c r="M34" s="24">
        <v>13.94</v>
      </c>
      <c r="N34" s="24">
        <v>20.100000000000001</v>
      </c>
      <c r="O34" s="24">
        <v>13.94</v>
      </c>
      <c r="P34" s="24">
        <f t="shared" si="0"/>
        <v>13.94</v>
      </c>
      <c r="Q34" s="24">
        <f t="shared" si="1"/>
        <v>620.32999999999993</v>
      </c>
      <c r="R34" s="25"/>
    </row>
    <row r="35" spans="1:18" x14ac:dyDescent="0.35">
      <c r="A35">
        <v>17</v>
      </c>
      <c r="B35" s="86">
        <f t="shared" si="6"/>
        <v>1075.8209321207535</v>
      </c>
      <c r="C35" s="88">
        <f t="shared" si="2"/>
        <v>1076</v>
      </c>
      <c r="D35" s="88">
        <f t="shared" si="3"/>
        <v>1784.683624081503</v>
      </c>
      <c r="E35" s="22"/>
      <c r="F35" s="123">
        <f>'6 - Curve'!C18</f>
        <v>17</v>
      </c>
      <c r="G35" s="124">
        <f>'6 - Curve'!D18</f>
        <v>2918.7112229169315</v>
      </c>
      <c r="H35" s="88">
        <f t="shared" si="4"/>
        <v>1075.8209321207535</v>
      </c>
      <c r="I35" s="119">
        <f t="shared" si="5"/>
        <v>9.9861645868207685</v>
      </c>
    </row>
    <row r="36" spans="1:18" x14ac:dyDescent="0.35">
      <c r="A36">
        <v>18</v>
      </c>
      <c r="B36" s="86">
        <f t="shared" si="6"/>
        <v>1273.5433709083575</v>
      </c>
      <c r="C36" s="88">
        <f t="shared" si="2"/>
        <v>1274</v>
      </c>
      <c r="D36" s="88">
        <f t="shared" si="3"/>
        <v>1507.6047222722875</v>
      </c>
      <c r="E36" s="22"/>
      <c r="F36" s="123">
        <f>'6 - Curve'!C19</f>
        <v>18</v>
      </c>
      <c r="G36" s="124">
        <f>'6 - Curve'!D19</f>
        <v>3200.481581894398</v>
      </c>
      <c r="H36" s="88">
        <f t="shared" si="4"/>
        <v>1273.5433709083575</v>
      </c>
      <c r="I36" s="119">
        <f t="shared" si="5"/>
        <v>10.842810744521962</v>
      </c>
    </row>
    <row r="37" spans="1:18" x14ac:dyDescent="0.35">
      <c r="A37">
        <v>19</v>
      </c>
      <c r="B37" s="86">
        <f t="shared" si="6"/>
        <v>1507.6047222722875</v>
      </c>
      <c r="C37" s="88">
        <f t="shared" si="2"/>
        <v>1508</v>
      </c>
      <c r="D37" s="88">
        <f t="shared" si="3"/>
        <v>1273.5433709083575</v>
      </c>
      <c r="E37" s="22"/>
      <c r="F37" s="123">
        <f>'6 - Curve'!C20</f>
        <v>19</v>
      </c>
      <c r="G37" s="124">
        <f>'6 - Curve'!D20</f>
        <v>3503.5923911680684</v>
      </c>
      <c r="H37" s="88">
        <f t="shared" si="4"/>
        <v>1507.6047222722875</v>
      </c>
      <c r="I37" s="119">
        <f t="shared" si="5"/>
        <v>11.789609079866281</v>
      </c>
    </row>
    <row r="38" spans="1:18" x14ac:dyDescent="0.35">
      <c r="A38">
        <v>20</v>
      </c>
      <c r="B38" s="86">
        <f t="shared" si="6"/>
        <v>1784.683624081503</v>
      </c>
      <c r="C38" s="88">
        <f t="shared" si="2"/>
        <v>1785</v>
      </c>
      <c r="D38" s="88">
        <f t="shared" si="3"/>
        <v>1075.8209321207535</v>
      </c>
      <c r="E38" s="22"/>
      <c r="F38" s="123">
        <f>'6 - Curve'!C21</f>
        <v>20</v>
      </c>
      <c r="G38" s="124">
        <f>'6 - Curve'!D21</f>
        <v>3851.8731106348205</v>
      </c>
      <c r="H38" s="88">
        <f t="shared" si="4"/>
        <v>1784.683624081503</v>
      </c>
      <c r="I38" s="119">
        <f t="shared" si="5"/>
        <v>12.871747196855543</v>
      </c>
    </row>
    <row r="39" spans="1:18" x14ac:dyDescent="0.35">
      <c r="A39">
        <v>21</v>
      </c>
      <c r="B39" s="86">
        <f t="shared" si="6"/>
        <v>2112.6861643574962</v>
      </c>
      <c r="C39" s="88">
        <f t="shared" si="2"/>
        <v>2113</v>
      </c>
      <c r="D39" s="88">
        <f t="shared" si="3"/>
        <v>908.79565190124276</v>
      </c>
      <c r="E39" s="22"/>
      <c r="F39" s="123">
        <f>'6 - Curve'!C22</f>
        <v>21</v>
      </c>
      <c r="G39" s="124">
        <f>'6 - Curve'!D22</f>
        <v>4256.3317191026872</v>
      </c>
      <c r="H39" s="88">
        <f t="shared" si="4"/>
        <v>2112.6861643574962</v>
      </c>
      <c r="I39" s="119">
        <f t="shared" si="5"/>
        <v>14.135885256281044</v>
      </c>
    </row>
    <row r="40" spans="1:18" x14ac:dyDescent="0.35">
      <c r="A40">
        <v>22</v>
      </c>
      <c r="B40" s="86">
        <f t="shared" si="6"/>
        <v>2500.9714712683176</v>
      </c>
      <c r="C40" s="88">
        <f t="shared" si="2"/>
        <v>2501</v>
      </c>
      <c r="D40" s="88">
        <f t="shared" si="3"/>
        <v>767.70167995011843</v>
      </c>
      <c r="E40" s="22"/>
      <c r="F40" s="123">
        <f>'6 - Curve'!C23</f>
        <v>22</v>
      </c>
      <c r="G40" s="124">
        <f>'6 - Curve'!D23</f>
        <v>4709.5951333061803</v>
      </c>
      <c r="H40" s="88">
        <f t="shared" si="4"/>
        <v>2500.9714712683176</v>
      </c>
      <c r="I40" s="119">
        <f t="shared" si="5"/>
        <v>15.526071639422907</v>
      </c>
    </row>
    <row r="41" spans="1:18" x14ac:dyDescent="0.35">
      <c r="A41">
        <v>23</v>
      </c>
      <c r="B41" s="86">
        <f t="shared" si="6"/>
        <v>2960.618763743465</v>
      </c>
      <c r="C41" s="88">
        <f t="shared" si="2"/>
        <v>2961</v>
      </c>
      <c r="D41" s="88">
        <f t="shared" si="3"/>
        <v>648.51308230321445</v>
      </c>
      <c r="E41" s="22"/>
      <c r="F41" s="123">
        <f>'6 - Curve'!C24</f>
        <v>23</v>
      </c>
      <c r="G41" s="124">
        <f>'6 - Curve'!D24</f>
        <v>5189.9801970413146</v>
      </c>
      <c r="H41" s="88">
        <f t="shared" si="4"/>
        <v>2960.618763743465</v>
      </c>
      <c r="I41" s="119">
        <f t="shared" si="5"/>
        <v>17.149138545387789</v>
      </c>
    </row>
    <row r="42" spans="1:18" x14ac:dyDescent="0.35">
      <c r="A42">
        <v>24</v>
      </c>
      <c r="B42" s="86">
        <f t="shared" si="6"/>
        <v>3504.7434826534645</v>
      </c>
      <c r="C42" s="88">
        <f t="shared" si="2"/>
        <v>3505</v>
      </c>
      <c r="D42" s="88">
        <f t="shared" si="3"/>
        <v>547.82896651436579</v>
      </c>
      <c r="F42" s="123">
        <f>'6 - Curve'!C25</f>
        <v>24</v>
      </c>
      <c r="G42" s="124">
        <f>'6 - Curve'!D25</f>
        <v>5722.7532196247848</v>
      </c>
      <c r="H42" s="88">
        <f t="shared" si="4"/>
        <v>3504.7434826534645</v>
      </c>
      <c r="I42" s="119">
        <f t="shared" si="5"/>
        <v>19.003533553870199</v>
      </c>
    </row>
    <row r="43" spans="1:18" x14ac:dyDescent="0.35">
      <c r="A43">
        <v>25</v>
      </c>
      <c r="B43" s="86">
        <f t="shared" si="6"/>
        <v>4148.8715229483923</v>
      </c>
      <c r="C43" s="88">
        <f t="shared" si="2"/>
        <v>4149</v>
      </c>
      <c r="D43" s="88">
        <f t="shared" si="3"/>
        <v>462.77644158900353</v>
      </c>
      <c r="F43" s="123">
        <f>'6 - Curve'!C26</f>
        <v>25</v>
      </c>
      <c r="G43" s="124">
        <f>'6 - Curve'!D26</f>
        <v>6309.9821331356197</v>
      </c>
      <c r="H43" s="88">
        <f t="shared" si="4"/>
        <v>4148.8715229483923</v>
      </c>
      <c r="I43" s="119">
        <f t="shared" si="5"/>
        <v>20.746331292731885</v>
      </c>
    </row>
    <row r="44" spans="1:18" x14ac:dyDescent="0.35">
      <c r="A44">
        <v>26</v>
      </c>
      <c r="B44" s="86">
        <f t="shared" si="6"/>
        <v>4911.3822449852833</v>
      </c>
      <c r="C44" s="88">
        <f t="shared" si="2"/>
        <v>4911</v>
      </c>
      <c r="D44" s="88">
        <f t="shared" si="3"/>
        <v>390.92864375612453</v>
      </c>
      <c r="F44" s="123">
        <f>'6 - Curve'!C27</f>
        <v>26</v>
      </c>
      <c r="G44" s="124">
        <f>'6 - Curve'!D27</f>
        <v>6943.2699490807172</v>
      </c>
      <c r="H44" s="88">
        <f t="shared" si="4"/>
        <v>4911.3822449852833</v>
      </c>
      <c r="I44" s="119">
        <f t="shared" si="5"/>
        <v>22.429448056487853</v>
      </c>
    </row>
    <row r="45" spans="1:18" x14ac:dyDescent="0.35">
      <c r="A45">
        <v>27</v>
      </c>
      <c r="B45" s="86">
        <f t="shared" si="6"/>
        <v>5814.0329057995577</v>
      </c>
      <c r="C45" s="88">
        <f t="shared" si="2"/>
        <v>5814</v>
      </c>
      <c r="D45" s="88">
        <f t="shared" si="3"/>
        <v>330.2354890500855</v>
      </c>
      <c r="F45" s="123">
        <f>'6 - Curve'!C28</f>
        <v>27</v>
      </c>
      <c r="G45" s="124">
        <f>'6 - Curve'!D28</f>
        <v>7610.3717188202918</v>
      </c>
      <c r="H45" s="88">
        <f t="shared" si="4"/>
        <v>5814.0329057995577</v>
      </c>
      <c r="I45" s="119">
        <f t="shared" si="5"/>
        <v>24.161602267531588</v>
      </c>
    </row>
    <row r="46" spans="1:18" x14ac:dyDescent="0.35">
      <c r="A46">
        <v>28</v>
      </c>
      <c r="B46" s="86">
        <f t="shared" si="6"/>
        <v>6882.5794742883709</v>
      </c>
      <c r="C46" s="88">
        <f t="shared" si="2"/>
        <v>6883</v>
      </c>
      <c r="D46" s="88">
        <f t="shared" si="3"/>
        <v>278.96517681672339</v>
      </c>
      <c r="F46" s="123">
        <f>'6 - Curve'!C29</f>
        <v>28</v>
      </c>
      <c r="G46" s="124">
        <f>'6 - Curve'!D29</f>
        <v>8285.2336278579678</v>
      </c>
      <c r="H46" s="88">
        <f t="shared" si="4"/>
        <v>6882.5794742883709</v>
      </c>
      <c r="I46" s="119">
        <f t="shared" si="5"/>
        <v>25.906516638142751</v>
      </c>
    </row>
    <row r="47" spans="1:18" x14ac:dyDescent="0.35">
      <c r="A47">
        <v>29</v>
      </c>
      <c r="B47" s="86">
        <f t="shared" si="6"/>
        <v>8147.5115444640205</v>
      </c>
      <c r="C47" s="88">
        <f t="shared" si="2"/>
        <v>8148</v>
      </c>
      <c r="D47" s="88">
        <f t="shared" si="3"/>
        <v>235.6547750220233</v>
      </c>
      <c r="F47" s="123">
        <f>'6 - Curve'!C30</f>
        <v>29</v>
      </c>
      <c r="G47" s="124">
        <f>'6 - Curve'!D30</f>
        <v>8945.2208776148836</v>
      </c>
      <c r="H47" s="88">
        <f t="shared" si="4"/>
        <v>8147.5115444640205</v>
      </c>
      <c r="I47" s="119">
        <f t="shared" si="5"/>
        <v>27.794676598755125</v>
      </c>
    </row>
    <row r="48" spans="1:18" x14ac:dyDescent="0.35">
      <c r="A48">
        <v>30</v>
      </c>
      <c r="B48" s="86">
        <f t="shared" si="6"/>
        <v>9644.9223165763869</v>
      </c>
      <c r="C48" s="88">
        <f t="shared" si="2"/>
        <v>9645</v>
      </c>
      <c r="D48" s="88">
        <f t="shared" si="3"/>
        <v>199.06847737904226</v>
      </c>
      <c r="F48" s="123">
        <f>'6 - Curve'!C31</f>
        <v>30</v>
      </c>
      <c r="G48" s="124">
        <f>'6 - Curve'!D31</f>
        <v>9673.8604689042295</v>
      </c>
      <c r="H48" s="88">
        <f t="shared" si="4"/>
        <v>9644.9223165763869</v>
      </c>
      <c r="I48" s="119">
        <f t="shared" si="5"/>
        <v>29.926957173536852</v>
      </c>
    </row>
    <row r="49" spans="1:31" x14ac:dyDescent="0.35">
      <c r="A49">
        <v>38</v>
      </c>
      <c r="B49" s="86">
        <f t="shared" si="6"/>
        <v>11417.538469890293</v>
      </c>
      <c r="C49" s="88">
        <f t="shared" si="2"/>
        <v>11418</v>
      </c>
      <c r="D49" s="88">
        <f t="shared" si="3"/>
        <v>168.16234121420527</v>
      </c>
      <c r="F49" s="123">
        <f>'6 - Curve'!C32</f>
        <v>38</v>
      </c>
      <c r="G49" s="124">
        <f>'6 - Curve'!D32</f>
        <v>9941.9807255838896</v>
      </c>
      <c r="H49" s="88">
        <f t="shared" si="4"/>
        <v>11417.538469890293</v>
      </c>
      <c r="I49" s="119">
        <f t="shared" si="5"/>
        <v>42.420010366911868</v>
      </c>
    </row>
    <row r="50" spans="1:31" x14ac:dyDescent="0.35">
      <c r="A50">
        <v>50</v>
      </c>
      <c r="B50" s="86">
        <f t="shared" si="6"/>
        <v>13515.939313205179</v>
      </c>
      <c r="C50" s="88">
        <f t="shared" si="2"/>
        <v>13516</v>
      </c>
      <c r="D50" s="88">
        <f t="shared" si="3"/>
        <v>142.05449991360581</v>
      </c>
      <c r="F50" s="123">
        <f>'6 - Curve'!C33</f>
        <v>50</v>
      </c>
      <c r="G50" s="124">
        <f>'6 - Curve'!D33</f>
        <v>15895.418171796442</v>
      </c>
      <c r="H50" s="88">
        <f t="shared" si="4"/>
        <v>13515.939313205179</v>
      </c>
      <c r="I50" s="119">
        <f t="shared" si="5"/>
        <v>46.13466523312902</v>
      </c>
    </row>
    <row r="51" spans="1:31" ht="13.15" thickBot="1" x14ac:dyDescent="0.4">
      <c r="A51">
        <v>70</v>
      </c>
      <c r="B51" s="86">
        <f t="shared" si="6"/>
        <v>16000.000000000053</v>
      </c>
      <c r="C51" s="88">
        <f t="shared" si="2"/>
        <v>16000</v>
      </c>
      <c r="D51" s="88">
        <f>$B$12*1.5</f>
        <v>120</v>
      </c>
      <c r="E51" s="11"/>
      <c r="F51" s="125">
        <f>'6 - Curve'!C34</f>
        <v>70</v>
      </c>
      <c r="G51" s="126">
        <f>'6 - Curve'!D34</f>
        <v>24999.999999999996</v>
      </c>
      <c r="H51" s="88">
        <f t="shared" si="4"/>
        <v>16000.000000000053</v>
      </c>
      <c r="I51" s="119">
        <f t="shared" si="5"/>
        <v>50.220029582077103</v>
      </c>
    </row>
    <row r="54" spans="1:31" ht="13.5" thickBot="1" x14ac:dyDescent="0.45">
      <c r="B54" s="112" t="s">
        <v>42</v>
      </c>
      <c r="E54" s="16"/>
    </row>
    <row r="55" spans="1:31" x14ac:dyDescent="0.35">
      <c r="A55" s="11" t="s">
        <v>176</v>
      </c>
      <c r="B55" s="113">
        <v>4</v>
      </c>
      <c r="C55" s="114">
        <v>5</v>
      </c>
      <c r="D55" s="114">
        <v>6</v>
      </c>
      <c r="E55" s="114">
        <v>7</v>
      </c>
      <c r="F55" s="114">
        <v>8</v>
      </c>
      <c r="G55" s="114">
        <v>9</v>
      </c>
      <c r="H55" s="114">
        <v>10</v>
      </c>
      <c r="I55" s="114">
        <v>11</v>
      </c>
      <c r="J55" s="114">
        <v>12</v>
      </c>
      <c r="K55" s="114">
        <v>13</v>
      </c>
      <c r="L55" s="114">
        <v>14</v>
      </c>
      <c r="M55" s="114">
        <v>15</v>
      </c>
      <c r="N55" s="114">
        <v>16</v>
      </c>
      <c r="O55" s="114">
        <v>17</v>
      </c>
      <c r="P55" s="114">
        <v>18</v>
      </c>
      <c r="Q55" s="114">
        <v>19</v>
      </c>
      <c r="R55" s="114">
        <v>20</v>
      </c>
      <c r="S55" s="114">
        <v>21</v>
      </c>
      <c r="T55" s="114">
        <v>22</v>
      </c>
      <c r="U55" s="114">
        <v>23</v>
      </c>
      <c r="V55" s="114">
        <v>24</v>
      </c>
      <c r="W55" s="114">
        <v>25</v>
      </c>
      <c r="X55" s="114">
        <v>26</v>
      </c>
      <c r="Y55" s="114">
        <v>27</v>
      </c>
      <c r="Z55" s="114">
        <v>28</v>
      </c>
      <c r="AA55" s="114">
        <v>29</v>
      </c>
      <c r="AB55" s="114">
        <v>30</v>
      </c>
      <c r="AC55" s="114">
        <v>38</v>
      </c>
      <c r="AD55" s="114">
        <v>50</v>
      </c>
      <c r="AE55" s="115">
        <v>70</v>
      </c>
    </row>
    <row r="56" spans="1:31" ht="14.25" thickBot="1" x14ac:dyDescent="0.45">
      <c r="A56" s="11" t="s">
        <v>44</v>
      </c>
      <c r="B56" s="116">
        <f>INT($B22+0.5)</f>
        <v>120</v>
      </c>
      <c r="C56" s="117">
        <f>INT($B23+0.5)</f>
        <v>142</v>
      </c>
      <c r="D56" s="117">
        <f>INT($B24+0.5)</f>
        <v>168</v>
      </c>
      <c r="E56" s="117">
        <f>INT($B25+0.5)</f>
        <v>199</v>
      </c>
      <c r="F56" s="117">
        <f>INT($B26+0.5)</f>
        <v>236</v>
      </c>
      <c r="G56" s="117">
        <f>INT($B27+0.5)</f>
        <v>279</v>
      </c>
      <c r="H56" s="117">
        <f>INT($B28+0.5)</f>
        <v>330</v>
      </c>
      <c r="I56" s="117">
        <f>INT($B29+0.5)</f>
        <v>391</v>
      </c>
      <c r="J56" s="117">
        <f>INT($B30+0.5)</f>
        <v>463</v>
      </c>
      <c r="K56" s="117">
        <f>INT($B31+0.5)</f>
        <v>548</v>
      </c>
      <c r="L56" s="117">
        <f>INT($B32+0.5)</f>
        <v>649</v>
      </c>
      <c r="M56" s="117">
        <f>INT($B33+0.5)</f>
        <v>768</v>
      </c>
      <c r="N56" s="117">
        <f>INT($B34+0.5)</f>
        <v>909</v>
      </c>
      <c r="O56" s="117">
        <f>INT($B35+0.5)</f>
        <v>1076</v>
      </c>
      <c r="P56" s="117">
        <f>INT($B36+0.5)</f>
        <v>1274</v>
      </c>
      <c r="Q56" s="117">
        <f>INT($B37+0.5)</f>
        <v>1508</v>
      </c>
      <c r="R56" s="117">
        <f>INT($B38+0.5)</f>
        <v>1785</v>
      </c>
      <c r="S56" s="117">
        <f>INT($B39+0.5)</f>
        <v>2113</v>
      </c>
      <c r="T56" s="117">
        <f>INT($B40+0.5)</f>
        <v>2501</v>
      </c>
      <c r="U56" s="117">
        <f>INT($B41+0.5)</f>
        <v>2961</v>
      </c>
      <c r="V56" s="117">
        <f>INT($B42+0.5)</f>
        <v>3505</v>
      </c>
      <c r="W56" s="117">
        <f>INT($B43+0.5)</f>
        <v>4149</v>
      </c>
      <c r="X56" s="117">
        <f>INT($B44+0.5)</f>
        <v>4911</v>
      </c>
      <c r="Y56" s="117">
        <f>INT($B45+0.5)</f>
        <v>5814</v>
      </c>
      <c r="Z56" s="117">
        <f>INT($B46+0.5)</f>
        <v>6883</v>
      </c>
      <c r="AA56" s="117">
        <f>INT($B47+0.5)</f>
        <v>8148</v>
      </c>
      <c r="AB56" s="117">
        <f>INT($B48+0.5)</f>
        <v>9645</v>
      </c>
      <c r="AC56" s="117">
        <f>INT($B49+0.5)</f>
        <v>11418</v>
      </c>
      <c r="AD56" s="117">
        <f>INT($B50+0.5)</f>
        <v>13516</v>
      </c>
      <c r="AE56" s="118">
        <f>INT($B51+0.5)</f>
        <v>16000</v>
      </c>
    </row>
    <row r="58" spans="1:31" ht="36.4" x14ac:dyDescent="0.35">
      <c r="B58" s="1" t="s">
        <v>45</v>
      </c>
    </row>
    <row r="60" spans="1:31" x14ac:dyDescent="0.35">
      <c r="G60" s="22"/>
    </row>
    <row r="61" spans="1:31" x14ac:dyDescent="0.35">
      <c r="G61" s="22"/>
    </row>
    <row r="62" spans="1:31" x14ac:dyDescent="0.35">
      <c r="G62" s="22"/>
    </row>
    <row r="63" spans="1:31" x14ac:dyDescent="0.35">
      <c r="G63" s="22"/>
    </row>
    <row r="64" spans="1:31" x14ac:dyDescent="0.35">
      <c r="G64" s="22"/>
    </row>
    <row r="65" spans="7:7" x14ac:dyDescent="0.35">
      <c r="G65" s="22"/>
    </row>
    <row r="66" spans="7:7" x14ac:dyDescent="0.35">
      <c r="G66" s="22"/>
    </row>
    <row r="67" spans="7:7" x14ac:dyDescent="0.35">
      <c r="G67" s="22"/>
    </row>
    <row r="68" spans="7:7" x14ac:dyDescent="0.35">
      <c r="G68" s="22"/>
    </row>
    <row r="69" spans="7:7" x14ac:dyDescent="0.35">
      <c r="G69" s="22"/>
    </row>
    <row r="70" spans="7:7" x14ac:dyDescent="0.35">
      <c r="G70" s="22"/>
    </row>
    <row r="71" spans="7:7" x14ac:dyDescent="0.35">
      <c r="G71" s="22"/>
    </row>
    <row r="72" spans="7:7" x14ac:dyDescent="0.35">
      <c r="G72" s="22"/>
    </row>
    <row r="73" spans="7:7" x14ac:dyDescent="0.35">
      <c r="G73" s="22"/>
    </row>
    <row r="74" spans="7:7" x14ac:dyDescent="0.35">
      <c r="G74" s="22"/>
    </row>
    <row r="75" spans="7:7" x14ac:dyDescent="0.35">
      <c r="G75" s="22"/>
    </row>
    <row r="76" spans="7:7" x14ac:dyDescent="0.35">
      <c r="G76" s="22"/>
    </row>
    <row r="77" spans="7:7" x14ac:dyDescent="0.35">
      <c r="G77" s="22"/>
    </row>
    <row r="78" spans="7:7" x14ac:dyDescent="0.35">
      <c r="G78" s="22"/>
    </row>
    <row r="79" spans="7:7" x14ac:dyDescent="0.35">
      <c r="G79" s="22"/>
    </row>
    <row r="80" spans="7:7" x14ac:dyDescent="0.35">
      <c r="G80" s="22"/>
    </row>
    <row r="81" spans="7:7" x14ac:dyDescent="0.35">
      <c r="G81" s="22"/>
    </row>
    <row r="82" spans="7:7" x14ac:dyDescent="0.35">
      <c r="G82" s="22"/>
    </row>
    <row r="83" spans="7:7" x14ac:dyDescent="0.35">
      <c r="G83" s="22"/>
    </row>
    <row r="84" spans="7:7" x14ac:dyDescent="0.35">
      <c r="G84" s="22"/>
    </row>
    <row r="85" spans="7:7" x14ac:dyDescent="0.35">
      <c r="G85" s="22"/>
    </row>
    <row r="86" spans="7:7" x14ac:dyDescent="0.35">
      <c r="G86" s="22"/>
    </row>
    <row r="87" spans="7:7" x14ac:dyDescent="0.35">
      <c r="G87" s="22"/>
    </row>
    <row r="88" spans="7:7" x14ac:dyDescent="0.35">
      <c r="G88" s="22"/>
    </row>
    <row r="89" spans="7:7" x14ac:dyDescent="0.35">
      <c r="G89" s="2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6"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1D5CF-FEC8-4B7E-8030-3ADC17EE5D96}">
  <sheetPr codeName="Sheet5"/>
  <dimension ref="A1:AW100"/>
  <sheetViews>
    <sheetView zoomScale="70" zoomScaleNormal="70" workbookViewId="0">
      <selection activeCell="F12" sqref="F12"/>
    </sheetView>
  </sheetViews>
  <sheetFormatPr defaultColWidth="11.53125" defaultRowHeight="12.75" x14ac:dyDescent="0.35"/>
  <cols>
    <col min="12" max="12" width="12.3984375" customWidth="1"/>
  </cols>
  <sheetData>
    <row r="1" spans="1:49" x14ac:dyDescent="0.35">
      <c r="A1" t="s">
        <v>46</v>
      </c>
    </row>
    <row r="2" spans="1:49" ht="40.15" x14ac:dyDescent="0.4">
      <c r="A2" s="148" t="s">
        <v>47</v>
      </c>
      <c r="B2" s="148"/>
      <c r="C2" s="148"/>
      <c r="D2" s="148"/>
      <c r="E2" s="148"/>
      <c r="H2" s="26" t="s">
        <v>48</v>
      </c>
    </row>
    <row r="3" spans="1:49" ht="13.9" x14ac:dyDescent="0.4">
      <c r="A3" t="s">
        <v>49</v>
      </c>
      <c r="B3" s="141" t="str">
        <f>'Clause 6'!$B$7</f>
        <v>11171-00001</v>
      </c>
      <c r="D3" t="s">
        <v>50</v>
      </c>
      <c r="E3" s="27">
        <f>'Clause 6'!$G$11</f>
        <v>1</v>
      </c>
    </row>
    <row r="4" spans="1:49" ht="18.100000000000001" customHeight="1" x14ac:dyDescent="1.05">
      <c r="A4" s="27" t="s">
        <v>8</v>
      </c>
      <c r="B4" s="142">
        <f>'Clause 6'!$B$4</f>
        <v>46013</v>
      </c>
      <c r="D4" t="s">
        <v>184</v>
      </c>
      <c r="E4" s="30">
        <f>'Clause 6'!$D$18</f>
        <v>0.87131367292225204</v>
      </c>
      <c r="O4" s="28"/>
    </row>
    <row r="5" spans="1:49" ht="13.9" x14ac:dyDescent="0.4">
      <c r="A5" s="27" t="s">
        <v>4</v>
      </c>
      <c r="B5" s="143" t="str">
        <f>'Clause 6'!$B$3</f>
        <v>SRM2806d</v>
      </c>
      <c r="O5" s="29"/>
    </row>
    <row r="6" spans="1:49" ht="13.15" x14ac:dyDescent="0.4">
      <c r="C6" s="27"/>
      <c r="D6" s="27"/>
      <c r="E6" s="27"/>
      <c r="F6" s="27"/>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3" t="s">
        <v>51</v>
      </c>
      <c r="P7" s="83" t="s">
        <v>52</v>
      </c>
      <c r="Q7" s="83" t="s">
        <v>53</v>
      </c>
      <c r="R7" s="83" t="s">
        <v>54</v>
      </c>
      <c r="S7" s="83" t="s">
        <v>55</v>
      </c>
    </row>
    <row r="8" spans="1:49" ht="13.15" x14ac:dyDescent="0.4">
      <c r="A8" s="11" t="s">
        <v>63</v>
      </c>
      <c r="B8" s="30">
        <f>B52/$E$4</f>
        <v>12.389022846153846</v>
      </c>
      <c r="C8" s="30">
        <f t="shared" ref="C8:F8" si="0">C52/$E$4</f>
        <v>13.563156836923078</v>
      </c>
      <c r="D8" s="30">
        <f t="shared" si="0"/>
        <v>13.383761052307692</v>
      </c>
      <c r="E8" s="30">
        <f t="shared" si="0"/>
        <v>13.5345288</v>
      </c>
      <c r="F8" s="30">
        <f t="shared" si="0"/>
        <v>13.517751833846154</v>
      </c>
      <c r="G8" s="31">
        <f>AVERAGE(B$8:F$8)*5</f>
        <v>66.388221369230763</v>
      </c>
      <c r="I8" s="32"/>
      <c r="K8" s="32"/>
      <c r="O8" s="84"/>
      <c r="P8" s="84"/>
      <c r="Q8" s="84"/>
      <c r="R8" s="84"/>
      <c r="S8" s="84"/>
    </row>
    <row r="9" spans="1:49" ht="13.15" x14ac:dyDescent="0.4">
      <c r="A9" s="11" t="s">
        <v>64</v>
      </c>
      <c r="B9" s="30">
        <f>B53*$E$4</f>
        <v>9949.0492264075056</v>
      </c>
      <c r="C9" s="30">
        <f t="shared" ref="C9:F9" si="1">C53*$E$4</f>
        <v>10063.5121038874</v>
      </c>
      <c r="D9" s="30">
        <f t="shared" si="1"/>
        <v>9662.6048564343164</v>
      </c>
      <c r="E9" s="30">
        <f t="shared" si="1"/>
        <v>9875.4087554959788</v>
      </c>
      <c r="F9" s="30">
        <f t="shared" si="1"/>
        <v>9920.9544654825731</v>
      </c>
      <c r="G9" s="33">
        <f>AVERAGE(B9:F9)</f>
        <v>9894.3058815415534</v>
      </c>
      <c r="H9" s="34">
        <f>G9*G$8</f>
        <v>656865.36915866262</v>
      </c>
      <c r="I9" s="32">
        <f t="shared" ref="I9:I38" si="2">STDEVP(B9:F9)/AVERAGE(B9:F9)</f>
        <v>1.3284241133905727E-2</v>
      </c>
      <c r="J9" s="32">
        <f t="shared" ref="J9:J38" si="3">IF(H9&gt;$A$43, $C$43, IF(H9&gt;$A$44, $C$44, IF(H9&gt;$A$45,$C$45,IF(H9&gt;$A$46,$C$46, IF(H9&gt;$A$47,$C$47,IF(H9&gt;$A$48,$C$48,$C$49))))))/100</f>
        <v>0.11</v>
      </c>
      <c r="K9" s="32">
        <f t="shared" ref="K9:K38" si="4">(MAX(B9:F9)-MIN(B9:F9))/G9</f>
        <v>4.0518986602284202E-2</v>
      </c>
      <c r="L9" s="16">
        <f>G9/'Clause 6'!$G$11</f>
        <v>9894.3058815415534</v>
      </c>
      <c r="M9">
        <f t="shared" ref="M9:M38" si="5">COUNTA(B9:F9)</f>
        <v>5</v>
      </c>
      <c r="O9" s="85">
        <f>IF(ISNUMBER(B9), (B9/$G9-1), 0)</f>
        <v>5.5328130665617259E-3</v>
      </c>
      <c r="P9" s="85">
        <f t="shared" ref="P9:S38" si="6">IF(ISNUMBER(C9), (C9/$G9-1), 0)</f>
        <v>1.7101373696310596E-2</v>
      </c>
      <c r="Q9" s="85">
        <f t="shared" si="6"/>
        <v>-2.341761290597355E-2</v>
      </c>
      <c r="R9" s="85">
        <f t="shared" si="6"/>
        <v>-1.9098991148867039E-3</v>
      </c>
      <c r="S9" s="85">
        <f t="shared" si="6"/>
        <v>2.6933252579883771E-3</v>
      </c>
    </row>
    <row r="10" spans="1:49" ht="13.15" x14ac:dyDescent="0.4">
      <c r="A10" s="11" t="s">
        <v>65</v>
      </c>
      <c r="B10" s="30">
        <f t="shared" ref="B10:F10" si="7">B54*$E$4</f>
        <v>8727.402788941019</v>
      </c>
      <c r="C10" s="30">
        <f t="shared" si="7"/>
        <v>8838.5761166219836</v>
      </c>
      <c r="D10" s="30">
        <f t="shared" si="7"/>
        <v>8489.4669352546916</v>
      </c>
      <c r="E10" s="30">
        <f t="shared" si="7"/>
        <v>8671.2294343163539</v>
      </c>
      <c r="F10" s="30">
        <f t="shared" si="7"/>
        <v>8740.5805569705099</v>
      </c>
      <c r="G10" s="33">
        <f t="shared" ref="G10:G38" si="8">AVERAGE(B10:F10)</f>
        <v>8693.4511664209112</v>
      </c>
      <c r="H10" s="34">
        <f t="shared" ref="H10:H38" si="9">G10*G$8</f>
        <v>577142.76049894886</v>
      </c>
      <c r="I10" s="32">
        <f t="shared" si="2"/>
        <v>1.3269645834693812E-2</v>
      </c>
      <c r="J10" s="32">
        <f t="shared" si="3"/>
        <v>0.11</v>
      </c>
      <c r="K10" s="32">
        <f t="shared" si="4"/>
        <v>4.0157720413240672E-2</v>
      </c>
      <c r="L10" s="16">
        <f>G10/'Clause 6'!$G$11</f>
        <v>8693.4511664209112</v>
      </c>
      <c r="M10">
        <f t="shared" si="5"/>
        <v>5</v>
      </c>
      <c r="O10" s="85">
        <f t="shared" ref="O10:O38" si="10">IF(ISNUMBER(B10), (B10/$G10-1), 0)</f>
        <v>3.9054251148551433E-3</v>
      </c>
      <c r="P10" s="85">
        <f t="shared" si="6"/>
        <v>1.6693594686725488E-2</v>
      </c>
      <c r="Q10" s="85">
        <f t="shared" si="6"/>
        <v>-2.3464125726515128E-2</v>
      </c>
      <c r="R10" s="85">
        <f t="shared" si="6"/>
        <v>-2.5561461931701279E-3</v>
      </c>
      <c r="S10" s="85">
        <f t="shared" si="6"/>
        <v>5.4212521181047357E-3</v>
      </c>
    </row>
    <row r="11" spans="1:49" ht="13.15" x14ac:dyDescent="0.4">
      <c r="A11" s="11" t="s">
        <v>66</v>
      </c>
      <c r="B11" s="30">
        <f t="shared" ref="B11:F11" si="11">B55*$E$4</f>
        <v>7654.1953571715812</v>
      </c>
      <c r="C11" s="30">
        <f t="shared" si="11"/>
        <v>7775.1071469168901</v>
      </c>
      <c r="D11" s="30">
        <f t="shared" si="11"/>
        <v>7448.9524863941024</v>
      </c>
      <c r="E11" s="30">
        <f t="shared" si="11"/>
        <v>7617.2581243297591</v>
      </c>
      <c r="F11" s="30">
        <f t="shared" si="11"/>
        <v>7691.2193806970508</v>
      </c>
      <c r="G11" s="33">
        <f t="shared" si="8"/>
        <v>7637.3464991018773</v>
      </c>
      <c r="H11" s="34">
        <f t="shared" si="9"/>
        <v>507029.85005589499</v>
      </c>
      <c r="I11" s="32">
        <f t="shared" si="2"/>
        <v>1.410948208625745E-2</v>
      </c>
      <c r="J11" s="32">
        <f t="shared" si="3"/>
        <v>0.11</v>
      </c>
      <c r="K11" s="32">
        <f t="shared" si="4"/>
        <v>4.2705232839853773E-2</v>
      </c>
      <c r="L11" s="16">
        <f>G11/'Clause 6'!$G$11</f>
        <v>7637.3464991018773</v>
      </c>
      <c r="M11">
        <f t="shared" si="5"/>
        <v>5</v>
      </c>
      <c r="O11" s="85">
        <f t="shared" si="10"/>
        <v>2.2061141355425029E-3</v>
      </c>
      <c r="P11" s="85">
        <f t="shared" si="6"/>
        <v>1.8037763224598047E-2</v>
      </c>
      <c r="Q11" s="85">
        <f t="shared" si="6"/>
        <v>-2.4667469615255677E-2</v>
      </c>
      <c r="R11" s="85">
        <f t="shared" si="6"/>
        <v>-2.6302819669737909E-3</v>
      </c>
      <c r="S11" s="85">
        <f t="shared" si="6"/>
        <v>7.0538742220886963E-3</v>
      </c>
    </row>
    <row r="12" spans="1:49" ht="13.15" x14ac:dyDescent="0.4">
      <c r="A12" s="11" t="s">
        <v>67</v>
      </c>
      <c r="B12" s="30">
        <f t="shared" ref="B12:F12" si="12">B56*$E$4</f>
        <v>6696.7343733914213</v>
      </c>
      <c r="C12" s="30">
        <f t="shared" si="12"/>
        <v>6812.9415807640753</v>
      </c>
      <c r="D12" s="30">
        <f t="shared" si="12"/>
        <v>6534.4113589812332</v>
      </c>
      <c r="E12" s="30">
        <f t="shared" si="12"/>
        <v>6670.0512434316352</v>
      </c>
      <c r="F12" s="30">
        <f t="shared" si="12"/>
        <v>6741.505771313673</v>
      </c>
      <c r="G12" s="33">
        <f t="shared" si="8"/>
        <v>6691.1288655764074</v>
      </c>
      <c r="H12" s="34">
        <f t="shared" si="9"/>
        <v>444212.14433793642</v>
      </c>
      <c r="I12" s="32">
        <f t="shared" si="2"/>
        <v>1.3764523546746364E-2</v>
      </c>
      <c r="J12" s="32">
        <f t="shared" si="3"/>
        <v>0.11</v>
      </c>
      <c r="K12" s="32">
        <f t="shared" si="4"/>
        <v>4.1626790841794388E-2</v>
      </c>
      <c r="L12" s="16">
        <f>G12/'Clause 6'!$G$11</f>
        <v>6691.1288655764074</v>
      </c>
      <c r="M12">
        <f t="shared" si="5"/>
        <v>5</v>
      </c>
      <c r="O12" s="85">
        <f t="shared" si="10"/>
        <v>8.3775218317083677E-4</v>
      </c>
      <c r="P12" s="85">
        <f t="shared" si="6"/>
        <v>1.8205106736824739E-2</v>
      </c>
      <c r="Q12" s="85">
        <f t="shared" si="6"/>
        <v>-2.3421684104969587E-2</v>
      </c>
      <c r="R12" s="85">
        <f t="shared" si="6"/>
        <v>-3.150084622224103E-3</v>
      </c>
      <c r="S12" s="85">
        <f t="shared" si="6"/>
        <v>7.5289098071982252E-3</v>
      </c>
    </row>
    <row r="13" spans="1:49" ht="13.15" x14ac:dyDescent="0.4">
      <c r="A13" s="11" t="s">
        <v>68</v>
      </c>
      <c r="B13" s="30">
        <f t="shared" ref="B13:F13" si="13">B57*$E$4</f>
        <v>5835.7305369302949</v>
      </c>
      <c r="C13" s="30">
        <f t="shared" si="13"/>
        <v>5933.943073726542</v>
      </c>
      <c r="D13" s="30">
        <f t="shared" si="13"/>
        <v>5701.7605286193029</v>
      </c>
      <c r="E13" s="30">
        <f t="shared" si="13"/>
        <v>5810.1765406166223</v>
      </c>
      <c r="F13" s="30">
        <f t="shared" si="13"/>
        <v>5879.823773994638</v>
      </c>
      <c r="G13" s="33">
        <f t="shared" si="8"/>
        <v>5832.2868907774809</v>
      </c>
      <c r="H13" s="34">
        <f t="shared" si="9"/>
        <v>387195.15319379803</v>
      </c>
      <c r="I13" s="32">
        <f t="shared" si="2"/>
        <v>1.3310279040928281E-2</v>
      </c>
      <c r="J13" s="32">
        <f t="shared" si="3"/>
        <v>0.11</v>
      </c>
      <c r="K13" s="32">
        <f t="shared" si="4"/>
        <v>3.9809863515868245E-2</v>
      </c>
      <c r="L13" s="16">
        <f>G13/'Clause 6'!$G$11</f>
        <v>5832.2868907774809</v>
      </c>
      <c r="M13">
        <f t="shared" si="5"/>
        <v>5</v>
      </c>
      <c r="O13" s="85">
        <f t="shared" si="10"/>
        <v>5.9044526054763402E-4</v>
      </c>
      <c r="P13" s="85">
        <f t="shared" si="6"/>
        <v>1.7429900972431467E-2</v>
      </c>
      <c r="Q13" s="85">
        <f t="shared" si="6"/>
        <v>-2.2379962543436882E-2</v>
      </c>
      <c r="R13" s="85">
        <f t="shared" si="6"/>
        <v>-3.791025814560256E-3</v>
      </c>
      <c r="S13" s="85">
        <f t="shared" si="6"/>
        <v>8.15064212501726E-3</v>
      </c>
    </row>
    <row r="14" spans="1:49" ht="13.15" x14ac:dyDescent="0.4">
      <c r="A14" s="11" t="s">
        <v>69</v>
      </c>
      <c r="B14" s="30">
        <f t="shared" ref="B14:F14" si="14">B58*$E$4</f>
        <v>5080.2228750000004</v>
      </c>
      <c r="C14" s="30">
        <f t="shared" si="14"/>
        <v>5161.8510965817695</v>
      </c>
      <c r="D14" s="30">
        <f t="shared" si="14"/>
        <v>4966.6904481233241</v>
      </c>
      <c r="E14" s="30">
        <f t="shared" si="14"/>
        <v>5037.7816451742628</v>
      </c>
      <c r="F14" s="30">
        <f t="shared" si="14"/>
        <v>5113.2762097184986</v>
      </c>
      <c r="G14" s="33">
        <f t="shared" si="8"/>
        <v>5071.9644549195709</v>
      </c>
      <c r="H14" s="34">
        <f t="shared" si="9"/>
        <v>336718.6990100703</v>
      </c>
      <c r="I14" s="32">
        <f t="shared" si="2"/>
        <v>1.3109601123042785E-2</v>
      </c>
      <c r="J14" s="32">
        <f t="shared" si="3"/>
        <v>0.11</v>
      </c>
      <c r="K14" s="32">
        <f t="shared" si="4"/>
        <v>3.8478315491574197E-2</v>
      </c>
      <c r="L14" s="16">
        <f>G14/'Clause 6'!$G$11</f>
        <v>5071.9644549195709</v>
      </c>
      <c r="M14">
        <f t="shared" si="5"/>
        <v>5</v>
      </c>
      <c r="O14" s="85">
        <f t="shared" si="10"/>
        <v>1.6282488084906621E-3</v>
      </c>
      <c r="P14" s="85">
        <f t="shared" si="6"/>
        <v>1.7722253864577597E-2</v>
      </c>
      <c r="Q14" s="85">
        <f t="shared" si="6"/>
        <v>-2.0756061626996614E-2</v>
      </c>
      <c r="R14" s="85">
        <f t="shared" si="6"/>
        <v>-6.7395601939110872E-3</v>
      </c>
      <c r="S14" s="85">
        <f t="shared" si="6"/>
        <v>8.1451191478396634E-3</v>
      </c>
    </row>
    <row r="15" spans="1:49" ht="13.15" x14ac:dyDescent="0.4">
      <c r="A15" s="11" t="s">
        <v>70</v>
      </c>
      <c r="B15" s="30">
        <f t="shared" ref="B15:F15" si="15">B59*$E$4</f>
        <v>4381.6207595844498</v>
      </c>
      <c r="C15" s="30">
        <f t="shared" si="15"/>
        <v>4441.2963865281508</v>
      </c>
      <c r="D15" s="30">
        <f t="shared" si="15"/>
        <v>4278.4683674262733</v>
      </c>
      <c r="E15" s="30">
        <f t="shared" si="15"/>
        <v>4349.8373810991961</v>
      </c>
      <c r="F15" s="30">
        <f t="shared" si="15"/>
        <v>4408.7952808310993</v>
      </c>
      <c r="G15" s="33">
        <f t="shared" si="8"/>
        <v>4372.0036350938335</v>
      </c>
      <c r="H15" s="34">
        <f t="shared" si="9"/>
        <v>290249.54515369103</v>
      </c>
      <c r="I15" s="32">
        <f t="shared" si="2"/>
        <v>1.2730023115262218E-2</v>
      </c>
      <c r="J15" s="32">
        <f t="shared" si="3"/>
        <v>0.11</v>
      </c>
      <c r="K15" s="32">
        <f t="shared" si="4"/>
        <v>3.7243340283357948E-2</v>
      </c>
      <c r="L15" s="16">
        <f>G15/'Clause 6'!$G$11</f>
        <v>4372.0036350938335</v>
      </c>
      <c r="M15">
        <f t="shared" si="5"/>
        <v>5</v>
      </c>
      <c r="O15" s="85">
        <f t="shared" si="10"/>
        <v>2.1997064260010912E-3</v>
      </c>
      <c r="P15" s="85">
        <f t="shared" si="6"/>
        <v>1.5849198037739098E-2</v>
      </c>
      <c r="Q15" s="85">
        <f t="shared" si="6"/>
        <v>-2.1394142245618863E-2</v>
      </c>
      <c r="R15" s="85">
        <f t="shared" si="6"/>
        <v>-5.0700447311411434E-3</v>
      </c>
      <c r="S15" s="85">
        <f t="shared" si="6"/>
        <v>8.4152825130201503E-3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71</v>
      </c>
      <c r="B16" s="30">
        <f t="shared" ref="B16:F16" si="16">B60*$E$4</f>
        <v>3724.3452058981234</v>
      </c>
      <c r="C16" s="30">
        <f t="shared" si="16"/>
        <v>3791.1525857908846</v>
      </c>
      <c r="D16" s="30">
        <f t="shared" si="16"/>
        <v>3651.8883266085795</v>
      </c>
      <c r="E16" s="30">
        <f t="shared" si="16"/>
        <v>3713.3912438337798</v>
      </c>
      <c r="F16" s="30">
        <f t="shared" si="16"/>
        <v>3761.8682778150132</v>
      </c>
      <c r="G16" s="33">
        <f t="shared" si="8"/>
        <v>3728.5291279892758</v>
      </c>
      <c r="H16" s="34">
        <f t="shared" si="9"/>
        <v>247530.41713057697</v>
      </c>
      <c r="I16" s="32">
        <f t="shared" si="2"/>
        <v>1.2667366746273166E-2</v>
      </c>
      <c r="J16" s="32">
        <f t="shared" si="3"/>
        <v>0.11</v>
      </c>
      <c r="K16" s="32">
        <f t="shared" si="4"/>
        <v>3.7350991343175481E-2</v>
      </c>
      <c r="L16" s="16">
        <f>G16/'Clause 6'!$G$11</f>
        <v>3728.5291279892758</v>
      </c>
      <c r="M16">
        <f t="shared" si="5"/>
        <v>5</v>
      </c>
      <c r="O16" s="85">
        <f t="shared" si="10"/>
        <v>-1.122137429407366E-3</v>
      </c>
      <c r="P16" s="85">
        <f t="shared" si="6"/>
        <v>1.6795753942622449E-2</v>
      </c>
      <c r="Q16" s="85">
        <f t="shared" si="6"/>
        <v>-2.0555237400552984E-2</v>
      </c>
      <c r="R16" s="85">
        <f t="shared" si="6"/>
        <v>-4.0600149913967432E-3</v>
      </c>
      <c r="S16" s="85">
        <f t="shared" si="6"/>
        <v>8.941635878735088E-3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72</v>
      </c>
      <c r="B17" s="30">
        <f t="shared" ref="B17:F17" si="17">B61*$E$4</f>
        <v>3151.4994356568368</v>
      </c>
      <c r="C17" s="30">
        <f t="shared" si="17"/>
        <v>3195.1263839812332</v>
      </c>
      <c r="D17" s="30">
        <f t="shared" si="17"/>
        <v>3089.7144471849865</v>
      </c>
      <c r="E17" s="30">
        <f t="shared" si="17"/>
        <v>3121.497613069705</v>
      </c>
      <c r="F17" s="30">
        <f t="shared" si="17"/>
        <v>3169.8319093163541</v>
      </c>
      <c r="G17" s="33">
        <f t="shared" si="8"/>
        <v>3145.5339578418229</v>
      </c>
      <c r="H17" s="34">
        <f t="shared" si="9"/>
        <v>208826.40471763554</v>
      </c>
      <c r="I17" s="32">
        <f t="shared" si="2"/>
        <v>1.1705819600828147E-2</v>
      </c>
      <c r="J17" s="32">
        <f t="shared" si="3"/>
        <v>0.11</v>
      </c>
      <c r="K17" s="32">
        <f t="shared" si="4"/>
        <v>3.3511619397226494E-2</v>
      </c>
      <c r="L17" s="16">
        <f>G17/'Clause 6'!$G$11</f>
        <v>3145.5339578418229</v>
      </c>
      <c r="M17">
        <f t="shared" si="5"/>
        <v>5</v>
      </c>
      <c r="O17" s="85">
        <f t="shared" si="10"/>
        <v>1.896491309572923E-3</v>
      </c>
      <c r="P17" s="85">
        <f t="shared" si="6"/>
        <v>1.5765980213240383E-2</v>
      </c>
      <c r="Q17" s="85">
        <f t="shared" si="6"/>
        <v>-1.7745639183985973E-2</v>
      </c>
      <c r="R17" s="85">
        <f t="shared" si="6"/>
        <v>-7.6414195790813766E-3</v>
      </c>
      <c r="S17" s="85">
        <f t="shared" si="6"/>
        <v>7.7245872402542659E-3</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73</v>
      </c>
      <c r="B18" s="30">
        <f t="shared" ref="B18:F18" si="18">B62*$E$4</f>
        <v>2623.8549773458444</v>
      </c>
      <c r="C18" s="30">
        <f t="shared" si="18"/>
        <v>2662.2857385388743</v>
      </c>
      <c r="D18" s="30">
        <f t="shared" si="18"/>
        <v>2583.1304227882038</v>
      </c>
      <c r="E18" s="30">
        <f t="shared" si="18"/>
        <v>2592.8497394772121</v>
      </c>
      <c r="F18" s="30">
        <f t="shared" si="18"/>
        <v>2641.1936088471848</v>
      </c>
      <c r="G18" s="33">
        <f t="shared" si="8"/>
        <v>2620.6628973994639</v>
      </c>
      <c r="H18" s="34">
        <f t="shared" si="9"/>
        <v>173981.1485666853</v>
      </c>
      <c r="I18" s="32">
        <f t="shared" si="2"/>
        <v>1.1250442976274913E-2</v>
      </c>
      <c r="J18" s="32">
        <f t="shared" si="3"/>
        <v>0.11</v>
      </c>
      <c r="K18" s="32">
        <f t="shared" si="4"/>
        <v>3.0204310454892129E-2</v>
      </c>
      <c r="L18" s="16">
        <f>G18/'Clause 6'!$G$11</f>
        <v>2620.6628973994639</v>
      </c>
      <c r="M18">
        <f t="shared" si="5"/>
        <v>5</v>
      </c>
      <c r="O18" s="85">
        <f t="shared" si="10"/>
        <v>1.2180429423211958E-3</v>
      </c>
      <c r="P18" s="85">
        <f t="shared" si="6"/>
        <v>1.5882562072639494E-2</v>
      </c>
      <c r="Q18" s="85">
        <f t="shared" si="6"/>
        <v>-1.432174838225253E-2</v>
      </c>
      <c r="R18" s="85">
        <f t="shared" si="6"/>
        <v>-1.0613023884091022E-2</v>
      </c>
      <c r="S18" s="85">
        <f t="shared" si="6"/>
        <v>7.834167251382862E-3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74</v>
      </c>
      <c r="B19" s="30">
        <f t="shared" ref="B19:F19" si="19">B63*$E$4</f>
        <v>2151.8241983914209</v>
      </c>
      <c r="C19" s="30">
        <f t="shared" si="19"/>
        <v>2181.7928361260056</v>
      </c>
      <c r="D19" s="30">
        <f t="shared" si="19"/>
        <v>2111.6635728552278</v>
      </c>
      <c r="E19" s="30">
        <f t="shared" si="19"/>
        <v>2124.9353652144773</v>
      </c>
      <c r="F19" s="30">
        <f t="shared" si="19"/>
        <v>2154.0563018766757</v>
      </c>
      <c r="G19" s="33">
        <f t="shared" si="8"/>
        <v>2144.8544548927612</v>
      </c>
      <c r="H19" s="34">
        <f t="shared" si="9"/>
        <v>142393.07235620142</v>
      </c>
      <c r="I19" s="32">
        <f t="shared" si="2"/>
        <v>1.1412882089856018E-2</v>
      </c>
      <c r="J19" s="32">
        <f t="shared" si="3"/>
        <v>0.11</v>
      </c>
      <c r="K19" s="32">
        <f t="shared" si="4"/>
        <v>3.2696513794118531E-2</v>
      </c>
      <c r="L19" s="16">
        <f>G19/'Clause 6'!$G$11</f>
        <v>2144.8544548927612</v>
      </c>
      <c r="M19">
        <f t="shared" si="5"/>
        <v>5</v>
      </c>
      <c r="O19" s="85">
        <f t="shared" si="10"/>
        <v>3.2495181585681099E-3</v>
      </c>
      <c r="P19" s="85">
        <f t="shared" si="6"/>
        <v>1.7221859109825433E-2</v>
      </c>
      <c r="Q19" s="85">
        <f t="shared" si="6"/>
        <v>-1.547465468429321E-2</v>
      </c>
      <c r="R19" s="85">
        <f t="shared" si="6"/>
        <v>-9.2869190414506253E-3</v>
      </c>
      <c r="S19" s="85">
        <f t="shared" si="6"/>
        <v>4.2901964573509588E-3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75</v>
      </c>
      <c r="B20" s="30">
        <f t="shared" ref="B20:F20" si="20">B64*$E$4</f>
        <v>1733.712121849866</v>
      </c>
      <c r="C20" s="30">
        <f t="shared" si="20"/>
        <v>1749.9612923592495</v>
      </c>
      <c r="D20" s="30">
        <f t="shared" si="20"/>
        <v>1694.5908611260054</v>
      </c>
      <c r="E20" s="30">
        <f t="shared" si="20"/>
        <v>1700.2438710455765</v>
      </c>
      <c r="F20" s="30">
        <f t="shared" si="20"/>
        <v>1729.7254792895442</v>
      </c>
      <c r="G20" s="33">
        <f t="shared" si="8"/>
        <v>1721.6467251340484</v>
      </c>
      <c r="H20" s="34">
        <f t="shared" si="9"/>
        <v>114297.0639078104</v>
      </c>
      <c r="I20" s="32">
        <f t="shared" si="2"/>
        <v>1.2191141347923607E-2</v>
      </c>
      <c r="J20" s="32">
        <f t="shared" si="3"/>
        <v>0.11</v>
      </c>
      <c r="K20" s="32">
        <f t="shared" si="4"/>
        <v>3.2161319987951006E-2</v>
      </c>
      <c r="L20" s="16">
        <f>G20/'Clause 6'!$G$11</f>
        <v>1721.6467251340484</v>
      </c>
      <c r="M20">
        <f t="shared" si="5"/>
        <v>5</v>
      </c>
      <c r="O20" s="85">
        <f t="shared" si="10"/>
        <v>7.0080560312848483E-3</v>
      </c>
      <c r="P20" s="85">
        <f t="shared" si="6"/>
        <v>1.6446212112996905E-2</v>
      </c>
      <c r="Q20" s="85">
        <f t="shared" si="6"/>
        <v>-1.5715107874954115E-2</v>
      </c>
      <c r="R20" s="85">
        <f t="shared" si="6"/>
        <v>-1.2431617808703166E-2</v>
      </c>
      <c r="S20" s="85">
        <f t="shared" si="6"/>
        <v>4.6924575393751944E-3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76</v>
      </c>
      <c r="B21" s="30">
        <f t="shared" ref="B21:F21" si="21">B65*$E$4</f>
        <v>1364.7565174932977</v>
      </c>
      <c r="C21" s="30">
        <f t="shared" si="21"/>
        <v>1383.1587642091154</v>
      </c>
      <c r="D21" s="30">
        <f t="shared" si="21"/>
        <v>1343.7178873324397</v>
      </c>
      <c r="E21" s="30">
        <f t="shared" si="21"/>
        <v>1345.2999080428956</v>
      </c>
      <c r="F21" s="30">
        <f t="shared" si="21"/>
        <v>1356.7345180965146</v>
      </c>
      <c r="G21" s="33">
        <f t="shared" si="8"/>
        <v>1358.7335190348526</v>
      </c>
      <c r="H21" s="34">
        <f t="shared" si="9"/>
        <v>90203.901643479723</v>
      </c>
      <c r="I21" s="32">
        <f t="shared" si="2"/>
        <v>1.0628706924012476E-2</v>
      </c>
      <c r="J21" s="32">
        <f t="shared" si="3"/>
        <v>0.11</v>
      </c>
      <c r="K21" s="32">
        <f t="shared" si="4"/>
        <v>2.9027676379612455E-2</v>
      </c>
      <c r="L21" s="16">
        <f>G21/'Clause 6'!$G$11</f>
        <v>1358.7335190348526</v>
      </c>
      <c r="M21">
        <f t="shared" si="5"/>
        <v>5</v>
      </c>
      <c r="O21" s="85">
        <f t="shared" si="10"/>
        <v>4.4328033231442188E-3</v>
      </c>
      <c r="P21" s="85">
        <f t="shared" si="6"/>
        <v>1.7976479443601701E-2</v>
      </c>
      <c r="Q21" s="85">
        <f t="shared" si="6"/>
        <v>-1.1051196936010643E-2</v>
      </c>
      <c r="R21" s="85">
        <f t="shared" si="6"/>
        <v>-9.886862143137054E-3</v>
      </c>
      <c r="S21" s="85">
        <f t="shared" si="6"/>
        <v>-1.4712236875983331E-3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77</v>
      </c>
      <c r="B22" s="30">
        <f t="shared" ref="B22:F22" si="22">B66*$E$4</f>
        <v>1055.6925587801609</v>
      </c>
      <c r="C22" s="30">
        <f t="shared" si="22"/>
        <v>1069.1463354557641</v>
      </c>
      <c r="D22" s="30">
        <f t="shared" si="22"/>
        <v>1043.4286489276139</v>
      </c>
      <c r="E22" s="30">
        <f t="shared" si="22"/>
        <v>1040.7454663538874</v>
      </c>
      <c r="F22" s="30">
        <f t="shared" si="22"/>
        <v>1057.2024678284183</v>
      </c>
      <c r="G22" s="33">
        <f t="shared" si="8"/>
        <v>1053.2430954691688</v>
      </c>
      <c r="H22" s="34">
        <f t="shared" si="9"/>
        <v>69922.935777621024</v>
      </c>
      <c r="I22" s="32">
        <f t="shared" si="2"/>
        <v>9.748423394611988E-3</v>
      </c>
      <c r="J22" s="32">
        <f t="shared" si="3"/>
        <v>0.11</v>
      </c>
      <c r="K22" s="32">
        <f t="shared" si="4"/>
        <v>2.6965160487689158E-2</v>
      </c>
      <c r="L22" s="16">
        <f>G22/'Clause 6'!$G$11</f>
        <v>1053.2430954691688</v>
      </c>
      <c r="M22">
        <f t="shared" si="5"/>
        <v>5</v>
      </c>
      <c r="O22" s="85">
        <f t="shared" si="10"/>
        <v>2.3256390870531884E-3</v>
      </c>
      <c r="P22" s="85">
        <f t="shared" si="6"/>
        <v>1.5099306185825112E-2</v>
      </c>
      <c r="Q22" s="85">
        <f t="shared" si="6"/>
        <v>-9.3183108285015415E-3</v>
      </c>
      <c r="R22" s="85">
        <f t="shared" si="6"/>
        <v>-1.1865854301863932E-2</v>
      </c>
      <c r="S22" s="85">
        <f t="shared" si="6"/>
        <v>3.7592198574876168E-3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78</v>
      </c>
      <c r="B23" s="30">
        <f t="shared" ref="B23:F23" si="23">B67*$E$4</f>
        <v>812.41273009383383</v>
      </c>
      <c r="C23" s="30">
        <f t="shared" si="23"/>
        <v>818.17231387399465</v>
      </c>
      <c r="D23" s="30">
        <f t="shared" si="23"/>
        <v>798.57966883378015</v>
      </c>
      <c r="E23" s="30">
        <f t="shared" si="23"/>
        <v>791.08777493297589</v>
      </c>
      <c r="F23" s="30">
        <f t="shared" si="23"/>
        <v>807.97458237265414</v>
      </c>
      <c r="G23" s="33">
        <f t="shared" si="8"/>
        <v>805.64541402144766</v>
      </c>
      <c r="H23" s="34">
        <f t="shared" si="9"/>
        <v>53485.366091161435</v>
      </c>
      <c r="I23" s="32">
        <f t="shared" si="2"/>
        <v>1.2034205150129951E-2</v>
      </c>
      <c r="J23" s="32">
        <f t="shared" si="3"/>
        <v>0.11</v>
      </c>
      <c r="K23" s="32">
        <f t="shared" si="4"/>
        <v>3.3618436187483502E-2</v>
      </c>
      <c r="L23" s="16">
        <f>G23/'Clause 6'!$G$11</f>
        <v>805.64541402144766</v>
      </c>
      <c r="M23">
        <f t="shared" si="5"/>
        <v>5</v>
      </c>
      <c r="O23" s="85">
        <f t="shared" si="10"/>
        <v>8.399869166519025E-3</v>
      </c>
      <c r="P23" s="85">
        <f t="shared" si="6"/>
        <v>1.5548899844185726E-2</v>
      </c>
      <c r="Q23" s="85">
        <f t="shared" si="6"/>
        <v>-8.7702915757916777E-3</v>
      </c>
      <c r="R23" s="85">
        <f t="shared" si="6"/>
        <v>-1.8069536343297776E-2</v>
      </c>
      <c r="S23" s="85">
        <f t="shared" si="6"/>
        <v>2.8910589083852578E-3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79</v>
      </c>
      <c r="B24" s="30">
        <f t="shared" ref="B24:F24" si="24">B68*$E$4</f>
        <v>621.2757916219839</v>
      </c>
      <c r="C24" s="30">
        <f t="shared" si="24"/>
        <v>619.69345113941017</v>
      </c>
      <c r="D24" s="30">
        <f t="shared" si="24"/>
        <v>605.36049021447718</v>
      </c>
      <c r="E24" s="30">
        <f t="shared" si="24"/>
        <v>603.27181541554955</v>
      </c>
      <c r="F24" s="30">
        <f t="shared" si="24"/>
        <v>614.15536575067028</v>
      </c>
      <c r="G24" s="33">
        <f t="shared" si="8"/>
        <v>612.75138282841817</v>
      </c>
      <c r="H24" s="34">
        <f t="shared" si="9"/>
        <v>40679.474447515291</v>
      </c>
      <c r="I24" s="32">
        <f t="shared" si="2"/>
        <v>1.1932833896030053E-2</v>
      </c>
      <c r="J24" s="32">
        <f t="shared" si="3"/>
        <v>0.11</v>
      </c>
      <c r="K24" s="32">
        <f t="shared" si="4"/>
        <v>2.9382187802382807E-2</v>
      </c>
      <c r="L24" s="16">
        <f>G24/'Clause 6'!$G$11</f>
        <v>612.75138282841817</v>
      </c>
      <c r="M24">
        <f t="shared" si="5"/>
        <v>5</v>
      </c>
      <c r="O24" s="85">
        <f t="shared" si="10"/>
        <v>1.3911692461986203E-2</v>
      </c>
      <c r="P24" s="85">
        <f t="shared" si="6"/>
        <v>1.1329339281043849E-2</v>
      </c>
      <c r="Q24" s="85">
        <f t="shared" si="6"/>
        <v>-1.206181303063758E-2</v>
      </c>
      <c r="R24" s="85">
        <f t="shared" si="6"/>
        <v>-1.5470495340396573E-2</v>
      </c>
      <c r="S24" s="85">
        <f t="shared" si="6"/>
        <v>2.291276628004324E-3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80</v>
      </c>
      <c r="B25" s="30">
        <f t="shared" ref="B25:F25" si="25">B69*$E$4</f>
        <v>467.75275864611257</v>
      </c>
      <c r="C25" s="30">
        <f t="shared" si="25"/>
        <v>466.48429061662205</v>
      </c>
      <c r="D25" s="30">
        <f t="shared" si="25"/>
        <v>461.45471957104559</v>
      </c>
      <c r="E25" s="30">
        <f t="shared" si="25"/>
        <v>459.26978813672923</v>
      </c>
      <c r="F25" s="30">
        <f t="shared" si="25"/>
        <v>467.68133619302949</v>
      </c>
      <c r="G25" s="33">
        <f t="shared" si="8"/>
        <v>464.52857863270782</v>
      </c>
      <c r="H25" s="34">
        <f t="shared" si="9"/>
        <v>30839.226110602325</v>
      </c>
      <c r="I25" s="32">
        <f t="shared" si="2"/>
        <v>7.5353513991646701E-3</v>
      </c>
      <c r="J25" s="32">
        <f t="shared" si="3"/>
        <v>0.11</v>
      </c>
      <c r="K25" s="32">
        <f t="shared" si="4"/>
        <v>1.8261460972653368E-2</v>
      </c>
      <c r="L25" s="16">
        <f>G25/'Clause 6'!$G$11</f>
        <v>464.52857863270782</v>
      </c>
      <c r="M25">
        <f t="shared" si="5"/>
        <v>5</v>
      </c>
      <c r="O25" s="85">
        <f t="shared" si="10"/>
        <v>6.940757063633729E-3</v>
      </c>
      <c r="P25" s="85">
        <f t="shared" si="6"/>
        <v>4.2101004628620764E-3</v>
      </c>
      <c r="Q25" s="85">
        <f t="shared" si="6"/>
        <v>-6.617158132035339E-3</v>
      </c>
      <c r="R25" s="85">
        <f t="shared" si="6"/>
        <v>-1.1320703909019514E-2</v>
      </c>
      <c r="S25" s="85">
        <f t="shared" si="6"/>
        <v>6.7870045145586033E-3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81</v>
      </c>
      <c r="B26" s="30">
        <f t="shared" ref="B26:F26" si="26">B70*$E$4</f>
        <v>354.02305764075072</v>
      </c>
      <c r="C26" s="30">
        <f t="shared" si="26"/>
        <v>356.55414282841826</v>
      </c>
      <c r="D26" s="30">
        <f t="shared" si="26"/>
        <v>350.27522298927613</v>
      </c>
      <c r="E26" s="30">
        <f t="shared" si="26"/>
        <v>352.06249557640751</v>
      </c>
      <c r="F26" s="30">
        <f t="shared" si="26"/>
        <v>354.49681789544235</v>
      </c>
      <c r="G26" s="33">
        <f t="shared" si="8"/>
        <v>353.48234738605896</v>
      </c>
      <c r="H26" s="34">
        <f t="shared" si="9"/>
        <v>23467.064328381013</v>
      </c>
      <c r="I26" s="32">
        <f t="shared" si="2"/>
        <v>6.0753062263010733E-3</v>
      </c>
      <c r="J26" s="32">
        <f t="shared" si="3"/>
        <v>0.11</v>
      </c>
      <c r="K26" s="32">
        <f t="shared" si="4"/>
        <v>1.7763036501182206E-2</v>
      </c>
      <c r="L26" s="16">
        <f>G26/'Clause 6'!$G$11</f>
        <v>353.48234738605896</v>
      </c>
      <c r="M26">
        <f t="shared" si="5"/>
        <v>5</v>
      </c>
      <c r="O26" s="85">
        <f t="shared" si="10"/>
        <v>1.5296669230875359E-3</v>
      </c>
      <c r="P26" s="85">
        <f t="shared" si="6"/>
        <v>8.69009574332269E-3</v>
      </c>
      <c r="Q26" s="85">
        <f t="shared" si="6"/>
        <v>-9.0729407578594712E-3</v>
      </c>
      <c r="R26" s="85">
        <f t="shared" si="6"/>
        <v>-4.0167545003336746E-3</v>
      </c>
      <c r="S26" s="85">
        <f t="shared" si="6"/>
        <v>2.8699325917835861E-3</v>
      </c>
    </row>
    <row r="27" spans="1:49" ht="13.15" x14ac:dyDescent="0.4">
      <c r="A27" s="11" t="s">
        <v>82</v>
      </c>
      <c r="B27" s="30">
        <f t="shared" ref="B27:F27" si="27">B71*$E$4</f>
        <v>269.83564403485252</v>
      </c>
      <c r="C27" s="30">
        <f t="shared" si="27"/>
        <v>273.60887312332443</v>
      </c>
      <c r="D27" s="30">
        <f t="shared" si="27"/>
        <v>268.16079617962464</v>
      </c>
      <c r="E27" s="30">
        <f t="shared" si="27"/>
        <v>267.242390616622</v>
      </c>
      <c r="F27" s="30">
        <f t="shared" si="27"/>
        <v>270.08929041554961</v>
      </c>
      <c r="G27" s="33">
        <f t="shared" si="8"/>
        <v>269.78739887399468</v>
      </c>
      <c r="H27" s="34">
        <f t="shared" si="9"/>
        <v>17910.705559075715</v>
      </c>
      <c r="I27" s="32">
        <f t="shared" si="2"/>
        <v>8.0902982742592534E-3</v>
      </c>
      <c r="J27" s="32">
        <f t="shared" si="3"/>
        <v>0.11</v>
      </c>
      <c r="K27" s="32">
        <f t="shared" si="4"/>
        <v>2.3598146293244471E-2</v>
      </c>
      <c r="L27" s="16">
        <f>G27/'Clause 6'!$G$11</f>
        <v>269.78739887399468</v>
      </c>
      <c r="M27">
        <f t="shared" si="5"/>
        <v>5</v>
      </c>
      <c r="O27" s="85">
        <f t="shared" si="10"/>
        <v>1.7882659108314769E-4</v>
      </c>
      <c r="P27" s="85">
        <f t="shared" si="6"/>
        <v>1.416476182831139E-2</v>
      </c>
      <c r="Q27" s="85">
        <f t="shared" si="6"/>
        <v>-6.0292018869634312E-3</v>
      </c>
      <c r="R27" s="85">
        <f t="shared" si="6"/>
        <v>-9.4333844649331366E-3</v>
      </c>
      <c r="S27" s="85">
        <f t="shared" si="6"/>
        <v>1.1189979325014754E-3</v>
      </c>
    </row>
    <row r="28" spans="1:49" ht="13.15" x14ac:dyDescent="0.4">
      <c r="A28" s="11" t="s">
        <v>83</v>
      </c>
      <c r="B28" s="30">
        <f t="shared" ref="B28:F28" si="28">B72*$E$4</f>
        <v>203.48657600536194</v>
      </c>
      <c r="C28" s="30">
        <f t="shared" si="28"/>
        <v>209.09585730563003</v>
      </c>
      <c r="D28" s="30">
        <f t="shared" si="28"/>
        <v>205.47287754691689</v>
      </c>
      <c r="E28" s="30">
        <f t="shared" si="28"/>
        <v>204.14452848525471</v>
      </c>
      <c r="F28" s="30">
        <f t="shared" si="28"/>
        <v>204.47186970509384</v>
      </c>
      <c r="G28" s="33">
        <f t="shared" si="8"/>
        <v>205.33434180965145</v>
      </c>
      <c r="H28" s="34">
        <f t="shared" si="9"/>
        <v>13631.781738764435</v>
      </c>
      <c r="I28" s="32">
        <f t="shared" si="2"/>
        <v>9.6771697181100309E-3</v>
      </c>
      <c r="J28" s="32">
        <f t="shared" si="3"/>
        <v>0.11</v>
      </c>
      <c r="K28" s="32">
        <f t="shared" si="4"/>
        <v>2.7317794241491257E-2</v>
      </c>
      <c r="L28" s="16">
        <f>G28/'Clause 6'!$G$11</f>
        <v>205.33434180965145</v>
      </c>
      <c r="M28">
        <f t="shared" si="5"/>
        <v>5</v>
      </c>
      <c r="O28" s="85">
        <f t="shared" si="10"/>
        <v>-8.9988152395980014E-3</v>
      </c>
      <c r="P28" s="85">
        <f t="shared" si="6"/>
        <v>1.8318979001893387E-2</v>
      </c>
      <c r="Q28" s="85">
        <f t="shared" si="6"/>
        <v>6.7468371848811159E-4</v>
      </c>
      <c r="R28" s="85">
        <f t="shared" si="6"/>
        <v>-5.7945169517709116E-3</v>
      </c>
      <c r="S28" s="85">
        <f t="shared" si="6"/>
        <v>-4.2003305290116977E-3</v>
      </c>
    </row>
    <row r="29" spans="1:49" ht="13.15" x14ac:dyDescent="0.4">
      <c r="A29" s="11" t="s">
        <v>84</v>
      </c>
      <c r="B29" s="30">
        <f t="shared" ref="B29:F29" si="29">B73*$E$4</f>
        <v>152.87725971849866</v>
      </c>
      <c r="C29" s="30">
        <f t="shared" si="29"/>
        <v>155.56849845844505</v>
      </c>
      <c r="D29" s="30">
        <f t="shared" si="29"/>
        <v>154.66503766756031</v>
      </c>
      <c r="E29" s="30">
        <f t="shared" si="29"/>
        <v>153.60712520107239</v>
      </c>
      <c r="F29" s="30">
        <f t="shared" si="29"/>
        <v>153.79776514745308</v>
      </c>
      <c r="G29" s="33">
        <f t="shared" si="8"/>
        <v>154.10313723860594</v>
      </c>
      <c r="H29" s="34">
        <f t="shared" si="9"/>
        <v>10230.63318868952</v>
      </c>
      <c r="I29" s="32">
        <f t="shared" si="2"/>
        <v>6.0213475363323672E-3</v>
      </c>
      <c r="J29" s="32">
        <f t="shared" si="3"/>
        <v>0.11</v>
      </c>
      <c r="K29" s="32">
        <f t="shared" si="4"/>
        <v>1.7463880282848492E-2</v>
      </c>
      <c r="L29" s="16">
        <f>G29/'Clause 6'!$G$11</f>
        <v>154.10313723860594</v>
      </c>
      <c r="M29">
        <f t="shared" si="5"/>
        <v>5</v>
      </c>
      <c r="O29" s="85">
        <f t="shared" si="10"/>
        <v>-7.9549160521579232E-3</v>
      </c>
      <c r="P29" s="85">
        <f t="shared" si="6"/>
        <v>9.5089642306906974E-3</v>
      </c>
      <c r="Q29" s="85">
        <f t="shared" si="6"/>
        <v>3.6462621009742957E-3</v>
      </c>
      <c r="R29" s="85">
        <f t="shared" si="6"/>
        <v>-3.2187017501502657E-3</v>
      </c>
      <c r="S29" s="85">
        <f t="shared" si="6"/>
        <v>-1.9816085293581365E-3</v>
      </c>
    </row>
    <row r="30" spans="1:49" ht="13.15" x14ac:dyDescent="0.4">
      <c r="A30" s="11" t="s">
        <v>85</v>
      </c>
      <c r="B30" s="30">
        <f t="shared" ref="B30:F30" si="30">B74*$E$4</f>
        <v>114.85973907506704</v>
      </c>
      <c r="C30" s="30">
        <f t="shared" si="30"/>
        <v>116.04967211796246</v>
      </c>
      <c r="D30" s="30">
        <f t="shared" si="30"/>
        <v>115.58783666219838</v>
      </c>
      <c r="E30" s="30">
        <f t="shared" si="30"/>
        <v>113.93081762734585</v>
      </c>
      <c r="F30" s="30">
        <f t="shared" si="30"/>
        <v>114.88597084450403</v>
      </c>
      <c r="G30" s="33">
        <f t="shared" si="8"/>
        <v>115.06280726541556</v>
      </c>
      <c r="H30" s="34">
        <f t="shared" si="9"/>
        <v>7638.8151201015417</v>
      </c>
      <c r="I30" s="32">
        <f t="shared" si="2"/>
        <v>6.2712776000195007E-3</v>
      </c>
      <c r="J30" s="32">
        <f t="shared" si="3"/>
        <v>0.113</v>
      </c>
      <c r="K30" s="32">
        <f t="shared" si="4"/>
        <v>1.8414764431473048E-2</v>
      </c>
      <c r="L30" s="16">
        <f>G30/'Clause 6'!$G$11</f>
        <v>115.06280726541556</v>
      </c>
      <c r="M30">
        <f t="shared" si="5"/>
        <v>5</v>
      </c>
      <c r="O30" s="85">
        <f t="shared" si="10"/>
        <v>-1.7648464797151986E-3</v>
      </c>
      <c r="P30" s="85">
        <f t="shared" si="6"/>
        <v>8.5767493076238654E-3</v>
      </c>
      <c r="Q30" s="85">
        <f t="shared" si="6"/>
        <v>4.5629809428493484E-3</v>
      </c>
      <c r="R30" s="85">
        <f t="shared" si="6"/>
        <v>-9.8380151238492974E-3</v>
      </c>
      <c r="S30" s="85">
        <f t="shared" si="6"/>
        <v>-1.5368686469088289E-3</v>
      </c>
    </row>
    <row r="31" spans="1:49" ht="13.15" x14ac:dyDescent="0.4">
      <c r="A31" s="11" t="s">
        <v>86</v>
      </c>
      <c r="B31" s="30">
        <f t="shared" ref="B31:F31" si="31">B75*$E$4</f>
        <v>84.025995777479906</v>
      </c>
      <c r="C31" s="30">
        <f t="shared" si="31"/>
        <v>87.36903900804289</v>
      </c>
      <c r="D31" s="30">
        <f t="shared" si="31"/>
        <v>85.700871514745316</v>
      </c>
      <c r="E31" s="30">
        <f t="shared" si="31"/>
        <v>83.34239095174263</v>
      </c>
      <c r="F31" s="30">
        <f t="shared" si="31"/>
        <v>84.259572319034859</v>
      </c>
      <c r="G31" s="33">
        <f t="shared" si="8"/>
        <v>84.93957391420912</v>
      </c>
      <c r="H31" s="34">
        <f t="shared" si="9"/>
        <v>5638.9872360246536</v>
      </c>
      <c r="I31" s="32">
        <f t="shared" si="2"/>
        <v>1.6922046303805834E-2</v>
      </c>
      <c r="J31" s="32">
        <f t="shared" si="3"/>
        <v>0.113</v>
      </c>
      <c r="K31" s="32">
        <f t="shared" si="4"/>
        <v>4.7406030790397714E-2</v>
      </c>
      <c r="L31" s="16">
        <f>G31/'Clause 6'!$G$11</f>
        <v>84.93957391420912</v>
      </c>
      <c r="M31">
        <f t="shared" si="5"/>
        <v>5</v>
      </c>
      <c r="O31" s="85">
        <f t="shared" si="10"/>
        <v>-1.0755624199998315E-2</v>
      </c>
      <c r="P31" s="85">
        <f t="shared" si="6"/>
        <v>2.8602275498669005E-2</v>
      </c>
      <c r="Q31" s="85">
        <f t="shared" si="6"/>
        <v>8.9628139800315143E-3</v>
      </c>
      <c r="R31" s="85">
        <f t="shared" si="6"/>
        <v>-1.880375529172873E-2</v>
      </c>
      <c r="S31" s="85">
        <f t="shared" si="6"/>
        <v>-8.0057099869735859E-3</v>
      </c>
    </row>
    <row r="32" spans="1:49" ht="13.15" x14ac:dyDescent="0.4">
      <c r="A32" s="11" t="s">
        <v>87</v>
      </c>
      <c r="B32" s="30">
        <f t="shared" ref="B32:F32" si="32">B76*$E$4</f>
        <v>59.084562600536188</v>
      </c>
      <c r="C32" s="30"/>
      <c r="D32" s="30">
        <f t="shared" si="32"/>
        <v>60.595820442359248</v>
      </c>
      <c r="E32" s="30">
        <f t="shared" si="32"/>
        <v>61.250747721179621</v>
      </c>
      <c r="F32" s="30">
        <f t="shared" si="32"/>
        <v>62.066534316353888</v>
      </c>
      <c r="G32" s="33">
        <f t="shared" si="8"/>
        <v>60.74941627010724</v>
      </c>
      <c r="H32" s="34">
        <f t="shared" si="9"/>
        <v>4033.0456953914286</v>
      </c>
      <c r="I32" s="32">
        <f t="shared" si="2"/>
        <v>1.7997338133845957E-2</v>
      </c>
      <c r="J32" s="32">
        <f t="shared" si="3"/>
        <v>0.11900000000000001</v>
      </c>
      <c r="K32" s="32">
        <f t="shared" si="4"/>
        <v>4.9086425827683695E-2</v>
      </c>
      <c r="L32" s="16">
        <f>G32/'Clause 6'!$G$11</f>
        <v>60.74941627010724</v>
      </c>
      <c r="M32">
        <f t="shared" si="5"/>
        <v>4</v>
      </c>
      <c r="O32" s="85">
        <f t="shared" si="10"/>
        <v>-2.7405262005624764E-2</v>
      </c>
      <c r="P32" s="85">
        <f t="shared" si="6"/>
        <v>0</v>
      </c>
      <c r="Q32" s="85">
        <f t="shared" si="6"/>
        <v>-2.5283506769030462E-3</v>
      </c>
      <c r="R32" s="85">
        <f t="shared" si="6"/>
        <v>8.2524488604687196E-3</v>
      </c>
      <c r="S32" s="85">
        <f t="shared" si="6"/>
        <v>2.1681163822058869E-2</v>
      </c>
    </row>
    <row r="33" spans="1:19" ht="13.15" x14ac:dyDescent="0.4">
      <c r="A33" s="11" t="s">
        <v>88</v>
      </c>
      <c r="B33" s="30">
        <f t="shared" ref="B33:F33" si="33">B77*$E$4</f>
        <v>42.134070844504024</v>
      </c>
      <c r="C33" s="30">
        <f t="shared" si="33"/>
        <v>45.490884316353892</v>
      </c>
      <c r="D33" s="30">
        <f t="shared" si="33"/>
        <v>42.588926206434316</v>
      </c>
      <c r="E33" s="30">
        <f t="shared" si="33"/>
        <v>44.848253887399466</v>
      </c>
      <c r="F33" s="30">
        <f t="shared" si="33"/>
        <v>43.868242091152823</v>
      </c>
      <c r="G33" s="33">
        <f t="shared" si="8"/>
        <v>43.786075469168907</v>
      </c>
      <c r="H33" s="34">
        <f t="shared" si="9"/>
        <v>2906.8796711370301</v>
      </c>
      <c r="I33" s="32">
        <f t="shared" si="2"/>
        <v>2.9253786887827853E-2</v>
      </c>
      <c r="J33" s="32">
        <f t="shared" si="3"/>
        <v>0.11900000000000001</v>
      </c>
      <c r="K33" s="32">
        <f t="shared" si="4"/>
        <v>7.6663949346488056E-2</v>
      </c>
      <c r="L33" s="16">
        <f>G33/'Clause 6'!$G$11</f>
        <v>43.786075469168907</v>
      </c>
      <c r="M33">
        <f t="shared" si="5"/>
        <v>5</v>
      </c>
      <c r="O33" s="85">
        <f t="shared" si="10"/>
        <v>-3.7728995050677949E-2</v>
      </c>
      <c r="P33" s="85">
        <f t="shared" si="6"/>
        <v>3.8934954295810176E-2</v>
      </c>
      <c r="Q33" s="85">
        <f t="shared" si="6"/>
        <v>-2.7340866928746377E-2</v>
      </c>
      <c r="R33" s="85">
        <f t="shared" si="6"/>
        <v>2.4258360833879111E-2</v>
      </c>
      <c r="S33" s="85">
        <f t="shared" si="6"/>
        <v>1.876546849734817E-3</v>
      </c>
    </row>
    <row r="34" spans="1:19" ht="13.15" x14ac:dyDescent="0.4">
      <c r="A34" s="11" t="s">
        <v>89</v>
      </c>
      <c r="B34" s="30">
        <f t="shared" ref="B34:F34" si="34">B78*$E$4</f>
        <v>30.591597386058982</v>
      </c>
      <c r="C34" s="30"/>
      <c r="D34" s="30">
        <f t="shared" si="34"/>
        <v>28.915638605898124</v>
      </c>
      <c r="E34" s="30">
        <f t="shared" si="34"/>
        <v>30.662314946380697</v>
      </c>
      <c r="F34" s="30">
        <f t="shared" si="34"/>
        <v>30.108556769437001</v>
      </c>
      <c r="G34" s="33">
        <f t="shared" si="8"/>
        <v>30.069526926943702</v>
      </c>
      <c r="H34" s="34">
        <f t="shared" si="9"/>
        <v>1996.2624100939838</v>
      </c>
      <c r="I34" s="32">
        <f t="shared" si="2"/>
        <v>2.3261183502041757E-2</v>
      </c>
      <c r="J34" s="32">
        <f t="shared" si="3"/>
        <v>0.13400000000000001</v>
      </c>
      <c r="K34" s="32">
        <f t="shared" si="4"/>
        <v>5.8087922192000603E-2</v>
      </c>
      <c r="L34" s="16">
        <f>G34/'Clause 6'!$G$11</f>
        <v>30.069526926943702</v>
      </c>
      <c r="M34">
        <f t="shared" si="5"/>
        <v>4</v>
      </c>
      <c r="O34" s="85">
        <f t="shared" si="10"/>
        <v>1.7362110830133615E-2</v>
      </c>
      <c r="P34" s="85">
        <f t="shared" si="6"/>
        <v>0</v>
      </c>
      <c r="Q34" s="85">
        <f t="shared" si="6"/>
        <v>-3.8374009802317199E-2</v>
      </c>
      <c r="R34" s="85">
        <f t="shared" si="6"/>
        <v>1.9713912389683452E-2</v>
      </c>
      <c r="S34" s="85">
        <f t="shared" si="6"/>
        <v>1.2979865825000214E-3</v>
      </c>
    </row>
    <row r="35" spans="1:19" ht="13.15" x14ac:dyDescent="0.4">
      <c r="A35" s="11" t="s">
        <v>90</v>
      </c>
      <c r="B35" s="30">
        <f t="shared" ref="B35:F35" si="35">B79*$E$4</f>
        <v>20.663452949061661</v>
      </c>
      <c r="C35" s="30">
        <f t="shared" si="35"/>
        <v>22.266202211796248</v>
      </c>
      <c r="D35" s="30">
        <f t="shared" si="35"/>
        <v>20.622005428954424</v>
      </c>
      <c r="E35" s="30">
        <f t="shared" si="35"/>
        <v>20.835597520107239</v>
      </c>
      <c r="F35" s="30">
        <f t="shared" si="35"/>
        <v>20.639526675603218</v>
      </c>
      <c r="G35" s="33">
        <f t="shared" si="8"/>
        <v>21.00535695710456</v>
      </c>
      <c r="H35" s="34">
        <f t="shared" si="9"/>
        <v>1394.5082876079691</v>
      </c>
      <c r="I35" s="32">
        <f t="shared" si="2"/>
        <v>3.0231227558676979E-2</v>
      </c>
      <c r="J35" s="32">
        <f t="shared" si="3"/>
        <v>0.13400000000000001</v>
      </c>
      <c r="K35" s="32">
        <f t="shared" si="4"/>
        <v>7.8275117447395431E-2</v>
      </c>
      <c r="L35" s="16">
        <f>G35/'Clause 6'!$G$11</f>
        <v>21.00535695710456</v>
      </c>
      <c r="M35">
        <f t="shared" si="5"/>
        <v>5</v>
      </c>
      <c r="O35" s="85">
        <f t="shared" si="10"/>
        <v>-1.6276991090468429E-2</v>
      </c>
      <c r="P35" s="85">
        <f t="shared" si="6"/>
        <v>6.0024938270103467E-2</v>
      </c>
      <c r="Q35" s="85">
        <f t="shared" si="6"/>
        <v>-1.8250179177292103E-2</v>
      </c>
      <c r="R35" s="85">
        <f t="shared" si="6"/>
        <v>-8.0817211220923779E-3</v>
      </c>
      <c r="S35" s="85">
        <f t="shared" si="6"/>
        <v>-1.7416046880251113E-2</v>
      </c>
    </row>
    <row r="36" spans="1:19" ht="13.15" x14ac:dyDescent="0.4">
      <c r="A36" s="11" t="s">
        <v>91</v>
      </c>
      <c r="B36" s="30">
        <f t="shared" ref="B36:E36" si="36">B80*$E$4</f>
        <v>13.076090951742628</v>
      </c>
      <c r="C36" s="30">
        <f t="shared" si="36"/>
        <v>14.819558243967828</v>
      </c>
      <c r="D36" s="30">
        <f t="shared" si="36"/>
        <v>12.926111729222519</v>
      </c>
      <c r="E36" s="30">
        <f t="shared" si="36"/>
        <v>14.112055026809653</v>
      </c>
      <c r="F36" s="30"/>
      <c r="G36" s="33">
        <f t="shared" si="8"/>
        <v>13.733453987935658</v>
      </c>
      <c r="H36" s="34">
        <f t="shared" si="9"/>
        <v>911.73958351521742</v>
      </c>
      <c r="I36" s="32">
        <f t="shared" si="2"/>
        <v>5.6483064090804849E-2</v>
      </c>
      <c r="J36" s="32">
        <f t="shared" si="3"/>
        <v>0.156</v>
      </c>
      <c r="K36" s="32">
        <f t="shared" si="4"/>
        <v>0.13787110776419631</v>
      </c>
      <c r="L36" s="16">
        <f>G36/'Clause 6'!$G$11</f>
        <v>13.733453987935658</v>
      </c>
      <c r="M36">
        <f t="shared" si="5"/>
        <v>4</v>
      </c>
      <c r="O36" s="85">
        <f t="shared" si="10"/>
        <v>-4.7865819972928825E-2</v>
      </c>
      <c r="P36" s="85">
        <f t="shared" si="6"/>
        <v>7.9084566561789416E-2</v>
      </c>
      <c r="Q36" s="85">
        <f t="shared" si="6"/>
        <v>-5.8786541202406895E-2</v>
      </c>
      <c r="R36" s="85">
        <f t="shared" si="6"/>
        <v>2.7567794613545971E-2</v>
      </c>
      <c r="S36" s="85">
        <f t="shared" si="6"/>
        <v>0</v>
      </c>
    </row>
    <row r="37" spans="1:19" ht="13.15" x14ac:dyDescent="0.4">
      <c r="A37" s="11" t="s">
        <v>92</v>
      </c>
      <c r="B37" s="30">
        <f t="shared" ref="B37:E37" si="37">B81*$E$4</f>
        <v>9.1209777479892757</v>
      </c>
      <c r="C37" s="30">
        <f t="shared" si="37"/>
        <v>9.8059766756032172</v>
      </c>
      <c r="D37" s="30">
        <f t="shared" si="37"/>
        <v>9.1155241957104565</v>
      </c>
      <c r="E37" s="30">
        <f t="shared" si="37"/>
        <v>8.6445565013404835</v>
      </c>
      <c r="F37" s="30"/>
      <c r="G37" s="33">
        <f t="shared" si="8"/>
        <v>9.1717587801608573</v>
      </c>
      <c r="H37" s="34">
        <f t="shared" si="9"/>
        <v>608.89675224250493</v>
      </c>
      <c r="I37" s="32">
        <f t="shared" si="2"/>
        <v>4.5149477397015567E-2</v>
      </c>
      <c r="J37" s="32">
        <f t="shared" si="3"/>
        <v>0.156</v>
      </c>
      <c r="K37" s="32">
        <f t="shared" si="4"/>
        <v>0.12663003924339628</v>
      </c>
      <c r="L37" s="16">
        <f>G37/'Clause 6'!$G$11</f>
        <v>9.1717587801608573</v>
      </c>
      <c r="M37">
        <f t="shared" si="5"/>
        <v>4</v>
      </c>
      <c r="O37" s="85">
        <f t="shared" si="10"/>
        <v>-5.5366733239239352E-3</v>
      </c>
      <c r="P37" s="85">
        <f t="shared" si="6"/>
        <v>6.9148994281687415E-2</v>
      </c>
      <c r="Q37" s="85">
        <f t="shared" si="6"/>
        <v>-6.1312759960543417E-3</v>
      </c>
      <c r="R37" s="85">
        <f t="shared" si="6"/>
        <v>-5.7481044961708805E-2</v>
      </c>
      <c r="S37" s="85">
        <f t="shared" si="6"/>
        <v>0</v>
      </c>
    </row>
    <row r="38" spans="1:19" ht="13.15" x14ac:dyDescent="0.4">
      <c r="A38" s="11" t="s">
        <v>93</v>
      </c>
      <c r="B38" s="30">
        <f t="shared" ref="B38:E38" si="38">B82*$E$4</f>
        <v>5.4080130697050937</v>
      </c>
      <c r="C38" s="30">
        <f t="shared" si="38"/>
        <v>6.0457902815013407</v>
      </c>
      <c r="D38" s="30">
        <f t="shared" si="38"/>
        <v>6.0521107908847185</v>
      </c>
      <c r="E38" s="30">
        <f t="shared" si="38"/>
        <v>5.6891528820375337</v>
      </c>
      <c r="F38" s="30"/>
      <c r="G38" s="33">
        <f t="shared" si="8"/>
        <v>5.7987667560321716</v>
      </c>
      <c r="H38" s="34">
        <f t="shared" si="9"/>
        <v>384.96981106799996</v>
      </c>
      <c r="I38" s="32">
        <f t="shared" si="2"/>
        <v>4.6426299044931597E-2</v>
      </c>
      <c r="J38" s="32">
        <f t="shared" si="3"/>
        <v>0.193</v>
      </c>
      <c r="K38" s="32">
        <f t="shared" si="4"/>
        <v>0.11107494891212889</v>
      </c>
      <c r="L38" s="16">
        <f>G38/'Clause 6'!$G$11</f>
        <v>5.7987667560321716</v>
      </c>
      <c r="M38">
        <f t="shared" si="5"/>
        <v>4</v>
      </c>
      <c r="O38" s="85">
        <f t="shared" si="10"/>
        <v>-6.7385653323716821E-2</v>
      </c>
      <c r="P38" s="85">
        <f t="shared" si="6"/>
        <v>4.2599320831830711E-2</v>
      </c>
      <c r="Q38" s="85">
        <f t="shared" si="6"/>
        <v>4.3689295588412058E-2</v>
      </c>
      <c r="R38" s="85">
        <f t="shared" si="6"/>
        <v>-1.890296309652606E-2</v>
      </c>
      <c r="S38" s="85">
        <f t="shared" si="6"/>
        <v>0</v>
      </c>
    </row>
    <row r="40" spans="1:19" x14ac:dyDescent="0.35">
      <c r="A40" t="s">
        <v>94</v>
      </c>
    </row>
    <row r="41" spans="1:19" ht="15" x14ac:dyDescent="0.5">
      <c r="A41" s="36"/>
      <c r="B41" s="37" t="s">
        <v>95</v>
      </c>
      <c r="C41" s="36"/>
      <c r="D41" s="38" t="s">
        <v>96</v>
      </c>
      <c r="E41" s="39"/>
      <c r="F41" s="39"/>
      <c r="G41" s="39"/>
      <c r="H41" s="40"/>
    </row>
    <row r="42" spans="1:19" ht="15" x14ac:dyDescent="0.5">
      <c r="A42" s="41" t="s">
        <v>97</v>
      </c>
      <c r="B42" s="42" t="s">
        <v>98</v>
      </c>
      <c r="C42" s="41" t="s">
        <v>99</v>
      </c>
      <c r="D42" s="41" t="s">
        <v>100</v>
      </c>
      <c r="E42" s="42" t="s">
        <v>101</v>
      </c>
      <c r="F42" s="42" t="s">
        <v>102</v>
      </c>
      <c r="G42" s="42" t="s">
        <v>103</v>
      </c>
      <c r="H42" s="43" t="s">
        <v>104</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ht="13.15" x14ac:dyDescent="0.4">
      <c r="B51" s="14" t="s">
        <v>51</v>
      </c>
      <c r="C51" s="14" t="s">
        <v>52</v>
      </c>
      <c r="D51" s="14" t="s">
        <v>53</v>
      </c>
      <c r="E51" s="14" t="s">
        <v>54</v>
      </c>
      <c r="F51" s="14" t="s">
        <v>55</v>
      </c>
      <c r="G51" s="14" t="s">
        <v>51</v>
      </c>
      <c r="H51" s="14" t="s">
        <v>52</v>
      </c>
      <c r="I51" s="14" t="s">
        <v>53</v>
      </c>
      <c r="J51" s="14" t="s">
        <v>54</v>
      </c>
      <c r="K51" s="14" t="s">
        <v>55</v>
      </c>
      <c r="L51" s="14" t="s">
        <v>51</v>
      </c>
      <c r="M51" s="14" t="s">
        <v>52</v>
      </c>
      <c r="N51" s="14" t="s">
        <v>53</v>
      </c>
      <c r="O51" s="14" t="s">
        <v>54</v>
      </c>
      <c r="P51" s="14" t="s">
        <v>55</v>
      </c>
    </row>
    <row r="52" spans="1:16" ht="13.15" x14ac:dyDescent="0.4">
      <c r="A52" s="14" t="s">
        <v>105</v>
      </c>
      <c r="B52" s="111">
        <v>10.794725</v>
      </c>
      <c r="C52" s="111">
        <v>11.817764</v>
      </c>
      <c r="D52" s="111">
        <v>11.661454000000001</v>
      </c>
      <c r="E52" s="111">
        <v>11.792820000000001</v>
      </c>
      <c r="F52" s="111">
        <v>11.778202</v>
      </c>
      <c r="G52" s="111">
        <v>10.765807000000001</v>
      </c>
      <c r="H52" s="111">
        <v>11.557717999999999</v>
      </c>
      <c r="I52" s="111">
        <v>11.513206</v>
      </c>
      <c r="J52" s="111">
        <v>11.627454999999999</v>
      </c>
      <c r="K52" s="111">
        <v>11.623797</v>
      </c>
      <c r="L52" s="111">
        <v>10.700115</v>
      </c>
      <c r="M52" s="111">
        <v>11.625601</v>
      </c>
      <c r="N52" s="111">
        <v>11.478261</v>
      </c>
      <c r="O52" s="111">
        <v>11.572549</v>
      </c>
      <c r="P52" s="111">
        <v>11.671184</v>
      </c>
    </row>
    <row r="53" spans="1:16" ht="13.15" x14ac:dyDescent="0.4">
      <c r="A53" s="27">
        <v>4</v>
      </c>
      <c r="B53" s="111">
        <v>11418.447265999999</v>
      </c>
      <c r="C53" s="111">
        <v>11549.815430000001</v>
      </c>
      <c r="D53" s="111">
        <v>11089.697265999999</v>
      </c>
      <c r="E53" s="111">
        <v>11333.930664</v>
      </c>
      <c r="F53" s="111">
        <v>11386.203125</v>
      </c>
      <c r="G53" s="111">
        <v>12207.909180000001</v>
      </c>
      <c r="H53" s="111">
        <v>12249.043944999999</v>
      </c>
      <c r="I53" s="111">
        <v>12479.756836</v>
      </c>
      <c r="J53" s="111">
        <v>12240.597656</v>
      </c>
      <c r="K53" s="111">
        <v>12626.338867</v>
      </c>
      <c r="L53" s="111">
        <v>12891.916992</v>
      </c>
      <c r="M53" s="111">
        <v>12675.043944999999</v>
      </c>
      <c r="N53" s="111">
        <v>12273.113281</v>
      </c>
      <c r="O53" s="111">
        <v>12978.558594</v>
      </c>
      <c r="P53" s="111">
        <v>12555.024414</v>
      </c>
    </row>
    <row r="54" spans="1:16" ht="13.15" x14ac:dyDescent="0.4">
      <c r="A54" s="27">
        <v>5</v>
      </c>
      <c r="B54" s="111">
        <v>10016.373046999999</v>
      </c>
      <c r="C54" s="111">
        <v>10143.965819999999</v>
      </c>
      <c r="D54" s="111">
        <v>9743.2958980000003</v>
      </c>
      <c r="E54" s="111">
        <v>9951.9033199999994</v>
      </c>
      <c r="F54" s="111">
        <v>10031.497069999999</v>
      </c>
      <c r="G54" s="111">
        <v>10687.726562</v>
      </c>
      <c r="H54" s="111">
        <v>10704.015625</v>
      </c>
      <c r="I54" s="111">
        <v>10950.381836</v>
      </c>
      <c r="J54" s="111">
        <v>10724.014648</v>
      </c>
      <c r="K54" s="111">
        <v>11074.349609000001</v>
      </c>
      <c r="L54" s="111">
        <v>11285.486328000001</v>
      </c>
      <c r="M54" s="111">
        <v>11080.803711</v>
      </c>
      <c r="N54" s="111">
        <v>10777.852539</v>
      </c>
      <c r="O54" s="111">
        <v>11384.008789</v>
      </c>
      <c r="P54" s="111">
        <v>11033.842773</v>
      </c>
    </row>
    <row r="55" spans="1:16" ht="13.15" x14ac:dyDescent="0.4">
      <c r="A55" s="27">
        <v>6</v>
      </c>
      <c r="B55" s="111">
        <v>8784.6611329999996</v>
      </c>
      <c r="C55" s="111">
        <v>8923.4306639999995</v>
      </c>
      <c r="D55" s="111">
        <v>8549.1054690000001</v>
      </c>
      <c r="E55" s="111">
        <v>8742.2685550000006</v>
      </c>
      <c r="F55" s="111">
        <v>8827.1533199999994</v>
      </c>
      <c r="G55" s="111">
        <v>9371.4296880000002</v>
      </c>
      <c r="H55" s="111">
        <v>9376.4179690000001</v>
      </c>
      <c r="I55" s="111">
        <v>9595.9375</v>
      </c>
      <c r="J55" s="111">
        <v>9400.6816409999992</v>
      </c>
      <c r="K55" s="111">
        <v>9690.6367190000001</v>
      </c>
      <c r="L55" s="111">
        <v>9851.5761719999991</v>
      </c>
      <c r="M55" s="111">
        <v>9710.5517579999996</v>
      </c>
      <c r="N55" s="111">
        <v>9460.4921880000002</v>
      </c>
      <c r="O55" s="111">
        <v>9964.3564449999994</v>
      </c>
      <c r="P55" s="111">
        <v>9702.8720699999994</v>
      </c>
    </row>
    <row r="56" spans="1:16" ht="13.15" x14ac:dyDescent="0.4">
      <c r="A56" s="27">
        <v>7</v>
      </c>
      <c r="B56" s="111">
        <v>7685.7905270000001</v>
      </c>
      <c r="C56" s="111">
        <v>7819.1606449999999</v>
      </c>
      <c r="D56" s="111">
        <v>7499.4936520000001</v>
      </c>
      <c r="E56" s="111">
        <v>7655.1665039999998</v>
      </c>
      <c r="F56" s="111">
        <v>7737.1743159999996</v>
      </c>
      <c r="G56" s="111">
        <v>8141.7954099999997</v>
      </c>
      <c r="H56" s="111">
        <v>8174.4506840000004</v>
      </c>
      <c r="I56" s="111">
        <v>8376.1210940000001</v>
      </c>
      <c r="J56" s="111">
        <v>8228.7138670000004</v>
      </c>
      <c r="K56" s="111">
        <v>8446.6376949999994</v>
      </c>
      <c r="L56" s="111">
        <v>8584.2998050000006</v>
      </c>
      <c r="M56" s="111">
        <v>8491.0878909999992</v>
      </c>
      <c r="N56" s="111">
        <v>8266.234375</v>
      </c>
      <c r="O56" s="111">
        <v>8695.1455079999996</v>
      </c>
      <c r="P56" s="111">
        <v>8496.3105469999991</v>
      </c>
    </row>
    <row r="57" spans="1:16" ht="13.15" x14ac:dyDescent="0.4">
      <c r="A57" s="27">
        <v>8</v>
      </c>
      <c r="B57" s="111">
        <v>6697.623047</v>
      </c>
      <c r="C57" s="111">
        <v>6810.3408200000003</v>
      </c>
      <c r="D57" s="111">
        <v>6543.8666990000002</v>
      </c>
      <c r="E57" s="111">
        <v>6668.294922</v>
      </c>
      <c r="F57" s="111">
        <v>6748.2285160000001</v>
      </c>
      <c r="G57" s="111">
        <v>7059.5727539999998</v>
      </c>
      <c r="H57" s="111">
        <v>7111.6977539999998</v>
      </c>
      <c r="I57" s="111">
        <v>7271.3891599999997</v>
      </c>
      <c r="J57" s="111">
        <v>7149.7158200000003</v>
      </c>
      <c r="K57" s="111">
        <v>7324.7148440000001</v>
      </c>
      <c r="L57" s="111">
        <v>7460.6674800000001</v>
      </c>
      <c r="M57" s="111">
        <v>7378.1992190000001</v>
      </c>
      <c r="N57" s="111">
        <v>7200.9165039999998</v>
      </c>
      <c r="O57" s="111">
        <v>7554.861328</v>
      </c>
      <c r="P57" s="111">
        <v>7411.4165039999998</v>
      </c>
    </row>
    <row r="58" spans="1:16" ht="13.15" x14ac:dyDescent="0.4">
      <c r="A58" s="27">
        <v>9</v>
      </c>
      <c r="B58" s="111">
        <v>5830.5327150000003</v>
      </c>
      <c r="C58" s="111">
        <v>5924.216797</v>
      </c>
      <c r="D58" s="111">
        <v>5700.232422</v>
      </c>
      <c r="E58" s="111">
        <v>5781.8232420000004</v>
      </c>
      <c r="F58" s="111">
        <v>5868.4677730000003</v>
      </c>
      <c r="G58" s="111">
        <v>6098.1958009999998</v>
      </c>
      <c r="H58" s="111">
        <v>6153.03125</v>
      </c>
      <c r="I58" s="111">
        <v>6302.328125</v>
      </c>
      <c r="J58" s="111">
        <v>6189.0585940000001</v>
      </c>
      <c r="K58" s="111">
        <v>6343.2797849999997</v>
      </c>
      <c r="L58" s="111">
        <v>6462.080078</v>
      </c>
      <c r="M58" s="111">
        <v>6390.0351559999999</v>
      </c>
      <c r="N58" s="111">
        <v>6234.3066410000001</v>
      </c>
      <c r="O58" s="111">
        <v>6534.169922</v>
      </c>
      <c r="P58" s="111">
        <v>6428.2255859999996</v>
      </c>
    </row>
    <row r="59" spans="1:16" ht="13.15" x14ac:dyDescent="0.4">
      <c r="A59" s="27">
        <v>10</v>
      </c>
      <c r="B59" s="111">
        <v>5028.7524409999996</v>
      </c>
      <c r="C59" s="111">
        <v>5097.2416990000002</v>
      </c>
      <c r="D59" s="111">
        <v>4910.3652339999999</v>
      </c>
      <c r="E59" s="111">
        <v>4992.2749020000001</v>
      </c>
      <c r="F59" s="111">
        <v>5059.9404299999997</v>
      </c>
      <c r="G59" s="111">
        <v>5234.9072269999997</v>
      </c>
      <c r="H59" s="111">
        <v>5294.8168949999999</v>
      </c>
      <c r="I59" s="111">
        <v>5401.970703</v>
      </c>
      <c r="J59" s="111">
        <v>5302.0200199999999</v>
      </c>
      <c r="K59" s="111">
        <v>5444.9501950000003</v>
      </c>
      <c r="L59" s="111">
        <v>5549.3793949999999</v>
      </c>
      <c r="M59" s="111">
        <v>5497.7802730000003</v>
      </c>
      <c r="N59" s="111">
        <v>5358.9125979999999</v>
      </c>
      <c r="O59" s="111">
        <v>5609.8271480000003</v>
      </c>
      <c r="P59" s="111">
        <v>5524.0327150000003</v>
      </c>
    </row>
    <row r="60" spans="1:16" ht="13.15" x14ac:dyDescent="0.4">
      <c r="A60" s="27">
        <v>11</v>
      </c>
      <c r="B60" s="111">
        <v>4274.4023440000001</v>
      </c>
      <c r="C60" s="111">
        <v>4351.0766599999997</v>
      </c>
      <c r="D60" s="111">
        <v>4191.2441410000001</v>
      </c>
      <c r="E60" s="111">
        <v>4261.8305659999996</v>
      </c>
      <c r="F60" s="111">
        <v>4317.4672849999997</v>
      </c>
      <c r="G60" s="111">
        <v>4462.8330079999996</v>
      </c>
      <c r="H60" s="111">
        <v>4495.2646480000003</v>
      </c>
      <c r="I60" s="111">
        <v>4585.6040039999998</v>
      </c>
      <c r="J60" s="111">
        <v>4500.8129879999997</v>
      </c>
      <c r="K60" s="111">
        <v>4608.21875</v>
      </c>
      <c r="L60" s="111">
        <v>4722.0986329999996</v>
      </c>
      <c r="M60" s="111">
        <v>4676.0595700000003</v>
      </c>
      <c r="N60" s="111">
        <v>4535.9658200000003</v>
      </c>
      <c r="O60" s="111">
        <v>4764.1191410000001</v>
      </c>
      <c r="P60" s="111">
        <v>4694.2109380000002</v>
      </c>
    </row>
    <row r="61" spans="1:16" ht="13.15" x14ac:dyDescent="0.4">
      <c r="A61" s="27">
        <v>12</v>
      </c>
      <c r="B61" s="111">
        <v>3616.9516600000002</v>
      </c>
      <c r="C61" s="111">
        <v>3667.0219729999999</v>
      </c>
      <c r="D61" s="111">
        <v>3546.0415039999998</v>
      </c>
      <c r="E61" s="111">
        <v>3582.5187989999999</v>
      </c>
      <c r="F61" s="111">
        <v>3637.9916990000002</v>
      </c>
      <c r="G61" s="111">
        <v>3753.8291020000001</v>
      </c>
      <c r="H61" s="111">
        <v>3773.5822750000002</v>
      </c>
      <c r="I61" s="111">
        <v>3844.0207519999999</v>
      </c>
      <c r="J61" s="111">
        <v>3749.6599120000001</v>
      </c>
      <c r="K61" s="111">
        <v>3858.3776859999998</v>
      </c>
      <c r="L61" s="111">
        <v>3979.6767580000001</v>
      </c>
      <c r="M61" s="111">
        <v>3930.4636230000001</v>
      </c>
      <c r="N61" s="111">
        <v>3812.0756839999999</v>
      </c>
      <c r="O61" s="111">
        <v>3993.329346</v>
      </c>
      <c r="P61" s="111">
        <v>3929.5927729999999</v>
      </c>
    </row>
    <row r="62" spans="1:16" ht="13.15" x14ac:dyDescent="0.4">
      <c r="A62" s="27">
        <v>13</v>
      </c>
      <c r="B62" s="111">
        <v>3011.3781739999999</v>
      </c>
      <c r="C62" s="111">
        <v>3055.4848630000001</v>
      </c>
      <c r="D62" s="111">
        <v>2964.6389159999999</v>
      </c>
      <c r="E62" s="111">
        <v>2975.7937010000001</v>
      </c>
      <c r="F62" s="111">
        <v>3031.2775879999999</v>
      </c>
      <c r="G62" s="111">
        <v>3102.0432129999999</v>
      </c>
      <c r="H62" s="111">
        <v>3118.7817380000001</v>
      </c>
      <c r="I62" s="111">
        <v>3167.0588379999999</v>
      </c>
      <c r="J62" s="111">
        <v>3100.2485350000002</v>
      </c>
      <c r="K62" s="111">
        <v>3190.0073240000002</v>
      </c>
      <c r="L62" s="111">
        <v>3302.7680660000001</v>
      </c>
      <c r="M62" s="111">
        <v>3259.186279</v>
      </c>
      <c r="N62" s="111">
        <v>3153.0036620000001</v>
      </c>
      <c r="O62" s="111">
        <v>3314.9135740000002</v>
      </c>
      <c r="P62" s="111">
        <v>3245.2578119999998</v>
      </c>
    </row>
    <row r="63" spans="1:16" ht="13.15" x14ac:dyDescent="0.4">
      <c r="A63" s="27">
        <v>14</v>
      </c>
      <c r="B63" s="111">
        <v>2469.6320799999999</v>
      </c>
      <c r="C63" s="111">
        <v>2504.0268550000001</v>
      </c>
      <c r="D63" s="111">
        <v>2423.540039</v>
      </c>
      <c r="E63" s="111">
        <v>2438.7719729999999</v>
      </c>
      <c r="F63" s="111">
        <v>2472.1938479999999</v>
      </c>
      <c r="G63" s="111">
        <v>2520.4797359999998</v>
      </c>
      <c r="H63" s="111">
        <v>2536.0541990000002</v>
      </c>
      <c r="I63" s="111">
        <v>2568.876221</v>
      </c>
      <c r="J63" s="111">
        <v>2521.2741700000001</v>
      </c>
      <c r="K63" s="111">
        <v>2587.1064449999999</v>
      </c>
      <c r="L63" s="111">
        <v>2695.1110840000001</v>
      </c>
      <c r="M63" s="111">
        <v>2647.3471679999998</v>
      </c>
      <c r="N63" s="111">
        <v>2566.7651369999999</v>
      </c>
      <c r="O63" s="111">
        <v>2700.0102539999998</v>
      </c>
      <c r="P63" s="111">
        <v>2631.1813959999999</v>
      </c>
    </row>
    <row r="64" spans="1:16" ht="13.15" x14ac:dyDescent="0.4">
      <c r="A64" s="27">
        <v>15</v>
      </c>
      <c r="B64" s="111">
        <v>1989.7680660000001</v>
      </c>
      <c r="C64" s="111">
        <v>2008.4171140000001</v>
      </c>
      <c r="D64" s="111">
        <v>1944.8688959999999</v>
      </c>
      <c r="E64" s="111">
        <v>1951.356812</v>
      </c>
      <c r="F64" s="111">
        <v>1985.1926269999999</v>
      </c>
      <c r="G64" s="111">
        <v>2012.7613530000001</v>
      </c>
      <c r="H64" s="111">
        <v>2013.8057859999999</v>
      </c>
      <c r="I64" s="111">
        <v>2055.1184079999998</v>
      </c>
      <c r="J64" s="111">
        <v>2017.208496</v>
      </c>
      <c r="K64" s="111">
        <v>2061.3745119999999</v>
      </c>
      <c r="L64" s="111">
        <v>2150.7246089999999</v>
      </c>
      <c r="M64" s="111">
        <v>2115.8476559999999</v>
      </c>
      <c r="N64" s="111">
        <v>2046.4772949999999</v>
      </c>
      <c r="O64" s="111">
        <v>2161.9265140000002</v>
      </c>
      <c r="P64" s="111">
        <v>2110.0688479999999</v>
      </c>
    </row>
    <row r="65" spans="1:16" ht="13.15" x14ac:dyDescent="0.4">
      <c r="A65" s="27">
        <v>16</v>
      </c>
      <c r="B65" s="111">
        <v>1566.320557</v>
      </c>
      <c r="C65" s="111">
        <v>1587.4406739999999</v>
      </c>
      <c r="D65" s="111">
        <v>1542.174683</v>
      </c>
      <c r="E65" s="111">
        <v>1543.990356</v>
      </c>
      <c r="F65" s="111">
        <v>1557.1137699999999</v>
      </c>
      <c r="G65" s="111">
        <v>1571.0852050000001</v>
      </c>
      <c r="H65" s="111">
        <v>1571.8500979999999</v>
      </c>
      <c r="I65" s="111">
        <v>1602.594482</v>
      </c>
      <c r="J65" s="111">
        <v>1572.0551760000001</v>
      </c>
      <c r="K65" s="111">
        <v>1605.2413329999999</v>
      </c>
      <c r="L65" s="111">
        <v>1696.243408</v>
      </c>
      <c r="M65" s="111">
        <v>1658.0648189999999</v>
      </c>
      <c r="N65" s="111">
        <v>1602.159058</v>
      </c>
      <c r="O65" s="111">
        <v>1695.391357</v>
      </c>
      <c r="P65" s="111">
        <v>1646.4482419999999</v>
      </c>
    </row>
    <row r="66" spans="1:16" ht="13.15" x14ac:dyDescent="0.4">
      <c r="A66" s="27">
        <v>17</v>
      </c>
      <c r="B66" s="111">
        <v>1211.6102289999999</v>
      </c>
      <c r="C66" s="111">
        <v>1227.051025</v>
      </c>
      <c r="D66" s="111">
        <v>1197.535034</v>
      </c>
      <c r="E66" s="111">
        <v>1194.4555660000001</v>
      </c>
      <c r="F66" s="111">
        <v>1213.3431399999999</v>
      </c>
      <c r="G66" s="111">
        <v>1206.0405270000001</v>
      </c>
      <c r="H66" s="111">
        <v>1210.3599850000001</v>
      </c>
      <c r="I66" s="111">
        <v>1229.457764</v>
      </c>
      <c r="J66" s="111">
        <v>1207.229004</v>
      </c>
      <c r="K66" s="111">
        <v>1222.234009</v>
      </c>
      <c r="L66" s="111">
        <v>1305.593384</v>
      </c>
      <c r="M66" s="111">
        <v>1272.708374</v>
      </c>
      <c r="N66" s="111">
        <v>1229.193115</v>
      </c>
      <c r="O66" s="111">
        <v>1294.874634</v>
      </c>
      <c r="P66" s="111">
        <v>1275.2777100000001</v>
      </c>
    </row>
    <row r="67" spans="1:16" ht="13.15" x14ac:dyDescent="0.4">
      <c r="A67" s="27">
        <v>18</v>
      </c>
      <c r="B67" s="111">
        <v>932.39984100000004</v>
      </c>
      <c r="C67" s="111">
        <v>939.01007100000004</v>
      </c>
      <c r="D67" s="111">
        <v>916.52374299999997</v>
      </c>
      <c r="E67" s="111">
        <v>907.92535399999997</v>
      </c>
      <c r="F67" s="111">
        <v>927.30621299999996</v>
      </c>
      <c r="G67" s="111">
        <v>918.74206500000003</v>
      </c>
      <c r="H67" s="111">
        <v>915.05950900000005</v>
      </c>
      <c r="I67" s="111">
        <v>928.06475799999998</v>
      </c>
      <c r="J67" s="111">
        <v>907.59332300000005</v>
      </c>
      <c r="K67" s="111">
        <v>929.64453100000003</v>
      </c>
      <c r="L67" s="111">
        <v>1001.297607</v>
      </c>
      <c r="M67" s="111">
        <v>964.07922399999995</v>
      </c>
      <c r="N67" s="111">
        <v>933.939392</v>
      </c>
      <c r="O67" s="111">
        <v>981.97900400000003</v>
      </c>
      <c r="P67" s="111">
        <v>972.30926499999998</v>
      </c>
    </row>
    <row r="68" spans="1:16" ht="13.15" x14ac:dyDescent="0.4">
      <c r="A68" s="27">
        <v>19</v>
      </c>
      <c r="B68" s="111">
        <v>713.03344700000002</v>
      </c>
      <c r="C68" s="111">
        <v>711.21740699999998</v>
      </c>
      <c r="D68" s="111">
        <v>694.76757799999996</v>
      </c>
      <c r="E68" s="111">
        <v>692.37042199999996</v>
      </c>
      <c r="F68" s="111">
        <v>704.86138900000003</v>
      </c>
      <c r="G68" s="111">
        <v>692.65594499999997</v>
      </c>
      <c r="H68" s="111">
        <v>692.26464799999997</v>
      </c>
      <c r="I68" s="111">
        <v>700.76055899999994</v>
      </c>
      <c r="J68" s="111">
        <v>683.38256799999999</v>
      </c>
      <c r="K68" s="111">
        <v>697.87866199999996</v>
      </c>
      <c r="L68" s="111">
        <v>759.52453600000001</v>
      </c>
      <c r="M68" s="111">
        <v>730.11279300000001</v>
      </c>
      <c r="N68" s="111">
        <v>702.63256799999999</v>
      </c>
      <c r="O68" s="111">
        <v>741.84173599999997</v>
      </c>
      <c r="P68" s="111">
        <v>727.86108400000001</v>
      </c>
    </row>
    <row r="69" spans="1:16" ht="13.15" x14ac:dyDescent="0.4">
      <c r="A69" s="27">
        <v>20</v>
      </c>
      <c r="B69" s="111">
        <v>536.83624299999997</v>
      </c>
      <c r="C69" s="111">
        <v>535.38043200000004</v>
      </c>
      <c r="D69" s="111">
        <v>529.60803199999998</v>
      </c>
      <c r="E69" s="111">
        <v>527.10040300000003</v>
      </c>
      <c r="F69" s="111">
        <v>536.75427200000001</v>
      </c>
      <c r="G69" s="111">
        <v>525.18127400000003</v>
      </c>
      <c r="H69" s="111">
        <v>523.20013400000005</v>
      </c>
      <c r="I69" s="111">
        <v>529.56579599999998</v>
      </c>
      <c r="J69" s="111">
        <v>512.40789800000005</v>
      </c>
      <c r="K69" s="111">
        <v>526.33404499999995</v>
      </c>
      <c r="L69" s="111">
        <v>576.44238299999995</v>
      </c>
      <c r="M69" s="111">
        <v>553.17571999999996</v>
      </c>
      <c r="N69" s="111">
        <v>529.78405799999996</v>
      </c>
      <c r="O69" s="111">
        <v>555.53881799999999</v>
      </c>
      <c r="P69" s="111">
        <v>549.98706100000004</v>
      </c>
    </row>
    <row r="70" spans="1:16" ht="13.15" x14ac:dyDescent="0.4">
      <c r="A70" s="27">
        <v>21</v>
      </c>
      <c r="B70" s="111">
        <v>406.30954000000003</v>
      </c>
      <c r="C70" s="111">
        <v>409.21444700000001</v>
      </c>
      <c r="D70" s="111">
        <v>402.00817899999998</v>
      </c>
      <c r="E70" s="111">
        <v>404.05941799999999</v>
      </c>
      <c r="F70" s="111">
        <v>406.85327100000001</v>
      </c>
      <c r="G70" s="111">
        <v>394.86123700000002</v>
      </c>
      <c r="H70" s="111">
        <v>390.99414100000001</v>
      </c>
      <c r="I70" s="111">
        <v>399.88864100000001</v>
      </c>
      <c r="J70" s="111">
        <v>383.23089599999997</v>
      </c>
      <c r="K70" s="111">
        <v>389.63171399999999</v>
      </c>
      <c r="L70" s="111">
        <v>438.49993899999998</v>
      </c>
      <c r="M70" s="111">
        <v>422.51580799999999</v>
      </c>
      <c r="N70" s="111">
        <v>401.36743200000001</v>
      </c>
      <c r="O70" s="111">
        <v>420.82345600000002</v>
      </c>
      <c r="P70" s="111">
        <v>416.41021699999999</v>
      </c>
    </row>
    <row r="71" spans="1:16" ht="13.15" x14ac:dyDescent="0.4">
      <c r="A71" s="27">
        <v>22</v>
      </c>
      <c r="B71" s="111">
        <v>309.68829299999999</v>
      </c>
      <c r="C71" s="111">
        <v>314.018799</v>
      </c>
      <c r="D71" s="111">
        <v>307.76608299999998</v>
      </c>
      <c r="E71" s="111">
        <v>306.71203600000001</v>
      </c>
      <c r="F71" s="111">
        <v>309.979401</v>
      </c>
      <c r="G71" s="111">
        <v>296.772919</v>
      </c>
      <c r="H71" s="111">
        <v>296.77139299999999</v>
      </c>
      <c r="I71" s="111">
        <v>301.74047899999999</v>
      </c>
      <c r="J71" s="111">
        <v>290.34728999999999</v>
      </c>
      <c r="K71" s="111">
        <v>296.202698</v>
      </c>
      <c r="L71" s="111">
        <v>333.45434599999999</v>
      </c>
      <c r="M71" s="111">
        <v>318.349152</v>
      </c>
      <c r="N71" s="111">
        <v>306.405304</v>
      </c>
      <c r="O71" s="111">
        <v>319.46289100000001</v>
      </c>
      <c r="P71" s="111">
        <v>315.22082499999999</v>
      </c>
    </row>
    <row r="72" spans="1:16" ht="13.15" x14ac:dyDescent="0.4">
      <c r="A72" s="27">
        <v>23</v>
      </c>
      <c r="B72" s="111">
        <v>233.53997799999999</v>
      </c>
      <c r="C72" s="111">
        <v>239.97770700000001</v>
      </c>
      <c r="D72" s="111">
        <v>235.81964099999999</v>
      </c>
      <c r="E72" s="111">
        <v>234.29510500000001</v>
      </c>
      <c r="F72" s="111">
        <v>234.67079200000001</v>
      </c>
      <c r="G72" s="111">
        <v>224.04264800000001</v>
      </c>
      <c r="H72" s="111">
        <v>223.31397999999999</v>
      </c>
      <c r="I72" s="111">
        <v>227.21734599999999</v>
      </c>
      <c r="J72" s="111">
        <v>219.99655200000001</v>
      </c>
      <c r="K72" s="111">
        <v>223.42095900000001</v>
      </c>
      <c r="L72" s="111">
        <v>253.64213599999999</v>
      </c>
      <c r="M72" s="111">
        <v>239.81556699999999</v>
      </c>
      <c r="N72" s="111">
        <v>227.996216</v>
      </c>
      <c r="O72" s="111">
        <v>247.39579800000001</v>
      </c>
      <c r="P72" s="111">
        <v>238.79325900000001</v>
      </c>
    </row>
    <row r="73" spans="1:16" ht="13.15" x14ac:dyDescent="0.4">
      <c r="A73" s="27">
        <v>24</v>
      </c>
      <c r="B73" s="111">
        <v>175.45605499999999</v>
      </c>
      <c r="C73" s="111">
        <v>178.544769</v>
      </c>
      <c r="D73" s="111">
        <v>177.50787399999999</v>
      </c>
      <c r="E73" s="111">
        <v>176.29371599999999</v>
      </c>
      <c r="F73" s="111">
        <v>176.51251199999999</v>
      </c>
      <c r="G73" s="111">
        <v>169.51817299999999</v>
      </c>
      <c r="H73" s="111">
        <v>170.189301</v>
      </c>
      <c r="I73" s="111">
        <v>170.499863</v>
      </c>
      <c r="J73" s="111">
        <v>166.15846300000001</v>
      </c>
      <c r="K73" s="111">
        <v>168.533569</v>
      </c>
      <c r="L73" s="111">
        <v>184.01670799999999</v>
      </c>
      <c r="M73" s="111">
        <v>182.528198</v>
      </c>
      <c r="N73" s="111">
        <v>174.590912</v>
      </c>
      <c r="O73" s="111">
        <v>185.69807399999999</v>
      </c>
      <c r="P73" s="111">
        <v>181.55827300000001</v>
      </c>
    </row>
    <row r="74" spans="1:16" ht="13.15" x14ac:dyDescent="0.4">
      <c r="A74" s="27">
        <v>25</v>
      </c>
      <c r="B74" s="111">
        <v>131.82363900000001</v>
      </c>
      <c r="C74" s="111">
        <v>133.18931599999999</v>
      </c>
      <c r="D74" s="111">
        <v>132.65927099999999</v>
      </c>
      <c r="E74" s="111">
        <v>130.75752299999999</v>
      </c>
      <c r="F74" s="111">
        <v>131.853745</v>
      </c>
      <c r="G74" s="111">
        <v>125.489891</v>
      </c>
      <c r="H74" s="111">
        <v>127.620346</v>
      </c>
      <c r="I74" s="111">
        <v>124.552628</v>
      </c>
      <c r="J74" s="111">
        <v>124.102829</v>
      </c>
      <c r="K74" s="111">
        <v>127.75515</v>
      </c>
      <c r="L74" s="111">
        <v>138.97045900000001</v>
      </c>
      <c r="M74" s="111">
        <v>136.165009</v>
      </c>
      <c r="N74" s="111">
        <v>132.16287199999999</v>
      </c>
      <c r="O74" s="111">
        <v>138.69027700000001</v>
      </c>
      <c r="P74" s="111">
        <v>135.718887</v>
      </c>
    </row>
    <row r="75" spans="1:16" ht="13.15" x14ac:dyDescent="0.4">
      <c r="A75" s="27">
        <v>26</v>
      </c>
      <c r="B75" s="111">
        <v>96.435989000000006</v>
      </c>
      <c r="C75" s="111">
        <v>100.272774</v>
      </c>
      <c r="D75" s="111">
        <v>98.358231000000004</v>
      </c>
      <c r="E75" s="111">
        <v>95.651420999999999</v>
      </c>
      <c r="F75" s="111">
        <v>96.704063000000005</v>
      </c>
      <c r="G75" s="111">
        <v>91.028937999999997</v>
      </c>
      <c r="H75" s="111">
        <v>93.876662999999994</v>
      </c>
      <c r="I75" s="111">
        <v>91.112762000000004</v>
      </c>
      <c r="J75" s="111">
        <v>90.733528000000007</v>
      </c>
      <c r="K75" s="111">
        <v>96.095962999999998</v>
      </c>
      <c r="L75" s="111">
        <v>104.578316</v>
      </c>
      <c r="M75" s="111">
        <v>97.715378000000001</v>
      </c>
      <c r="N75" s="111">
        <v>97.924239999999998</v>
      </c>
      <c r="O75" s="111">
        <v>104.384956</v>
      </c>
      <c r="P75" s="111">
        <v>98.876007000000001</v>
      </c>
    </row>
    <row r="76" spans="1:16" ht="13.15" x14ac:dyDescent="0.4">
      <c r="A76" s="27">
        <v>27</v>
      </c>
      <c r="B76" s="111">
        <v>67.810897999999995</v>
      </c>
      <c r="C76" s="111">
        <v>74.294929999999994</v>
      </c>
      <c r="D76" s="111">
        <v>69.545356999999996</v>
      </c>
      <c r="E76" s="111">
        <v>70.297011999999995</v>
      </c>
      <c r="F76" s="111">
        <v>71.233283999999998</v>
      </c>
      <c r="G76" s="111">
        <v>65.763762999999997</v>
      </c>
      <c r="H76" s="111">
        <v>66.881714000000002</v>
      </c>
      <c r="I76" s="111">
        <v>67.661438000000004</v>
      </c>
      <c r="J76" s="111">
        <v>68.114647000000005</v>
      </c>
      <c r="K76" s="111">
        <v>68.996384000000006</v>
      </c>
      <c r="L76" s="111">
        <v>77.195426999999995</v>
      </c>
      <c r="M76" s="111">
        <v>72.770432</v>
      </c>
      <c r="N76" s="111">
        <v>70.655304000000001</v>
      </c>
      <c r="O76" s="111">
        <v>75.523551999999995</v>
      </c>
      <c r="P76" s="111">
        <v>70.515556000000004</v>
      </c>
    </row>
    <row r="77" spans="1:16" ht="13.15" x14ac:dyDescent="0.4">
      <c r="A77" s="27">
        <v>28</v>
      </c>
      <c r="B77" s="111">
        <v>48.356949</v>
      </c>
      <c r="C77" s="111">
        <v>52.209538000000002</v>
      </c>
      <c r="D77" s="111">
        <v>48.878982999999998</v>
      </c>
      <c r="E77" s="111">
        <v>51.471995999999997</v>
      </c>
      <c r="F77" s="111">
        <v>50.347244000000003</v>
      </c>
      <c r="G77" s="111">
        <v>48.672615</v>
      </c>
      <c r="H77" s="111">
        <v>46.981589999999997</v>
      </c>
      <c r="I77" s="111">
        <v>47.250092000000002</v>
      </c>
      <c r="J77" s="111">
        <v>47.645851</v>
      </c>
      <c r="K77" s="111">
        <v>48.865268999999998</v>
      </c>
      <c r="L77" s="111">
        <v>55.233051000000003</v>
      </c>
      <c r="M77" s="111">
        <v>53.158543000000002</v>
      </c>
      <c r="N77" s="111">
        <v>50.094695999999999</v>
      </c>
      <c r="O77" s="111">
        <v>54.266350000000003</v>
      </c>
      <c r="P77" s="111">
        <v>50.380493000000001</v>
      </c>
    </row>
    <row r="78" spans="1:16" ht="13.15" x14ac:dyDescent="0.4">
      <c r="A78" s="27">
        <v>29</v>
      </c>
      <c r="B78" s="111">
        <v>35.109741</v>
      </c>
      <c r="C78" s="111">
        <v>37.570557000000001</v>
      </c>
      <c r="D78" s="111">
        <v>33.186256</v>
      </c>
      <c r="E78" s="111">
        <v>35.190902999999999</v>
      </c>
      <c r="F78" s="111">
        <v>34.555359000000003</v>
      </c>
      <c r="G78" s="111">
        <v>34.832500000000003</v>
      </c>
      <c r="H78" s="111">
        <v>33.484119</v>
      </c>
      <c r="I78" s="111">
        <v>33.439861000000001</v>
      </c>
      <c r="J78" s="111">
        <v>34.401336999999998</v>
      </c>
      <c r="K78" s="111">
        <v>35.100406999999997</v>
      </c>
      <c r="L78" s="111">
        <v>40.093024999999997</v>
      </c>
      <c r="M78" s="111">
        <v>38.277591999999999</v>
      </c>
      <c r="N78" s="111">
        <v>36.155304000000001</v>
      </c>
      <c r="O78" s="111">
        <v>38.193832</v>
      </c>
      <c r="P78" s="111">
        <v>35.643344999999997</v>
      </c>
    </row>
    <row r="79" spans="1:16" ht="13.15" x14ac:dyDescent="0.4">
      <c r="A79" s="27">
        <v>30</v>
      </c>
      <c r="B79" s="111">
        <v>23.715285999999999</v>
      </c>
      <c r="C79" s="111">
        <v>25.554749000000001</v>
      </c>
      <c r="D79" s="111">
        <v>23.667717</v>
      </c>
      <c r="E79" s="111">
        <v>23.912855</v>
      </c>
      <c r="F79" s="111">
        <v>23.687826000000001</v>
      </c>
      <c r="G79" s="111">
        <v>24.429195</v>
      </c>
      <c r="H79" s="111">
        <v>22.668835000000001</v>
      </c>
      <c r="I79" s="111">
        <v>23.885615999999999</v>
      </c>
      <c r="J79" s="111">
        <v>23.822925999999999</v>
      </c>
      <c r="K79" s="111">
        <v>23.142178999999999</v>
      </c>
      <c r="L79" s="111">
        <v>27.009053999999999</v>
      </c>
      <c r="M79" s="111">
        <v>27.353424</v>
      </c>
      <c r="N79" s="111">
        <v>24.829546000000001</v>
      </c>
      <c r="O79" s="111">
        <v>25.404947</v>
      </c>
      <c r="P79" s="111">
        <v>22.705496</v>
      </c>
    </row>
    <row r="80" spans="1:16" ht="13.15" x14ac:dyDescent="0.4">
      <c r="A80" s="27">
        <v>38</v>
      </c>
      <c r="B80" s="111">
        <v>15.007329</v>
      </c>
      <c r="C80" s="111">
        <v>17.008292999999998</v>
      </c>
      <c r="D80" s="111">
        <v>14.835198999999999</v>
      </c>
      <c r="E80" s="111">
        <v>16.196297000000001</v>
      </c>
      <c r="F80" s="111">
        <v>13.159903999999999</v>
      </c>
      <c r="G80" s="111">
        <v>16.905374999999999</v>
      </c>
      <c r="H80" s="111">
        <v>15.400964</v>
      </c>
      <c r="I80" s="111">
        <v>16.763359000000001</v>
      </c>
      <c r="J80" s="111">
        <v>17.716688000000001</v>
      </c>
      <c r="K80" s="111">
        <v>16.517838000000001</v>
      </c>
      <c r="L80" s="111">
        <v>18.130645999999999</v>
      </c>
      <c r="M80" s="111">
        <v>19.181805000000001</v>
      </c>
      <c r="N80" s="111">
        <v>16.378788</v>
      </c>
      <c r="O80" s="111">
        <v>17.109455000000001</v>
      </c>
      <c r="P80" s="111">
        <v>15.593963</v>
      </c>
    </row>
    <row r="81" spans="1:32" ht="13.15" x14ac:dyDescent="0.4">
      <c r="A81" s="27">
        <v>50</v>
      </c>
      <c r="B81" s="111">
        <v>10.468076</v>
      </c>
      <c r="C81" s="111">
        <v>11.254244</v>
      </c>
      <c r="D81" s="111">
        <v>10.461817</v>
      </c>
      <c r="E81" s="111">
        <v>9.9212910000000001</v>
      </c>
      <c r="F81" s="111">
        <v>8.1506500000000006</v>
      </c>
      <c r="G81" s="111">
        <v>11.1464</v>
      </c>
      <c r="H81" s="111">
        <v>9.9500609999999998</v>
      </c>
      <c r="I81" s="111">
        <v>10.683384</v>
      </c>
      <c r="J81" s="111">
        <v>10.922423999999999</v>
      </c>
      <c r="K81" s="111">
        <v>11.097922000000001</v>
      </c>
      <c r="L81" s="111">
        <v>11.682117</v>
      </c>
      <c r="M81" s="111">
        <v>12.386456000000001</v>
      </c>
      <c r="N81" s="111">
        <v>11.064394</v>
      </c>
      <c r="O81" s="111">
        <v>11.492715</v>
      </c>
      <c r="P81" s="111">
        <v>9.6819659999999992</v>
      </c>
    </row>
    <row r="82" spans="1:32" ht="13.15" x14ac:dyDescent="0.4">
      <c r="A82" s="27">
        <v>70</v>
      </c>
      <c r="B82" s="111">
        <v>6.2067350000000001</v>
      </c>
      <c r="C82" s="111">
        <v>6.938707</v>
      </c>
      <c r="D82" s="111">
        <v>6.9459609999999996</v>
      </c>
      <c r="E82" s="111">
        <v>6.5293970000000003</v>
      </c>
      <c r="F82" s="111">
        <v>5.2639610000000001</v>
      </c>
      <c r="G82" s="111">
        <v>7.2451610000000004</v>
      </c>
      <c r="H82" s="111">
        <v>6.4026480000000001</v>
      </c>
      <c r="I82" s="111">
        <v>7.035399</v>
      </c>
      <c r="J82" s="111">
        <v>6.3642469999999998</v>
      </c>
      <c r="K82" s="111">
        <v>7.3986150000000004</v>
      </c>
      <c r="L82" s="111">
        <v>7.756926</v>
      </c>
      <c r="M82" s="111">
        <v>9.0317919999999994</v>
      </c>
      <c r="N82" s="111">
        <v>7.3181820000000002</v>
      </c>
      <c r="O82" s="111">
        <v>8.1226699999999994</v>
      </c>
      <c r="P82" s="111">
        <v>6.5117649999999996</v>
      </c>
    </row>
    <row r="85" spans="1:32" ht="13.15" x14ac:dyDescent="0.4">
      <c r="B85" s="27" t="s">
        <v>106</v>
      </c>
    </row>
    <row r="86" spans="1:32" ht="13.15" x14ac:dyDescent="0.4">
      <c r="A86">
        <v>1</v>
      </c>
      <c r="B86" s="111">
        <v>10.794725</v>
      </c>
      <c r="C86" s="111">
        <v>11418.447265999999</v>
      </c>
      <c r="D86" s="111">
        <v>10016.373046999999</v>
      </c>
      <c r="E86" s="111">
        <v>8784.6611329999996</v>
      </c>
      <c r="F86" s="111">
        <v>7685.7905270000001</v>
      </c>
      <c r="G86" s="111">
        <v>6697.623047</v>
      </c>
      <c r="H86" s="111">
        <v>5830.5327150000003</v>
      </c>
      <c r="I86" s="111">
        <v>5028.7524409999996</v>
      </c>
      <c r="J86" s="111">
        <v>4274.4023440000001</v>
      </c>
      <c r="K86" s="111">
        <v>3616.9516600000002</v>
      </c>
      <c r="L86" s="111">
        <v>3011.3781739999999</v>
      </c>
      <c r="M86" s="111">
        <v>2469.6320799999999</v>
      </c>
      <c r="N86" s="111">
        <v>1989.7680660000001</v>
      </c>
      <c r="O86" s="111">
        <v>1566.320557</v>
      </c>
      <c r="P86" s="111">
        <v>1211.6102289999999</v>
      </c>
      <c r="Q86" s="111">
        <v>932.39984100000004</v>
      </c>
      <c r="R86" s="111">
        <v>713.03344700000002</v>
      </c>
      <c r="S86" s="111">
        <v>536.83624299999997</v>
      </c>
      <c r="T86" s="111">
        <v>406.30954000000003</v>
      </c>
      <c r="U86" s="111">
        <v>309.68829299999999</v>
      </c>
      <c r="V86" s="111">
        <v>233.53997799999999</v>
      </c>
      <c r="W86" s="111">
        <v>175.45605499999999</v>
      </c>
      <c r="X86" s="111">
        <v>131.82363900000001</v>
      </c>
      <c r="Y86" s="111">
        <v>96.435989000000006</v>
      </c>
      <c r="Z86" s="111">
        <v>67.810897999999995</v>
      </c>
      <c r="AA86" s="111">
        <v>48.356949</v>
      </c>
      <c r="AB86" s="111">
        <v>35.109741</v>
      </c>
      <c r="AC86" s="111">
        <v>23.715285999999999</v>
      </c>
      <c r="AD86" s="111">
        <v>15.007329</v>
      </c>
      <c r="AE86" s="111">
        <v>10.468076</v>
      </c>
      <c r="AF86" s="111">
        <v>6.2067350000000001</v>
      </c>
    </row>
    <row r="87" spans="1:32" ht="13.15" x14ac:dyDescent="0.4">
      <c r="A87">
        <v>2</v>
      </c>
      <c r="B87" s="111">
        <v>11.817764</v>
      </c>
      <c r="C87" s="111">
        <v>11549.815430000001</v>
      </c>
      <c r="D87" s="111">
        <v>10143.965819999999</v>
      </c>
      <c r="E87" s="111">
        <v>8923.4306639999995</v>
      </c>
      <c r="F87" s="111">
        <v>7819.1606449999999</v>
      </c>
      <c r="G87" s="111">
        <v>6810.3408200000003</v>
      </c>
      <c r="H87" s="111">
        <v>5924.216797</v>
      </c>
      <c r="I87" s="111">
        <v>5097.2416990000002</v>
      </c>
      <c r="J87" s="111">
        <v>4351.0766599999997</v>
      </c>
      <c r="K87" s="111">
        <v>3667.0219729999999</v>
      </c>
      <c r="L87" s="111">
        <v>3055.4848630000001</v>
      </c>
      <c r="M87" s="111">
        <v>2504.0268550000001</v>
      </c>
      <c r="N87" s="111">
        <v>2008.4171140000001</v>
      </c>
      <c r="O87" s="111">
        <v>1587.4406739999999</v>
      </c>
      <c r="P87" s="111">
        <v>1227.051025</v>
      </c>
      <c r="Q87" s="111">
        <v>939.01007100000004</v>
      </c>
      <c r="R87" s="111">
        <v>711.21740699999998</v>
      </c>
      <c r="S87" s="111">
        <v>535.38043200000004</v>
      </c>
      <c r="T87" s="111">
        <v>409.21444700000001</v>
      </c>
      <c r="U87" s="111">
        <v>314.018799</v>
      </c>
      <c r="V87" s="111">
        <v>239.97770700000001</v>
      </c>
      <c r="W87" s="111">
        <v>178.544769</v>
      </c>
      <c r="X87" s="111">
        <v>133.18931599999999</v>
      </c>
      <c r="Y87" s="111">
        <v>100.272774</v>
      </c>
      <c r="Z87" s="111">
        <v>74.294929999999994</v>
      </c>
      <c r="AA87" s="111">
        <v>52.209538000000002</v>
      </c>
      <c r="AB87" s="111">
        <v>37.570557000000001</v>
      </c>
      <c r="AC87" s="111">
        <v>25.554749000000001</v>
      </c>
      <c r="AD87" s="111">
        <v>17.008292999999998</v>
      </c>
      <c r="AE87" s="111">
        <v>11.254244</v>
      </c>
      <c r="AF87" s="111">
        <v>6.938707</v>
      </c>
    </row>
    <row r="88" spans="1:32" ht="13.15" x14ac:dyDescent="0.4">
      <c r="A88">
        <v>3</v>
      </c>
      <c r="B88" s="111">
        <v>11.661454000000001</v>
      </c>
      <c r="C88" s="111">
        <v>11089.697265999999</v>
      </c>
      <c r="D88" s="111">
        <v>9743.2958980000003</v>
      </c>
      <c r="E88" s="111">
        <v>8549.1054690000001</v>
      </c>
      <c r="F88" s="111">
        <v>7499.4936520000001</v>
      </c>
      <c r="G88" s="111">
        <v>6543.8666990000002</v>
      </c>
      <c r="H88" s="111">
        <v>5700.232422</v>
      </c>
      <c r="I88" s="111">
        <v>4910.3652339999999</v>
      </c>
      <c r="J88" s="111">
        <v>4191.2441410000001</v>
      </c>
      <c r="K88" s="111">
        <v>3546.0415039999998</v>
      </c>
      <c r="L88" s="111">
        <v>2964.6389159999999</v>
      </c>
      <c r="M88" s="111">
        <v>2423.540039</v>
      </c>
      <c r="N88" s="111">
        <v>1944.8688959999999</v>
      </c>
      <c r="O88" s="111">
        <v>1542.174683</v>
      </c>
      <c r="P88" s="111">
        <v>1197.535034</v>
      </c>
      <c r="Q88" s="111">
        <v>916.52374299999997</v>
      </c>
      <c r="R88" s="111">
        <v>694.76757799999996</v>
      </c>
      <c r="S88" s="111">
        <v>529.60803199999998</v>
      </c>
      <c r="T88" s="111">
        <v>402.00817899999998</v>
      </c>
      <c r="U88" s="111">
        <v>307.76608299999998</v>
      </c>
      <c r="V88" s="111">
        <v>235.81964099999999</v>
      </c>
      <c r="W88" s="111">
        <v>177.50787399999999</v>
      </c>
      <c r="X88" s="111">
        <v>132.65927099999999</v>
      </c>
      <c r="Y88" s="111">
        <v>98.358231000000004</v>
      </c>
      <c r="Z88" s="111">
        <v>69.545356999999996</v>
      </c>
      <c r="AA88" s="111">
        <v>48.878982999999998</v>
      </c>
      <c r="AB88" s="111">
        <v>33.186256</v>
      </c>
      <c r="AC88" s="111">
        <v>23.667717</v>
      </c>
      <c r="AD88" s="111">
        <v>14.835198999999999</v>
      </c>
      <c r="AE88" s="111">
        <v>10.461817</v>
      </c>
      <c r="AF88" s="111">
        <v>6.9459609999999996</v>
      </c>
    </row>
    <row r="89" spans="1:32" ht="13.15" x14ac:dyDescent="0.4">
      <c r="A89">
        <v>4</v>
      </c>
      <c r="B89" s="111">
        <v>11.792820000000001</v>
      </c>
      <c r="C89" s="111">
        <v>11333.930664</v>
      </c>
      <c r="D89" s="111">
        <v>9951.9033199999994</v>
      </c>
      <c r="E89" s="111">
        <v>8742.2685550000006</v>
      </c>
      <c r="F89" s="111">
        <v>7655.1665039999998</v>
      </c>
      <c r="G89" s="111">
        <v>6668.294922</v>
      </c>
      <c r="H89" s="111">
        <v>5781.8232420000004</v>
      </c>
      <c r="I89" s="111">
        <v>4992.2749020000001</v>
      </c>
      <c r="J89" s="111">
        <v>4261.8305659999996</v>
      </c>
      <c r="K89" s="111">
        <v>3582.5187989999999</v>
      </c>
      <c r="L89" s="111">
        <v>2975.7937010000001</v>
      </c>
      <c r="M89" s="111">
        <v>2438.7719729999999</v>
      </c>
      <c r="N89" s="111">
        <v>1951.356812</v>
      </c>
      <c r="O89" s="111">
        <v>1543.990356</v>
      </c>
      <c r="P89" s="111">
        <v>1194.4555660000001</v>
      </c>
      <c r="Q89" s="111">
        <v>907.92535399999997</v>
      </c>
      <c r="R89" s="111">
        <v>692.37042199999996</v>
      </c>
      <c r="S89" s="111">
        <v>527.10040300000003</v>
      </c>
      <c r="T89" s="111">
        <v>404.05941799999999</v>
      </c>
      <c r="U89" s="111">
        <v>306.71203600000001</v>
      </c>
      <c r="V89" s="111">
        <v>234.29510500000001</v>
      </c>
      <c r="W89" s="111">
        <v>176.29371599999999</v>
      </c>
      <c r="X89" s="111">
        <v>130.75752299999999</v>
      </c>
      <c r="Y89" s="111">
        <v>95.651420999999999</v>
      </c>
      <c r="Z89" s="111">
        <v>70.297011999999995</v>
      </c>
      <c r="AA89" s="111">
        <v>51.471995999999997</v>
      </c>
      <c r="AB89" s="111">
        <v>35.190902999999999</v>
      </c>
      <c r="AC89" s="111">
        <v>23.912855</v>
      </c>
      <c r="AD89" s="111">
        <v>16.196297000000001</v>
      </c>
      <c r="AE89" s="111">
        <v>9.9212910000000001</v>
      </c>
      <c r="AF89" s="111">
        <v>6.5293970000000003</v>
      </c>
    </row>
    <row r="90" spans="1:32" ht="13.15" x14ac:dyDescent="0.4">
      <c r="A90">
        <v>5</v>
      </c>
      <c r="B90" s="111">
        <v>11.778202</v>
      </c>
      <c r="C90" s="111">
        <v>11386.203125</v>
      </c>
      <c r="D90" s="111">
        <v>10031.497069999999</v>
      </c>
      <c r="E90" s="111">
        <v>8827.1533199999994</v>
      </c>
      <c r="F90" s="111">
        <v>7737.1743159999996</v>
      </c>
      <c r="G90" s="111">
        <v>6748.2285160000001</v>
      </c>
      <c r="H90" s="111">
        <v>5868.4677730000003</v>
      </c>
      <c r="I90" s="111">
        <v>5059.9404299999997</v>
      </c>
      <c r="J90" s="111">
        <v>4317.4672849999997</v>
      </c>
      <c r="K90" s="111">
        <v>3637.9916990000002</v>
      </c>
      <c r="L90" s="111">
        <v>3031.2775879999999</v>
      </c>
      <c r="M90" s="111">
        <v>2472.1938479999999</v>
      </c>
      <c r="N90" s="111">
        <v>1985.1926269999999</v>
      </c>
      <c r="O90" s="111">
        <v>1557.1137699999999</v>
      </c>
      <c r="P90" s="111">
        <v>1213.3431399999999</v>
      </c>
      <c r="Q90" s="111">
        <v>927.30621299999996</v>
      </c>
      <c r="R90" s="111">
        <v>704.86138900000003</v>
      </c>
      <c r="S90" s="111">
        <v>536.75427200000001</v>
      </c>
      <c r="T90" s="111">
        <v>406.85327100000001</v>
      </c>
      <c r="U90" s="111">
        <v>309.979401</v>
      </c>
      <c r="V90" s="111">
        <v>234.67079200000001</v>
      </c>
      <c r="W90" s="111">
        <v>176.51251199999999</v>
      </c>
      <c r="X90" s="111">
        <v>131.853745</v>
      </c>
      <c r="Y90" s="111">
        <v>96.704063000000005</v>
      </c>
      <c r="Z90" s="111">
        <v>71.233283999999998</v>
      </c>
      <c r="AA90" s="111">
        <v>50.347244000000003</v>
      </c>
      <c r="AB90" s="111">
        <v>34.555359000000003</v>
      </c>
      <c r="AC90" s="111">
        <v>23.687826000000001</v>
      </c>
      <c r="AD90" s="111">
        <v>13.159903999999999</v>
      </c>
      <c r="AE90" s="111">
        <v>8.1506500000000006</v>
      </c>
      <c r="AF90" s="111">
        <v>5.2639610000000001</v>
      </c>
    </row>
    <row r="91" spans="1:32" ht="13.15" x14ac:dyDescent="0.4">
      <c r="A91">
        <v>1</v>
      </c>
      <c r="B91" s="111">
        <v>10.765807000000001</v>
      </c>
      <c r="C91" s="111">
        <v>12207.909180000001</v>
      </c>
      <c r="D91" s="111">
        <v>10687.726562</v>
      </c>
      <c r="E91" s="111">
        <v>9371.4296880000002</v>
      </c>
      <c r="F91" s="111">
        <v>8141.7954099999997</v>
      </c>
      <c r="G91" s="111">
        <v>7059.5727539999998</v>
      </c>
      <c r="H91" s="111">
        <v>6098.1958009999998</v>
      </c>
      <c r="I91" s="111">
        <v>5234.9072269999997</v>
      </c>
      <c r="J91" s="111">
        <v>4462.8330079999996</v>
      </c>
      <c r="K91" s="111">
        <v>3753.8291020000001</v>
      </c>
      <c r="L91" s="111">
        <v>3102.0432129999999</v>
      </c>
      <c r="M91" s="111">
        <v>2520.4797359999998</v>
      </c>
      <c r="N91" s="111">
        <v>2012.7613530000001</v>
      </c>
      <c r="O91" s="111">
        <v>1571.0852050000001</v>
      </c>
      <c r="P91" s="111">
        <v>1206.0405270000001</v>
      </c>
      <c r="Q91" s="111">
        <v>918.74206500000003</v>
      </c>
      <c r="R91" s="111">
        <v>692.65594499999997</v>
      </c>
      <c r="S91" s="111">
        <v>525.18127400000003</v>
      </c>
      <c r="T91" s="111">
        <v>394.86123700000002</v>
      </c>
      <c r="U91" s="111">
        <v>296.772919</v>
      </c>
      <c r="V91" s="111">
        <v>224.04264800000001</v>
      </c>
      <c r="W91" s="111">
        <v>169.51817299999999</v>
      </c>
      <c r="X91" s="111">
        <v>125.489891</v>
      </c>
      <c r="Y91" s="111">
        <v>91.028937999999997</v>
      </c>
      <c r="Z91" s="111">
        <v>65.763762999999997</v>
      </c>
      <c r="AA91" s="111">
        <v>48.672615</v>
      </c>
      <c r="AB91" s="111">
        <v>34.832500000000003</v>
      </c>
      <c r="AC91" s="111">
        <v>24.429195</v>
      </c>
      <c r="AD91" s="111">
        <v>16.905374999999999</v>
      </c>
      <c r="AE91" s="111">
        <v>11.1464</v>
      </c>
      <c r="AF91" s="111">
        <v>7.2451610000000004</v>
      </c>
    </row>
    <row r="92" spans="1:32" ht="13.15" x14ac:dyDescent="0.4">
      <c r="A92">
        <v>2</v>
      </c>
      <c r="B92" s="111">
        <v>11.557717999999999</v>
      </c>
      <c r="C92" s="111">
        <v>12249.043944999999</v>
      </c>
      <c r="D92" s="111">
        <v>10704.015625</v>
      </c>
      <c r="E92" s="111">
        <v>9376.4179690000001</v>
      </c>
      <c r="F92" s="111">
        <v>8174.4506840000004</v>
      </c>
      <c r="G92" s="111">
        <v>7111.6977539999998</v>
      </c>
      <c r="H92" s="111">
        <v>6153.03125</v>
      </c>
      <c r="I92" s="111">
        <v>5294.8168949999999</v>
      </c>
      <c r="J92" s="111">
        <v>4495.2646480000003</v>
      </c>
      <c r="K92" s="111">
        <v>3773.5822750000002</v>
      </c>
      <c r="L92" s="111">
        <v>3118.7817380000001</v>
      </c>
      <c r="M92" s="111">
        <v>2536.0541990000002</v>
      </c>
      <c r="N92" s="111">
        <v>2013.8057859999999</v>
      </c>
      <c r="O92" s="111">
        <v>1571.8500979999999</v>
      </c>
      <c r="P92" s="111">
        <v>1210.3599850000001</v>
      </c>
      <c r="Q92" s="111">
        <v>915.05950900000005</v>
      </c>
      <c r="R92" s="111">
        <v>692.26464799999997</v>
      </c>
      <c r="S92" s="111">
        <v>523.20013400000005</v>
      </c>
      <c r="T92" s="111">
        <v>390.99414100000001</v>
      </c>
      <c r="U92" s="111">
        <v>296.77139299999999</v>
      </c>
      <c r="V92" s="111">
        <v>223.31397999999999</v>
      </c>
      <c r="W92" s="111">
        <v>170.189301</v>
      </c>
      <c r="X92" s="111">
        <v>127.620346</v>
      </c>
      <c r="Y92" s="111">
        <v>93.876662999999994</v>
      </c>
      <c r="Z92" s="111">
        <v>66.881714000000002</v>
      </c>
      <c r="AA92" s="111">
        <v>46.981589999999997</v>
      </c>
      <c r="AB92" s="111">
        <v>33.484119</v>
      </c>
      <c r="AC92" s="111">
        <v>22.668835000000001</v>
      </c>
      <c r="AD92" s="111">
        <v>15.400964</v>
      </c>
      <c r="AE92" s="111">
        <v>9.9500609999999998</v>
      </c>
      <c r="AF92" s="111">
        <v>6.4026480000000001</v>
      </c>
    </row>
    <row r="93" spans="1:32" ht="13.15" x14ac:dyDescent="0.4">
      <c r="A93">
        <v>3</v>
      </c>
      <c r="B93" s="111">
        <v>11.513206</v>
      </c>
      <c r="C93" s="111">
        <v>12479.756836</v>
      </c>
      <c r="D93" s="111">
        <v>10950.381836</v>
      </c>
      <c r="E93" s="111">
        <v>9595.9375</v>
      </c>
      <c r="F93" s="111">
        <v>8376.1210940000001</v>
      </c>
      <c r="G93" s="111">
        <v>7271.3891599999997</v>
      </c>
      <c r="H93" s="111">
        <v>6302.328125</v>
      </c>
      <c r="I93" s="111">
        <v>5401.970703</v>
      </c>
      <c r="J93" s="111">
        <v>4585.6040039999998</v>
      </c>
      <c r="K93" s="111">
        <v>3844.0207519999999</v>
      </c>
      <c r="L93" s="111">
        <v>3167.0588379999999</v>
      </c>
      <c r="M93" s="111">
        <v>2568.876221</v>
      </c>
      <c r="N93" s="111">
        <v>2055.1184079999998</v>
      </c>
      <c r="O93" s="111">
        <v>1602.594482</v>
      </c>
      <c r="P93" s="111">
        <v>1229.457764</v>
      </c>
      <c r="Q93" s="111">
        <v>928.06475799999998</v>
      </c>
      <c r="R93" s="111">
        <v>700.76055899999994</v>
      </c>
      <c r="S93" s="111">
        <v>529.56579599999998</v>
      </c>
      <c r="T93" s="111">
        <v>399.88864100000001</v>
      </c>
      <c r="U93" s="111">
        <v>301.74047899999999</v>
      </c>
      <c r="V93" s="111">
        <v>227.21734599999999</v>
      </c>
      <c r="W93" s="111">
        <v>170.499863</v>
      </c>
      <c r="X93" s="111">
        <v>124.552628</v>
      </c>
      <c r="Y93" s="111">
        <v>91.112762000000004</v>
      </c>
      <c r="Z93" s="111">
        <v>67.661438000000004</v>
      </c>
      <c r="AA93" s="111">
        <v>47.250092000000002</v>
      </c>
      <c r="AB93" s="111">
        <v>33.439861000000001</v>
      </c>
      <c r="AC93" s="111">
        <v>23.885615999999999</v>
      </c>
      <c r="AD93" s="111">
        <v>16.763359000000001</v>
      </c>
      <c r="AE93" s="111">
        <v>10.683384</v>
      </c>
      <c r="AF93" s="111">
        <v>7.035399</v>
      </c>
    </row>
    <row r="94" spans="1:32" ht="13.15" x14ac:dyDescent="0.4">
      <c r="A94">
        <v>4</v>
      </c>
      <c r="B94" s="111">
        <v>11.627454999999999</v>
      </c>
      <c r="C94" s="111">
        <v>12240.597656</v>
      </c>
      <c r="D94" s="111">
        <v>10724.014648</v>
      </c>
      <c r="E94" s="111">
        <v>9400.6816409999992</v>
      </c>
      <c r="F94" s="111">
        <v>8228.7138670000004</v>
      </c>
      <c r="G94" s="111">
        <v>7149.7158200000003</v>
      </c>
      <c r="H94" s="111">
        <v>6189.0585940000001</v>
      </c>
      <c r="I94" s="111">
        <v>5302.0200199999999</v>
      </c>
      <c r="J94" s="111">
        <v>4500.8129879999997</v>
      </c>
      <c r="K94" s="111">
        <v>3749.6599120000001</v>
      </c>
      <c r="L94" s="111">
        <v>3100.2485350000002</v>
      </c>
      <c r="M94" s="111">
        <v>2521.2741700000001</v>
      </c>
      <c r="N94" s="111">
        <v>2017.208496</v>
      </c>
      <c r="O94" s="111">
        <v>1572.0551760000001</v>
      </c>
      <c r="P94" s="111">
        <v>1207.229004</v>
      </c>
      <c r="Q94" s="111">
        <v>907.59332300000005</v>
      </c>
      <c r="R94" s="111">
        <v>683.38256799999999</v>
      </c>
      <c r="S94" s="111">
        <v>512.40789800000005</v>
      </c>
      <c r="T94" s="111">
        <v>383.23089599999997</v>
      </c>
      <c r="U94" s="111">
        <v>290.34728999999999</v>
      </c>
      <c r="V94" s="111">
        <v>219.99655200000001</v>
      </c>
      <c r="W94" s="111">
        <v>166.15846300000001</v>
      </c>
      <c r="X94" s="111">
        <v>124.102829</v>
      </c>
      <c r="Y94" s="111">
        <v>90.733528000000007</v>
      </c>
      <c r="Z94" s="111">
        <v>68.114647000000005</v>
      </c>
      <c r="AA94" s="111">
        <v>47.645851</v>
      </c>
      <c r="AB94" s="111">
        <v>34.401336999999998</v>
      </c>
      <c r="AC94" s="111">
        <v>23.822925999999999</v>
      </c>
      <c r="AD94" s="111">
        <v>17.716688000000001</v>
      </c>
      <c r="AE94" s="111">
        <v>10.922423999999999</v>
      </c>
      <c r="AF94" s="111">
        <v>6.3642469999999998</v>
      </c>
    </row>
    <row r="95" spans="1:32" ht="13.15" x14ac:dyDescent="0.4">
      <c r="A95">
        <v>5</v>
      </c>
      <c r="B95" s="111">
        <v>11.623797</v>
      </c>
      <c r="C95" s="111">
        <v>12626.338867</v>
      </c>
      <c r="D95" s="111">
        <v>11074.349609000001</v>
      </c>
      <c r="E95" s="111">
        <v>9690.6367190000001</v>
      </c>
      <c r="F95" s="111">
        <v>8446.6376949999994</v>
      </c>
      <c r="G95" s="111">
        <v>7324.7148440000001</v>
      </c>
      <c r="H95" s="111">
        <v>6343.2797849999997</v>
      </c>
      <c r="I95" s="111">
        <v>5444.9501950000003</v>
      </c>
      <c r="J95" s="111">
        <v>4608.21875</v>
      </c>
      <c r="K95" s="111">
        <v>3858.3776859999998</v>
      </c>
      <c r="L95" s="111">
        <v>3190.0073240000002</v>
      </c>
      <c r="M95" s="111">
        <v>2587.1064449999999</v>
      </c>
      <c r="N95" s="111">
        <v>2061.3745119999999</v>
      </c>
      <c r="O95" s="111">
        <v>1605.2413329999999</v>
      </c>
      <c r="P95" s="111">
        <v>1222.234009</v>
      </c>
      <c r="Q95" s="111">
        <v>929.64453100000003</v>
      </c>
      <c r="R95" s="111">
        <v>697.87866199999996</v>
      </c>
      <c r="S95" s="111">
        <v>526.33404499999995</v>
      </c>
      <c r="T95" s="111">
        <v>389.63171399999999</v>
      </c>
      <c r="U95" s="111">
        <v>296.202698</v>
      </c>
      <c r="V95" s="111">
        <v>223.42095900000001</v>
      </c>
      <c r="W95" s="111">
        <v>168.533569</v>
      </c>
      <c r="X95" s="111">
        <v>127.75515</v>
      </c>
      <c r="Y95" s="111">
        <v>96.095962999999998</v>
      </c>
      <c r="Z95" s="111">
        <v>68.996384000000006</v>
      </c>
      <c r="AA95" s="111">
        <v>48.865268999999998</v>
      </c>
      <c r="AB95" s="111">
        <v>35.100406999999997</v>
      </c>
      <c r="AC95" s="111">
        <v>23.142178999999999</v>
      </c>
      <c r="AD95" s="111">
        <v>16.517838000000001</v>
      </c>
      <c r="AE95" s="111">
        <v>11.097922000000001</v>
      </c>
      <c r="AF95" s="111">
        <v>7.3986150000000004</v>
      </c>
    </row>
    <row r="96" spans="1:32" ht="13.15" x14ac:dyDescent="0.4">
      <c r="A96">
        <v>1</v>
      </c>
      <c r="B96" s="111">
        <v>10.700115</v>
      </c>
      <c r="C96" s="111">
        <v>12891.916992</v>
      </c>
      <c r="D96" s="111">
        <v>11285.486328000001</v>
      </c>
      <c r="E96" s="111">
        <v>9851.5761719999991</v>
      </c>
      <c r="F96" s="111">
        <v>8584.2998050000006</v>
      </c>
      <c r="G96" s="111">
        <v>7460.6674800000001</v>
      </c>
      <c r="H96" s="111">
        <v>6462.080078</v>
      </c>
      <c r="I96" s="111">
        <v>5549.3793949999999</v>
      </c>
      <c r="J96" s="111">
        <v>4722.0986329999996</v>
      </c>
      <c r="K96" s="111">
        <v>3979.6767580000001</v>
      </c>
      <c r="L96" s="111">
        <v>3302.7680660000001</v>
      </c>
      <c r="M96" s="111">
        <v>2695.1110840000001</v>
      </c>
      <c r="N96" s="111">
        <v>2150.7246089999999</v>
      </c>
      <c r="O96" s="111">
        <v>1696.243408</v>
      </c>
      <c r="P96" s="111">
        <v>1305.593384</v>
      </c>
      <c r="Q96" s="111">
        <v>1001.297607</v>
      </c>
      <c r="R96" s="111">
        <v>759.52453600000001</v>
      </c>
      <c r="S96" s="111">
        <v>576.44238299999995</v>
      </c>
      <c r="T96" s="111">
        <v>438.49993899999998</v>
      </c>
      <c r="U96" s="111">
        <v>333.45434599999999</v>
      </c>
      <c r="V96" s="111">
        <v>253.64213599999999</v>
      </c>
      <c r="W96" s="111">
        <v>184.01670799999999</v>
      </c>
      <c r="X96" s="111">
        <v>138.97045900000001</v>
      </c>
      <c r="Y96" s="111">
        <v>104.578316</v>
      </c>
      <c r="Z96" s="111">
        <v>77.195426999999995</v>
      </c>
      <c r="AA96" s="111">
        <v>55.233051000000003</v>
      </c>
      <c r="AB96" s="111">
        <v>40.093024999999997</v>
      </c>
      <c r="AC96" s="111">
        <v>27.009053999999999</v>
      </c>
      <c r="AD96" s="111">
        <v>18.130645999999999</v>
      </c>
      <c r="AE96" s="111">
        <v>11.682117</v>
      </c>
      <c r="AF96" s="111">
        <v>7.756926</v>
      </c>
    </row>
    <row r="97" spans="1:32" ht="13.15" x14ac:dyDescent="0.4">
      <c r="A97">
        <v>2</v>
      </c>
      <c r="B97" s="111">
        <v>11.625601</v>
      </c>
      <c r="C97" s="111">
        <v>12675.043944999999</v>
      </c>
      <c r="D97" s="111">
        <v>11080.803711</v>
      </c>
      <c r="E97" s="111">
        <v>9710.5517579999996</v>
      </c>
      <c r="F97" s="111">
        <v>8491.0878909999992</v>
      </c>
      <c r="G97" s="111">
        <v>7378.1992190000001</v>
      </c>
      <c r="H97" s="111">
        <v>6390.0351559999999</v>
      </c>
      <c r="I97" s="111">
        <v>5497.7802730000003</v>
      </c>
      <c r="J97" s="111">
        <v>4676.0595700000003</v>
      </c>
      <c r="K97" s="111">
        <v>3930.4636230000001</v>
      </c>
      <c r="L97" s="111">
        <v>3259.186279</v>
      </c>
      <c r="M97" s="111">
        <v>2647.3471679999998</v>
      </c>
      <c r="N97" s="111">
        <v>2115.8476559999999</v>
      </c>
      <c r="O97" s="111">
        <v>1658.0648189999999</v>
      </c>
      <c r="P97" s="111">
        <v>1272.708374</v>
      </c>
      <c r="Q97" s="111">
        <v>964.07922399999995</v>
      </c>
      <c r="R97" s="111">
        <v>730.11279300000001</v>
      </c>
      <c r="S97" s="111">
        <v>553.17571999999996</v>
      </c>
      <c r="T97" s="111">
        <v>422.51580799999999</v>
      </c>
      <c r="U97" s="111">
        <v>318.349152</v>
      </c>
      <c r="V97" s="111">
        <v>239.81556699999999</v>
      </c>
      <c r="W97" s="111">
        <v>182.528198</v>
      </c>
      <c r="X97" s="111">
        <v>136.165009</v>
      </c>
      <c r="Y97" s="111">
        <v>97.715378000000001</v>
      </c>
      <c r="Z97" s="111">
        <v>72.770432</v>
      </c>
      <c r="AA97" s="111">
        <v>53.158543000000002</v>
      </c>
      <c r="AB97" s="111">
        <v>38.277591999999999</v>
      </c>
      <c r="AC97" s="111">
        <v>27.353424</v>
      </c>
      <c r="AD97" s="111">
        <v>19.181805000000001</v>
      </c>
      <c r="AE97" s="111">
        <v>12.386456000000001</v>
      </c>
      <c r="AF97" s="111">
        <v>9.0317919999999994</v>
      </c>
    </row>
    <row r="98" spans="1:32" ht="13.15" x14ac:dyDescent="0.4">
      <c r="A98">
        <v>3</v>
      </c>
      <c r="B98" s="111">
        <v>11.478261</v>
      </c>
      <c r="C98" s="111">
        <v>12273.113281</v>
      </c>
      <c r="D98" s="111">
        <v>10777.852539</v>
      </c>
      <c r="E98" s="111">
        <v>9460.4921880000002</v>
      </c>
      <c r="F98" s="111">
        <v>8266.234375</v>
      </c>
      <c r="G98" s="111">
        <v>7200.9165039999998</v>
      </c>
      <c r="H98" s="111">
        <v>6234.3066410000001</v>
      </c>
      <c r="I98" s="111">
        <v>5358.9125979999999</v>
      </c>
      <c r="J98" s="111">
        <v>4535.9658200000003</v>
      </c>
      <c r="K98" s="111">
        <v>3812.0756839999999</v>
      </c>
      <c r="L98" s="111">
        <v>3153.0036620000001</v>
      </c>
      <c r="M98" s="111">
        <v>2566.7651369999999</v>
      </c>
      <c r="N98" s="111">
        <v>2046.4772949999999</v>
      </c>
      <c r="O98" s="111">
        <v>1602.159058</v>
      </c>
      <c r="P98" s="111">
        <v>1229.193115</v>
      </c>
      <c r="Q98" s="111">
        <v>933.939392</v>
      </c>
      <c r="R98" s="111">
        <v>702.63256799999999</v>
      </c>
      <c r="S98" s="111">
        <v>529.78405799999996</v>
      </c>
      <c r="T98" s="111">
        <v>401.36743200000001</v>
      </c>
      <c r="U98" s="111">
        <v>306.405304</v>
      </c>
      <c r="V98" s="111">
        <v>227.996216</v>
      </c>
      <c r="W98" s="111">
        <v>174.590912</v>
      </c>
      <c r="X98" s="111">
        <v>132.16287199999999</v>
      </c>
      <c r="Y98" s="111">
        <v>97.924239999999998</v>
      </c>
      <c r="Z98" s="111">
        <v>70.655304000000001</v>
      </c>
      <c r="AA98" s="111">
        <v>50.094695999999999</v>
      </c>
      <c r="AB98" s="111">
        <v>36.155304000000001</v>
      </c>
      <c r="AC98" s="111">
        <v>24.829546000000001</v>
      </c>
      <c r="AD98" s="111">
        <v>16.378788</v>
      </c>
      <c r="AE98" s="111">
        <v>11.064394</v>
      </c>
      <c r="AF98" s="111">
        <v>7.3181820000000002</v>
      </c>
    </row>
    <row r="99" spans="1:32" ht="13.15" x14ac:dyDescent="0.4">
      <c r="A99">
        <v>4</v>
      </c>
      <c r="B99" s="111">
        <v>11.572549</v>
      </c>
      <c r="C99" s="111">
        <v>12978.558594</v>
      </c>
      <c r="D99" s="111">
        <v>11384.008789</v>
      </c>
      <c r="E99" s="111">
        <v>9964.3564449999994</v>
      </c>
      <c r="F99" s="111">
        <v>8695.1455079999996</v>
      </c>
      <c r="G99" s="111">
        <v>7554.861328</v>
      </c>
      <c r="H99" s="111">
        <v>6534.169922</v>
      </c>
      <c r="I99" s="111">
        <v>5609.8271480000003</v>
      </c>
      <c r="J99" s="111">
        <v>4764.1191410000001</v>
      </c>
      <c r="K99" s="111">
        <v>3993.329346</v>
      </c>
      <c r="L99" s="111">
        <v>3314.9135740000002</v>
      </c>
      <c r="M99" s="111">
        <v>2700.0102539999998</v>
      </c>
      <c r="N99" s="111">
        <v>2161.9265140000002</v>
      </c>
      <c r="O99" s="111">
        <v>1695.391357</v>
      </c>
      <c r="P99" s="111">
        <v>1294.874634</v>
      </c>
      <c r="Q99" s="111">
        <v>981.97900400000003</v>
      </c>
      <c r="R99" s="111">
        <v>741.84173599999997</v>
      </c>
      <c r="S99" s="111">
        <v>555.53881799999999</v>
      </c>
      <c r="T99" s="111">
        <v>420.82345600000002</v>
      </c>
      <c r="U99" s="111">
        <v>319.46289100000001</v>
      </c>
      <c r="V99" s="111">
        <v>247.39579800000001</v>
      </c>
      <c r="W99" s="111">
        <v>185.69807399999999</v>
      </c>
      <c r="X99" s="111">
        <v>138.69027700000001</v>
      </c>
      <c r="Y99" s="111">
        <v>104.384956</v>
      </c>
      <c r="Z99" s="111">
        <v>75.523551999999995</v>
      </c>
      <c r="AA99" s="111">
        <v>54.266350000000003</v>
      </c>
      <c r="AB99" s="111">
        <v>38.193832</v>
      </c>
      <c r="AC99" s="111">
        <v>25.404947</v>
      </c>
      <c r="AD99" s="111">
        <v>17.109455000000001</v>
      </c>
      <c r="AE99" s="111">
        <v>11.492715</v>
      </c>
      <c r="AF99" s="111">
        <v>8.1226699999999994</v>
      </c>
    </row>
    <row r="100" spans="1:32" ht="13.15" x14ac:dyDescent="0.4">
      <c r="A100">
        <v>0</v>
      </c>
      <c r="B100" s="111">
        <v>11.671184</v>
      </c>
      <c r="C100" s="111">
        <v>12555.024414</v>
      </c>
      <c r="D100" s="111">
        <v>11033.842773</v>
      </c>
      <c r="E100" s="111">
        <v>9702.8720699999994</v>
      </c>
      <c r="F100" s="111">
        <v>8496.3105469999991</v>
      </c>
      <c r="G100" s="111">
        <v>7411.4165039999998</v>
      </c>
      <c r="H100" s="111">
        <v>6428.2255859999996</v>
      </c>
      <c r="I100" s="111">
        <v>5524.0327150000003</v>
      </c>
      <c r="J100" s="111">
        <v>4694.2109380000002</v>
      </c>
      <c r="K100" s="111">
        <v>3929.5927729999999</v>
      </c>
      <c r="L100" s="111">
        <v>3245.2578119999998</v>
      </c>
      <c r="M100" s="111">
        <v>2631.1813959999999</v>
      </c>
      <c r="N100" s="111">
        <v>2110.0688479999999</v>
      </c>
      <c r="O100" s="111">
        <v>1646.4482419999999</v>
      </c>
      <c r="P100" s="111">
        <v>1275.2777100000001</v>
      </c>
      <c r="Q100" s="111">
        <v>972.30926499999998</v>
      </c>
      <c r="R100" s="111">
        <v>727.86108400000001</v>
      </c>
      <c r="S100" s="111">
        <v>549.98706100000004</v>
      </c>
      <c r="T100" s="111">
        <v>416.41021699999999</v>
      </c>
      <c r="U100" s="111">
        <v>315.22082499999999</v>
      </c>
      <c r="V100" s="111">
        <v>238.79325900000001</v>
      </c>
      <c r="W100" s="111">
        <v>181.55827300000001</v>
      </c>
      <c r="X100" s="111">
        <v>135.718887</v>
      </c>
      <c r="Y100" s="111">
        <v>98.876007000000001</v>
      </c>
      <c r="Z100" s="111">
        <v>70.515556000000004</v>
      </c>
      <c r="AA100" s="111">
        <v>50.380493000000001</v>
      </c>
      <c r="AB100" s="111">
        <v>35.643344999999997</v>
      </c>
      <c r="AC100" s="111">
        <v>22.705496</v>
      </c>
      <c r="AD100" s="111">
        <v>15.593963</v>
      </c>
      <c r="AE100" s="111">
        <v>9.6819659999999992</v>
      </c>
      <c r="AF100" s="111">
        <v>6.5117649999999996</v>
      </c>
    </row>
  </sheetData>
  <mergeCells count="1">
    <mergeCell ref="A2:E2"/>
  </mergeCells>
  <conditionalFormatting sqref="H9:H40">
    <cfRule type="cellIs" dxfId="5" priority="1" operator="greaterThan">
      <formula>1000</formula>
    </cfRule>
  </conditionalFormatting>
  <conditionalFormatting sqref="K9:K40">
    <cfRule type="cellIs" dxfId="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AF253E-1300-4B2A-A53F-627FFA283EFA}">
  <sheetPr codeName="Sheet6"/>
  <dimension ref="A1:AW128"/>
  <sheetViews>
    <sheetView zoomScale="70" zoomScaleNormal="70" workbookViewId="0">
      <selection activeCell="C11" sqref="C11"/>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107</v>
      </c>
      <c r="O2" s="28"/>
    </row>
    <row r="3" spans="1:49" ht="13.9" x14ac:dyDescent="0.4">
      <c r="A3" t="str">
        <f>'6 - B1'!$A$3</f>
        <v>Serial #</v>
      </c>
      <c r="B3" s="141" t="str">
        <f>'6 - B1'!$B$3</f>
        <v>11171-00001</v>
      </c>
    </row>
    <row r="4" spans="1:49" ht="19.149999999999999" customHeight="1" x14ac:dyDescent="1.05">
      <c r="A4" s="27" t="str">
        <f>'6 - B1'!$A$4</f>
        <v>Date</v>
      </c>
      <c r="B4" s="141">
        <f>'6 - B1'!$B$4</f>
        <v>46013</v>
      </c>
      <c r="D4" t="s">
        <v>184</v>
      </c>
      <c r="E4" s="30">
        <f>'Clause 6'!$D$18</f>
        <v>0.87131367292225204</v>
      </c>
      <c r="O4" s="28"/>
    </row>
    <row r="5" spans="1:49" ht="13.9" x14ac:dyDescent="0.4">
      <c r="A5" s="27" t="str">
        <f>'6 - B1'!$A$5</f>
        <v>RM</v>
      </c>
      <c r="B5" s="141" t="str">
        <f>'6 - B1'!$B$5</f>
        <v>SRM2806d</v>
      </c>
      <c r="O5" s="29"/>
    </row>
    <row r="6" spans="1:49" ht="13.15" x14ac:dyDescent="0.4">
      <c r="B6" s="27"/>
      <c r="C6" s="27"/>
      <c r="D6" s="27"/>
      <c r="E6" s="27"/>
      <c r="F6" s="27"/>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3" t="s">
        <v>51</v>
      </c>
      <c r="P7" s="83" t="s">
        <v>52</v>
      </c>
      <c r="Q7" s="83" t="s">
        <v>53</v>
      </c>
      <c r="R7" s="83" t="s">
        <v>54</v>
      </c>
      <c r="S7" s="83" t="s">
        <v>55</v>
      </c>
    </row>
    <row r="8" spans="1:49" ht="13.15" x14ac:dyDescent="0.4">
      <c r="A8" s="11" t="s">
        <v>63</v>
      </c>
      <c r="B8" s="30">
        <f>G52/$E$4</f>
        <v>12.35583388</v>
      </c>
      <c r="C8" s="30">
        <f t="shared" ref="C8:F8" si="0">H52/$E$4</f>
        <v>13.264704043076922</v>
      </c>
      <c r="D8" s="30">
        <f t="shared" si="0"/>
        <v>13.213617963076922</v>
      </c>
      <c r="E8" s="30">
        <f t="shared" si="0"/>
        <v>13.344740661538461</v>
      </c>
      <c r="F8" s="30">
        <f t="shared" si="0"/>
        <v>13.340542403076922</v>
      </c>
      <c r="G8" s="31">
        <f>AVERAGE(B$8:F$8)*5</f>
        <v>65.519438950769228</v>
      </c>
      <c r="I8" s="32"/>
      <c r="K8" s="32"/>
      <c r="O8" s="84"/>
      <c r="P8" s="84"/>
      <c r="Q8" s="84"/>
      <c r="R8" s="84"/>
      <c r="S8" s="84"/>
    </row>
    <row r="9" spans="1:49" ht="13.15" x14ac:dyDescent="0.4">
      <c r="A9" s="11" t="s">
        <v>64</v>
      </c>
      <c r="B9" s="30">
        <f>G53*$E$4</f>
        <v>10636.918186327079</v>
      </c>
      <c r="C9" s="30">
        <f t="shared" ref="C9:F9" si="1">H53*$E$4</f>
        <v>10672.759469504021</v>
      </c>
      <c r="D9" s="30">
        <f t="shared" si="1"/>
        <v>10873.782765951742</v>
      </c>
      <c r="E9" s="30">
        <f t="shared" si="1"/>
        <v>10665.400102412868</v>
      </c>
      <c r="F9" s="30">
        <f t="shared" si="1"/>
        <v>11001.501693766757</v>
      </c>
      <c r="G9" s="33">
        <f t="shared" ref="G9:G38" si="2">AVERAGE(B9:F9)</f>
        <v>10770.072443592493</v>
      </c>
      <c r="H9" s="34">
        <f t="shared" ref="H9:H38" si="3">G9*G$8</f>
        <v>705649.10396332026</v>
      </c>
      <c r="I9" s="32">
        <f t="shared" ref="I9:I38" si="4">STDEVP(B9:F9)/AVERAGE(B9:F9)</f>
        <v>1.3292232156297979E-2</v>
      </c>
      <c r="J9" s="32">
        <f t="shared" ref="J9:J38" si="5">IF(H9&gt;$A$43, $C$43, IF(H9&gt;$A$44, $C$44, IF(H9&gt;$A$45,$C$45,IF(H9&gt;$A$46,$C$46, IF(H9&gt;$A$47,$C$47,IF(H9&gt;$A$48,$C$48,$C$49))))))/100</f>
        <v>0.11</v>
      </c>
      <c r="K9" s="32">
        <f t="shared" ref="K9:K38" si="6">(MAX(B9:F9)-MIN(B9:F9))/G9</f>
        <v>3.3851537150669971E-2</v>
      </c>
      <c r="L9" s="16">
        <f>G9/'Clause 6'!$H$11</f>
        <v>10770.072443592493</v>
      </c>
      <c r="M9">
        <f t="shared" ref="M9:M38" si="7">COUNTA(B9:F9)</f>
        <v>5</v>
      </c>
      <c r="O9" s="85">
        <f>IF(ISNUMBER(B9), (B9/$G9-1), 0)</f>
        <v>-1.2363357624825655E-2</v>
      </c>
      <c r="P9" s="85">
        <f t="shared" ref="P9:S38" si="8">IF(ISNUMBER(C9), (C9/$G9-1), 0)</f>
        <v>-9.035498563091604E-3</v>
      </c>
      <c r="Q9" s="85">
        <f t="shared" si="8"/>
        <v>9.6294916215675652E-3</v>
      </c>
      <c r="R9" s="85">
        <f t="shared" si="8"/>
        <v>-9.7188149594943374E-3</v>
      </c>
      <c r="S9" s="85">
        <f t="shared" si="8"/>
        <v>2.1488179525844364E-2</v>
      </c>
    </row>
    <row r="10" spans="1:49" ht="13.15" x14ac:dyDescent="0.4">
      <c r="A10" s="11" t="s">
        <v>65</v>
      </c>
      <c r="B10" s="30">
        <f t="shared" ref="B10:F10" si="9">G54*$E$4</f>
        <v>9312.3622859249335</v>
      </c>
      <c r="C10" s="30">
        <f t="shared" si="9"/>
        <v>9326.5551692359259</v>
      </c>
      <c r="D10" s="30">
        <f t="shared" si="9"/>
        <v>9541.2174174262746</v>
      </c>
      <c r="E10" s="30">
        <f t="shared" si="9"/>
        <v>9343.9805914209119</v>
      </c>
      <c r="F10" s="30">
        <f t="shared" si="9"/>
        <v>9649.232233042896</v>
      </c>
      <c r="G10" s="33">
        <f t="shared" si="2"/>
        <v>9434.669539410188</v>
      </c>
      <c r="H10" s="34">
        <f t="shared" si="3"/>
        <v>618154.25490806787</v>
      </c>
      <c r="I10" s="32">
        <f t="shared" si="4"/>
        <v>1.4397908944269221E-2</v>
      </c>
      <c r="J10" s="32">
        <f t="shared" si="5"/>
        <v>0.11</v>
      </c>
      <c r="K10" s="32">
        <f t="shared" si="6"/>
        <v>3.5705537508314476E-2</v>
      </c>
      <c r="L10" s="16">
        <f>G10/'Clause 6'!$H$11</f>
        <v>9434.669539410188</v>
      </c>
      <c r="M10">
        <f t="shared" si="7"/>
        <v>5</v>
      </c>
      <c r="O10" s="85">
        <f t="shared" ref="O10:O38" si="10">IF(ISNUMBER(B10), (B10/$G10-1), 0)</f>
        <v>-1.2963596973307512E-2</v>
      </c>
      <c r="P10" s="85">
        <f t="shared" si="8"/>
        <v>-1.1459264123947377E-2</v>
      </c>
      <c r="Q10" s="85">
        <f t="shared" si="8"/>
        <v>1.1293228403074229E-2</v>
      </c>
      <c r="R10" s="85">
        <f t="shared" si="8"/>
        <v>-9.6123078408261176E-3</v>
      </c>
      <c r="S10" s="85">
        <f t="shared" si="8"/>
        <v>2.2741940535006888E-2</v>
      </c>
    </row>
    <row r="11" spans="1:49" ht="13.15" x14ac:dyDescent="0.4">
      <c r="A11" s="11" t="s">
        <v>66</v>
      </c>
      <c r="B11" s="30">
        <f t="shared" ref="B11:F11" si="11">G55*$E$4</f>
        <v>8165.4548219839144</v>
      </c>
      <c r="C11" s="30">
        <f t="shared" si="11"/>
        <v>8169.8011794235927</v>
      </c>
      <c r="D11" s="30">
        <f t="shared" si="11"/>
        <v>8361.0715482573723</v>
      </c>
      <c r="E11" s="30">
        <f t="shared" si="11"/>
        <v>8190.9424485924928</v>
      </c>
      <c r="F11" s="30">
        <f t="shared" si="11"/>
        <v>8443.5842725871316</v>
      </c>
      <c r="G11" s="33">
        <f t="shared" si="2"/>
        <v>8266.1708541689004</v>
      </c>
      <c r="H11" s="34">
        <f t="shared" si="3"/>
        <v>541594.87663634715</v>
      </c>
      <c r="I11" s="32">
        <f t="shared" si="4"/>
        <v>1.3853809240505393E-2</v>
      </c>
      <c r="J11" s="32">
        <f t="shared" si="5"/>
        <v>0.11</v>
      </c>
      <c r="K11" s="32">
        <f t="shared" si="6"/>
        <v>3.3646709644641268E-2</v>
      </c>
      <c r="L11" s="16">
        <f>G11/'Clause 6'!$H$11</f>
        <v>8266.1708541689004</v>
      </c>
      <c r="M11">
        <f t="shared" si="7"/>
        <v>5</v>
      </c>
      <c r="O11" s="85">
        <f t="shared" si="10"/>
        <v>-1.218412176106809E-2</v>
      </c>
      <c r="P11" s="85">
        <f t="shared" si="8"/>
        <v>-1.1658321179836895E-2</v>
      </c>
      <c r="Q11" s="85">
        <f t="shared" si="8"/>
        <v>1.1480611248267492E-2</v>
      </c>
      <c r="R11" s="85">
        <f t="shared" si="8"/>
        <v>-9.1007561909354218E-3</v>
      </c>
      <c r="S11" s="85">
        <f t="shared" si="8"/>
        <v>2.1462587883573248E-2</v>
      </c>
    </row>
    <row r="12" spans="1:49" ht="13.15" x14ac:dyDescent="0.4">
      <c r="A12" s="11" t="s">
        <v>67</v>
      </c>
      <c r="B12" s="30">
        <f t="shared" ref="B12:F12" si="12">G56*$E$4</f>
        <v>7094.0576628686331</v>
      </c>
      <c r="C12" s="30">
        <f t="shared" si="12"/>
        <v>7122.5106495978562</v>
      </c>
      <c r="D12" s="30">
        <f t="shared" si="12"/>
        <v>7298.2288352546921</v>
      </c>
      <c r="E12" s="30">
        <f t="shared" si="12"/>
        <v>7169.7909028820377</v>
      </c>
      <c r="F12" s="30">
        <f t="shared" si="12"/>
        <v>7359.6709138739943</v>
      </c>
      <c r="G12" s="33">
        <f t="shared" si="2"/>
        <v>7208.8517928954434</v>
      </c>
      <c r="H12" s="34">
        <f t="shared" si="3"/>
        <v>472319.9249497563</v>
      </c>
      <c r="I12" s="32">
        <f t="shared" si="4"/>
        <v>1.4267490635357856E-2</v>
      </c>
      <c r="J12" s="32">
        <f t="shared" si="5"/>
        <v>0.11</v>
      </c>
      <c r="K12" s="32">
        <f t="shared" si="6"/>
        <v>3.6845430955749665E-2</v>
      </c>
      <c r="L12" s="16">
        <f>G12/'Clause 6'!$H$11</f>
        <v>7208.8517928954434</v>
      </c>
      <c r="M12">
        <f t="shared" si="7"/>
        <v>5</v>
      </c>
      <c r="O12" s="85">
        <f t="shared" si="10"/>
        <v>-1.5924051891307189E-2</v>
      </c>
      <c r="P12" s="85">
        <f t="shared" si="8"/>
        <v>-1.1977100622692638E-2</v>
      </c>
      <c r="Q12" s="85">
        <f t="shared" si="8"/>
        <v>1.2398235520299172E-2</v>
      </c>
      <c r="R12" s="85">
        <f t="shared" si="8"/>
        <v>-5.4184620707421471E-3</v>
      </c>
      <c r="S12" s="85">
        <f t="shared" si="8"/>
        <v>2.0921379064442469E-2</v>
      </c>
    </row>
    <row r="13" spans="1:49" ht="13.15" x14ac:dyDescent="0.4">
      <c r="A13" s="11" t="s">
        <v>68</v>
      </c>
      <c r="B13" s="30">
        <f t="shared" ref="B13:F13" si="13">G57*$E$4</f>
        <v>6151.1022655495981</v>
      </c>
      <c r="C13" s="30">
        <f t="shared" si="13"/>
        <v>6196.5194907506702</v>
      </c>
      <c r="D13" s="30">
        <f t="shared" si="13"/>
        <v>6335.6607962466487</v>
      </c>
      <c r="E13" s="30">
        <f t="shared" si="13"/>
        <v>6229.6451514745313</v>
      </c>
      <c r="F13" s="30">
        <f t="shared" si="13"/>
        <v>6382.1241938337807</v>
      </c>
      <c r="G13" s="33">
        <f t="shared" si="2"/>
        <v>6259.0103795710456</v>
      </c>
      <c r="H13" s="34">
        <f t="shared" si="3"/>
        <v>410086.84845653607</v>
      </c>
      <c r="I13" s="32">
        <f t="shared" si="4"/>
        <v>1.3826102946740852E-2</v>
      </c>
      <c r="J13" s="32">
        <f t="shared" si="5"/>
        <v>0.11</v>
      </c>
      <c r="K13" s="32">
        <f t="shared" si="6"/>
        <v>3.6910296400565402E-2</v>
      </c>
      <c r="L13" s="16">
        <f>G13/'Clause 6'!$H$11</f>
        <v>6259.0103795710456</v>
      </c>
      <c r="M13">
        <f t="shared" si="7"/>
        <v>5</v>
      </c>
      <c r="O13" s="85">
        <f t="shared" si="10"/>
        <v>-1.7240443373229053E-2</v>
      </c>
      <c r="P13" s="85">
        <f t="shared" si="8"/>
        <v>-9.9841484564942018E-3</v>
      </c>
      <c r="Q13" s="85">
        <f t="shared" si="8"/>
        <v>1.2246411497540244E-2</v>
      </c>
      <c r="R13" s="85">
        <f t="shared" si="8"/>
        <v>-4.6916726951532484E-3</v>
      </c>
      <c r="S13" s="85">
        <f t="shared" si="8"/>
        <v>1.9669853027336259E-2</v>
      </c>
    </row>
    <row r="14" spans="1:49" ht="13.15" x14ac:dyDescent="0.4">
      <c r="A14" s="11" t="s">
        <v>69</v>
      </c>
      <c r="B14" s="30">
        <f t="shared" ref="B14:F14" si="14">G58*$E$4</f>
        <v>5313.4413815683647</v>
      </c>
      <c r="C14" s="30">
        <f t="shared" si="14"/>
        <v>5361.2202580428957</v>
      </c>
      <c r="D14" s="30">
        <f t="shared" si="14"/>
        <v>5491.30466655496</v>
      </c>
      <c r="E14" s="30">
        <f t="shared" si="14"/>
        <v>5392.6113754691687</v>
      </c>
      <c r="F14" s="30">
        <f t="shared" si="14"/>
        <v>5526.9864078418232</v>
      </c>
      <c r="G14" s="33">
        <f t="shared" si="2"/>
        <v>5417.1128178954432</v>
      </c>
      <c r="H14" s="34">
        <f t="shared" si="3"/>
        <v>354926.19256152993</v>
      </c>
      <c r="I14" s="32">
        <f t="shared" si="4"/>
        <v>1.4779248063072148E-2</v>
      </c>
      <c r="J14" s="32">
        <f t="shared" si="5"/>
        <v>0.11</v>
      </c>
      <c r="K14" s="32">
        <f t="shared" si="6"/>
        <v>3.9420450238365358E-2</v>
      </c>
      <c r="L14" s="16">
        <f>G14/'Clause 6'!$H$11</f>
        <v>5417.1128178954432</v>
      </c>
      <c r="M14">
        <f t="shared" si="7"/>
        <v>5</v>
      </c>
      <c r="O14" s="85">
        <f t="shared" si="10"/>
        <v>-1.9137765782650806E-2</v>
      </c>
      <c r="P14" s="85">
        <f t="shared" si="8"/>
        <v>-1.0317776596401318E-2</v>
      </c>
      <c r="Q14" s="85">
        <f t="shared" si="8"/>
        <v>1.3695828599770588E-2</v>
      </c>
      <c r="R14" s="85">
        <f t="shared" si="8"/>
        <v>-4.5229706764337019E-3</v>
      </c>
      <c r="S14" s="85">
        <f t="shared" si="8"/>
        <v>2.0282684455714461E-2</v>
      </c>
    </row>
    <row r="15" spans="1:49" ht="13.15" x14ac:dyDescent="0.4">
      <c r="A15" s="11" t="s">
        <v>70</v>
      </c>
      <c r="B15" s="30">
        <f t="shared" ref="B15:F15" si="15">G59*$E$4</f>
        <v>4561.2462433646115</v>
      </c>
      <c r="C15" s="30">
        <f t="shared" si="15"/>
        <v>4613.4463562332439</v>
      </c>
      <c r="D15" s="30">
        <f t="shared" si="15"/>
        <v>4706.8109342493299</v>
      </c>
      <c r="E15" s="30">
        <f t="shared" si="15"/>
        <v>4619.722537533512</v>
      </c>
      <c r="F15" s="30">
        <f t="shared" si="15"/>
        <v>4744.2595532841824</v>
      </c>
      <c r="G15" s="33">
        <f t="shared" si="2"/>
        <v>4649.0971249329759</v>
      </c>
      <c r="H15" s="34">
        <f t="shared" si="3"/>
        <v>304606.23525324283</v>
      </c>
      <c r="I15" s="32">
        <f t="shared" si="4"/>
        <v>1.434491818361428E-2</v>
      </c>
      <c r="J15" s="32">
        <f t="shared" si="5"/>
        <v>0.11</v>
      </c>
      <c r="K15" s="32">
        <f t="shared" si="6"/>
        <v>3.9365344496262673E-2</v>
      </c>
      <c r="L15" s="16">
        <f>G15/'Clause 6'!$H$11</f>
        <v>4649.0971249329759</v>
      </c>
      <c r="M15">
        <f t="shared" si="7"/>
        <v>5</v>
      </c>
      <c r="O15" s="85">
        <f t="shared" si="10"/>
        <v>-1.889633174089278E-2</v>
      </c>
      <c r="P15" s="85">
        <f t="shared" si="8"/>
        <v>-7.6683209108576733E-3</v>
      </c>
      <c r="Q15" s="85">
        <f t="shared" si="8"/>
        <v>1.2413982277728053E-2</v>
      </c>
      <c r="R15" s="85">
        <f t="shared" si="8"/>
        <v>-6.3183423813473194E-3</v>
      </c>
      <c r="S15" s="85">
        <f t="shared" si="8"/>
        <v>2.0469012755369942E-2</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ht="13.15" x14ac:dyDescent="0.4">
      <c r="A16" s="11" t="s">
        <v>71</v>
      </c>
      <c r="B16" s="30">
        <f t="shared" ref="B16:F16" si="16">G60*$E$4</f>
        <v>3888.5274198391417</v>
      </c>
      <c r="C16" s="30">
        <f t="shared" si="16"/>
        <v>3916.7855512064348</v>
      </c>
      <c r="D16" s="30">
        <f t="shared" si="16"/>
        <v>3995.4994672922253</v>
      </c>
      <c r="E16" s="30">
        <f t="shared" si="16"/>
        <v>3921.6198957104557</v>
      </c>
      <c r="F16" s="30">
        <f t="shared" si="16"/>
        <v>4015.2040046916891</v>
      </c>
      <c r="G16" s="33">
        <f t="shared" si="2"/>
        <v>3947.5272677479893</v>
      </c>
      <c r="H16" s="34">
        <f t="shared" si="3"/>
        <v>258639.77182571124</v>
      </c>
      <c r="I16" s="32">
        <f t="shared" si="4"/>
        <v>1.2399229519450338E-2</v>
      </c>
      <c r="J16" s="32">
        <f t="shared" si="5"/>
        <v>0.11</v>
      </c>
      <c r="K16" s="32">
        <f t="shared" si="6"/>
        <v>3.2090110152630989E-2</v>
      </c>
      <c r="L16" s="16">
        <f>G16/'Clause 6'!$H$11</f>
        <v>3947.5272677479893</v>
      </c>
      <c r="M16">
        <f t="shared" si="7"/>
        <v>5</v>
      </c>
      <c r="O16" s="85">
        <f t="shared" si="10"/>
        <v>-1.4946026691414427E-2</v>
      </c>
      <c r="P16" s="85">
        <f t="shared" si="8"/>
        <v>-7.7875881422579951E-3</v>
      </c>
      <c r="Q16" s="85">
        <f t="shared" si="8"/>
        <v>1.2152468188421972E-2</v>
      </c>
      <c r="R16" s="85">
        <f t="shared" si="8"/>
        <v>-6.5629368159662027E-3</v>
      </c>
      <c r="S16" s="85">
        <f t="shared" si="8"/>
        <v>1.7144083461216653E-2</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ht="13.15" x14ac:dyDescent="0.4">
      <c r="A17" s="11" t="s">
        <v>72</v>
      </c>
      <c r="B17" s="30">
        <f t="shared" ref="B17:F17" si="17">G61*$E$4</f>
        <v>3270.7626223860593</v>
      </c>
      <c r="C17" s="30">
        <f t="shared" si="17"/>
        <v>3287.9738321045579</v>
      </c>
      <c r="D17" s="30">
        <f t="shared" si="17"/>
        <v>3349.3478402144774</v>
      </c>
      <c r="E17" s="30">
        <f t="shared" si="17"/>
        <v>3267.1299501340486</v>
      </c>
      <c r="F17" s="30">
        <f t="shared" si="17"/>
        <v>3361.8572331099194</v>
      </c>
      <c r="G17" s="33">
        <f t="shared" si="2"/>
        <v>3307.4142955898124</v>
      </c>
      <c r="H17" s="34">
        <f t="shared" si="3"/>
        <v>216699.92902479813</v>
      </c>
      <c r="I17" s="32">
        <f t="shared" si="4"/>
        <v>1.2144247406915399E-2</v>
      </c>
      <c r="J17" s="32">
        <f t="shared" si="5"/>
        <v>0.11</v>
      </c>
      <c r="K17" s="32">
        <f t="shared" si="6"/>
        <v>2.8640888171216565E-2</v>
      </c>
      <c r="L17" s="16">
        <f>G17/'Clause 6'!$H$11</f>
        <v>3307.4142955898124</v>
      </c>
      <c r="M17">
        <f t="shared" si="7"/>
        <v>5</v>
      </c>
      <c r="O17" s="85">
        <f t="shared" si="10"/>
        <v>-1.1081669826675578E-2</v>
      </c>
      <c r="P17" s="85">
        <f t="shared" si="8"/>
        <v>-5.8778434595196938E-3</v>
      </c>
      <c r="Q17" s="85">
        <f t="shared" si="8"/>
        <v>1.2678648901221834E-2</v>
      </c>
      <c r="R17" s="85">
        <f t="shared" si="8"/>
        <v>-1.2180011893121456E-2</v>
      </c>
      <c r="S17" s="85">
        <f t="shared" si="8"/>
        <v>1.6460876278095116E-2</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ht="13.15" x14ac:dyDescent="0.4">
      <c r="A18" s="11" t="s">
        <v>73</v>
      </c>
      <c r="B18" s="30">
        <f t="shared" ref="B18:F18" si="18">G62*$E$4</f>
        <v>2702.8526654825737</v>
      </c>
      <c r="C18" s="30">
        <f t="shared" si="18"/>
        <v>2717.4371711796248</v>
      </c>
      <c r="D18" s="30">
        <f t="shared" si="18"/>
        <v>2759.5016684986595</v>
      </c>
      <c r="E18" s="30">
        <f t="shared" si="18"/>
        <v>2701.2889380026813</v>
      </c>
      <c r="F18" s="30">
        <f t="shared" si="18"/>
        <v>2779.4969981233248</v>
      </c>
      <c r="G18" s="33">
        <f t="shared" si="2"/>
        <v>2732.1154882573728</v>
      </c>
      <c r="H18" s="34">
        <f t="shared" si="3"/>
        <v>179006.67393933001</v>
      </c>
      <c r="I18" s="32">
        <f t="shared" si="4"/>
        <v>1.1594185918317634E-2</v>
      </c>
      <c r="J18" s="32">
        <f t="shared" si="5"/>
        <v>0.11</v>
      </c>
      <c r="K18" s="32">
        <f t="shared" si="6"/>
        <v>2.8625459083549576E-2</v>
      </c>
      <c r="L18" s="16">
        <f>G18/'Clause 6'!$H$11</f>
        <v>2732.1154882573728</v>
      </c>
      <c r="M18">
        <f t="shared" si="7"/>
        <v>5</v>
      </c>
      <c r="O18" s="85">
        <f t="shared" si="10"/>
        <v>-1.0710682949008121E-2</v>
      </c>
      <c r="P18" s="85">
        <f t="shared" si="8"/>
        <v>-5.3725097422987478E-3</v>
      </c>
      <c r="Q18" s="85">
        <f t="shared" si="8"/>
        <v>1.0023800369710623E-2</v>
      </c>
      <c r="R18" s="85">
        <f t="shared" si="8"/>
        <v>-1.1283033380976693E-2</v>
      </c>
      <c r="S18" s="85">
        <f t="shared" si="8"/>
        <v>1.7342425702572939E-2</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ht="13.15" x14ac:dyDescent="0.4">
      <c r="A19" s="11" t="s">
        <v>74</v>
      </c>
      <c r="B19" s="30">
        <f t="shared" ref="B19:F19" si="19">G63*$E$4</f>
        <v>2196.1284563002678</v>
      </c>
      <c r="C19" s="30">
        <f t="shared" si="19"/>
        <v>2209.69869886059</v>
      </c>
      <c r="D19" s="30">
        <f t="shared" si="19"/>
        <v>2238.2969754021447</v>
      </c>
      <c r="E19" s="30">
        <f t="shared" si="19"/>
        <v>2196.8206575067024</v>
      </c>
      <c r="F19" s="30">
        <f t="shared" si="19"/>
        <v>2254.1812188337803</v>
      </c>
      <c r="G19" s="33">
        <f t="shared" si="2"/>
        <v>2219.0252013806971</v>
      </c>
      <c r="H19" s="34">
        <f t="shared" si="3"/>
        <v>145389.28621208097</v>
      </c>
      <c r="I19" s="32">
        <f t="shared" si="4"/>
        <v>1.0494656633685154E-2</v>
      </c>
      <c r="J19" s="32">
        <f t="shared" si="5"/>
        <v>0.11</v>
      </c>
      <c r="K19" s="32">
        <f t="shared" si="6"/>
        <v>2.6161380455432249E-2</v>
      </c>
      <c r="L19" s="16">
        <f>G19/'Clause 6'!$H$11</f>
        <v>2219.0252013806971</v>
      </c>
      <c r="M19">
        <f t="shared" si="7"/>
        <v>5</v>
      </c>
      <c r="O19" s="85">
        <f t="shared" si="10"/>
        <v>-1.0318379920238319E-2</v>
      </c>
      <c r="P19" s="85">
        <f t="shared" si="8"/>
        <v>-4.2029727802569417E-3</v>
      </c>
      <c r="Q19" s="85">
        <f t="shared" si="8"/>
        <v>8.6847927682194292E-3</v>
      </c>
      <c r="R19" s="85">
        <f t="shared" si="8"/>
        <v>-1.0006440602918221E-2</v>
      </c>
      <c r="S19" s="85">
        <f t="shared" si="8"/>
        <v>1.5843000535193941E-2</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ht="13.15" x14ac:dyDescent="0.4">
      <c r="A20" s="11" t="s">
        <v>75</v>
      </c>
      <c r="B20" s="30">
        <f t="shared" ref="B20:F20" si="20">G64*$E$4</f>
        <v>1753.7464871983916</v>
      </c>
      <c r="C20" s="30">
        <f t="shared" si="20"/>
        <v>1754.6565159517427</v>
      </c>
      <c r="D20" s="30">
        <f t="shared" si="20"/>
        <v>1790.6527683646111</v>
      </c>
      <c r="E20" s="30">
        <f t="shared" si="20"/>
        <v>1757.6213436997318</v>
      </c>
      <c r="F20" s="30">
        <f t="shared" si="20"/>
        <v>1796.1037973190348</v>
      </c>
      <c r="G20" s="33">
        <f t="shared" si="2"/>
        <v>1770.5561825067023</v>
      </c>
      <c r="H20" s="34">
        <f t="shared" si="3"/>
        <v>116005.8477086549</v>
      </c>
      <c r="I20" s="32">
        <f t="shared" si="4"/>
        <v>1.0594157755233952E-2</v>
      </c>
      <c r="J20" s="32">
        <f t="shared" si="5"/>
        <v>0.11</v>
      </c>
      <c r="K20" s="32">
        <f t="shared" si="6"/>
        <v>2.3923166369493539E-2</v>
      </c>
      <c r="L20" s="16">
        <f>G20/'Clause 6'!$H$11</f>
        <v>1770.5561825067023</v>
      </c>
      <c r="M20">
        <f t="shared" si="7"/>
        <v>5</v>
      </c>
      <c r="O20" s="85">
        <f t="shared" si="10"/>
        <v>-9.4940197178674524E-3</v>
      </c>
      <c r="P20" s="85">
        <f t="shared" si="8"/>
        <v>-8.9800406855484738E-3</v>
      </c>
      <c r="Q20" s="85">
        <f t="shared" si="8"/>
        <v>1.135043669128688E-2</v>
      </c>
      <c r="R20" s="85">
        <f t="shared" si="8"/>
        <v>-7.3055229394967114E-3</v>
      </c>
      <c r="S20" s="85">
        <f t="shared" si="8"/>
        <v>1.4429146651626201E-2</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ht="13.15" x14ac:dyDescent="0.4">
      <c r="A21" s="11" t="s">
        <v>76</v>
      </c>
      <c r="B21" s="30">
        <f t="shared" ref="B21:F21" si="21">G65*$E$4</f>
        <v>1368.9080204423594</v>
      </c>
      <c r="C21" s="30">
        <f t="shared" si="21"/>
        <v>1369.5744821715816</v>
      </c>
      <c r="D21" s="30">
        <f t="shared" si="21"/>
        <v>1396.3624843163539</v>
      </c>
      <c r="E21" s="30">
        <f t="shared" si="21"/>
        <v>1369.7531694369975</v>
      </c>
      <c r="F21" s="30">
        <f t="shared" si="21"/>
        <v>1398.6687217828419</v>
      </c>
      <c r="G21" s="33">
        <f t="shared" si="2"/>
        <v>1380.6533756300269</v>
      </c>
      <c r="H21" s="34">
        <f t="shared" si="3"/>
        <v>90459.634556764999</v>
      </c>
      <c r="I21" s="32">
        <f t="shared" si="4"/>
        <v>9.9881194201323232E-3</v>
      </c>
      <c r="J21" s="32">
        <f t="shared" si="5"/>
        <v>0.11</v>
      </c>
      <c r="K21" s="32">
        <f t="shared" si="6"/>
        <v>2.1555519919619143E-2</v>
      </c>
      <c r="L21" s="16">
        <f>G21/'Clause 6'!$H$11</f>
        <v>1380.6533756300269</v>
      </c>
      <c r="M21">
        <f t="shared" si="7"/>
        <v>5</v>
      </c>
      <c r="O21" s="85">
        <f t="shared" si="10"/>
        <v>-8.5070991712946631E-3</v>
      </c>
      <c r="P21" s="85">
        <f t="shared" si="8"/>
        <v>-8.0243844356586713E-3</v>
      </c>
      <c r="Q21" s="85">
        <f t="shared" si="8"/>
        <v>1.1378025044959994E-2</v>
      </c>
      <c r="R21" s="85">
        <f t="shared" si="8"/>
        <v>-7.8949621863310115E-3</v>
      </c>
      <c r="S21" s="85">
        <f t="shared" si="8"/>
        <v>1.3048420748324352E-2</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ht="13.15" x14ac:dyDescent="0.4">
      <c r="A22" s="11" t="s">
        <v>77</v>
      </c>
      <c r="B22" s="30">
        <f t="shared" ref="B22:F22" si="22">G66*$E$4</f>
        <v>1050.8396012734586</v>
      </c>
      <c r="C22" s="30">
        <f t="shared" si="22"/>
        <v>1054.603204088472</v>
      </c>
      <c r="D22" s="30">
        <f t="shared" si="22"/>
        <v>1071.2433600536194</v>
      </c>
      <c r="E22" s="30">
        <f t="shared" si="22"/>
        <v>1051.8751375335121</v>
      </c>
      <c r="F22" s="30">
        <f t="shared" si="22"/>
        <v>1064.949203552279</v>
      </c>
      <c r="G22" s="33">
        <f t="shared" si="2"/>
        <v>1058.7021013002682</v>
      </c>
      <c r="H22" s="34">
        <f t="shared" si="3"/>
        <v>69365.567693194025</v>
      </c>
      <c r="I22" s="32">
        <f t="shared" si="4"/>
        <v>7.5745447606854763E-3</v>
      </c>
      <c r="J22" s="32">
        <f t="shared" si="5"/>
        <v>0.11</v>
      </c>
      <c r="K22" s="32">
        <f t="shared" si="6"/>
        <v>1.9272426828190404E-2</v>
      </c>
      <c r="L22" s="16">
        <f>G22/'Clause 6'!$H$11</f>
        <v>1058.7021013002682</v>
      </c>
      <c r="M22">
        <f t="shared" si="7"/>
        <v>5</v>
      </c>
      <c r="O22" s="85">
        <f t="shared" si="10"/>
        <v>-7.4265461617135653E-3</v>
      </c>
      <c r="P22" s="85">
        <f t="shared" si="8"/>
        <v>-3.8716247061019171E-3</v>
      </c>
      <c r="Q22" s="85">
        <f t="shared" si="8"/>
        <v>1.1845880666476738E-2</v>
      </c>
      <c r="R22" s="85">
        <f t="shared" si="8"/>
        <v>-6.4484275211803554E-3</v>
      </c>
      <c r="S22" s="85">
        <f t="shared" si="8"/>
        <v>5.9007177225192109E-3</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ht="13.15" x14ac:dyDescent="0.4">
      <c r="A23" s="11" t="s">
        <v>78</v>
      </c>
      <c r="B23" s="30">
        <f t="shared" ref="B23:F23" si="23">G67*$E$4</f>
        <v>800.5125231233244</v>
      </c>
      <c r="C23" s="30">
        <f t="shared" si="23"/>
        <v>797.3038617292226</v>
      </c>
      <c r="D23" s="30">
        <f t="shared" si="23"/>
        <v>808.63551300268102</v>
      </c>
      <c r="E23" s="30">
        <f t="shared" si="23"/>
        <v>790.79847178284194</v>
      </c>
      <c r="F23" s="30">
        <f t="shared" si="23"/>
        <v>810.01199081769437</v>
      </c>
      <c r="G23" s="33">
        <f t="shared" si="2"/>
        <v>801.45247209115291</v>
      </c>
      <c r="H23" s="34">
        <f t="shared" si="3"/>
        <v>52510.716317119375</v>
      </c>
      <c r="I23" s="32">
        <f t="shared" si="4"/>
        <v>8.9361431930371667E-3</v>
      </c>
      <c r="J23" s="32">
        <f t="shared" si="5"/>
        <v>0.11</v>
      </c>
      <c r="K23" s="32">
        <f t="shared" si="6"/>
        <v>2.3973372974595033E-2</v>
      </c>
      <c r="L23" s="16">
        <f>G23/'Clause 6'!$H$11</f>
        <v>801.45247209115291</v>
      </c>
      <c r="M23">
        <f t="shared" si="7"/>
        <v>5</v>
      </c>
      <c r="O23" s="85">
        <f t="shared" si="10"/>
        <v>-1.1728068732210772E-3</v>
      </c>
      <c r="P23" s="85">
        <f t="shared" si="8"/>
        <v>-5.176364795663746E-3</v>
      </c>
      <c r="Q23" s="85">
        <f t="shared" si="8"/>
        <v>8.9625288606149933E-3</v>
      </c>
      <c r="R23" s="85">
        <f t="shared" si="8"/>
        <v>-1.32933650831627E-2</v>
      </c>
      <c r="S23" s="85">
        <f t="shared" si="8"/>
        <v>1.0680007891432419E-2</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ht="13.15" x14ac:dyDescent="0.4">
      <c r="A24" s="11" t="s">
        <v>79</v>
      </c>
      <c r="B24" s="30">
        <f t="shared" ref="B24:F24" si="24">G68*$E$4</f>
        <v>603.52059550938338</v>
      </c>
      <c r="C24" s="30">
        <f t="shared" si="24"/>
        <v>603.17965308310988</v>
      </c>
      <c r="D24" s="30">
        <f t="shared" si="24"/>
        <v>610.58225650134045</v>
      </c>
      <c r="E24" s="30">
        <f t="shared" si="24"/>
        <v>595.44057533512068</v>
      </c>
      <c r="F24" s="30">
        <f t="shared" si="24"/>
        <v>608.07122024128682</v>
      </c>
      <c r="G24" s="33">
        <f t="shared" si="2"/>
        <v>604.15886013404827</v>
      </c>
      <c r="H24" s="34">
        <f t="shared" si="3"/>
        <v>39584.149553119103</v>
      </c>
      <c r="I24" s="32">
        <f t="shared" si="4"/>
        <v>8.5668488539440181E-3</v>
      </c>
      <c r="J24" s="32">
        <f t="shared" si="5"/>
        <v>0.11</v>
      </c>
      <c r="K24" s="32">
        <f t="shared" si="6"/>
        <v>2.5062416800210784E-2</v>
      </c>
      <c r="L24" s="16">
        <f>G24/'Clause 6'!$H$11</f>
        <v>604.15886013404827</v>
      </c>
      <c r="M24">
        <f t="shared" si="7"/>
        <v>5</v>
      </c>
      <c r="O24" s="85">
        <f t="shared" si="10"/>
        <v>-1.0564516500234378E-3</v>
      </c>
      <c r="P24" s="85">
        <f t="shared" si="8"/>
        <v>-1.620777440425436E-3</v>
      </c>
      <c r="Q24" s="85">
        <f t="shared" si="8"/>
        <v>1.0631965847305525E-2</v>
      </c>
      <c r="R24" s="85">
        <f t="shared" si="8"/>
        <v>-1.4430450952905294E-2</v>
      </c>
      <c r="S24" s="85">
        <f t="shared" si="8"/>
        <v>6.475714196048532E-3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ht="13.15" x14ac:dyDescent="0.4">
      <c r="A25" s="11" t="s">
        <v>80</v>
      </c>
      <c r="B25" s="30">
        <f t="shared" ref="B25:F25" si="25">G69*$E$4</f>
        <v>457.59762479892765</v>
      </c>
      <c r="C25" s="30">
        <f t="shared" si="25"/>
        <v>455.87143042895445</v>
      </c>
      <c r="D25" s="30">
        <f t="shared" si="25"/>
        <v>461.41791876675603</v>
      </c>
      <c r="E25" s="30">
        <f t="shared" si="25"/>
        <v>446.46800764075073</v>
      </c>
      <c r="F25" s="30">
        <f t="shared" si="25"/>
        <v>458.60204993297583</v>
      </c>
      <c r="G25" s="33">
        <f t="shared" si="2"/>
        <v>455.99140631367288</v>
      </c>
      <c r="H25" s="34">
        <f t="shared" si="3"/>
        <v>29876.301108044096</v>
      </c>
      <c r="I25" s="32">
        <f t="shared" si="4"/>
        <v>1.1162984458411178E-2</v>
      </c>
      <c r="J25" s="32">
        <f t="shared" si="5"/>
        <v>0.11</v>
      </c>
      <c r="K25" s="32">
        <f t="shared" si="6"/>
        <v>3.2785510689474218E-2</v>
      </c>
      <c r="L25" s="16">
        <f>G25/'Clause 6'!$H$11</f>
        <v>455.99140631367288</v>
      </c>
      <c r="M25">
        <f t="shared" si="7"/>
        <v>5</v>
      </c>
      <c r="O25" s="85">
        <f t="shared" si="10"/>
        <v>3.5224753427696154E-3</v>
      </c>
      <c r="P25" s="85">
        <f t="shared" si="8"/>
        <v>-2.6310996886613758E-4</v>
      </c>
      <c r="Q25" s="85">
        <f t="shared" si="8"/>
        <v>1.1900470881572422E-2</v>
      </c>
      <c r="R25" s="85">
        <f t="shared" si="8"/>
        <v>-2.0885039807901795E-2</v>
      </c>
      <c r="S25" s="85">
        <f t="shared" si="8"/>
        <v>5.72520355242645E-3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ht="13.15" x14ac:dyDescent="0.4">
      <c r="A26" s="11" t="s">
        <v>81</v>
      </c>
      <c r="B26" s="30">
        <f t="shared" ref="B26:F26" si="26">G70*$E$4</f>
        <v>344.04799470509386</v>
      </c>
      <c r="C26" s="30">
        <f t="shared" si="26"/>
        <v>340.67854108579093</v>
      </c>
      <c r="D26" s="30">
        <f t="shared" si="26"/>
        <v>348.42844054959789</v>
      </c>
      <c r="E26" s="30">
        <f t="shared" si="26"/>
        <v>333.91431957104555</v>
      </c>
      <c r="F26" s="30">
        <f t="shared" si="26"/>
        <v>339.49143981233243</v>
      </c>
      <c r="G26" s="33">
        <f t="shared" si="2"/>
        <v>341.31214714477215</v>
      </c>
      <c r="H26" s="34">
        <f t="shared" si="3"/>
        <v>22362.580388007864</v>
      </c>
      <c r="I26" s="32">
        <f t="shared" si="4"/>
        <v>1.4146796329103015E-2</v>
      </c>
      <c r="J26" s="32">
        <f t="shared" si="5"/>
        <v>0.11</v>
      </c>
      <c r="K26" s="32">
        <f t="shared" si="6"/>
        <v>4.2524478252442571E-2</v>
      </c>
      <c r="L26" s="16">
        <f>G26/'Clause 6'!$H$11</f>
        <v>341.31214714477215</v>
      </c>
      <c r="M26">
        <f t="shared" si="7"/>
        <v>5</v>
      </c>
      <c r="O26" s="85">
        <f t="shared" si="10"/>
        <v>8.0156759236618136E-3</v>
      </c>
      <c r="P26" s="85">
        <f t="shared" si="8"/>
        <v>-1.8563829745926741E-3</v>
      </c>
      <c r="Q26" s="85">
        <f t="shared" si="8"/>
        <v>2.0849809959465837E-2</v>
      </c>
      <c r="R26" s="85">
        <f t="shared" si="8"/>
        <v>-2.1674668292976706E-2</v>
      </c>
      <c r="S26" s="85">
        <f t="shared" si="8"/>
        <v>-5.3344346155587141E-3</v>
      </c>
    </row>
    <row r="27" spans="1:49" ht="13.15" x14ac:dyDescent="0.4">
      <c r="A27" s="11" t="s">
        <v>82</v>
      </c>
      <c r="B27" s="30">
        <f t="shared" ref="B27:F27" si="27">G71*$E$4</f>
        <v>258.58230207774801</v>
      </c>
      <c r="C27" s="30">
        <f t="shared" si="27"/>
        <v>258.58097245308312</v>
      </c>
      <c r="D27" s="30">
        <f t="shared" si="27"/>
        <v>262.91060502680966</v>
      </c>
      <c r="E27" s="30">
        <f t="shared" si="27"/>
        <v>252.98356367292226</v>
      </c>
      <c r="F27" s="30">
        <f t="shared" si="27"/>
        <v>258.08546072386059</v>
      </c>
      <c r="G27" s="33">
        <f t="shared" si="2"/>
        <v>258.22858079088473</v>
      </c>
      <c r="H27" s="34">
        <f t="shared" si="3"/>
        <v>16918.991734472151</v>
      </c>
      <c r="I27" s="32">
        <f t="shared" si="4"/>
        <v>1.2209411394556195E-2</v>
      </c>
      <c r="J27" s="32">
        <f t="shared" si="5"/>
        <v>0.11</v>
      </c>
      <c r="K27" s="32">
        <f t="shared" si="6"/>
        <v>3.8442845185778986E-2</v>
      </c>
      <c r="L27" s="16">
        <f>G27/'Clause 6'!$H$11</f>
        <v>258.22858079088473</v>
      </c>
      <c r="M27">
        <f t="shared" si="7"/>
        <v>5</v>
      </c>
      <c r="O27" s="85">
        <f t="shared" si="10"/>
        <v>1.3697991360208661E-3</v>
      </c>
      <c r="P27" s="85">
        <f t="shared" si="8"/>
        <v>1.3646501139381595E-3</v>
      </c>
      <c r="Q27" s="85">
        <f t="shared" si="8"/>
        <v>1.8131316919239415E-2</v>
      </c>
      <c r="R27" s="85">
        <f t="shared" si="8"/>
        <v>-2.0311528266539702E-2</v>
      </c>
      <c r="S27" s="85">
        <f t="shared" si="8"/>
        <v>-5.5423790265896056E-4</v>
      </c>
    </row>
    <row r="28" spans="1:49" ht="13.15" x14ac:dyDescent="0.4">
      <c r="A28" s="11" t="s">
        <v>83</v>
      </c>
      <c r="B28" s="30">
        <f t="shared" ref="B28:F28" si="28">G72*$E$4</f>
        <v>195.21142252010725</v>
      </c>
      <c r="C28" s="30">
        <f t="shared" si="28"/>
        <v>194.57652412868632</v>
      </c>
      <c r="D28" s="30">
        <f t="shared" si="28"/>
        <v>197.97758029490618</v>
      </c>
      <c r="E28" s="30">
        <f t="shared" si="28"/>
        <v>191.68600375335123</v>
      </c>
      <c r="F28" s="30">
        <f t="shared" si="28"/>
        <v>194.6697363941019</v>
      </c>
      <c r="G28" s="33">
        <f t="shared" si="2"/>
        <v>194.82425341823054</v>
      </c>
      <c r="H28" s="34">
        <f t="shared" si="3"/>
        <v>12764.775777964949</v>
      </c>
      <c r="I28" s="32">
        <f t="shared" si="4"/>
        <v>1.0272647427953091E-2</v>
      </c>
      <c r="J28" s="32">
        <f t="shared" si="5"/>
        <v>0.11</v>
      </c>
      <c r="K28" s="32">
        <f t="shared" si="6"/>
        <v>3.2293600161006526E-2</v>
      </c>
      <c r="L28" s="16">
        <f>G28/'Clause 6'!$H$11</f>
        <v>194.82425341823054</v>
      </c>
      <c r="M28">
        <f t="shared" si="7"/>
        <v>5</v>
      </c>
      <c r="O28" s="85">
        <f t="shared" si="10"/>
        <v>1.9872736329473728E-3</v>
      </c>
      <c r="P28" s="85">
        <f t="shared" si="8"/>
        <v>-1.2715526183099124E-3</v>
      </c>
      <c r="Q28" s="85">
        <f t="shared" si="8"/>
        <v>1.6185494471811834E-2</v>
      </c>
      <c r="R28" s="85">
        <f t="shared" si="8"/>
        <v>-1.6108105689194741E-2</v>
      </c>
      <c r="S28" s="85">
        <f t="shared" si="8"/>
        <v>-7.9310979725366604E-4</v>
      </c>
    </row>
    <row r="29" spans="1:49" ht="13.15" x14ac:dyDescent="0.4">
      <c r="A29" s="11" t="s">
        <v>84</v>
      </c>
      <c r="B29" s="30">
        <f t="shared" ref="B29:F29" si="29">G73*$E$4</f>
        <v>147.70350194369973</v>
      </c>
      <c r="C29" s="30">
        <f t="shared" si="29"/>
        <v>148.28826494638071</v>
      </c>
      <c r="D29" s="30">
        <f t="shared" si="29"/>
        <v>148.55886186327078</v>
      </c>
      <c r="E29" s="30">
        <f t="shared" si="29"/>
        <v>144.77614068364613</v>
      </c>
      <c r="F29" s="30">
        <f t="shared" si="29"/>
        <v>146.84560301608579</v>
      </c>
      <c r="G29" s="33">
        <f t="shared" si="2"/>
        <v>147.23447449061663</v>
      </c>
      <c r="H29" s="34">
        <f t="shared" si="3"/>
        <v>9646.7201628365456</v>
      </c>
      <c r="I29" s="32">
        <f t="shared" si="4"/>
        <v>9.2524801097823173E-3</v>
      </c>
      <c r="J29" s="32">
        <f t="shared" si="5"/>
        <v>0.113</v>
      </c>
      <c r="K29" s="32">
        <f t="shared" si="6"/>
        <v>2.5691817033419849E-2</v>
      </c>
      <c r="L29" s="16">
        <f>G29/'Clause 6'!$H$11</f>
        <v>147.23447449061663</v>
      </c>
      <c r="M29">
        <f t="shared" si="7"/>
        <v>5</v>
      </c>
      <c r="O29" s="85">
        <f t="shared" si="10"/>
        <v>3.1855817376045259E-3</v>
      </c>
      <c r="P29" s="85">
        <f t="shared" si="8"/>
        <v>7.1572263181558515E-3</v>
      </c>
      <c r="Q29" s="85">
        <f t="shared" si="8"/>
        <v>8.9950901596660415E-3</v>
      </c>
      <c r="R29" s="85">
        <f t="shared" si="8"/>
        <v>-1.6696726873753787E-2</v>
      </c>
      <c r="S29" s="85">
        <f t="shared" si="8"/>
        <v>-2.6411713416726323E-3</v>
      </c>
    </row>
    <row r="30" spans="1:49" ht="13.15" x14ac:dyDescent="0.4">
      <c r="A30" s="11" t="s">
        <v>85</v>
      </c>
      <c r="B30" s="30">
        <f t="shared" ref="B30:F30" si="30">G74*$E$4</f>
        <v>109.34105784182306</v>
      </c>
      <c r="C30" s="30">
        <f t="shared" si="30"/>
        <v>111.19735241286864</v>
      </c>
      <c r="D30" s="30">
        <f t="shared" si="30"/>
        <v>108.52440777479893</v>
      </c>
      <c r="E30" s="30">
        <f t="shared" si="30"/>
        <v>108.13249175603218</v>
      </c>
      <c r="F30" s="30">
        <f t="shared" si="30"/>
        <v>111.31480898123324</v>
      </c>
      <c r="G30" s="33">
        <f t="shared" si="2"/>
        <v>109.7020237533512</v>
      </c>
      <c r="H30" s="34">
        <f t="shared" si="3"/>
        <v>7187.6150480835295</v>
      </c>
      <c r="I30" s="32">
        <f t="shared" si="4"/>
        <v>1.2105293411016784E-2</v>
      </c>
      <c r="J30" s="32">
        <f t="shared" si="5"/>
        <v>0.113</v>
      </c>
      <c r="K30" s="32">
        <f t="shared" si="6"/>
        <v>2.9008737636016916E-2</v>
      </c>
      <c r="L30" s="16">
        <f>G30/'Clause 6'!$H$11</f>
        <v>109.7020237533512</v>
      </c>
      <c r="M30">
        <f t="shared" si="7"/>
        <v>5</v>
      </c>
      <c r="O30" s="85">
        <f t="shared" si="10"/>
        <v>-3.2904216274051157E-3</v>
      </c>
      <c r="P30" s="85">
        <f t="shared" si="8"/>
        <v>1.3630821094781753E-2</v>
      </c>
      <c r="Q30" s="85">
        <f t="shared" si="8"/>
        <v>-1.0734678707477352E-2</v>
      </c>
      <c r="R30" s="85">
        <f t="shared" si="8"/>
        <v>-1.4307229197957905E-2</v>
      </c>
      <c r="S30" s="85">
        <f t="shared" si="8"/>
        <v>1.4701508438059063E-2</v>
      </c>
    </row>
    <row r="31" spans="1:49" ht="13.15" x14ac:dyDescent="0.4">
      <c r="A31" s="11" t="s">
        <v>86</v>
      </c>
      <c r="B31" s="30">
        <f t="shared" ref="B31:F31" si="31">G75*$E$4</f>
        <v>79.314758310991962</v>
      </c>
      <c r="C31" s="30">
        <f t="shared" si="31"/>
        <v>81.796020040214472</v>
      </c>
      <c r="D31" s="30">
        <f t="shared" si="31"/>
        <v>79.387795308310999</v>
      </c>
      <c r="E31" s="30">
        <f t="shared" si="31"/>
        <v>79.057363538874</v>
      </c>
      <c r="F31" s="30">
        <f t="shared" si="31"/>
        <v>83.729726474530835</v>
      </c>
      <c r="G31" s="33">
        <f t="shared" si="2"/>
        <v>80.657132734584451</v>
      </c>
      <c r="H31" s="34">
        <f t="shared" si="3"/>
        <v>5284.6100841476964</v>
      </c>
      <c r="I31" s="32">
        <f t="shared" si="4"/>
        <v>2.2665480079140765E-2</v>
      </c>
      <c r="J31" s="32">
        <f t="shared" si="5"/>
        <v>0.113</v>
      </c>
      <c r="K31" s="32">
        <f t="shared" si="6"/>
        <v>5.7928701123458146E-2</v>
      </c>
      <c r="L31" s="16">
        <f>G31/'Clause 6'!$H$11</f>
        <v>80.657132734584451</v>
      </c>
      <c r="M31">
        <f t="shared" si="7"/>
        <v>5</v>
      </c>
      <c r="O31" s="85">
        <f t="shared" si="10"/>
        <v>-1.6642972271402101E-2</v>
      </c>
      <c r="P31" s="85">
        <f t="shared" si="8"/>
        <v>1.4120106517767184E-2</v>
      </c>
      <c r="Q31" s="85">
        <f t="shared" si="8"/>
        <v>-1.573744792603049E-2</v>
      </c>
      <c r="R31" s="85">
        <f t="shared" si="8"/>
        <v>-1.983419372189632E-2</v>
      </c>
      <c r="S31" s="85">
        <f t="shared" si="8"/>
        <v>3.809450740156195E-2</v>
      </c>
    </row>
    <row r="32" spans="1:49" ht="13.15" x14ac:dyDescent="0.4">
      <c r="A32" s="11" t="s">
        <v>87</v>
      </c>
      <c r="B32" s="30">
        <f t="shared" ref="B32:F32" si="32">G76*$E$4</f>
        <v>57.300865884718498</v>
      </c>
      <c r="C32" s="30">
        <f t="shared" si="32"/>
        <v>58.274951876675608</v>
      </c>
      <c r="D32" s="30">
        <f t="shared" si="32"/>
        <v>58.954336058981241</v>
      </c>
      <c r="E32" s="30">
        <f t="shared" si="32"/>
        <v>59.349223257372657</v>
      </c>
      <c r="F32" s="30">
        <f t="shared" si="32"/>
        <v>60.117492761394111</v>
      </c>
      <c r="G32" s="33">
        <f t="shared" si="2"/>
        <v>58.799373967828423</v>
      </c>
      <c r="H32" s="34">
        <f t="shared" si="3"/>
        <v>3852.5019930285839</v>
      </c>
      <c r="I32" s="32">
        <f t="shared" si="4"/>
        <v>1.628471698483596E-2</v>
      </c>
      <c r="J32" s="32">
        <f t="shared" si="5"/>
        <v>0.11900000000000001</v>
      </c>
      <c r="K32" s="32">
        <f t="shared" si="6"/>
        <v>4.7902327637309651E-2</v>
      </c>
      <c r="L32" s="16">
        <f>G32/'Clause 6'!$H$11</f>
        <v>58.799373967828423</v>
      </c>
      <c r="M32">
        <f t="shared" si="7"/>
        <v>5</v>
      </c>
      <c r="O32" s="85">
        <f t="shared" si="10"/>
        <v>-2.5485102680341876E-2</v>
      </c>
      <c r="P32" s="85">
        <f t="shared" si="8"/>
        <v>-8.9188380039513238E-3</v>
      </c>
      <c r="Q32" s="85">
        <f t="shared" si="8"/>
        <v>2.6354377724771005E-3</v>
      </c>
      <c r="R32" s="85">
        <f t="shared" si="8"/>
        <v>9.3512779548483582E-3</v>
      </c>
      <c r="S32" s="85">
        <f t="shared" si="8"/>
        <v>2.2417224956967852E-2</v>
      </c>
    </row>
    <row r="33" spans="1:19" ht="13.15" x14ac:dyDescent="0.4">
      <c r="A33" s="11" t="s">
        <v>88</v>
      </c>
      <c r="B33" s="30">
        <f t="shared" ref="B33:F33" si="33">G77*$E$4</f>
        <v>42.409114946380697</v>
      </c>
      <c r="C33" s="30">
        <f t="shared" si="33"/>
        <v>40.935701742627344</v>
      </c>
      <c r="D33" s="30">
        <f t="shared" si="33"/>
        <v>41.169651206434317</v>
      </c>
      <c r="E33" s="30">
        <f t="shared" si="33"/>
        <v>41.514481434316359</v>
      </c>
      <c r="F33" s="30">
        <f t="shared" si="33"/>
        <v>42.576977010723859</v>
      </c>
      <c r="G33" s="33">
        <f t="shared" si="2"/>
        <v>41.721185268096512</v>
      </c>
      <c r="H33" s="34">
        <f t="shared" si="3"/>
        <v>2733.5486511267818</v>
      </c>
      <c r="I33" s="32">
        <f t="shared" si="4"/>
        <v>1.5788502165375019E-2</v>
      </c>
      <c r="J33" s="32">
        <f t="shared" si="5"/>
        <v>0.11900000000000001</v>
      </c>
      <c r="K33" s="32">
        <f t="shared" si="6"/>
        <v>3.9339133285639649E-2</v>
      </c>
      <c r="L33" s="16">
        <f>G33/'Clause 6'!$H$11</f>
        <v>41.721185268096512</v>
      </c>
      <c r="M33">
        <f t="shared" si="7"/>
        <v>5</v>
      </c>
      <c r="O33" s="85">
        <f t="shared" si="10"/>
        <v>1.6488737648837404E-2</v>
      </c>
      <c r="P33" s="85">
        <f t="shared" si="8"/>
        <v>-1.8826970528802667E-2</v>
      </c>
      <c r="Q33" s="85">
        <f t="shared" si="8"/>
        <v>-1.3219520445502453E-2</v>
      </c>
      <c r="R33" s="85">
        <f t="shared" si="8"/>
        <v>-4.9544094313690445E-3</v>
      </c>
      <c r="S33" s="85">
        <f t="shared" si="8"/>
        <v>2.0512162756836982E-2</v>
      </c>
    </row>
    <row r="34" spans="1:19" ht="13.15" x14ac:dyDescent="0.4">
      <c r="A34" s="11" t="s">
        <v>89</v>
      </c>
      <c r="B34" s="30">
        <f t="shared" ref="B34:F34" si="34">G78*$E$4</f>
        <v>30.350033512064346</v>
      </c>
      <c r="C34" s="30">
        <f t="shared" si="34"/>
        <v>29.175170710455763</v>
      </c>
      <c r="D34" s="30">
        <f t="shared" si="34"/>
        <v>29.136608109919571</v>
      </c>
      <c r="E34" s="30">
        <f t="shared" si="34"/>
        <v>29.974355294906164</v>
      </c>
      <c r="F34" s="30">
        <f t="shared" si="34"/>
        <v>30.583464544235923</v>
      </c>
      <c r="G34" s="33">
        <f t="shared" si="2"/>
        <v>29.843926434316352</v>
      </c>
      <c r="H34" s="34">
        <f t="shared" si="3"/>
        <v>1955.3573160644382</v>
      </c>
      <c r="I34" s="32">
        <f t="shared" si="4"/>
        <v>1.9922864620880915E-2</v>
      </c>
      <c r="J34" s="32">
        <f t="shared" si="5"/>
        <v>0.13400000000000001</v>
      </c>
      <c r="K34" s="32">
        <f t="shared" si="6"/>
        <v>4.8480766681312723E-2</v>
      </c>
      <c r="L34" s="16">
        <f>G34/'Clause 6'!$H$11</f>
        <v>29.843926434316352</v>
      </c>
      <c r="M34">
        <f t="shared" si="7"/>
        <v>5</v>
      </c>
      <c r="O34" s="85">
        <f t="shared" si="10"/>
        <v>1.695846151014635E-2</v>
      </c>
      <c r="P34" s="85">
        <f t="shared" si="8"/>
        <v>-2.2408436280408894E-2</v>
      </c>
      <c r="Q34" s="85">
        <f t="shared" si="8"/>
        <v>-2.3700578606957845E-2</v>
      </c>
      <c r="R34" s="85">
        <f t="shared" si="8"/>
        <v>4.3703653028657197E-3</v>
      </c>
      <c r="S34" s="85">
        <f t="shared" si="8"/>
        <v>2.4780188074355003E-2</v>
      </c>
    </row>
    <row r="35" spans="1:19" ht="13.15" x14ac:dyDescent="0.4">
      <c r="A35" s="11" t="s">
        <v>90</v>
      </c>
      <c r="B35" s="30">
        <f t="shared" ref="B35:F35" si="35">G79*$E$4</f>
        <v>21.285491621983915</v>
      </c>
      <c r="C35" s="30">
        <f t="shared" si="35"/>
        <v>19.751665884718502</v>
      </c>
      <c r="D35" s="30">
        <f t="shared" si="35"/>
        <v>20.811863806970511</v>
      </c>
      <c r="E35" s="30">
        <f t="shared" si="35"/>
        <v>20.757241152815013</v>
      </c>
      <c r="F35" s="30">
        <f t="shared" si="35"/>
        <v>20.164096983914209</v>
      </c>
      <c r="G35" s="33">
        <f t="shared" si="2"/>
        <v>20.554071890080429</v>
      </c>
      <c r="H35" s="34">
        <f t="shared" si="3"/>
        <v>1346.6912583918465</v>
      </c>
      <c r="I35" s="32">
        <f t="shared" si="4"/>
        <v>2.6097202632487222E-2</v>
      </c>
      <c r="J35" s="32">
        <f t="shared" si="5"/>
        <v>0.13400000000000001</v>
      </c>
      <c r="K35" s="32">
        <f t="shared" si="6"/>
        <v>7.4623935610814457E-2</v>
      </c>
      <c r="L35" s="16">
        <f>G35/'Clause 6'!$H$11</f>
        <v>20.554071890080429</v>
      </c>
      <c r="M35">
        <f t="shared" si="7"/>
        <v>5</v>
      </c>
      <c r="O35" s="85">
        <f t="shared" si="10"/>
        <v>3.5585150028422108E-2</v>
      </c>
      <c r="P35" s="85">
        <f t="shared" si="8"/>
        <v>-3.9038785582392377E-2</v>
      </c>
      <c r="Q35" s="85">
        <f t="shared" si="8"/>
        <v>1.2542133659389165E-2</v>
      </c>
      <c r="R35" s="85">
        <f t="shared" si="8"/>
        <v>9.8846235345042555E-3</v>
      </c>
      <c r="S35" s="85">
        <f t="shared" si="8"/>
        <v>-1.8973121639923041E-2</v>
      </c>
    </row>
    <row r="36" spans="1:19" ht="13.15" x14ac:dyDescent="0.4">
      <c r="A36" s="11" t="s">
        <v>91</v>
      </c>
      <c r="B36" s="30">
        <f t="shared" ref="B36:F36" si="36">G80*$E$4</f>
        <v>14.729884383378016</v>
      </c>
      <c r="C36" s="30">
        <f t="shared" si="36"/>
        <v>13.419070509383378</v>
      </c>
      <c r="D36" s="30">
        <f t="shared" si="36"/>
        <v>14.606143900804291</v>
      </c>
      <c r="E36" s="30">
        <f t="shared" si="36"/>
        <v>15.436792493297588</v>
      </c>
      <c r="F36" s="30">
        <f t="shared" si="36"/>
        <v>14.392218096514746</v>
      </c>
      <c r="G36" s="33">
        <f t="shared" si="2"/>
        <v>14.516821876675603</v>
      </c>
      <c r="H36" s="34">
        <f t="shared" si="3"/>
        <v>951.1340247080384</v>
      </c>
      <c r="I36" s="32">
        <f t="shared" si="4"/>
        <v>4.4858271206815702E-2</v>
      </c>
      <c r="J36" s="32">
        <f t="shared" si="5"/>
        <v>0.156</v>
      </c>
      <c r="K36" s="32">
        <f t="shared" si="6"/>
        <v>0.13899199157055958</v>
      </c>
      <c r="L36" s="16">
        <f>G36/'Clause 6'!$H$11</f>
        <v>14.516821876675603</v>
      </c>
      <c r="M36">
        <f t="shared" si="7"/>
        <v>5</v>
      </c>
      <c r="O36" s="85">
        <f t="shared" si="10"/>
        <v>1.4676938830856745E-2</v>
      </c>
      <c r="P36" s="85">
        <f t="shared" si="8"/>
        <v>-7.5619262715897806E-2</v>
      </c>
      <c r="Q36" s="85">
        <f t="shared" si="8"/>
        <v>6.153001317196205E-3</v>
      </c>
      <c r="R36" s="85">
        <f t="shared" si="8"/>
        <v>6.337272885466172E-2</v>
      </c>
      <c r="S36" s="85">
        <f t="shared" si="8"/>
        <v>-8.5834062868168637E-3</v>
      </c>
    </row>
    <row r="37" spans="1:19" ht="13.15" x14ac:dyDescent="0.4">
      <c r="A37" s="11" t="s">
        <v>92</v>
      </c>
      <c r="B37" s="30">
        <f t="shared" ref="B37:F37" si="37">G81*$E$4</f>
        <v>9.7120107238605904</v>
      </c>
      <c r="C37" s="30">
        <f t="shared" si="37"/>
        <v>8.6696241957104565</v>
      </c>
      <c r="D37" s="30">
        <f t="shared" si="37"/>
        <v>9.3085785522788207</v>
      </c>
      <c r="E37" s="30">
        <f t="shared" si="37"/>
        <v>9.5168573726541545</v>
      </c>
      <c r="F37" s="30">
        <f t="shared" si="37"/>
        <v>9.6697711796246661</v>
      </c>
      <c r="G37" s="33">
        <f t="shared" si="2"/>
        <v>9.3753684048257391</v>
      </c>
      <c r="H37" s="34">
        <f t="shared" si="3"/>
        <v>614.26887784095072</v>
      </c>
      <c r="I37" s="32">
        <f t="shared" si="4"/>
        <v>4.0547342459954346E-2</v>
      </c>
      <c r="J37" s="32">
        <f t="shared" si="5"/>
        <v>0.156</v>
      </c>
      <c r="K37" s="32">
        <f t="shared" si="6"/>
        <v>0.11118352721089778</v>
      </c>
      <c r="L37" s="16">
        <f>G37/'Clause 6'!$H$11</f>
        <v>9.3753684048257391</v>
      </c>
      <c r="M37">
        <f t="shared" si="7"/>
        <v>5</v>
      </c>
      <c r="O37" s="85">
        <f t="shared" si="10"/>
        <v>3.5907103006381336E-2</v>
      </c>
      <c r="P37" s="85">
        <f t="shared" si="8"/>
        <v>-7.5276424204516412E-2</v>
      </c>
      <c r="Q37" s="85">
        <f t="shared" si="8"/>
        <v>-7.1239709911068427E-3</v>
      </c>
      <c r="R37" s="85">
        <f t="shared" si="8"/>
        <v>1.5091563522515727E-2</v>
      </c>
      <c r="S37" s="85">
        <f t="shared" si="8"/>
        <v>3.1401728666725193E-2</v>
      </c>
    </row>
    <row r="38" spans="1:19" ht="13.15" x14ac:dyDescent="0.4">
      <c r="A38" s="11" t="s">
        <v>93</v>
      </c>
      <c r="B38" s="30">
        <f t="shared" ref="B38:F38" si="38">G82*$E$4</f>
        <v>6.3128078418230569</v>
      </c>
      <c r="C38" s="30">
        <f t="shared" si="38"/>
        <v>5.5787147453083117</v>
      </c>
      <c r="D38" s="30">
        <f t="shared" si="38"/>
        <v>6.1300393431635394</v>
      </c>
      <c r="E38" s="30">
        <f t="shared" si="38"/>
        <v>5.5452554289544231</v>
      </c>
      <c r="F38" s="30">
        <f t="shared" si="38"/>
        <v>6.4465144101876684</v>
      </c>
      <c r="G38" s="33">
        <f t="shared" si="2"/>
        <v>6.0026663538873999</v>
      </c>
      <c r="H38" s="34">
        <f t="shared" si="3"/>
        <v>393.29133171536199</v>
      </c>
      <c r="I38" s="32">
        <f t="shared" si="4"/>
        <v>6.2260748715104522E-2</v>
      </c>
      <c r="J38" s="32">
        <f t="shared" si="5"/>
        <v>0.193</v>
      </c>
      <c r="K38" s="32">
        <f t="shared" si="6"/>
        <v>0.15014310776236611</v>
      </c>
      <c r="L38" s="16">
        <f>G38/'Clause 6'!$H$11</f>
        <v>6.0026663538873999</v>
      </c>
      <c r="M38">
        <f t="shared" si="7"/>
        <v>5</v>
      </c>
      <c r="O38" s="85">
        <f t="shared" si="10"/>
        <v>5.1667287443821541E-2</v>
      </c>
      <c r="P38" s="85">
        <f t="shared" si="8"/>
        <v>-7.0627215238196928E-2</v>
      </c>
      <c r="Q38" s="85">
        <f t="shared" si="8"/>
        <v>2.1219401806940485E-2</v>
      </c>
      <c r="R38" s="85">
        <f t="shared" si="8"/>
        <v>-7.6201290887465634E-2</v>
      </c>
      <c r="S38" s="85">
        <f t="shared" si="8"/>
        <v>7.3941816874900423E-2</v>
      </c>
    </row>
    <row r="40" spans="1:19" x14ac:dyDescent="0.35">
      <c r="A40" t="s">
        <v>94</v>
      </c>
    </row>
    <row r="41" spans="1:19" ht="15" x14ac:dyDescent="0.5">
      <c r="A41" s="36"/>
      <c r="B41" s="37" t="s">
        <v>95</v>
      </c>
      <c r="C41" s="36"/>
      <c r="D41" s="38" t="s">
        <v>96</v>
      </c>
      <c r="E41" s="39"/>
      <c r="F41" s="39"/>
      <c r="G41" s="39"/>
      <c r="H41" s="40"/>
    </row>
    <row r="42" spans="1:19" ht="15" x14ac:dyDescent="0.5">
      <c r="A42" s="41" t="s">
        <v>97</v>
      </c>
      <c r="B42" s="42" t="s">
        <v>98</v>
      </c>
      <c r="C42" s="41" t="s">
        <v>99</v>
      </c>
      <c r="D42" s="41" t="s">
        <v>100</v>
      </c>
      <c r="E42" s="42" t="s">
        <v>101</v>
      </c>
      <c r="F42" s="42" t="s">
        <v>102</v>
      </c>
      <c r="G42" s="42" t="s">
        <v>103</v>
      </c>
      <c r="H42" s="43" t="s">
        <v>104</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51" t="str">
        <f>'6 - B1'!A52</f>
        <v>NAME\mL</v>
      </c>
      <c r="B52" s="49">
        <f>'6 - B1'!B52</f>
        <v>10.794725</v>
      </c>
      <c r="C52" s="49">
        <f>'6 - B1'!C52</f>
        <v>11.817764</v>
      </c>
      <c r="D52" s="49">
        <f>'6 - B1'!D52</f>
        <v>11.661454000000001</v>
      </c>
      <c r="E52" s="49">
        <f>'6 - B1'!E52</f>
        <v>11.792820000000001</v>
      </c>
      <c r="F52" s="49">
        <f>'6 - B1'!F52</f>
        <v>11.778202</v>
      </c>
      <c r="G52" s="49">
        <f>'6 - B1'!G52</f>
        <v>10.765807000000001</v>
      </c>
      <c r="H52" s="49">
        <f>'6 - B1'!H52</f>
        <v>11.557717999999999</v>
      </c>
      <c r="I52" s="49">
        <f>'6 - B1'!I52</f>
        <v>11.513206</v>
      </c>
      <c r="J52" s="49">
        <f>'6 - B1'!J52</f>
        <v>11.627454999999999</v>
      </c>
      <c r="K52" s="49">
        <f>'6 - B1'!K52</f>
        <v>11.623797</v>
      </c>
      <c r="L52" s="49">
        <f>'6 - B1'!L52</f>
        <v>10.700115</v>
      </c>
      <c r="M52" s="49">
        <f>'6 - B1'!M52</f>
        <v>11.625601</v>
      </c>
      <c r="N52" s="49">
        <f>'6 - B1'!N52</f>
        <v>11.478261</v>
      </c>
      <c r="O52" s="49">
        <f>'6 - B1'!O52</f>
        <v>11.572549</v>
      </c>
      <c r="P52" s="49">
        <f>'6 - B1'!P52</f>
        <v>11.671184</v>
      </c>
    </row>
    <row r="53" spans="1:16" x14ac:dyDescent="0.35">
      <c r="A53" s="51">
        <f>'6 - B1'!A53</f>
        <v>4</v>
      </c>
      <c r="B53" s="49">
        <f>'6 - B1'!B53</f>
        <v>11418.447265999999</v>
      </c>
      <c r="C53" s="49">
        <f>'6 - B1'!C53</f>
        <v>11549.815430000001</v>
      </c>
      <c r="D53" s="49">
        <f>'6 - B1'!D53</f>
        <v>11089.697265999999</v>
      </c>
      <c r="E53" s="49">
        <f>'6 - B1'!E53</f>
        <v>11333.930664</v>
      </c>
      <c r="F53" s="49">
        <f>'6 - B1'!F53</f>
        <v>11386.203125</v>
      </c>
      <c r="G53" s="49">
        <f>'6 - B1'!G53</f>
        <v>12207.909180000001</v>
      </c>
      <c r="H53" s="49">
        <f>'6 - B1'!H53</f>
        <v>12249.043944999999</v>
      </c>
      <c r="I53" s="49">
        <f>'6 - B1'!I53</f>
        <v>12479.756836</v>
      </c>
      <c r="J53" s="49">
        <f>'6 - B1'!J53</f>
        <v>12240.597656</v>
      </c>
      <c r="K53" s="49">
        <f>'6 - B1'!K53</f>
        <v>12626.338867</v>
      </c>
      <c r="L53" s="49">
        <f>'6 - B1'!L53</f>
        <v>12891.916992</v>
      </c>
      <c r="M53" s="49">
        <f>'6 - B1'!M53</f>
        <v>12675.043944999999</v>
      </c>
      <c r="N53" s="49">
        <f>'6 - B1'!N53</f>
        <v>12273.113281</v>
      </c>
      <c r="O53" s="49">
        <f>'6 - B1'!O53</f>
        <v>12978.558594</v>
      </c>
      <c r="P53" s="49">
        <f>'6 - B1'!P53</f>
        <v>12555.024414</v>
      </c>
    </row>
    <row r="54" spans="1:16" x14ac:dyDescent="0.35">
      <c r="A54" s="51">
        <f>'6 - B1'!A54</f>
        <v>5</v>
      </c>
      <c r="B54" s="49">
        <f>'6 - B1'!B54</f>
        <v>10016.373046999999</v>
      </c>
      <c r="C54" s="49">
        <f>'6 - B1'!C54</f>
        <v>10143.965819999999</v>
      </c>
      <c r="D54" s="49">
        <f>'6 - B1'!D54</f>
        <v>9743.2958980000003</v>
      </c>
      <c r="E54" s="49">
        <f>'6 - B1'!E54</f>
        <v>9951.9033199999994</v>
      </c>
      <c r="F54" s="49">
        <f>'6 - B1'!F54</f>
        <v>10031.497069999999</v>
      </c>
      <c r="G54" s="49">
        <f>'6 - B1'!G54</f>
        <v>10687.726562</v>
      </c>
      <c r="H54" s="49">
        <f>'6 - B1'!H54</f>
        <v>10704.015625</v>
      </c>
      <c r="I54" s="49">
        <f>'6 - B1'!I54</f>
        <v>10950.381836</v>
      </c>
      <c r="J54" s="49">
        <f>'6 - B1'!J54</f>
        <v>10724.014648</v>
      </c>
      <c r="K54" s="49">
        <f>'6 - B1'!K54</f>
        <v>11074.349609000001</v>
      </c>
      <c r="L54" s="49">
        <f>'6 - B1'!L54</f>
        <v>11285.486328000001</v>
      </c>
      <c r="M54" s="49">
        <f>'6 - B1'!M54</f>
        <v>11080.803711</v>
      </c>
      <c r="N54" s="49">
        <f>'6 - B1'!N54</f>
        <v>10777.852539</v>
      </c>
      <c r="O54" s="49">
        <f>'6 - B1'!O54</f>
        <v>11384.008789</v>
      </c>
      <c r="P54" s="49">
        <f>'6 - B1'!P54</f>
        <v>11033.842773</v>
      </c>
    </row>
    <row r="55" spans="1:16" x14ac:dyDescent="0.35">
      <c r="A55" s="51">
        <f>'6 - B1'!A55</f>
        <v>6</v>
      </c>
      <c r="B55" s="49">
        <f>'6 - B1'!B55</f>
        <v>8784.6611329999996</v>
      </c>
      <c r="C55" s="49">
        <f>'6 - B1'!C55</f>
        <v>8923.4306639999995</v>
      </c>
      <c r="D55" s="49">
        <f>'6 - B1'!D55</f>
        <v>8549.1054690000001</v>
      </c>
      <c r="E55" s="49">
        <f>'6 - B1'!E55</f>
        <v>8742.2685550000006</v>
      </c>
      <c r="F55" s="49">
        <f>'6 - B1'!F55</f>
        <v>8827.1533199999994</v>
      </c>
      <c r="G55" s="49">
        <f>'6 - B1'!G55</f>
        <v>9371.4296880000002</v>
      </c>
      <c r="H55" s="49">
        <f>'6 - B1'!H55</f>
        <v>9376.4179690000001</v>
      </c>
      <c r="I55" s="49">
        <f>'6 - B1'!I55</f>
        <v>9595.9375</v>
      </c>
      <c r="J55" s="49">
        <f>'6 - B1'!J55</f>
        <v>9400.6816409999992</v>
      </c>
      <c r="K55" s="49">
        <f>'6 - B1'!K55</f>
        <v>9690.6367190000001</v>
      </c>
      <c r="L55" s="49">
        <f>'6 - B1'!L55</f>
        <v>9851.5761719999991</v>
      </c>
      <c r="M55" s="49">
        <f>'6 - B1'!M55</f>
        <v>9710.5517579999996</v>
      </c>
      <c r="N55" s="49">
        <f>'6 - B1'!N55</f>
        <v>9460.4921880000002</v>
      </c>
      <c r="O55" s="49">
        <f>'6 - B1'!O55</f>
        <v>9964.3564449999994</v>
      </c>
      <c r="P55" s="49">
        <f>'6 - B1'!P55</f>
        <v>9702.8720699999994</v>
      </c>
    </row>
    <row r="56" spans="1:16" x14ac:dyDescent="0.35">
      <c r="A56" s="51">
        <f>'6 - B1'!A56</f>
        <v>7</v>
      </c>
      <c r="B56" s="49">
        <f>'6 - B1'!B56</f>
        <v>7685.7905270000001</v>
      </c>
      <c r="C56" s="49">
        <f>'6 - B1'!C56</f>
        <v>7819.1606449999999</v>
      </c>
      <c r="D56" s="49">
        <f>'6 - B1'!D56</f>
        <v>7499.4936520000001</v>
      </c>
      <c r="E56" s="49">
        <f>'6 - B1'!E56</f>
        <v>7655.1665039999998</v>
      </c>
      <c r="F56" s="49">
        <f>'6 - B1'!F56</f>
        <v>7737.1743159999996</v>
      </c>
      <c r="G56" s="49">
        <f>'6 - B1'!G56</f>
        <v>8141.7954099999997</v>
      </c>
      <c r="H56" s="49">
        <f>'6 - B1'!H56</f>
        <v>8174.4506840000004</v>
      </c>
      <c r="I56" s="49">
        <f>'6 - B1'!I56</f>
        <v>8376.1210940000001</v>
      </c>
      <c r="J56" s="49">
        <f>'6 - B1'!J56</f>
        <v>8228.7138670000004</v>
      </c>
      <c r="K56" s="49">
        <f>'6 - B1'!K56</f>
        <v>8446.6376949999994</v>
      </c>
      <c r="L56" s="49">
        <f>'6 - B1'!L56</f>
        <v>8584.2998050000006</v>
      </c>
      <c r="M56" s="49">
        <f>'6 - B1'!M56</f>
        <v>8491.0878909999992</v>
      </c>
      <c r="N56" s="49">
        <f>'6 - B1'!N56</f>
        <v>8266.234375</v>
      </c>
      <c r="O56" s="49">
        <f>'6 - B1'!O56</f>
        <v>8695.1455079999996</v>
      </c>
      <c r="P56" s="49">
        <f>'6 - B1'!P56</f>
        <v>8496.3105469999991</v>
      </c>
    </row>
    <row r="57" spans="1:16" x14ac:dyDescent="0.35">
      <c r="A57" s="51">
        <f>'6 - B1'!A57</f>
        <v>8</v>
      </c>
      <c r="B57" s="49">
        <f>'6 - B1'!B57</f>
        <v>6697.623047</v>
      </c>
      <c r="C57" s="49">
        <f>'6 - B1'!C57</f>
        <v>6810.3408200000003</v>
      </c>
      <c r="D57" s="49">
        <f>'6 - B1'!D57</f>
        <v>6543.8666990000002</v>
      </c>
      <c r="E57" s="49">
        <f>'6 - B1'!E57</f>
        <v>6668.294922</v>
      </c>
      <c r="F57" s="49">
        <f>'6 - B1'!F57</f>
        <v>6748.2285160000001</v>
      </c>
      <c r="G57" s="49">
        <f>'6 - B1'!G57</f>
        <v>7059.5727539999998</v>
      </c>
      <c r="H57" s="49">
        <f>'6 - B1'!H57</f>
        <v>7111.6977539999998</v>
      </c>
      <c r="I57" s="49">
        <f>'6 - B1'!I57</f>
        <v>7271.3891599999997</v>
      </c>
      <c r="J57" s="49">
        <f>'6 - B1'!J57</f>
        <v>7149.7158200000003</v>
      </c>
      <c r="K57" s="49">
        <f>'6 - B1'!K57</f>
        <v>7324.7148440000001</v>
      </c>
      <c r="L57" s="49">
        <f>'6 - B1'!L57</f>
        <v>7460.6674800000001</v>
      </c>
      <c r="M57" s="49">
        <f>'6 - B1'!M57</f>
        <v>7378.1992190000001</v>
      </c>
      <c r="N57" s="49">
        <f>'6 - B1'!N57</f>
        <v>7200.9165039999998</v>
      </c>
      <c r="O57" s="49">
        <f>'6 - B1'!O57</f>
        <v>7554.861328</v>
      </c>
      <c r="P57" s="49">
        <f>'6 - B1'!P57</f>
        <v>7411.4165039999998</v>
      </c>
    </row>
    <row r="58" spans="1:16" x14ac:dyDescent="0.35">
      <c r="A58" s="51">
        <f>'6 - B1'!A58</f>
        <v>9</v>
      </c>
      <c r="B58" s="49">
        <f>'6 - B1'!B58</f>
        <v>5830.5327150000003</v>
      </c>
      <c r="C58" s="49">
        <f>'6 - B1'!C58</f>
        <v>5924.216797</v>
      </c>
      <c r="D58" s="49">
        <f>'6 - B1'!D58</f>
        <v>5700.232422</v>
      </c>
      <c r="E58" s="49">
        <f>'6 - B1'!E58</f>
        <v>5781.8232420000004</v>
      </c>
      <c r="F58" s="49">
        <f>'6 - B1'!F58</f>
        <v>5868.4677730000003</v>
      </c>
      <c r="G58" s="49">
        <f>'6 - B1'!G58</f>
        <v>6098.1958009999998</v>
      </c>
      <c r="H58" s="49">
        <f>'6 - B1'!H58</f>
        <v>6153.03125</v>
      </c>
      <c r="I58" s="49">
        <f>'6 - B1'!I58</f>
        <v>6302.328125</v>
      </c>
      <c r="J58" s="49">
        <f>'6 - B1'!J58</f>
        <v>6189.0585940000001</v>
      </c>
      <c r="K58" s="49">
        <f>'6 - B1'!K58</f>
        <v>6343.2797849999997</v>
      </c>
      <c r="L58" s="49">
        <f>'6 - B1'!L58</f>
        <v>6462.080078</v>
      </c>
      <c r="M58" s="49">
        <f>'6 - B1'!M58</f>
        <v>6390.0351559999999</v>
      </c>
      <c r="N58" s="49">
        <f>'6 - B1'!N58</f>
        <v>6234.3066410000001</v>
      </c>
      <c r="O58" s="49">
        <f>'6 - B1'!O58</f>
        <v>6534.169922</v>
      </c>
      <c r="P58" s="49">
        <f>'6 - B1'!P58</f>
        <v>6428.2255859999996</v>
      </c>
    </row>
    <row r="59" spans="1:16" x14ac:dyDescent="0.35">
      <c r="A59" s="51">
        <f>'6 - B1'!A59</f>
        <v>10</v>
      </c>
      <c r="B59" s="49">
        <f>'6 - B1'!B59</f>
        <v>5028.7524409999996</v>
      </c>
      <c r="C59" s="49">
        <f>'6 - B1'!C59</f>
        <v>5097.2416990000002</v>
      </c>
      <c r="D59" s="49">
        <f>'6 - B1'!D59</f>
        <v>4910.3652339999999</v>
      </c>
      <c r="E59" s="49">
        <f>'6 - B1'!E59</f>
        <v>4992.2749020000001</v>
      </c>
      <c r="F59" s="49">
        <f>'6 - B1'!F59</f>
        <v>5059.9404299999997</v>
      </c>
      <c r="G59" s="49">
        <f>'6 - B1'!G59</f>
        <v>5234.9072269999997</v>
      </c>
      <c r="H59" s="49">
        <f>'6 - B1'!H59</f>
        <v>5294.8168949999999</v>
      </c>
      <c r="I59" s="49">
        <f>'6 - B1'!I59</f>
        <v>5401.970703</v>
      </c>
      <c r="J59" s="49">
        <f>'6 - B1'!J59</f>
        <v>5302.0200199999999</v>
      </c>
      <c r="K59" s="49">
        <f>'6 - B1'!K59</f>
        <v>5444.9501950000003</v>
      </c>
      <c r="L59" s="49">
        <f>'6 - B1'!L59</f>
        <v>5549.3793949999999</v>
      </c>
      <c r="M59" s="49">
        <f>'6 - B1'!M59</f>
        <v>5497.7802730000003</v>
      </c>
      <c r="N59" s="49">
        <f>'6 - B1'!N59</f>
        <v>5358.9125979999999</v>
      </c>
      <c r="O59" s="49">
        <f>'6 - B1'!O59</f>
        <v>5609.8271480000003</v>
      </c>
      <c r="P59" s="49">
        <f>'6 - B1'!P59</f>
        <v>5524.0327150000003</v>
      </c>
    </row>
    <row r="60" spans="1:16" x14ac:dyDescent="0.35">
      <c r="A60" s="51">
        <f>'6 - B1'!A60</f>
        <v>11</v>
      </c>
      <c r="B60" s="49">
        <f>'6 - B1'!B60</f>
        <v>4274.4023440000001</v>
      </c>
      <c r="C60" s="49">
        <f>'6 - B1'!C60</f>
        <v>4351.0766599999997</v>
      </c>
      <c r="D60" s="49">
        <f>'6 - B1'!D60</f>
        <v>4191.2441410000001</v>
      </c>
      <c r="E60" s="49">
        <f>'6 - B1'!E60</f>
        <v>4261.8305659999996</v>
      </c>
      <c r="F60" s="49">
        <f>'6 - B1'!F60</f>
        <v>4317.4672849999997</v>
      </c>
      <c r="G60" s="49">
        <f>'6 - B1'!G60</f>
        <v>4462.8330079999996</v>
      </c>
      <c r="H60" s="49">
        <f>'6 - B1'!H60</f>
        <v>4495.2646480000003</v>
      </c>
      <c r="I60" s="49">
        <f>'6 - B1'!I60</f>
        <v>4585.6040039999998</v>
      </c>
      <c r="J60" s="49">
        <f>'6 - B1'!J60</f>
        <v>4500.8129879999997</v>
      </c>
      <c r="K60" s="49">
        <f>'6 - B1'!K60</f>
        <v>4608.21875</v>
      </c>
      <c r="L60" s="49">
        <f>'6 - B1'!L60</f>
        <v>4722.0986329999996</v>
      </c>
      <c r="M60" s="49">
        <f>'6 - B1'!M60</f>
        <v>4676.0595700000003</v>
      </c>
      <c r="N60" s="49">
        <f>'6 - B1'!N60</f>
        <v>4535.9658200000003</v>
      </c>
      <c r="O60" s="49">
        <f>'6 - B1'!O60</f>
        <v>4764.1191410000001</v>
      </c>
      <c r="P60" s="49">
        <f>'6 - B1'!P60</f>
        <v>4694.2109380000002</v>
      </c>
    </row>
    <row r="61" spans="1:16" x14ac:dyDescent="0.35">
      <c r="A61" s="51">
        <f>'6 - B1'!A61</f>
        <v>12</v>
      </c>
      <c r="B61" s="49">
        <f>'6 - B1'!B61</f>
        <v>3616.9516600000002</v>
      </c>
      <c r="C61" s="49">
        <f>'6 - B1'!C61</f>
        <v>3667.0219729999999</v>
      </c>
      <c r="D61" s="49">
        <f>'6 - B1'!D61</f>
        <v>3546.0415039999998</v>
      </c>
      <c r="E61" s="49">
        <f>'6 - B1'!E61</f>
        <v>3582.5187989999999</v>
      </c>
      <c r="F61" s="49">
        <f>'6 - B1'!F61</f>
        <v>3637.9916990000002</v>
      </c>
      <c r="G61" s="49">
        <f>'6 - B1'!G61</f>
        <v>3753.8291020000001</v>
      </c>
      <c r="H61" s="49">
        <f>'6 - B1'!H61</f>
        <v>3773.5822750000002</v>
      </c>
      <c r="I61" s="49">
        <f>'6 - B1'!I61</f>
        <v>3844.0207519999999</v>
      </c>
      <c r="J61" s="49">
        <f>'6 - B1'!J61</f>
        <v>3749.6599120000001</v>
      </c>
      <c r="K61" s="49">
        <f>'6 - B1'!K61</f>
        <v>3858.3776859999998</v>
      </c>
      <c r="L61" s="49">
        <f>'6 - B1'!L61</f>
        <v>3979.6767580000001</v>
      </c>
      <c r="M61" s="49">
        <f>'6 - B1'!M61</f>
        <v>3930.4636230000001</v>
      </c>
      <c r="N61" s="49">
        <f>'6 - B1'!N61</f>
        <v>3812.0756839999999</v>
      </c>
      <c r="O61" s="49">
        <f>'6 - B1'!O61</f>
        <v>3993.329346</v>
      </c>
      <c r="P61" s="49">
        <f>'6 - B1'!P61</f>
        <v>3929.5927729999999</v>
      </c>
    </row>
    <row r="62" spans="1:16" x14ac:dyDescent="0.35">
      <c r="A62" s="51">
        <f>'6 - B1'!A62</f>
        <v>13</v>
      </c>
      <c r="B62" s="49">
        <f>'6 - B1'!B62</f>
        <v>3011.3781739999999</v>
      </c>
      <c r="C62" s="49">
        <f>'6 - B1'!C62</f>
        <v>3055.4848630000001</v>
      </c>
      <c r="D62" s="49">
        <f>'6 - B1'!D62</f>
        <v>2964.6389159999999</v>
      </c>
      <c r="E62" s="49">
        <f>'6 - B1'!E62</f>
        <v>2975.7937010000001</v>
      </c>
      <c r="F62" s="49">
        <f>'6 - B1'!F62</f>
        <v>3031.2775879999999</v>
      </c>
      <c r="G62" s="49">
        <f>'6 - B1'!G62</f>
        <v>3102.0432129999999</v>
      </c>
      <c r="H62" s="49">
        <f>'6 - B1'!H62</f>
        <v>3118.7817380000001</v>
      </c>
      <c r="I62" s="49">
        <f>'6 - B1'!I62</f>
        <v>3167.0588379999999</v>
      </c>
      <c r="J62" s="49">
        <f>'6 - B1'!J62</f>
        <v>3100.2485350000002</v>
      </c>
      <c r="K62" s="49">
        <f>'6 - B1'!K62</f>
        <v>3190.0073240000002</v>
      </c>
      <c r="L62" s="49">
        <f>'6 - B1'!L62</f>
        <v>3302.7680660000001</v>
      </c>
      <c r="M62" s="49">
        <f>'6 - B1'!M62</f>
        <v>3259.186279</v>
      </c>
      <c r="N62" s="49">
        <f>'6 - B1'!N62</f>
        <v>3153.0036620000001</v>
      </c>
      <c r="O62" s="49">
        <f>'6 - B1'!O62</f>
        <v>3314.9135740000002</v>
      </c>
      <c r="P62" s="49">
        <f>'6 - B1'!P62</f>
        <v>3245.2578119999998</v>
      </c>
    </row>
    <row r="63" spans="1:16" x14ac:dyDescent="0.35">
      <c r="A63" s="51">
        <f>'6 - B1'!A63</f>
        <v>14</v>
      </c>
      <c r="B63" s="49">
        <f>'6 - B1'!B63</f>
        <v>2469.6320799999999</v>
      </c>
      <c r="C63" s="49">
        <f>'6 - B1'!C63</f>
        <v>2504.0268550000001</v>
      </c>
      <c r="D63" s="49">
        <f>'6 - B1'!D63</f>
        <v>2423.540039</v>
      </c>
      <c r="E63" s="49">
        <f>'6 - B1'!E63</f>
        <v>2438.7719729999999</v>
      </c>
      <c r="F63" s="49">
        <f>'6 - B1'!F63</f>
        <v>2472.1938479999999</v>
      </c>
      <c r="G63" s="49">
        <f>'6 - B1'!G63</f>
        <v>2520.4797359999998</v>
      </c>
      <c r="H63" s="49">
        <f>'6 - B1'!H63</f>
        <v>2536.0541990000002</v>
      </c>
      <c r="I63" s="49">
        <f>'6 - B1'!I63</f>
        <v>2568.876221</v>
      </c>
      <c r="J63" s="49">
        <f>'6 - B1'!J63</f>
        <v>2521.2741700000001</v>
      </c>
      <c r="K63" s="49">
        <f>'6 - B1'!K63</f>
        <v>2587.1064449999999</v>
      </c>
      <c r="L63" s="49">
        <f>'6 - B1'!L63</f>
        <v>2695.1110840000001</v>
      </c>
      <c r="M63" s="49">
        <f>'6 - B1'!M63</f>
        <v>2647.3471679999998</v>
      </c>
      <c r="N63" s="49">
        <f>'6 - B1'!N63</f>
        <v>2566.7651369999999</v>
      </c>
      <c r="O63" s="49">
        <f>'6 - B1'!O63</f>
        <v>2700.0102539999998</v>
      </c>
      <c r="P63" s="49">
        <f>'6 - B1'!P63</f>
        <v>2631.1813959999999</v>
      </c>
    </row>
    <row r="64" spans="1:16" x14ac:dyDescent="0.35">
      <c r="A64" s="51">
        <f>'6 - B1'!A64</f>
        <v>15</v>
      </c>
      <c r="B64" s="49">
        <f>'6 - B1'!B64</f>
        <v>1989.7680660000001</v>
      </c>
      <c r="C64" s="49">
        <f>'6 - B1'!C64</f>
        <v>2008.4171140000001</v>
      </c>
      <c r="D64" s="49">
        <f>'6 - B1'!D64</f>
        <v>1944.8688959999999</v>
      </c>
      <c r="E64" s="49">
        <f>'6 - B1'!E64</f>
        <v>1951.356812</v>
      </c>
      <c r="F64" s="49">
        <f>'6 - B1'!F64</f>
        <v>1985.1926269999999</v>
      </c>
      <c r="G64" s="49">
        <f>'6 - B1'!G64</f>
        <v>2012.7613530000001</v>
      </c>
      <c r="H64" s="49">
        <f>'6 - B1'!H64</f>
        <v>2013.8057859999999</v>
      </c>
      <c r="I64" s="49">
        <f>'6 - B1'!I64</f>
        <v>2055.1184079999998</v>
      </c>
      <c r="J64" s="49">
        <f>'6 - B1'!J64</f>
        <v>2017.208496</v>
      </c>
      <c r="K64" s="49">
        <f>'6 - B1'!K64</f>
        <v>2061.3745119999999</v>
      </c>
      <c r="L64" s="49">
        <f>'6 - B1'!L64</f>
        <v>2150.7246089999999</v>
      </c>
      <c r="M64" s="49">
        <f>'6 - B1'!M64</f>
        <v>2115.8476559999999</v>
      </c>
      <c r="N64" s="49">
        <f>'6 - B1'!N64</f>
        <v>2046.4772949999999</v>
      </c>
      <c r="O64" s="49">
        <f>'6 - B1'!O64</f>
        <v>2161.9265140000002</v>
      </c>
      <c r="P64" s="49">
        <f>'6 - B1'!P64</f>
        <v>2110.0688479999999</v>
      </c>
    </row>
    <row r="65" spans="1:16" x14ac:dyDescent="0.35">
      <c r="A65" s="51">
        <f>'6 - B1'!A65</f>
        <v>16</v>
      </c>
      <c r="B65" s="49">
        <f>'6 - B1'!B65</f>
        <v>1566.320557</v>
      </c>
      <c r="C65" s="49">
        <f>'6 - B1'!C65</f>
        <v>1587.4406739999999</v>
      </c>
      <c r="D65" s="49">
        <f>'6 - B1'!D65</f>
        <v>1542.174683</v>
      </c>
      <c r="E65" s="49">
        <f>'6 - B1'!E65</f>
        <v>1543.990356</v>
      </c>
      <c r="F65" s="49">
        <f>'6 - B1'!F65</f>
        <v>1557.1137699999999</v>
      </c>
      <c r="G65" s="49">
        <f>'6 - B1'!G65</f>
        <v>1571.0852050000001</v>
      </c>
      <c r="H65" s="49">
        <f>'6 - B1'!H65</f>
        <v>1571.8500979999999</v>
      </c>
      <c r="I65" s="49">
        <f>'6 - B1'!I65</f>
        <v>1602.594482</v>
      </c>
      <c r="J65" s="49">
        <f>'6 - B1'!J65</f>
        <v>1572.0551760000001</v>
      </c>
      <c r="K65" s="49">
        <f>'6 - B1'!K65</f>
        <v>1605.2413329999999</v>
      </c>
      <c r="L65" s="49">
        <f>'6 - B1'!L65</f>
        <v>1696.243408</v>
      </c>
      <c r="M65" s="49">
        <f>'6 - B1'!M65</f>
        <v>1658.0648189999999</v>
      </c>
      <c r="N65" s="49">
        <f>'6 - B1'!N65</f>
        <v>1602.159058</v>
      </c>
      <c r="O65" s="49">
        <f>'6 - B1'!O65</f>
        <v>1695.391357</v>
      </c>
      <c r="P65" s="49">
        <f>'6 - B1'!P65</f>
        <v>1646.4482419999999</v>
      </c>
    </row>
    <row r="66" spans="1:16" x14ac:dyDescent="0.35">
      <c r="A66" s="51">
        <f>'6 - B1'!A66</f>
        <v>17</v>
      </c>
      <c r="B66" s="49">
        <f>'6 - B1'!B66</f>
        <v>1211.6102289999999</v>
      </c>
      <c r="C66" s="49">
        <f>'6 - B1'!C66</f>
        <v>1227.051025</v>
      </c>
      <c r="D66" s="49">
        <f>'6 - B1'!D66</f>
        <v>1197.535034</v>
      </c>
      <c r="E66" s="49">
        <f>'6 - B1'!E66</f>
        <v>1194.4555660000001</v>
      </c>
      <c r="F66" s="49">
        <f>'6 - B1'!F66</f>
        <v>1213.3431399999999</v>
      </c>
      <c r="G66" s="49">
        <f>'6 - B1'!G66</f>
        <v>1206.0405270000001</v>
      </c>
      <c r="H66" s="49">
        <f>'6 - B1'!H66</f>
        <v>1210.3599850000001</v>
      </c>
      <c r="I66" s="49">
        <f>'6 - B1'!I66</f>
        <v>1229.457764</v>
      </c>
      <c r="J66" s="49">
        <f>'6 - B1'!J66</f>
        <v>1207.229004</v>
      </c>
      <c r="K66" s="49">
        <f>'6 - B1'!K66</f>
        <v>1222.234009</v>
      </c>
      <c r="L66" s="49">
        <f>'6 - B1'!L66</f>
        <v>1305.593384</v>
      </c>
      <c r="M66" s="49">
        <f>'6 - B1'!M66</f>
        <v>1272.708374</v>
      </c>
      <c r="N66" s="49">
        <f>'6 - B1'!N66</f>
        <v>1229.193115</v>
      </c>
      <c r="O66" s="49">
        <f>'6 - B1'!O66</f>
        <v>1294.874634</v>
      </c>
      <c r="P66" s="49">
        <f>'6 - B1'!P66</f>
        <v>1275.2777100000001</v>
      </c>
    </row>
    <row r="67" spans="1:16" x14ac:dyDescent="0.35">
      <c r="A67" s="51">
        <f>'6 - B1'!A67</f>
        <v>18</v>
      </c>
      <c r="B67" s="49">
        <f>'6 - B1'!B67</f>
        <v>932.39984100000004</v>
      </c>
      <c r="C67" s="49">
        <f>'6 - B1'!C67</f>
        <v>939.01007100000004</v>
      </c>
      <c r="D67" s="49">
        <f>'6 - B1'!D67</f>
        <v>916.52374299999997</v>
      </c>
      <c r="E67" s="49">
        <f>'6 - B1'!E67</f>
        <v>907.92535399999997</v>
      </c>
      <c r="F67" s="49">
        <f>'6 - B1'!F67</f>
        <v>927.30621299999996</v>
      </c>
      <c r="G67" s="49">
        <f>'6 - B1'!G67</f>
        <v>918.74206500000003</v>
      </c>
      <c r="H67" s="49">
        <f>'6 - B1'!H67</f>
        <v>915.05950900000005</v>
      </c>
      <c r="I67" s="49">
        <f>'6 - B1'!I67</f>
        <v>928.06475799999998</v>
      </c>
      <c r="J67" s="49">
        <f>'6 - B1'!J67</f>
        <v>907.59332300000005</v>
      </c>
      <c r="K67" s="49">
        <f>'6 - B1'!K67</f>
        <v>929.64453100000003</v>
      </c>
      <c r="L67" s="49">
        <f>'6 - B1'!L67</f>
        <v>1001.297607</v>
      </c>
      <c r="M67" s="49">
        <f>'6 - B1'!M67</f>
        <v>964.07922399999995</v>
      </c>
      <c r="N67" s="49">
        <f>'6 - B1'!N67</f>
        <v>933.939392</v>
      </c>
      <c r="O67" s="49">
        <f>'6 - B1'!O67</f>
        <v>981.97900400000003</v>
      </c>
      <c r="P67" s="49">
        <f>'6 - B1'!P67</f>
        <v>972.30926499999998</v>
      </c>
    </row>
    <row r="68" spans="1:16" x14ac:dyDescent="0.35">
      <c r="A68" s="51">
        <f>'6 - B1'!A68</f>
        <v>19</v>
      </c>
      <c r="B68" s="49">
        <f>'6 - B1'!B68</f>
        <v>713.03344700000002</v>
      </c>
      <c r="C68" s="49">
        <f>'6 - B1'!C68</f>
        <v>711.21740699999998</v>
      </c>
      <c r="D68" s="49">
        <f>'6 - B1'!D68</f>
        <v>694.76757799999996</v>
      </c>
      <c r="E68" s="49">
        <f>'6 - B1'!E68</f>
        <v>692.37042199999996</v>
      </c>
      <c r="F68" s="49">
        <f>'6 - B1'!F68</f>
        <v>704.86138900000003</v>
      </c>
      <c r="G68" s="49">
        <f>'6 - B1'!G68</f>
        <v>692.65594499999997</v>
      </c>
      <c r="H68" s="49">
        <f>'6 - B1'!H68</f>
        <v>692.26464799999997</v>
      </c>
      <c r="I68" s="49">
        <f>'6 - B1'!I68</f>
        <v>700.76055899999994</v>
      </c>
      <c r="J68" s="49">
        <f>'6 - B1'!J68</f>
        <v>683.38256799999999</v>
      </c>
      <c r="K68" s="49">
        <f>'6 - B1'!K68</f>
        <v>697.87866199999996</v>
      </c>
      <c r="L68" s="49">
        <f>'6 - B1'!L68</f>
        <v>759.52453600000001</v>
      </c>
      <c r="M68" s="49">
        <f>'6 - B1'!M68</f>
        <v>730.11279300000001</v>
      </c>
      <c r="N68" s="49">
        <f>'6 - B1'!N68</f>
        <v>702.63256799999999</v>
      </c>
      <c r="O68" s="49">
        <f>'6 - B1'!O68</f>
        <v>741.84173599999997</v>
      </c>
      <c r="P68" s="49">
        <f>'6 - B1'!P68</f>
        <v>727.86108400000001</v>
      </c>
    </row>
    <row r="69" spans="1:16" x14ac:dyDescent="0.35">
      <c r="A69" s="51">
        <f>'6 - B1'!A69</f>
        <v>20</v>
      </c>
      <c r="B69" s="49">
        <f>'6 - B1'!B69</f>
        <v>536.83624299999997</v>
      </c>
      <c r="C69" s="49">
        <f>'6 - B1'!C69</f>
        <v>535.38043200000004</v>
      </c>
      <c r="D69" s="49">
        <f>'6 - B1'!D69</f>
        <v>529.60803199999998</v>
      </c>
      <c r="E69" s="49">
        <f>'6 - B1'!E69</f>
        <v>527.10040300000003</v>
      </c>
      <c r="F69" s="49">
        <f>'6 - B1'!F69</f>
        <v>536.75427200000001</v>
      </c>
      <c r="G69" s="49">
        <f>'6 - B1'!G69</f>
        <v>525.18127400000003</v>
      </c>
      <c r="H69" s="49">
        <f>'6 - B1'!H69</f>
        <v>523.20013400000005</v>
      </c>
      <c r="I69" s="49">
        <f>'6 - B1'!I69</f>
        <v>529.56579599999998</v>
      </c>
      <c r="J69" s="49">
        <f>'6 - B1'!J69</f>
        <v>512.40789800000005</v>
      </c>
      <c r="K69" s="49">
        <f>'6 - B1'!K69</f>
        <v>526.33404499999995</v>
      </c>
      <c r="L69" s="49">
        <f>'6 - B1'!L69</f>
        <v>576.44238299999995</v>
      </c>
      <c r="M69" s="49">
        <f>'6 - B1'!M69</f>
        <v>553.17571999999996</v>
      </c>
      <c r="N69" s="49">
        <f>'6 - B1'!N69</f>
        <v>529.78405799999996</v>
      </c>
      <c r="O69" s="49">
        <f>'6 - B1'!O69</f>
        <v>555.53881799999999</v>
      </c>
      <c r="P69" s="49">
        <f>'6 - B1'!P69</f>
        <v>549.98706100000004</v>
      </c>
    </row>
    <row r="70" spans="1:16" x14ac:dyDescent="0.35">
      <c r="A70" s="51">
        <f>'6 - B1'!A70</f>
        <v>21</v>
      </c>
      <c r="B70" s="49">
        <f>'6 - B1'!B70</f>
        <v>406.30954000000003</v>
      </c>
      <c r="C70" s="49">
        <f>'6 - B1'!C70</f>
        <v>409.21444700000001</v>
      </c>
      <c r="D70" s="49">
        <f>'6 - B1'!D70</f>
        <v>402.00817899999998</v>
      </c>
      <c r="E70" s="49">
        <f>'6 - B1'!E70</f>
        <v>404.05941799999999</v>
      </c>
      <c r="F70" s="49">
        <f>'6 - B1'!F70</f>
        <v>406.85327100000001</v>
      </c>
      <c r="G70" s="49">
        <f>'6 - B1'!G70</f>
        <v>394.86123700000002</v>
      </c>
      <c r="H70" s="49">
        <f>'6 - B1'!H70</f>
        <v>390.99414100000001</v>
      </c>
      <c r="I70" s="49">
        <f>'6 - B1'!I70</f>
        <v>399.88864100000001</v>
      </c>
      <c r="J70" s="49">
        <f>'6 - B1'!J70</f>
        <v>383.23089599999997</v>
      </c>
      <c r="K70" s="49">
        <f>'6 - B1'!K70</f>
        <v>389.63171399999999</v>
      </c>
      <c r="L70" s="49">
        <f>'6 - B1'!L70</f>
        <v>438.49993899999998</v>
      </c>
      <c r="M70" s="49">
        <f>'6 - B1'!M70</f>
        <v>422.51580799999999</v>
      </c>
      <c r="N70" s="49">
        <f>'6 - B1'!N70</f>
        <v>401.36743200000001</v>
      </c>
      <c r="O70" s="49">
        <f>'6 - B1'!O70</f>
        <v>420.82345600000002</v>
      </c>
      <c r="P70" s="49">
        <f>'6 - B1'!P70</f>
        <v>416.41021699999999</v>
      </c>
    </row>
    <row r="71" spans="1:16" x14ac:dyDescent="0.35">
      <c r="A71" s="51">
        <f>'6 - B1'!A71</f>
        <v>22</v>
      </c>
      <c r="B71" s="49">
        <f>'6 - B1'!B71</f>
        <v>309.68829299999999</v>
      </c>
      <c r="C71" s="49">
        <f>'6 - B1'!C71</f>
        <v>314.018799</v>
      </c>
      <c r="D71" s="49">
        <f>'6 - B1'!D71</f>
        <v>307.76608299999998</v>
      </c>
      <c r="E71" s="49">
        <f>'6 - B1'!E71</f>
        <v>306.71203600000001</v>
      </c>
      <c r="F71" s="49">
        <f>'6 - B1'!F71</f>
        <v>309.979401</v>
      </c>
      <c r="G71" s="49">
        <f>'6 - B1'!G71</f>
        <v>296.772919</v>
      </c>
      <c r="H71" s="49">
        <f>'6 - B1'!H71</f>
        <v>296.77139299999999</v>
      </c>
      <c r="I71" s="49">
        <f>'6 - B1'!I71</f>
        <v>301.74047899999999</v>
      </c>
      <c r="J71" s="49">
        <f>'6 - B1'!J71</f>
        <v>290.34728999999999</v>
      </c>
      <c r="K71" s="49">
        <f>'6 - B1'!K71</f>
        <v>296.202698</v>
      </c>
      <c r="L71" s="49">
        <f>'6 - B1'!L71</f>
        <v>333.45434599999999</v>
      </c>
      <c r="M71" s="49">
        <f>'6 - B1'!M71</f>
        <v>318.349152</v>
      </c>
      <c r="N71" s="49">
        <f>'6 - B1'!N71</f>
        <v>306.405304</v>
      </c>
      <c r="O71" s="49">
        <f>'6 - B1'!O71</f>
        <v>319.46289100000001</v>
      </c>
      <c r="P71" s="49">
        <f>'6 - B1'!P71</f>
        <v>315.22082499999999</v>
      </c>
    </row>
    <row r="72" spans="1:16" x14ac:dyDescent="0.35">
      <c r="A72" s="51">
        <f>'6 - B1'!A72</f>
        <v>23</v>
      </c>
      <c r="B72" s="49">
        <f>'6 - B1'!B72</f>
        <v>233.53997799999999</v>
      </c>
      <c r="C72" s="49">
        <f>'6 - B1'!C72</f>
        <v>239.97770700000001</v>
      </c>
      <c r="D72" s="49">
        <f>'6 - B1'!D72</f>
        <v>235.81964099999999</v>
      </c>
      <c r="E72" s="49">
        <f>'6 - B1'!E72</f>
        <v>234.29510500000001</v>
      </c>
      <c r="F72" s="49">
        <f>'6 - B1'!F72</f>
        <v>234.67079200000001</v>
      </c>
      <c r="G72" s="49">
        <f>'6 - B1'!G72</f>
        <v>224.04264800000001</v>
      </c>
      <c r="H72" s="49">
        <f>'6 - B1'!H72</f>
        <v>223.31397999999999</v>
      </c>
      <c r="I72" s="49">
        <f>'6 - B1'!I72</f>
        <v>227.21734599999999</v>
      </c>
      <c r="J72" s="49">
        <f>'6 - B1'!J72</f>
        <v>219.99655200000001</v>
      </c>
      <c r="K72" s="49">
        <f>'6 - B1'!K72</f>
        <v>223.42095900000001</v>
      </c>
      <c r="L72" s="49">
        <f>'6 - B1'!L72</f>
        <v>253.64213599999999</v>
      </c>
      <c r="M72" s="49">
        <f>'6 - B1'!M72</f>
        <v>239.81556699999999</v>
      </c>
      <c r="N72" s="49">
        <f>'6 - B1'!N72</f>
        <v>227.996216</v>
      </c>
      <c r="O72" s="49">
        <f>'6 - B1'!O72</f>
        <v>247.39579800000001</v>
      </c>
      <c r="P72" s="49">
        <f>'6 - B1'!P72</f>
        <v>238.79325900000001</v>
      </c>
    </row>
    <row r="73" spans="1:16" x14ac:dyDescent="0.35">
      <c r="A73" s="51">
        <f>'6 - B1'!A73</f>
        <v>24</v>
      </c>
      <c r="B73" s="49">
        <f>'6 - B1'!B73</f>
        <v>175.45605499999999</v>
      </c>
      <c r="C73" s="49">
        <f>'6 - B1'!C73</f>
        <v>178.544769</v>
      </c>
      <c r="D73" s="49">
        <f>'6 - B1'!D73</f>
        <v>177.50787399999999</v>
      </c>
      <c r="E73" s="49">
        <f>'6 - B1'!E73</f>
        <v>176.29371599999999</v>
      </c>
      <c r="F73" s="49">
        <f>'6 - B1'!F73</f>
        <v>176.51251199999999</v>
      </c>
      <c r="G73" s="49">
        <f>'6 - B1'!G73</f>
        <v>169.51817299999999</v>
      </c>
      <c r="H73" s="49">
        <f>'6 - B1'!H73</f>
        <v>170.189301</v>
      </c>
      <c r="I73" s="49">
        <f>'6 - B1'!I73</f>
        <v>170.499863</v>
      </c>
      <c r="J73" s="49">
        <f>'6 - B1'!J73</f>
        <v>166.15846300000001</v>
      </c>
      <c r="K73" s="49">
        <f>'6 - B1'!K73</f>
        <v>168.533569</v>
      </c>
      <c r="L73" s="49">
        <f>'6 - B1'!L73</f>
        <v>184.01670799999999</v>
      </c>
      <c r="M73" s="49">
        <f>'6 - B1'!M73</f>
        <v>182.528198</v>
      </c>
      <c r="N73" s="49">
        <f>'6 - B1'!N73</f>
        <v>174.590912</v>
      </c>
      <c r="O73" s="49">
        <f>'6 - B1'!O73</f>
        <v>185.69807399999999</v>
      </c>
      <c r="P73" s="49">
        <f>'6 - B1'!P73</f>
        <v>181.55827300000001</v>
      </c>
    </row>
    <row r="74" spans="1:16" x14ac:dyDescent="0.35">
      <c r="A74" s="51">
        <f>'6 - B1'!A74</f>
        <v>25</v>
      </c>
      <c r="B74" s="49">
        <f>'6 - B1'!B74</f>
        <v>131.82363900000001</v>
      </c>
      <c r="C74" s="49">
        <f>'6 - B1'!C74</f>
        <v>133.18931599999999</v>
      </c>
      <c r="D74" s="49">
        <f>'6 - B1'!D74</f>
        <v>132.65927099999999</v>
      </c>
      <c r="E74" s="49">
        <f>'6 - B1'!E74</f>
        <v>130.75752299999999</v>
      </c>
      <c r="F74" s="49">
        <f>'6 - B1'!F74</f>
        <v>131.853745</v>
      </c>
      <c r="G74" s="49">
        <f>'6 - B1'!G74</f>
        <v>125.489891</v>
      </c>
      <c r="H74" s="49">
        <f>'6 - B1'!H74</f>
        <v>127.620346</v>
      </c>
      <c r="I74" s="49">
        <f>'6 - B1'!I74</f>
        <v>124.552628</v>
      </c>
      <c r="J74" s="49">
        <f>'6 - B1'!J74</f>
        <v>124.102829</v>
      </c>
      <c r="K74" s="49">
        <f>'6 - B1'!K74</f>
        <v>127.75515</v>
      </c>
      <c r="L74" s="49">
        <f>'6 - B1'!L74</f>
        <v>138.97045900000001</v>
      </c>
      <c r="M74" s="49">
        <f>'6 - B1'!M74</f>
        <v>136.165009</v>
      </c>
      <c r="N74" s="49">
        <f>'6 - B1'!N74</f>
        <v>132.16287199999999</v>
      </c>
      <c r="O74" s="49">
        <f>'6 - B1'!O74</f>
        <v>138.69027700000001</v>
      </c>
      <c r="P74" s="49">
        <f>'6 - B1'!P74</f>
        <v>135.718887</v>
      </c>
    </row>
    <row r="75" spans="1:16" x14ac:dyDescent="0.35">
      <c r="A75" s="51">
        <f>'6 - B1'!A75</f>
        <v>26</v>
      </c>
      <c r="B75" s="49">
        <f>'6 - B1'!B75</f>
        <v>96.435989000000006</v>
      </c>
      <c r="C75" s="49">
        <f>'6 - B1'!C75</f>
        <v>100.272774</v>
      </c>
      <c r="D75" s="49">
        <f>'6 - B1'!D75</f>
        <v>98.358231000000004</v>
      </c>
      <c r="E75" s="49">
        <f>'6 - B1'!E75</f>
        <v>95.651420999999999</v>
      </c>
      <c r="F75" s="49">
        <f>'6 - B1'!F75</f>
        <v>96.704063000000005</v>
      </c>
      <c r="G75" s="49">
        <f>'6 - B1'!G75</f>
        <v>91.028937999999997</v>
      </c>
      <c r="H75" s="49">
        <f>'6 - B1'!H75</f>
        <v>93.876662999999994</v>
      </c>
      <c r="I75" s="49">
        <f>'6 - B1'!I75</f>
        <v>91.112762000000004</v>
      </c>
      <c r="J75" s="49">
        <f>'6 - B1'!J75</f>
        <v>90.733528000000007</v>
      </c>
      <c r="K75" s="49">
        <f>'6 - B1'!K75</f>
        <v>96.095962999999998</v>
      </c>
      <c r="L75" s="49">
        <f>'6 - B1'!L75</f>
        <v>104.578316</v>
      </c>
      <c r="M75" s="49">
        <f>'6 - B1'!M75</f>
        <v>97.715378000000001</v>
      </c>
      <c r="N75" s="49">
        <f>'6 - B1'!N75</f>
        <v>97.924239999999998</v>
      </c>
      <c r="O75" s="49">
        <f>'6 - B1'!O75</f>
        <v>104.384956</v>
      </c>
      <c r="P75" s="49">
        <f>'6 - B1'!P75</f>
        <v>98.876007000000001</v>
      </c>
    </row>
    <row r="76" spans="1:16" x14ac:dyDescent="0.35">
      <c r="A76" s="51">
        <f>'6 - B1'!A76</f>
        <v>27</v>
      </c>
      <c r="B76" s="49">
        <f>'6 - B1'!B76</f>
        <v>67.810897999999995</v>
      </c>
      <c r="C76" s="49">
        <f>'6 - B1'!C76</f>
        <v>74.294929999999994</v>
      </c>
      <c r="D76" s="49">
        <f>'6 - B1'!D76</f>
        <v>69.545356999999996</v>
      </c>
      <c r="E76" s="49">
        <f>'6 - B1'!E76</f>
        <v>70.297011999999995</v>
      </c>
      <c r="F76" s="49">
        <f>'6 - B1'!F76</f>
        <v>71.233283999999998</v>
      </c>
      <c r="G76" s="49">
        <f>'6 - B1'!G76</f>
        <v>65.763762999999997</v>
      </c>
      <c r="H76" s="49">
        <f>'6 - B1'!H76</f>
        <v>66.881714000000002</v>
      </c>
      <c r="I76" s="49">
        <f>'6 - B1'!I76</f>
        <v>67.661438000000004</v>
      </c>
      <c r="J76" s="49">
        <f>'6 - B1'!J76</f>
        <v>68.114647000000005</v>
      </c>
      <c r="K76" s="49">
        <f>'6 - B1'!K76</f>
        <v>68.996384000000006</v>
      </c>
      <c r="L76" s="49">
        <f>'6 - B1'!L76</f>
        <v>77.195426999999995</v>
      </c>
      <c r="M76" s="49">
        <f>'6 - B1'!M76</f>
        <v>72.770432</v>
      </c>
      <c r="N76" s="49">
        <f>'6 - B1'!N76</f>
        <v>70.655304000000001</v>
      </c>
      <c r="O76" s="49">
        <f>'6 - B1'!O76</f>
        <v>75.523551999999995</v>
      </c>
      <c r="P76" s="49">
        <f>'6 - B1'!P76</f>
        <v>70.515556000000004</v>
      </c>
    </row>
    <row r="77" spans="1:16" x14ac:dyDescent="0.35">
      <c r="A77" s="51">
        <f>'6 - B1'!A77</f>
        <v>28</v>
      </c>
      <c r="B77" s="49">
        <f>'6 - B1'!B77</f>
        <v>48.356949</v>
      </c>
      <c r="C77" s="49">
        <f>'6 - B1'!C77</f>
        <v>52.209538000000002</v>
      </c>
      <c r="D77" s="49">
        <f>'6 - B1'!D77</f>
        <v>48.878982999999998</v>
      </c>
      <c r="E77" s="49">
        <f>'6 - B1'!E77</f>
        <v>51.471995999999997</v>
      </c>
      <c r="F77" s="49">
        <f>'6 - B1'!F77</f>
        <v>50.347244000000003</v>
      </c>
      <c r="G77" s="49">
        <f>'6 - B1'!G77</f>
        <v>48.672615</v>
      </c>
      <c r="H77" s="49">
        <f>'6 - B1'!H77</f>
        <v>46.981589999999997</v>
      </c>
      <c r="I77" s="49">
        <f>'6 - B1'!I77</f>
        <v>47.250092000000002</v>
      </c>
      <c r="J77" s="49">
        <f>'6 - B1'!J77</f>
        <v>47.645851</v>
      </c>
      <c r="K77" s="49">
        <f>'6 - B1'!K77</f>
        <v>48.865268999999998</v>
      </c>
      <c r="L77" s="49">
        <f>'6 - B1'!L77</f>
        <v>55.233051000000003</v>
      </c>
      <c r="M77" s="49">
        <f>'6 - B1'!M77</f>
        <v>53.158543000000002</v>
      </c>
      <c r="N77" s="49">
        <f>'6 - B1'!N77</f>
        <v>50.094695999999999</v>
      </c>
      <c r="O77" s="49">
        <f>'6 - B1'!O77</f>
        <v>54.266350000000003</v>
      </c>
      <c r="P77" s="49">
        <f>'6 - B1'!P77</f>
        <v>50.380493000000001</v>
      </c>
    </row>
    <row r="78" spans="1:16" x14ac:dyDescent="0.35">
      <c r="A78" s="51">
        <f>'6 - B1'!A78</f>
        <v>29</v>
      </c>
      <c r="B78" s="49">
        <f>'6 - B1'!B78</f>
        <v>35.109741</v>
      </c>
      <c r="C78" s="49">
        <f>'6 - B1'!C78</f>
        <v>37.570557000000001</v>
      </c>
      <c r="D78" s="49">
        <f>'6 - B1'!D78</f>
        <v>33.186256</v>
      </c>
      <c r="E78" s="49">
        <f>'6 - B1'!E78</f>
        <v>35.190902999999999</v>
      </c>
      <c r="F78" s="49">
        <f>'6 - B1'!F78</f>
        <v>34.555359000000003</v>
      </c>
      <c r="G78" s="49">
        <f>'6 - B1'!G78</f>
        <v>34.832500000000003</v>
      </c>
      <c r="H78" s="49">
        <f>'6 - B1'!H78</f>
        <v>33.484119</v>
      </c>
      <c r="I78" s="49">
        <f>'6 - B1'!I78</f>
        <v>33.439861000000001</v>
      </c>
      <c r="J78" s="49">
        <f>'6 - B1'!J78</f>
        <v>34.401336999999998</v>
      </c>
      <c r="K78" s="49">
        <f>'6 - B1'!K78</f>
        <v>35.100406999999997</v>
      </c>
      <c r="L78" s="49">
        <f>'6 - B1'!L78</f>
        <v>40.093024999999997</v>
      </c>
      <c r="M78" s="49">
        <f>'6 - B1'!M78</f>
        <v>38.277591999999999</v>
      </c>
      <c r="N78" s="49">
        <f>'6 - B1'!N78</f>
        <v>36.155304000000001</v>
      </c>
      <c r="O78" s="49">
        <f>'6 - B1'!O78</f>
        <v>38.193832</v>
      </c>
      <c r="P78" s="49">
        <f>'6 - B1'!P78</f>
        <v>35.643344999999997</v>
      </c>
    </row>
    <row r="79" spans="1:16" x14ac:dyDescent="0.35">
      <c r="A79" s="51">
        <f>'6 - B1'!A79</f>
        <v>30</v>
      </c>
      <c r="B79" s="49">
        <f>'6 - B1'!B79</f>
        <v>23.715285999999999</v>
      </c>
      <c r="C79" s="49">
        <f>'6 - B1'!C79</f>
        <v>25.554749000000001</v>
      </c>
      <c r="D79" s="49">
        <f>'6 - B1'!D79</f>
        <v>23.667717</v>
      </c>
      <c r="E79" s="49">
        <f>'6 - B1'!E79</f>
        <v>23.912855</v>
      </c>
      <c r="F79" s="49">
        <f>'6 - B1'!F79</f>
        <v>23.687826000000001</v>
      </c>
      <c r="G79" s="49">
        <f>'6 - B1'!G79</f>
        <v>24.429195</v>
      </c>
      <c r="H79" s="49">
        <f>'6 - B1'!H79</f>
        <v>22.668835000000001</v>
      </c>
      <c r="I79" s="49">
        <f>'6 - B1'!I79</f>
        <v>23.885615999999999</v>
      </c>
      <c r="J79" s="49">
        <f>'6 - B1'!J79</f>
        <v>23.822925999999999</v>
      </c>
      <c r="K79" s="49">
        <f>'6 - B1'!K79</f>
        <v>23.142178999999999</v>
      </c>
      <c r="L79" s="49">
        <f>'6 - B1'!L79</f>
        <v>27.009053999999999</v>
      </c>
      <c r="M79" s="49">
        <f>'6 - B1'!M79</f>
        <v>27.353424</v>
      </c>
      <c r="N79" s="49">
        <f>'6 - B1'!N79</f>
        <v>24.829546000000001</v>
      </c>
      <c r="O79" s="49">
        <f>'6 - B1'!O79</f>
        <v>25.404947</v>
      </c>
      <c r="P79" s="49">
        <f>'6 - B1'!P79</f>
        <v>22.705496</v>
      </c>
    </row>
    <row r="80" spans="1:16" x14ac:dyDescent="0.35">
      <c r="A80" s="51">
        <f>'6 - B1'!A80</f>
        <v>38</v>
      </c>
      <c r="B80" s="49">
        <f>'6 - B1'!B80</f>
        <v>15.007329</v>
      </c>
      <c r="C80" s="49">
        <f>'6 - B1'!C80</f>
        <v>17.008292999999998</v>
      </c>
      <c r="D80" s="49">
        <f>'6 - B1'!D80</f>
        <v>14.835198999999999</v>
      </c>
      <c r="E80" s="49">
        <f>'6 - B1'!E80</f>
        <v>16.196297000000001</v>
      </c>
      <c r="F80" s="49">
        <f>'6 - B1'!F80</f>
        <v>13.159903999999999</v>
      </c>
      <c r="G80" s="49">
        <f>'6 - B1'!G80</f>
        <v>16.905374999999999</v>
      </c>
      <c r="H80" s="49">
        <f>'6 - B1'!H80</f>
        <v>15.400964</v>
      </c>
      <c r="I80" s="49">
        <f>'6 - B1'!I80</f>
        <v>16.763359000000001</v>
      </c>
      <c r="J80" s="49">
        <f>'6 - B1'!J80</f>
        <v>17.716688000000001</v>
      </c>
      <c r="K80" s="49">
        <f>'6 - B1'!K80</f>
        <v>16.517838000000001</v>
      </c>
      <c r="L80" s="49">
        <f>'6 - B1'!L80</f>
        <v>18.130645999999999</v>
      </c>
      <c r="M80" s="49">
        <f>'6 - B1'!M80</f>
        <v>19.181805000000001</v>
      </c>
      <c r="N80" s="49">
        <f>'6 - B1'!N80</f>
        <v>16.378788</v>
      </c>
      <c r="O80" s="49">
        <f>'6 - B1'!O80</f>
        <v>17.109455000000001</v>
      </c>
      <c r="P80" s="49">
        <f>'6 - B1'!P80</f>
        <v>15.593963</v>
      </c>
    </row>
    <row r="81" spans="1:16" x14ac:dyDescent="0.35">
      <c r="A81" s="51">
        <f>'6 - B1'!A81</f>
        <v>50</v>
      </c>
      <c r="B81" s="49">
        <f>'6 - B1'!B81</f>
        <v>10.468076</v>
      </c>
      <c r="C81" s="49">
        <f>'6 - B1'!C81</f>
        <v>11.254244</v>
      </c>
      <c r="D81" s="49">
        <f>'6 - B1'!D81</f>
        <v>10.461817</v>
      </c>
      <c r="E81" s="49">
        <f>'6 - B1'!E81</f>
        <v>9.9212910000000001</v>
      </c>
      <c r="F81" s="49">
        <f>'6 - B1'!F81</f>
        <v>8.1506500000000006</v>
      </c>
      <c r="G81" s="49">
        <f>'6 - B1'!G81</f>
        <v>11.1464</v>
      </c>
      <c r="H81" s="49">
        <f>'6 - B1'!H81</f>
        <v>9.9500609999999998</v>
      </c>
      <c r="I81" s="49">
        <f>'6 - B1'!I81</f>
        <v>10.683384</v>
      </c>
      <c r="J81" s="49">
        <f>'6 - B1'!J81</f>
        <v>10.922423999999999</v>
      </c>
      <c r="K81" s="49">
        <f>'6 - B1'!K81</f>
        <v>11.097922000000001</v>
      </c>
      <c r="L81" s="49">
        <f>'6 - B1'!L81</f>
        <v>11.682117</v>
      </c>
      <c r="M81" s="49">
        <f>'6 - B1'!M81</f>
        <v>12.386456000000001</v>
      </c>
      <c r="N81" s="49">
        <f>'6 - B1'!N81</f>
        <v>11.064394</v>
      </c>
      <c r="O81" s="49">
        <f>'6 - B1'!O81</f>
        <v>11.492715</v>
      </c>
      <c r="P81" s="49">
        <f>'6 - B1'!P81</f>
        <v>9.6819659999999992</v>
      </c>
    </row>
    <row r="82" spans="1:16" x14ac:dyDescent="0.35">
      <c r="A82" s="51">
        <f>'6 - B1'!A82</f>
        <v>70</v>
      </c>
      <c r="B82" s="49">
        <f>'6 - B1'!B82</f>
        <v>6.2067350000000001</v>
      </c>
      <c r="C82" s="49">
        <f>'6 - B1'!C82</f>
        <v>6.938707</v>
      </c>
      <c r="D82" s="49">
        <f>'6 - B1'!D82</f>
        <v>6.9459609999999996</v>
      </c>
      <c r="E82" s="49">
        <f>'6 - B1'!E82</f>
        <v>6.5293970000000003</v>
      </c>
      <c r="F82" s="49">
        <f>'6 - B1'!F82</f>
        <v>5.2639610000000001</v>
      </c>
      <c r="G82" s="49">
        <f>'6 - B1'!G82</f>
        <v>7.2451610000000004</v>
      </c>
      <c r="H82" s="49">
        <f>'6 - B1'!H82</f>
        <v>6.4026480000000001</v>
      </c>
      <c r="I82" s="49">
        <f>'6 - B1'!I82</f>
        <v>7.035399</v>
      </c>
      <c r="J82" s="49">
        <f>'6 - B1'!J82</f>
        <v>6.3642469999999998</v>
      </c>
      <c r="K82" s="49">
        <f>'6 - B1'!K82</f>
        <v>7.3986150000000004</v>
      </c>
      <c r="L82" s="49">
        <f>'6 - B1'!L82</f>
        <v>7.756926</v>
      </c>
      <c r="M82" s="49">
        <f>'6 - B1'!M82</f>
        <v>9.0317919999999994</v>
      </c>
      <c r="N82" s="49">
        <f>'6 - B1'!N82</f>
        <v>7.3181820000000002</v>
      </c>
      <c r="O82" s="49">
        <f>'6 - B1'!O82</f>
        <v>8.1226699999999994</v>
      </c>
      <c r="P82" s="49">
        <f>'6 - B1'!P82</f>
        <v>6.5117649999999996</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3" priority="1" operator="greaterThan">
      <formula>1000</formula>
    </cfRule>
  </conditionalFormatting>
  <conditionalFormatting sqref="K9:K40">
    <cfRule type="cellIs" dxfId="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D54574-598C-44B0-9FF3-BF780664957E}">
  <sheetPr codeName="Sheet7"/>
  <dimension ref="A1:AW128"/>
  <sheetViews>
    <sheetView zoomScale="70" zoomScaleNormal="70" workbookViewId="0">
      <selection activeCell="E13" sqref="E13"/>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28" t="s">
        <v>108</v>
      </c>
      <c r="O2" s="28"/>
    </row>
    <row r="3" spans="1:49" ht="13.9" x14ac:dyDescent="0.4">
      <c r="A3" t="str">
        <f>'6 - B1'!$A$3</f>
        <v>Serial #</v>
      </c>
      <c r="B3" s="141" t="str">
        <f>'6 - B1'!$B$3</f>
        <v>11171-00001</v>
      </c>
    </row>
    <row r="4" spans="1:49" ht="17.100000000000001" customHeight="1" x14ac:dyDescent="1.05">
      <c r="A4" s="27" t="str">
        <f>'6 - B1'!$A$4</f>
        <v>Date</v>
      </c>
      <c r="B4" s="141">
        <f>'6 - B1'!$B$4</f>
        <v>46013</v>
      </c>
      <c r="D4" t="s">
        <v>184</v>
      </c>
      <c r="E4" s="30">
        <f>'Clause 6'!$D$18</f>
        <v>0.87131367292225204</v>
      </c>
      <c r="O4" s="28"/>
    </row>
    <row r="5" spans="1:49" ht="13.9" x14ac:dyDescent="0.4">
      <c r="A5" s="27" t="str">
        <f>'6 - B1'!$A$5</f>
        <v>RM</v>
      </c>
      <c r="B5" s="141" t="str">
        <f>'6 - B1'!$B$5</f>
        <v>SRM2806d</v>
      </c>
    </row>
    <row r="6" spans="1:49" ht="13.15" x14ac:dyDescent="0.4">
      <c r="B6" s="27"/>
      <c r="C6" s="27"/>
      <c r="D6" s="27"/>
      <c r="E6" s="27"/>
      <c r="F6" s="27"/>
    </row>
    <row r="7" spans="1:49" ht="14.65" x14ac:dyDescent="0.5">
      <c r="B7" s="14" t="s">
        <v>51</v>
      </c>
      <c r="C7" s="14" t="s">
        <v>52</v>
      </c>
      <c r="D7" s="14" t="s">
        <v>53</v>
      </c>
      <c r="E7" s="14" t="s">
        <v>54</v>
      </c>
      <c r="F7" s="14" t="s">
        <v>55</v>
      </c>
      <c r="G7" s="14" t="s">
        <v>56</v>
      </c>
      <c r="H7" s="14" t="s">
        <v>57</v>
      </c>
      <c r="I7" s="14" t="s">
        <v>58</v>
      </c>
      <c r="J7" s="14" t="s">
        <v>59</v>
      </c>
      <c r="K7" s="14" t="s">
        <v>60</v>
      </c>
      <c r="L7" s="14" t="s">
        <v>61</v>
      </c>
      <c r="M7" s="14" t="s">
        <v>62</v>
      </c>
      <c r="O7" s="83" t="s">
        <v>51</v>
      </c>
      <c r="P7" s="83" t="s">
        <v>52</v>
      </c>
      <c r="Q7" s="83" t="s">
        <v>53</v>
      </c>
      <c r="R7" s="83" t="s">
        <v>54</v>
      </c>
      <c r="S7" s="83" t="s">
        <v>55</v>
      </c>
    </row>
    <row r="8" spans="1:49" ht="13.15" x14ac:dyDescent="0.4">
      <c r="A8" s="11" t="s">
        <v>63</v>
      </c>
      <c r="B8" s="30">
        <f>L52/$E$4</f>
        <v>12.280439676923077</v>
      </c>
      <c r="C8" s="30">
        <f t="shared" ref="C8:F8" si="0">M52/$E$4</f>
        <v>13.342612839999999</v>
      </c>
      <c r="D8" s="30">
        <f t="shared" si="0"/>
        <v>13.173511855384614</v>
      </c>
      <c r="E8" s="30">
        <f t="shared" si="0"/>
        <v>13.281725467692308</v>
      </c>
      <c r="F8" s="30">
        <f t="shared" si="0"/>
        <v>13.394928098461538</v>
      </c>
      <c r="G8" s="31">
        <f>AVERAGE(B$8:F$8)*5</f>
        <v>65.473217938461531</v>
      </c>
      <c r="I8" s="32"/>
      <c r="K8" s="32"/>
      <c r="O8" s="84"/>
      <c r="P8" s="84"/>
      <c r="Q8" s="84"/>
      <c r="R8" s="84"/>
      <c r="S8" s="84"/>
    </row>
    <row r="9" spans="1:49" x14ac:dyDescent="0.35">
      <c r="A9" s="11" t="s">
        <v>64</v>
      </c>
      <c r="B9" s="30">
        <f>L53*$E$4</f>
        <v>11232.903545308312</v>
      </c>
      <c r="C9" s="30">
        <f t="shared" ref="C9:F9" si="1">M53*$E$4</f>
        <v>11043.9390941689</v>
      </c>
      <c r="D9" s="30">
        <f t="shared" si="1"/>
        <v>10693.731411058981</v>
      </c>
      <c r="E9" s="30">
        <f t="shared" si="1"/>
        <v>11308.3955577748</v>
      </c>
      <c r="F9" s="30">
        <f t="shared" si="1"/>
        <v>10939.364435790885</v>
      </c>
      <c r="G9" s="22">
        <f t="shared" ref="G9:G38" si="2">AVERAGE(B9:F9)</f>
        <v>11043.666808820375</v>
      </c>
      <c r="H9" s="34">
        <f t="shared" ref="H9:H38" si="3">G9*G$8</f>
        <v>723064.40381365037</v>
      </c>
      <c r="I9" s="32">
        <f t="shared" ref="I9:I38" si="4">STDEVP(B9:F9)/G9</f>
        <v>1.9806403152352752E-2</v>
      </c>
      <c r="J9" s="32">
        <f t="shared" ref="J9:J38" si="5">IF(H9&gt;$A$43, $C$43, IF(H9&gt;$A$44, $C$44, IF(H9&gt;$A$45,$C$45,IF(H9&gt;$A$46,$C$46, IF(H9&gt;$A$47,$C$47,IF(H9&gt;$A$48,$C$48,$C$49))))))/100</f>
        <v>0.11</v>
      </c>
      <c r="K9" s="32">
        <f t="shared" ref="K9:K38" si="6">(MAX(B9:F9)-MIN(B9:F9))/G9</f>
        <v>5.5657614210607817E-2</v>
      </c>
      <c r="L9" s="16">
        <f>G9/'Clause 6'!$I$11</f>
        <v>11043.666808820375</v>
      </c>
      <c r="M9">
        <f t="shared" ref="M9:M38" si="7">COUNTA(B9:F9)</f>
        <v>5</v>
      </c>
      <c r="O9" s="85">
        <f>IF(ISNUMBER(B9), (B9/$G9-1), 0)</f>
        <v>1.7135317441558273E-2</v>
      </c>
      <c r="P9" s="85">
        <f t="shared" ref="P9:S38" si="8">IF(ISNUMBER(C9), (C9/$G9-1), 0)</f>
        <v>2.465533895934513E-5</v>
      </c>
      <c r="Q9" s="85">
        <f t="shared" si="8"/>
        <v>-3.168652258522564E-2</v>
      </c>
      <c r="R9" s="85">
        <f t="shared" si="8"/>
        <v>2.3971091625382135E-2</v>
      </c>
      <c r="S9" s="85">
        <f t="shared" si="8"/>
        <v>-9.4445418206736687E-3</v>
      </c>
    </row>
    <row r="10" spans="1:49" x14ac:dyDescent="0.35">
      <c r="A10" s="11" t="s">
        <v>65</v>
      </c>
      <c r="B10" s="30">
        <f t="shared" ref="B10:F10" si="9">L54*$E$4</f>
        <v>9833.1985431635403</v>
      </c>
      <c r="C10" s="30">
        <f t="shared" si="9"/>
        <v>9654.8557803619315</v>
      </c>
      <c r="D10" s="30">
        <f t="shared" si="9"/>
        <v>9390.890281970509</v>
      </c>
      <c r="E10" s="30">
        <f t="shared" si="9"/>
        <v>9919.0425105227878</v>
      </c>
      <c r="F10" s="30">
        <f t="shared" si="9"/>
        <v>9613.9380729892764</v>
      </c>
      <c r="G10" s="22">
        <f t="shared" si="2"/>
        <v>9682.3850378016105</v>
      </c>
      <c r="H10" s="34">
        <f t="shared" si="3"/>
        <v>633936.90574408392</v>
      </c>
      <c r="I10" s="32">
        <f t="shared" si="4"/>
        <v>1.8997042562486199E-2</v>
      </c>
      <c r="J10" s="32">
        <f t="shared" si="5"/>
        <v>0.11</v>
      </c>
      <c r="K10" s="32">
        <f t="shared" si="6"/>
        <v>5.4547740715772647E-2</v>
      </c>
      <c r="L10" s="16">
        <f>G10/'Clause 6'!$I$11</f>
        <v>9682.3850378016105</v>
      </c>
      <c r="M10">
        <f t="shared" si="7"/>
        <v>5</v>
      </c>
      <c r="O10" s="85">
        <f t="shared" ref="O10:O38" si="10">IF(ISNUMBER(B10), (B10/$G10-1), 0)</f>
        <v>1.5576069818864724E-2</v>
      </c>
      <c r="P10" s="85">
        <f t="shared" si="8"/>
        <v>-2.8432310151063067E-3</v>
      </c>
      <c r="Q10" s="85">
        <f t="shared" si="8"/>
        <v>-3.0105676927023484E-2</v>
      </c>
      <c r="R10" s="85">
        <f t="shared" si="8"/>
        <v>2.4442063788749246E-2</v>
      </c>
      <c r="S10" s="85">
        <f t="shared" si="8"/>
        <v>-7.0692256654848462E-3</v>
      </c>
    </row>
    <row r="11" spans="1:49" x14ac:dyDescent="0.35">
      <c r="A11" s="11" t="s">
        <v>66</v>
      </c>
      <c r="B11" s="30">
        <f t="shared" ref="B11:F11" si="11">L55*$E$4</f>
        <v>8583.8130184986585</v>
      </c>
      <c r="C11" s="30">
        <f t="shared" si="11"/>
        <v>8460.9365183646114</v>
      </c>
      <c r="D11" s="30">
        <f t="shared" si="11"/>
        <v>8243.0561959785518</v>
      </c>
      <c r="E11" s="30">
        <f t="shared" si="11"/>
        <v>8682.0800123994632</v>
      </c>
      <c r="F11" s="30">
        <f t="shared" si="11"/>
        <v>8454.2451012064339</v>
      </c>
      <c r="G11" s="22">
        <f t="shared" si="2"/>
        <v>8484.826169289543</v>
      </c>
      <c r="H11" s="34">
        <f t="shared" si="3"/>
        <v>555528.872951856</v>
      </c>
      <c r="I11" s="32">
        <f t="shared" si="4"/>
        <v>1.7374771949962037E-2</v>
      </c>
      <c r="J11" s="32">
        <f t="shared" si="5"/>
        <v>0.11</v>
      </c>
      <c r="K11" s="32">
        <f t="shared" si="6"/>
        <v>5.1742228734153545E-2</v>
      </c>
      <c r="L11" s="16">
        <f>G11/'Clause 6'!$I$11</f>
        <v>8484.826169289543</v>
      </c>
      <c r="M11">
        <f t="shared" si="7"/>
        <v>5</v>
      </c>
      <c r="O11" s="85">
        <f t="shared" si="10"/>
        <v>1.166633791124605E-2</v>
      </c>
      <c r="P11" s="85">
        <f t="shared" si="8"/>
        <v>-2.8155734069601479E-3</v>
      </c>
      <c r="Q11" s="85">
        <f t="shared" si="8"/>
        <v>-2.8494393224703485E-2</v>
      </c>
      <c r="R11" s="85">
        <f t="shared" si="8"/>
        <v>2.3247835509450088E-2</v>
      </c>
      <c r="S11" s="85">
        <f t="shared" si="8"/>
        <v>-3.6042067890319496E-3</v>
      </c>
    </row>
    <row r="12" spans="1:49" x14ac:dyDescent="0.35">
      <c r="A12" s="11" t="s">
        <v>67</v>
      </c>
      <c r="B12" s="30">
        <f t="shared" ref="B12:F12" si="12">L56*$E$4</f>
        <v>7479.6177925603224</v>
      </c>
      <c r="C12" s="30">
        <f t="shared" si="12"/>
        <v>7398.4009774128681</v>
      </c>
      <c r="D12" s="30">
        <f t="shared" si="12"/>
        <v>7202.4830345174269</v>
      </c>
      <c r="E12" s="30">
        <f t="shared" si="12"/>
        <v>7576.1991691689009</v>
      </c>
      <c r="F12" s="30">
        <f t="shared" si="12"/>
        <v>7402.951548994638</v>
      </c>
      <c r="G12" s="22">
        <f t="shared" si="2"/>
        <v>7411.9305045308311</v>
      </c>
      <c r="H12" s="34">
        <f t="shared" si="3"/>
        <v>485282.94126787822</v>
      </c>
      <c r="I12" s="32">
        <f t="shared" si="4"/>
        <v>1.6600643806665306E-2</v>
      </c>
      <c r="J12" s="32">
        <f t="shared" si="5"/>
        <v>0.11</v>
      </c>
      <c r="K12" s="32">
        <f t="shared" si="6"/>
        <v>5.0420890269144522E-2</v>
      </c>
      <c r="L12" s="16">
        <f>G12/'Clause 6'!$I$11</f>
        <v>7411.9305045308311</v>
      </c>
      <c r="M12">
        <f t="shared" si="7"/>
        <v>5</v>
      </c>
      <c r="O12" s="85">
        <f t="shared" si="10"/>
        <v>9.1322075926258961E-3</v>
      </c>
      <c r="P12" s="85">
        <f t="shared" si="8"/>
        <v>-1.8253715559923833E-3</v>
      </c>
      <c r="Q12" s="85">
        <f t="shared" si="8"/>
        <v>-2.8258153511473316E-2</v>
      </c>
      <c r="R12" s="85">
        <f t="shared" si="8"/>
        <v>2.2162736757671109E-2</v>
      </c>
      <c r="S12" s="85">
        <f t="shared" si="8"/>
        <v>-1.2114192828311943E-3</v>
      </c>
    </row>
    <row r="13" spans="1:49" x14ac:dyDescent="0.35">
      <c r="A13" s="11" t="s">
        <v>68</v>
      </c>
      <c r="B13" s="30">
        <f t="shared" ref="B13:F13" si="13">L57*$E$4</f>
        <v>6500.5815844504023</v>
      </c>
      <c r="C13" s="30">
        <f t="shared" si="13"/>
        <v>6428.7258610589815</v>
      </c>
      <c r="D13" s="30">
        <f t="shared" si="13"/>
        <v>6274.2570075067024</v>
      </c>
      <c r="E13" s="30">
        <f t="shared" si="13"/>
        <v>6582.6539721179624</v>
      </c>
      <c r="F13" s="30">
        <f t="shared" si="13"/>
        <v>6457.6685356568369</v>
      </c>
      <c r="G13" s="22">
        <f t="shared" si="2"/>
        <v>6448.7773921581775</v>
      </c>
      <c r="H13" s="34">
        <f t="shared" si="3"/>
        <v>422222.20763339597</v>
      </c>
      <c r="I13" s="32">
        <f t="shared" si="4"/>
        <v>1.5744587258146092E-2</v>
      </c>
      <c r="J13" s="32">
        <f t="shared" si="5"/>
        <v>0.11</v>
      </c>
      <c r="K13" s="32">
        <f t="shared" si="6"/>
        <v>4.7822547726066027E-2</v>
      </c>
      <c r="L13" s="16">
        <f>G13/'Clause 6'!$I$11</f>
        <v>6448.7773921581775</v>
      </c>
      <c r="M13">
        <f t="shared" si="7"/>
        <v>5</v>
      </c>
      <c r="O13" s="85">
        <f t="shared" si="10"/>
        <v>8.0331804219540004E-3</v>
      </c>
      <c r="P13" s="85">
        <f t="shared" si="8"/>
        <v>-3.1093538945193844E-3</v>
      </c>
      <c r="Q13" s="85">
        <f t="shared" si="8"/>
        <v>-2.7062553727423611E-2</v>
      </c>
      <c r="R13" s="85">
        <f t="shared" si="8"/>
        <v>2.0759993998642479E-2</v>
      </c>
      <c r="S13" s="85">
        <f t="shared" si="8"/>
        <v>1.3787332013461828E-3</v>
      </c>
    </row>
    <row r="14" spans="1:49" x14ac:dyDescent="0.35">
      <c r="A14" s="11" t="s">
        <v>69</v>
      </c>
      <c r="B14" s="30">
        <f t="shared" ref="B14:F14" si="14">L58*$E$4</f>
        <v>5630.4987274798932</v>
      </c>
      <c r="C14" s="30">
        <f t="shared" si="14"/>
        <v>5567.7250018766754</v>
      </c>
      <c r="D14" s="30">
        <f t="shared" si="14"/>
        <v>5432.0366174932979</v>
      </c>
      <c r="E14" s="30">
        <f t="shared" si="14"/>
        <v>5693.3115942359254</v>
      </c>
      <c r="F14" s="30">
        <f t="shared" si="14"/>
        <v>5601.0008457104559</v>
      </c>
      <c r="G14" s="22">
        <f t="shared" si="2"/>
        <v>5584.9145573592496</v>
      </c>
      <c r="H14" s="34">
        <f t="shared" si="3"/>
        <v>365662.32798166858</v>
      </c>
      <c r="I14" s="32">
        <f t="shared" si="4"/>
        <v>1.5558886108273757E-2</v>
      </c>
      <c r="J14" s="32">
        <f t="shared" si="5"/>
        <v>0.11</v>
      </c>
      <c r="K14" s="32">
        <f t="shared" si="6"/>
        <v>4.6782269282588253E-2</v>
      </c>
      <c r="L14" s="16">
        <f>G14/'Clause 6'!$I$11</f>
        <v>5584.9145573592496</v>
      </c>
      <c r="M14">
        <f t="shared" si="7"/>
        <v>5</v>
      </c>
      <c r="O14" s="85">
        <f t="shared" si="10"/>
        <v>8.1620174583652005E-3</v>
      </c>
      <c r="P14" s="85">
        <f t="shared" si="8"/>
        <v>-3.0778546933942774E-3</v>
      </c>
      <c r="Q14" s="85">
        <f t="shared" si="8"/>
        <v>-2.7373371301536609E-2</v>
      </c>
      <c r="R14" s="85">
        <f t="shared" si="8"/>
        <v>1.9408897981051609E-2</v>
      </c>
      <c r="S14" s="85">
        <f t="shared" si="8"/>
        <v>2.8803105555141872E-3</v>
      </c>
    </row>
    <row r="15" spans="1:49" x14ac:dyDescent="0.35">
      <c r="A15" s="11" t="s">
        <v>70</v>
      </c>
      <c r="B15" s="30">
        <f t="shared" ref="B15:F15" si="15">L59*$E$4</f>
        <v>4835.2501430965149</v>
      </c>
      <c r="C15" s="30">
        <f t="shared" si="15"/>
        <v>4790.2911225871321</v>
      </c>
      <c r="D15" s="30">
        <f t="shared" si="15"/>
        <v>4669.2938186327074</v>
      </c>
      <c r="E15" s="30">
        <f t="shared" si="15"/>
        <v>4887.9190967828426</v>
      </c>
      <c r="F15" s="30">
        <f t="shared" si="15"/>
        <v>4813.1652342493298</v>
      </c>
      <c r="G15" s="22">
        <f t="shared" si="2"/>
        <v>4799.1838830697052</v>
      </c>
      <c r="H15" s="34">
        <f t="shared" si="3"/>
        <v>314218.01230297488</v>
      </c>
      <c r="I15" s="32">
        <f t="shared" si="4"/>
        <v>1.51180694860686E-2</v>
      </c>
      <c r="J15" s="32">
        <f t="shared" si="5"/>
        <v>0.11</v>
      </c>
      <c r="K15" s="32">
        <f t="shared" si="6"/>
        <v>4.5554678352998604E-2</v>
      </c>
      <c r="L15" s="16">
        <f>G15/'Clause 6'!$I$11</f>
        <v>4799.1838830697052</v>
      </c>
      <c r="M15">
        <f t="shared" si="7"/>
        <v>5</v>
      </c>
      <c r="O15" s="85">
        <f t="shared" si="10"/>
        <v>7.5150819192493223E-3</v>
      </c>
      <c r="P15" s="85">
        <f t="shared" si="8"/>
        <v>-1.8529734845010859E-3</v>
      </c>
      <c r="Q15" s="85">
        <f t="shared" si="8"/>
        <v>-2.706503180576536E-2</v>
      </c>
      <c r="R15" s="85">
        <f t="shared" si="8"/>
        <v>1.8489646547233285E-2</v>
      </c>
      <c r="S15" s="85">
        <f t="shared" si="8"/>
        <v>2.9132768237840612E-3</v>
      </c>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row>
    <row r="16" spans="1:49" x14ac:dyDescent="0.35">
      <c r="A16" s="11" t="s">
        <v>71</v>
      </c>
      <c r="B16" s="30">
        <f t="shared" ref="B16:F16" si="16">L60*$E$4</f>
        <v>4114.4291038203755</v>
      </c>
      <c r="C16" s="30">
        <f t="shared" si="16"/>
        <v>4074.314638739947</v>
      </c>
      <c r="D16" s="30">
        <f t="shared" si="16"/>
        <v>3952.2490388739952</v>
      </c>
      <c r="E16" s="30">
        <f t="shared" si="16"/>
        <v>4151.0421469839148</v>
      </c>
      <c r="F16" s="30">
        <f t="shared" si="16"/>
        <v>4090.1301738605903</v>
      </c>
      <c r="G16" s="22">
        <f t="shared" si="2"/>
        <v>4076.4330204557641</v>
      </c>
      <c r="H16" s="34">
        <f t="shared" si="3"/>
        <v>266897.18755984126</v>
      </c>
      <c r="I16" s="32">
        <f t="shared" si="4"/>
        <v>1.6501340979724315E-2</v>
      </c>
      <c r="J16" s="32">
        <f t="shared" si="5"/>
        <v>0.11</v>
      </c>
      <c r="K16" s="32">
        <f t="shared" si="6"/>
        <v>4.8766435536255558E-2</v>
      </c>
      <c r="L16" s="16">
        <f>G16/'Clause 6'!$I$11</f>
        <v>4076.4330204557641</v>
      </c>
      <c r="M16">
        <f t="shared" si="7"/>
        <v>5</v>
      </c>
      <c r="O16" s="85">
        <f t="shared" si="10"/>
        <v>9.3209144303230129E-3</v>
      </c>
      <c r="P16" s="85">
        <f t="shared" si="8"/>
        <v>-5.1966552748128336E-4</v>
      </c>
      <c r="Q16" s="85">
        <f t="shared" si="8"/>
        <v>-3.0463883733304775E-2</v>
      </c>
      <c r="R16" s="85">
        <f t="shared" si="8"/>
        <v>1.8302551802950706E-2</v>
      </c>
      <c r="S16" s="85">
        <f t="shared" si="8"/>
        <v>3.3600830275128946E-3</v>
      </c>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row>
    <row r="17" spans="1:49" x14ac:dyDescent="0.35">
      <c r="A17" s="11" t="s">
        <v>72</v>
      </c>
      <c r="B17" s="30">
        <f t="shared" ref="B17:F17" si="17">L61*$E$4</f>
        <v>3467.5467730563005</v>
      </c>
      <c r="C17" s="30">
        <f t="shared" si="17"/>
        <v>3424.6666956434319</v>
      </c>
      <c r="D17" s="30">
        <f t="shared" si="17"/>
        <v>3321.5136656836462</v>
      </c>
      <c r="E17" s="30">
        <f t="shared" si="17"/>
        <v>3479.4424596514746</v>
      </c>
      <c r="F17" s="30">
        <f t="shared" si="17"/>
        <v>3423.9079121313671</v>
      </c>
      <c r="G17" s="22">
        <f t="shared" si="2"/>
        <v>3423.415501233244</v>
      </c>
      <c r="H17" s="34">
        <f t="shared" si="3"/>
        <v>224142.0292061517</v>
      </c>
      <c r="I17" s="32">
        <f t="shared" si="4"/>
        <v>1.6249274089575553E-2</v>
      </c>
      <c r="J17" s="32">
        <f t="shared" si="5"/>
        <v>0.11</v>
      </c>
      <c r="K17" s="32">
        <f t="shared" si="6"/>
        <v>4.6131938676721079E-2</v>
      </c>
      <c r="L17" s="16">
        <f>G17/'Clause 6'!$I$11</f>
        <v>3423.415501233244</v>
      </c>
      <c r="M17">
        <f t="shared" si="7"/>
        <v>5</v>
      </c>
      <c r="O17" s="85">
        <f t="shared" si="10"/>
        <v>1.289100660061826E-2</v>
      </c>
      <c r="P17" s="85">
        <f t="shared" si="8"/>
        <v>3.6548131821478869E-4</v>
      </c>
      <c r="Q17" s="85">
        <f t="shared" si="8"/>
        <v>-2.9766131371692595E-2</v>
      </c>
      <c r="R17" s="85">
        <f t="shared" si="8"/>
        <v>1.6365807305028346E-2</v>
      </c>
      <c r="S17" s="85">
        <f t="shared" si="8"/>
        <v>1.4383614783120002E-4</v>
      </c>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row>
    <row r="18" spans="1:49" x14ac:dyDescent="0.35">
      <c r="A18" s="11" t="s">
        <v>73</v>
      </c>
      <c r="B18" s="30">
        <f t="shared" ref="B18:F18" si="18">L62*$E$4</f>
        <v>2877.7469743967831</v>
      </c>
      <c r="C18" s="30">
        <f t="shared" si="18"/>
        <v>2839.7735674932978</v>
      </c>
      <c r="D18" s="30">
        <f t="shared" si="18"/>
        <v>2747.2552014745311</v>
      </c>
      <c r="E18" s="30">
        <f t="shared" si="18"/>
        <v>2888.3295215817698</v>
      </c>
      <c r="F18" s="30">
        <f t="shared" si="18"/>
        <v>2827.6375037533512</v>
      </c>
      <c r="G18" s="22">
        <f t="shared" si="2"/>
        <v>2836.1485537399467</v>
      </c>
      <c r="H18" s="34">
        <f t="shared" si="3"/>
        <v>185691.772364868</v>
      </c>
      <c r="I18" s="32">
        <f t="shared" si="4"/>
        <v>1.7587808437101598E-2</v>
      </c>
      <c r="J18" s="32">
        <f t="shared" si="5"/>
        <v>0.11</v>
      </c>
      <c r="K18" s="32">
        <f t="shared" si="6"/>
        <v>4.9741512982882395E-2</v>
      </c>
      <c r="L18" s="16">
        <f>G18/'Clause 6'!$I$11</f>
        <v>2836.1485537399467</v>
      </c>
      <c r="M18">
        <f t="shared" si="7"/>
        <v>5</v>
      </c>
      <c r="O18" s="85">
        <f t="shared" si="10"/>
        <v>1.466722206845672E-2</v>
      </c>
      <c r="P18" s="85">
        <f t="shared" si="8"/>
        <v>1.2781466431195376E-3</v>
      </c>
      <c r="Q18" s="85">
        <f t="shared" si="8"/>
        <v>-3.1342981716593998E-2</v>
      </c>
      <c r="R18" s="85">
        <f t="shared" si="8"/>
        <v>1.8398531266288431E-2</v>
      </c>
      <c r="S18" s="85">
        <f t="shared" si="8"/>
        <v>-3.0009182612710239E-3</v>
      </c>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row>
    <row r="19" spans="1:49" x14ac:dyDescent="0.35">
      <c r="A19" s="11" t="s">
        <v>74</v>
      </c>
      <c r="B19" s="30">
        <f t="shared" ref="B19:F19" si="19">L63*$E$4</f>
        <v>2348.2871375335121</v>
      </c>
      <c r="C19" s="30">
        <f t="shared" si="19"/>
        <v>2306.6697844504019</v>
      </c>
      <c r="D19" s="30">
        <f t="shared" si="19"/>
        <v>2236.4575590482573</v>
      </c>
      <c r="E19" s="30">
        <f t="shared" si="19"/>
        <v>2352.5558513404826</v>
      </c>
      <c r="F19" s="30">
        <f t="shared" si="19"/>
        <v>2292.5843262734584</v>
      </c>
      <c r="G19" s="22">
        <f t="shared" si="2"/>
        <v>2307.3109317292224</v>
      </c>
      <c r="H19" s="34">
        <f t="shared" si="3"/>
        <v>151067.07148490212</v>
      </c>
      <c r="I19" s="32">
        <f t="shared" si="4"/>
        <v>1.8350630668051895E-2</v>
      </c>
      <c r="J19" s="32">
        <f t="shared" si="5"/>
        <v>0.11</v>
      </c>
      <c r="K19" s="32">
        <f t="shared" si="6"/>
        <v>5.0317575622638361E-2</v>
      </c>
      <c r="L19" s="16">
        <f>G19/'Clause 6'!$I$11</f>
        <v>2307.3109317292224</v>
      </c>
      <c r="M19">
        <f t="shared" si="7"/>
        <v>5</v>
      </c>
      <c r="O19" s="85">
        <f t="shared" si="10"/>
        <v>1.775929080073313E-2</v>
      </c>
      <c r="P19" s="85">
        <f t="shared" si="8"/>
        <v>-2.7787641015508679E-4</v>
      </c>
      <c r="Q19" s="85">
        <f t="shared" si="8"/>
        <v>-3.0708203088980257E-2</v>
      </c>
      <c r="R19" s="85">
        <f t="shared" si="8"/>
        <v>1.9609372533658131E-2</v>
      </c>
      <c r="S19" s="85">
        <f t="shared" si="8"/>
        <v>-6.3825838352558062E-3</v>
      </c>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row>
    <row r="20" spans="1:49" x14ac:dyDescent="0.35">
      <c r="A20" s="11" t="s">
        <v>75</v>
      </c>
      <c r="B20" s="30">
        <f t="shared" ref="B20:F20" si="20">L64*$E$4</f>
        <v>1873.9557585120642</v>
      </c>
      <c r="C20" s="30">
        <f t="shared" si="20"/>
        <v>1843.5669924932977</v>
      </c>
      <c r="D20" s="30">
        <f t="shared" si="20"/>
        <v>1783.1236484584449</v>
      </c>
      <c r="E20" s="30">
        <f t="shared" si="20"/>
        <v>1883.7161315013407</v>
      </c>
      <c r="F20" s="30">
        <f t="shared" si="20"/>
        <v>1838.5318380697051</v>
      </c>
      <c r="G20" s="22">
        <f t="shared" si="2"/>
        <v>1844.5788738069707</v>
      </c>
      <c r="H20" s="34">
        <f t="shared" si="3"/>
        <v>120770.51460944572</v>
      </c>
      <c r="I20" s="32">
        <f t="shared" si="4"/>
        <v>1.9104283333300824E-2</v>
      </c>
      <c r="J20" s="32">
        <f t="shared" si="5"/>
        <v>0.11</v>
      </c>
      <c r="K20" s="32">
        <f t="shared" si="6"/>
        <v>5.4534118584631718E-2</v>
      </c>
      <c r="L20" s="16">
        <f>G20/'Clause 6'!$I$11</f>
        <v>1844.5788738069707</v>
      </c>
      <c r="M20">
        <f t="shared" si="7"/>
        <v>5</v>
      </c>
      <c r="O20" s="85">
        <f t="shared" si="10"/>
        <v>1.5926065901678443E-2</v>
      </c>
      <c r="P20" s="85">
        <f t="shared" si="8"/>
        <v>-5.4857036911881707E-4</v>
      </c>
      <c r="Q20" s="85">
        <f t="shared" si="8"/>
        <v>-3.3316669848706515E-2</v>
      </c>
      <c r="R20" s="85">
        <f t="shared" si="8"/>
        <v>2.1217448735925126E-2</v>
      </c>
      <c r="S20" s="85">
        <f t="shared" si="8"/>
        <v>-3.2782744197786817E-3</v>
      </c>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row>
    <row r="21" spans="1:49" x14ac:dyDescent="0.35">
      <c r="A21" s="11" t="s">
        <v>76</v>
      </c>
      <c r="B21" s="30">
        <f t="shared" ref="B21:F21" si="21">L65*$E$4</f>
        <v>1477.9600739946382</v>
      </c>
      <c r="C21" s="30">
        <f t="shared" si="21"/>
        <v>1444.694547386059</v>
      </c>
      <c r="D21" s="30">
        <f t="shared" si="21"/>
        <v>1395.9830934316353</v>
      </c>
      <c r="E21" s="30">
        <f t="shared" si="21"/>
        <v>1477.217670308311</v>
      </c>
      <c r="F21" s="30">
        <f t="shared" si="21"/>
        <v>1434.5728650134049</v>
      </c>
      <c r="G21" s="22">
        <f t="shared" si="2"/>
        <v>1446.0856500268096</v>
      </c>
      <c r="H21" s="34">
        <f t="shared" si="3"/>
        <v>94679.880921887117</v>
      </c>
      <c r="I21" s="32">
        <f t="shared" si="4"/>
        <v>2.1043019628258223E-2</v>
      </c>
      <c r="J21" s="32">
        <f t="shared" si="5"/>
        <v>0.11</v>
      </c>
      <c r="K21" s="32">
        <f t="shared" si="6"/>
        <v>5.6688883235569774E-2</v>
      </c>
      <c r="L21" s="16">
        <f>G21/'Clause 6'!$I$11</f>
        <v>1446.0856500268096</v>
      </c>
      <c r="M21">
        <f t="shared" si="7"/>
        <v>5</v>
      </c>
      <c r="O21" s="85">
        <f t="shared" si="10"/>
        <v>2.2041864510056852E-2</v>
      </c>
      <c r="P21" s="85">
        <f t="shared" si="8"/>
        <v>-9.619780410136114E-4</v>
      </c>
      <c r="Q21" s="85">
        <f t="shared" si="8"/>
        <v>-3.4647018725512901E-2</v>
      </c>
      <c r="R21" s="85">
        <f t="shared" si="8"/>
        <v>2.1528476049066825E-2</v>
      </c>
      <c r="S21" s="85">
        <f t="shared" si="8"/>
        <v>-7.9613437925971642E-3</v>
      </c>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row>
    <row r="22" spans="1:49" x14ac:dyDescent="0.35">
      <c r="A22" s="11" t="s">
        <v>77</v>
      </c>
      <c r="B22" s="30">
        <f t="shared" ref="B22:F22" si="22">L66*$E$4</f>
        <v>1137.5813667560321</v>
      </c>
      <c r="C22" s="30">
        <f t="shared" si="22"/>
        <v>1108.9282079088473</v>
      </c>
      <c r="D22" s="30">
        <f t="shared" si="22"/>
        <v>1071.0127677613941</v>
      </c>
      <c r="E22" s="30">
        <f t="shared" si="22"/>
        <v>1128.2419733243969</v>
      </c>
      <c r="F22" s="30">
        <f t="shared" si="22"/>
        <v>1111.1669054959787</v>
      </c>
      <c r="G22" s="22">
        <f t="shared" si="2"/>
        <v>1111.3862442493296</v>
      </c>
      <c r="H22" s="34">
        <f t="shared" si="3"/>
        <v>72766.033783544597</v>
      </c>
      <c r="I22" s="32">
        <f t="shared" si="4"/>
        <v>2.0543344817466853E-2</v>
      </c>
      <c r="J22" s="32">
        <f t="shared" si="5"/>
        <v>0.11</v>
      </c>
      <c r="K22" s="32">
        <f t="shared" si="6"/>
        <v>5.9896907433473645E-2</v>
      </c>
      <c r="L22" s="16">
        <f>G22/'Clause 6'!$I$11</f>
        <v>1111.3862442493296</v>
      </c>
      <c r="M22">
        <f t="shared" si="7"/>
        <v>5</v>
      </c>
      <c r="O22" s="85">
        <f t="shared" si="10"/>
        <v>2.3569773912754943E-2</v>
      </c>
      <c r="P22" s="85">
        <f t="shared" si="8"/>
        <v>-2.2116850493705265E-3</v>
      </c>
      <c r="Q22" s="85">
        <f t="shared" si="8"/>
        <v>-3.6327133520718702E-2</v>
      </c>
      <c r="R22" s="85">
        <f t="shared" si="8"/>
        <v>1.5166400666090984E-2</v>
      </c>
      <c r="S22" s="85">
        <f t="shared" si="8"/>
        <v>-1.9735600875558923E-4</v>
      </c>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row>
    <row r="23" spans="1:49" x14ac:dyDescent="0.35">
      <c r="A23" s="11" t="s">
        <v>78</v>
      </c>
      <c r="B23" s="30">
        <f t="shared" ref="B23:F23" si="23">L67*$E$4</f>
        <v>872.44429564343159</v>
      </c>
      <c r="C23" s="30">
        <f t="shared" si="23"/>
        <v>840.01540965147456</v>
      </c>
      <c r="D23" s="30">
        <f t="shared" si="23"/>
        <v>813.75416193029491</v>
      </c>
      <c r="E23" s="30">
        <f t="shared" si="23"/>
        <v>855.61173270777488</v>
      </c>
      <c r="F23" s="30">
        <f t="shared" si="23"/>
        <v>847.18635690348526</v>
      </c>
      <c r="G23" s="22">
        <f t="shared" si="2"/>
        <v>845.80239136729233</v>
      </c>
      <c r="H23" s="34">
        <f t="shared" si="3"/>
        <v>55377.404302862662</v>
      </c>
      <c r="I23" s="32">
        <f t="shared" si="4"/>
        <v>2.2855648222897009E-2</v>
      </c>
      <c r="J23" s="32">
        <f t="shared" si="5"/>
        <v>0.11</v>
      </c>
      <c r="K23" s="32">
        <f t="shared" si="6"/>
        <v>6.9389888598281699E-2</v>
      </c>
      <c r="L23" s="16">
        <f>G23/'Clause 6'!$I$11</f>
        <v>845.80239136729233</v>
      </c>
      <c r="M23">
        <f t="shared" si="7"/>
        <v>5</v>
      </c>
      <c r="O23" s="85">
        <f t="shared" si="10"/>
        <v>3.1498970147236127E-2</v>
      </c>
      <c r="P23" s="85">
        <f t="shared" si="8"/>
        <v>-6.842002073868314E-3</v>
      </c>
      <c r="Q23" s="85">
        <f t="shared" si="8"/>
        <v>-3.7890918451045641E-2</v>
      </c>
      <c r="R23" s="85">
        <f t="shared" si="8"/>
        <v>1.1597675107805294E-2</v>
      </c>
      <c r="S23" s="85">
        <f t="shared" si="8"/>
        <v>1.6362752698719785E-3</v>
      </c>
      <c r="T23" s="35"/>
      <c r="U23" s="35"/>
      <c r="V23" s="35"/>
      <c r="W23" s="35"/>
      <c r="X23" s="35"/>
      <c r="Y23" s="35"/>
      <c r="Z23" s="35"/>
      <c r="AA23" s="35"/>
      <c r="AB23" s="35"/>
      <c r="AC23" s="35"/>
      <c r="AD23" s="35"/>
      <c r="AE23" s="35"/>
      <c r="AF23" s="35"/>
      <c r="AG23" s="35"/>
      <c r="AH23" s="35"/>
      <c r="AI23" s="35"/>
      <c r="AJ23" s="35"/>
      <c r="AK23" s="35"/>
      <c r="AL23" s="35"/>
      <c r="AM23" s="35"/>
      <c r="AN23" s="35"/>
      <c r="AO23" s="35"/>
      <c r="AP23" s="35"/>
      <c r="AQ23" s="35"/>
      <c r="AR23" s="35"/>
      <c r="AS23" s="35"/>
      <c r="AT23" s="35"/>
      <c r="AU23" s="35"/>
      <c r="AV23" s="35"/>
      <c r="AW23" s="35"/>
    </row>
    <row r="24" spans="1:49" x14ac:dyDescent="0.35">
      <c r="A24" s="11" t="s">
        <v>79</v>
      </c>
      <c r="B24" s="30">
        <f t="shared" ref="B24:F24" si="24">L68*$E$4</f>
        <v>661.78411313672927</v>
      </c>
      <c r="C24" s="30">
        <f t="shared" si="24"/>
        <v>636.15725931635393</v>
      </c>
      <c r="D24" s="30">
        <f t="shared" si="24"/>
        <v>612.21336353887398</v>
      </c>
      <c r="E24" s="30">
        <f t="shared" si="24"/>
        <v>646.37684772117962</v>
      </c>
      <c r="F24" s="30">
        <f t="shared" si="24"/>
        <v>634.19531447721181</v>
      </c>
      <c r="G24" s="22">
        <f t="shared" si="2"/>
        <v>638.14537963806981</v>
      </c>
      <c r="H24" s="34">
        <f t="shared" si="3"/>
        <v>41781.431517465615</v>
      </c>
      <c r="I24" s="32">
        <f t="shared" si="4"/>
        <v>2.5447626050068881E-2</v>
      </c>
      <c r="J24" s="32">
        <f t="shared" si="5"/>
        <v>0.11</v>
      </c>
      <c r="K24" s="32">
        <f t="shared" si="6"/>
        <v>7.7679399051623341E-2</v>
      </c>
      <c r="L24" s="16">
        <f>G24/'Clause 6'!$I$11</f>
        <v>638.14537963806981</v>
      </c>
      <c r="M24">
        <f t="shared" si="7"/>
        <v>5</v>
      </c>
      <c r="O24" s="85">
        <f t="shared" si="10"/>
        <v>3.7042865549017145E-2</v>
      </c>
      <c r="P24" s="85">
        <f t="shared" si="8"/>
        <v>-3.1154661385207616E-3</v>
      </c>
      <c r="Q24" s="85">
        <f t="shared" si="8"/>
        <v>-4.063653350260632E-2</v>
      </c>
      <c r="R24" s="85">
        <f t="shared" si="8"/>
        <v>1.2899048313690376E-2</v>
      </c>
      <c r="S24" s="85">
        <f t="shared" si="8"/>
        <v>-6.1899142215812164E-3</v>
      </c>
      <c r="T24" s="32"/>
      <c r="U24" s="32"/>
      <c r="V24" s="32"/>
      <c r="W24" s="32"/>
      <c r="X24" s="32"/>
      <c r="Y24" s="32"/>
      <c r="Z24" s="32"/>
      <c r="AA24" s="32"/>
      <c r="AB24" s="32"/>
      <c r="AC24" s="32"/>
      <c r="AD24" s="32"/>
      <c r="AE24" s="32"/>
      <c r="AF24" s="32"/>
      <c r="AG24" s="32"/>
      <c r="AH24" s="32"/>
      <c r="AI24" s="32"/>
      <c r="AJ24" s="32"/>
      <c r="AK24" s="32"/>
      <c r="AL24" s="32"/>
      <c r="AM24" s="32"/>
      <c r="AN24" s="32"/>
      <c r="AO24" s="32"/>
      <c r="AP24" s="32"/>
      <c r="AQ24" s="32"/>
      <c r="AR24" s="32"/>
      <c r="AS24" s="32"/>
      <c r="AT24" s="32"/>
      <c r="AU24" s="32"/>
      <c r="AV24" s="32"/>
      <c r="AW24" s="32"/>
    </row>
    <row r="25" spans="1:49" x14ac:dyDescent="0.35">
      <c r="A25" s="11" t="s">
        <v>80</v>
      </c>
      <c r="B25" s="30">
        <f t="shared" ref="B25:F25" si="25">L69*$E$4</f>
        <v>502.26212995978551</v>
      </c>
      <c r="C25" s="30">
        <f t="shared" si="25"/>
        <v>481.98956836461122</v>
      </c>
      <c r="D25" s="30">
        <f t="shared" si="25"/>
        <v>461.60809343163538</v>
      </c>
      <c r="E25" s="30">
        <f t="shared" si="25"/>
        <v>484.04856796246651</v>
      </c>
      <c r="F25" s="30">
        <f t="shared" si="25"/>
        <v>479.21124617962471</v>
      </c>
      <c r="G25" s="22">
        <f t="shared" si="2"/>
        <v>481.82392117962462</v>
      </c>
      <c r="H25" s="34">
        <f t="shared" si="3"/>
        <v>31546.562599357672</v>
      </c>
      <c r="I25" s="32">
        <f t="shared" si="4"/>
        <v>2.6872071749755786E-2</v>
      </c>
      <c r="J25" s="32">
        <f t="shared" si="5"/>
        <v>0.11</v>
      </c>
      <c r="K25" s="32">
        <f t="shared" si="6"/>
        <v>8.4375297159632406E-2</v>
      </c>
      <c r="L25" s="16">
        <f>G25/'Clause 6'!$I$11</f>
        <v>481.82392117962462</v>
      </c>
      <c r="M25">
        <f t="shared" si="7"/>
        <v>5</v>
      </c>
      <c r="O25" s="85">
        <f t="shared" si="10"/>
        <v>4.2418418600145724E-2</v>
      </c>
      <c r="P25" s="85">
        <f t="shared" si="8"/>
        <v>3.4379194910250099E-4</v>
      </c>
      <c r="Q25" s="85">
        <f t="shared" si="8"/>
        <v>-4.1956878559486821E-2</v>
      </c>
      <c r="R25" s="85">
        <f t="shared" si="8"/>
        <v>4.6171364373013279E-3</v>
      </c>
      <c r="S25" s="85">
        <f t="shared" si="8"/>
        <v>-5.4224684270623991E-3</v>
      </c>
      <c r="T25" s="35"/>
      <c r="U25" s="35"/>
      <c r="V25" s="35"/>
      <c r="W25" s="35"/>
      <c r="X25" s="35"/>
      <c r="Y25" s="35"/>
      <c r="Z25" s="35"/>
      <c r="AA25" s="35"/>
      <c r="AB25" s="35"/>
      <c r="AC25" s="35"/>
      <c r="AD25" s="35"/>
      <c r="AE25" s="35"/>
      <c r="AF25" s="35"/>
      <c r="AG25" s="35"/>
      <c r="AH25" s="35"/>
      <c r="AI25" s="35"/>
      <c r="AJ25" s="35"/>
      <c r="AK25" s="35"/>
      <c r="AL25" s="35"/>
      <c r="AM25" s="35"/>
      <c r="AN25" s="35"/>
      <c r="AO25" s="35"/>
      <c r="AP25" s="35"/>
      <c r="AQ25" s="35"/>
      <c r="AR25" s="35"/>
      <c r="AS25" s="35"/>
      <c r="AT25" s="35"/>
      <c r="AU25" s="35"/>
      <c r="AV25" s="35"/>
      <c r="AW25" s="35"/>
    </row>
    <row r="26" spans="1:49" x14ac:dyDescent="0.35">
      <c r="A26" s="11" t="s">
        <v>81</v>
      </c>
      <c r="B26" s="30">
        <f t="shared" ref="B26:F26" si="26">L70*$E$4</f>
        <v>382.07099242627345</v>
      </c>
      <c r="C26" s="30">
        <f t="shared" si="26"/>
        <v>368.14380053619305</v>
      </c>
      <c r="D26" s="30">
        <f t="shared" si="26"/>
        <v>349.71693136729226</v>
      </c>
      <c r="E26" s="30">
        <f t="shared" si="26"/>
        <v>366.66923109919571</v>
      </c>
      <c r="F26" s="30">
        <f t="shared" si="26"/>
        <v>362.823915616622</v>
      </c>
      <c r="G26" s="22">
        <f t="shared" si="2"/>
        <v>365.88497420911528</v>
      </c>
      <c r="H26" s="34">
        <f t="shared" si="3"/>
        <v>23955.666656801783</v>
      </c>
      <c r="I26" s="32">
        <f t="shared" si="4"/>
        <v>2.8363205049415093E-2</v>
      </c>
      <c r="J26" s="32">
        <f t="shared" si="5"/>
        <v>0.11</v>
      </c>
      <c r="K26" s="32">
        <f t="shared" si="6"/>
        <v>8.8426864560143911E-2</v>
      </c>
      <c r="L26" s="16">
        <f>G26/'Clause 6'!$I$11</f>
        <v>365.88497420911528</v>
      </c>
      <c r="M26">
        <f t="shared" si="7"/>
        <v>5</v>
      </c>
      <c r="O26" s="85">
        <f t="shared" si="10"/>
        <v>4.4237996523758039E-2</v>
      </c>
      <c r="P26" s="85">
        <f t="shared" si="8"/>
        <v>6.1735968577567579E-3</v>
      </c>
      <c r="Q26" s="85">
        <f t="shared" si="8"/>
        <v>-4.4188868036385776E-2</v>
      </c>
      <c r="R26" s="85">
        <f t="shared" si="8"/>
        <v>2.1434520282654912E-3</v>
      </c>
      <c r="S26" s="85">
        <f t="shared" si="8"/>
        <v>-8.3661773733944012E-3</v>
      </c>
    </row>
    <row r="27" spans="1:49" x14ac:dyDescent="0.35">
      <c r="A27" s="11" t="s">
        <v>82</v>
      </c>
      <c r="B27" s="30">
        <f t="shared" ref="B27:F27" si="27">L71*$E$4</f>
        <v>290.54333096514745</v>
      </c>
      <c r="C27" s="30">
        <f t="shared" si="27"/>
        <v>277.38196890080428</v>
      </c>
      <c r="D27" s="30">
        <f t="shared" si="27"/>
        <v>266.97513083109919</v>
      </c>
      <c r="E27" s="30">
        <f t="shared" si="27"/>
        <v>278.35238491957108</v>
      </c>
      <c r="F27" s="30">
        <f t="shared" si="27"/>
        <v>274.65621481233245</v>
      </c>
      <c r="G27" s="22">
        <f t="shared" si="2"/>
        <v>277.58180608579084</v>
      </c>
      <c r="H27" s="34">
        <f t="shared" si="3"/>
        <v>18174.174085606752</v>
      </c>
      <c r="I27" s="32">
        <f t="shared" si="4"/>
        <v>2.7421731478724017E-2</v>
      </c>
      <c r="J27" s="32">
        <f t="shared" si="5"/>
        <v>0.11</v>
      </c>
      <c r="K27" s="32">
        <f t="shared" si="6"/>
        <v>8.4905421095084838E-2</v>
      </c>
      <c r="L27" s="16">
        <f>G27/'Clause 6'!$I$11</f>
        <v>277.58180608579084</v>
      </c>
      <c r="M27">
        <f t="shared" si="7"/>
        <v>5</v>
      </c>
      <c r="O27" s="85">
        <f t="shared" si="10"/>
        <v>4.6694432398608487E-2</v>
      </c>
      <c r="P27" s="85">
        <f t="shared" si="8"/>
        <v>-7.1992176938573404E-4</v>
      </c>
      <c r="Q27" s="85">
        <f t="shared" si="8"/>
        <v>-3.8210988696476433E-2</v>
      </c>
      <c r="R27" s="85">
        <f t="shared" si="8"/>
        <v>2.7760422941482954E-3</v>
      </c>
      <c r="S27" s="85">
        <f t="shared" si="8"/>
        <v>-1.0539564226893838E-2</v>
      </c>
    </row>
    <row r="28" spans="1:49" x14ac:dyDescent="0.35">
      <c r="A28" s="11" t="s">
        <v>83</v>
      </c>
      <c r="B28" s="30">
        <f t="shared" ref="B28:F28" si="28">L72*$E$4</f>
        <v>221.00186112600537</v>
      </c>
      <c r="C28" s="30">
        <f t="shared" si="28"/>
        <v>208.95458250670239</v>
      </c>
      <c r="D28" s="30">
        <f t="shared" si="28"/>
        <v>198.65622037533512</v>
      </c>
      <c r="E28" s="30">
        <f t="shared" si="28"/>
        <v>215.55934142091155</v>
      </c>
      <c r="F28" s="30">
        <f t="shared" si="28"/>
        <v>208.06383156836463</v>
      </c>
      <c r="G28" s="22">
        <f t="shared" si="2"/>
        <v>210.44716739946381</v>
      </c>
      <c r="H28" s="34">
        <f t="shared" si="3"/>
        <v>13778.653255676991</v>
      </c>
      <c r="I28" s="32">
        <f t="shared" si="4"/>
        <v>3.5841853935930215E-2</v>
      </c>
      <c r="J28" s="32">
        <f t="shared" si="5"/>
        <v>0.11</v>
      </c>
      <c r="K28" s="32">
        <f t="shared" si="6"/>
        <v>0.10618171309597382</v>
      </c>
      <c r="L28" s="16">
        <f>G28/'Clause 6'!$I$11</f>
        <v>210.44716739946381</v>
      </c>
      <c r="M28">
        <f t="shared" si="7"/>
        <v>5</v>
      </c>
      <c r="O28" s="85">
        <f t="shared" si="10"/>
        <v>5.0153650709429565E-2</v>
      </c>
      <c r="P28" s="85">
        <f t="shared" si="8"/>
        <v>-7.0924446796104545E-3</v>
      </c>
      <c r="Q28" s="85">
        <f t="shared" si="8"/>
        <v>-5.6028062386544231E-2</v>
      </c>
      <c r="R28" s="85">
        <f t="shared" si="8"/>
        <v>2.4291959281846687E-2</v>
      </c>
      <c r="S28" s="85">
        <f t="shared" si="8"/>
        <v>-1.1325102925121344E-2</v>
      </c>
    </row>
    <row r="29" spans="1:49" x14ac:dyDescent="0.35">
      <c r="A29" s="11" t="s">
        <v>84</v>
      </c>
      <c r="B29" s="30">
        <f t="shared" ref="B29:F29" si="29">L73*$E$4</f>
        <v>160.33627372654155</v>
      </c>
      <c r="C29" s="30">
        <f t="shared" si="29"/>
        <v>159.03931461126007</v>
      </c>
      <c r="D29" s="30">
        <f t="shared" si="29"/>
        <v>152.1234487935657</v>
      </c>
      <c r="E29" s="30">
        <f t="shared" si="29"/>
        <v>161.80127091152815</v>
      </c>
      <c r="F29" s="30">
        <f t="shared" si="29"/>
        <v>158.19420569705096</v>
      </c>
      <c r="G29" s="22">
        <f t="shared" si="2"/>
        <v>158.2989027479893</v>
      </c>
      <c r="H29" s="34">
        <f t="shared" si="3"/>
        <v>10364.33855903843</v>
      </c>
      <c r="I29" s="32">
        <f t="shared" si="4"/>
        <v>2.0973146538643312E-2</v>
      </c>
      <c r="J29" s="32">
        <f t="shared" si="5"/>
        <v>0.11</v>
      </c>
      <c r="K29" s="32">
        <f t="shared" si="6"/>
        <v>6.1136381553885261E-2</v>
      </c>
      <c r="L29" s="16">
        <f>G29/'Clause 6'!$I$11</f>
        <v>158.2989027479893</v>
      </c>
      <c r="M29">
        <f t="shared" si="7"/>
        <v>5</v>
      </c>
      <c r="O29" s="85">
        <f t="shared" si="10"/>
        <v>1.2870404931332402E-2</v>
      </c>
      <c r="P29" s="85">
        <f t="shared" si="8"/>
        <v>4.677302561278518E-3</v>
      </c>
      <c r="Q29" s="85">
        <f t="shared" si="8"/>
        <v>-3.9011350345585671E-2</v>
      </c>
      <c r="R29" s="85">
        <f t="shared" si="8"/>
        <v>2.2125031208299673E-2</v>
      </c>
      <c r="S29" s="85">
        <f t="shared" si="8"/>
        <v>-6.6138835532558726E-4</v>
      </c>
    </row>
    <row r="30" spans="1:49" x14ac:dyDescent="0.35">
      <c r="A30" s="11" t="s">
        <v>85</v>
      </c>
      <c r="B30" s="30">
        <f t="shared" ref="B30:F30" si="30">L74*$E$4</f>
        <v>121.08686105898124</v>
      </c>
      <c r="C30" s="30">
        <f t="shared" si="30"/>
        <v>118.6424341152815</v>
      </c>
      <c r="D30" s="30">
        <f t="shared" si="30"/>
        <v>115.15531742627346</v>
      </c>
      <c r="E30" s="30">
        <f t="shared" si="30"/>
        <v>120.84273465147454</v>
      </c>
      <c r="F30" s="30">
        <f t="shared" si="30"/>
        <v>118.25372191689009</v>
      </c>
      <c r="G30" s="22">
        <f t="shared" si="2"/>
        <v>118.79621383378017</v>
      </c>
      <c r="H30" s="34">
        <f t="shared" si="3"/>
        <v>7777.9703986031682</v>
      </c>
      <c r="I30" s="32">
        <f t="shared" si="4"/>
        <v>1.8057802514439721E-2</v>
      </c>
      <c r="J30" s="32">
        <f t="shared" si="5"/>
        <v>0.113</v>
      </c>
      <c r="K30" s="32">
        <f t="shared" si="6"/>
        <v>4.9930409743590067E-2</v>
      </c>
      <c r="L30" s="16">
        <f>G30/'Clause 6'!$I$11</f>
        <v>118.79621383378017</v>
      </c>
      <c r="M30">
        <f t="shared" si="7"/>
        <v>5</v>
      </c>
      <c r="O30" s="85">
        <f t="shared" si="10"/>
        <v>1.9282156823668961E-2</v>
      </c>
      <c r="P30" s="85">
        <f t="shared" si="8"/>
        <v>-1.2944833301996583E-3</v>
      </c>
      <c r="Q30" s="85">
        <f t="shared" si="8"/>
        <v>-3.0648252919921015E-2</v>
      </c>
      <c r="R30" s="85">
        <f t="shared" si="8"/>
        <v>1.7227155240468139E-2</v>
      </c>
      <c r="S30" s="85">
        <f t="shared" si="8"/>
        <v>-4.566575814016649E-3</v>
      </c>
    </row>
    <row r="31" spans="1:49" x14ac:dyDescent="0.35">
      <c r="A31" s="11" t="s">
        <v>86</v>
      </c>
      <c r="B31" s="30">
        <f t="shared" ref="B31:F31" si="31">L75*$E$4</f>
        <v>91.120516621983924</v>
      </c>
      <c r="C31" s="30">
        <f t="shared" si="31"/>
        <v>85.140744906166219</v>
      </c>
      <c r="D31" s="30">
        <f t="shared" si="31"/>
        <v>85.32272922252011</v>
      </c>
      <c r="E31" s="30">
        <f t="shared" si="31"/>
        <v>90.952039410187666</v>
      </c>
      <c r="F31" s="30">
        <f t="shared" si="31"/>
        <v>86.1520168230563</v>
      </c>
      <c r="G31" s="22">
        <f t="shared" si="2"/>
        <v>87.737609396782858</v>
      </c>
      <c r="H31" s="34">
        <f t="shared" si="3"/>
        <v>5744.463621435174</v>
      </c>
      <c r="I31" s="32">
        <f t="shared" si="4"/>
        <v>3.0948717941112709E-2</v>
      </c>
      <c r="J31" s="32">
        <f t="shared" si="5"/>
        <v>0.113</v>
      </c>
      <c r="K31" s="32">
        <f t="shared" si="6"/>
        <v>6.8155170364568543E-2</v>
      </c>
      <c r="L31" s="16">
        <f>G31/'Clause 6'!$I$11</f>
        <v>87.737609396782858</v>
      </c>
      <c r="M31">
        <f t="shared" si="7"/>
        <v>5</v>
      </c>
      <c r="O31" s="85">
        <f t="shared" si="10"/>
        <v>3.8557093684901567E-2</v>
      </c>
      <c r="P31" s="85">
        <f t="shared" si="8"/>
        <v>-2.9598076679666852E-2</v>
      </c>
      <c r="Q31" s="85">
        <f t="shared" si="8"/>
        <v>-2.7523888454057843E-2</v>
      </c>
      <c r="R31" s="85">
        <f t="shared" si="8"/>
        <v>3.6636854314868961E-2</v>
      </c>
      <c r="S31" s="85">
        <f t="shared" si="8"/>
        <v>-1.8071982866046721E-2</v>
      </c>
    </row>
    <row r="32" spans="1:49" x14ac:dyDescent="0.35">
      <c r="A32" s="11" t="s">
        <v>87</v>
      </c>
      <c r="B32" s="30">
        <f t="shared" ref="B32:F32" si="32">L76*$E$4</f>
        <v>67.261431032171586</v>
      </c>
      <c r="C32" s="30">
        <f t="shared" si="32"/>
        <v>63.405872386058981</v>
      </c>
      <c r="D32" s="30">
        <f t="shared" si="32"/>
        <v>61.562932439678285</v>
      </c>
      <c r="E32" s="30">
        <f t="shared" si="32"/>
        <v>65.804703485254691</v>
      </c>
      <c r="F32" s="30">
        <f t="shared" si="32"/>
        <v>61.441168096514751</v>
      </c>
      <c r="G32" s="22">
        <f t="shared" si="2"/>
        <v>63.895221487935657</v>
      </c>
      <c r="H32" s="34">
        <f t="shared" si="3"/>
        <v>4183.425761705882</v>
      </c>
      <c r="I32" s="32">
        <f t="shared" si="4"/>
        <v>3.6151854926756329E-2</v>
      </c>
      <c r="J32" s="32">
        <f t="shared" si="5"/>
        <v>0.11900000000000001</v>
      </c>
      <c r="K32" s="32">
        <f t="shared" si="6"/>
        <v>9.1090738870915178E-2</v>
      </c>
      <c r="L32" s="16">
        <f>G32/'Clause 6'!$I$11</f>
        <v>63.895221487935657</v>
      </c>
      <c r="M32">
        <f t="shared" si="7"/>
        <v>5</v>
      </c>
      <c r="O32" s="85">
        <f t="shared" si="10"/>
        <v>5.2683275303639476E-2</v>
      </c>
      <c r="P32" s="85">
        <f t="shared" si="8"/>
        <v>-7.6586181326419034E-3</v>
      </c>
      <c r="Q32" s="85">
        <f t="shared" si="8"/>
        <v>-3.6501775781428991E-2</v>
      </c>
      <c r="R32" s="85">
        <f t="shared" si="8"/>
        <v>2.9884582177707397E-2</v>
      </c>
      <c r="S32" s="85">
        <f t="shared" si="8"/>
        <v>-3.8407463567275757E-2</v>
      </c>
    </row>
    <row r="33" spans="1:19" x14ac:dyDescent="0.35">
      <c r="A33" s="11" t="s">
        <v>88</v>
      </c>
      <c r="B33" s="30">
        <f t="shared" ref="B33:F33" si="33">L77*$E$4</f>
        <v>48.125312533512066</v>
      </c>
      <c r="C33" s="30">
        <f t="shared" si="33"/>
        <v>46.317765348525469</v>
      </c>
      <c r="D33" s="30">
        <f t="shared" si="33"/>
        <v>43.648193565683648</v>
      </c>
      <c r="E33" s="30">
        <f t="shared" si="33"/>
        <v>47.283012734584453</v>
      </c>
      <c r="F33" s="30">
        <f t="shared" si="33"/>
        <v>43.897212399463811</v>
      </c>
      <c r="G33" s="22">
        <f t="shared" si="2"/>
        <v>45.854299316353888</v>
      </c>
      <c r="H33" s="34">
        <f t="shared" si="3"/>
        <v>3002.2285325550856</v>
      </c>
      <c r="I33" s="32">
        <f t="shared" si="4"/>
        <v>3.9146325614071685E-2</v>
      </c>
      <c r="J33" s="32">
        <f t="shared" si="5"/>
        <v>0.11900000000000001</v>
      </c>
      <c r="K33" s="32">
        <f t="shared" si="6"/>
        <v>9.763793220217537E-2</v>
      </c>
      <c r="L33" s="16">
        <f>G33/'Clause 6'!$I$11</f>
        <v>45.854299316353888</v>
      </c>
      <c r="M33">
        <f t="shared" si="7"/>
        <v>5</v>
      </c>
      <c r="O33" s="85">
        <f t="shared" si="10"/>
        <v>4.9526723797264971E-2</v>
      </c>
      <c r="P33" s="85">
        <f t="shared" si="8"/>
        <v>1.0107362648245521E-2</v>
      </c>
      <c r="Q33" s="85">
        <f t="shared" si="8"/>
        <v>-4.8111208404910344E-2</v>
      </c>
      <c r="R33" s="85">
        <f t="shared" si="8"/>
        <v>3.1157676369094833E-2</v>
      </c>
      <c r="S33" s="85">
        <f t="shared" si="8"/>
        <v>-4.2680554409694871E-2</v>
      </c>
    </row>
    <row r="34" spans="1:19" x14ac:dyDescent="0.35">
      <c r="A34" s="11" t="s">
        <v>89</v>
      </c>
      <c r="B34" s="30">
        <f t="shared" ref="B34:F34" si="34">L78*$E$4</f>
        <v>34.933600871313672</v>
      </c>
      <c r="C34" s="30">
        <f t="shared" si="34"/>
        <v>33.351789276139407</v>
      </c>
      <c r="D34" s="30">
        <f t="shared" si="34"/>
        <v>31.502610723860592</v>
      </c>
      <c r="E34" s="30">
        <f t="shared" si="34"/>
        <v>33.278808042895442</v>
      </c>
      <c r="F34" s="30">
        <f t="shared" si="34"/>
        <v>31.056533847184983</v>
      </c>
      <c r="G34" s="22">
        <f t="shared" si="2"/>
        <v>32.824668552278823</v>
      </c>
      <c r="H34" s="34">
        <f t="shared" si="3"/>
        <v>2149.1366778811157</v>
      </c>
      <c r="I34" s="32">
        <f t="shared" si="4"/>
        <v>4.2663537810275959E-2</v>
      </c>
      <c r="J34" s="32">
        <f t="shared" si="5"/>
        <v>0.11900000000000001</v>
      </c>
      <c r="K34" s="32">
        <f t="shared" si="6"/>
        <v>0.1181144302479035</v>
      </c>
      <c r="L34" s="16">
        <f>G34/'Clause 6'!$I$11</f>
        <v>32.824668552278823</v>
      </c>
      <c r="M34">
        <f t="shared" si="7"/>
        <v>5</v>
      </c>
      <c r="O34" s="85">
        <f t="shared" si="10"/>
        <v>6.4248396466700664E-2</v>
      </c>
      <c r="P34" s="85">
        <f t="shared" si="8"/>
        <v>1.605867620631285E-2</v>
      </c>
      <c r="Q34" s="85">
        <f t="shared" si="8"/>
        <v>-4.027634967014615E-2</v>
      </c>
      <c r="R34" s="85">
        <f t="shared" si="8"/>
        <v>1.3835310778335108E-2</v>
      </c>
      <c r="S34" s="85">
        <f t="shared" si="8"/>
        <v>-5.3866033781202916E-2</v>
      </c>
    </row>
    <row r="35" spans="1:19" x14ac:dyDescent="0.35">
      <c r="A35" s="11" t="s">
        <v>90</v>
      </c>
      <c r="B35" s="30">
        <f t="shared" ref="B35:F35" si="35">L79*$E$4</f>
        <v>23.533358042895443</v>
      </c>
      <c r="C35" s="30">
        <f t="shared" si="35"/>
        <v>23.833412332439678</v>
      </c>
      <c r="D35" s="30">
        <f t="shared" si="35"/>
        <v>21.634322922252011</v>
      </c>
      <c r="E35" s="30">
        <f t="shared" si="35"/>
        <v>22.135677680965149</v>
      </c>
      <c r="F35" s="30">
        <f t="shared" si="35"/>
        <v>19.783609115281504</v>
      </c>
      <c r="G35" s="22">
        <f t="shared" si="2"/>
        <v>22.184076018766756</v>
      </c>
      <c r="H35" s="34">
        <f t="shared" si="3"/>
        <v>1452.4628439401138</v>
      </c>
      <c r="I35" s="32">
        <f t="shared" si="4"/>
        <v>6.5657440637462344E-2</v>
      </c>
      <c r="J35" s="32">
        <f t="shared" si="5"/>
        <v>0.13400000000000001</v>
      </c>
      <c r="K35" s="32">
        <f t="shared" si="6"/>
        <v>0.18255451404567036</v>
      </c>
      <c r="L35" s="16">
        <f>G35/'Clause 6'!$I$11</f>
        <v>22.184076018766756</v>
      </c>
      <c r="M35">
        <f t="shared" si="7"/>
        <v>5</v>
      </c>
      <c r="O35" s="85">
        <f t="shared" si="10"/>
        <v>6.0822097029745725E-2</v>
      </c>
      <c r="P35" s="85">
        <f t="shared" si="8"/>
        <v>7.4347757926796598E-2</v>
      </c>
      <c r="Q35" s="85">
        <f t="shared" si="8"/>
        <v>-2.4781428626988067E-2</v>
      </c>
      <c r="R35" s="85">
        <f t="shared" si="8"/>
        <v>-2.1816702106801644E-3</v>
      </c>
      <c r="S35" s="85">
        <f t="shared" si="8"/>
        <v>-0.10820675611887387</v>
      </c>
    </row>
    <row r="36" spans="1:19" x14ac:dyDescent="0.35">
      <c r="A36" s="11" t="s">
        <v>91</v>
      </c>
      <c r="B36" s="30">
        <f t="shared" ref="B36:F36" si="36">L80*$E$4</f>
        <v>15.797479758713136</v>
      </c>
      <c r="C36" s="30">
        <f t="shared" si="36"/>
        <v>16.713368967828419</v>
      </c>
      <c r="D36" s="30">
        <f t="shared" si="36"/>
        <v>14.271061930294907</v>
      </c>
      <c r="E36" s="30">
        <f t="shared" si="36"/>
        <v>14.90770207774799</v>
      </c>
      <c r="F36" s="30">
        <f t="shared" si="36"/>
        <v>13.5872331769437</v>
      </c>
      <c r="G36" s="22">
        <f t="shared" si="2"/>
        <v>15.055369182305631</v>
      </c>
      <c r="H36" s="34">
        <f t="shared" si="3"/>
        <v>985.72346761709389</v>
      </c>
      <c r="I36" s="32">
        <f t="shared" si="4"/>
        <v>7.3317155780207685E-2</v>
      </c>
      <c r="J36" s="32">
        <f t="shared" si="5"/>
        <v>0.156</v>
      </c>
      <c r="K36" s="32">
        <f t="shared" si="6"/>
        <v>0.20764258604556995</v>
      </c>
      <c r="L36" s="16">
        <f>G36/'Clause 6'!$I$11</f>
        <v>15.055369182305631</v>
      </c>
      <c r="M36">
        <f t="shared" si="7"/>
        <v>5</v>
      </c>
      <c r="O36" s="85">
        <f t="shared" si="10"/>
        <v>4.9292087588240552E-2</v>
      </c>
      <c r="P36" s="85">
        <f t="shared" si="8"/>
        <v>0.11012681027253812</v>
      </c>
      <c r="Q36" s="85">
        <f t="shared" si="8"/>
        <v>-5.2094853504655925E-2</v>
      </c>
      <c r="R36" s="85">
        <f t="shared" si="8"/>
        <v>-9.8082685830906957E-3</v>
      </c>
      <c r="S36" s="85">
        <f t="shared" si="8"/>
        <v>-9.7515775773031943E-2</v>
      </c>
    </row>
    <row r="37" spans="1:19" x14ac:dyDescent="0.35">
      <c r="A37" s="11" t="s">
        <v>92</v>
      </c>
      <c r="B37" s="30">
        <f t="shared" ref="B37:F37" si="37">L81*$E$4</f>
        <v>10.178788270777479</v>
      </c>
      <c r="C37" s="30">
        <f t="shared" si="37"/>
        <v>10.792488471849866</v>
      </c>
      <c r="D37" s="30">
        <f t="shared" si="37"/>
        <v>9.6405577747989284</v>
      </c>
      <c r="E37" s="30">
        <f t="shared" si="37"/>
        <v>10.01375971849866</v>
      </c>
      <c r="F37" s="30">
        <f t="shared" si="37"/>
        <v>8.4360293565683637</v>
      </c>
      <c r="G37" s="22">
        <f t="shared" si="2"/>
        <v>9.8123247184986599</v>
      </c>
      <c r="H37" s="34">
        <f t="shared" si="3"/>
        <v>642.44447477721599</v>
      </c>
      <c r="I37" s="32">
        <f t="shared" si="4"/>
        <v>7.9717391969036724E-2</v>
      </c>
      <c r="J37" s="32">
        <f t="shared" si="5"/>
        <v>0.156</v>
      </c>
      <c r="K37" s="32">
        <f t="shared" si="6"/>
        <v>0.24015298951929243</v>
      </c>
      <c r="L37" s="16">
        <f>G37/'Clause 6'!$I$11</f>
        <v>9.8123247184986599</v>
      </c>
      <c r="M37">
        <f t="shared" si="7"/>
        <v>5</v>
      </c>
      <c r="O37" s="85">
        <f t="shared" si="10"/>
        <v>3.7347271191295217E-2</v>
      </c>
      <c r="P37" s="85">
        <f t="shared" si="8"/>
        <v>9.9891084067301072E-2</v>
      </c>
      <c r="Q37" s="85">
        <f t="shared" si="8"/>
        <v>-1.7505224157116195E-2</v>
      </c>
      <c r="R37" s="85">
        <f t="shared" si="8"/>
        <v>2.0528774350510925E-2</v>
      </c>
      <c r="S37" s="85">
        <f t="shared" si="8"/>
        <v>-0.14026190545199135</v>
      </c>
    </row>
    <row r="38" spans="1:19" x14ac:dyDescent="0.35">
      <c r="A38" s="11" t="s">
        <v>93</v>
      </c>
      <c r="B38" s="30">
        <f t="shared" ref="B38:F38" si="38">L82*$E$4</f>
        <v>6.7587156836461126</v>
      </c>
      <c r="C38" s="30">
        <f t="shared" si="38"/>
        <v>7.8695238605898119</v>
      </c>
      <c r="D38" s="30">
        <f t="shared" si="38"/>
        <v>6.3764320375335126</v>
      </c>
      <c r="E38" s="30">
        <f t="shared" si="38"/>
        <v>7.0773934316353886</v>
      </c>
      <c r="F38" s="30">
        <f t="shared" si="38"/>
        <v>5.6737898793565682</v>
      </c>
      <c r="G38" s="22">
        <f t="shared" si="2"/>
        <v>6.7511709785522784</v>
      </c>
      <c r="H38" s="34">
        <f t="shared" si="3"/>
        <v>442.02088881856992</v>
      </c>
      <c r="I38" s="32">
        <f t="shared" si="4"/>
        <v>0.10800494603922584</v>
      </c>
      <c r="J38" s="32">
        <f t="shared" si="5"/>
        <v>0.193</v>
      </c>
      <c r="K38" s="32">
        <f t="shared" si="6"/>
        <v>0.32523750149549568</v>
      </c>
      <c r="L38" s="16">
        <f>G38/'Clause 6'!$I$11</f>
        <v>6.7511709785522784</v>
      </c>
      <c r="M38">
        <f t="shared" si="7"/>
        <v>5</v>
      </c>
      <c r="O38" s="85">
        <f t="shared" si="10"/>
        <v>1.1175402189935735E-3</v>
      </c>
      <c r="P38" s="85">
        <f t="shared" si="8"/>
        <v>0.16565317121880296</v>
      </c>
      <c r="Q38" s="85">
        <f t="shared" si="8"/>
        <v>-5.5507250847189327E-2</v>
      </c>
      <c r="R38" s="85">
        <f t="shared" si="8"/>
        <v>4.8320869686085954E-2</v>
      </c>
      <c r="S38" s="85">
        <f t="shared" si="8"/>
        <v>-0.15958433027669283</v>
      </c>
    </row>
    <row r="40" spans="1:19" x14ac:dyDescent="0.35">
      <c r="A40" t="s">
        <v>94</v>
      </c>
    </row>
    <row r="41" spans="1:19" ht="15" x14ac:dyDescent="0.5">
      <c r="A41" s="36"/>
      <c r="B41" s="37" t="s">
        <v>95</v>
      </c>
      <c r="C41" s="36"/>
      <c r="D41" s="38" t="s">
        <v>96</v>
      </c>
      <c r="E41" s="39"/>
      <c r="F41" s="39"/>
      <c r="G41" s="39"/>
      <c r="H41" s="40"/>
    </row>
    <row r="42" spans="1:19" ht="15" x14ac:dyDescent="0.5">
      <c r="A42" s="41" t="s">
        <v>97</v>
      </c>
      <c r="B42" s="42" t="s">
        <v>98</v>
      </c>
      <c r="C42" s="41" t="s">
        <v>99</v>
      </c>
      <c r="D42" s="41" t="s">
        <v>100</v>
      </c>
      <c r="E42" s="42" t="s">
        <v>101</v>
      </c>
      <c r="F42" s="42" t="s">
        <v>102</v>
      </c>
      <c r="G42" s="42" t="s">
        <v>103</v>
      </c>
      <c r="H42" s="43" t="s">
        <v>104</v>
      </c>
    </row>
    <row r="43" spans="1:19" x14ac:dyDescent="0.35">
      <c r="A43" s="44">
        <v>10000</v>
      </c>
      <c r="C43" s="44">
        <v>11</v>
      </c>
      <c r="D43" s="44">
        <v>7.8</v>
      </c>
      <c r="E43">
        <v>5.3</v>
      </c>
      <c r="F43">
        <v>4</v>
      </c>
      <c r="G43">
        <v>2.7</v>
      </c>
      <c r="H43" s="45">
        <v>1.8</v>
      </c>
    </row>
    <row r="44" spans="1:19" x14ac:dyDescent="0.35">
      <c r="A44" s="44">
        <v>5000</v>
      </c>
      <c r="B44">
        <v>10000</v>
      </c>
      <c r="C44" s="44">
        <v>11.3</v>
      </c>
      <c r="D44" s="44">
        <v>7.8</v>
      </c>
      <c r="E44">
        <v>5.3</v>
      </c>
      <c r="F44">
        <v>4</v>
      </c>
      <c r="G44">
        <v>2.7</v>
      </c>
      <c r="H44" s="45">
        <v>1.9</v>
      </c>
    </row>
    <row r="45" spans="1:19" x14ac:dyDescent="0.35">
      <c r="A45" s="44">
        <v>2000</v>
      </c>
      <c r="B45">
        <v>5000</v>
      </c>
      <c r="C45" s="44">
        <v>11.9</v>
      </c>
      <c r="D45" s="44">
        <v>7.9</v>
      </c>
      <c r="E45">
        <v>5.4</v>
      </c>
      <c r="F45">
        <v>4.0999999999999996</v>
      </c>
      <c r="G45">
        <v>2.9</v>
      </c>
      <c r="H45" s="45">
        <v>2.1</v>
      </c>
    </row>
    <row r="46" spans="1:19" x14ac:dyDescent="0.35">
      <c r="A46" s="44">
        <v>1000</v>
      </c>
      <c r="B46">
        <v>2000</v>
      </c>
      <c r="C46" s="44">
        <v>13.4</v>
      </c>
      <c r="D46" s="44">
        <v>8</v>
      </c>
      <c r="E46">
        <v>5.6</v>
      </c>
      <c r="F46">
        <v>4.3</v>
      </c>
      <c r="G46">
        <v>3.1</v>
      </c>
      <c r="H46" s="45">
        <v>2.4</v>
      </c>
    </row>
    <row r="47" spans="1:19" x14ac:dyDescent="0.35">
      <c r="A47" s="44">
        <v>500</v>
      </c>
      <c r="B47">
        <v>1000</v>
      </c>
      <c r="C47" s="44">
        <v>15.6</v>
      </c>
      <c r="D47" s="44">
        <v>8.1999999999999993</v>
      </c>
      <c r="E47">
        <v>5.9</v>
      </c>
      <c r="F47">
        <v>4.7</v>
      </c>
      <c r="G47">
        <v>3.6</v>
      </c>
      <c r="H47" s="45">
        <v>2.9</v>
      </c>
    </row>
    <row r="48" spans="1:19" x14ac:dyDescent="0.35">
      <c r="A48" s="44">
        <v>200</v>
      </c>
      <c r="B48">
        <v>500</v>
      </c>
      <c r="C48" s="44">
        <v>19.3</v>
      </c>
      <c r="D48" s="44">
        <v>8.9</v>
      </c>
      <c r="E48">
        <v>6.8</v>
      </c>
      <c r="F48">
        <v>5.7</v>
      </c>
      <c r="G48">
        <v>4.7</v>
      </c>
      <c r="H48" s="45">
        <v>4.0999999999999996</v>
      </c>
    </row>
    <row r="49" spans="1:16" x14ac:dyDescent="0.35">
      <c r="A49" s="46">
        <v>100</v>
      </c>
      <c r="B49" s="47">
        <v>200</v>
      </c>
      <c r="C49" s="46">
        <v>27.5</v>
      </c>
      <c r="D49" s="46">
        <v>10</v>
      </c>
      <c r="E49" s="47">
        <v>8</v>
      </c>
      <c r="F49" s="47">
        <v>7</v>
      </c>
      <c r="G49" s="47">
        <v>6.1</v>
      </c>
      <c r="H49" s="48">
        <v>5.5</v>
      </c>
    </row>
    <row r="51" spans="1:16" x14ac:dyDescent="0.35">
      <c r="A51" s="49">
        <f>'6 - B1'!A51</f>
        <v>0</v>
      </c>
      <c r="B51" s="50" t="str">
        <f>'6 - B1'!B51</f>
        <v>Portion 1</v>
      </c>
      <c r="C51" s="50" t="str">
        <f>'6 - B1'!C51</f>
        <v>Portion 2</v>
      </c>
      <c r="D51" s="50" t="str">
        <f>'6 - B1'!D51</f>
        <v>Portion 3</v>
      </c>
      <c r="E51" s="50" t="str">
        <f>'6 - B1'!E51</f>
        <v>Portion 4</v>
      </c>
      <c r="F51" s="50" t="str">
        <f>'6 - B1'!F51</f>
        <v>Portion 5</v>
      </c>
      <c r="G51" s="50" t="str">
        <f>'6 - B1'!G51</f>
        <v>Portion 1</v>
      </c>
      <c r="H51" s="50" t="str">
        <f>'6 - B1'!H51</f>
        <v>Portion 2</v>
      </c>
      <c r="I51" s="50" t="str">
        <f>'6 - B1'!I51</f>
        <v>Portion 3</v>
      </c>
      <c r="J51" s="50" t="str">
        <f>'6 - B1'!J51</f>
        <v>Portion 4</v>
      </c>
      <c r="K51" s="50" t="str">
        <f>'6 - B1'!K51</f>
        <v>Portion 5</v>
      </c>
      <c r="L51" s="50" t="str">
        <f>'6 - B1'!L51</f>
        <v>Portion 1</v>
      </c>
      <c r="M51" s="50" t="str">
        <f>'6 - B1'!M51</f>
        <v>Portion 2</v>
      </c>
      <c r="N51" s="50" t="str">
        <f>'6 - B1'!N51</f>
        <v>Portion 3</v>
      </c>
      <c r="O51" s="50" t="str">
        <f>'6 - B1'!O51</f>
        <v>Portion 4</v>
      </c>
      <c r="P51" s="50" t="str">
        <f>'6 - B1'!P51</f>
        <v>Portion 5</v>
      </c>
    </row>
    <row r="52" spans="1:16" x14ac:dyDescent="0.35">
      <c r="A52" s="49" t="str">
        <f>'6 - B1'!A52</f>
        <v>NAME\mL</v>
      </c>
      <c r="B52" s="49">
        <f>'6 - B1'!B52</f>
        <v>10.794725</v>
      </c>
      <c r="C52" s="49">
        <f>'6 - B1'!C52</f>
        <v>11.817764</v>
      </c>
      <c r="D52" s="49">
        <f>'6 - B1'!D52</f>
        <v>11.661454000000001</v>
      </c>
      <c r="E52" s="49">
        <f>'6 - B1'!E52</f>
        <v>11.792820000000001</v>
      </c>
      <c r="F52" s="49">
        <f>'6 - B1'!F52</f>
        <v>11.778202</v>
      </c>
      <c r="G52" s="49">
        <f>'6 - B1'!G52</f>
        <v>10.765807000000001</v>
      </c>
      <c r="H52" s="49">
        <f>'6 - B1'!H52</f>
        <v>11.557717999999999</v>
      </c>
      <c r="I52" s="49">
        <f>'6 - B1'!I52</f>
        <v>11.513206</v>
      </c>
      <c r="J52" s="49">
        <f>'6 - B1'!J52</f>
        <v>11.627454999999999</v>
      </c>
      <c r="K52" s="49">
        <f>'6 - B1'!K52</f>
        <v>11.623797</v>
      </c>
      <c r="L52" s="49">
        <f>'6 - B1'!L52</f>
        <v>10.700115</v>
      </c>
      <c r="M52" s="49">
        <f>'6 - B1'!M52</f>
        <v>11.625601</v>
      </c>
      <c r="N52" s="49">
        <f>'6 - B1'!N52</f>
        <v>11.478261</v>
      </c>
      <c r="O52" s="49">
        <f>'6 - B1'!O52</f>
        <v>11.572549</v>
      </c>
      <c r="P52" s="49">
        <f>'6 - B1'!P52</f>
        <v>11.671184</v>
      </c>
    </row>
    <row r="53" spans="1:16" x14ac:dyDescent="0.35">
      <c r="A53" s="49">
        <f>'6 - B1'!A53</f>
        <v>4</v>
      </c>
      <c r="B53" s="49">
        <f>'6 - B1'!B53</f>
        <v>11418.447265999999</v>
      </c>
      <c r="C53" s="49">
        <f>'6 - B1'!C53</f>
        <v>11549.815430000001</v>
      </c>
      <c r="D53" s="49">
        <f>'6 - B1'!D53</f>
        <v>11089.697265999999</v>
      </c>
      <c r="E53" s="49">
        <f>'6 - B1'!E53</f>
        <v>11333.930664</v>
      </c>
      <c r="F53" s="49">
        <f>'6 - B1'!F53</f>
        <v>11386.203125</v>
      </c>
      <c r="G53" s="49">
        <f>'6 - B1'!G53</f>
        <v>12207.909180000001</v>
      </c>
      <c r="H53" s="49">
        <f>'6 - B1'!H53</f>
        <v>12249.043944999999</v>
      </c>
      <c r="I53" s="49">
        <f>'6 - B1'!I53</f>
        <v>12479.756836</v>
      </c>
      <c r="J53" s="49">
        <f>'6 - B1'!J53</f>
        <v>12240.597656</v>
      </c>
      <c r="K53" s="49">
        <f>'6 - B1'!K53</f>
        <v>12626.338867</v>
      </c>
      <c r="L53" s="49">
        <f>'6 - B1'!L53</f>
        <v>12891.916992</v>
      </c>
      <c r="M53" s="49">
        <f>'6 - B1'!M53</f>
        <v>12675.043944999999</v>
      </c>
      <c r="N53" s="49">
        <f>'6 - B1'!N53</f>
        <v>12273.113281</v>
      </c>
      <c r="O53" s="49">
        <f>'6 - B1'!O53</f>
        <v>12978.558594</v>
      </c>
      <c r="P53" s="49">
        <f>'6 - B1'!P53</f>
        <v>12555.024414</v>
      </c>
    </row>
    <row r="54" spans="1:16" x14ac:dyDescent="0.35">
      <c r="A54" s="49">
        <f>'6 - B1'!A54</f>
        <v>5</v>
      </c>
      <c r="B54" s="49">
        <f>'6 - B1'!B54</f>
        <v>10016.373046999999</v>
      </c>
      <c r="C54" s="49">
        <f>'6 - B1'!C54</f>
        <v>10143.965819999999</v>
      </c>
      <c r="D54" s="49">
        <f>'6 - B1'!D54</f>
        <v>9743.2958980000003</v>
      </c>
      <c r="E54" s="49">
        <f>'6 - B1'!E54</f>
        <v>9951.9033199999994</v>
      </c>
      <c r="F54" s="49">
        <f>'6 - B1'!F54</f>
        <v>10031.497069999999</v>
      </c>
      <c r="G54" s="49">
        <f>'6 - B1'!G54</f>
        <v>10687.726562</v>
      </c>
      <c r="H54" s="49">
        <f>'6 - B1'!H54</f>
        <v>10704.015625</v>
      </c>
      <c r="I54" s="49">
        <f>'6 - B1'!I54</f>
        <v>10950.381836</v>
      </c>
      <c r="J54" s="49">
        <f>'6 - B1'!J54</f>
        <v>10724.014648</v>
      </c>
      <c r="K54" s="49">
        <f>'6 - B1'!K54</f>
        <v>11074.349609000001</v>
      </c>
      <c r="L54" s="49">
        <f>'6 - B1'!L54</f>
        <v>11285.486328000001</v>
      </c>
      <c r="M54" s="49">
        <f>'6 - B1'!M54</f>
        <v>11080.803711</v>
      </c>
      <c r="N54" s="49">
        <f>'6 - B1'!N54</f>
        <v>10777.852539</v>
      </c>
      <c r="O54" s="49">
        <f>'6 - B1'!O54</f>
        <v>11384.008789</v>
      </c>
      <c r="P54" s="49">
        <f>'6 - B1'!P54</f>
        <v>11033.842773</v>
      </c>
    </row>
    <row r="55" spans="1:16" x14ac:dyDescent="0.35">
      <c r="A55" s="49">
        <f>'6 - B1'!A55</f>
        <v>6</v>
      </c>
      <c r="B55" s="49">
        <f>'6 - B1'!B55</f>
        <v>8784.6611329999996</v>
      </c>
      <c r="C55" s="49">
        <f>'6 - B1'!C55</f>
        <v>8923.4306639999995</v>
      </c>
      <c r="D55" s="49">
        <f>'6 - B1'!D55</f>
        <v>8549.1054690000001</v>
      </c>
      <c r="E55" s="49">
        <f>'6 - B1'!E55</f>
        <v>8742.2685550000006</v>
      </c>
      <c r="F55" s="49">
        <f>'6 - B1'!F55</f>
        <v>8827.1533199999994</v>
      </c>
      <c r="G55" s="49">
        <f>'6 - B1'!G55</f>
        <v>9371.4296880000002</v>
      </c>
      <c r="H55" s="49">
        <f>'6 - B1'!H55</f>
        <v>9376.4179690000001</v>
      </c>
      <c r="I55" s="49">
        <f>'6 - B1'!I55</f>
        <v>9595.9375</v>
      </c>
      <c r="J55" s="49">
        <f>'6 - B1'!J55</f>
        <v>9400.6816409999992</v>
      </c>
      <c r="K55" s="49">
        <f>'6 - B1'!K55</f>
        <v>9690.6367190000001</v>
      </c>
      <c r="L55" s="49">
        <f>'6 - B1'!L55</f>
        <v>9851.5761719999991</v>
      </c>
      <c r="M55" s="49">
        <f>'6 - B1'!M55</f>
        <v>9710.5517579999996</v>
      </c>
      <c r="N55" s="49">
        <f>'6 - B1'!N55</f>
        <v>9460.4921880000002</v>
      </c>
      <c r="O55" s="49">
        <f>'6 - B1'!O55</f>
        <v>9964.3564449999994</v>
      </c>
      <c r="P55" s="49">
        <f>'6 - B1'!P55</f>
        <v>9702.8720699999994</v>
      </c>
    </row>
    <row r="56" spans="1:16" x14ac:dyDescent="0.35">
      <c r="A56" s="49">
        <f>'6 - B1'!A56</f>
        <v>7</v>
      </c>
      <c r="B56" s="49">
        <f>'6 - B1'!B56</f>
        <v>7685.7905270000001</v>
      </c>
      <c r="C56" s="49">
        <f>'6 - B1'!C56</f>
        <v>7819.1606449999999</v>
      </c>
      <c r="D56" s="49">
        <f>'6 - B1'!D56</f>
        <v>7499.4936520000001</v>
      </c>
      <c r="E56" s="49">
        <f>'6 - B1'!E56</f>
        <v>7655.1665039999998</v>
      </c>
      <c r="F56" s="49">
        <f>'6 - B1'!F56</f>
        <v>7737.1743159999996</v>
      </c>
      <c r="G56" s="49">
        <f>'6 - B1'!G56</f>
        <v>8141.7954099999997</v>
      </c>
      <c r="H56" s="49">
        <f>'6 - B1'!H56</f>
        <v>8174.4506840000004</v>
      </c>
      <c r="I56" s="49">
        <f>'6 - B1'!I56</f>
        <v>8376.1210940000001</v>
      </c>
      <c r="J56" s="49">
        <f>'6 - B1'!J56</f>
        <v>8228.7138670000004</v>
      </c>
      <c r="K56" s="49">
        <f>'6 - B1'!K56</f>
        <v>8446.6376949999994</v>
      </c>
      <c r="L56" s="49">
        <f>'6 - B1'!L56</f>
        <v>8584.2998050000006</v>
      </c>
      <c r="M56" s="49">
        <f>'6 - B1'!M56</f>
        <v>8491.0878909999992</v>
      </c>
      <c r="N56" s="49">
        <f>'6 - B1'!N56</f>
        <v>8266.234375</v>
      </c>
      <c r="O56" s="49">
        <f>'6 - B1'!O56</f>
        <v>8695.1455079999996</v>
      </c>
      <c r="P56" s="49">
        <f>'6 - B1'!P56</f>
        <v>8496.3105469999991</v>
      </c>
    </row>
    <row r="57" spans="1:16" x14ac:dyDescent="0.35">
      <c r="A57" s="49">
        <f>'6 - B1'!A57</f>
        <v>8</v>
      </c>
      <c r="B57" s="49">
        <f>'6 - B1'!B57</f>
        <v>6697.623047</v>
      </c>
      <c r="C57" s="49">
        <f>'6 - B1'!C57</f>
        <v>6810.3408200000003</v>
      </c>
      <c r="D57" s="49">
        <f>'6 - B1'!D57</f>
        <v>6543.8666990000002</v>
      </c>
      <c r="E57" s="49">
        <f>'6 - B1'!E57</f>
        <v>6668.294922</v>
      </c>
      <c r="F57" s="49">
        <f>'6 - B1'!F57</f>
        <v>6748.2285160000001</v>
      </c>
      <c r="G57" s="49">
        <f>'6 - B1'!G57</f>
        <v>7059.5727539999998</v>
      </c>
      <c r="H57" s="49">
        <f>'6 - B1'!H57</f>
        <v>7111.6977539999998</v>
      </c>
      <c r="I57" s="49">
        <f>'6 - B1'!I57</f>
        <v>7271.3891599999997</v>
      </c>
      <c r="J57" s="49">
        <f>'6 - B1'!J57</f>
        <v>7149.7158200000003</v>
      </c>
      <c r="K57" s="49">
        <f>'6 - B1'!K57</f>
        <v>7324.7148440000001</v>
      </c>
      <c r="L57" s="49">
        <f>'6 - B1'!L57</f>
        <v>7460.6674800000001</v>
      </c>
      <c r="M57" s="49">
        <f>'6 - B1'!M57</f>
        <v>7378.1992190000001</v>
      </c>
      <c r="N57" s="49">
        <f>'6 - B1'!N57</f>
        <v>7200.9165039999998</v>
      </c>
      <c r="O57" s="49">
        <f>'6 - B1'!O57</f>
        <v>7554.861328</v>
      </c>
      <c r="P57" s="49">
        <f>'6 - B1'!P57</f>
        <v>7411.4165039999998</v>
      </c>
    </row>
    <row r="58" spans="1:16" x14ac:dyDescent="0.35">
      <c r="A58" s="49">
        <f>'6 - B1'!A58</f>
        <v>9</v>
      </c>
      <c r="B58" s="49">
        <f>'6 - B1'!B58</f>
        <v>5830.5327150000003</v>
      </c>
      <c r="C58" s="49">
        <f>'6 - B1'!C58</f>
        <v>5924.216797</v>
      </c>
      <c r="D58" s="49">
        <f>'6 - B1'!D58</f>
        <v>5700.232422</v>
      </c>
      <c r="E58" s="49">
        <f>'6 - B1'!E58</f>
        <v>5781.8232420000004</v>
      </c>
      <c r="F58" s="49">
        <f>'6 - B1'!F58</f>
        <v>5868.4677730000003</v>
      </c>
      <c r="G58" s="49">
        <f>'6 - B1'!G58</f>
        <v>6098.1958009999998</v>
      </c>
      <c r="H58" s="49">
        <f>'6 - B1'!H58</f>
        <v>6153.03125</v>
      </c>
      <c r="I58" s="49">
        <f>'6 - B1'!I58</f>
        <v>6302.328125</v>
      </c>
      <c r="J58" s="49">
        <f>'6 - B1'!J58</f>
        <v>6189.0585940000001</v>
      </c>
      <c r="K58" s="49">
        <f>'6 - B1'!K58</f>
        <v>6343.2797849999997</v>
      </c>
      <c r="L58" s="49">
        <f>'6 - B1'!L58</f>
        <v>6462.080078</v>
      </c>
      <c r="M58" s="49">
        <f>'6 - B1'!M58</f>
        <v>6390.0351559999999</v>
      </c>
      <c r="N58" s="49">
        <f>'6 - B1'!N58</f>
        <v>6234.3066410000001</v>
      </c>
      <c r="O58" s="49">
        <f>'6 - B1'!O58</f>
        <v>6534.169922</v>
      </c>
      <c r="P58" s="49">
        <f>'6 - B1'!P58</f>
        <v>6428.2255859999996</v>
      </c>
    </row>
    <row r="59" spans="1:16" x14ac:dyDescent="0.35">
      <c r="A59" s="49">
        <f>'6 - B1'!A59</f>
        <v>10</v>
      </c>
      <c r="B59" s="49">
        <f>'6 - B1'!B59</f>
        <v>5028.7524409999996</v>
      </c>
      <c r="C59" s="49">
        <f>'6 - B1'!C59</f>
        <v>5097.2416990000002</v>
      </c>
      <c r="D59" s="49">
        <f>'6 - B1'!D59</f>
        <v>4910.3652339999999</v>
      </c>
      <c r="E59" s="49">
        <f>'6 - B1'!E59</f>
        <v>4992.2749020000001</v>
      </c>
      <c r="F59" s="49">
        <f>'6 - B1'!F59</f>
        <v>5059.9404299999997</v>
      </c>
      <c r="G59" s="49">
        <f>'6 - B1'!G59</f>
        <v>5234.9072269999997</v>
      </c>
      <c r="H59" s="49">
        <f>'6 - B1'!H59</f>
        <v>5294.8168949999999</v>
      </c>
      <c r="I59" s="49">
        <f>'6 - B1'!I59</f>
        <v>5401.970703</v>
      </c>
      <c r="J59" s="49">
        <f>'6 - B1'!J59</f>
        <v>5302.0200199999999</v>
      </c>
      <c r="K59" s="49">
        <f>'6 - B1'!K59</f>
        <v>5444.9501950000003</v>
      </c>
      <c r="L59" s="49">
        <f>'6 - B1'!L59</f>
        <v>5549.3793949999999</v>
      </c>
      <c r="M59" s="49">
        <f>'6 - B1'!M59</f>
        <v>5497.7802730000003</v>
      </c>
      <c r="N59" s="49">
        <f>'6 - B1'!N59</f>
        <v>5358.9125979999999</v>
      </c>
      <c r="O59" s="49">
        <f>'6 - B1'!O59</f>
        <v>5609.8271480000003</v>
      </c>
      <c r="P59" s="49">
        <f>'6 - B1'!P59</f>
        <v>5524.0327150000003</v>
      </c>
    </row>
    <row r="60" spans="1:16" x14ac:dyDescent="0.35">
      <c r="A60" s="49">
        <f>'6 - B1'!A60</f>
        <v>11</v>
      </c>
      <c r="B60" s="49">
        <f>'6 - B1'!B60</f>
        <v>4274.4023440000001</v>
      </c>
      <c r="C60" s="49">
        <f>'6 - B1'!C60</f>
        <v>4351.0766599999997</v>
      </c>
      <c r="D60" s="49">
        <f>'6 - B1'!D60</f>
        <v>4191.2441410000001</v>
      </c>
      <c r="E60" s="49">
        <f>'6 - B1'!E60</f>
        <v>4261.8305659999996</v>
      </c>
      <c r="F60" s="49">
        <f>'6 - B1'!F60</f>
        <v>4317.4672849999997</v>
      </c>
      <c r="G60" s="49">
        <f>'6 - B1'!G60</f>
        <v>4462.8330079999996</v>
      </c>
      <c r="H60" s="49">
        <f>'6 - B1'!H60</f>
        <v>4495.2646480000003</v>
      </c>
      <c r="I60" s="49">
        <f>'6 - B1'!I60</f>
        <v>4585.6040039999998</v>
      </c>
      <c r="J60" s="49">
        <f>'6 - B1'!J60</f>
        <v>4500.8129879999997</v>
      </c>
      <c r="K60" s="49">
        <f>'6 - B1'!K60</f>
        <v>4608.21875</v>
      </c>
      <c r="L60" s="49">
        <f>'6 - B1'!L60</f>
        <v>4722.0986329999996</v>
      </c>
      <c r="M60" s="49">
        <f>'6 - B1'!M60</f>
        <v>4676.0595700000003</v>
      </c>
      <c r="N60" s="49">
        <f>'6 - B1'!N60</f>
        <v>4535.9658200000003</v>
      </c>
      <c r="O60" s="49">
        <f>'6 - B1'!O60</f>
        <v>4764.1191410000001</v>
      </c>
      <c r="P60" s="49">
        <f>'6 - B1'!P60</f>
        <v>4694.2109380000002</v>
      </c>
    </row>
    <row r="61" spans="1:16" x14ac:dyDescent="0.35">
      <c r="A61" s="49">
        <f>'6 - B1'!A61</f>
        <v>12</v>
      </c>
      <c r="B61" s="49">
        <f>'6 - B1'!B61</f>
        <v>3616.9516600000002</v>
      </c>
      <c r="C61" s="49">
        <f>'6 - B1'!C61</f>
        <v>3667.0219729999999</v>
      </c>
      <c r="D61" s="49">
        <f>'6 - B1'!D61</f>
        <v>3546.0415039999998</v>
      </c>
      <c r="E61" s="49">
        <f>'6 - B1'!E61</f>
        <v>3582.5187989999999</v>
      </c>
      <c r="F61" s="49">
        <f>'6 - B1'!F61</f>
        <v>3637.9916990000002</v>
      </c>
      <c r="G61" s="49">
        <f>'6 - B1'!G61</f>
        <v>3753.8291020000001</v>
      </c>
      <c r="H61" s="49">
        <f>'6 - B1'!H61</f>
        <v>3773.5822750000002</v>
      </c>
      <c r="I61" s="49">
        <f>'6 - B1'!I61</f>
        <v>3844.0207519999999</v>
      </c>
      <c r="J61" s="49">
        <f>'6 - B1'!J61</f>
        <v>3749.6599120000001</v>
      </c>
      <c r="K61" s="49">
        <f>'6 - B1'!K61</f>
        <v>3858.3776859999998</v>
      </c>
      <c r="L61" s="49">
        <f>'6 - B1'!L61</f>
        <v>3979.6767580000001</v>
      </c>
      <c r="M61" s="49">
        <f>'6 - B1'!M61</f>
        <v>3930.4636230000001</v>
      </c>
      <c r="N61" s="49">
        <f>'6 - B1'!N61</f>
        <v>3812.0756839999999</v>
      </c>
      <c r="O61" s="49">
        <f>'6 - B1'!O61</f>
        <v>3993.329346</v>
      </c>
      <c r="P61" s="49">
        <f>'6 - B1'!P61</f>
        <v>3929.5927729999999</v>
      </c>
    </row>
    <row r="62" spans="1:16" x14ac:dyDescent="0.35">
      <c r="A62" s="49">
        <f>'6 - B1'!A62</f>
        <v>13</v>
      </c>
      <c r="B62" s="49">
        <f>'6 - B1'!B62</f>
        <v>3011.3781739999999</v>
      </c>
      <c r="C62" s="49">
        <f>'6 - B1'!C62</f>
        <v>3055.4848630000001</v>
      </c>
      <c r="D62" s="49">
        <f>'6 - B1'!D62</f>
        <v>2964.6389159999999</v>
      </c>
      <c r="E62" s="49">
        <f>'6 - B1'!E62</f>
        <v>2975.7937010000001</v>
      </c>
      <c r="F62" s="49">
        <f>'6 - B1'!F62</f>
        <v>3031.2775879999999</v>
      </c>
      <c r="G62" s="49">
        <f>'6 - B1'!G62</f>
        <v>3102.0432129999999</v>
      </c>
      <c r="H62" s="49">
        <f>'6 - B1'!H62</f>
        <v>3118.7817380000001</v>
      </c>
      <c r="I62" s="49">
        <f>'6 - B1'!I62</f>
        <v>3167.0588379999999</v>
      </c>
      <c r="J62" s="49">
        <f>'6 - B1'!J62</f>
        <v>3100.2485350000002</v>
      </c>
      <c r="K62" s="49">
        <f>'6 - B1'!K62</f>
        <v>3190.0073240000002</v>
      </c>
      <c r="L62" s="49">
        <f>'6 - B1'!L62</f>
        <v>3302.7680660000001</v>
      </c>
      <c r="M62" s="49">
        <f>'6 - B1'!M62</f>
        <v>3259.186279</v>
      </c>
      <c r="N62" s="49">
        <f>'6 - B1'!N62</f>
        <v>3153.0036620000001</v>
      </c>
      <c r="O62" s="49">
        <f>'6 - B1'!O62</f>
        <v>3314.9135740000002</v>
      </c>
      <c r="P62" s="49">
        <f>'6 - B1'!P62</f>
        <v>3245.2578119999998</v>
      </c>
    </row>
    <row r="63" spans="1:16" x14ac:dyDescent="0.35">
      <c r="A63" s="49">
        <f>'6 - B1'!A63</f>
        <v>14</v>
      </c>
      <c r="B63" s="49">
        <f>'6 - B1'!B63</f>
        <v>2469.6320799999999</v>
      </c>
      <c r="C63" s="49">
        <f>'6 - B1'!C63</f>
        <v>2504.0268550000001</v>
      </c>
      <c r="D63" s="49">
        <f>'6 - B1'!D63</f>
        <v>2423.540039</v>
      </c>
      <c r="E63" s="49">
        <f>'6 - B1'!E63</f>
        <v>2438.7719729999999</v>
      </c>
      <c r="F63" s="49">
        <f>'6 - B1'!F63</f>
        <v>2472.1938479999999</v>
      </c>
      <c r="G63" s="49">
        <f>'6 - B1'!G63</f>
        <v>2520.4797359999998</v>
      </c>
      <c r="H63" s="49">
        <f>'6 - B1'!H63</f>
        <v>2536.0541990000002</v>
      </c>
      <c r="I63" s="49">
        <f>'6 - B1'!I63</f>
        <v>2568.876221</v>
      </c>
      <c r="J63" s="49">
        <f>'6 - B1'!J63</f>
        <v>2521.2741700000001</v>
      </c>
      <c r="K63" s="49">
        <f>'6 - B1'!K63</f>
        <v>2587.1064449999999</v>
      </c>
      <c r="L63" s="49">
        <f>'6 - B1'!L63</f>
        <v>2695.1110840000001</v>
      </c>
      <c r="M63" s="49">
        <f>'6 - B1'!M63</f>
        <v>2647.3471679999998</v>
      </c>
      <c r="N63" s="49">
        <f>'6 - B1'!N63</f>
        <v>2566.7651369999999</v>
      </c>
      <c r="O63" s="49">
        <f>'6 - B1'!O63</f>
        <v>2700.0102539999998</v>
      </c>
      <c r="P63" s="49">
        <f>'6 - B1'!P63</f>
        <v>2631.1813959999999</v>
      </c>
    </row>
    <row r="64" spans="1:16" x14ac:dyDescent="0.35">
      <c r="A64" s="49">
        <f>'6 - B1'!A64</f>
        <v>15</v>
      </c>
      <c r="B64" s="49">
        <f>'6 - B1'!B64</f>
        <v>1989.7680660000001</v>
      </c>
      <c r="C64" s="49">
        <f>'6 - B1'!C64</f>
        <v>2008.4171140000001</v>
      </c>
      <c r="D64" s="49">
        <f>'6 - B1'!D64</f>
        <v>1944.8688959999999</v>
      </c>
      <c r="E64" s="49">
        <f>'6 - B1'!E64</f>
        <v>1951.356812</v>
      </c>
      <c r="F64" s="49">
        <f>'6 - B1'!F64</f>
        <v>1985.1926269999999</v>
      </c>
      <c r="G64" s="49">
        <f>'6 - B1'!G64</f>
        <v>2012.7613530000001</v>
      </c>
      <c r="H64" s="49">
        <f>'6 - B1'!H64</f>
        <v>2013.8057859999999</v>
      </c>
      <c r="I64" s="49">
        <f>'6 - B1'!I64</f>
        <v>2055.1184079999998</v>
      </c>
      <c r="J64" s="49">
        <f>'6 - B1'!J64</f>
        <v>2017.208496</v>
      </c>
      <c r="K64" s="49">
        <f>'6 - B1'!K64</f>
        <v>2061.3745119999999</v>
      </c>
      <c r="L64" s="49">
        <f>'6 - B1'!L64</f>
        <v>2150.7246089999999</v>
      </c>
      <c r="M64" s="49">
        <f>'6 - B1'!M64</f>
        <v>2115.8476559999999</v>
      </c>
      <c r="N64" s="49">
        <f>'6 - B1'!N64</f>
        <v>2046.4772949999999</v>
      </c>
      <c r="O64" s="49">
        <f>'6 - B1'!O64</f>
        <v>2161.9265140000002</v>
      </c>
      <c r="P64" s="49">
        <f>'6 - B1'!P64</f>
        <v>2110.0688479999999</v>
      </c>
    </row>
    <row r="65" spans="1:16" x14ac:dyDescent="0.35">
      <c r="A65" s="49">
        <f>'6 - B1'!A65</f>
        <v>16</v>
      </c>
      <c r="B65" s="49">
        <f>'6 - B1'!B65</f>
        <v>1566.320557</v>
      </c>
      <c r="C65" s="49">
        <f>'6 - B1'!C65</f>
        <v>1587.4406739999999</v>
      </c>
      <c r="D65" s="49">
        <f>'6 - B1'!D65</f>
        <v>1542.174683</v>
      </c>
      <c r="E65" s="49">
        <f>'6 - B1'!E65</f>
        <v>1543.990356</v>
      </c>
      <c r="F65" s="49">
        <f>'6 - B1'!F65</f>
        <v>1557.1137699999999</v>
      </c>
      <c r="G65" s="49">
        <f>'6 - B1'!G65</f>
        <v>1571.0852050000001</v>
      </c>
      <c r="H65" s="49">
        <f>'6 - B1'!H65</f>
        <v>1571.8500979999999</v>
      </c>
      <c r="I65" s="49">
        <f>'6 - B1'!I65</f>
        <v>1602.594482</v>
      </c>
      <c r="J65" s="49">
        <f>'6 - B1'!J65</f>
        <v>1572.0551760000001</v>
      </c>
      <c r="K65" s="49">
        <f>'6 - B1'!K65</f>
        <v>1605.2413329999999</v>
      </c>
      <c r="L65" s="49">
        <f>'6 - B1'!L65</f>
        <v>1696.243408</v>
      </c>
      <c r="M65" s="49">
        <f>'6 - B1'!M65</f>
        <v>1658.0648189999999</v>
      </c>
      <c r="N65" s="49">
        <f>'6 - B1'!N65</f>
        <v>1602.159058</v>
      </c>
      <c r="O65" s="49">
        <f>'6 - B1'!O65</f>
        <v>1695.391357</v>
      </c>
      <c r="P65" s="49">
        <f>'6 - B1'!P65</f>
        <v>1646.4482419999999</v>
      </c>
    </row>
    <row r="66" spans="1:16" x14ac:dyDescent="0.35">
      <c r="A66" s="49">
        <f>'6 - B1'!A66</f>
        <v>17</v>
      </c>
      <c r="B66" s="49">
        <f>'6 - B1'!B66</f>
        <v>1211.6102289999999</v>
      </c>
      <c r="C66" s="49">
        <f>'6 - B1'!C66</f>
        <v>1227.051025</v>
      </c>
      <c r="D66" s="49">
        <f>'6 - B1'!D66</f>
        <v>1197.535034</v>
      </c>
      <c r="E66" s="49">
        <f>'6 - B1'!E66</f>
        <v>1194.4555660000001</v>
      </c>
      <c r="F66" s="49">
        <f>'6 - B1'!F66</f>
        <v>1213.3431399999999</v>
      </c>
      <c r="G66" s="49">
        <f>'6 - B1'!G66</f>
        <v>1206.0405270000001</v>
      </c>
      <c r="H66" s="49">
        <f>'6 - B1'!H66</f>
        <v>1210.3599850000001</v>
      </c>
      <c r="I66" s="49">
        <f>'6 - B1'!I66</f>
        <v>1229.457764</v>
      </c>
      <c r="J66" s="49">
        <f>'6 - B1'!J66</f>
        <v>1207.229004</v>
      </c>
      <c r="K66" s="49">
        <f>'6 - B1'!K66</f>
        <v>1222.234009</v>
      </c>
      <c r="L66" s="49">
        <f>'6 - B1'!L66</f>
        <v>1305.593384</v>
      </c>
      <c r="M66" s="49">
        <f>'6 - B1'!M66</f>
        <v>1272.708374</v>
      </c>
      <c r="N66" s="49">
        <f>'6 - B1'!N66</f>
        <v>1229.193115</v>
      </c>
      <c r="O66" s="49">
        <f>'6 - B1'!O66</f>
        <v>1294.874634</v>
      </c>
      <c r="P66" s="49">
        <f>'6 - B1'!P66</f>
        <v>1275.2777100000001</v>
      </c>
    </row>
    <row r="67" spans="1:16" x14ac:dyDescent="0.35">
      <c r="A67" s="49">
        <f>'6 - B1'!A67</f>
        <v>18</v>
      </c>
      <c r="B67" s="49">
        <f>'6 - B1'!B67</f>
        <v>932.39984100000004</v>
      </c>
      <c r="C67" s="49">
        <f>'6 - B1'!C67</f>
        <v>939.01007100000004</v>
      </c>
      <c r="D67" s="49">
        <f>'6 - B1'!D67</f>
        <v>916.52374299999997</v>
      </c>
      <c r="E67" s="49">
        <f>'6 - B1'!E67</f>
        <v>907.92535399999997</v>
      </c>
      <c r="F67" s="49">
        <f>'6 - B1'!F67</f>
        <v>927.30621299999996</v>
      </c>
      <c r="G67" s="49">
        <f>'6 - B1'!G67</f>
        <v>918.74206500000003</v>
      </c>
      <c r="H67" s="49">
        <f>'6 - B1'!H67</f>
        <v>915.05950900000005</v>
      </c>
      <c r="I67" s="49">
        <f>'6 - B1'!I67</f>
        <v>928.06475799999998</v>
      </c>
      <c r="J67" s="49">
        <f>'6 - B1'!J67</f>
        <v>907.59332300000005</v>
      </c>
      <c r="K67" s="49">
        <f>'6 - B1'!K67</f>
        <v>929.64453100000003</v>
      </c>
      <c r="L67" s="49">
        <f>'6 - B1'!L67</f>
        <v>1001.297607</v>
      </c>
      <c r="M67" s="49">
        <f>'6 - B1'!M67</f>
        <v>964.07922399999995</v>
      </c>
      <c r="N67" s="49">
        <f>'6 - B1'!N67</f>
        <v>933.939392</v>
      </c>
      <c r="O67" s="49">
        <f>'6 - B1'!O67</f>
        <v>981.97900400000003</v>
      </c>
      <c r="P67" s="49">
        <f>'6 - B1'!P67</f>
        <v>972.30926499999998</v>
      </c>
    </row>
    <row r="68" spans="1:16" x14ac:dyDescent="0.35">
      <c r="A68" s="49">
        <f>'6 - B1'!A68</f>
        <v>19</v>
      </c>
      <c r="B68" s="49">
        <f>'6 - B1'!B68</f>
        <v>713.03344700000002</v>
      </c>
      <c r="C68" s="49">
        <f>'6 - B1'!C68</f>
        <v>711.21740699999998</v>
      </c>
      <c r="D68" s="49">
        <f>'6 - B1'!D68</f>
        <v>694.76757799999996</v>
      </c>
      <c r="E68" s="49">
        <f>'6 - B1'!E68</f>
        <v>692.37042199999996</v>
      </c>
      <c r="F68" s="49">
        <f>'6 - B1'!F68</f>
        <v>704.86138900000003</v>
      </c>
      <c r="G68" s="49">
        <f>'6 - B1'!G68</f>
        <v>692.65594499999997</v>
      </c>
      <c r="H68" s="49">
        <f>'6 - B1'!H68</f>
        <v>692.26464799999997</v>
      </c>
      <c r="I68" s="49">
        <f>'6 - B1'!I68</f>
        <v>700.76055899999994</v>
      </c>
      <c r="J68" s="49">
        <f>'6 - B1'!J68</f>
        <v>683.38256799999999</v>
      </c>
      <c r="K68" s="49">
        <f>'6 - B1'!K68</f>
        <v>697.87866199999996</v>
      </c>
      <c r="L68" s="49">
        <f>'6 - B1'!L68</f>
        <v>759.52453600000001</v>
      </c>
      <c r="M68" s="49">
        <f>'6 - B1'!M68</f>
        <v>730.11279300000001</v>
      </c>
      <c r="N68" s="49">
        <f>'6 - B1'!N68</f>
        <v>702.63256799999999</v>
      </c>
      <c r="O68" s="49">
        <f>'6 - B1'!O68</f>
        <v>741.84173599999997</v>
      </c>
      <c r="P68" s="49">
        <f>'6 - B1'!P68</f>
        <v>727.86108400000001</v>
      </c>
    </row>
    <row r="69" spans="1:16" x14ac:dyDescent="0.35">
      <c r="A69" s="49">
        <f>'6 - B1'!A69</f>
        <v>20</v>
      </c>
      <c r="B69" s="49">
        <f>'6 - B1'!B69</f>
        <v>536.83624299999997</v>
      </c>
      <c r="C69" s="49">
        <f>'6 - B1'!C69</f>
        <v>535.38043200000004</v>
      </c>
      <c r="D69" s="49">
        <f>'6 - B1'!D69</f>
        <v>529.60803199999998</v>
      </c>
      <c r="E69" s="49">
        <f>'6 - B1'!E69</f>
        <v>527.10040300000003</v>
      </c>
      <c r="F69" s="49">
        <f>'6 - B1'!F69</f>
        <v>536.75427200000001</v>
      </c>
      <c r="G69" s="49">
        <f>'6 - B1'!G69</f>
        <v>525.18127400000003</v>
      </c>
      <c r="H69" s="49">
        <f>'6 - B1'!H69</f>
        <v>523.20013400000005</v>
      </c>
      <c r="I69" s="49">
        <f>'6 - B1'!I69</f>
        <v>529.56579599999998</v>
      </c>
      <c r="J69" s="49">
        <f>'6 - B1'!J69</f>
        <v>512.40789800000005</v>
      </c>
      <c r="K69" s="49">
        <f>'6 - B1'!K69</f>
        <v>526.33404499999995</v>
      </c>
      <c r="L69" s="49">
        <f>'6 - B1'!L69</f>
        <v>576.44238299999995</v>
      </c>
      <c r="M69" s="49">
        <f>'6 - B1'!M69</f>
        <v>553.17571999999996</v>
      </c>
      <c r="N69" s="49">
        <f>'6 - B1'!N69</f>
        <v>529.78405799999996</v>
      </c>
      <c r="O69" s="49">
        <f>'6 - B1'!O69</f>
        <v>555.53881799999999</v>
      </c>
      <c r="P69" s="49">
        <f>'6 - B1'!P69</f>
        <v>549.98706100000004</v>
      </c>
    </row>
    <row r="70" spans="1:16" x14ac:dyDescent="0.35">
      <c r="A70" s="49">
        <f>'6 - B1'!A70</f>
        <v>21</v>
      </c>
      <c r="B70" s="49">
        <f>'6 - B1'!B70</f>
        <v>406.30954000000003</v>
      </c>
      <c r="C70" s="49">
        <f>'6 - B1'!C70</f>
        <v>409.21444700000001</v>
      </c>
      <c r="D70" s="49">
        <f>'6 - B1'!D70</f>
        <v>402.00817899999998</v>
      </c>
      <c r="E70" s="49">
        <f>'6 - B1'!E70</f>
        <v>404.05941799999999</v>
      </c>
      <c r="F70" s="49">
        <f>'6 - B1'!F70</f>
        <v>406.85327100000001</v>
      </c>
      <c r="G70" s="49">
        <f>'6 - B1'!G70</f>
        <v>394.86123700000002</v>
      </c>
      <c r="H70" s="49">
        <f>'6 - B1'!H70</f>
        <v>390.99414100000001</v>
      </c>
      <c r="I70" s="49">
        <f>'6 - B1'!I70</f>
        <v>399.88864100000001</v>
      </c>
      <c r="J70" s="49">
        <f>'6 - B1'!J70</f>
        <v>383.23089599999997</v>
      </c>
      <c r="K70" s="49">
        <f>'6 - B1'!K70</f>
        <v>389.63171399999999</v>
      </c>
      <c r="L70" s="49">
        <f>'6 - B1'!L70</f>
        <v>438.49993899999998</v>
      </c>
      <c r="M70" s="49">
        <f>'6 - B1'!M70</f>
        <v>422.51580799999999</v>
      </c>
      <c r="N70" s="49">
        <f>'6 - B1'!N70</f>
        <v>401.36743200000001</v>
      </c>
      <c r="O70" s="49">
        <f>'6 - B1'!O70</f>
        <v>420.82345600000002</v>
      </c>
      <c r="P70" s="49">
        <f>'6 - B1'!P70</f>
        <v>416.41021699999999</v>
      </c>
    </row>
    <row r="71" spans="1:16" x14ac:dyDescent="0.35">
      <c r="A71" s="49">
        <f>'6 - B1'!A71</f>
        <v>22</v>
      </c>
      <c r="B71" s="49">
        <f>'6 - B1'!B71</f>
        <v>309.68829299999999</v>
      </c>
      <c r="C71" s="49">
        <f>'6 - B1'!C71</f>
        <v>314.018799</v>
      </c>
      <c r="D71" s="49">
        <f>'6 - B1'!D71</f>
        <v>307.76608299999998</v>
      </c>
      <c r="E71" s="49">
        <f>'6 - B1'!E71</f>
        <v>306.71203600000001</v>
      </c>
      <c r="F71" s="49">
        <f>'6 - B1'!F71</f>
        <v>309.979401</v>
      </c>
      <c r="G71" s="49">
        <f>'6 - B1'!G71</f>
        <v>296.772919</v>
      </c>
      <c r="H71" s="49">
        <f>'6 - B1'!H71</f>
        <v>296.77139299999999</v>
      </c>
      <c r="I71" s="49">
        <f>'6 - B1'!I71</f>
        <v>301.74047899999999</v>
      </c>
      <c r="J71" s="49">
        <f>'6 - B1'!J71</f>
        <v>290.34728999999999</v>
      </c>
      <c r="K71" s="49">
        <f>'6 - B1'!K71</f>
        <v>296.202698</v>
      </c>
      <c r="L71" s="49">
        <f>'6 - B1'!L71</f>
        <v>333.45434599999999</v>
      </c>
      <c r="M71" s="49">
        <f>'6 - B1'!M71</f>
        <v>318.349152</v>
      </c>
      <c r="N71" s="49">
        <f>'6 - B1'!N71</f>
        <v>306.405304</v>
      </c>
      <c r="O71" s="49">
        <f>'6 - B1'!O71</f>
        <v>319.46289100000001</v>
      </c>
      <c r="P71" s="49">
        <f>'6 - B1'!P71</f>
        <v>315.22082499999999</v>
      </c>
    </row>
    <row r="72" spans="1:16" x14ac:dyDescent="0.35">
      <c r="A72" s="49">
        <f>'6 - B1'!A72</f>
        <v>23</v>
      </c>
      <c r="B72" s="49">
        <f>'6 - B1'!B72</f>
        <v>233.53997799999999</v>
      </c>
      <c r="C72" s="49">
        <f>'6 - B1'!C72</f>
        <v>239.97770700000001</v>
      </c>
      <c r="D72" s="49">
        <f>'6 - B1'!D72</f>
        <v>235.81964099999999</v>
      </c>
      <c r="E72" s="49">
        <f>'6 - B1'!E72</f>
        <v>234.29510500000001</v>
      </c>
      <c r="F72" s="49">
        <f>'6 - B1'!F72</f>
        <v>234.67079200000001</v>
      </c>
      <c r="G72" s="49">
        <f>'6 - B1'!G72</f>
        <v>224.04264800000001</v>
      </c>
      <c r="H72" s="49">
        <f>'6 - B1'!H72</f>
        <v>223.31397999999999</v>
      </c>
      <c r="I72" s="49">
        <f>'6 - B1'!I72</f>
        <v>227.21734599999999</v>
      </c>
      <c r="J72" s="49">
        <f>'6 - B1'!J72</f>
        <v>219.99655200000001</v>
      </c>
      <c r="K72" s="49">
        <f>'6 - B1'!K72</f>
        <v>223.42095900000001</v>
      </c>
      <c r="L72" s="49">
        <f>'6 - B1'!L72</f>
        <v>253.64213599999999</v>
      </c>
      <c r="M72" s="49">
        <f>'6 - B1'!M72</f>
        <v>239.81556699999999</v>
      </c>
      <c r="N72" s="49">
        <f>'6 - B1'!N72</f>
        <v>227.996216</v>
      </c>
      <c r="O72" s="49">
        <f>'6 - B1'!O72</f>
        <v>247.39579800000001</v>
      </c>
      <c r="P72" s="49">
        <f>'6 - B1'!P72</f>
        <v>238.79325900000001</v>
      </c>
    </row>
    <row r="73" spans="1:16" x14ac:dyDescent="0.35">
      <c r="A73" s="49">
        <f>'6 - B1'!A73</f>
        <v>24</v>
      </c>
      <c r="B73" s="49">
        <f>'6 - B1'!B73</f>
        <v>175.45605499999999</v>
      </c>
      <c r="C73" s="49">
        <f>'6 - B1'!C73</f>
        <v>178.544769</v>
      </c>
      <c r="D73" s="49">
        <f>'6 - B1'!D73</f>
        <v>177.50787399999999</v>
      </c>
      <c r="E73" s="49">
        <f>'6 - B1'!E73</f>
        <v>176.29371599999999</v>
      </c>
      <c r="F73" s="49">
        <f>'6 - B1'!F73</f>
        <v>176.51251199999999</v>
      </c>
      <c r="G73" s="49">
        <f>'6 - B1'!G73</f>
        <v>169.51817299999999</v>
      </c>
      <c r="H73" s="49">
        <f>'6 - B1'!H73</f>
        <v>170.189301</v>
      </c>
      <c r="I73" s="49">
        <f>'6 - B1'!I73</f>
        <v>170.499863</v>
      </c>
      <c r="J73" s="49">
        <f>'6 - B1'!J73</f>
        <v>166.15846300000001</v>
      </c>
      <c r="K73" s="49">
        <f>'6 - B1'!K73</f>
        <v>168.533569</v>
      </c>
      <c r="L73" s="49">
        <f>'6 - B1'!L73</f>
        <v>184.01670799999999</v>
      </c>
      <c r="M73" s="49">
        <f>'6 - B1'!M73</f>
        <v>182.528198</v>
      </c>
      <c r="N73" s="49">
        <f>'6 - B1'!N73</f>
        <v>174.590912</v>
      </c>
      <c r="O73" s="49">
        <f>'6 - B1'!O73</f>
        <v>185.69807399999999</v>
      </c>
      <c r="P73" s="49">
        <f>'6 - B1'!P73</f>
        <v>181.55827300000001</v>
      </c>
    </row>
    <row r="74" spans="1:16" x14ac:dyDescent="0.35">
      <c r="A74" s="49">
        <f>'6 - B1'!A74</f>
        <v>25</v>
      </c>
      <c r="B74" s="49">
        <f>'6 - B1'!B74</f>
        <v>131.82363900000001</v>
      </c>
      <c r="C74" s="49">
        <f>'6 - B1'!C74</f>
        <v>133.18931599999999</v>
      </c>
      <c r="D74" s="49">
        <f>'6 - B1'!D74</f>
        <v>132.65927099999999</v>
      </c>
      <c r="E74" s="49">
        <f>'6 - B1'!E74</f>
        <v>130.75752299999999</v>
      </c>
      <c r="F74" s="49">
        <f>'6 - B1'!F74</f>
        <v>131.853745</v>
      </c>
      <c r="G74" s="49">
        <f>'6 - B1'!G74</f>
        <v>125.489891</v>
      </c>
      <c r="H74" s="49">
        <f>'6 - B1'!H74</f>
        <v>127.620346</v>
      </c>
      <c r="I74" s="49">
        <f>'6 - B1'!I74</f>
        <v>124.552628</v>
      </c>
      <c r="J74" s="49">
        <f>'6 - B1'!J74</f>
        <v>124.102829</v>
      </c>
      <c r="K74" s="49">
        <f>'6 - B1'!K74</f>
        <v>127.75515</v>
      </c>
      <c r="L74" s="49">
        <f>'6 - B1'!L74</f>
        <v>138.97045900000001</v>
      </c>
      <c r="M74" s="49">
        <f>'6 - B1'!M74</f>
        <v>136.165009</v>
      </c>
      <c r="N74" s="49">
        <f>'6 - B1'!N74</f>
        <v>132.16287199999999</v>
      </c>
      <c r="O74" s="49">
        <f>'6 - B1'!O74</f>
        <v>138.69027700000001</v>
      </c>
      <c r="P74" s="49">
        <f>'6 - B1'!P74</f>
        <v>135.718887</v>
      </c>
    </row>
    <row r="75" spans="1:16" x14ac:dyDescent="0.35">
      <c r="A75" s="49">
        <f>'6 - B1'!A75</f>
        <v>26</v>
      </c>
      <c r="B75" s="49">
        <f>'6 - B1'!B75</f>
        <v>96.435989000000006</v>
      </c>
      <c r="C75" s="49">
        <f>'6 - B1'!C75</f>
        <v>100.272774</v>
      </c>
      <c r="D75" s="49">
        <f>'6 - B1'!D75</f>
        <v>98.358231000000004</v>
      </c>
      <c r="E75" s="49">
        <f>'6 - B1'!E75</f>
        <v>95.651420999999999</v>
      </c>
      <c r="F75" s="49">
        <f>'6 - B1'!F75</f>
        <v>96.704063000000005</v>
      </c>
      <c r="G75" s="49">
        <f>'6 - B1'!G75</f>
        <v>91.028937999999997</v>
      </c>
      <c r="H75" s="49">
        <f>'6 - B1'!H75</f>
        <v>93.876662999999994</v>
      </c>
      <c r="I75" s="49">
        <f>'6 - B1'!I75</f>
        <v>91.112762000000004</v>
      </c>
      <c r="J75" s="49">
        <f>'6 - B1'!J75</f>
        <v>90.733528000000007</v>
      </c>
      <c r="K75" s="49">
        <f>'6 - B1'!K75</f>
        <v>96.095962999999998</v>
      </c>
      <c r="L75" s="49">
        <f>'6 - B1'!L75</f>
        <v>104.578316</v>
      </c>
      <c r="M75" s="49">
        <f>'6 - B1'!M75</f>
        <v>97.715378000000001</v>
      </c>
      <c r="N75" s="49">
        <f>'6 - B1'!N75</f>
        <v>97.924239999999998</v>
      </c>
      <c r="O75" s="49">
        <f>'6 - B1'!O75</f>
        <v>104.384956</v>
      </c>
      <c r="P75" s="49">
        <f>'6 - B1'!P75</f>
        <v>98.876007000000001</v>
      </c>
    </row>
    <row r="76" spans="1:16" x14ac:dyDescent="0.35">
      <c r="A76" s="49">
        <f>'6 - B1'!A76</f>
        <v>27</v>
      </c>
      <c r="B76" s="49">
        <f>'6 - B1'!B76</f>
        <v>67.810897999999995</v>
      </c>
      <c r="C76" s="49">
        <f>'6 - B1'!C76</f>
        <v>74.294929999999994</v>
      </c>
      <c r="D76" s="49">
        <f>'6 - B1'!D76</f>
        <v>69.545356999999996</v>
      </c>
      <c r="E76" s="49">
        <f>'6 - B1'!E76</f>
        <v>70.297011999999995</v>
      </c>
      <c r="F76" s="49">
        <f>'6 - B1'!F76</f>
        <v>71.233283999999998</v>
      </c>
      <c r="G76" s="49">
        <f>'6 - B1'!G76</f>
        <v>65.763762999999997</v>
      </c>
      <c r="H76" s="49">
        <f>'6 - B1'!H76</f>
        <v>66.881714000000002</v>
      </c>
      <c r="I76" s="49">
        <f>'6 - B1'!I76</f>
        <v>67.661438000000004</v>
      </c>
      <c r="J76" s="49">
        <f>'6 - B1'!J76</f>
        <v>68.114647000000005</v>
      </c>
      <c r="K76" s="49">
        <f>'6 - B1'!K76</f>
        <v>68.996384000000006</v>
      </c>
      <c r="L76" s="49">
        <f>'6 - B1'!L76</f>
        <v>77.195426999999995</v>
      </c>
      <c r="M76" s="49">
        <f>'6 - B1'!M76</f>
        <v>72.770432</v>
      </c>
      <c r="N76" s="49">
        <f>'6 - B1'!N76</f>
        <v>70.655304000000001</v>
      </c>
      <c r="O76" s="49">
        <f>'6 - B1'!O76</f>
        <v>75.523551999999995</v>
      </c>
      <c r="P76" s="49">
        <f>'6 - B1'!P76</f>
        <v>70.515556000000004</v>
      </c>
    </row>
    <row r="77" spans="1:16" x14ac:dyDescent="0.35">
      <c r="A77" s="49">
        <f>'6 - B1'!A77</f>
        <v>28</v>
      </c>
      <c r="B77" s="49">
        <f>'6 - B1'!B77</f>
        <v>48.356949</v>
      </c>
      <c r="C77" s="49">
        <f>'6 - B1'!C77</f>
        <v>52.209538000000002</v>
      </c>
      <c r="D77" s="49">
        <f>'6 - B1'!D77</f>
        <v>48.878982999999998</v>
      </c>
      <c r="E77" s="49">
        <f>'6 - B1'!E77</f>
        <v>51.471995999999997</v>
      </c>
      <c r="F77" s="49">
        <f>'6 - B1'!F77</f>
        <v>50.347244000000003</v>
      </c>
      <c r="G77" s="49">
        <f>'6 - B1'!G77</f>
        <v>48.672615</v>
      </c>
      <c r="H77" s="49">
        <f>'6 - B1'!H77</f>
        <v>46.981589999999997</v>
      </c>
      <c r="I77" s="49">
        <f>'6 - B1'!I77</f>
        <v>47.250092000000002</v>
      </c>
      <c r="J77" s="49">
        <f>'6 - B1'!J77</f>
        <v>47.645851</v>
      </c>
      <c r="K77" s="49">
        <f>'6 - B1'!K77</f>
        <v>48.865268999999998</v>
      </c>
      <c r="L77" s="49">
        <f>'6 - B1'!L77</f>
        <v>55.233051000000003</v>
      </c>
      <c r="M77" s="49">
        <f>'6 - B1'!M77</f>
        <v>53.158543000000002</v>
      </c>
      <c r="N77" s="49">
        <f>'6 - B1'!N77</f>
        <v>50.094695999999999</v>
      </c>
      <c r="O77" s="49">
        <f>'6 - B1'!O77</f>
        <v>54.266350000000003</v>
      </c>
      <c r="P77" s="49">
        <f>'6 - B1'!P77</f>
        <v>50.380493000000001</v>
      </c>
    </row>
    <row r="78" spans="1:16" x14ac:dyDescent="0.35">
      <c r="A78" s="49">
        <f>'6 - B1'!A78</f>
        <v>29</v>
      </c>
      <c r="B78" s="49">
        <f>'6 - B1'!B78</f>
        <v>35.109741</v>
      </c>
      <c r="C78" s="49">
        <f>'6 - B1'!C78</f>
        <v>37.570557000000001</v>
      </c>
      <c r="D78" s="49">
        <f>'6 - B1'!D78</f>
        <v>33.186256</v>
      </c>
      <c r="E78" s="49">
        <f>'6 - B1'!E78</f>
        <v>35.190902999999999</v>
      </c>
      <c r="F78" s="49">
        <f>'6 - B1'!F78</f>
        <v>34.555359000000003</v>
      </c>
      <c r="G78" s="49">
        <f>'6 - B1'!G78</f>
        <v>34.832500000000003</v>
      </c>
      <c r="H78" s="49">
        <f>'6 - B1'!H78</f>
        <v>33.484119</v>
      </c>
      <c r="I78" s="49">
        <f>'6 - B1'!I78</f>
        <v>33.439861000000001</v>
      </c>
      <c r="J78" s="49">
        <f>'6 - B1'!J78</f>
        <v>34.401336999999998</v>
      </c>
      <c r="K78" s="49">
        <f>'6 - B1'!K78</f>
        <v>35.100406999999997</v>
      </c>
      <c r="L78" s="49">
        <f>'6 - B1'!L78</f>
        <v>40.093024999999997</v>
      </c>
      <c r="M78" s="49">
        <f>'6 - B1'!M78</f>
        <v>38.277591999999999</v>
      </c>
      <c r="N78" s="49">
        <f>'6 - B1'!N78</f>
        <v>36.155304000000001</v>
      </c>
      <c r="O78" s="49">
        <f>'6 - B1'!O78</f>
        <v>38.193832</v>
      </c>
      <c r="P78" s="49">
        <f>'6 - B1'!P78</f>
        <v>35.643344999999997</v>
      </c>
    </row>
    <row r="79" spans="1:16" x14ac:dyDescent="0.35">
      <c r="A79" s="49">
        <f>'6 - B1'!A79</f>
        <v>30</v>
      </c>
      <c r="B79" s="49">
        <f>'6 - B1'!B79</f>
        <v>23.715285999999999</v>
      </c>
      <c r="C79" s="49">
        <f>'6 - B1'!C79</f>
        <v>25.554749000000001</v>
      </c>
      <c r="D79" s="49">
        <f>'6 - B1'!D79</f>
        <v>23.667717</v>
      </c>
      <c r="E79" s="49">
        <f>'6 - B1'!E79</f>
        <v>23.912855</v>
      </c>
      <c r="F79" s="49">
        <f>'6 - B1'!F79</f>
        <v>23.687826000000001</v>
      </c>
      <c r="G79" s="49">
        <f>'6 - B1'!G79</f>
        <v>24.429195</v>
      </c>
      <c r="H79" s="49">
        <f>'6 - B1'!H79</f>
        <v>22.668835000000001</v>
      </c>
      <c r="I79" s="49">
        <f>'6 - B1'!I79</f>
        <v>23.885615999999999</v>
      </c>
      <c r="J79" s="49">
        <f>'6 - B1'!J79</f>
        <v>23.822925999999999</v>
      </c>
      <c r="K79" s="49">
        <f>'6 - B1'!K79</f>
        <v>23.142178999999999</v>
      </c>
      <c r="L79" s="49">
        <f>'6 - B1'!L79</f>
        <v>27.009053999999999</v>
      </c>
      <c r="M79" s="49">
        <f>'6 - B1'!M79</f>
        <v>27.353424</v>
      </c>
      <c r="N79" s="49">
        <f>'6 - B1'!N79</f>
        <v>24.829546000000001</v>
      </c>
      <c r="O79" s="49">
        <f>'6 - B1'!O79</f>
        <v>25.404947</v>
      </c>
      <c r="P79" s="49">
        <f>'6 - B1'!P79</f>
        <v>22.705496</v>
      </c>
    </row>
    <row r="80" spans="1:16" x14ac:dyDescent="0.35">
      <c r="A80" s="49">
        <f>'6 - B1'!A80</f>
        <v>38</v>
      </c>
      <c r="B80" s="49">
        <f>'6 - B1'!B80</f>
        <v>15.007329</v>
      </c>
      <c r="C80" s="49">
        <f>'6 - B1'!C80</f>
        <v>17.008292999999998</v>
      </c>
      <c r="D80" s="49">
        <f>'6 - B1'!D80</f>
        <v>14.835198999999999</v>
      </c>
      <c r="E80" s="49">
        <f>'6 - B1'!E80</f>
        <v>16.196297000000001</v>
      </c>
      <c r="F80" s="49">
        <f>'6 - B1'!F80</f>
        <v>13.159903999999999</v>
      </c>
      <c r="G80" s="49">
        <f>'6 - B1'!G80</f>
        <v>16.905374999999999</v>
      </c>
      <c r="H80" s="49">
        <f>'6 - B1'!H80</f>
        <v>15.400964</v>
      </c>
      <c r="I80" s="49">
        <f>'6 - B1'!I80</f>
        <v>16.763359000000001</v>
      </c>
      <c r="J80" s="49">
        <f>'6 - B1'!J80</f>
        <v>17.716688000000001</v>
      </c>
      <c r="K80" s="49">
        <f>'6 - B1'!K80</f>
        <v>16.517838000000001</v>
      </c>
      <c r="L80" s="49">
        <f>'6 - B1'!L80</f>
        <v>18.130645999999999</v>
      </c>
      <c r="M80" s="49">
        <f>'6 - B1'!M80</f>
        <v>19.181805000000001</v>
      </c>
      <c r="N80" s="49">
        <f>'6 - B1'!N80</f>
        <v>16.378788</v>
      </c>
      <c r="O80" s="49">
        <f>'6 - B1'!O80</f>
        <v>17.109455000000001</v>
      </c>
      <c r="P80" s="49">
        <f>'6 - B1'!P80</f>
        <v>15.593963</v>
      </c>
    </row>
    <row r="81" spans="1:16" x14ac:dyDescent="0.35">
      <c r="A81" s="49">
        <f>'6 - B1'!A81</f>
        <v>50</v>
      </c>
      <c r="B81" s="49">
        <f>'6 - B1'!B81</f>
        <v>10.468076</v>
      </c>
      <c r="C81" s="49">
        <f>'6 - B1'!C81</f>
        <v>11.254244</v>
      </c>
      <c r="D81" s="49">
        <f>'6 - B1'!D81</f>
        <v>10.461817</v>
      </c>
      <c r="E81" s="49">
        <f>'6 - B1'!E81</f>
        <v>9.9212910000000001</v>
      </c>
      <c r="F81" s="49">
        <f>'6 - B1'!F81</f>
        <v>8.1506500000000006</v>
      </c>
      <c r="G81" s="49">
        <f>'6 - B1'!G81</f>
        <v>11.1464</v>
      </c>
      <c r="H81" s="49">
        <f>'6 - B1'!H81</f>
        <v>9.9500609999999998</v>
      </c>
      <c r="I81" s="49">
        <f>'6 - B1'!I81</f>
        <v>10.683384</v>
      </c>
      <c r="J81" s="49">
        <f>'6 - B1'!J81</f>
        <v>10.922423999999999</v>
      </c>
      <c r="K81" s="49">
        <f>'6 - B1'!K81</f>
        <v>11.097922000000001</v>
      </c>
      <c r="L81" s="49">
        <f>'6 - B1'!L81</f>
        <v>11.682117</v>
      </c>
      <c r="M81" s="49">
        <f>'6 - B1'!M81</f>
        <v>12.386456000000001</v>
      </c>
      <c r="N81" s="49">
        <f>'6 - B1'!N81</f>
        <v>11.064394</v>
      </c>
      <c r="O81" s="49">
        <f>'6 - B1'!O81</f>
        <v>11.492715</v>
      </c>
      <c r="P81" s="49">
        <f>'6 - B1'!P81</f>
        <v>9.6819659999999992</v>
      </c>
    </row>
    <row r="82" spans="1:16" x14ac:dyDescent="0.35">
      <c r="A82" s="49">
        <f>'6 - B1'!A82</f>
        <v>70</v>
      </c>
      <c r="B82" s="49">
        <f>'6 - B1'!B82</f>
        <v>6.2067350000000001</v>
      </c>
      <c r="C82" s="49">
        <f>'6 - B1'!C82</f>
        <v>6.938707</v>
      </c>
      <c r="D82" s="49">
        <f>'6 - B1'!D82</f>
        <v>6.9459609999999996</v>
      </c>
      <c r="E82" s="49">
        <f>'6 - B1'!E82</f>
        <v>6.5293970000000003</v>
      </c>
      <c r="F82" s="49">
        <f>'6 - B1'!F82</f>
        <v>5.2639610000000001</v>
      </c>
      <c r="G82" s="49">
        <f>'6 - B1'!G82</f>
        <v>7.2451610000000004</v>
      </c>
      <c r="H82" s="49">
        <f>'6 - B1'!H82</f>
        <v>6.4026480000000001</v>
      </c>
      <c r="I82" s="49">
        <f>'6 - B1'!I82</f>
        <v>7.035399</v>
      </c>
      <c r="J82" s="49">
        <f>'6 - B1'!J82</f>
        <v>6.3642469999999998</v>
      </c>
      <c r="K82" s="49">
        <f>'6 - B1'!K82</f>
        <v>7.3986150000000004</v>
      </c>
      <c r="L82" s="49">
        <f>'6 - B1'!L82</f>
        <v>7.756926</v>
      </c>
      <c r="M82" s="49">
        <f>'6 - B1'!M82</f>
        <v>9.0317919999999994</v>
      </c>
      <c r="N82" s="49">
        <f>'6 - B1'!N82</f>
        <v>7.3181820000000002</v>
      </c>
      <c r="O82" s="49">
        <f>'6 - B1'!O82</f>
        <v>8.1226699999999994</v>
      </c>
      <c r="P82" s="49">
        <f>'6 - B1'!P82</f>
        <v>6.5117649999999996</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1" priority="1" operator="greaterThan">
      <formula>1000</formula>
    </cfRule>
  </conditionalFormatting>
  <conditionalFormatting sqref="K9:K40">
    <cfRule type="cellIs" dxfId="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7A51F5-BE18-4B18-B11C-2814223A00CE}">
  <sheetPr codeName="Sheet8"/>
  <dimension ref="A1:AN51"/>
  <sheetViews>
    <sheetView zoomScale="70" zoomScaleNormal="70" workbookViewId="0">
      <selection activeCell="H24" sqref="H24"/>
    </sheetView>
  </sheetViews>
  <sheetFormatPr defaultColWidth="11.53125" defaultRowHeight="12.75" x14ac:dyDescent="0.35"/>
  <cols>
    <col min="11" max="11" width="27.6640625" customWidth="1"/>
    <col min="12" max="12" width="15.3984375" customWidth="1"/>
  </cols>
  <sheetData>
    <row r="1" spans="1:16" ht="37.25" customHeight="1" x14ac:dyDescent="0.7">
      <c r="B1" s="52"/>
      <c r="K1" s="149"/>
      <c r="L1" s="149"/>
      <c r="M1" s="149"/>
      <c r="N1" s="149"/>
      <c r="O1" s="149"/>
    </row>
    <row r="2" spans="1:16" ht="52.15" x14ac:dyDescent="0.5">
      <c r="B2" s="53" t="s">
        <v>109</v>
      </c>
      <c r="C2" s="53" t="s">
        <v>110</v>
      </c>
      <c r="D2" s="53" t="s">
        <v>111</v>
      </c>
      <c r="E2" s="53" t="s">
        <v>112</v>
      </c>
      <c r="F2" s="54" t="s">
        <v>113</v>
      </c>
      <c r="G2" s="55" t="s">
        <v>62</v>
      </c>
      <c r="H2" s="56" t="s">
        <v>114</v>
      </c>
      <c r="K2" s="57" t="s">
        <v>115</v>
      </c>
      <c r="L2" s="58" t="s">
        <v>116</v>
      </c>
      <c r="M2" s="58" t="s">
        <v>117</v>
      </c>
      <c r="O2" s="11"/>
      <c r="P2" s="11"/>
    </row>
    <row r="3" spans="1:16" ht="26.25" x14ac:dyDescent="0.45">
      <c r="B3" s="54" t="s">
        <v>118</v>
      </c>
      <c r="C3" s="54" t="s">
        <v>118</v>
      </c>
      <c r="D3" s="54" t="s">
        <v>118</v>
      </c>
      <c r="E3" s="54" t="s">
        <v>118</v>
      </c>
      <c r="F3" s="54"/>
      <c r="G3" s="59" t="s">
        <v>119</v>
      </c>
      <c r="H3" s="59" t="s">
        <v>120</v>
      </c>
      <c r="K3" s="60" t="s">
        <v>121</v>
      </c>
      <c r="L3" s="58" t="str">
        <f>"/ml"</f>
        <v>/ml</v>
      </c>
      <c r="M3" s="58"/>
      <c r="O3" s="61"/>
      <c r="P3" s="62"/>
    </row>
    <row r="4" spans="1:16" ht="13.9" x14ac:dyDescent="0.4">
      <c r="A4" s="84">
        <v>30</v>
      </c>
      <c r="B4" s="86">
        <f>'6 - B1'!$L38</f>
        <v>5.7987667560321716</v>
      </c>
      <c r="C4" s="86">
        <f>'6 - B2'!$L38</f>
        <v>6.0026663538873999</v>
      </c>
      <c r="D4" s="86">
        <f>'6 - B3'!$L38</f>
        <v>6.7511709785522784</v>
      </c>
      <c r="E4" s="87">
        <f t="shared" ref="E4:E33" si="0">AVERAGE(B4:D4)</f>
        <v>6.1842013628239494</v>
      </c>
      <c r="F4" s="88">
        <f>'Clause 6'!D22</f>
        <v>16000.000000000053</v>
      </c>
      <c r="G4" s="84">
        <f>'6 - B1'!$M38+'6 - B2'!$M38+'6 - B3'!$M38</f>
        <v>14</v>
      </c>
      <c r="H4" s="22">
        <f>STDEVP('6 - B1'!$B38:F38,'6 - B2'!B38:F38,'6 - B3'!B38:F38)/SQRT(G4)</f>
        <v>0.17499746125483676</v>
      </c>
      <c r="K4" s="63">
        <v>4</v>
      </c>
      <c r="L4" s="64">
        <v>10563.4</v>
      </c>
      <c r="M4" s="82">
        <f>CubicSpline(L4,$E$4:$E$33,$F$4:$F$33)</f>
        <v>120.09349087121296</v>
      </c>
    </row>
    <row r="5" spans="1:16" ht="13.9" x14ac:dyDescent="0.4">
      <c r="A5" s="84">
        <v>29</v>
      </c>
      <c r="B5" s="86">
        <f>'6 - B1'!$L37</f>
        <v>9.1717587801608573</v>
      </c>
      <c r="C5" s="86">
        <f>'6 - B2'!$L37</f>
        <v>9.3753684048257391</v>
      </c>
      <c r="D5" s="86">
        <f>'6 - B3'!$L37</f>
        <v>9.8123247184986599</v>
      </c>
      <c r="E5" s="87">
        <f t="shared" si="0"/>
        <v>9.4531506344950866</v>
      </c>
      <c r="F5" s="88">
        <f>'Clause 6'!D23</f>
        <v>13515.939313205179</v>
      </c>
      <c r="G5" s="84">
        <f>'6 - B1'!$M37+'6 - B2'!$M37+'6 - B3'!$M37</f>
        <v>14</v>
      </c>
      <c r="H5" s="22">
        <f>STDEVP('6 - B1'!$B37:F37,'6 - B2'!B37:F37,'6 - B3'!B37:F37)/SQRT(G5)</f>
        <v>0.16681449939480542</v>
      </c>
      <c r="K5" s="63">
        <v>5</v>
      </c>
      <c r="L5" s="64">
        <v>6899.8</v>
      </c>
      <c r="M5" s="82">
        <f t="shared" ref="M5:M9" si="1">CubicSpline(L5,$E$4:$E$33,$F$4:$F$33)</f>
        <v>206.29024422435069</v>
      </c>
    </row>
    <row r="6" spans="1:16" ht="13.9" x14ac:dyDescent="0.4">
      <c r="A6" s="84">
        <v>28</v>
      </c>
      <c r="B6" s="86">
        <f>'6 - B1'!$L36</f>
        <v>13.733453987935658</v>
      </c>
      <c r="C6" s="86">
        <f>'6 - B2'!$L36</f>
        <v>14.516821876675603</v>
      </c>
      <c r="D6" s="86">
        <f>'6 - B3'!$L36</f>
        <v>15.055369182305631</v>
      </c>
      <c r="E6" s="87">
        <f t="shared" si="0"/>
        <v>14.435215015638965</v>
      </c>
      <c r="F6" s="88">
        <f>'Clause 6'!D24</f>
        <v>11417.538469890293</v>
      </c>
      <c r="G6" s="84">
        <f>'6 - B1'!$M36+'6 - B2'!$M36+'6 - B3'!$M36</f>
        <v>14</v>
      </c>
      <c r="H6" s="22">
        <f>STDEVP('6 - B1'!$B36:F36,'6 - B2'!B36:F36,'6 - B3'!B36:F36)/SQRT(G6)</f>
        <v>0.27208757777527154</v>
      </c>
      <c r="K6" s="63">
        <v>6</v>
      </c>
      <c r="L6" s="64">
        <v>4593.5</v>
      </c>
      <c r="M6" s="82">
        <f t="shared" si="1"/>
        <v>331.25798092741638</v>
      </c>
    </row>
    <row r="7" spans="1:16" ht="13.9" x14ac:dyDescent="0.4">
      <c r="A7" s="84">
        <v>27</v>
      </c>
      <c r="B7" s="86">
        <f>'6 - B1'!$L35</f>
        <v>21.00535695710456</v>
      </c>
      <c r="C7" s="86">
        <f>'6 - B2'!$L35</f>
        <v>20.554071890080429</v>
      </c>
      <c r="D7" s="86">
        <f>'6 - B3'!$L35</f>
        <v>22.184076018766756</v>
      </c>
      <c r="E7" s="87">
        <f t="shared" si="0"/>
        <v>21.247834955317249</v>
      </c>
      <c r="F7" s="88">
        <f>'Clause 6'!D25</f>
        <v>9644.9223165763869</v>
      </c>
      <c r="G7" s="84">
        <f>'6 - B1'!$M35+'6 - B2'!$M35+'6 - B3'!$M35</f>
        <v>15</v>
      </c>
      <c r="H7" s="22">
        <f>STDEVP('6 - B1'!$B35:F35,'6 - B2'!B35:F35,'6 - B3'!B35:F35)/SQRT(G7)</f>
        <v>0.30656387847258326</v>
      </c>
      <c r="K7" s="63">
        <v>7</v>
      </c>
      <c r="L7" s="64">
        <v>3202.3</v>
      </c>
      <c r="M7" s="82">
        <f t="shared" si="1"/>
        <v>474.80044260114602</v>
      </c>
    </row>
    <row r="8" spans="1:16" ht="13.9" x14ac:dyDescent="0.4">
      <c r="A8" s="84">
        <v>26</v>
      </c>
      <c r="B8" s="86">
        <f>'6 - B1'!$L34</f>
        <v>30.069526926943702</v>
      </c>
      <c r="C8" s="86">
        <f>'6 - B2'!$L34</f>
        <v>29.843926434316352</v>
      </c>
      <c r="D8" s="86">
        <f>'6 - B3'!$L34</f>
        <v>32.824668552278823</v>
      </c>
      <c r="E8" s="87">
        <f t="shared" si="0"/>
        <v>30.91270730451296</v>
      </c>
      <c r="F8" s="88">
        <f>'Clause 6'!D26</f>
        <v>8147.5115444640205</v>
      </c>
      <c r="G8" s="84">
        <f>'6 - B1'!$M34+'6 - B2'!$M34+'6 - B3'!$M34</f>
        <v>14</v>
      </c>
      <c r="H8" s="22">
        <f>STDEVP('6 - B1'!$B34:F34,'6 - B2'!B34:F34,'6 - B3'!B34:F34)/SQRT(G8)</f>
        <v>0.4535171318913635</v>
      </c>
      <c r="K8" s="63">
        <v>8</v>
      </c>
      <c r="L8" s="64">
        <v>2184.8000000000002</v>
      </c>
      <c r="M8" s="82">
        <f t="shared" si="1"/>
        <v>657.53175527720884</v>
      </c>
    </row>
    <row r="9" spans="1:16" ht="13.9" x14ac:dyDescent="0.4">
      <c r="A9" s="84">
        <v>25</v>
      </c>
      <c r="B9" s="86">
        <f>'6 - B1'!$L33</f>
        <v>43.786075469168907</v>
      </c>
      <c r="C9" s="86">
        <f>'6 - B2'!$L33</f>
        <v>41.721185268096512</v>
      </c>
      <c r="D9" s="86">
        <f>'6 - B3'!$L33</f>
        <v>45.854299316353888</v>
      </c>
      <c r="E9" s="87">
        <f t="shared" si="0"/>
        <v>43.787186684539769</v>
      </c>
      <c r="F9" s="88">
        <f>'Clause 6'!D27</f>
        <v>6882.5794742883709</v>
      </c>
      <c r="G9" s="84">
        <f>'6 - B1'!$M33+'6 - B2'!$M33+'6 - B3'!$M33</f>
        <v>15</v>
      </c>
      <c r="H9" s="22">
        <f>STDEVP('6 - B1'!$B33:F33,'6 - B2'!B33:F33,'6 - B3'!B33:F33)/SQRT(G9)</f>
        <v>0.55453830571420204</v>
      </c>
      <c r="K9" s="63">
        <v>9</v>
      </c>
      <c r="L9" s="64">
        <v>1501.7</v>
      </c>
      <c r="M9" s="82">
        <f t="shared" si="1"/>
        <v>864.86959973830517</v>
      </c>
    </row>
    <row r="10" spans="1:16" ht="13.9" x14ac:dyDescent="0.4">
      <c r="A10" s="84">
        <v>24</v>
      </c>
      <c r="B10" s="86">
        <f>'6 - B1'!$L32</f>
        <v>60.74941627010724</v>
      </c>
      <c r="C10" s="86">
        <f>'6 - B2'!$L32</f>
        <v>58.799373967828423</v>
      </c>
      <c r="D10" s="86">
        <f>'6 - B3'!$L32</f>
        <v>63.895221487935657</v>
      </c>
      <c r="E10" s="87">
        <f t="shared" si="0"/>
        <v>61.148003908623771</v>
      </c>
      <c r="F10" s="88">
        <f>'Clause 6'!D28</f>
        <v>5814.0329057995577</v>
      </c>
      <c r="G10" s="84">
        <f>'6 - B1'!$M32+'6 - B2'!$M32+'6 - B3'!$M32</f>
        <v>14</v>
      </c>
      <c r="H10" s="22">
        <f>STDEVP('6 - B1'!$B32:F32,'6 - B2'!B32:F32,'6 - B3'!B32:F32)/SQRT(G10)</f>
        <v>0.72134076120373136</v>
      </c>
      <c r="K10" s="63">
        <v>10</v>
      </c>
      <c r="L10" s="64">
        <v>1069.5</v>
      </c>
      <c r="M10" s="82">
        <f t="shared" ref="M10:M30" si="2">CubicSpline(L10,$E$4:$E$33,$F$4:$F$33)</f>
        <v>1078.9056437532035</v>
      </c>
    </row>
    <row r="11" spans="1:16" ht="13.9" x14ac:dyDescent="0.4">
      <c r="A11" s="84">
        <v>23</v>
      </c>
      <c r="B11" s="86">
        <f>'6 - B1'!$L31</f>
        <v>84.93957391420912</v>
      </c>
      <c r="C11" s="86">
        <f>'6 - B2'!$L31</f>
        <v>80.657132734584451</v>
      </c>
      <c r="D11" s="86">
        <f>'6 - B3'!$L31</f>
        <v>87.737609396782858</v>
      </c>
      <c r="E11" s="87">
        <f t="shared" si="0"/>
        <v>84.444772015192143</v>
      </c>
      <c r="F11" s="88">
        <f>'Clause 6'!D29</f>
        <v>4911.3822449852833</v>
      </c>
      <c r="G11" s="84">
        <f>'6 - B1'!$M31+'6 - B2'!$M31+'6 - B3'!$M31</f>
        <v>15</v>
      </c>
      <c r="H11" s="22">
        <f>STDEVP('6 - B1'!$B31:F31,'6 - B2'!B31:F31,'6 - B3'!B31:F31)/SQRT(G11)</f>
        <v>0.92153352406387901</v>
      </c>
      <c r="K11" s="63">
        <v>11</v>
      </c>
      <c r="L11" s="64">
        <v>779</v>
      </c>
      <c r="M11" s="82">
        <f t="shared" si="2"/>
        <v>1311.2249883465072</v>
      </c>
    </row>
    <row r="12" spans="1:16" ht="13.9" x14ac:dyDescent="0.4">
      <c r="A12" s="84">
        <v>22</v>
      </c>
      <c r="B12" s="86">
        <f>'6 - B1'!$L30</f>
        <v>115.06280726541556</v>
      </c>
      <c r="C12" s="86">
        <f>'6 - B2'!$L30</f>
        <v>109.7020237533512</v>
      </c>
      <c r="D12" s="86">
        <f>'6 - B3'!$L30</f>
        <v>118.79621383378017</v>
      </c>
      <c r="E12" s="87">
        <f t="shared" si="0"/>
        <v>114.52034828418232</v>
      </c>
      <c r="F12" s="88">
        <f>'Clause 6'!D30</f>
        <v>4148.8715229483923</v>
      </c>
      <c r="G12" s="84">
        <f>'6 - B1'!$M30+'6 - B2'!$M30+'6 - B3'!$M30</f>
        <v>15</v>
      </c>
      <c r="H12" s="22">
        <f>STDEVP('6 - B1'!$B30:F30,'6 - B2'!B30:F30,'6 - B3'!B30:F30)/SQRT(G12)</f>
        <v>1.0400814873278454</v>
      </c>
      <c r="K12" s="63">
        <v>12</v>
      </c>
      <c r="L12" s="64">
        <v>583.4</v>
      </c>
      <c r="M12" s="82">
        <f t="shared" si="2"/>
        <v>1560.9261757065335</v>
      </c>
    </row>
    <row r="13" spans="1:16" ht="13.9" x14ac:dyDescent="0.4">
      <c r="A13" s="84">
        <v>21</v>
      </c>
      <c r="B13" s="86">
        <f>'6 - B1'!$L29</f>
        <v>154.10313723860594</v>
      </c>
      <c r="C13" s="86">
        <f>'6 - B2'!$L29</f>
        <v>147.23447449061663</v>
      </c>
      <c r="D13" s="86">
        <f>'6 - B3'!$L29</f>
        <v>158.2989027479893</v>
      </c>
      <c r="E13" s="87">
        <f t="shared" si="0"/>
        <v>153.21217149240394</v>
      </c>
      <c r="F13" s="88">
        <f>'Clause 6'!D31</f>
        <v>3504.7434826534645</v>
      </c>
      <c r="G13" s="84">
        <f>'6 - B1'!$M29+'6 - B2'!$M29+'6 - B3'!$M29</f>
        <v>15</v>
      </c>
      <c r="H13" s="22">
        <f>STDEVP('6 - B1'!$B29:F29,'6 - B2'!B29:F29,'6 - B3'!B29:F29)/SQRT(G13)</f>
        <v>1.3007768752713895</v>
      </c>
      <c r="K13" s="63">
        <v>13</v>
      </c>
      <c r="L13" s="64">
        <v>453.2</v>
      </c>
      <c r="M13" s="82">
        <f t="shared" si="2"/>
        <v>1817.7486603661041</v>
      </c>
    </row>
    <row r="14" spans="1:16" ht="13.9" x14ac:dyDescent="0.4">
      <c r="A14" s="84">
        <v>20</v>
      </c>
      <c r="B14" s="86">
        <f>'6 - B1'!$L28</f>
        <v>205.33434180965145</v>
      </c>
      <c r="C14" s="86">
        <f>'6 - B2'!$L28</f>
        <v>194.82425341823054</v>
      </c>
      <c r="D14" s="86">
        <f>'6 - B3'!$L28</f>
        <v>210.44716739946381</v>
      </c>
      <c r="E14" s="87">
        <f t="shared" si="0"/>
        <v>203.53525420911524</v>
      </c>
      <c r="F14" s="88">
        <f>'Clause 6'!D32</f>
        <v>2960.618763743465</v>
      </c>
      <c r="G14" s="84">
        <f>'6 - B1'!$M28+'6 - B2'!$M28+'6 - B3'!$M28</f>
        <v>15</v>
      </c>
      <c r="H14" s="22">
        <f>STDEVP('6 - B1'!$B28:F28,'6 - B2'!B28:F28,'6 - B3'!B28:F28)/SQRT(G14)</f>
        <v>2.0641958977629775</v>
      </c>
      <c r="K14" s="63">
        <v>14</v>
      </c>
      <c r="L14" s="64">
        <v>364.1</v>
      </c>
      <c r="M14" s="82">
        <f t="shared" si="2"/>
        <v>2076.104177241566</v>
      </c>
    </row>
    <row r="15" spans="1:16" ht="13.9" x14ac:dyDescent="0.4">
      <c r="A15" s="84">
        <v>19</v>
      </c>
      <c r="B15" s="86">
        <f>'6 - B1'!$L27</f>
        <v>269.78739887399468</v>
      </c>
      <c r="C15" s="86">
        <f>'6 - B2'!$L27</f>
        <v>258.22858079088473</v>
      </c>
      <c r="D15" s="86">
        <f>'6 - B3'!$L27</f>
        <v>277.58180608579084</v>
      </c>
      <c r="E15" s="87">
        <f t="shared" si="0"/>
        <v>268.53259525022344</v>
      </c>
      <c r="F15" s="88">
        <f>'Clause 6'!D33</f>
        <v>2500.9714712683176</v>
      </c>
      <c r="G15" s="84">
        <f>'6 - B1'!$M27+'6 - B2'!$M27+'6 - B3'!$M27</f>
        <v>15</v>
      </c>
      <c r="H15" s="22">
        <f>STDEVP('6 - B1'!$B27:F27,'6 - B2'!B27:F27,'6 - B3'!B27:F27)/SQRT(G15)</f>
        <v>2.4142117966393855</v>
      </c>
      <c r="K15" s="63">
        <v>15</v>
      </c>
      <c r="L15" s="64">
        <v>296.89999999999998</v>
      </c>
      <c r="M15" s="82">
        <f t="shared" si="2"/>
        <v>2352.5240188478733</v>
      </c>
    </row>
    <row r="16" spans="1:16" ht="13.9" x14ac:dyDescent="0.4">
      <c r="A16" s="84">
        <v>18</v>
      </c>
      <c r="B16" s="86">
        <f>'6 - B1'!$L26</f>
        <v>353.48234738605896</v>
      </c>
      <c r="C16" s="86">
        <f>'6 - B2'!$L26</f>
        <v>341.31214714477215</v>
      </c>
      <c r="D16" s="86">
        <f>'6 - B3'!$L26</f>
        <v>365.88497420911528</v>
      </c>
      <c r="E16" s="87">
        <f t="shared" si="0"/>
        <v>353.55982291331549</v>
      </c>
      <c r="F16" s="88">
        <f>'Clause 6'!D34</f>
        <v>2112.6861643574962</v>
      </c>
      <c r="G16" s="84">
        <f>'6 - B1'!$M26+'6 - B2'!$M26+'6 - B3'!$M26</f>
        <v>15</v>
      </c>
      <c r="H16" s="22">
        <f>STDEVP('6 - B1'!$B26:F26,'6 - B2'!B26:F26,'6 - B3'!B26:F26)/SQRT(G16)</f>
        <v>3.1182008152180263</v>
      </c>
      <c r="K16" s="63">
        <v>16</v>
      </c>
      <c r="L16" s="64">
        <v>246.4</v>
      </c>
      <c r="M16" s="82">
        <f t="shared" si="2"/>
        <v>2635.4838729240937</v>
      </c>
    </row>
    <row r="17" spans="1:13" ht="13.9" x14ac:dyDescent="0.4">
      <c r="A17" s="84">
        <v>17</v>
      </c>
      <c r="B17" s="86">
        <f>'6 - B1'!$L25</f>
        <v>464.52857863270782</v>
      </c>
      <c r="C17" s="86">
        <f>'6 - B2'!$L25</f>
        <v>455.99140631367288</v>
      </c>
      <c r="D17" s="86">
        <f>'6 - B3'!$L25</f>
        <v>481.82392117962462</v>
      </c>
      <c r="E17" s="87">
        <f t="shared" si="0"/>
        <v>467.44796870866844</v>
      </c>
      <c r="F17" s="88">
        <f>'Clause 6'!D35</f>
        <v>1784.683624081503</v>
      </c>
      <c r="G17" s="84">
        <f>'6 - B1'!$M25+'6 - B2'!$M25+'6 - B3'!$M25</f>
        <v>15</v>
      </c>
      <c r="H17" s="22">
        <f>STDEVP('6 - B1'!$B25:F25,'6 - B2'!B25:F25,'6 - B3'!B25:F25)/SQRT(G17)</f>
        <v>3.5031645672611718</v>
      </c>
      <c r="K17" s="63">
        <v>17</v>
      </c>
      <c r="L17" s="64">
        <v>208.5</v>
      </c>
      <c r="M17" s="82">
        <f t="shared" si="2"/>
        <v>2918.7112229169315</v>
      </c>
    </row>
    <row r="18" spans="1:13" ht="13.9" x14ac:dyDescent="0.4">
      <c r="A18" s="84">
        <v>16</v>
      </c>
      <c r="B18" s="86">
        <f>'6 - B1'!$L24</f>
        <v>612.75138282841817</v>
      </c>
      <c r="C18" s="86">
        <f>'6 - B2'!$L24</f>
        <v>604.15886013404827</v>
      </c>
      <c r="D18" s="86">
        <f>'6 - B3'!$L24</f>
        <v>638.14537963806981</v>
      </c>
      <c r="E18" s="87">
        <f t="shared" si="0"/>
        <v>618.35187420017871</v>
      </c>
      <c r="F18" s="88">
        <f>'Clause 6'!D36</f>
        <v>1507.6047222722875</v>
      </c>
      <c r="G18" s="84">
        <f>'6 - B1'!$M24+'6 - B2'!$M24+'6 - B3'!$M24</f>
        <v>15</v>
      </c>
      <c r="H18" s="22">
        <f>STDEVP('6 - B1'!$B24:F24,'6 - B2'!B24:F24,'6 - B3'!B24:F24)/SQRT(G18)</f>
        <v>4.6393389134681584</v>
      </c>
      <c r="K18" s="63">
        <v>18</v>
      </c>
      <c r="L18" s="64">
        <v>178.7</v>
      </c>
      <c r="M18" s="82">
        <f t="shared" si="2"/>
        <v>3200.4815818943962</v>
      </c>
    </row>
    <row r="19" spans="1:13" ht="13.9" x14ac:dyDescent="0.4">
      <c r="A19" s="84">
        <v>15</v>
      </c>
      <c r="B19" s="86">
        <f>'6 - B1'!$L23</f>
        <v>805.64541402144766</v>
      </c>
      <c r="C19" s="86">
        <f>'6 - B2'!$L23</f>
        <v>801.45247209115291</v>
      </c>
      <c r="D19" s="86">
        <f>'6 - B3'!$L23</f>
        <v>845.80239136729233</v>
      </c>
      <c r="E19" s="87">
        <f t="shared" si="0"/>
        <v>817.63342582663097</v>
      </c>
      <c r="F19" s="88">
        <f>'Clause 6'!D37</f>
        <v>1273.5433709083575</v>
      </c>
      <c r="G19" s="84">
        <f>'6 - B1'!$M23+'6 - B2'!$M23+'6 - B3'!$M23</f>
        <v>15</v>
      </c>
      <c r="H19" s="22">
        <f>STDEVP('6 - B1'!$B23:F23,'6 - B2'!B23:F23,'6 - B3'!B23:F23)/SQRT(G19)</f>
        <v>6.1788518805147383</v>
      </c>
      <c r="K19" s="63">
        <v>19</v>
      </c>
      <c r="L19" s="64">
        <v>153.30000000000001</v>
      </c>
      <c r="M19" s="82">
        <f t="shared" si="2"/>
        <v>3503.5923911680707</v>
      </c>
    </row>
    <row r="20" spans="1:13" ht="13.9" x14ac:dyDescent="0.4">
      <c r="A20" s="84">
        <v>14</v>
      </c>
      <c r="B20" s="86">
        <f>'6 - B1'!$L22</f>
        <v>1053.2430954691688</v>
      </c>
      <c r="C20" s="86">
        <f>'6 - B2'!$L22</f>
        <v>1058.7021013002682</v>
      </c>
      <c r="D20" s="86">
        <f>'6 - B3'!$L22</f>
        <v>1111.3862442493296</v>
      </c>
      <c r="E20" s="87">
        <f t="shared" si="0"/>
        <v>1074.443813672922</v>
      </c>
      <c r="F20" s="88">
        <f>'Clause 6'!D38</f>
        <v>1075.8209321207535</v>
      </c>
      <c r="G20" s="84">
        <f>'6 - B1'!$M22+'6 - B2'!$M22+'6 - B3'!$M22</f>
        <v>15</v>
      </c>
      <c r="H20" s="22">
        <f>STDEVP('6 - B1'!$B22:F22,'6 - B2'!B22:F22,'6 - B3'!B22:F22)/SQRT(G20)</f>
        <v>7.8216576201255137</v>
      </c>
      <c r="K20" s="63">
        <v>20</v>
      </c>
      <c r="L20" s="64">
        <v>130.4</v>
      </c>
      <c r="M20" s="82">
        <f t="shared" si="2"/>
        <v>3851.8731106348205</v>
      </c>
    </row>
    <row r="21" spans="1:13" ht="13.9" x14ac:dyDescent="0.4">
      <c r="A21" s="84">
        <v>13</v>
      </c>
      <c r="B21" s="86">
        <f>'6 - B1'!$L21</f>
        <v>1358.7335190348526</v>
      </c>
      <c r="C21" s="86">
        <f>'6 - B2'!$L21</f>
        <v>1380.6533756300269</v>
      </c>
      <c r="D21" s="86">
        <f>'6 - B3'!$L21</f>
        <v>1446.0856500268096</v>
      </c>
      <c r="E21" s="87">
        <f t="shared" si="0"/>
        <v>1395.1575148972297</v>
      </c>
      <c r="F21" s="88">
        <f>'Clause 6'!D39</f>
        <v>908.79565190124276</v>
      </c>
      <c r="G21" s="84">
        <f>'6 - B1'!$M21+'6 - B2'!$M21+'6 - B3'!$M21</f>
        <v>15</v>
      </c>
      <c r="H21" s="22">
        <f>STDEVP('6 - B1'!$B21:F21,'6 - B2'!B21:F21,'6 - B3'!B21:F21)/SQRT(G21)</f>
        <v>11.010565491023241</v>
      </c>
      <c r="K21" s="63">
        <v>21</v>
      </c>
      <c r="L21" s="64">
        <v>109.4</v>
      </c>
      <c r="M21" s="82">
        <f t="shared" si="2"/>
        <v>4256.3317191026899</v>
      </c>
    </row>
    <row r="22" spans="1:13" ht="13.9" x14ac:dyDescent="0.4">
      <c r="A22" s="84">
        <v>12</v>
      </c>
      <c r="B22" s="86">
        <f>'6 - B1'!$L20</f>
        <v>1721.6467251340484</v>
      </c>
      <c r="C22" s="86">
        <f>'6 - B2'!$L20</f>
        <v>1770.5561825067023</v>
      </c>
      <c r="D22" s="86">
        <f>'6 - B3'!$L20</f>
        <v>1844.5788738069707</v>
      </c>
      <c r="E22" s="87">
        <f t="shared" si="0"/>
        <v>1778.9272604825737</v>
      </c>
      <c r="F22" s="88">
        <f>'Clause 6'!D40</f>
        <v>767.70167995011843</v>
      </c>
      <c r="G22" s="84">
        <f>'6 - B1'!$M20+'6 - B2'!$M20+'6 - B3'!$M20</f>
        <v>15</v>
      </c>
      <c r="H22" s="22">
        <f>STDEVP('6 - B1'!$B20:F20,'6 - B2'!B20:F20,'6 - B3'!B20:F20)/SQRT(G22)</f>
        <v>14.67837290742674</v>
      </c>
      <c r="K22" s="63">
        <v>22</v>
      </c>
      <c r="L22" s="64">
        <v>91.3</v>
      </c>
      <c r="M22" s="82">
        <f t="shared" si="2"/>
        <v>4709.5951333061785</v>
      </c>
    </row>
    <row r="23" spans="1:13" ht="13.9" x14ac:dyDescent="0.4">
      <c r="A23" s="84">
        <v>11</v>
      </c>
      <c r="B23" s="86">
        <f>'6 - B1'!$L19</f>
        <v>2144.8544548927612</v>
      </c>
      <c r="C23" s="86">
        <f>'6 - B2'!$L19</f>
        <v>2219.0252013806971</v>
      </c>
      <c r="D23" s="86">
        <f>'6 - B3'!$L19</f>
        <v>2307.3109317292224</v>
      </c>
      <c r="E23" s="87">
        <f t="shared" si="0"/>
        <v>2223.7301960008936</v>
      </c>
      <c r="F23" s="88">
        <f>'Clause 6'!D41</f>
        <v>648.51308230321445</v>
      </c>
      <c r="G23" s="84">
        <f>'6 - B1'!$M19+'6 - B2'!$M19+'6 - B3'!$M19</f>
        <v>15</v>
      </c>
      <c r="H23" s="22">
        <f>STDEVP('6 - B1'!$B19:F19,'6 - B2'!B19:F19,'6 - B3'!B19:F19)/SQRT(G23)</f>
        <v>18.95229852480686</v>
      </c>
      <c r="K23" s="63">
        <v>23</v>
      </c>
      <c r="L23" s="64">
        <v>76.099999999999994</v>
      </c>
      <c r="M23" s="82">
        <f t="shared" si="2"/>
        <v>5189.9801970413155</v>
      </c>
    </row>
    <row r="24" spans="1:13" ht="13.9" x14ac:dyDescent="0.4">
      <c r="A24" s="84">
        <v>10</v>
      </c>
      <c r="B24" s="86">
        <f>'6 - B1'!$L18</f>
        <v>2620.6628973994639</v>
      </c>
      <c r="C24" s="86">
        <f>'6 - B2'!$L18</f>
        <v>2732.1154882573728</v>
      </c>
      <c r="D24" s="86">
        <f>'6 - B3'!$L18</f>
        <v>2836.1485537399467</v>
      </c>
      <c r="E24" s="87">
        <f t="shared" si="0"/>
        <v>2729.6423131322613</v>
      </c>
      <c r="F24" s="88">
        <f>'Clause 6'!D42</f>
        <v>547.82896651436579</v>
      </c>
      <c r="G24" s="84">
        <f>'6 - B1'!$M18+'6 - B2'!$M18+'6 - B3'!$M18</f>
        <v>15</v>
      </c>
      <c r="H24" s="22">
        <f>STDEVP('6 - B1'!$B18:F18,'6 - B2'!B18:F18,'6 - B3'!B18:F18)/SQRT(G24)</f>
        <v>24.75977065010612</v>
      </c>
      <c r="K24" s="63">
        <v>24</v>
      </c>
      <c r="L24" s="64">
        <v>63.1</v>
      </c>
      <c r="M24" s="82">
        <f t="shared" si="2"/>
        <v>5722.7532196247839</v>
      </c>
    </row>
    <row r="25" spans="1:13" ht="13.9" x14ac:dyDescent="0.4">
      <c r="A25" s="84">
        <v>9</v>
      </c>
      <c r="B25" s="86">
        <f>'6 - B1'!$L17</f>
        <v>3145.5339578418229</v>
      </c>
      <c r="C25" s="86">
        <f>'6 - B2'!$L17</f>
        <v>3307.4142955898124</v>
      </c>
      <c r="D25" s="86">
        <f>'6 - B3'!$L17</f>
        <v>3423.415501233244</v>
      </c>
      <c r="E25" s="87">
        <f t="shared" si="0"/>
        <v>3292.1212515549596</v>
      </c>
      <c r="F25" s="88">
        <f>'Clause 6'!D43</f>
        <v>462.77644158900353</v>
      </c>
      <c r="G25" s="84">
        <f>'6 - B1'!$M17+'6 - B2'!$M17+'6 - B3'!$M17</f>
        <v>15</v>
      </c>
      <c r="H25" s="22">
        <f>STDEVP('6 - B1'!$B17:F17,'6 - B2'!B17:F17,'6 - B3'!B17:F17)/SQRT(G25)</f>
        <v>31.631022131225951</v>
      </c>
      <c r="K25" s="63">
        <v>25</v>
      </c>
      <c r="L25" s="64">
        <v>52.1</v>
      </c>
      <c r="M25" s="82">
        <f t="shared" si="2"/>
        <v>6309.9821331356188</v>
      </c>
    </row>
    <row r="26" spans="1:13" ht="13.9" x14ac:dyDescent="0.4">
      <c r="A26" s="84">
        <v>8</v>
      </c>
      <c r="B26" s="86">
        <f>'6 - B1'!$L16</f>
        <v>3728.5291279892758</v>
      </c>
      <c r="C26" s="86">
        <f>'6 - B2'!$L16</f>
        <v>3947.5272677479893</v>
      </c>
      <c r="D26" s="86">
        <f>'6 - B3'!$L16</f>
        <v>4076.4330204557641</v>
      </c>
      <c r="E26" s="87">
        <f t="shared" si="0"/>
        <v>3917.4964720643434</v>
      </c>
      <c r="F26" s="88">
        <f>'Clause 6'!D44</f>
        <v>390.92864375612453</v>
      </c>
      <c r="G26" s="84">
        <f>'6 - B1'!$M16+'6 - B2'!$M16+'6 - B3'!$M16</f>
        <v>15</v>
      </c>
      <c r="H26" s="22">
        <f>STDEVP('6 - B1'!$B16:F16,'6 - B2'!B16:F16,'6 - B3'!B16:F16)/SQRT(G26)</f>
        <v>39.72757315198001</v>
      </c>
      <c r="K26" s="63">
        <v>26</v>
      </c>
      <c r="L26" s="64">
        <v>43</v>
      </c>
      <c r="M26" s="82">
        <f t="shared" si="2"/>
        <v>6943.2699490807136</v>
      </c>
    </row>
    <row r="27" spans="1:13" ht="13.9" x14ac:dyDescent="0.4">
      <c r="A27" s="84">
        <v>7</v>
      </c>
      <c r="B27" s="86">
        <f>'6 - B1'!$L15</f>
        <v>4372.0036350938335</v>
      </c>
      <c r="C27" s="86">
        <f>'6 - B2'!$L15</f>
        <v>4649.0971249329759</v>
      </c>
      <c r="D27" s="86">
        <f>'6 - B3'!$L15</f>
        <v>4799.1838830697052</v>
      </c>
      <c r="E27" s="87">
        <f t="shared" si="0"/>
        <v>4606.7615476988385</v>
      </c>
      <c r="F27" s="88">
        <f>'Clause 6'!D45</f>
        <v>330.2354890500855</v>
      </c>
      <c r="G27" s="84">
        <f>'6 - B1'!$M15+'6 - B2'!$M15+'6 - B3'!$M15</f>
        <v>15</v>
      </c>
      <c r="H27" s="22">
        <f>STDEVP('6 - B1'!$B15:F15,'6 - B2'!B15:F15,'6 - B3'!B15:F15)/SQRT(G27)</f>
        <v>48.703025313765572</v>
      </c>
      <c r="K27" s="63">
        <v>27</v>
      </c>
      <c r="L27" s="64">
        <v>35.700000000000003</v>
      </c>
      <c r="M27" s="82">
        <f t="shared" si="2"/>
        <v>7610.3717188202854</v>
      </c>
    </row>
    <row r="28" spans="1:13" ht="13.9" x14ac:dyDescent="0.4">
      <c r="A28" s="84">
        <v>6</v>
      </c>
      <c r="B28" s="86">
        <f>'6 - B1'!$L14</f>
        <v>5071.9644549195709</v>
      </c>
      <c r="C28" s="86">
        <f>'6 - B2'!$L14</f>
        <v>5417.1128178954432</v>
      </c>
      <c r="D28" s="86">
        <f>'6 - B3'!$L14</f>
        <v>5584.9145573592496</v>
      </c>
      <c r="E28" s="87">
        <f t="shared" si="0"/>
        <v>5357.9972767247555</v>
      </c>
      <c r="F28" s="88">
        <f>'Clause 6'!D46</f>
        <v>278.96517681672339</v>
      </c>
      <c r="G28" s="84">
        <f>'6 - B1'!$M14+'6 - B2'!$M14+'6 - B3'!$M14</f>
        <v>15</v>
      </c>
      <c r="H28" s="22">
        <f>STDEVP('6 - B1'!$B14:F14,'6 - B2'!B14:F14,'6 - B3'!B14:F14)/SQRT(G28)</f>
        <v>58.723925653566525</v>
      </c>
      <c r="K28" s="63">
        <v>28</v>
      </c>
      <c r="L28" s="64">
        <v>29.8</v>
      </c>
      <c r="M28" s="82">
        <f t="shared" si="2"/>
        <v>8285.2336278579623</v>
      </c>
    </row>
    <row r="29" spans="1:13" ht="13.9" x14ac:dyDescent="0.4">
      <c r="A29" s="84">
        <v>5</v>
      </c>
      <c r="B29" s="86">
        <f>'6 - B1'!$L13</f>
        <v>5832.2868907774809</v>
      </c>
      <c r="C29" s="86">
        <f>'6 - B2'!$L13</f>
        <v>6259.0103795710456</v>
      </c>
      <c r="D29" s="86">
        <f>'6 - B3'!$L13</f>
        <v>6448.7773921581775</v>
      </c>
      <c r="E29" s="87">
        <f t="shared" si="0"/>
        <v>6180.0248875022344</v>
      </c>
      <c r="F29" s="88">
        <f>'Clause 6'!D47</f>
        <v>235.6547750220233</v>
      </c>
      <c r="G29" s="84">
        <f>'6 - B1'!$M13+'6 - B2'!$M13+'6 - B3'!$M13</f>
        <v>15</v>
      </c>
      <c r="H29" s="22">
        <f>STDEVP('6 - B1'!$B13:F13,'6 - B2'!B13:F13,'6 - B3'!B13:F13)/SQRT(G29)</f>
        <v>70.429230933370164</v>
      </c>
      <c r="K29" s="63">
        <v>29</v>
      </c>
      <c r="L29" s="64">
        <v>25.2</v>
      </c>
      <c r="M29" s="82">
        <f t="shared" si="2"/>
        <v>8945.2208776149309</v>
      </c>
    </row>
    <row r="30" spans="1:13" ht="13.9" x14ac:dyDescent="0.4">
      <c r="A30" s="84">
        <v>4</v>
      </c>
      <c r="B30" s="86">
        <f>'6 - B1'!$L12</f>
        <v>6691.1288655764074</v>
      </c>
      <c r="C30" s="86">
        <f>'6 - B2'!$L12</f>
        <v>7208.8517928954434</v>
      </c>
      <c r="D30" s="86">
        <f>'6 - B3'!$L12</f>
        <v>7411.9305045308311</v>
      </c>
      <c r="E30" s="87">
        <f t="shared" si="0"/>
        <v>7103.9703876675603</v>
      </c>
      <c r="F30" s="88">
        <f>'Clause 6'!D48</f>
        <v>199.06847737904226</v>
      </c>
      <c r="G30" s="84">
        <f>'6 - B1'!$M12+'6 - B2'!$M12+'6 - B3'!$M12</f>
        <v>15</v>
      </c>
      <c r="H30" s="22">
        <f>STDEVP('6 - B1'!$B12:F12,'6 - B2'!B12:F12,'6 - B3'!B12:F12)/SQRT(G30)</f>
        <v>83.063326242586371</v>
      </c>
      <c r="K30" s="63">
        <v>30</v>
      </c>
      <c r="L30" s="64">
        <v>21.1</v>
      </c>
      <c r="M30" s="82">
        <f t="shared" si="2"/>
        <v>9673.8604689053445</v>
      </c>
    </row>
    <row r="31" spans="1:13" ht="13.9" x14ac:dyDescent="0.4">
      <c r="A31" s="84">
        <v>3</v>
      </c>
      <c r="B31" s="86">
        <f>'6 - B1'!$L11</f>
        <v>7637.3464991018773</v>
      </c>
      <c r="C31" s="86">
        <f>'6 - B2'!$L11</f>
        <v>8266.1708541689004</v>
      </c>
      <c r="D31" s="86">
        <f>'6 - B3'!$L11</f>
        <v>8484.826169289543</v>
      </c>
      <c r="E31" s="87">
        <f t="shared" si="0"/>
        <v>8129.4478408534405</v>
      </c>
      <c r="F31" s="88">
        <f>'Clause 6'!D49</f>
        <v>168.16234121420527</v>
      </c>
      <c r="G31" s="84">
        <f>'6 - B1'!$M11+'6 - B2'!$M11+'6 - B3'!$M11</f>
        <v>15</v>
      </c>
      <c r="H31" s="22">
        <f>STDEVP('6 - B1'!$B11:F11,'6 - B2'!B11:F11,'6 - B3'!B11:F11)/SQRT(G31)</f>
        <v>98.162026641620088</v>
      </c>
    </row>
    <row r="32" spans="1:13" ht="13.9" x14ac:dyDescent="0.4">
      <c r="A32" s="84">
        <v>2</v>
      </c>
      <c r="B32" s="86">
        <f>'6 - B1'!$L10</f>
        <v>8693.4511664209112</v>
      </c>
      <c r="C32" s="86">
        <f>'6 - B2'!$L10</f>
        <v>9434.669539410188</v>
      </c>
      <c r="D32" s="86">
        <f>'6 - B3'!$L10</f>
        <v>9682.3850378016105</v>
      </c>
      <c r="E32" s="87">
        <f t="shared" si="0"/>
        <v>9270.1685812109026</v>
      </c>
      <c r="F32" s="88">
        <f>'Clause 6'!D50</f>
        <v>142.05449991360581</v>
      </c>
      <c r="G32" s="84">
        <f>'6 - B1'!$M10+'6 - B2'!$M10+'6 - B3'!$M10</f>
        <v>15</v>
      </c>
      <c r="H32" s="22">
        <f>STDEVP('6 - B1'!$B10:F10,'6 - B2'!B10:F10,'6 - B3'!B10:F10)/SQRT(G32)</f>
        <v>115.00519096264881</v>
      </c>
      <c r="K32" s="27" t="s">
        <v>122</v>
      </c>
    </row>
    <row r="33" spans="1:40" ht="13.9" x14ac:dyDescent="0.4">
      <c r="A33" s="84">
        <v>1</v>
      </c>
      <c r="B33" s="86">
        <f>'6 - B1'!$L9</f>
        <v>9894.3058815415534</v>
      </c>
      <c r="C33" s="86">
        <f>'6 - B2'!$L9</f>
        <v>10770.072443592493</v>
      </c>
      <c r="D33" s="86">
        <f>'6 - B3'!$L9</f>
        <v>11043.666808820375</v>
      </c>
      <c r="E33" s="87">
        <f t="shared" si="0"/>
        <v>10569.348377984808</v>
      </c>
      <c r="F33" s="88">
        <f>'Clause 6'!D51</f>
        <v>120</v>
      </c>
      <c r="G33" s="84">
        <f>'6 - B1'!$M9+'6 - B2'!$M9+'6 - B3'!$M9</f>
        <v>15</v>
      </c>
      <c r="H33" s="22">
        <f>STDEVP('6 - B1'!$B9:F9,'6 - B2'!B9:F9,'6 - B3'!B9:F9)/SQRT(G33)</f>
        <v>133.87937968107747</v>
      </c>
    </row>
    <row r="34" spans="1:40" x14ac:dyDescent="0.35">
      <c r="B34" s="22"/>
      <c r="C34" s="22"/>
      <c r="D34" s="22"/>
      <c r="E34" s="22"/>
      <c r="F34" s="22"/>
    </row>
    <row r="35" spans="1:40" x14ac:dyDescent="0.35">
      <c r="B35" s="22"/>
      <c r="C35" s="22"/>
      <c r="D35" s="22"/>
      <c r="E35" s="22"/>
      <c r="F35" s="22"/>
    </row>
    <row r="36" spans="1:40" x14ac:dyDescent="0.35">
      <c r="B36" s="22"/>
      <c r="C36" s="22"/>
      <c r="D36" s="22"/>
      <c r="E36" s="22"/>
      <c r="F36" s="22"/>
    </row>
    <row r="37" spans="1:40" x14ac:dyDescent="0.35">
      <c r="B37" s="22"/>
      <c r="C37" s="22"/>
      <c r="D37" s="22"/>
      <c r="E37" s="22"/>
      <c r="F37" s="22"/>
    </row>
    <row r="38" spans="1:40" x14ac:dyDescent="0.35">
      <c r="B38" s="22"/>
      <c r="C38" s="22"/>
      <c r="D38" s="22"/>
      <c r="E38" s="22"/>
      <c r="F38" s="22"/>
    </row>
    <row r="42" spans="1:40" x14ac:dyDescent="0.35">
      <c r="M42" s="65"/>
      <c r="N42" s="65"/>
      <c r="O42" s="65"/>
      <c r="P42" s="65"/>
      <c r="Q42" s="65"/>
      <c r="R42" s="65"/>
      <c r="S42" s="65"/>
      <c r="T42" s="65"/>
      <c r="U42" s="65"/>
      <c r="V42" s="65"/>
      <c r="W42" s="65"/>
      <c r="X42" s="65"/>
      <c r="Y42" s="65"/>
      <c r="Z42" s="65"/>
      <c r="AA42" s="65"/>
      <c r="AB42" s="65"/>
      <c r="AC42" s="65"/>
      <c r="AD42" s="65"/>
      <c r="AE42" s="65"/>
      <c r="AF42" s="65"/>
      <c r="AG42" s="65"/>
      <c r="AH42" s="65"/>
      <c r="AI42" s="65"/>
      <c r="AJ42" s="65"/>
      <c r="AK42" s="65"/>
      <c r="AL42" s="65"/>
      <c r="AM42" s="65"/>
      <c r="AN42" s="65"/>
    </row>
    <row r="45" spans="1:40" x14ac:dyDescent="0.35">
      <c r="M45" s="65"/>
    </row>
    <row r="46" spans="1:40" x14ac:dyDescent="0.35">
      <c r="M46" s="65"/>
    </row>
    <row r="47" spans="1:40" x14ac:dyDescent="0.35">
      <c r="M47" s="65"/>
    </row>
    <row r="48" spans="1:40" x14ac:dyDescent="0.35">
      <c r="M48" s="65"/>
    </row>
    <row r="49" spans="13:13" x14ac:dyDescent="0.35">
      <c r="M49" s="65"/>
    </row>
    <row r="50" spans="13:13" x14ac:dyDescent="0.35">
      <c r="M50" s="65"/>
    </row>
    <row r="51" spans="13:13" x14ac:dyDescent="0.35">
      <c r="M51" s="65"/>
    </row>
  </sheetData>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27513-DD05-4B0F-8D1C-79E5C353CFA9}">
  <sheetPr codeName="Sheet9"/>
  <dimension ref="A1:Q46"/>
  <sheetViews>
    <sheetView zoomScale="85" zoomScaleNormal="85" workbookViewId="0">
      <selection activeCell="J6" sqref="J6"/>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7" t="s">
        <v>18</v>
      </c>
      <c r="B1" s="7"/>
      <c r="C1" s="17"/>
      <c r="D1" s="66" t="s">
        <v>123</v>
      </c>
    </row>
    <row r="2" spans="1:17" ht="13.15" x14ac:dyDescent="0.4">
      <c r="A2" s="7" t="s">
        <v>24</v>
      </c>
      <c r="B2" s="7"/>
      <c r="C2" s="7"/>
      <c r="D2" s="7" t="s">
        <v>124</v>
      </c>
    </row>
    <row r="3" spans="1:17" ht="13.15" x14ac:dyDescent="0.4">
      <c r="A3" s="7" t="s">
        <v>8</v>
      </c>
      <c r="B3" s="7"/>
      <c r="C3" s="7"/>
      <c r="D3" s="67"/>
    </row>
    <row r="4" spans="1:17" ht="13.15" x14ac:dyDescent="0.4">
      <c r="A4" s="7" t="s">
        <v>28</v>
      </c>
      <c r="B4" s="7"/>
      <c r="C4" s="7"/>
      <c r="D4" s="7" t="s">
        <v>124</v>
      </c>
    </row>
    <row r="5" spans="1:17" ht="13.15" x14ac:dyDescent="0.4">
      <c r="A5" s="7" t="s">
        <v>26</v>
      </c>
      <c r="B5" s="7"/>
      <c r="C5" s="7"/>
      <c r="D5" s="66" t="s">
        <v>123</v>
      </c>
    </row>
    <row r="6" spans="1:17" ht="13.15" x14ac:dyDescent="0.4">
      <c r="A6" s="17" t="s">
        <v>30</v>
      </c>
      <c r="B6" s="7"/>
      <c r="C6" s="7"/>
      <c r="D6" s="68" t="s">
        <v>125</v>
      </c>
    </row>
    <row r="7" spans="1:17" ht="13.15" x14ac:dyDescent="0.4">
      <c r="A7" s="7" t="s">
        <v>16</v>
      </c>
      <c r="B7" s="7"/>
      <c r="C7" s="7"/>
      <c r="D7" s="69" t="s">
        <v>17</v>
      </c>
    </row>
    <row r="10" spans="1:17" x14ac:dyDescent="0.35">
      <c r="A10" s="70" t="s">
        <v>126</v>
      </c>
      <c r="B10" s="70"/>
      <c r="C10" s="70"/>
      <c r="D10" s="70"/>
    </row>
    <row r="11" spans="1:17" ht="13.5" thickBot="1" x14ac:dyDescent="0.45">
      <c r="A11" s="70"/>
      <c r="B11" s="70"/>
      <c r="C11" s="70"/>
      <c r="D11" s="70"/>
      <c r="H11" s="27"/>
    </row>
    <row r="12" spans="1:17" ht="13.15" x14ac:dyDescent="0.4">
      <c r="A12" s="111">
        <v>49.4</v>
      </c>
      <c r="B12" s="130" t="s">
        <v>127</v>
      </c>
      <c r="C12" s="130" t="s">
        <v>128</v>
      </c>
      <c r="D12" s="131"/>
      <c r="F12" s="111">
        <v>39</v>
      </c>
      <c r="G12" s="71" t="s">
        <v>127</v>
      </c>
      <c r="H12" s="71" t="s">
        <v>128</v>
      </c>
      <c r="I12" s="39"/>
      <c r="J12" s="40"/>
      <c r="M12" s="111">
        <v>69.7</v>
      </c>
      <c r="N12" s="71" t="s">
        <v>127</v>
      </c>
      <c r="O12" s="71" t="s">
        <v>128</v>
      </c>
      <c r="P12" s="39"/>
      <c r="Q12" s="40"/>
    </row>
    <row r="13" spans="1:17" x14ac:dyDescent="0.35">
      <c r="A13" s="132">
        <f>(4/3)*(3.1415936)*((A12*0.000001/2)^3)</f>
        <v>6.3121832711697054E-14</v>
      </c>
      <c r="B13" s="70" t="s">
        <v>129</v>
      </c>
      <c r="C13" s="70" t="s">
        <v>130</v>
      </c>
      <c r="D13" s="133"/>
      <c r="F13" s="72">
        <f>(4/3)*(3.1415936)*((F12*0.000001/2)^3)</f>
        <v>3.1059365126399994E-14</v>
      </c>
      <c r="G13" s="70" t="s">
        <v>129</v>
      </c>
      <c r="H13" s="70" t="s">
        <v>130</v>
      </c>
      <c r="J13" s="45"/>
      <c r="M13" s="72">
        <f>(4/3)*(3.1415936)*((M12*0.000001/2)^3)</f>
        <v>1.7729524472000214E-13</v>
      </c>
      <c r="N13" s="70" t="s">
        <v>129</v>
      </c>
      <c r="O13" s="70" t="s">
        <v>130</v>
      </c>
      <c r="Q13" s="45"/>
    </row>
    <row r="14" spans="1:17" x14ac:dyDescent="0.35">
      <c r="A14" s="132">
        <f>A13*1.05*1000</f>
        <v>6.6277924347281912E-11</v>
      </c>
      <c r="B14" s="70" t="s">
        <v>131</v>
      </c>
      <c r="C14" s="70" t="s">
        <v>132</v>
      </c>
      <c r="D14" s="133"/>
      <c r="F14" s="72">
        <f>F13*1.05*1000</f>
        <v>3.2612333382719997E-11</v>
      </c>
      <c r="G14" s="70" t="s">
        <v>131</v>
      </c>
      <c r="H14" s="70" t="s">
        <v>132</v>
      </c>
      <c r="J14" s="45"/>
      <c r="M14" s="72">
        <f>M13*1.05*1000</f>
        <v>1.8616000695600225E-10</v>
      </c>
      <c r="N14" s="70" t="s">
        <v>131</v>
      </c>
      <c r="O14" s="70" t="s">
        <v>132</v>
      </c>
      <c r="Q14" s="45"/>
    </row>
    <row r="15" spans="1:17" x14ac:dyDescent="0.35">
      <c r="A15" s="132">
        <f>0.000001/A14</f>
        <v>15087.980045364991</v>
      </c>
      <c r="B15" s="70" t="s">
        <v>43</v>
      </c>
      <c r="C15" s="70" t="s">
        <v>133</v>
      </c>
      <c r="D15" s="133"/>
      <c r="F15" s="72">
        <f>0.000001/F14</f>
        <v>30663.245964787693</v>
      </c>
      <c r="G15" s="70" t="s">
        <v>43</v>
      </c>
      <c r="H15" s="70" t="s">
        <v>133</v>
      </c>
      <c r="J15" s="45"/>
      <c r="M15" s="72">
        <f>0.000001/M14</f>
        <v>5371.7230480999269</v>
      </c>
      <c r="N15" s="70" t="s">
        <v>43</v>
      </c>
      <c r="O15" s="70" t="s">
        <v>133</v>
      </c>
      <c r="Q15" s="45"/>
    </row>
    <row r="16" spans="1:17" ht="13.15" x14ac:dyDescent="0.4">
      <c r="A16" s="134">
        <v>5000</v>
      </c>
      <c r="B16" s="70"/>
      <c r="C16" s="70" t="s">
        <v>134</v>
      </c>
      <c r="D16" s="133"/>
      <c r="F16" s="73">
        <v>3000</v>
      </c>
      <c r="G16" s="70"/>
      <c r="H16" s="70" t="s">
        <v>134</v>
      </c>
      <c r="J16" s="45"/>
      <c r="M16" s="73">
        <v>2000</v>
      </c>
      <c r="N16" s="70"/>
      <c r="O16" s="70" t="s">
        <v>134</v>
      </c>
      <c r="Q16" s="45"/>
    </row>
    <row r="17" spans="1:17" x14ac:dyDescent="0.35">
      <c r="A17" s="135">
        <f>A16/A15*1000</f>
        <v>331.38962173640959</v>
      </c>
      <c r="B17" s="70" t="s">
        <v>135</v>
      </c>
      <c r="C17" s="70" t="s">
        <v>136</v>
      </c>
      <c r="D17" s="133"/>
      <c r="F17" s="74">
        <f>F16/F15*1000</f>
        <v>97.837000148159987</v>
      </c>
      <c r="G17" s="70" t="s">
        <v>135</v>
      </c>
      <c r="H17" s="70" t="s">
        <v>136</v>
      </c>
      <c r="J17" s="45"/>
      <c r="M17" s="74">
        <f>M16/M15*1000</f>
        <v>372.32001391200447</v>
      </c>
      <c r="N17" s="70" t="s">
        <v>135</v>
      </c>
      <c r="O17" s="70" t="s">
        <v>136</v>
      </c>
      <c r="Q17" s="45"/>
    </row>
    <row r="18" spans="1:17" ht="13.15" x14ac:dyDescent="0.4">
      <c r="A18" s="134">
        <v>0.20280000000000001</v>
      </c>
      <c r="B18" s="70" t="s">
        <v>137</v>
      </c>
      <c r="C18" s="70" t="s">
        <v>138</v>
      </c>
      <c r="D18" s="133"/>
      <c r="F18" s="73">
        <v>0.2</v>
      </c>
      <c r="G18" s="70" t="s">
        <v>137</v>
      </c>
      <c r="H18" s="70" t="s">
        <v>138</v>
      </c>
      <c r="J18" s="45"/>
      <c r="M18" s="73">
        <v>0.2</v>
      </c>
      <c r="N18" s="70" t="s">
        <v>137</v>
      </c>
      <c r="O18" s="70" t="s">
        <v>138</v>
      </c>
      <c r="Q18" s="45"/>
    </row>
    <row r="19" spans="1:17" x14ac:dyDescent="0.35">
      <c r="A19" s="135">
        <f>A18*A17</f>
        <v>67.205815288143867</v>
      </c>
      <c r="B19" s="70" t="s">
        <v>139</v>
      </c>
      <c r="C19" s="70" t="s">
        <v>140</v>
      </c>
      <c r="D19" s="133"/>
      <c r="F19" s="74">
        <f>F18*F17</f>
        <v>19.567400029631997</v>
      </c>
      <c r="G19" s="70" t="s">
        <v>139</v>
      </c>
      <c r="H19" s="70" t="s">
        <v>140</v>
      </c>
      <c r="J19" s="45"/>
      <c r="M19" s="74">
        <f>M18*M17</f>
        <v>74.464002782400897</v>
      </c>
      <c r="N19" s="70" t="s">
        <v>139</v>
      </c>
      <c r="O19" s="70" t="s">
        <v>140</v>
      </c>
      <c r="Q19" s="45"/>
    </row>
    <row r="20" spans="1:17" ht="13.15" x14ac:dyDescent="0.4">
      <c r="A20" s="134">
        <v>67.2</v>
      </c>
      <c r="B20" s="70" t="s">
        <v>139</v>
      </c>
      <c r="C20" s="70" t="s">
        <v>141</v>
      </c>
      <c r="D20" s="133"/>
      <c r="F20" s="73">
        <v>20.8</v>
      </c>
      <c r="G20" s="70" t="s">
        <v>139</v>
      </c>
      <c r="H20" s="70" t="s">
        <v>141</v>
      </c>
      <c r="J20" s="45"/>
      <c r="M20" s="73">
        <v>77.569999999999993</v>
      </c>
      <c r="N20" s="70" t="s">
        <v>139</v>
      </c>
      <c r="O20" s="70" t="s">
        <v>141</v>
      </c>
      <c r="Q20" s="45"/>
    </row>
    <row r="21" spans="1:17" ht="13.15" x14ac:dyDescent="0.4">
      <c r="A21" s="136">
        <f>A20/A19*A16</f>
        <v>4999.5673523102923</v>
      </c>
      <c r="B21" s="70" t="s">
        <v>142</v>
      </c>
      <c r="C21" s="70" t="s">
        <v>143</v>
      </c>
      <c r="D21" s="133"/>
      <c r="F21" s="76">
        <f>F20/F19*F16</f>
        <v>3188.9775803379202</v>
      </c>
      <c r="G21" s="70" t="s">
        <v>142</v>
      </c>
      <c r="H21" s="70" t="s">
        <v>143</v>
      </c>
      <c r="J21" s="45"/>
      <c r="M21" s="75">
        <f>M20/M19*M16</f>
        <v>2083.4227842055566</v>
      </c>
      <c r="N21" s="70" t="s">
        <v>142</v>
      </c>
      <c r="O21" s="70" t="s">
        <v>143</v>
      </c>
      <c r="Q21" s="45"/>
    </row>
    <row r="22" spans="1:17" x14ac:dyDescent="0.35">
      <c r="A22" s="77">
        <f>A20*A15</f>
        <v>1013912.2590485275</v>
      </c>
      <c r="C22" t="s">
        <v>144</v>
      </c>
      <c r="D22" s="12"/>
      <c r="F22" s="77">
        <f>F20*F15</f>
        <v>637795.51606758405</v>
      </c>
      <c r="H22" t="s">
        <v>144</v>
      </c>
      <c r="J22" s="45"/>
      <c r="M22" s="77">
        <f>M20*M15</f>
        <v>416684.55684111128</v>
      </c>
      <c r="O22" t="s">
        <v>144</v>
      </c>
      <c r="Q22" s="45"/>
    </row>
    <row r="23" spans="1:17" x14ac:dyDescent="0.35">
      <c r="A23" s="77">
        <f>A21/A16*A18*1000</f>
        <v>202.78245180970546</v>
      </c>
      <c r="B23" t="s">
        <v>7</v>
      </c>
      <c r="C23" t="s">
        <v>145</v>
      </c>
      <c r="D23" s="12"/>
      <c r="F23" s="77">
        <f>F21/F16*F18*1000</f>
        <v>212.59850535586136</v>
      </c>
      <c r="G23" t="s">
        <v>7</v>
      </c>
      <c r="H23" t="s">
        <v>145</v>
      </c>
      <c r="J23" s="45"/>
      <c r="M23" s="77">
        <f>M21/M16*M18*1000</f>
        <v>208.34227842055566</v>
      </c>
      <c r="N23" t="s">
        <v>7</v>
      </c>
      <c r="O23" t="s">
        <v>145</v>
      </c>
      <c r="Q23" s="45"/>
    </row>
    <row r="24" spans="1:17" x14ac:dyDescent="0.35">
      <c r="A24" s="77">
        <f>A23-A18*1000</f>
        <v>-1.7548190294547794E-2</v>
      </c>
      <c r="B24" t="s">
        <v>7</v>
      </c>
      <c r="C24" t="s">
        <v>146</v>
      </c>
      <c r="D24" s="12"/>
      <c r="F24" s="77">
        <f>F23-F18*1000</f>
        <v>12.598505355861363</v>
      </c>
      <c r="G24" t="s">
        <v>7</v>
      </c>
      <c r="H24" t="s">
        <v>146</v>
      </c>
      <c r="J24" s="45"/>
      <c r="M24" s="77">
        <f>M23-M18*1000</f>
        <v>8.3422784205556582</v>
      </c>
      <c r="N24" t="s">
        <v>7</v>
      </c>
      <c r="O24" t="s">
        <v>146</v>
      </c>
      <c r="Q24" s="45"/>
    </row>
    <row r="25" spans="1:17" ht="13.15" x14ac:dyDescent="0.4">
      <c r="A25" s="78">
        <f>A22/(A23)</f>
        <v>5000.0000000000009</v>
      </c>
      <c r="C25" t="s">
        <v>33</v>
      </c>
      <c r="D25" s="12"/>
      <c r="F25" s="78">
        <f>F22/(F23)</f>
        <v>3000</v>
      </c>
      <c r="H25" t="s">
        <v>33</v>
      </c>
      <c r="J25" s="45"/>
      <c r="M25" s="44">
        <f>M22/(M23)</f>
        <v>1999.9999999999998</v>
      </c>
      <c r="O25" t="s">
        <v>33</v>
      </c>
      <c r="Q25" s="45"/>
    </row>
    <row r="26" spans="1:17" x14ac:dyDescent="0.35">
      <c r="A26" s="15"/>
      <c r="D26" s="12"/>
      <c r="F26" s="44"/>
      <c r="J26" s="45"/>
      <c r="M26" s="44"/>
      <c r="Q26" s="45"/>
    </row>
    <row r="27" spans="1:17" x14ac:dyDescent="0.35">
      <c r="A27" s="15" t="s">
        <v>147</v>
      </c>
      <c r="D27" s="12"/>
      <c r="F27" s="44" t="s">
        <v>147</v>
      </c>
      <c r="J27" s="45"/>
      <c r="M27" s="44" t="s">
        <v>147</v>
      </c>
      <c r="Q27" s="45"/>
    </row>
    <row r="28" spans="1:17" x14ac:dyDescent="0.35">
      <c r="A28" s="15">
        <v>100</v>
      </c>
      <c r="B28" t="s">
        <v>7</v>
      </c>
      <c r="C28" t="s">
        <v>148</v>
      </c>
      <c r="D28" s="12"/>
      <c r="F28" s="44">
        <v>100</v>
      </c>
      <c r="G28" t="s">
        <v>7</v>
      </c>
      <c r="H28" t="s">
        <v>148</v>
      </c>
      <c r="J28" s="45"/>
      <c r="M28" s="44">
        <v>100</v>
      </c>
      <c r="N28" t="s">
        <v>7</v>
      </c>
      <c r="O28" t="s">
        <v>148</v>
      </c>
      <c r="Q28" s="45"/>
    </row>
    <row r="29" spans="1:17" x14ac:dyDescent="0.35">
      <c r="A29" s="15">
        <v>300</v>
      </c>
      <c r="B29" t="s">
        <v>120</v>
      </c>
      <c r="C29" t="s">
        <v>149</v>
      </c>
      <c r="D29" s="12"/>
      <c r="F29" s="44">
        <v>300</v>
      </c>
      <c r="G29" t="s">
        <v>120</v>
      </c>
      <c r="H29" t="s">
        <v>150</v>
      </c>
      <c r="J29" s="45"/>
      <c r="M29" s="44">
        <v>300</v>
      </c>
      <c r="N29" t="s">
        <v>120</v>
      </c>
      <c r="O29" t="s">
        <v>150</v>
      </c>
      <c r="Q29" s="45"/>
    </row>
    <row r="30" spans="1:17" x14ac:dyDescent="0.35">
      <c r="A30" s="15">
        <f>A28*A29</f>
        <v>30000</v>
      </c>
      <c r="B30" t="s">
        <v>151</v>
      </c>
      <c r="C30" t="s">
        <v>152</v>
      </c>
      <c r="D30" s="12"/>
      <c r="F30" s="44">
        <f>F28*F29</f>
        <v>30000</v>
      </c>
      <c r="G30" t="s">
        <v>151</v>
      </c>
      <c r="H30" t="s">
        <v>152</v>
      </c>
      <c r="J30" s="45"/>
      <c r="M30" s="44">
        <f>M28*M29</f>
        <v>30000</v>
      </c>
      <c r="N30" t="s">
        <v>151</v>
      </c>
      <c r="O30" t="s">
        <v>152</v>
      </c>
      <c r="Q30" s="45"/>
    </row>
    <row r="31" spans="1:17" x14ac:dyDescent="0.35">
      <c r="A31" s="137">
        <f>A30/A21</f>
        <v>6.0005192221557024</v>
      </c>
      <c r="B31" t="s">
        <v>7</v>
      </c>
      <c r="C31" t="s">
        <v>153</v>
      </c>
      <c r="D31" s="12"/>
      <c r="F31" s="77">
        <f>F30/F25</f>
        <v>10</v>
      </c>
      <c r="G31" t="s">
        <v>7</v>
      </c>
      <c r="H31" t="s">
        <v>153</v>
      </c>
      <c r="J31" s="45"/>
      <c r="M31" s="77">
        <f>M30/M25</f>
        <v>15.000000000000002</v>
      </c>
      <c r="N31" t="s">
        <v>7</v>
      </c>
      <c r="O31" t="s">
        <v>153</v>
      </c>
      <c r="Q31" s="45"/>
    </row>
    <row r="32" spans="1:17" x14ac:dyDescent="0.35">
      <c r="A32" s="137">
        <f>A28-A31</f>
        <v>93.999480777844298</v>
      </c>
      <c r="B32" t="s">
        <v>7</v>
      </c>
      <c r="C32" t="s">
        <v>154</v>
      </c>
      <c r="D32" s="12"/>
      <c r="F32" s="77">
        <f>F28-F31</f>
        <v>90</v>
      </c>
      <c r="G32" t="s">
        <v>7</v>
      </c>
      <c r="H32" t="s">
        <v>154</v>
      </c>
      <c r="J32" s="45"/>
      <c r="M32" s="77">
        <f>M28-M31</f>
        <v>85</v>
      </c>
      <c r="N32" t="s">
        <v>7</v>
      </c>
      <c r="O32" t="s">
        <v>154</v>
      </c>
      <c r="Q32" s="45"/>
    </row>
    <row r="33" spans="1:17" x14ac:dyDescent="0.35">
      <c r="A33" s="15"/>
      <c r="D33" s="12"/>
      <c r="F33" s="44"/>
      <c r="J33" s="45"/>
      <c r="M33" s="44"/>
      <c r="Q33" s="45"/>
    </row>
    <row r="34" spans="1:17" ht="13.15" thickBot="1" x14ac:dyDescent="0.4">
      <c r="A34" s="23"/>
      <c r="B34" s="138"/>
      <c r="C34" s="138"/>
      <c r="D34" s="25"/>
      <c r="F34" s="46"/>
      <c r="G34" s="47"/>
      <c r="H34" s="47"/>
      <c r="I34" s="47"/>
      <c r="J34" s="48"/>
      <c r="M34" s="46"/>
      <c r="N34" s="47"/>
      <c r="O34" s="47"/>
      <c r="P34" s="47"/>
      <c r="Q34" s="48"/>
    </row>
    <row r="37" spans="1:17" ht="13.15" x14ac:dyDescent="0.4">
      <c r="A37" s="27" t="s">
        <v>155</v>
      </c>
    </row>
    <row r="39" spans="1:17" x14ac:dyDescent="0.35">
      <c r="F39" s="29"/>
    </row>
    <row r="40" spans="1:17" ht="13.15" x14ac:dyDescent="0.4">
      <c r="A40" t="s">
        <v>156</v>
      </c>
      <c r="C40" s="27">
        <f>A12</f>
        <v>49.4</v>
      </c>
      <c r="D40" t="s">
        <v>157</v>
      </c>
      <c r="G40" s="27">
        <f>F12</f>
        <v>39</v>
      </c>
      <c r="H40" t="s">
        <v>157</v>
      </c>
      <c r="N40" s="27">
        <v>70</v>
      </c>
    </row>
    <row r="42" spans="1:17" ht="13.15" x14ac:dyDescent="0.4">
      <c r="A42" t="s">
        <v>158</v>
      </c>
      <c r="B42" s="140">
        <f>0.56*C42</f>
        <v>8736</v>
      </c>
      <c r="C42" s="111">
        <v>15600</v>
      </c>
      <c r="D42" s="140">
        <f>1.56*C42</f>
        <v>24336</v>
      </c>
      <c r="F42" s="140">
        <f>0.56*G42</f>
        <v>5600.0000000000009</v>
      </c>
      <c r="G42" s="111">
        <v>10000</v>
      </c>
      <c r="H42" s="140">
        <f>1.56*G42</f>
        <v>15600</v>
      </c>
      <c r="M42" s="140">
        <f>0.56*N42</f>
        <v>14000.000000000002</v>
      </c>
      <c r="N42" s="111">
        <v>25000</v>
      </c>
      <c r="O42" s="140">
        <f>1.56*N42</f>
        <v>39000</v>
      </c>
    </row>
    <row r="43" spans="1:17" x14ac:dyDescent="0.35">
      <c r="B43" s="46"/>
      <c r="C43" s="47"/>
      <c r="D43" s="48"/>
      <c r="F43" s="46"/>
      <c r="G43" s="47"/>
      <c r="H43" s="48"/>
      <c r="M43" s="46"/>
      <c r="N43" s="47"/>
      <c r="O43" s="48"/>
    </row>
    <row r="44" spans="1:17" x14ac:dyDescent="0.35">
      <c r="A44" t="s">
        <v>159</v>
      </c>
      <c r="B44" s="79">
        <v>13047</v>
      </c>
      <c r="C44" s="79">
        <v>13354</v>
      </c>
      <c r="D44" s="79"/>
      <c r="F44" s="79">
        <v>10000</v>
      </c>
      <c r="G44" s="79">
        <v>10000</v>
      </c>
      <c r="H44" s="79"/>
      <c r="M44" s="79">
        <v>10000</v>
      </c>
      <c r="N44" s="79">
        <v>10000</v>
      </c>
      <c r="O44" s="79"/>
    </row>
    <row r="46" spans="1:17" ht="13.9" x14ac:dyDescent="0.4">
      <c r="A46" t="s">
        <v>160</v>
      </c>
      <c r="B46" s="139">
        <f>(1-B44/C44)</f>
        <v>2.2989366481952933E-2</v>
      </c>
      <c r="F46" s="139">
        <f>(1-F44/G44)</f>
        <v>0</v>
      </c>
      <c r="M46" s="139">
        <f>(1-M44/N44)</f>
        <v>0</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A7697-56E9-4518-B6B7-99AA00E08D63}">
  <sheetPr codeName="Sheet10"/>
  <dimension ref="A1:AJ44"/>
  <sheetViews>
    <sheetView zoomScale="85" zoomScaleNormal="85" workbookViewId="0">
      <selection activeCell="T20" sqref="T20"/>
    </sheetView>
  </sheetViews>
  <sheetFormatPr defaultColWidth="11.53125" defaultRowHeight="12.75" x14ac:dyDescent="0.35"/>
  <sheetData>
    <row r="1" spans="1:4" ht="14.25" x14ac:dyDescent="0.45">
      <c r="A1" s="150" t="s">
        <v>161</v>
      </c>
      <c r="B1" s="151"/>
      <c r="C1" s="150" t="s">
        <v>162</v>
      </c>
      <c r="D1" s="151"/>
    </row>
    <row r="2" spans="1:4" ht="92.85" customHeight="1" x14ac:dyDescent="0.45">
      <c r="A2" s="152" t="s">
        <v>163</v>
      </c>
      <c r="B2" s="153"/>
      <c r="C2" s="152" t="s">
        <v>164</v>
      </c>
      <c r="D2" s="153"/>
    </row>
    <row r="3" spans="1:4" ht="57" x14ac:dyDescent="0.45">
      <c r="A3" s="89" t="s">
        <v>165</v>
      </c>
      <c r="B3" s="90" t="s">
        <v>166</v>
      </c>
      <c r="C3" s="89" t="s">
        <v>115</v>
      </c>
      <c r="D3" s="91" t="s">
        <v>117</v>
      </c>
    </row>
    <row r="4" spans="1:4" ht="14.25" x14ac:dyDescent="0.45">
      <c r="A4" s="92" t="s">
        <v>121</v>
      </c>
      <c r="B4" s="91" t="s">
        <v>167</v>
      </c>
      <c r="C4" s="92" t="s">
        <v>121</v>
      </c>
      <c r="D4" s="91" t="s">
        <v>167</v>
      </c>
    </row>
    <row r="5" spans="1:4" x14ac:dyDescent="0.35">
      <c r="A5" s="98">
        <v>4</v>
      </c>
      <c r="B5" s="93">
        <f>'6 - Thresholds'!$M4</f>
        <v>120.09349087121296</v>
      </c>
      <c r="C5" s="94">
        <v>4</v>
      </c>
      <c r="D5" s="99">
        <f>CubicSpline(C5,$A$5:$A$34,$B$5:$B$34)</f>
        <v>120.09349087121291</v>
      </c>
    </row>
    <row r="6" spans="1:4" x14ac:dyDescent="0.35">
      <c r="A6" s="100">
        <v>5</v>
      </c>
      <c r="B6" s="88">
        <f>'6 - Thresholds'!$M5</f>
        <v>206.29024422435069</v>
      </c>
      <c r="C6" s="84">
        <v>5</v>
      </c>
      <c r="D6" s="101">
        <f t="shared" ref="D6:D30" si="0">CubicSpline(C6,$A$5:$A$34,$B$5:$B$34)</f>
        <v>206.29024422435066</v>
      </c>
    </row>
    <row r="7" spans="1:4" x14ac:dyDescent="0.35">
      <c r="A7" s="100">
        <v>6</v>
      </c>
      <c r="B7" s="88">
        <f>'6 - Thresholds'!$M6</f>
        <v>331.25798092741638</v>
      </c>
      <c r="C7" s="95">
        <v>6</v>
      </c>
      <c r="D7" s="101">
        <f t="shared" si="0"/>
        <v>331.25798092741627</v>
      </c>
    </row>
    <row r="8" spans="1:4" x14ac:dyDescent="0.35">
      <c r="A8" s="100">
        <v>7</v>
      </c>
      <c r="B8" s="88">
        <f>'6 - Thresholds'!$M7</f>
        <v>474.80044260114602</v>
      </c>
      <c r="C8" s="84">
        <v>7</v>
      </c>
      <c r="D8" s="101">
        <f t="shared" si="0"/>
        <v>474.80044260114596</v>
      </c>
    </row>
    <row r="9" spans="1:4" x14ac:dyDescent="0.35">
      <c r="A9" s="100">
        <v>8</v>
      </c>
      <c r="B9" s="88">
        <f>'6 - Thresholds'!$M8</f>
        <v>657.53175527720884</v>
      </c>
      <c r="C9" s="84">
        <v>8</v>
      </c>
      <c r="D9" s="101">
        <f t="shared" si="0"/>
        <v>657.5317552772085</v>
      </c>
    </row>
    <row r="10" spans="1:4" x14ac:dyDescent="0.35">
      <c r="A10" s="100">
        <v>9</v>
      </c>
      <c r="B10" s="88">
        <f>'6 - Thresholds'!$M9</f>
        <v>864.86959973830517</v>
      </c>
      <c r="C10" s="84">
        <v>9</v>
      </c>
      <c r="D10" s="101">
        <f t="shared" si="0"/>
        <v>864.86959973830471</v>
      </c>
    </row>
    <row r="11" spans="1:4" x14ac:dyDescent="0.35">
      <c r="A11" s="100">
        <v>10</v>
      </c>
      <c r="B11" s="88">
        <f>'6 - Thresholds'!$M10</f>
        <v>1078.9056437532035</v>
      </c>
      <c r="C11" s="84">
        <v>10</v>
      </c>
      <c r="D11" s="101">
        <f t="shared" si="0"/>
        <v>1078.9056437532038</v>
      </c>
    </row>
    <row r="12" spans="1:4" x14ac:dyDescent="0.35">
      <c r="A12" s="100">
        <v>11</v>
      </c>
      <c r="B12" s="88">
        <f>'6 - Thresholds'!$M11</f>
        <v>1311.2249883465072</v>
      </c>
      <c r="C12" s="84">
        <v>11</v>
      </c>
      <c r="D12" s="101">
        <f t="shared" si="0"/>
        <v>1311.224988346507</v>
      </c>
    </row>
    <row r="13" spans="1:4" x14ac:dyDescent="0.35">
      <c r="A13" s="100">
        <v>12</v>
      </c>
      <c r="B13" s="88">
        <f>'6 - Thresholds'!$M12</f>
        <v>1560.9261757065335</v>
      </c>
      <c r="C13" s="84">
        <v>12</v>
      </c>
      <c r="D13" s="101">
        <f t="shared" si="0"/>
        <v>1560.9261757065337</v>
      </c>
    </row>
    <row r="14" spans="1:4" x14ac:dyDescent="0.35">
      <c r="A14" s="100">
        <v>13</v>
      </c>
      <c r="B14" s="88">
        <f>'6 - Thresholds'!$M13</f>
        <v>1817.7486603661041</v>
      </c>
      <c r="C14" s="84">
        <v>13</v>
      </c>
      <c r="D14" s="101">
        <f t="shared" si="0"/>
        <v>1817.7486603661039</v>
      </c>
    </row>
    <row r="15" spans="1:4" x14ac:dyDescent="0.35">
      <c r="A15" s="100">
        <v>14</v>
      </c>
      <c r="B15" s="88">
        <f>'6 - Thresholds'!$M14</f>
        <v>2076.104177241566</v>
      </c>
      <c r="C15" s="95">
        <v>14</v>
      </c>
      <c r="D15" s="101">
        <f t="shared" si="0"/>
        <v>2076.1041772415656</v>
      </c>
    </row>
    <row r="16" spans="1:4" x14ac:dyDescent="0.35">
      <c r="A16" s="100">
        <v>15</v>
      </c>
      <c r="B16" s="88">
        <f>'6 - Thresholds'!$M15</f>
        <v>2352.5240188478733</v>
      </c>
      <c r="C16" s="84">
        <v>15</v>
      </c>
      <c r="D16" s="101">
        <f t="shared" si="0"/>
        <v>2352.5240188478751</v>
      </c>
    </row>
    <row r="17" spans="1:36" x14ac:dyDescent="0.35">
      <c r="A17" s="100">
        <v>16</v>
      </c>
      <c r="B17" s="88">
        <f>'6 - Thresholds'!$M16</f>
        <v>2635.4838729240937</v>
      </c>
      <c r="C17" s="84">
        <v>16</v>
      </c>
      <c r="D17" s="101">
        <f t="shared" si="0"/>
        <v>2635.4838729240946</v>
      </c>
    </row>
    <row r="18" spans="1:36" x14ac:dyDescent="0.35">
      <c r="A18" s="100">
        <v>17</v>
      </c>
      <c r="B18" s="88">
        <f>'6 - Thresholds'!$M17</f>
        <v>2918.7112229169315</v>
      </c>
      <c r="C18" s="84">
        <v>17</v>
      </c>
      <c r="D18" s="101">
        <f t="shared" si="0"/>
        <v>2918.7112229169315</v>
      </c>
    </row>
    <row r="19" spans="1:36" x14ac:dyDescent="0.35">
      <c r="A19" s="100">
        <v>18</v>
      </c>
      <c r="B19" s="88">
        <f>'6 - Thresholds'!$M18</f>
        <v>3200.4815818943962</v>
      </c>
      <c r="C19" s="84">
        <v>18</v>
      </c>
      <c r="D19" s="101">
        <f t="shared" si="0"/>
        <v>3200.481581894398</v>
      </c>
    </row>
    <row r="20" spans="1:36" x14ac:dyDescent="0.35">
      <c r="A20" s="100">
        <v>19</v>
      </c>
      <c r="B20" s="88">
        <f>'6 - Thresholds'!$M19</f>
        <v>3503.5923911680707</v>
      </c>
      <c r="C20" s="84">
        <v>19</v>
      </c>
      <c r="D20" s="101">
        <f t="shared" si="0"/>
        <v>3503.5923911680684</v>
      </c>
      <c r="G20" s="88">
        <f>'6 - Curve'!$D$5</f>
        <v>120.09349087121291</v>
      </c>
      <c r="H20" s="88">
        <f>'6 - Curve'!$D$6</f>
        <v>206.29024422435066</v>
      </c>
      <c r="I20" s="88">
        <f>'6 - Curve'!$D$7</f>
        <v>331.25798092741627</v>
      </c>
      <c r="J20" s="88">
        <f>'6 - Curve'!$D$8</f>
        <v>474.80044260114596</v>
      </c>
      <c r="K20" s="88">
        <f>'6 - Curve'!$D$9</f>
        <v>657.5317552772085</v>
      </c>
      <c r="L20" s="88">
        <f>'6 - Curve'!$D$10</f>
        <v>864.86959973830471</v>
      </c>
      <c r="M20" s="88">
        <f>'6 - Curve'!$D$11</f>
        <v>1078.9056437532038</v>
      </c>
      <c r="N20" s="88">
        <f>'6 - Curve'!$D$12</f>
        <v>1311.224988346507</v>
      </c>
      <c r="O20" s="88">
        <f>'6 - Curve'!$D$13</f>
        <v>1560.9261757065337</v>
      </c>
      <c r="P20" s="88">
        <f>'6 - Curve'!$D$14</f>
        <v>1817.7486603661039</v>
      </c>
      <c r="Q20" s="88">
        <f>'6 - Curve'!$D$15</f>
        <v>2076.1041772415656</v>
      </c>
      <c r="R20" s="88">
        <f>'6 - Curve'!$D$16</f>
        <v>2352.5240188478751</v>
      </c>
      <c r="S20" s="88">
        <f>'6 - Curve'!$D$17</f>
        <v>2635.4838729240946</v>
      </c>
      <c r="T20" s="88">
        <f>'6 - Curve'!$D$18</f>
        <v>2918.7112229169315</v>
      </c>
      <c r="U20" s="88">
        <f>'6 - Curve'!$D$19</f>
        <v>3200.481581894398</v>
      </c>
      <c r="V20" s="88">
        <f>'6 - Curve'!$D$20</f>
        <v>3503.5923911680684</v>
      </c>
      <c r="W20" s="88">
        <f>'6 - Curve'!$D$21</f>
        <v>3851.8731106348205</v>
      </c>
      <c r="X20" s="88">
        <f>'6 - Curve'!$D$22</f>
        <v>4256.3317191026872</v>
      </c>
      <c r="Y20" s="88">
        <f>'6 - Curve'!$D$23</f>
        <v>4709.5951333061803</v>
      </c>
      <c r="Z20" s="88">
        <f>'6 - Curve'!$D$24</f>
        <v>5189.9801970413146</v>
      </c>
      <c r="AA20" s="88">
        <f>'6 - Curve'!$D$25</f>
        <v>5722.7532196247848</v>
      </c>
      <c r="AB20" s="88">
        <f>'6 - Curve'!$D$26</f>
        <v>6309.9821331356197</v>
      </c>
      <c r="AC20" s="88">
        <f>'6 - Curve'!$D$27</f>
        <v>6943.2699490807172</v>
      </c>
      <c r="AD20" s="88">
        <f>'6 - Curve'!$D$28</f>
        <v>7610.3717188202918</v>
      </c>
      <c r="AE20" s="88">
        <f>'6 - Curve'!$D$29</f>
        <v>8285.2336278579678</v>
      </c>
      <c r="AF20" s="88">
        <f>'6 - Curve'!$D$30</f>
        <v>8945.2208776148836</v>
      </c>
      <c r="AG20" s="88">
        <f>'6 - Curve'!$D$31</f>
        <v>9673.8604689042295</v>
      </c>
      <c r="AH20" s="109">
        <f>'6 - Curve'!$D$32</f>
        <v>9941.9807255838896</v>
      </c>
      <c r="AI20" s="109">
        <f>'6 - Curve'!$D$33</f>
        <v>15895.418171796442</v>
      </c>
      <c r="AJ20" s="109">
        <f>'6 - Curve'!$D$34</f>
        <v>24999.999999999996</v>
      </c>
    </row>
    <row r="21" spans="1:36" ht="13.15" thickBot="1" x14ac:dyDescent="0.4">
      <c r="A21" s="100">
        <v>20</v>
      </c>
      <c r="B21" s="88">
        <f>'6 - Thresholds'!$M20</f>
        <v>3851.8731106348205</v>
      </c>
      <c r="C21" s="84">
        <v>20</v>
      </c>
      <c r="D21" s="101">
        <f t="shared" si="0"/>
        <v>3851.8731106348205</v>
      </c>
    </row>
    <row r="22" spans="1:36" x14ac:dyDescent="0.35">
      <c r="A22" s="100">
        <v>21</v>
      </c>
      <c r="B22" s="88">
        <f>'6 - Thresholds'!$M21</f>
        <v>4256.3317191026899</v>
      </c>
      <c r="C22" s="95">
        <v>21</v>
      </c>
      <c r="D22" s="101">
        <f t="shared" si="0"/>
        <v>4256.3317191026872</v>
      </c>
      <c r="F22" s="11" t="s">
        <v>174</v>
      </c>
      <c r="G22" s="104">
        <v>4</v>
      </c>
      <c r="H22" s="105">
        <v>5</v>
      </c>
      <c r="I22" s="105">
        <v>6</v>
      </c>
      <c r="J22" s="105">
        <v>7</v>
      </c>
      <c r="K22" s="105">
        <v>8</v>
      </c>
      <c r="L22" s="105">
        <v>9</v>
      </c>
      <c r="M22" s="105">
        <v>10</v>
      </c>
      <c r="N22" s="105">
        <v>11</v>
      </c>
      <c r="O22" s="105">
        <v>12</v>
      </c>
      <c r="P22" s="105">
        <v>13</v>
      </c>
      <c r="Q22" s="105">
        <v>14</v>
      </c>
      <c r="R22" s="105">
        <v>15</v>
      </c>
      <c r="S22" s="105">
        <v>16</v>
      </c>
      <c r="T22" s="105">
        <v>17</v>
      </c>
      <c r="U22" s="105">
        <v>18</v>
      </c>
      <c r="V22" s="105">
        <v>19</v>
      </c>
      <c r="W22" s="105">
        <v>20</v>
      </c>
      <c r="X22" s="105">
        <v>21</v>
      </c>
      <c r="Y22" s="105">
        <v>22</v>
      </c>
      <c r="Z22" s="105">
        <v>23</v>
      </c>
      <c r="AA22" s="105">
        <v>24</v>
      </c>
      <c r="AB22" s="105">
        <v>25</v>
      </c>
      <c r="AC22" s="105">
        <v>26</v>
      </c>
      <c r="AD22" s="105">
        <v>27</v>
      </c>
      <c r="AE22" s="105">
        <v>28</v>
      </c>
      <c r="AF22" s="105">
        <v>29</v>
      </c>
      <c r="AG22" s="105">
        <v>30</v>
      </c>
      <c r="AH22" s="105">
        <v>38</v>
      </c>
      <c r="AI22" s="105">
        <v>50</v>
      </c>
      <c r="AJ22" s="5">
        <v>70</v>
      </c>
    </row>
    <row r="23" spans="1:36" ht="14.25" thickBot="1" x14ac:dyDescent="0.45">
      <c r="A23" s="100">
        <v>22</v>
      </c>
      <c r="B23" s="88">
        <f>'6 - Thresholds'!$M22</f>
        <v>4709.5951333061785</v>
      </c>
      <c r="C23" s="84">
        <v>22</v>
      </c>
      <c r="D23" s="101">
        <f t="shared" si="0"/>
        <v>4709.5951333061803</v>
      </c>
      <c r="F23" s="11" t="s">
        <v>175</v>
      </c>
      <c r="G23" s="106">
        <f t="shared" ref="G23:AJ23" si="1">INT(G20+0.5)</f>
        <v>120</v>
      </c>
      <c r="H23" s="107">
        <f t="shared" si="1"/>
        <v>206</v>
      </c>
      <c r="I23" s="107">
        <f t="shared" si="1"/>
        <v>331</v>
      </c>
      <c r="J23" s="107">
        <f t="shared" si="1"/>
        <v>475</v>
      </c>
      <c r="K23" s="107">
        <f t="shared" si="1"/>
        <v>658</v>
      </c>
      <c r="L23" s="107">
        <f t="shared" si="1"/>
        <v>865</v>
      </c>
      <c r="M23" s="107">
        <f t="shared" si="1"/>
        <v>1079</v>
      </c>
      <c r="N23" s="107">
        <f t="shared" si="1"/>
        <v>1311</v>
      </c>
      <c r="O23" s="107">
        <f t="shared" si="1"/>
        <v>1561</v>
      </c>
      <c r="P23" s="107">
        <f t="shared" si="1"/>
        <v>1818</v>
      </c>
      <c r="Q23" s="107">
        <f t="shared" si="1"/>
        <v>2076</v>
      </c>
      <c r="R23" s="107">
        <f t="shared" si="1"/>
        <v>2353</v>
      </c>
      <c r="S23" s="107">
        <f t="shared" si="1"/>
        <v>2635</v>
      </c>
      <c r="T23" s="107">
        <f t="shared" si="1"/>
        <v>2919</v>
      </c>
      <c r="U23" s="107">
        <f t="shared" si="1"/>
        <v>3200</v>
      </c>
      <c r="V23" s="107">
        <f t="shared" si="1"/>
        <v>3504</v>
      </c>
      <c r="W23" s="107">
        <f t="shared" si="1"/>
        <v>3852</v>
      </c>
      <c r="X23" s="107">
        <f t="shared" si="1"/>
        <v>4256</v>
      </c>
      <c r="Y23" s="107">
        <f t="shared" si="1"/>
        <v>4710</v>
      </c>
      <c r="Z23" s="107">
        <f t="shared" si="1"/>
        <v>5190</v>
      </c>
      <c r="AA23" s="107">
        <f t="shared" si="1"/>
        <v>5723</v>
      </c>
      <c r="AB23" s="107">
        <f t="shared" si="1"/>
        <v>6310</v>
      </c>
      <c r="AC23" s="107">
        <f t="shared" si="1"/>
        <v>6943</v>
      </c>
      <c r="AD23" s="107">
        <f t="shared" si="1"/>
        <v>7610</v>
      </c>
      <c r="AE23" s="107">
        <f t="shared" si="1"/>
        <v>8285</v>
      </c>
      <c r="AF23" s="107">
        <f t="shared" si="1"/>
        <v>8945</v>
      </c>
      <c r="AG23" s="107">
        <f t="shared" si="1"/>
        <v>9674</v>
      </c>
      <c r="AH23" s="107">
        <f t="shared" si="1"/>
        <v>9942</v>
      </c>
      <c r="AI23" s="107">
        <f t="shared" si="1"/>
        <v>15895</v>
      </c>
      <c r="AJ23" s="108">
        <f t="shared" si="1"/>
        <v>25000</v>
      </c>
    </row>
    <row r="24" spans="1:36" x14ac:dyDescent="0.35">
      <c r="A24" s="100">
        <v>23</v>
      </c>
      <c r="B24" s="88">
        <f>'6 - Thresholds'!$M23</f>
        <v>5189.9801970413155</v>
      </c>
      <c r="C24" s="84">
        <v>23</v>
      </c>
      <c r="D24" s="101">
        <f t="shared" si="0"/>
        <v>5189.9801970413146</v>
      </c>
    </row>
    <row r="25" spans="1:36" x14ac:dyDescent="0.35">
      <c r="A25" s="100">
        <v>24</v>
      </c>
      <c r="B25" s="88">
        <f>'6 - Thresholds'!$M24</f>
        <v>5722.7532196247839</v>
      </c>
      <c r="C25" s="84">
        <v>24</v>
      </c>
      <c r="D25" s="101">
        <f t="shared" si="0"/>
        <v>5722.7532196247848</v>
      </c>
    </row>
    <row r="26" spans="1:36" x14ac:dyDescent="0.35">
      <c r="A26" s="100">
        <v>25</v>
      </c>
      <c r="B26" s="88">
        <f>'6 - Thresholds'!$M25</f>
        <v>6309.9821331356188</v>
      </c>
      <c r="C26" s="95">
        <v>25</v>
      </c>
      <c r="D26" s="101">
        <f t="shared" si="0"/>
        <v>6309.9821331356197</v>
      </c>
    </row>
    <row r="27" spans="1:36" x14ac:dyDescent="0.35">
      <c r="A27" s="100">
        <v>26</v>
      </c>
      <c r="B27" s="88">
        <f>'6 - Thresholds'!$M26</f>
        <v>6943.2699490807136</v>
      </c>
      <c r="C27" s="84">
        <v>26</v>
      </c>
      <c r="D27" s="101">
        <f t="shared" si="0"/>
        <v>6943.2699490807172</v>
      </c>
      <c r="F27" s="80">
        <v>10</v>
      </c>
      <c r="G27">
        <f>CubicSpline(F27, $A$5:$A$107, $B$5:$B$107)</f>
        <v>1078.9056437532038</v>
      </c>
    </row>
    <row r="28" spans="1:36" x14ac:dyDescent="0.35">
      <c r="A28" s="100">
        <v>27</v>
      </c>
      <c r="B28" s="88">
        <f>'6 - Thresholds'!$M27</f>
        <v>7610.3717188202854</v>
      </c>
      <c r="C28" s="84">
        <v>27</v>
      </c>
      <c r="D28" s="101">
        <f t="shared" si="0"/>
        <v>7610.3717188202918</v>
      </c>
      <c r="F28" s="80">
        <v>11</v>
      </c>
      <c r="G28">
        <f>CubicSpline(F28, $A$5:$A$107, $B$5:$B$107)</f>
        <v>1311.224988346507</v>
      </c>
    </row>
    <row r="29" spans="1:36" x14ac:dyDescent="0.35">
      <c r="A29" s="100">
        <v>28</v>
      </c>
      <c r="B29" s="88">
        <f>'6 - Thresholds'!$M28</f>
        <v>8285.2336278579623</v>
      </c>
      <c r="C29" s="84">
        <v>28</v>
      </c>
      <c r="D29" s="101">
        <f t="shared" si="0"/>
        <v>8285.2336278579678</v>
      </c>
      <c r="F29">
        <v>9</v>
      </c>
      <c r="G29">
        <f>CubicSpline(F29, $A$5:$A$107, $B$5:$B$107)</f>
        <v>864.86959973830471</v>
      </c>
    </row>
    <row r="30" spans="1:36" x14ac:dyDescent="0.35">
      <c r="A30" s="100">
        <v>29</v>
      </c>
      <c r="B30" s="88">
        <f>'6 - Thresholds'!$M29</f>
        <v>8945.2208776149309</v>
      </c>
      <c r="C30" s="84">
        <v>29</v>
      </c>
      <c r="D30" s="101">
        <f t="shared" si="0"/>
        <v>8945.2208776148836</v>
      </c>
    </row>
    <row r="31" spans="1:36" x14ac:dyDescent="0.35">
      <c r="A31" s="100">
        <v>30</v>
      </c>
      <c r="B31" s="88">
        <f>'6 - Thresholds'!$M30</f>
        <v>9673.8604689053445</v>
      </c>
      <c r="C31" s="84">
        <v>30</v>
      </c>
      <c r="D31" s="101">
        <f>CubicSpline(C31,$A$5:$A$34,$B$5:$B$34)</f>
        <v>9673.8604689042295</v>
      </c>
    </row>
    <row r="32" spans="1:36" x14ac:dyDescent="0.35">
      <c r="A32" s="100">
        <f>'6 - Spheres'!$G$40</f>
        <v>39</v>
      </c>
      <c r="B32" s="84">
        <f>'6 - Spheres'!$G$42</f>
        <v>10000</v>
      </c>
      <c r="C32" s="95">
        <v>38</v>
      </c>
      <c r="D32" s="101">
        <f t="shared" ref="D32:D34" si="2">CubicSpline(C32,$A$5:$A$34,$B$5:$B$34)</f>
        <v>9941.9807255838896</v>
      </c>
    </row>
    <row r="33" spans="1:4" x14ac:dyDescent="0.35">
      <c r="A33" s="100">
        <f>'6 - Spheres'!$C$40</f>
        <v>49.4</v>
      </c>
      <c r="B33" s="84">
        <f>'6 - Spheres'!$C$42</f>
        <v>15600</v>
      </c>
      <c r="C33" s="95">
        <v>50</v>
      </c>
      <c r="D33" s="101">
        <f t="shared" si="2"/>
        <v>15895.418171796442</v>
      </c>
    </row>
    <row r="34" spans="1:4" x14ac:dyDescent="0.35">
      <c r="A34" s="102">
        <f>'6 - Spheres'!$N$40</f>
        <v>70</v>
      </c>
      <c r="B34" s="96">
        <f>'6 - Spheres'!$N$42</f>
        <v>25000</v>
      </c>
      <c r="C34" s="97">
        <v>70</v>
      </c>
      <c r="D34" s="103">
        <f t="shared" si="2"/>
        <v>24999.999999999996</v>
      </c>
    </row>
    <row r="36" spans="1:4" ht="40.15" x14ac:dyDescent="0.35">
      <c r="A36" s="81" t="s">
        <v>168</v>
      </c>
    </row>
    <row r="39" spans="1:4" ht="13.15" x14ac:dyDescent="0.4">
      <c r="A39" t="s">
        <v>169</v>
      </c>
    </row>
    <row r="40" spans="1:4" ht="13.15" x14ac:dyDescent="0.4">
      <c r="A40" t="s">
        <v>170</v>
      </c>
    </row>
    <row r="41" spans="1:4" x14ac:dyDescent="0.35">
      <c r="A41" t="s">
        <v>171</v>
      </c>
    </row>
    <row r="42" spans="1:4" x14ac:dyDescent="0.35">
      <c r="A42" t="s">
        <v>172</v>
      </c>
    </row>
    <row r="44" spans="1:4" x14ac:dyDescent="0.35">
      <c r="A44" t="s">
        <v>173</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Clause 6</vt:lpstr>
      <vt:lpstr>6 - B1</vt:lpstr>
      <vt:lpstr>6 - B2</vt:lpstr>
      <vt:lpstr>6 - B3</vt:lpstr>
      <vt:lpstr>6 - Thresholds</vt:lpstr>
      <vt:lpstr>6 - Spheres</vt:lpstr>
      <vt:lpstr>6 - Curve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Devereux</dc:creator>
  <cp:lastModifiedBy>John Devereux</cp:lastModifiedBy>
  <dcterms:created xsi:type="dcterms:W3CDTF">2025-12-19T10:12:42Z</dcterms:created>
  <dcterms:modified xsi:type="dcterms:W3CDTF">2026-02-12T10:37:48Z</dcterms:modified>
</cp:coreProperties>
</file>