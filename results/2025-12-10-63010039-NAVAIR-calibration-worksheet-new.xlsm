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50FE8E08-14F5-4169-95D2-82B8022D1B45}" xr6:coauthVersionLast="47" xr6:coauthVersionMax="47" xr10:uidLastSave="{00000000-0000-0000-0000-000000000000}"/>
  <bookViews>
    <workbookView xWindow="-98" yWindow="-98" windowWidth="28996" windowHeight="17745" tabRatio="500" activeTab="2" xr2:uid="{00000000-000D-0000-FFFF-FFFF00000000}"/>
  </bookViews>
  <sheets>
    <sheet name="Particle Counter" sheetId="18" r:id="rId1"/>
    <sheet name="Clause 6 - Spheres" sheetId="9" state="hidden" r:id="rId2"/>
    <sheet name="6 - Interpolated Thresholds" sheetId="8" r:id="rId3"/>
    <sheet name="Clause 6.15" sheetId="17" r:id="rId4"/>
    <sheet name="Annex E" sheetId="16" state="hidden" r:id="rId5"/>
    <sheet name="MP Calibration Certificate" sheetId="20" r:id="rId6"/>
  </sheets>
  <functionGroups builtInGroupCount="19"/>
  <externalReferences>
    <externalReference r:id="rId7"/>
  </externalReferences>
  <definedNames>
    <definedName name="_xlnm.Print_Area" localSheetId="5">'MP Calibration Certificate'!$A$1:$P$86</definedName>
  </definedNames>
  <calcPr calcId="191029"/>
</workbook>
</file>

<file path=xl/calcChain.xml><?xml version="1.0" encoding="utf-8"?>
<calcChain xmlns="http://schemas.openxmlformats.org/spreadsheetml/2006/main">
  <c r="B3" i="8" l="1"/>
  <c r="D5" i="18"/>
  <c r="B5" i="17"/>
  <c r="B6" i="17"/>
  <c r="B7" i="17"/>
  <c r="B8" i="17"/>
  <c r="B9" i="17"/>
  <c r="F27" i="20"/>
  <c r="F28" i="20"/>
  <c r="F29" i="20"/>
  <c r="F30" i="20"/>
  <c r="F31" i="20"/>
  <c r="D39" i="20"/>
  <c r="J27" i="20"/>
  <c r="J28" i="20"/>
  <c r="J29" i="20"/>
  <c r="J30" i="20"/>
  <c r="J31" i="20"/>
  <c r="H27" i="20"/>
  <c r="H28" i="20"/>
  <c r="H29" i="20"/>
  <c r="H30" i="20"/>
  <c r="H31" i="20"/>
  <c r="O17" i="20" l="1"/>
  <c r="O18" i="20"/>
  <c r="F19" i="20"/>
  <c r="E39" i="20"/>
  <c r="K31" i="20"/>
  <c r="L31" i="20" s="1"/>
  <c r="K30" i="20"/>
  <c r="L30" i="20" s="1"/>
  <c r="K29" i="20"/>
  <c r="L29" i="20" s="1"/>
  <c r="K28" i="20"/>
  <c r="L28" i="20" s="1"/>
  <c r="K27" i="20"/>
  <c r="L27" i="20" s="1"/>
  <c r="G39" i="20"/>
  <c r="N16" i="9" l="1"/>
  <c r="M15" i="9"/>
  <c r="M14" i="9"/>
  <c r="M13" i="9"/>
  <c r="M16" i="9" s="1"/>
  <c r="B16" i="9"/>
  <c r="A16" i="9"/>
  <c r="A15" i="9"/>
  <c r="A14" i="9"/>
  <c r="A13" i="9"/>
  <c r="F16" i="9"/>
  <c r="D19" i="17"/>
  <c r="D31" i="17"/>
  <c r="D28" i="17"/>
  <c r="D26" i="17"/>
  <c r="D15" i="17"/>
  <c r="D39" i="17"/>
  <c r="D41" i="17"/>
  <c r="D5" i="17"/>
  <c r="D8" i="17"/>
  <c r="D33" i="17"/>
  <c r="D14" i="17"/>
  <c r="D36" i="17"/>
  <c r="D17" i="17"/>
  <c r="D38" i="17"/>
  <c r="D6" i="17"/>
  <c r="D40" i="17"/>
  <c r="D35" i="17"/>
  <c r="D16" i="17"/>
  <c r="D12" i="17"/>
  <c r="D24" i="17"/>
  <c r="D22" i="17"/>
  <c r="D23" i="17"/>
  <c r="D9" i="17"/>
  <c r="D43" i="17"/>
  <c r="D32" i="17"/>
  <c r="D10" i="17"/>
  <c r="D21" i="17"/>
  <c r="D34" i="17"/>
  <c r="D27" i="17"/>
  <c r="D11" i="17"/>
  <c r="D30" i="17"/>
  <c r="D7" i="17"/>
  <c r="D20" i="17"/>
  <c r="D42" i="17"/>
  <c r="D13" i="17"/>
  <c r="D25" i="17"/>
  <c r="D18" i="17"/>
  <c r="D37" i="17"/>
  <c r="D29" i="17"/>
  <c r="B37" i="9" l="1"/>
  <c r="F37" i="9"/>
  <c r="O33" i="9"/>
  <c r="M33" i="9"/>
  <c r="H33" i="9"/>
  <c r="F33" i="9"/>
  <c r="D33" i="9"/>
  <c r="B33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2" i="9" l="1"/>
  <c r="M23" i="9" s="1"/>
  <c r="F22" i="9"/>
  <c r="F23" i="9" s="1"/>
</calcChain>
</file>

<file path=xl/sharedStrings.xml><?xml version="1.0" encoding="utf-8"?>
<sst xmlns="http://schemas.openxmlformats.org/spreadsheetml/2006/main" count="239" uniqueCount="137">
  <si>
    <t>APC Model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</si>
  <si>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</si>
  <si>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</si>
  <si>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</si>
  <si>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</si>
  <si>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</si>
  <si>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</si>
  <si>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</si>
  <si>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</si>
  <si>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</si>
  <si>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</si>
  <si>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</si>
  <si>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</si>
  <si>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</si>
  <si>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</si>
  <si>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</si>
  <si>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</si>
  <si>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</si>
  <si>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</si>
  <si>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Calibri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</si>
  <si>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</si>
  <si>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</si>
  <si>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Calibri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</si>
  <si>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</si>
  <si>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</si>
  <si>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</si>
  <si>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</si>
  <si>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</si>
  <si>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</si>
  <si>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Interpolated Threshold Voltage Setting</t>
  </si>
  <si>
    <t>Dilution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</si>
  <si>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</si>
  <si>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</si>
  <si>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</si>
  <si>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</si>
  <si>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</si>
  <si>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</si>
  <si>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</si>
  <si>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</si>
  <si>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</si>
  <si>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</si>
  <si>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</si>
  <si>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</si>
  <si>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</si>
  <si>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</si>
  <si>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</si>
  <si>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</si>
  <si>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</si>
  <si>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</si>
  <si>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</si>
  <si>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</si>
  <si>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</si>
  <si>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</si>
  <si>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</si>
  <si>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</si>
  <si>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</si>
  <si>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</si>
  <si>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</si>
  <si>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</si>
  <si>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</si>
  <si>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</si>
  <si>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</si>
  <si>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</si>
  <si>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</si>
  <si>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</si>
  <si>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</si>
  <si>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</si>
  <si>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</si>
  <si>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</si>
  <si>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</si>
  <si>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</si>
  <si>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</si>
  <si>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</si>
  <si>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</si>
  <si>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</si>
  <si>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</si>
  <si>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</si>
  <si>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</si>
  <si>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</si>
  <si>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</si>
  <si>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</si>
  <si>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</si>
  <si>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</si>
  <si>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</si>
  <si>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</si>
  <si>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Counted</t>
  </si>
  <si>
    <t>BS110-HP</t>
  </si>
  <si>
    <t>Reference Fluid</t>
  </si>
  <si>
    <t>MP Filtri UK Ltd</t>
  </si>
  <si>
    <t>Keep House, Conference Way, Vale Park South,</t>
  </si>
  <si>
    <t>Evesham</t>
  </si>
  <si>
    <t>England</t>
  </si>
  <si>
    <t>WR11 1 LB</t>
  </si>
  <si>
    <t>Tel: +44 (0) 1386 258500</t>
  </si>
  <si>
    <t>www.mpfiltri.co.uk</t>
  </si>
  <si>
    <t>CERTIFICATE OF CALIBRATION</t>
  </si>
  <si>
    <t>PRODUCT TYPE</t>
  </si>
  <si>
    <t>SERIAL NUMBER</t>
  </si>
  <si>
    <t>DATE OF CALIBRATION</t>
  </si>
  <si>
    <t>CERTIFICATE NUMBER</t>
  </si>
  <si>
    <t>Target Particle Count</t>
  </si>
  <si>
    <t>Actual Particle Count</t>
  </si>
  <si>
    <t>% Deviation
(+/- 10%)</t>
  </si>
  <si>
    <t>&gt;4</t>
  </si>
  <si>
    <t>&gt;6</t>
  </si>
  <si>
    <t>&gt;14</t>
  </si>
  <si>
    <t>&gt;21</t>
  </si>
  <si>
    <t>&gt;25</t>
  </si>
  <si>
    <t>&gt;38</t>
  </si>
  <si>
    <t>&gt;**50</t>
  </si>
  <si>
    <t>&gt;**70</t>
  </si>
  <si>
    <t>**These particle sizes are not yet certified by NIST</t>
  </si>
  <si>
    <t>Sensitivity Threshold Ratio</t>
  </si>
  <si>
    <t>[-]</t>
  </si>
  <si>
    <t>CALIBRATION RESULT</t>
  </si>
  <si>
    <t>PASS</t>
  </si>
  <si>
    <t>PASS - VERIFIED</t>
  </si>
  <si>
    <t>RE-CALIBRATION DUE</t>
  </si>
  <si>
    <t>CALIBRATED BY</t>
  </si>
  <si>
    <t>Newly purchased products are covered under warranty for 12 months from first use</t>
  </si>
  <si>
    <t>We hereby certify that this instrument meets standard performance criteria, providing calibration results within +/-10% of target concentration values from &gt;4um to &gt;38um, and exhibits a sensitivity threshold ratio of greater than 1.19 for each light source</t>
  </si>
  <si>
    <t>Products being returned for re-calibration are verified for accuracy for a further 12 months. This does not extend the warranty.</t>
  </si>
  <si>
    <t>Customers are responsible for managing the intervals between calibration's as defined within IS0 9001:2000</t>
  </si>
  <si>
    <t>Page 1 of 1</t>
  </si>
  <si>
    <t>LPA3-NAVAIR</t>
  </si>
  <si>
    <t>11171-00008</t>
  </si>
  <si>
    <t>Reference Fluid Batch Number</t>
  </si>
  <si>
    <t>Partistan</t>
  </si>
  <si>
    <t>Reference Fluid Batch</t>
  </si>
  <si>
    <t>No. particles reported per ml</t>
  </si>
  <si>
    <t>Calibrated Size Threshold</t>
  </si>
  <si>
    <t>WE HEREBY CERTIFY THAT THE CONTAMINATION MONITORING PRODUCT DETAILED BELOW HAS BEEN FULLY CALIBRATED WITH REFERENCE FLUID BASED ON ISO 11171</t>
  </si>
  <si>
    <t>Noise Threshold</t>
  </si>
  <si>
    <t>Noise Margin</t>
  </si>
  <si>
    <t>1 YEAR FROM FIRST USE</t>
  </si>
  <si>
    <t>Deviation /ml</t>
  </si>
  <si>
    <t>Reference Particle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</si>
</sst>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"/>
    <numFmt numFmtId="166" formatCode="0.0%"/>
    <numFmt numFmtId="167" formatCode="0.000E+00"/>
    <numFmt numFmtId="169" formatCode="ddmmyy"/>
    <numFmt numFmtId="170" formatCode="0.000"/>
  </numFmts>
  <fonts count="39" x14ac:knownFonts="1">
    <font>
      <sz val="10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charset val="1"/>
    </font>
    <font>
      <sz val="11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</font>
    <font>
      <sz val="12"/>
      <name val="Arial"/>
      <family val="2"/>
      <charset val="1"/>
    </font>
    <font>
      <u/>
      <sz val="10"/>
      <color rgb="FF0000FF"/>
      <name val="Arial"/>
      <family val="2"/>
      <charset val="1"/>
    </font>
    <font>
      <u/>
      <sz val="11"/>
      <color rgb="FF0000FF"/>
      <name val="Arial"/>
      <family val="2"/>
      <charset val="1"/>
    </font>
    <font>
      <b/>
      <sz val="26"/>
      <name val="Arial"/>
      <family val="2"/>
      <charset val="1"/>
    </font>
    <font>
      <b/>
      <sz val="22"/>
      <name val="Arial"/>
      <family val="2"/>
      <charset val="1"/>
    </font>
    <font>
      <b/>
      <sz val="14"/>
      <name val="Arial"/>
      <family val="2"/>
      <charset val="1"/>
    </font>
    <font>
      <b/>
      <sz val="10"/>
      <name val="Arial"/>
      <family val="2"/>
      <charset val="1"/>
    </font>
    <font>
      <sz val="14"/>
      <color rgb="FF000000"/>
      <name val="Arial"/>
      <family val="2"/>
      <charset val="1"/>
    </font>
    <font>
      <sz val="14"/>
      <name val="Arial"/>
      <family val="2"/>
      <charset val="1"/>
    </font>
    <font>
      <b/>
      <sz val="12"/>
      <name val="Arial"/>
      <family val="2"/>
      <charset val="1"/>
    </font>
    <font>
      <sz val="16"/>
      <color rgb="FF808080"/>
      <name val="Arial"/>
      <family val="2"/>
      <charset val="1"/>
    </font>
    <font>
      <b/>
      <sz val="16"/>
      <color rgb="FF333333"/>
      <name val="Arial"/>
      <family val="2"/>
      <charset val="1"/>
    </font>
    <font>
      <sz val="16"/>
      <color rgb="FF333333"/>
      <name val="Arial"/>
      <family val="2"/>
      <charset val="1"/>
    </font>
    <font>
      <sz val="14"/>
      <color rgb="FF333333"/>
      <name val="Arial"/>
      <family val="2"/>
      <charset val="1"/>
    </font>
    <font>
      <i/>
      <sz val="14"/>
      <name val="Arial"/>
      <family val="2"/>
      <charset val="1"/>
    </font>
    <font>
      <sz val="16"/>
      <name val="Arial"/>
      <family val="2"/>
      <charset val="1"/>
    </font>
    <font>
      <i/>
      <sz val="10"/>
      <name val="Arial"/>
      <family val="2"/>
      <charset val="1"/>
    </font>
    <font>
      <b/>
      <sz val="26"/>
      <color rgb="FFC0C0C0"/>
      <name val="Arial"/>
      <family val="2"/>
      <charset val="1"/>
    </font>
    <font>
      <sz val="8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C0C0C0"/>
      </left>
      <right style="thin">
        <color auto="1"/>
      </right>
      <top style="thin">
        <color auto="1"/>
      </top>
      <bottom style="thin">
        <color rgb="FFC0C0C0"/>
      </bottom>
      <diagonal/>
    </border>
    <border>
      <left/>
      <right/>
      <top/>
      <bottom style="thick">
        <color auto="1"/>
      </bottom>
      <diagonal/>
    </border>
  </borders>
  <cellStyleXfs count="7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0" fontId="16" fillId="0" borderId="0"/>
    <xf numFmtId="0" fontId="21" fillId="0" borderId="0" applyBorder="0" applyProtection="0"/>
  </cellStyleXfs>
  <cellXfs count="171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  <xf numFmtId="0" fontId="16" fillId="7" borderId="0" xfId="5" applyFill="1"/>
    <xf numFmtId="0" fontId="17" fillId="7" borderId="0" xfId="5" applyFont="1" applyFill="1"/>
    <xf numFmtId="0" fontId="18" fillId="7" borderId="0" xfId="5" applyFont="1" applyFill="1"/>
    <xf numFmtId="0" fontId="19" fillId="8" borderId="0" xfId="5" applyFont="1" applyFill="1"/>
    <xf numFmtId="0" fontId="20" fillId="7" borderId="0" xfId="5" applyFont="1" applyFill="1"/>
    <xf numFmtId="0" fontId="22" fillId="7" borderId="0" xfId="6" applyFont="1" applyFill="1" applyBorder="1" applyProtection="1"/>
    <xf numFmtId="0" fontId="23" fillId="7" borderId="0" xfId="5" applyFont="1" applyFill="1" applyAlignment="1">
      <alignment horizontal="center"/>
    </xf>
    <xf numFmtId="0" fontId="24" fillId="7" borderId="0" xfId="5" applyFont="1" applyFill="1" applyAlignment="1">
      <alignment horizontal="center"/>
    </xf>
    <xf numFmtId="0" fontId="25" fillId="7" borderId="0" xfId="5" applyFont="1" applyFill="1" applyAlignment="1">
      <alignment horizontal="center" vertical="center" wrapText="1"/>
    </xf>
    <xf numFmtId="0" fontId="25" fillId="7" borderId="0" xfId="5" applyFont="1" applyFill="1" applyAlignment="1">
      <alignment vertical="center" wrapText="1"/>
    </xf>
    <xf numFmtId="0" fontId="26" fillId="7" borderId="0" xfId="5" applyFont="1" applyFill="1" applyAlignment="1">
      <alignment horizontal="center" vertical="center"/>
    </xf>
    <xf numFmtId="0" fontId="25" fillId="7" borderId="0" xfId="5" applyFont="1" applyFill="1" applyAlignment="1">
      <alignment horizontal="center" vertical="center" wrapText="1"/>
    </xf>
    <xf numFmtId="0" fontId="26" fillId="7" borderId="0" xfId="5" applyFont="1" applyFill="1" applyAlignment="1">
      <alignment vertical="center" wrapText="1"/>
    </xf>
    <xf numFmtId="0" fontId="25" fillId="7" borderId="12" xfId="5" applyFont="1" applyFill="1" applyBorder="1" applyAlignment="1">
      <alignment vertical="center"/>
    </xf>
    <xf numFmtId="0" fontId="16" fillId="7" borderId="12" xfId="5" applyFill="1" applyBorder="1"/>
    <xf numFmtId="0" fontId="27" fillId="7" borderId="13" xfId="5" applyFont="1" applyFill="1" applyBorder="1" applyAlignment="1">
      <alignment horizontal="center" vertical="center"/>
    </xf>
    <xf numFmtId="0" fontId="25" fillId="7" borderId="10" xfId="5" applyFont="1" applyFill="1" applyBorder="1" applyAlignment="1">
      <alignment vertical="center"/>
    </xf>
    <xf numFmtId="0" fontId="28" fillId="7" borderId="1" xfId="5" applyFont="1" applyFill="1" applyBorder="1"/>
    <xf numFmtId="0" fontId="28" fillId="7" borderId="11" xfId="5" applyFont="1" applyFill="1" applyBorder="1"/>
    <xf numFmtId="0" fontId="16" fillId="7" borderId="10" xfId="5" applyFill="1" applyBorder="1"/>
    <xf numFmtId="1" fontId="27" fillId="7" borderId="13" xfId="5" applyNumberFormat="1" applyFont="1" applyFill="1" applyBorder="1" applyAlignment="1">
      <alignment horizontal="center" vertical="center"/>
    </xf>
    <xf numFmtId="0" fontId="25" fillId="7" borderId="2" xfId="5" applyFont="1" applyFill="1" applyBorder="1" applyAlignment="1">
      <alignment vertical="center"/>
    </xf>
    <xf numFmtId="0" fontId="28" fillId="7" borderId="3" xfId="5" applyFont="1" applyFill="1" applyBorder="1"/>
    <xf numFmtId="0" fontId="28" fillId="7" borderId="4" xfId="5" applyFont="1" applyFill="1" applyBorder="1"/>
    <xf numFmtId="1" fontId="27" fillId="7" borderId="10" xfId="5" applyNumberFormat="1" applyFont="1" applyFill="1" applyBorder="1" applyAlignment="1">
      <alignment vertical="center"/>
    </xf>
    <xf numFmtId="169" fontId="27" fillId="7" borderId="1" xfId="5" applyNumberFormat="1" applyFont="1" applyFill="1" applyBorder="1" applyAlignment="1">
      <alignment vertical="center"/>
    </xf>
    <xf numFmtId="0" fontId="25" fillId="7" borderId="0" xfId="5" applyFont="1" applyFill="1" applyAlignment="1">
      <alignment vertical="center"/>
    </xf>
    <xf numFmtId="1" fontId="27" fillId="7" borderId="0" xfId="5" applyNumberFormat="1" applyFont="1" applyFill="1" applyAlignment="1">
      <alignment horizontal="right" vertical="center"/>
    </xf>
    <xf numFmtId="169" fontId="27" fillId="7" borderId="0" xfId="5" applyNumberFormat="1" applyFont="1" applyFill="1" applyAlignment="1">
      <alignment horizontal="left" vertical="center"/>
    </xf>
    <xf numFmtId="0" fontId="28" fillId="7" borderId="0" xfId="5" applyFont="1" applyFill="1"/>
    <xf numFmtId="2" fontId="27" fillId="7" borderId="0" xfId="5" applyNumberFormat="1" applyFont="1" applyFill="1" applyAlignment="1">
      <alignment horizontal="center" vertical="center"/>
    </xf>
    <xf numFmtId="0" fontId="29" fillId="7" borderId="0" xfId="5" applyFont="1" applyFill="1"/>
    <xf numFmtId="0" fontId="18" fillId="0" borderId="0" xfId="5" applyFont="1" applyAlignment="1">
      <alignment horizontal="center"/>
    </xf>
    <xf numFmtId="0" fontId="26" fillId="7" borderId="0" xfId="5" applyFont="1" applyFill="1"/>
    <xf numFmtId="0" fontId="20" fillId="7" borderId="0" xfId="5" applyFont="1" applyFill="1" applyAlignment="1">
      <alignment horizontal="center" vertical="center" wrapText="1"/>
    </xf>
    <xf numFmtId="0" fontId="25" fillId="7" borderId="12" xfId="5" applyFont="1" applyFill="1" applyBorder="1" applyAlignment="1">
      <alignment horizontal="center" vertical="center" wrapText="1"/>
    </xf>
    <xf numFmtId="0" fontId="25" fillId="7" borderId="12" xfId="5" applyFont="1" applyFill="1" applyBorder="1" applyAlignment="1">
      <alignment horizontal="center" vertical="center" wrapText="1"/>
    </xf>
    <xf numFmtId="0" fontId="28" fillId="7" borderId="0" xfId="5" applyFont="1" applyFill="1" applyAlignment="1">
      <alignment horizontal="center" vertical="center" wrapText="1"/>
    </xf>
    <xf numFmtId="0" fontId="30" fillId="7" borderId="12" xfId="5" applyFont="1" applyFill="1" applyBorder="1" applyAlignment="1">
      <alignment horizontal="center" vertical="center" wrapText="1"/>
    </xf>
    <xf numFmtId="0" fontId="30" fillId="7" borderId="12" xfId="5" applyFont="1" applyFill="1" applyBorder="1" applyAlignment="1">
      <alignment horizontal="center" vertical="center" wrapText="1"/>
    </xf>
    <xf numFmtId="1" fontId="32" fillId="0" borderId="12" xfId="5" applyNumberFormat="1" applyFont="1" applyBorder="1" applyAlignment="1">
      <alignment horizontal="center" vertical="center" wrapText="1"/>
    </xf>
    <xf numFmtId="1" fontId="32" fillId="0" borderId="12" xfId="5" applyNumberFormat="1" applyFont="1" applyBorder="1" applyAlignment="1">
      <alignment horizontal="center" vertical="center" wrapText="1"/>
    </xf>
    <xf numFmtId="0" fontId="34" fillId="7" borderId="0" xfId="5" applyFont="1" applyFill="1"/>
    <xf numFmtId="0" fontId="35" fillId="7" borderId="0" xfId="5" applyFont="1" applyFill="1"/>
    <xf numFmtId="0" fontId="36" fillId="7" borderId="0" xfId="5" applyFont="1" applyFill="1"/>
    <xf numFmtId="0" fontId="35" fillId="7" borderId="0" xfId="5" applyFont="1" applyFill="1" applyAlignment="1">
      <alignment horizontal="center" vertical="center" wrapText="1"/>
    </xf>
    <xf numFmtId="0" fontId="30" fillId="7" borderId="0" xfId="5" applyFont="1" applyFill="1" applyAlignment="1">
      <alignment horizontal="center" vertical="center" wrapText="1"/>
    </xf>
    <xf numFmtId="0" fontId="32" fillId="7" borderId="12" xfId="5" applyFont="1" applyFill="1" applyBorder="1" applyAlignment="1">
      <alignment horizontal="center" vertical="center" wrapText="1"/>
    </xf>
    <xf numFmtId="2" fontId="32" fillId="0" borderId="12" xfId="5" applyNumberFormat="1" applyFont="1" applyBorder="1" applyAlignment="1">
      <alignment horizontal="center" vertical="center" wrapText="1"/>
    </xf>
    <xf numFmtId="170" fontId="32" fillId="7" borderId="12" xfId="5" applyNumberFormat="1" applyFont="1" applyFill="1" applyBorder="1" applyAlignment="1">
      <alignment horizontal="center" vertical="center" wrapText="1"/>
    </xf>
    <xf numFmtId="0" fontId="32" fillId="7" borderId="0" xfId="5" applyFont="1" applyFill="1" applyAlignment="1">
      <alignment horizontal="center" vertical="center" wrapText="1"/>
    </xf>
    <xf numFmtId="2" fontId="32" fillId="7" borderId="0" xfId="5" applyNumberFormat="1" applyFont="1" applyFill="1" applyAlignment="1">
      <alignment horizontal="center" vertical="center" wrapText="1"/>
    </xf>
    <xf numFmtId="170" fontId="32" fillId="7" borderId="0" xfId="5" applyNumberFormat="1" applyFont="1" applyFill="1" applyAlignment="1">
      <alignment horizontal="center" vertical="center" wrapText="1"/>
    </xf>
    <xf numFmtId="0" fontId="36" fillId="7" borderId="17" xfId="5" applyFont="1" applyFill="1" applyBorder="1"/>
    <xf numFmtId="0" fontId="16" fillId="7" borderId="17" xfId="5" applyFill="1" applyBorder="1"/>
    <xf numFmtId="0" fontId="29" fillId="7" borderId="10" xfId="5" applyFont="1" applyFill="1" applyBorder="1" applyAlignment="1">
      <alignment vertical="center"/>
    </xf>
    <xf numFmtId="0" fontId="20" fillId="7" borderId="11" xfId="5" applyFont="1" applyFill="1" applyBorder="1"/>
    <xf numFmtId="0" fontId="29" fillId="7" borderId="12" xfId="5" applyFont="1" applyFill="1" applyBorder="1" applyAlignment="1">
      <alignment horizontal="center" vertical="center"/>
    </xf>
    <xf numFmtId="0" fontId="37" fillId="7" borderId="12" xfId="5" applyFont="1" applyFill="1" applyBorder="1" applyAlignment="1">
      <alignment horizontal="center" vertical="center"/>
    </xf>
    <xf numFmtId="49" fontId="17" fillId="0" borderId="12" xfId="5" applyNumberFormat="1" applyFont="1" applyBorder="1" applyAlignment="1" applyProtection="1">
      <alignment horizontal="center" vertical="center" wrapText="1"/>
      <protection locked="0"/>
    </xf>
    <xf numFmtId="0" fontId="20" fillId="7" borderId="12" xfId="5" applyFont="1" applyFill="1" applyBorder="1" applyAlignment="1">
      <alignment horizontal="center" vertical="center"/>
    </xf>
    <xf numFmtId="0" fontId="29" fillId="7" borderId="12" xfId="5" applyFont="1" applyFill="1" applyBorder="1" applyAlignment="1">
      <alignment vertical="center"/>
    </xf>
    <xf numFmtId="0" fontId="28" fillId="7" borderId="12" xfId="5" applyFont="1" applyFill="1" applyBorder="1" applyAlignment="1">
      <alignment horizontal="center" vertical="center"/>
    </xf>
    <xf numFmtId="0" fontId="20" fillId="7" borderId="0" xfId="5" applyFont="1" applyFill="1" applyAlignment="1">
      <alignment horizontal="center" vertical="center"/>
    </xf>
    <xf numFmtId="0" fontId="36" fillId="7" borderId="0" xfId="5" applyFont="1" applyFill="1" applyAlignment="1">
      <alignment horizontal="center" wrapText="1"/>
    </xf>
    <xf numFmtId="0" fontId="38" fillId="7" borderId="0" xfId="5" applyFont="1" applyFill="1" applyAlignment="1">
      <alignment horizontal="right"/>
    </xf>
    <xf numFmtId="0" fontId="38" fillId="7" borderId="0" xfId="5" applyFont="1" applyFill="1" applyAlignment="1">
      <alignment horizontal="center"/>
    </xf>
    <xf numFmtId="0" fontId="16" fillId="0" borderId="0" xfId="5"/>
    <xf numFmtId="14" fontId="27" fillId="7" borderId="11" xfId="5" applyNumberFormat="1" applyFont="1" applyFill="1" applyBorder="1" applyAlignment="1">
      <alignment vertical="center"/>
    </xf>
    <xf numFmtId="0" fontId="27" fillId="7" borderId="12" xfId="5" applyFont="1" applyFill="1" applyBorder="1" applyAlignment="1">
      <alignment horizontal="right" vertical="center"/>
    </xf>
    <xf numFmtId="14" fontId="27" fillId="7" borderId="11" xfId="5" applyNumberFormat="1" applyFont="1" applyFill="1" applyBorder="1" applyAlignment="1">
      <alignment horizontal="right" vertical="center"/>
    </xf>
    <xf numFmtId="1" fontId="27" fillId="7" borderId="12" xfId="5" applyNumberFormat="1" applyFont="1" applyFill="1" applyBorder="1" applyAlignment="1">
      <alignment horizontal="right" vertical="center"/>
    </xf>
    <xf numFmtId="2" fontId="32" fillId="0" borderId="12" xfId="5" applyNumberFormat="1" applyFont="1" applyBorder="1" applyAlignment="1">
      <alignment horizontal="right" vertical="center" wrapText="1" indent="1"/>
    </xf>
    <xf numFmtId="2" fontId="32" fillId="0" borderId="12" xfId="5" applyNumberFormat="1" applyFont="1" applyBorder="1" applyAlignment="1">
      <alignment horizontal="right" vertical="center" wrapText="1" indent="1"/>
    </xf>
    <xf numFmtId="10" fontId="33" fillId="7" borderId="16" xfId="5" applyNumberFormat="1" applyFont="1" applyFill="1" applyBorder="1" applyAlignment="1">
      <alignment horizontal="right" vertical="center" wrapText="1" indent="1"/>
    </xf>
    <xf numFmtId="10" fontId="32" fillId="0" borderId="12" xfId="5" applyNumberFormat="1" applyFont="1" applyBorder="1" applyAlignment="1">
      <alignment horizontal="right" vertical="center" wrapText="1" indent="1"/>
    </xf>
    <xf numFmtId="1" fontId="32" fillId="7" borderId="12" xfId="5" applyNumberFormat="1" applyFont="1" applyFill="1" applyBorder="1" applyAlignment="1">
      <alignment horizontal="right" vertical="center" wrapText="1" indent="1"/>
    </xf>
    <xf numFmtId="1" fontId="32" fillId="7" borderId="12" xfId="5" applyNumberFormat="1" applyFont="1" applyFill="1" applyBorder="1" applyAlignment="1">
      <alignment horizontal="right" vertical="center" indent="1"/>
    </xf>
    <xf numFmtId="0" fontId="31" fillId="0" borderId="12" xfId="5" applyFont="1" applyBorder="1" applyAlignment="1">
      <alignment horizontal="right" vertical="center" wrapText="1" indent="1"/>
    </xf>
    <xf numFmtId="10" fontId="33" fillId="0" borderId="16" xfId="5" applyNumberFormat="1" applyFont="1" applyFill="1" applyBorder="1" applyAlignment="1">
      <alignment horizontal="right" vertical="center" wrapText="1" indent="1"/>
    </xf>
    <xf numFmtId="0" fontId="0" fillId="0" borderId="0" xfId="0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2" fillId="6" borderId="0" xfId="4" applyAlignment="1">
      <alignment horizontal="right"/>
    </xf>
    <xf numFmtId="164" fontId="2" fillId="6" borderId="0" xfId="4" applyNumberFormat="1" applyAlignment="1">
      <alignment horizontal="right"/>
    </xf>
  </cellXfs>
  <cellStyles count="7">
    <cellStyle name="20% - Accent2" xfId="4" builtinId="34"/>
    <cellStyle name="Good" xfId="1" xr:uid="{00000000-0005-0000-0000-000006000000}"/>
    <cellStyle name="Good 2" xfId="3" xr:uid="{A78CDBF5-39EA-4A85-A0AF-F1A5EAE4C64C}"/>
    <cellStyle name="Hyperlink 2" xfId="6" xr:uid="{E6E0246D-809D-4D57-A500-0520C8B2A6E3}"/>
    <cellStyle name="Normal" xfId="0" builtinId="0" customBuiltin="1"/>
    <cellStyle name="Normal 2" xfId="2" xr:uid="{6F2B5B9B-B1BC-48CE-9543-1D98D80B63EB}"/>
    <cellStyle name="Normal 3" xfId="5" xr:uid="{436A4690-E489-4DFF-A4DF-FCA7AA2E91F6}"/>
  </cellStyles>
  <dxfs count="34">
    <dxf>
      <fill>
        <patternFill>
          <bgColor rgb="FF99CCFF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4" tint="0.79998168889431442"/>
        </patternFill>
      </fill>
    </dxf>
    <dxf>
      <fill>
        <patternFill>
          <bgColor rgb="FF99CCFF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99CCFF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76</c:v>
                </c:pt>
                <c:pt idx="1">
                  <c:v>183.99999999999997</c:v>
                </c:pt>
                <c:pt idx="2">
                  <c:v>543.10262359450292</c:v>
                </c:pt>
                <c:pt idx="3">
                  <c:v>1000</c:v>
                </c:pt>
                <c:pt idx="4">
                  <c:v>2010</c:v>
                </c:pt>
                <c:pt idx="5">
                  <c:v>2985.9999999999995</c:v>
                </c:pt>
                <c:pt idx="6">
                  <c:v>9937.9999999999982</c:v>
                </c:pt>
                <c:pt idx="7">
                  <c:v>15300</c:v>
                </c:pt>
                <c:pt idx="8">
                  <c:v>25000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Actual</a:t>
            </a:r>
            <a:r>
              <a:rPr lang="en-GB" b="1" baseline="0"/>
              <a:t> vs Target Calibration Level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'MP Calibration Certificate'!$H$26</c:f>
              <c:strCache>
                <c:ptCount val="1"/>
                <c:pt idx="0">
                  <c:v>Target Particle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'MP Calibration Certificate'!$D$27:$D$31</c:f>
              <c:strCache>
                <c:ptCount val="5"/>
                <c:pt idx="0">
                  <c:v>&gt;4</c:v>
                </c:pt>
                <c:pt idx="1">
                  <c:v>&gt;6</c:v>
                </c:pt>
                <c:pt idx="2">
                  <c:v>&gt;14</c:v>
                </c:pt>
                <c:pt idx="3">
                  <c:v>&gt;21</c:v>
                </c:pt>
                <c:pt idx="4">
                  <c:v>&gt;25</c:v>
                </c:pt>
              </c:strCache>
            </c:strRef>
          </c:cat>
          <c:val>
            <c:numRef>
              <c:f>'MP Calibration Certificate'!$H$27:$H$31</c:f>
              <c:numCache>
                <c:formatCode>0.00</c:formatCode>
                <c:ptCount val="5"/>
                <c:pt idx="0">
                  <c:v>10750.3</c:v>
                </c:pt>
                <c:pt idx="1">
                  <c:v>4729.1000000000004</c:v>
                </c:pt>
                <c:pt idx="2">
                  <c:v>384.7</c:v>
                </c:pt>
                <c:pt idx="3">
                  <c:v>114.4</c:v>
                </c:pt>
                <c:pt idx="4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71A-BA2C-569A8CF28FE8}"/>
            </c:ext>
          </c:extLst>
        </c:ser>
        <c:ser>
          <c:idx val="3"/>
          <c:order val="1"/>
          <c:tx>
            <c:strRef>
              <c:f>'MP Calibration Certificate'!$J$26</c:f>
              <c:strCache>
                <c:ptCount val="1"/>
                <c:pt idx="0">
                  <c:v>Actual Particle Count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'MP Calibration Certificate'!$D$27:$D$31</c:f>
              <c:strCache>
                <c:ptCount val="5"/>
                <c:pt idx="0">
                  <c:v>&gt;4</c:v>
                </c:pt>
                <c:pt idx="1">
                  <c:v>&gt;6</c:v>
                </c:pt>
                <c:pt idx="2">
                  <c:v>&gt;14</c:v>
                </c:pt>
                <c:pt idx="3">
                  <c:v>&gt;21</c:v>
                </c:pt>
                <c:pt idx="4">
                  <c:v>&gt;25</c:v>
                </c:pt>
              </c:strCache>
            </c:strRef>
          </c:cat>
          <c:val>
            <c:numRef>
              <c:f>'MP Calibration Certificate'!$J$27:$J$31</c:f>
              <c:numCache>
                <c:formatCode>0.00</c:formatCode>
                <c:ptCount val="5"/>
                <c:pt idx="0">
                  <c:v>10713</c:v>
                </c:pt>
                <c:pt idx="1">
                  <c:v>4753</c:v>
                </c:pt>
                <c:pt idx="2">
                  <c:v>385</c:v>
                </c:pt>
                <c:pt idx="3">
                  <c:v>114.45</c:v>
                </c:pt>
                <c:pt idx="4">
                  <c:v>53.82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71A-BA2C-569A8CF28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3467695"/>
        <c:axId val="953472015"/>
      </c:barChart>
      <c:catAx>
        <c:axId val="95346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72015"/>
        <c:crosses val="autoZero"/>
        <c:auto val="1"/>
        <c:lblAlgn val="ctr"/>
        <c:lblOffset val="100"/>
        <c:noMultiLvlLbl val="0"/>
      </c:catAx>
      <c:valAx>
        <c:axId val="9534720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67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1155790</xdr:colOff>
      <xdr:row>1</xdr:row>
      <xdr:rowOff>104760</xdr:rowOff>
    </xdr:from>
    <xdr:to>
      <xdr:col>16</xdr:col>
      <xdr:colOff>95887</xdr:colOff>
      <xdr:row>7</xdr:row>
      <xdr:rowOff>47520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CEA45F2-315C-4AD8-BA07-32156F0176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147640" y="266685"/>
          <a:ext cx="3519458" cy="99051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1156607</xdr:colOff>
      <xdr:row>41</xdr:row>
      <xdr:rowOff>50342</xdr:rowOff>
    </xdr:from>
    <xdr:to>
      <xdr:col>14</xdr:col>
      <xdr:colOff>251732</xdr:colOff>
      <xdr:row>62</xdr:row>
      <xdr:rowOff>47623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A15A3C-A1C4-9BB9-F7FD-01C202489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p\projects\PR0118%20-%20ISO%2011171%20Calibrations\000000204%20-%2007093-41%20081225.xlsx" TargetMode="External"/><Relationship Id="rId1" Type="http://schemas.openxmlformats.org/officeDocument/2006/relationships/externalLinkPath" Target="000000204%20-%2007093-41%200812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td-10-micron"/>
      <sheetName val="mtd-100-micron"/>
      <sheetName val="CAL"/>
      <sheetName val="mtd"/>
      <sheetName val="ICM Job Card 2022"/>
      <sheetName val="Service Report"/>
      <sheetName val="UK Sterling service quote"/>
      <sheetName val="Non UK Sterling service quote"/>
      <sheetName val="Euro Service Quote"/>
      <sheetName val="Calibration record"/>
      <sheetName val="Post calibration"/>
      <sheetName val="MP Calibration Certificate"/>
      <sheetName val="DESCASE CERT"/>
      <sheetName val="LPM Certificate"/>
      <sheetName val="Solge Certificate"/>
      <sheetName val="RMF Certificate"/>
      <sheetName val="CCJ Certificate"/>
      <sheetName val="Hanzaflex Certificate"/>
      <sheetName val="ICM SUNHML Certificate"/>
      <sheetName val="Unbranded Ce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9">
          <cell r="B9">
            <v>61</v>
          </cell>
        </row>
        <row r="22">
          <cell r="B22">
            <v>3481812.2857142859</v>
          </cell>
          <cell r="I22">
            <v>3515052.3333333335</v>
          </cell>
        </row>
        <row r="23">
          <cell r="B23">
            <v>1368160.8571428573</v>
          </cell>
          <cell r="I23">
            <v>1388815.3333333333</v>
          </cell>
        </row>
        <row r="24">
          <cell r="B24">
            <v>97342.21714285716</v>
          </cell>
          <cell r="I24">
            <v>98910</v>
          </cell>
        </row>
        <row r="25">
          <cell r="B25">
            <v>24221.302857142859</v>
          </cell>
          <cell r="I25">
            <v>24523</v>
          </cell>
        </row>
        <row r="26">
          <cell r="B26">
            <v>11396.58</v>
          </cell>
          <cell r="I26">
            <v>11296</v>
          </cell>
        </row>
        <row r="27">
          <cell r="B27">
            <v>1788.6061142857141</v>
          </cell>
          <cell r="I27">
            <v>1652</v>
          </cell>
        </row>
        <row r="28">
          <cell r="B28">
            <v>690.6498857142858</v>
          </cell>
          <cell r="I28">
            <v>484.66666666666669</v>
          </cell>
        </row>
        <row r="29">
          <cell r="B29">
            <v>159.952</v>
          </cell>
          <cell r="I29">
            <v>59</v>
          </cell>
        </row>
      </sheetData>
      <sheetData sheetId="10" refreshError="1"/>
      <sheetData sheetId="11">
        <row r="28">
          <cell r="D28" t="str">
            <v>&gt;4</v>
          </cell>
        </row>
        <row r="29">
          <cell r="D29" t="str">
            <v>&gt;6</v>
          </cell>
        </row>
        <row r="30">
          <cell r="D30" t="str">
            <v>&gt;14</v>
          </cell>
        </row>
        <row r="31">
          <cell r="D31" t="str">
            <v>&gt;21</v>
          </cell>
        </row>
        <row r="32">
          <cell r="D32" t="str">
            <v>&gt;25</v>
          </cell>
        </row>
        <row r="33">
          <cell r="D33" t="str">
            <v>&gt;38</v>
          </cell>
        </row>
        <row r="34">
          <cell r="D34" t="str">
            <v>&gt;**50</v>
          </cell>
        </row>
        <row r="35">
          <cell r="D35" t="str">
            <v>&gt;**70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pfiltri.co.u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15"/>
  <sheetViews>
    <sheetView workbookViewId="0">
      <selection activeCell="D12" sqref="D12"/>
    </sheetView>
  </sheetViews>
  <sheetFormatPr defaultRowHeight="13.15" x14ac:dyDescent="0.4"/>
  <cols>
    <col min="1" max="1" width="14" customWidth="1"/>
    <col min="2" max="2" width="18.78515625" customWidth="1"/>
    <col min="4" max="4" width="14.0703125" customWidth="1"/>
  </cols>
  <sheetData>
    <row r="1" spans="1:4" x14ac:dyDescent="0.4">
      <c r="A1" s="2" t="s">
        <v>15</v>
      </c>
      <c r="D1" s="167" t="s">
        <v>86</v>
      </c>
    </row>
    <row r="2" spans="1:4" x14ac:dyDescent="0.4">
      <c r="A2" t="s">
        <v>0</v>
      </c>
      <c r="D2" s="167" t="s">
        <v>12</v>
      </c>
    </row>
    <row r="3" spans="1:4" ht="13.9" x14ac:dyDescent="0.4">
      <c r="A3" t="s">
        <v>1</v>
      </c>
      <c r="D3" s="169">
        <v>63010039</v>
      </c>
    </row>
    <row r="4" spans="1:4" x14ac:dyDescent="0.4">
      <c r="A4" t="s">
        <v>3</v>
      </c>
      <c r="D4" s="167" t="s">
        <v>12</v>
      </c>
    </row>
    <row r="5" spans="1:4" x14ac:dyDescent="0.4">
      <c r="A5" t="s">
        <v>4</v>
      </c>
      <c r="D5" s="167">
        <f>$D$3</f>
        <v>63010039</v>
      </c>
    </row>
    <row r="6" spans="1:4" ht="13.9" x14ac:dyDescent="0.4">
      <c r="A6" t="s">
        <v>5</v>
      </c>
      <c r="D6" s="170">
        <v>46002</v>
      </c>
    </row>
    <row r="7" spans="1:4" x14ac:dyDescent="0.4">
      <c r="A7" t="s">
        <v>6</v>
      </c>
      <c r="D7" s="168" t="s">
        <v>7</v>
      </c>
    </row>
    <row r="8" spans="1:4" ht="13.9" x14ac:dyDescent="0.4">
      <c r="A8" t="s">
        <v>8</v>
      </c>
      <c r="D8" s="169">
        <v>36</v>
      </c>
    </row>
    <row r="9" spans="1:4" x14ac:dyDescent="0.4">
      <c r="A9" t="s">
        <v>87</v>
      </c>
      <c r="D9" s="167" t="s">
        <v>127</v>
      </c>
    </row>
    <row r="10" spans="1:4" ht="13.9" x14ac:dyDescent="0.4">
      <c r="A10" t="s">
        <v>128</v>
      </c>
      <c r="D10" s="169" t="s">
        <v>16</v>
      </c>
    </row>
    <row r="14" spans="1:4" x14ac:dyDescent="0.4">
      <c r="A14" s="16"/>
      <c r="B14" s="16"/>
      <c r="C14" s="16"/>
      <c r="D14" s="16"/>
    </row>
    <row r="15" spans="1:4" x14ac:dyDescent="0.4">
      <c r="A15" s="16"/>
      <c r="B15" s="16"/>
      <c r="C15" s="16"/>
      <c r="D15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Normal="100" workbookViewId="0">
      <selection activeCell="C10" sqref="C10"/>
    </sheetView>
  </sheetViews>
  <sheetFormatPr defaultColWidth="11.5703125" defaultRowHeight="13.15" x14ac:dyDescent="0.4"/>
  <cols>
    <col min="1" max="1" width="30.28515625" customWidth="1"/>
    <col min="10" max="10" width="6.5703125" customWidth="1"/>
    <col min="11" max="11" width="14.78515625" customWidth="1"/>
  </cols>
  <sheetData>
    <row r="1" spans="1:17" x14ac:dyDescent="0.4">
      <c r="A1" s="4" t="s">
        <v>34</v>
      </c>
      <c r="B1" s="4"/>
      <c r="C1" s="4"/>
      <c r="D1" s="4"/>
    </row>
    <row r="2" spans="1:17" x14ac:dyDescent="0.4">
      <c r="A2" s="4"/>
      <c r="B2" s="4"/>
      <c r="C2" s="4"/>
      <c r="D2" s="4"/>
      <c r="H2" s="2"/>
    </row>
    <row r="3" spans="1:17" x14ac:dyDescent="0.4">
      <c r="A3" s="28">
        <v>49.4</v>
      </c>
      <c r="B3" s="29" t="s">
        <v>35</v>
      </c>
      <c r="C3" s="29" t="s">
        <v>36</v>
      </c>
      <c r="D3" s="30"/>
      <c r="F3" s="31">
        <v>39</v>
      </c>
      <c r="G3" s="29" t="s">
        <v>35</v>
      </c>
      <c r="H3" s="29" t="s">
        <v>36</v>
      </c>
      <c r="I3" s="7"/>
      <c r="J3" s="22"/>
      <c r="M3" s="28">
        <v>69.7</v>
      </c>
      <c r="N3" s="29" t="s">
        <v>35</v>
      </c>
      <c r="O3" s="29" t="s">
        <v>36</v>
      </c>
      <c r="P3" s="7"/>
      <c r="Q3" s="22"/>
    </row>
    <row r="4" spans="1:17" x14ac:dyDescent="0.4">
      <c r="A4" s="32">
        <f>(4/3)*(3.1415936)*((A3*0.000001/2)^3)</f>
        <v>6.3121832711697054E-14</v>
      </c>
      <c r="B4" s="4" t="s">
        <v>37</v>
      </c>
      <c r="C4" s="4" t="s">
        <v>38</v>
      </c>
      <c r="D4" s="33"/>
      <c r="F4" s="32">
        <f>(4/3)*(3.1415936)*((F3*0.000001/2)^3)</f>
        <v>3.1059365126399994E-14</v>
      </c>
      <c r="G4" s="4" t="s">
        <v>37</v>
      </c>
      <c r="H4" s="4" t="s">
        <v>38</v>
      </c>
      <c r="J4" s="11"/>
      <c r="M4" s="32">
        <f>(4/3)*(3.1415936)*((M3*0.000001/2)^3)</f>
        <v>1.7729524472000214E-13</v>
      </c>
      <c r="N4" s="4" t="s">
        <v>37</v>
      </c>
      <c r="O4" s="4" t="s">
        <v>38</v>
      </c>
      <c r="Q4" s="11"/>
    </row>
    <row r="5" spans="1:17" x14ac:dyDescent="0.4">
      <c r="A5" s="32">
        <f>A4*1.05*1000</f>
        <v>6.6277924347281912E-11</v>
      </c>
      <c r="B5" s="4" t="s">
        <v>39</v>
      </c>
      <c r="C5" s="4" t="s">
        <v>40</v>
      </c>
      <c r="D5" s="33"/>
      <c r="F5" s="32">
        <f>F4*1.05*1000</f>
        <v>3.2612333382719997E-11</v>
      </c>
      <c r="G5" s="4" t="s">
        <v>39</v>
      </c>
      <c r="H5" s="4" t="s">
        <v>40</v>
      </c>
      <c r="J5" s="11"/>
      <c r="M5" s="32">
        <f>M4*1.05*1000</f>
        <v>1.8616000695600225E-10</v>
      </c>
      <c r="N5" s="4" t="s">
        <v>39</v>
      </c>
      <c r="O5" s="4" t="s">
        <v>40</v>
      </c>
      <c r="Q5" s="11"/>
    </row>
    <row r="6" spans="1:17" x14ac:dyDescent="0.4">
      <c r="A6" s="32">
        <f>0.000001/A5</f>
        <v>15087.980045364991</v>
      </c>
      <c r="B6" s="4" t="s">
        <v>41</v>
      </c>
      <c r="C6" s="4" t="s">
        <v>42</v>
      </c>
      <c r="D6" s="33"/>
      <c r="F6" s="32">
        <f>0.000001/F5</f>
        <v>30663.245964787693</v>
      </c>
      <c r="G6" s="4" t="s">
        <v>41</v>
      </c>
      <c r="H6" s="4" t="s">
        <v>42</v>
      </c>
      <c r="J6" s="11"/>
      <c r="M6" s="32">
        <f>0.000001/M5</f>
        <v>5371.7230480999269</v>
      </c>
      <c r="N6" s="4" t="s">
        <v>41</v>
      </c>
      <c r="O6" s="4" t="s">
        <v>42</v>
      </c>
      <c r="Q6" s="11"/>
    </row>
    <row r="7" spans="1:17" x14ac:dyDescent="0.4">
      <c r="A7" s="34">
        <v>5000</v>
      </c>
      <c r="B7" s="4"/>
      <c r="C7" s="4" t="s">
        <v>43</v>
      </c>
      <c r="D7" s="33"/>
      <c r="F7" s="34">
        <v>3000</v>
      </c>
      <c r="G7" s="4"/>
      <c r="H7" s="4" t="s">
        <v>43</v>
      </c>
      <c r="J7" s="11"/>
      <c r="M7" s="34">
        <v>2000</v>
      </c>
      <c r="N7" s="4"/>
      <c r="O7" s="4" t="s">
        <v>43</v>
      </c>
      <c r="Q7" s="11"/>
    </row>
    <row r="8" spans="1:17" x14ac:dyDescent="0.4">
      <c r="A8" s="35">
        <f>A7/A6*1000</f>
        <v>331.38962173640959</v>
      </c>
      <c r="B8" s="4" t="s">
        <v>14</v>
      </c>
      <c r="C8" s="4" t="s">
        <v>44</v>
      </c>
      <c r="D8" s="33"/>
      <c r="F8" s="35">
        <f>F7/F6*1000</f>
        <v>97.837000148159987</v>
      </c>
      <c r="G8" s="4" t="s">
        <v>14</v>
      </c>
      <c r="H8" s="4" t="s">
        <v>44</v>
      </c>
      <c r="J8" s="11"/>
      <c r="M8" s="35">
        <f>M7/M6*1000</f>
        <v>372.32001391200447</v>
      </c>
      <c r="N8" s="4" t="s">
        <v>14</v>
      </c>
      <c r="O8" s="4" t="s">
        <v>44</v>
      </c>
      <c r="Q8" s="11"/>
    </row>
    <row r="9" spans="1:17" x14ac:dyDescent="0.4">
      <c r="A9" s="34">
        <v>0.20280000000000001</v>
      </c>
      <c r="B9" s="4" t="s">
        <v>45</v>
      </c>
      <c r="C9" s="4" t="s">
        <v>46</v>
      </c>
      <c r="D9" s="33"/>
      <c r="F9" s="34">
        <v>0.2</v>
      </c>
      <c r="G9" s="4" t="s">
        <v>45</v>
      </c>
      <c r="H9" s="4" t="s">
        <v>46</v>
      </c>
      <c r="J9" s="11"/>
      <c r="M9" s="34">
        <v>0.2</v>
      </c>
      <c r="N9" s="4" t="s">
        <v>45</v>
      </c>
      <c r="O9" s="4" t="s">
        <v>46</v>
      </c>
      <c r="Q9" s="11"/>
    </row>
    <row r="10" spans="1:17" x14ac:dyDescent="0.4">
      <c r="A10" s="35">
        <f>A9*A8</f>
        <v>67.205815288143867</v>
      </c>
      <c r="B10" s="4" t="s">
        <v>13</v>
      </c>
      <c r="C10" s="4" t="s">
        <v>47</v>
      </c>
      <c r="D10" s="33"/>
      <c r="F10" s="35">
        <f>F9*F8</f>
        <v>19.567400029631997</v>
      </c>
      <c r="G10" s="4" t="s">
        <v>13</v>
      </c>
      <c r="H10" s="4" t="s">
        <v>47</v>
      </c>
      <c r="J10" s="11"/>
      <c r="M10" s="35">
        <f>M9*M8</f>
        <v>74.464002782400897</v>
      </c>
      <c r="N10" s="4" t="s">
        <v>13</v>
      </c>
      <c r="O10" s="4" t="s">
        <v>47</v>
      </c>
      <c r="Q10" s="11"/>
    </row>
    <row r="11" spans="1:17" x14ac:dyDescent="0.4">
      <c r="A11" s="34">
        <v>67.2</v>
      </c>
      <c r="B11" s="4" t="s">
        <v>13</v>
      </c>
      <c r="C11" s="4" t="s">
        <v>48</v>
      </c>
      <c r="D11" s="33"/>
      <c r="F11" s="34">
        <v>20.8</v>
      </c>
      <c r="G11" s="4" t="s">
        <v>13</v>
      </c>
      <c r="H11" s="4" t="s">
        <v>48</v>
      </c>
      <c r="J11" s="11"/>
      <c r="M11" s="34">
        <v>77.569999999999993</v>
      </c>
      <c r="N11" s="4" t="s">
        <v>13</v>
      </c>
      <c r="O11" s="4" t="s">
        <v>48</v>
      </c>
      <c r="Q11" s="11"/>
    </row>
    <row r="12" spans="1:17" x14ac:dyDescent="0.4">
      <c r="A12" s="36">
        <f>A11/A10*A7</f>
        <v>4999.5673523102923</v>
      </c>
      <c r="B12" s="4" t="s">
        <v>49</v>
      </c>
      <c r="C12" s="4" t="s">
        <v>50</v>
      </c>
      <c r="D12" s="33"/>
      <c r="F12" s="36">
        <f>F11/F10*F7</f>
        <v>3188.9775803379202</v>
      </c>
      <c r="G12" s="4" t="s">
        <v>49</v>
      </c>
      <c r="H12" s="4" t="s">
        <v>50</v>
      </c>
      <c r="J12" s="11"/>
      <c r="M12" s="36">
        <f>M11/M10*M7</f>
        <v>2083.4227842055566</v>
      </c>
      <c r="N12" s="4" t="s">
        <v>49</v>
      </c>
      <c r="O12" s="4" t="s">
        <v>50</v>
      </c>
      <c r="Q12" s="11"/>
    </row>
    <row r="13" spans="1:17" x14ac:dyDescent="0.4">
      <c r="A13" s="37">
        <f>A11*A6</f>
        <v>1013912.2590485275</v>
      </c>
      <c r="C13" t="s">
        <v>51</v>
      </c>
      <c r="D13" s="11"/>
      <c r="F13" s="37">
        <f>F11*F6</f>
        <v>637795.51606758405</v>
      </c>
      <c r="H13" t="s">
        <v>51</v>
      </c>
      <c r="J13" s="11"/>
      <c r="M13" s="37">
        <f>M11*M6</f>
        <v>416684.55684111128</v>
      </c>
      <c r="O13" t="s">
        <v>51</v>
      </c>
      <c r="Q13" s="11"/>
    </row>
    <row r="14" spans="1:17" x14ac:dyDescent="0.4">
      <c r="A14" s="37">
        <f>A12/A7*A9*1000</f>
        <v>202.78245180970546</v>
      </c>
      <c r="B14" t="s">
        <v>11</v>
      </c>
      <c r="C14" t="s">
        <v>52</v>
      </c>
      <c r="D14" s="11"/>
      <c r="F14" s="37">
        <f>F12/F7*F9*1000</f>
        <v>212.59850535586136</v>
      </c>
      <c r="G14" t="s">
        <v>11</v>
      </c>
      <c r="H14" t="s">
        <v>52</v>
      </c>
      <c r="J14" s="11"/>
      <c r="M14" s="37">
        <f>M12/M7*M9*1000</f>
        <v>208.34227842055566</v>
      </c>
      <c r="N14" t="s">
        <v>11</v>
      </c>
      <c r="O14" t="s">
        <v>52</v>
      </c>
      <c r="Q14" s="11"/>
    </row>
    <row r="15" spans="1:17" x14ac:dyDescent="0.4">
      <c r="A15" s="37">
        <f>A14-A9*1000</f>
        <v>-1.7548190294547794E-2</v>
      </c>
      <c r="B15" t="s">
        <v>11</v>
      </c>
      <c r="C15" t="s">
        <v>53</v>
      </c>
      <c r="D15" s="11"/>
      <c r="F15" s="37">
        <f>F14-F9*1000</f>
        <v>12.598505355861363</v>
      </c>
      <c r="G15" t="s">
        <v>11</v>
      </c>
      <c r="H15" t="s">
        <v>53</v>
      </c>
      <c r="J15" s="11"/>
      <c r="M15" s="37">
        <f>M14-M9*1000</f>
        <v>8.3422784205556582</v>
      </c>
      <c r="N15" t="s">
        <v>11</v>
      </c>
      <c r="O15" t="s">
        <v>53</v>
      </c>
      <c r="Q15" s="11"/>
    </row>
    <row r="16" spans="1:17" x14ac:dyDescent="0.4">
      <c r="A16" s="8">
        <f>A13/(A14)</f>
        <v>5000.0000000000009</v>
      </c>
      <c r="B16" t="str">
        <f>"/ml"</f>
        <v>/ml</v>
      </c>
      <c r="C16" t="s">
        <v>83</v>
      </c>
      <c r="D16" s="11"/>
      <c r="F16" s="8">
        <f>F13/(F14)</f>
        <v>3000</v>
      </c>
      <c r="H16" t="s">
        <v>83</v>
      </c>
      <c r="J16" s="11"/>
      <c r="M16" s="8">
        <f>M13/(M14)</f>
        <v>1999.9999999999998</v>
      </c>
      <c r="N16" t="str">
        <f>"/ml"</f>
        <v>/ml</v>
      </c>
      <c r="O16" t="s">
        <v>83</v>
      </c>
      <c r="Q16" s="11"/>
    </row>
    <row r="17" spans="1:17" x14ac:dyDescent="0.4">
      <c r="A17" s="8"/>
      <c r="D17" s="11"/>
      <c r="F17" s="8"/>
      <c r="J17" s="11"/>
      <c r="M17" s="8"/>
      <c r="Q17" s="11"/>
    </row>
    <row r="18" spans="1:17" x14ac:dyDescent="0.4">
      <c r="A18" s="8" t="s">
        <v>30</v>
      </c>
      <c r="D18" s="11"/>
      <c r="F18" s="8" t="s">
        <v>30</v>
      </c>
      <c r="J18" s="11"/>
      <c r="M18" s="8" t="s">
        <v>30</v>
      </c>
      <c r="Q18" s="11"/>
    </row>
    <row r="19" spans="1:17" x14ac:dyDescent="0.4">
      <c r="A19" s="8">
        <v>100</v>
      </c>
      <c r="B19" t="s">
        <v>11</v>
      </c>
      <c r="C19" t="s">
        <v>54</v>
      </c>
      <c r="D19" s="11"/>
      <c r="F19" s="8">
        <v>100</v>
      </c>
      <c r="G19" t="s">
        <v>11</v>
      </c>
      <c r="H19" t="s">
        <v>54</v>
      </c>
      <c r="J19" s="11"/>
      <c r="M19" s="8">
        <v>100</v>
      </c>
      <c r="N19" t="s">
        <v>11</v>
      </c>
      <c r="O19" t="s">
        <v>54</v>
      </c>
      <c r="Q19" s="11"/>
    </row>
    <row r="20" spans="1:17" x14ac:dyDescent="0.4">
      <c r="A20" s="8">
        <v>300</v>
      </c>
      <c r="B20" t="s">
        <v>9</v>
      </c>
      <c r="C20" t="s">
        <v>55</v>
      </c>
      <c r="D20" s="11"/>
      <c r="F20" s="8">
        <v>300</v>
      </c>
      <c r="G20" t="s">
        <v>9</v>
      </c>
      <c r="H20" t="s">
        <v>56</v>
      </c>
      <c r="J20" s="11"/>
      <c r="M20" s="8">
        <v>300</v>
      </c>
      <c r="N20" t="s">
        <v>9</v>
      </c>
      <c r="O20" t="s">
        <v>56</v>
      </c>
      <c r="Q20" s="11"/>
    </row>
    <row r="21" spans="1:17" x14ac:dyDescent="0.4">
      <c r="A21" s="8">
        <f>A19*A20</f>
        <v>30000</v>
      </c>
      <c r="B21" t="s">
        <v>57</v>
      </c>
      <c r="C21" t="s">
        <v>58</v>
      </c>
      <c r="D21" s="11"/>
      <c r="F21" s="8">
        <f>F19*F20</f>
        <v>30000</v>
      </c>
      <c r="G21" t="s">
        <v>57</v>
      </c>
      <c r="H21" t="s">
        <v>58</v>
      </c>
      <c r="J21" s="11"/>
      <c r="M21" s="8">
        <f>M19*M20</f>
        <v>30000</v>
      </c>
      <c r="N21" t="s">
        <v>57</v>
      </c>
      <c r="O21" t="s">
        <v>58</v>
      </c>
      <c r="Q21" s="11"/>
    </row>
    <row r="22" spans="1:17" x14ac:dyDescent="0.4">
      <c r="A22" s="37">
        <f>A21/A12</f>
        <v>6.0005192221557024</v>
      </c>
      <c r="B22" t="s">
        <v>11</v>
      </c>
      <c r="C22" t="s">
        <v>59</v>
      </c>
      <c r="D22" s="11"/>
      <c r="F22" s="37">
        <f>F21/F12</f>
        <v>9.4074038603999988</v>
      </c>
      <c r="G22" t="s">
        <v>11</v>
      </c>
      <c r="H22" t="s">
        <v>59</v>
      </c>
      <c r="J22" s="11"/>
      <c r="M22" s="37">
        <f>M21/M12</f>
        <v>14.399381742116972</v>
      </c>
      <c r="N22" t="s">
        <v>11</v>
      </c>
      <c r="O22" t="s">
        <v>59</v>
      </c>
      <c r="Q22" s="11"/>
    </row>
    <row r="23" spans="1:17" x14ac:dyDescent="0.4">
      <c r="A23" s="37">
        <f>A19-A22</f>
        <v>93.999480777844298</v>
      </c>
      <c r="B23" t="s">
        <v>11</v>
      </c>
      <c r="C23" t="s">
        <v>60</v>
      </c>
      <c r="D23" s="11"/>
      <c r="F23" s="37">
        <f>F19-F22</f>
        <v>90.592596139600005</v>
      </c>
      <c r="G23" t="s">
        <v>11</v>
      </c>
      <c r="H23" t="s">
        <v>60</v>
      </c>
      <c r="J23" s="11"/>
      <c r="M23" s="37">
        <f>M19-M22</f>
        <v>85.600618257883028</v>
      </c>
      <c r="N23" t="s">
        <v>11</v>
      </c>
      <c r="O23" t="s">
        <v>60</v>
      </c>
      <c r="Q23" s="11"/>
    </row>
    <row r="24" spans="1:17" x14ac:dyDescent="0.4">
      <c r="A24" s="8"/>
      <c r="D24" s="11"/>
      <c r="F24" s="8"/>
      <c r="J24" s="11"/>
      <c r="M24" s="8"/>
      <c r="Q24" s="11"/>
    </row>
    <row r="25" spans="1:17" x14ac:dyDescent="0.4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x14ac:dyDescent="0.4">
      <c r="A28" s="2" t="s">
        <v>61</v>
      </c>
    </row>
    <row r="30" spans="1:17" x14ac:dyDescent="0.4">
      <c r="F30" s="5"/>
    </row>
    <row r="31" spans="1:17" x14ac:dyDescent="0.4">
      <c r="A31" t="s">
        <v>62</v>
      </c>
      <c r="C31" s="2">
        <v>50</v>
      </c>
      <c r="D31" t="s">
        <v>63</v>
      </c>
      <c r="G31" s="2">
        <v>38</v>
      </c>
      <c r="H31" t="s">
        <v>63</v>
      </c>
      <c r="N31" s="2">
        <v>70</v>
      </c>
    </row>
    <row r="33" spans="1:15" ht="13.9" x14ac:dyDescent="0.4">
      <c r="A33" t="s">
        <v>64</v>
      </c>
      <c r="B33" s="38">
        <f>0.56*C33</f>
        <v>8568</v>
      </c>
      <c r="C33" s="76">
        <v>15300</v>
      </c>
      <c r="D33" s="39">
        <f>1.56*C33</f>
        <v>23868</v>
      </c>
      <c r="F33" s="38">
        <f>0.56*G33</f>
        <v>5565.2800000000007</v>
      </c>
      <c r="G33" s="76">
        <v>9938</v>
      </c>
      <c r="H33" s="39">
        <f>1.56*G33</f>
        <v>15503.28</v>
      </c>
      <c r="M33" s="38">
        <f>0.56*N33</f>
        <v>14000.000000000002</v>
      </c>
      <c r="N33" s="76">
        <v>25000</v>
      </c>
      <c r="O33" s="39">
        <f>1.56*N33</f>
        <v>39000</v>
      </c>
    </row>
    <row r="34" spans="1:15" x14ac:dyDescent="0.4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9" x14ac:dyDescent="0.4">
      <c r="A35" t="s">
        <v>65</v>
      </c>
      <c r="B35" s="80"/>
      <c r="C35" s="80"/>
      <c r="D35" s="40"/>
      <c r="F35" s="80"/>
      <c r="G35" s="80"/>
      <c r="H35" s="40"/>
      <c r="M35" s="80"/>
      <c r="N35" s="80"/>
      <c r="O35" s="40"/>
    </row>
    <row r="37" spans="1:15" x14ac:dyDescent="0.4">
      <c r="A37" t="s">
        <v>66</v>
      </c>
      <c r="B37" s="41" t="e">
        <f>(1-B35/C35)</f>
        <v>#DIV/0!</v>
      </c>
      <c r="F37" s="41" t="e">
        <f>(1-F35/G35)</f>
        <v>#DIV/0!</v>
      </c>
      <c r="G37" s="82">
        <v>46000</v>
      </c>
      <c r="M37" s="41" t="e">
        <f>(1-M35/N35)</f>
        <v>#DIV/0!</v>
      </c>
    </row>
    <row r="38" spans="1:15" x14ac:dyDescent="0.4">
      <c r="G38">
        <v>1117100008</v>
      </c>
    </row>
    <row r="39" spans="1:15" x14ac:dyDescent="0.4">
      <c r="A39" t="s">
        <v>84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tabSelected="1" zoomScale="115" zoomScaleNormal="115" workbookViewId="0">
      <selection activeCell="G9" sqref="G9"/>
    </sheetView>
  </sheetViews>
  <sheetFormatPr defaultColWidth="11.5703125" defaultRowHeight="12.75" x14ac:dyDescent="0.4"/>
  <cols>
    <col min="1" max="1" width="10.42578125" bestFit="1" customWidth="1"/>
    <col min="2" max="2" width="12.35546875" customWidth="1"/>
    <col min="3" max="3" width="10.42578125" bestFit="1" customWidth="1"/>
    <col min="5" max="5" width="11.92578125" bestFit="1" customWidth="1"/>
    <col min="6" max="6" width="9" bestFit="1" customWidth="1"/>
    <col min="7" max="7" width="7.35546875" bestFit="1" customWidth="1"/>
  </cols>
  <sheetData>
    <row r="1" spans="1:7" ht="37.25" customHeight="1" x14ac:dyDescent="0.4">
      <c r="A1" s="83" t="s">
        <v>82</v>
      </c>
      <c r="B1" s="83"/>
      <c r="C1" s="83"/>
      <c r="D1" s="83"/>
      <c r="E1" s="83"/>
    </row>
    <row r="2" spans="1:7" ht="52.5" x14ac:dyDescent="0.4">
      <c r="A2" s="62" t="s">
        <v>28</v>
      </c>
      <c r="B2" s="63" t="s">
        <v>136</v>
      </c>
      <c r="C2" s="63" t="s">
        <v>29</v>
      </c>
      <c r="D2" s="16"/>
      <c r="E2" s="16" t="s">
        <v>16</v>
      </c>
      <c r="F2" s="16" t="s">
        <v>30</v>
      </c>
      <c r="G2" s="16" t="s">
        <v>85</v>
      </c>
    </row>
    <row r="3" spans="1:7" ht="14.25" x14ac:dyDescent="0.45">
      <c r="A3" s="64" t="s">
        <v>32</v>
      </c>
      <c r="B3" s="63" t="str">
        <f>"/ml"</f>
        <v>/ml</v>
      </c>
      <c r="C3" s="63"/>
      <c r="D3" s="16"/>
      <c r="E3" s="60" t="s">
        <v>33</v>
      </c>
      <c r="F3" s="61">
        <v>1</v>
      </c>
    </row>
    <row r="4" spans="1:7" ht="13.9" x14ac:dyDescent="0.4">
      <c r="A4" s="40">
        <v>4</v>
      </c>
      <c r="B4" s="40">
        <f>F4</f>
        <v>10750.3</v>
      </c>
      <c r="C4" s="77">
        <v>76</v>
      </c>
      <c r="E4" s="40">
        <v>10750.3</v>
      </c>
      <c r="F4" s="40">
        <f t="shared" ref="F4:F5" si="0">E4*F$3</f>
        <v>10750.3</v>
      </c>
      <c r="G4" s="78">
        <v>10713</v>
      </c>
    </row>
    <row r="5" spans="1:7" ht="13.9" x14ac:dyDescent="0.4">
      <c r="A5" s="40">
        <v>6</v>
      </c>
      <c r="B5" s="40">
        <f t="shared" ref="B5" si="1">F5</f>
        <v>4729.1000000000004</v>
      </c>
      <c r="C5" s="78">
        <v>184</v>
      </c>
      <c r="E5" s="40">
        <v>4729.1000000000004</v>
      </c>
      <c r="F5" s="40">
        <f t="shared" si="0"/>
        <v>4729.1000000000004</v>
      </c>
      <c r="G5" s="78">
        <v>4753</v>
      </c>
    </row>
    <row r="6" spans="1:7" ht="13.9" x14ac:dyDescent="0.4">
      <c r="A6" s="40">
        <v>14</v>
      </c>
      <c r="B6" s="40">
        <f>F6</f>
        <v>384.7</v>
      </c>
      <c r="C6" s="78">
        <v>1000</v>
      </c>
      <c r="E6" s="40">
        <v>384.7</v>
      </c>
      <c r="F6" s="40">
        <f>E6*F$3</f>
        <v>384.7</v>
      </c>
      <c r="G6" s="78">
        <v>385</v>
      </c>
    </row>
    <row r="7" spans="1:7" ht="13.9" x14ac:dyDescent="0.4">
      <c r="A7" s="40">
        <v>21</v>
      </c>
      <c r="B7" s="40">
        <f>F7</f>
        <v>114.4</v>
      </c>
      <c r="C7" s="78">
        <v>2010</v>
      </c>
      <c r="E7" s="40">
        <v>114.4</v>
      </c>
      <c r="F7" s="40">
        <f>E7*F$3</f>
        <v>114.4</v>
      </c>
      <c r="G7" s="78">
        <v>114.45</v>
      </c>
    </row>
    <row r="8" spans="1:7" ht="13.9" x14ac:dyDescent="0.4">
      <c r="A8" s="40">
        <v>25</v>
      </c>
      <c r="B8" s="40">
        <f>F8</f>
        <v>53.8</v>
      </c>
      <c r="C8" s="79">
        <v>2986</v>
      </c>
      <c r="E8" s="40">
        <v>53.8</v>
      </c>
      <c r="F8" s="40">
        <f>E8*F$3</f>
        <v>53.8</v>
      </c>
      <c r="G8" s="78">
        <v>53.82</v>
      </c>
    </row>
    <row r="20" spans="3:30" ht="13.15" x14ac:dyDescent="0.4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ht="13.15" x14ac:dyDescent="0.4">
      <c r="C23" s="27"/>
    </row>
    <row r="24" spans="3:30" ht="13.15" x14ac:dyDescent="0.4">
      <c r="C24" s="27"/>
    </row>
    <row r="25" spans="3:30" ht="13.15" x14ac:dyDescent="0.4">
      <c r="C25" s="27"/>
    </row>
    <row r="26" spans="3:30" ht="13.15" x14ac:dyDescent="0.4">
      <c r="C26" s="27"/>
    </row>
    <row r="27" spans="3:30" ht="13.15" x14ac:dyDescent="0.4">
      <c r="C27" s="27"/>
    </row>
    <row r="28" spans="3:30" ht="13.15" x14ac:dyDescent="0.4">
      <c r="C28" s="27"/>
    </row>
    <row r="29" spans="3:30" ht="13.15" x14ac:dyDescent="0.4">
      <c r="C29" s="27"/>
    </row>
    <row r="30" spans="3:30" ht="13.15" x14ac:dyDescent="0.4">
      <c r="C30" s="27"/>
    </row>
    <row r="31" spans="3:30" ht="13.15" x14ac:dyDescent="0.4">
      <c r="C31" s="27"/>
    </row>
    <row r="32" spans="3:30" ht="13.15" x14ac:dyDescent="0.4">
      <c r="C32" s="27"/>
    </row>
    <row r="33" spans="3:3" ht="13.15" x14ac:dyDescent="0.4">
      <c r="C33" s="27"/>
    </row>
    <row r="34" spans="3:3" ht="13.15" x14ac:dyDescent="0.4">
      <c r="C34" s="27"/>
    </row>
    <row r="35" spans="3:3" ht="13.15" x14ac:dyDescent="0.4">
      <c r="C35" s="27"/>
    </row>
    <row r="36" spans="3:3" ht="13.15" x14ac:dyDescent="0.4">
      <c r="C36" s="27"/>
    </row>
    <row r="37" spans="3:3" ht="13.15" x14ac:dyDescent="0.4">
      <c r="C37" s="27"/>
    </row>
    <row r="38" spans="3:3" ht="13.15" x14ac:dyDescent="0.4">
      <c r="C38" s="27"/>
    </row>
    <row r="39" spans="3:3" ht="13.15" x14ac:dyDescent="0.4">
      <c r="C39" s="27"/>
    </row>
    <row r="40" spans="3:3" ht="13.15" x14ac:dyDescent="0.4">
      <c r="C40" s="27"/>
    </row>
    <row r="41" spans="3:3" ht="13.15" x14ac:dyDescent="0.4">
      <c r="C41" s="27"/>
    </row>
    <row r="42" spans="3:3" ht="13.15" x14ac:dyDescent="0.4">
      <c r="C42" s="27"/>
    </row>
    <row r="43" spans="3:3" ht="13.15" x14ac:dyDescent="0.4">
      <c r="C43" s="27"/>
    </row>
    <row r="44" spans="3:3" ht="13.15" x14ac:dyDescent="0.4">
      <c r="C44" s="27"/>
    </row>
    <row r="45" spans="3:3" ht="13.15" x14ac:dyDescent="0.4">
      <c r="C45" s="27"/>
    </row>
    <row r="46" spans="3:3" ht="13.15" x14ac:dyDescent="0.4">
      <c r="C46" s="27"/>
    </row>
    <row r="47" spans="3:3" ht="13.15" x14ac:dyDescent="0.4">
      <c r="C47" s="27"/>
    </row>
    <row r="48" spans="3:3" ht="13.15" x14ac:dyDescent="0.4">
      <c r="C48" s="27"/>
    </row>
    <row r="49" spans="3:3" ht="13.15" x14ac:dyDescent="0.4">
      <c r="C49" s="27"/>
    </row>
    <row r="50" spans="3:3" ht="13.15" x14ac:dyDescent="0.4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E43"/>
  <sheetViews>
    <sheetView zoomScale="70" zoomScaleNormal="70" workbookViewId="0">
      <pane ySplit="4" topLeftCell="A5" activePane="bottomLeft" state="frozen"/>
      <selection pane="bottomLeft" activeCell="C21" sqref="C21"/>
    </sheetView>
  </sheetViews>
  <sheetFormatPr defaultColWidth="9" defaultRowHeight="13.5" x14ac:dyDescent="0.35"/>
  <cols>
    <col min="1" max="1" width="20.5703125" style="54" customWidth="1"/>
    <col min="2" max="2" width="20.5703125" style="53" customWidth="1"/>
    <col min="3" max="3" width="26.140625" style="53" customWidth="1"/>
    <col min="4" max="4" width="24.640625" style="52" customWidth="1"/>
    <col min="5" max="6" width="14.5703125" style="51" customWidth="1"/>
    <col min="7" max="16384" width="9" style="51"/>
  </cols>
  <sheetData>
    <row r="1" spans="1:5" x14ac:dyDescent="0.35">
      <c r="A1" s="84"/>
      <c r="B1" s="84"/>
      <c r="C1" s="84" t="s">
        <v>67</v>
      </c>
      <c r="D1" s="84"/>
    </row>
    <row r="2" spans="1:5" ht="57.7" customHeight="1" x14ac:dyDescent="0.35">
      <c r="A2" s="85"/>
      <c r="B2" s="85"/>
      <c r="C2" s="85"/>
      <c r="D2" s="85"/>
      <c r="E2" s="81"/>
    </row>
    <row r="3" spans="1:5" ht="27" x14ac:dyDescent="0.35">
      <c r="A3" s="58" t="s">
        <v>68</v>
      </c>
      <c r="B3" s="59" t="s">
        <v>69</v>
      </c>
      <c r="C3" s="58" t="s">
        <v>28</v>
      </c>
      <c r="D3" s="56" t="s">
        <v>29</v>
      </c>
      <c r="E3" s="55"/>
    </row>
    <row r="4" spans="1:5" ht="14.25" x14ac:dyDescent="0.45">
      <c r="A4" s="57" t="s">
        <v>32</v>
      </c>
      <c r="B4" s="56" t="s">
        <v>31</v>
      </c>
      <c r="C4" s="57" t="s">
        <v>32</v>
      </c>
      <c r="D4" s="56" t="s">
        <v>31</v>
      </c>
      <c r="E4" s="55"/>
    </row>
    <row r="5" spans="1:5" ht="13.9" x14ac:dyDescent="0.4">
      <c r="A5" s="65">
        <v>4</v>
      </c>
      <c r="B5" s="66">
        <f>'6 - Interpolated Thresholds'!C4</f>
        <v>76</v>
      </c>
      <c r="C5" s="67">
        <v>4</v>
      </c>
      <c r="D5" s="68">
        <f t="shared" ref="D5:D43" si="0">CubicSpline(C5,$A$5:$A$12,$B$5:$B$12)</f>
        <v>76</v>
      </c>
    </row>
    <row r="6" spans="1:5" ht="13.9" x14ac:dyDescent="0.4">
      <c r="A6" s="65">
        <v>6</v>
      </c>
      <c r="B6" s="66">
        <f>'6 - Interpolated Thresholds'!C5</f>
        <v>184</v>
      </c>
      <c r="C6" s="67">
        <v>6</v>
      </c>
      <c r="D6" s="68">
        <f t="shared" si="0"/>
        <v>183.99999999999997</v>
      </c>
    </row>
    <row r="7" spans="1:5" ht="13.9" x14ac:dyDescent="0.4">
      <c r="A7" s="65">
        <v>14</v>
      </c>
      <c r="B7" s="66">
        <f>'6 - Interpolated Thresholds'!C6</f>
        <v>1000</v>
      </c>
      <c r="C7" s="69">
        <v>10</v>
      </c>
      <c r="D7" s="68">
        <f t="shared" si="0"/>
        <v>543.10262359450292</v>
      </c>
    </row>
    <row r="8" spans="1:5" ht="13.9" x14ac:dyDescent="0.4">
      <c r="A8" s="70">
        <v>21</v>
      </c>
      <c r="B8" s="71">
        <f>'6 - Interpolated Thresholds'!C7</f>
        <v>2010</v>
      </c>
      <c r="C8" s="67">
        <v>14</v>
      </c>
      <c r="D8" s="68">
        <f t="shared" si="0"/>
        <v>1000</v>
      </c>
    </row>
    <row r="9" spans="1:5" ht="13.9" x14ac:dyDescent="0.4">
      <c r="A9" s="70">
        <v>25</v>
      </c>
      <c r="B9" s="71">
        <f>'6 - Interpolated Thresholds'!C8</f>
        <v>2986</v>
      </c>
      <c r="C9" s="67">
        <v>21</v>
      </c>
      <c r="D9" s="68">
        <f t="shared" si="0"/>
        <v>2010</v>
      </c>
    </row>
    <row r="10" spans="1:5" ht="13.9" x14ac:dyDescent="0.4">
      <c r="A10" s="72">
        <v>38</v>
      </c>
      <c r="B10" s="71">
        <v>9938</v>
      </c>
      <c r="C10" s="67">
        <v>25</v>
      </c>
      <c r="D10" s="68">
        <f t="shared" si="0"/>
        <v>2985.9999999999995</v>
      </c>
    </row>
    <row r="11" spans="1:5" ht="13.9" x14ac:dyDescent="0.4">
      <c r="A11" s="72">
        <v>50</v>
      </c>
      <c r="B11" s="71">
        <v>15300</v>
      </c>
      <c r="C11" s="73">
        <v>38</v>
      </c>
      <c r="D11" s="68">
        <f t="shared" si="0"/>
        <v>9937.9999999999982</v>
      </c>
    </row>
    <row r="12" spans="1:5" ht="13.9" x14ac:dyDescent="0.4">
      <c r="A12" s="72">
        <v>70</v>
      </c>
      <c r="B12" s="71">
        <v>25000</v>
      </c>
      <c r="C12" s="73">
        <v>50</v>
      </c>
      <c r="D12" s="68">
        <f t="shared" si="0"/>
        <v>15300</v>
      </c>
    </row>
    <row r="13" spans="1:5" ht="13.9" x14ac:dyDescent="0.4">
      <c r="A13" s="70"/>
      <c r="B13" s="74"/>
      <c r="C13" s="73">
        <v>70</v>
      </c>
      <c r="D13" s="68">
        <f t="shared" si="0"/>
        <v>25000</v>
      </c>
    </row>
    <row r="14" spans="1:5" ht="13.9" x14ac:dyDescent="0.4">
      <c r="A14" s="70"/>
      <c r="B14" s="74"/>
      <c r="C14" s="74">
        <v>4</v>
      </c>
      <c r="D14" s="68">
        <f t="shared" si="0"/>
        <v>76</v>
      </c>
    </row>
    <row r="15" spans="1:5" ht="13.9" x14ac:dyDescent="0.4">
      <c r="C15" s="53">
        <v>5</v>
      </c>
      <c r="D15" s="68">
        <f t="shared" si="0"/>
        <v>123.76923076923076</v>
      </c>
    </row>
    <row r="16" spans="1:5" ht="13.9" x14ac:dyDescent="0.4">
      <c r="C16" s="53">
        <v>6</v>
      </c>
      <c r="D16" s="68">
        <f t="shared" si="0"/>
        <v>183.99999999999997</v>
      </c>
    </row>
    <row r="17" spans="3:4" ht="13.9" x14ac:dyDescent="0.4">
      <c r="C17" s="53">
        <v>7</v>
      </c>
      <c r="D17" s="68">
        <f t="shared" si="0"/>
        <v>260.05569560949488</v>
      </c>
    </row>
    <row r="18" spans="3:4" ht="13.9" x14ac:dyDescent="0.4">
      <c r="C18" s="53">
        <v>8</v>
      </c>
      <c r="D18" s="68">
        <f t="shared" si="0"/>
        <v>346.12502230947706</v>
      </c>
    </row>
    <row r="19" spans="3:4" ht="13.9" x14ac:dyDescent="0.4">
      <c r="C19" s="53">
        <v>9</v>
      </c>
      <c r="D19" s="68">
        <f t="shared" si="0"/>
        <v>440.90749375334639</v>
      </c>
    </row>
    <row r="20" spans="3:4" ht="13.9" x14ac:dyDescent="0.4">
      <c r="C20" s="53">
        <v>10</v>
      </c>
      <c r="D20" s="68">
        <f t="shared" si="0"/>
        <v>543.10262359450292</v>
      </c>
    </row>
    <row r="21" spans="3:4" ht="13.9" x14ac:dyDescent="0.4">
      <c r="C21" s="74">
        <v>11</v>
      </c>
      <c r="D21" s="68">
        <f t="shared" si="0"/>
        <v>651.40992548634654</v>
      </c>
    </row>
    <row r="22" spans="3:4" ht="13.9" x14ac:dyDescent="0.4">
      <c r="C22" s="53">
        <v>12</v>
      </c>
      <c r="D22" s="68">
        <f t="shared" si="0"/>
        <v>764.52891308227731</v>
      </c>
    </row>
    <row r="23" spans="3:4" ht="13.9" x14ac:dyDescent="0.4">
      <c r="C23" s="53">
        <v>13</v>
      </c>
      <c r="D23" s="68">
        <f t="shared" si="0"/>
        <v>881.15910003569513</v>
      </c>
    </row>
    <row r="24" spans="3:4" ht="13.9" x14ac:dyDescent="0.4">
      <c r="C24" s="53">
        <v>14</v>
      </c>
      <c r="D24" s="68">
        <f t="shared" si="0"/>
        <v>1000</v>
      </c>
    </row>
    <row r="25" spans="3:4" ht="13.9" x14ac:dyDescent="0.4">
      <c r="C25" s="53">
        <v>15</v>
      </c>
      <c r="D25" s="68">
        <f t="shared" si="0"/>
        <v>1121.5480132263676</v>
      </c>
    </row>
    <row r="26" spans="3:4" ht="13.9" x14ac:dyDescent="0.4">
      <c r="C26" s="53">
        <v>16</v>
      </c>
      <c r="D26" s="68">
        <f t="shared" si="0"/>
        <v>1248.1690249424146</v>
      </c>
    </row>
    <row r="27" spans="3:4" ht="13.9" x14ac:dyDescent="0.4">
      <c r="C27" s="53">
        <v>17</v>
      </c>
      <c r="D27" s="68">
        <f t="shared" si="0"/>
        <v>1381.366776266203</v>
      </c>
    </row>
    <row r="28" spans="3:4" ht="13.9" x14ac:dyDescent="0.4">
      <c r="C28" s="74">
        <v>18</v>
      </c>
      <c r="D28" s="68">
        <f t="shared" si="0"/>
        <v>1522.645008315794</v>
      </c>
    </row>
    <row r="29" spans="3:4" ht="13.9" x14ac:dyDescent="0.4">
      <c r="C29" s="53">
        <v>19</v>
      </c>
      <c r="D29" s="68">
        <f t="shared" si="0"/>
        <v>1673.5074622092495</v>
      </c>
    </row>
    <row r="30" spans="3:4" ht="13.9" x14ac:dyDescent="0.4">
      <c r="C30" s="53">
        <v>20</v>
      </c>
      <c r="D30" s="68">
        <f t="shared" si="0"/>
        <v>1835.457879064631</v>
      </c>
    </row>
    <row r="31" spans="3:4" ht="13.9" x14ac:dyDescent="0.4">
      <c r="C31" s="53">
        <v>21</v>
      </c>
      <c r="D31" s="68">
        <f t="shared" si="0"/>
        <v>2010</v>
      </c>
    </row>
    <row r="32" spans="3:4" ht="13.9" x14ac:dyDescent="0.4">
      <c r="C32" s="53">
        <v>22</v>
      </c>
      <c r="D32" s="68">
        <f t="shared" si="0"/>
        <v>2201.6716241780728</v>
      </c>
    </row>
    <row r="33" spans="3:4" ht="13.9" x14ac:dyDescent="0.4">
      <c r="C33" s="53">
        <v>23</v>
      </c>
      <c r="D33" s="68">
        <f t="shared" si="0"/>
        <v>2421.1184444601436</v>
      </c>
    </row>
    <row r="34" spans="3:4" ht="13.9" x14ac:dyDescent="0.4">
      <c r="C34" s="53">
        <v>24</v>
      </c>
      <c r="D34" s="68">
        <f t="shared" si="0"/>
        <v>2679.0060425121428</v>
      </c>
    </row>
    <row r="35" spans="3:4" ht="13.9" x14ac:dyDescent="0.4">
      <c r="C35" s="74">
        <v>25</v>
      </c>
      <c r="D35" s="68">
        <f t="shared" si="0"/>
        <v>2985.9999999999995</v>
      </c>
    </row>
    <row r="36" spans="3:4" ht="13.9" x14ac:dyDescent="0.4">
      <c r="C36" s="53">
        <v>26</v>
      </c>
      <c r="D36" s="68">
        <f t="shared" si="0"/>
        <v>3354.040519143347</v>
      </c>
    </row>
    <row r="37" spans="3:4" ht="13.9" x14ac:dyDescent="0.4">
      <c r="C37" s="53">
        <v>27</v>
      </c>
      <c r="D37" s="68">
        <f t="shared" si="0"/>
        <v>3782.0976824624559</v>
      </c>
    </row>
    <row r="38" spans="3:4" ht="13.9" x14ac:dyDescent="0.4">
      <c r="C38" s="53">
        <v>28</v>
      </c>
      <c r="D38" s="68">
        <f t="shared" si="0"/>
        <v>4261.3818920742024</v>
      </c>
    </row>
    <row r="39" spans="3:4" ht="13.9" x14ac:dyDescent="0.4">
      <c r="C39" s="53">
        <v>29</v>
      </c>
      <c r="D39" s="68">
        <f t="shared" si="0"/>
        <v>4783.1035500954658</v>
      </c>
    </row>
    <row r="40" spans="3:4" ht="13.9" x14ac:dyDescent="0.4">
      <c r="C40" s="53">
        <v>30</v>
      </c>
      <c r="D40" s="68">
        <f t="shared" si="0"/>
        <v>5338.4730586431233</v>
      </c>
    </row>
    <row r="41" spans="3:4" ht="13.9" x14ac:dyDescent="0.4">
      <c r="C41" s="53">
        <v>38</v>
      </c>
      <c r="D41" s="68">
        <f t="shared" si="0"/>
        <v>9937.9999999999982</v>
      </c>
    </row>
    <row r="42" spans="3:4" ht="13.9" x14ac:dyDescent="0.4">
      <c r="C42" s="53">
        <v>50</v>
      </c>
      <c r="D42" s="68">
        <f t="shared" si="0"/>
        <v>15300</v>
      </c>
    </row>
    <row r="43" spans="3:4" ht="13.9" x14ac:dyDescent="0.4">
      <c r="C43" s="53">
        <v>70</v>
      </c>
      <c r="D43" s="68">
        <f t="shared" si="0"/>
        <v>25000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85" zoomScaleNormal="85" workbookViewId="0">
      <selection activeCell="D5" sqref="D5"/>
    </sheetView>
  </sheetViews>
  <sheetFormatPr defaultColWidth="11.5703125" defaultRowHeight="12.75" x14ac:dyDescent="0.4"/>
  <cols>
    <col min="1" max="1" width="25.640625" customWidth="1"/>
    <col min="2" max="2" width="10.85546875" customWidth="1"/>
  </cols>
  <sheetData>
    <row r="1" spans="1:1024" ht="33.85" customHeight="1" x14ac:dyDescent="0.4">
      <c r="A1" s="1"/>
      <c r="B1" s="1"/>
      <c r="C1" s="86"/>
      <c r="D1" s="86"/>
      <c r="E1" s="86"/>
      <c r="F1" s="86"/>
      <c r="G1" s="86"/>
      <c r="H1" s="86"/>
      <c r="I1" s="86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15</v>
      </c>
      <c r="D3" s="16" t="s">
        <v>70</v>
      </c>
    </row>
    <row r="4" spans="1:1024" ht="13.15" x14ac:dyDescent="0.4">
      <c r="A4" t="s">
        <v>0</v>
      </c>
      <c r="D4" s="16" t="s">
        <v>12</v>
      </c>
    </row>
    <row r="5" spans="1:1024" ht="13.15" x14ac:dyDescent="0.4">
      <c r="A5" t="s">
        <v>1</v>
      </c>
      <c r="D5" s="16" t="s">
        <v>2</v>
      </c>
    </row>
    <row r="6" spans="1:1024" ht="13.15" x14ac:dyDescent="0.4">
      <c r="A6" t="s">
        <v>3</v>
      </c>
      <c r="D6" s="16" t="s">
        <v>12</v>
      </c>
    </row>
    <row r="7" spans="1:1024" ht="13.15" x14ac:dyDescent="0.4">
      <c r="A7" t="s">
        <v>4</v>
      </c>
      <c r="D7" s="16"/>
    </row>
    <row r="8" spans="1:1024" ht="13.15" x14ac:dyDescent="0.4">
      <c r="A8" t="s">
        <v>5</v>
      </c>
      <c r="D8" s="43"/>
    </row>
    <row r="9" spans="1:1024" ht="13.15" x14ac:dyDescent="0.4">
      <c r="A9" t="s">
        <v>6</v>
      </c>
      <c r="D9" s="14"/>
    </row>
    <row r="10" spans="1:1024" ht="13.15" x14ac:dyDescent="0.4">
      <c r="A10" t="s">
        <v>8</v>
      </c>
      <c r="D10" s="15">
        <v>36</v>
      </c>
    </row>
    <row r="11" spans="1:1024" ht="13.15" x14ac:dyDescent="0.4">
      <c r="A11" t="s">
        <v>71</v>
      </c>
      <c r="D11">
        <v>1</v>
      </c>
    </row>
    <row r="13" spans="1:1024" ht="13.15" x14ac:dyDescent="0.4">
      <c r="A13" t="s">
        <v>72</v>
      </c>
      <c r="B13">
        <v>40</v>
      </c>
      <c r="C13" t="s">
        <v>11</v>
      </c>
    </row>
    <row r="17" spans="1:21" ht="13.15" x14ac:dyDescent="0.4">
      <c r="D17" s="16"/>
    </row>
    <row r="19" spans="1:21" ht="13.15" x14ac:dyDescent="0.4">
      <c r="A19" s="17"/>
    </row>
    <row r="21" spans="1:21" ht="13.15" x14ac:dyDescent="0.4">
      <c r="B21" s="16"/>
    </row>
    <row r="22" spans="1:21" ht="13.15" x14ac:dyDescent="0.4">
      <c r="A22" s="44" t="s">
        <v>63</v>
      </c>
      <c r="B22" s="44" t="s">
        <v>73</v>
      </c>
      <c r="C22" s="44"/>
      <c r="D22" s="44"/>
      <c r="E22" s="44" t="s">
        <v>74</v>
      </c>
      <c r="F22" s="44" t="s">
        <v>75</v>
      </c>
      <c r="G22" s="44" t="s">
        <v>76</v>
      </c>
      <c r="H22" s="44" t="s">
        <v>77</v>
      </c>
      <c r="I22" s="44" t="s">
        <v>10</v>
      </c>
    </row>
    <row r="23" spans="1:21" ht="13.15" x14ac:dyDescent="0.4">
      <c r="A23" s="45">
        <v>4</v>
      </c>
      <c r="B23" s="75">
        <v>6500</v>
      </c>
      <c r="C23" s="46"/>
      <c r="D23" s="46"/>
      <c r="E23" s="9">
        <f t="shared" ref="E23:E24" si="0">AVERAGE(B23:D23)</f>
        <v>6500</v>
      </c>
      <c r="F23" s="40">
        <v>6300</v>
      </c>
      <c r="G23">
        <v>4553</v>
      </c>
      <c r="H23">
        <v>8713</v>
      </c>
      <c r="I23" s="18">
        <f t="shared" ref="I23:I24" si="1">(E23-F23)/F23</f>
        <v>3.1746031746031744E-2</v>
      </c>
    </row>
    <row r="24" spans="1:21" ht="13.15" x14ac:dyDescent="0.4">
      <c r="A24" s="16">
        <v>6</v>
      </c>
      <c r="B24" s="75">
        <v>1800</v>
      </c>
      <c r="C24" s="46"/>
      <c r="D24" s="46"/>
      <c r="E24" s="9">
        <f t="shared" si="0"/>
        <v>1800</v>
      </c>
      <c r="F24" s="47">
        <v>1631</v>
      </c>
      <c r="G24">
        <v>938.2</v>
      </c>
      <c r="H24">
        <v>2834</v>
      </c>
      <c r="I24" s="18">
        <f t="shared" si="1"/>
        <v>0.10361741263028816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ht="13.15" x14ac:dyDescent="0.4">
      <c r="A26" t="s">
        <v>75</v>
      </c>
      <c r="C26" s="10"/>
    </row>
    <row r="27" spans="1:21" ht="13.15" x14ac:dyDescent="0.4">
      <c r="A27" s="44" t="s">
        <v>63</v>
      </c>
      <c r="B27" s="44" t="s">
        <v>78</v>
      </c>
      <c r="C27" s="44" t="s">
        <v>79</v>
      </c>
      <c r="D27" s="44" t="s">
        <v>80</v>
      </c>
    </row>
    <row r="28" spans="1:21" ht="13.15" x14ac:dyDescent="0.4">
      <c r="A28">
        <v>2</v>
      </c>
      <c r="B28">
        <v>20210</v>
      </c>
      <c r="C28">
        <v>14180</v>
      </c>
      <c r="D28">
        <v>28820</v>
      </c>
    </row>
    <row r="29" spans="1:21" ht="13.15" x14ac:dyDescent="0.4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ht="13.15" x14ac:dyDescent="0.4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ht="13.15" x14ac:dyDescent="0.4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ht="13.15" x14ac:dyDescent="0.4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ht="13.15" x14ac:dyDescent="0.4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ht="13.15" x14ac:dyDescent="0.4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ht="13.15" x14ac:dyDescent="0.4">
      <c r="A38" t="s">
        <v>17</v>
      </c>
    </row>
    <row r="39" spans="1:21" ht="15" x14ac:dyDescent="0.5">
      <c r="A39" s="6"/>
      <c r="B39" s="20" t="s">
        <v>18</v>
      </c>
      <c r="C39" s="6"/>
      <c r="D39" s="21" t="s">
        <v>19</v>
      </c>
      <c r="E39" s="7"/>
      <c r="F39" s="7"/>
      <c r="G39" s="7"/>
      <c r="H39" s="22"/>
      <c r="U39" s="5"/>
    </row>
    <row r="40" spans="1:21" ht="15" x14ac:dyDescent="0.5">
      <c r="A40" s="23" t="s">
        <v>20</v>
      </c>
      <c r="B40" s="24" t="s">
        <v>21</v>
      </c>
      <c r="C40" s="23" t="s">
        <v>22</v>
      </c>
      <c r="D40" s="23" t="s">
        <v>23</v>
      </c>
      <c r="E40" s="24" t="s">
        <v>24</v>
      </c>
      <c r="F40" s="24" t="s">
        <v>25</v>
      </c>
      <c r="G40" s="24" t="s">
        <v>26</v>
      </c>
      <c r="H40" s="25" t="s">
        <v>27</v>
      </c>
      <c r="I40" s="9"/>
      <c r="J40" s="9"/>
    </row>
    <row r="41" spans="1:21" ht="13.15" x14ac:dyDescent="0.4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ht="13.15" x14ac:dyDescent="0.4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ht="13.15" x14ac:dyDescent="0.4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ht="13.15" x14ac:dyDescent="0.4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ht="13.15" x14ac:dyDescent="0.4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ht="13.15" x14ac:dyDescent="0.4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ht="13.15" x14ac:dyDescent="0.4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81</v>
      </c>
    </row>
    <row r="50" spans="1:12" ht="13.15" x14ac:dyDescent="0.4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3" priority="2" operator="between">
      <formula>$C$30</formula>
      <formula>$D$30</formula>
    </cfRule>
  </conditionalFormatting>
  <conditionalFormatting sqref="B25">
    <cfRule type="cellIs" dxfId="32" priority="3" operator="between">
      <formula>$C$32</formula>
      <formula>$D$32</formula>
    </cfRule>
  </conditionalFormatting>
  <conditionalFormatting sqref="B51 D51">
    <cfRule type="cellIs" dxfId="31" priority="4" operator="lessThan">
      <formula>B52</formula>
    </cfRule>
  </conditionalFormatting>
  <conditionalFormatting sqref="E23:E24">
    <cfRule type="cellIs" dxfId="3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8EEF1-F7B6-446F-B629-81AAAFD7A4D4}">
  <sheetPr>
    <pageSetUpPr fitToPage="1"/>
  </sheetPr>
  <dimension ref="A2:AMK87"/>
  <sheetViews>
    <sheetView view="pageBreakPreview" topLeftCell="A4" zoomScale="55" zoomScaleNormal="55" zoomScaleSheetLayoutView="55" workbookViewId="0">
      <selection activeCell="K23" sqref="K23"/>
    </sheetView>
  </sheetViews>
  <sheetFormatPr defaultRowHeight="12.75" x14ac:dyDescent="0.35"/>
  <cols>
    <col min="1" max="1" width="6.0703125" style="87" customWidth="1"/>
    <col min="2" max="2" width="16.78515625" style="87" customWidth="1"/>
    <col min="3" max="3" width="19.78515625" style="87" customWidth="1"/>
    <col min="4" max="4" width="27.42578125" style="87" customWidth="1"/>
    <col min="5" max="5" width="7.640625" style="87" customWidth="1"/>
    <col min="6" max="6" width="16.78515625" style="87" customWidth="1"/>
    <col min="7" max="7" width="5.140625" style="87" customWidth="1"/>
    <col min="8" max="8" width="16.92578125" style="87" customWidth="1"/>
    <col min="9" max="9" width="3.92578125" style="87" customWidth="1"/>
    <col min="10" max="10" width="23.78515625" style="87" customWidth="1"/>
    <col min="11" max="11" width="20.78515625" style="87" customWidth="1"/>
    <col min="12" max="12" width="21.0703125" style="87" customWidth="1"/>
    <col min="13" max="13" width="18.92578125" style="87" customWidth="1"/>
    <col min="14" max="14" width="3.28515625" style="87" customWidth="1"/>
    <col min="15" max="15" width="19.28515625" style="87" customWidth="1"/>
    <col min="16" max="16" width="6.0703125" style="87" customWidth="1"/>
    <col min="17" max="1025" width="9.140625" style="87"/>
    <col min="1026" max="16384" width="9.140625" style="154"/>
  </cols>
  <sheetData>
    <row r="2" spans="1:16" ht="13.5" x14ac:dyDescent="0.35">
      <c r="B2" s="88" t="s">
        <v>88</v>
      </c>
      <c r="C2" s="89"/>
    </row>
    <row r="3" spans="1:16" ht="13.5" x14ac:dyDescent="0.35">
      <c r="B3" s="90" t="s">
        <v>89</v>
      </c>
      <c r="C3" s="89"/>
    </row>
    <row r="4" spans="1:16" ht="13.5" x14ac:dyDescent="0.35">
      <c r="B4" s="90" t="s">
        <v>90</v>
      </c>
      <c r="C4" s="89"/>
    </row>
    <row r="5" spans="1:16" ht="13.5" x14ac:dyDescent="0.35">
      <c r="B5" s="90" t="s">
        <v>91</v>
      </c>
      <c r="C5" s="89"/>
    </row>
    <row r="6" spans="1:16" ht="13.5" x14ac:dyDescent="0.35">
      <c r="B6" s="90" t="s">
        <v>92</v>
      </c>
      <c r="C6" s="89"/>
    </row>
    <row r="7" spans="1:16" ht="15" x14ac:dyDescent="0.4">
      <c r="B7" s="90" t="s">
        <v>93</v>
      </c>
      <c r="C7" s="89"/>
      <c r="D7" s="91"/>
    </row>
    <row r="8" spans="1:16" ht="13.5" x14ac:dyDescent="0.35">
      <c r="B8" s="92" t="s">
        <v>94</v>
      </c>
      <c r="C8" s="89"/>
    </row>
    <row r="9" spans="1:16" ht="13.5" x14ac:dyDescent="0.35">
      <c r="B9" s="92"/>
      <c r="C9" s="89"/>
    </row>
    <row r="10" spans="1:16" ht="37.5" customHeight="1" x14ac:dyDescent="0.85">
      <c r="B10" s="93" t="s">
        <v>95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</row>
    <row r="11" spans="1:16" ht="21" customHeight="1" x14ac:dyDescent="0.75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</row>
    <row r="12" spans="1:16" ht="11.25" customHeight="1" x14ac:dyDescent="0.35"/>
    <row r="13" spans="1:16" ht="60.75" customHeight="1" x14ac:dyDescent="0.35">
      <c r="B13" s="95" t="s">
        <v>131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6"/>
    </row>
    <row r="14" spans="1:16" ht="77.25" customHeight="1" x14ac:dyDescent="0.35">
      <c r="A14" s="97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6"/>
    </row>
    <row r="15" spans="1:16" ht="17.649999999999999" x14ac:dyDescent="0.35">
      <c r="A15" s="97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6"/>
    </row>
    <row r="16" spans="1:16" ht="17.649999999999999" x14ac:dyDescent="0.35">
      <c r="A16" s="97"/>
      <c r="B16" s="99"/>
      <c r="C16" s="99"/>
      <c r="D16" s="96"/>
      <c r="E16" s="96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</row>
    <row r="17" spans="2:15" ht="25.9" customHeight="1" x14ac:dyDescent="0.45">
      <c r="B17" s="100" t="s">
        <v>96</v>
      </c>
      <c r="C17" s="101"/>
      <c r="D17" s="102" t="s">
        <v>124</v>
      </c>
      <c r="E17" s="102"/>
      <c r="F17" s="102"/>
      <c r="K17" s="103" t="s">
        <v>126</v>
      </c>
      <c r="L17" s="104"/>
      <c r="M17" s="104"/>
      <c r="N17" s="105"/>
      <c r="O17" s="156" t="str">
        <f>'Particle Counter'!$D$10</f>
        <v>34D</v>
      </c>
    </row>
    <row r="18" spans="2:15" ht="25.9" customHeight="1" x14ac:dyDescent="0.45">
      <c r="B18" s="100" t="s">
        <v>97</v>
      </c>
      <c r="C18" s="106"/>
      <c r="D18" s="107" t="s">
        <v>125</v>
      </c>
      <c r="E18" s="107"/>
      <c r="F18" s="107"/>
      <c r="K18" s="108" t="s">
        <v>98</v>
      </c>
      <c r="L18" s="109"/>
      <c r="M18" s="109"/>
      <c r="N18" s="110"/>
      <c r="O18" s="157">
        <f>'Particle Counter'!$D$6</f>
        <v>46002</v>
      </c>
    </row>
    <row r="19" spans="2:15" ht="25.9" customHeight="1" x14ac:dyDescent="0.45">
      <c r="B19" s="100" t="s">
        <v>99</v>
      </c>
      <c r="C19" s="106"/>
      <c r="D19" s="111" t="s">
        <v>125</v>
      </c>
      <c r="E19" s="112"/>
      <c r="F19" s="155">
        <f>'Particle Counter'!$D$6</f>
        <v>46002</v>
      </c>
      <c r="K19" s="103"/>
      <c r="L19" s="104"/>
      <c r="M19" s="104"/>
      <c r="N19" s="105"/>
      <c r="O19" s="158"/>
    </row>
    <row r="20" spans="2:15" ht="14.25" customHeight="1" x14ac:dyDescent="0.45">
      <c r="B20" s="113"/>
      <c r="D20" s="114"/>
      <c r="E20" s="115"/>
      <c r="K20" s="113"/>
      <c r="L20" s="116"/>
      <c r="M20" s="116"/>
      <c r="N20" s="116"/>
      <c r="O20" s="117"/>
    </row>
    <row r="21" spans="2:15" ht="15" x14ac:dyDescent="0.4">
      <c r="B21" s="118"/>
    </row>
    <row r="22" spans="2:15" ht="15" x14ac:dyDescent="0.4">
      <c r="B22" s="118"/>
      <c r="O22" s="119"/>
    </row>
    <row r="23" spans="2:15" ht="15" x14ac:dyDescent="0.4">
      <c r="B23" s="118" t="s">
        <v>129</v>
      </c>
    </row>
    <row r="24" spans="2:15" ht="15" x14ac:dyDescent="0.4">
      <c r="B24" s="118"/>
    </row>
    <row r="25" spans="2:15" ht="13.15" x14ac:dyDescent="0.4">
      <c r="B25" s="120"/>
    </row>
    <row r="26" spans="2:15" s="121" customFormat="1" ht="67.5" customHeight="1" x14ac:dyDescent="0.4">
      <c r="D26" s="122" t="s">
        <v>68</v>
      </c>
      <c r="E26" s="122"/>
      <c r="F26" s="122" t="s">
        <v>130</v>
      </c>
      <c r="G26" s="122"/>
      <c r="H26" s="122" t="s">
        <v>100</v>
      </c>
      <c r="I26" s="122"/>
      <c r="J26" s="123" t="s">
        <v>101</v>
      </c>
      <c r="K26" s="123" t="s">
        <v>135</v>
      </c>
      <c r="L26" s="123" t="s">
        <v>102</v>
      </c>
    </row>
    <row r="27" spans="2:15" s="124" customFormat="1" ht="25.9" customHeight="1" x14ac:dyDescent="0.4">
      <c r="D27" s="165" t="s">
        <v>103</v>
      </c>
      <c r="E27" s="165"/>
      <c r="F27" s="163">
        <f>'6 - Interpolated Thresholds'!C4</f>
        <v>76</v>
      </c>
      <c r="G27" s="163"/>
      <c r="H27" s="159">
        <f>'6 - Interpolated Thresholds'!B4</f>
        <v>10750.3</v>
      </c>
      <c r="I27" s="159"/>
      <c r="J27" s="160">
        <f>'6 - Interpolated Thresholds'!G4</f>
        <v>10713</v>
      </c>
      <c r="K27" s="160">
        <f t="shared" ref="K27:K31" si="0">J27-H27</f>
        <v>-37.299999999999272</v>
      </c>
      <c r="L27" s="161">
        <f>(K27/H27)</f>
        <v>-3.4696706138432672E-3</v>
      </c>
    </row>
    <row r="28" spans="2:15" s="124" customFormat="1" ht="25.9" customHeight="1" x14ac:dyDescent="0.4">
      <c r="D28" s="165" t="s">
        <v>104</v>
      </c>
      <c r="E28" s="165"/>
      <c r="F28" s="163">
        <f>'6 - Interpolated Thresholds'!C5</f>
        <v>184</v>
      </c>
      <c r="G28" s="163"/>
      <c r="H28" s="159">
        <f>'6 - Interpolated Thresholds'!B5</f>
        <v>4729.1000000000004</v>
      </c>
      <c r="I28" s="159"/>
      <c r="J28" s="160">
        <f>'6 - Interpolated Thresholds'!G5</f>
        <v>4753</v>
      </c>
      <c r="K28" s="160">
        <f t="shared" si="0"/>
        <v>23.899999999999636</v>
      </c>
      <c r="L28" s="161">
        <f t="shared" ref="L28:L31" si="1">(K28/H28)</f>
        <v>5.0538157366094259E-3</v>
      </c>
    </row>
    <row r="29" spans="2:15" s="124" customFormat="1" ht="25.9" customHeight="1" x14ac:dyDescent="0.4">
      <c r="D29" s="165" t="s">
        <v>105</v>
      </c>
      <c r="E29" s="165"/>
      <c r="F29" s="163">
        <f>'6 - Interpolated Thresholds'!C6</f>
        <v>1000</v>
      </c>
      <c r="G29" s="163"/>
      <c r="H29" s="159">
        <f>'6 - Interpolated Thresholds'!B6</f>
        <v>384.7</v>
      </c>
      <c r="I29" s="159"/>
      <c r="J29" s="160">
        <f>'6 - Interpolated Thresholds'!G6</f>
        <v>385</v>
      </c>
      <c r="K29" s="160">
        <f t="shared" si="0"/>
        <v>0.30000000000001137</v>
      </c>
      <c r="L29" s="161">
        <f t="shared" si="1"/>
        <v>7.7982843774372591E-4</v>
      </c>
    </row>
    <row r="30" spans="2:15" s="124" customFormat="1" ht="25.9" customHeight="1" x14ac:dyDescent="0.4">
      <c r="D30" s="165" t="s">
        <v>106</v>
      </c>
      <c r="E30" s="165"/>
      <c r="F30" s="163">
        <f>'6 - Interpolated Thresholds'!C7</f>
        <v>2010</v>
      </c>
      <c r="G30" s="163"/>
      <c r="H30" s="159">
        <f>'6 - Interpolated Thresholds'!B7</f>
        <v>114.4</v>
      </c>
      <c r="I30" s="159"/>
      <c r="J30" s="160">
        <f>'6 - Interpolated Thresholds'!G7</f>
        <v>114.45</v>
      </c>
      <c r="K30" s="160">
        <f t="shared" si="0"/>
        <v>4.9999999999997158E-2</v>
      </c>
      <c r="L30" s="161">
        <f t="shared" si="1"/>
        <v>4.3706293706291218E-4</v>
      </c>
    </row>
    <row r="31" spans="2:15" s="124" customFormat="1" ht="25.9" customHeight="1" x14ac:dyDescent="0.4">
      <c r="D31" s="165" t="s">
        <v>107</v>
      </c>
      <c r="E31" s="165"/>
      <c r="F31" s="163">
        <f>'6 - Interpolated Thresholds'!C8</f>
        <v>2986</v>
      </c>
      <c r="G31" s="163"/>
      <c r="H31" s="159">
        <f>'6 - Interpolated Thresholds'!B8</f>
        <v>53.8</v>
      </c>
      <c r="I31" s="159"/>
      <c r="J31" s="160">
        <f>'6 - Interpolated Thresholds'!G8</f>
        <v>53.82</v>
      </c>
      <c r="K31" s="160">
        <f t="shared" si="0"/>
        <v>2.0000000000003126E-2</v>
      </c>
      <c r="L31" s="161">
        <f t="shared" si="1"/>
        <v>3.7174721189596889E-4</v>
      </c>
    </row>
    <row r="32" spans="2:15" s="124" customFormat="1" ht="25.9" customHeight="1" x14ac:dyDescent="0.4">
      <c r="D32" s="165" t="s">
        <v>108</v>
      </c>
      <c r="E32" s="165"/>
      <c r="F32" s="163">
        <v>9938</v>
      </c>
      <c r="G32" s="163"/>
      <c r="H32" s="127"/>
      <c r="I32" s="127"/>
      <c r="J32" s="128"/>
      <c r="K32" s="128"/>
      <c r="L32" s="166"/>
    </row>
    <row r="33" spans="2:12" s="124" customFormat="1" ht="25.9" customHeight="1" x14ac:dyDescent="0.4">
      <c r="D33" s="165" t="s">
        <v>109</v>
      </c>
      <c r="E33" s="165"/>
      <c r="F33" s="163">
        <v>15300</v>
      </c>
      <c r="G33" s="163"/>
      <c r="H33" s="127"/>
      <c r="I33" s="127"/>
      <c r="J33" s="128"/>
      <c r="K33" s="128"/>
      <c r="L33" s="162"/>
    </row>
    <row r="34" spans="2:12" s="116" customFormat="1" ht="25.9" customHeight="1" x14ac:dyDescent="0.45">
      <c r="D34" s="165" t="s">
        <v>110</v>
      </c>
      <c r="E34" s="165"/>
      <c r="F34" s="164">
        <v>25000</v>
      </c>
      <c r="G34" s="164"/>
      <c r="H34" s="127"/>
      <c r="I34" s="127"/>
      <c r="J34" s="128"/>
      <c r="K34" s="128"/>
      <c r="L34" s="162"/>
    </row>
    <row r="35" spans="2:12" s="87" customFormat="1" ht="20.25" x14ac:dyDescent="0.55000000000000004">
      <c r="D35" s="129" t="s">
        <v>111</v>
      </c>
      <c r="E35" s="130"/>
      <c r="F35" s="130"/>
      <c r="G35" s="130"/>
      <c r="H35" s="130"/>
      <c r="I35" s="130"/>
      <c r="J35" s="130"/>
      <c r="K35" s="130"/>
    </row>
    <row r="36" spans="2:12" s="87" customFormat="1" ht="20.25" x14ac:dyDescent="0.55000000000000004">
      <c r="B36" s="131"/>
      <c r="D36" s="130"/>
      <c r="E36" s="130"/>
      <c r="F36" s="130"/>
      <c r="G36" s="130"/>
      <c r="H36" s="130"/>
      <c r="I36" s="130"/>
      <c r="J36" s="130"/>
      <c r="K36" s="130"/>
    </row>
    <row r="37" spans="2:12" s="87" customFormat="1" ht="81" customHeight="1" x14ac:dyDescent="0.35">
      <c r="B37" s="131"/>
      <c r="D37" s="123" t="s">
        <v>132</v>
      </c>
      <c r="E37" s="122" t="s">
        <v>133</v>
      </c>
      <c r="F37" s="122"/>
      <c r="G37" s="122" t="s">
        <v>112</v>
      </c>
      <c r="H37" s="122"/>
      <c r="I37" s="124"/>
      <c r="J37" s="98"/>
      <c r="K37" s="98"/>
      <c r="L37" s="98"/>
    </row>
    <row r="38" spans="2:12" s="87" customFormat="1" ht="25.9" customHeight="1" x14ac:dyDescent="0.35">
      <c r="B38" s="131"/>
      <c r="D38" s="126"/>
      <c r="E38" s="125"/>
      <c r="F38" s="125"/>
      <c r="G38" s="125" t="s">
        <v>113</v>
      </c>
      <c r="H38" s="125"/>
      <c r="I38" s="132"/>
      <c r="J38" s="133"/>
      <c r="K38" s="133"/>
      <c r="L38" s="133"/>
    </row>
    <row r="39" spans="2:12" s="87" customFormat="1" ht="25.9" customHeight="1" x14ac:dyDescent="0.35">
      <c r="B39" s="131"/>
      <c r="D39" s="134">
        <f>'Particle Counter'!$D$8</f>
        <v>36</v>
      </c>
      <c r="E39" s="135">
        <f>F27-D39</f>
        <v>40</v>
      </c>
      <c r="F39" s="135"/>
      <c r="G39" s="136">
        <f>F27/D39</f>
        <v>2.1111111111111112</v>
      </c>
      <c r="H39" s="136"/>
      <c r="I39" s="132"/>
      <c r="J39" s="137"/>
      <c r="K39" s="138"/>
      <c r="L39" s="139"/>
    </row>
    <row r="40" spans="2:12" s="87" customFormat="1" x14ac:dyDescent="0.35">
      <c r="B40" s="131"/>
    </row>
    <row r="41" spans="2:12" s="87" customFormat="1" x14ac:dyDescent="0.35">
      <c r="B41" s="131"/>
    </row>
    <row r="42" spans="2:12" s="87" customFormat="1" x14ac:dyDescent="0.35">
      <c r="B42" s="131"/>
    </row>
    <row r="43" spans="2:12" s="87" customFormat="1" x14ac:dyDescent="0.35">
      <c r="B43" s="131"/>
    </row>
    <row r="44" spans="2:12" s="87" customFormat="1" x14ac:dyDescent="0.35">
      <c r="B44" s="131"/>
    </row>
    <row r="45" spans="2:12" s="87" customFormat="1" x14ac:dyDescent="0.35">
      <c r="B45" s="131"/>
    </row>
    <row r="46" spans="2:12" s="87" customFormat="1" x14ac:dyDescent="0.35">
      <c r="B46" s="131"/>
    </row>
    <row r="47" spans="2:12" s="87" customFormat="1" x14ac:dyDescent="0.35">
      <c r="B47" s="131"/>
    </row>
    <row r="48" spans="2:12" s="87" customFormat="1" x14ac:dyDescent="0.35">
      <c r="B48" s="131"/>
    </row>
    <row r="49" spans="2:2" s="87" customFormat="1" x14ac:dyDescent="0.35">
      <c r="B49" s="131"/>
    </row>
    <row r="50" spans="2:2" s="87" customFormat="1" x14ac:dyDescent="0.35">
      <c r="B50" s="131"/>
    </row>
    <row r="51" spans="2:2" s="87" customFormat="1" x14ac:dyDescent="0.35">
      <c r="B51" s="131"/>
    </row>
    <row r="52" spans="2:2" s="87" customFormat="1" x14ac:dyDescent="0.35">
      <c r="B52" s="131"/>
    </row>
    <row r="53" spans="2:2" s="87" customFormat="1" x14ac:dyDescent="0.35">
      <c r="B53" s="131"/>
    </row>
    <row r="54" spans="2:2" s="87" customFormat="1" x14ac:dyDescent="0.35">
      <c r="B54" s="131"/>
    </row>
    <row r="55" spans="2:2" s="87" customFormat="1" x14ac:dyDescent="0.35">
      <c r="B55" s="131"/>
    </row>
    <row r="56" spans="2:2" s="87" customFormat="1" x14ac:dyDescent="0.35">
      <c r="B56" s="131"/>
    </row>
    <row r="57" spans="2:2" s="87" customFormat="1" x14ac:dyDescent="0.35">
      <c r="B57" s="131"/>
    </row>
    <row r="58" spans="2:2" s="87" customFormat="1" x14ac:dyDescent="0.35">
      <c r="B58" s="131"/>
    </row>
    <row r="59" spans="2:2" s="87" customFormat="1" x14ac:dyDescent="0.35">
      <c r="B59" s="131"/>
    </row>
    <row r="60" spans="2:2" s="87" customFormat="1" x14ac:dyDescent="0.35">
      <c r="B60" s="131"/>
    </row>
    <row r="61" spans="2:2" s="87" customFormat="1" x14ac:dyDescent="0.35">
      <c r="B61" s="131"/>
    </row>
    <row r="62" spans="2:2" s="87" customFormat="1" x14ac:dyDescent="0.35">
      <c r="B62" s="131"/>
    </row>
    <row r="63" spans="2:2" s="87" customFormat="1" x14ac:dyDescent="0.35">
      <c r="B63" s="131"/>
    </row>
    <row r="64" spans="2:2" s="87" customFormat="1" x14ac:dyDescent="0.35">
      <c r="B64" s="131"/>
    </row>
    <row r="65" spans="2:16" s="87" customFormat="1" x14ac:dyDescent="0.35">
      <c r="B65" s="131"/>
    </row>
    <row r="66" spans="2:16" s="87" customFormat="1" x14ac:dyDescent="0.35">
      <c r="B66" s="131"/>
    </row>
    <row r="67" spans="2:16" s="87" customFormat="1" x14ac:dyDescent="0.35">
      <c r="B67" s="131"/>
    </row>
    <row r="68" spans="2:16" s="87" customFormat="1" ht="13.15" thickBot="1" x14ac:dyDescent="0.4">
      <c r="B68" s="140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</row>
    <row r="69" spans="2:16" s="87" customFormat="1" ht="13.15" thickTop="1" x14ac:dyDescent="0.35">
      <c r="B69" s="131"/>
    </row>
    <row r="70" spans="2:16" s="87" customFormat="1" ht="25.9" customHeight="1" x14ac:dyDescent="0.35"/>
    <row r="71" spans="2:16" s="91" customFormat="1" ht="25.9" customHeight="1" x14ac:dyDescent="0.4">
      <c r="B71" s="142" t="s">
        <v>114</v>
      </c>
      <c r="C71" s="143"/>
      <c r="D71" s="144" t="s">
        <v>115</v>
      </c>
      <c r="H71" s="87"/>
      <c r="I71" s="87"/>
      <c r="K71" s="145" t="s">
        <v>116</v>
      </c>
      <c r="L71" s="145"/>
      <c r="M71" s="145"/>
      <c r="N71" s="145"/>
      <c r="O71" s="145"/>
    </row>
    <row r="72" spans="2:16" s="91" customFormat="1" ht="25.9" customHeight="1" x14ac:dyDescent="0.4">
      <c r="H72" s="87"/>
      <c r="I72" s="87"/>
      <c r="K72" s="145"/>
      <c r="L72" s="145"/>
      <c r="M72" s="145"/>
      <c r="N72" s="145"/>
      <c r="O72" s="145"/>
    </row>
    <row r="73" spans="2:16" s="91" customFormat="1" ht="39" customHeight="1" x14ac:dyDescent="0.4">
      <c r="B73" s="142" t="s">
        <v>117</v>
      </c>
      <c r="C73" s="143"/>
      <c r="D73" s="146" t="s">
        <v>134</v>
      </c>
      <c r="E73" s="146"/>
      <c r="F73" s="146"/>
      <c r="G73" s="146"/>
      <c r="H73" s="87"/>
      <c r="I73" s="87"/>
      <c r="K73" s="145"/>
      <c r="L73" s="145"/>
      <c r="M73" s="145"/>
      <c r="N73" s="145"/>
      <c r="O73" s="145"/>
    </row>
    <row r="74" spans="2:16" s="91" customFormat="1" ht="25.9" customHeight="1" x14ac:dyDescent="0.4">
      <c r="K74" s="145"/>
      <c r="L74" s="145"/>
      <c r="M74" s="145"/>
      <c r="N74" s="145"/>
      <c r="O74" s="145"/>
    </row>
    <row r="75" spans="2:16" s="91" customFormat="1" ht="25.9" customHeight="1" x14ac:dyDescent="0.4">
      <c r="B75" s="142" t="s">
        <v>118</v>
      </c>
      <c r="C75" s="143"/>
      <c r="D75" s="147" t="s">
        <v>7</v>
      </c>
      <c r="E75" s="147"/>
      <c r="F75" s="147"/>
      <c r="K75" s="148"/>
      <c r="L75" s="149"/>
      <c r="M75" s="149"/>
      <c r="N75" s="149"/>
      <c r="O75" s="149"/>
      <c r="P75" s="150"/>
    </row>
    <row r="76" spans="2:16" s="87" customFormat="1" ht="25.9" customHeight="1" x14ac:dyDescent="0.4">
      <c r="D76" s="149"/>
      <c r="E76" s="149"/>
      <c r="F76" s="149"/>
      <c r="H76" s="91"/>
      <c r="I76" s="91"/>
      <c r="J76" s="91"/>
      <c r="K76" s="91"/>
    </row>
    <row r="77" spans="2:16" s="87" customFormat="1" ht="15" customHeight="1" x14ac:dyDescent="0.4">
      <c r="B77" s="131" t="s">
        <v>119</v>
      </c>
      <c r="H77" s="91"/>
      <c r="I77" s="91"/>
      <c r="J77" s="91"/>
      <c r="K77" s="151" t="s">
        <v>120</v>
      </c>
      <c r="L77" s="151"/>
      <c r="M77" s="151"/>
      <c r="N77" s="151"/>
      <c r="O77" s="151"/>
    </row>
    <row r="78" spans="2:16" s="87" customFormat="1" ht="15" x14ac:dyDescent="0.4">
      <c r="B78" s="131" t="s">
        <v>121</v>
      </c>
      <c r="H78" s="91"/>
      <c r="I78" s="91"/>
      <c r="J78" s="91"/>
      <c r="K78" s="151"/>
      <c r="L78" s="151"/>
      <c r="M78" s="151"/>
      <c r="N78" s="151"/>
      <c r="O78" s="151"/>
    </row>
    <row r="79" spans="2:16" s="87" customFormat="1" x14ac:dyDescent="0.35">
      <c r="B79" s="131" t="s">
        <v>122</v>
      </c>
      <c r="K79" s="151"/>
      <c r="L79" s="151"/>
      <c r="M79" s="151"/>
      <c r="N79" s="151"/>
      <c r="O79" s="151"/>
    </row>
    <row r="82" spans="2:15" s="87" customFormat="1" x14ac:dyDescent="0.35">
      <c r="O82" s="152"/>
    </row>
    <row r="83" spans="2:15" s="87" customFormat="1" x14ac:dyDescent="0.35">
      <c r="O83" s="152"/>
    </row>
    <row r="84" spans="2:15" s="87" customFormat="1" x14ac:dyDescent="0.35">
      <c r="O84" s="152"/>
    </row>
    <row r="85" spans="2:15" s="87" customFormat="1" x14ac:dyDescent="0.35">
      <c r="B85" s="153" t="s">
        <v>123</v>
      </c>
      <c r="C85" s="153"/>
      <c r="L85" s="153"/>
      <c r="N85" s="153"/>
      <c r="O85" s="152"/>
    </row>
    <row r="87" spans="2:15" s="87" customFormat="1" x14ac:dyDescent="0.35">
      <c r="D87" s="153"/>
      <c r="E87" s="153"/>
      <c r="F87" s="153"/>
      <c r="G87" s="153"/>
      <c r="H87" s="153"/>
      <c r="I87" s="153"/>
      <c r="J87" s="153"/>
      <c r="K87" s="153"/>
    </row>
  </sheetData>
  <sheetProtection selectLockedCells="1"/>
  <mergeCells count="44">
    <mergeCell ref="D76:F76"/>
    <mergeCell ref="K77:O79"/>
    <mergeCell ref="E39:F39"/>
    <mergeCell ref="G39:H39"/>
    <mergeCell ref="K71:O74"/>
    <mergeCell ref="D73:G73"/>
    <mergeCell ref="D75:F75"/>
    <mergeCell ref="L75:O75"/>
    <mergeCell ref="D34:E34"/>
    <mergeCell ref="F34:G34"/>
    <mergeCell ref="H34:I34"/>
    <mergeCell ref="E37:F37"/>
    <mergeCell ref="G37:H37"/>
    <mergeCell ref="E38:F38"/>
    <mergeCell ref="G38:H38"/>
    <mergeCell ref="D32:E32"/>
    <mergeCell ref="F32:G32"/>
    <mergeCell ref="H32:I32"/>
    <mergeCell ref="D33:E33"/>
    <mergeCell ref="F33:G33"/>
    <mergeCell ref="H33:I33"/>
    <mergeCell ref="D30:E30"/>
    <mergeCell ref="F30:G30"/>
    <mergeCell ref="H30:I30"/>
    <mergeCell ref="D31:E31"/>
    <mergeCell ref="F31:G31"/>
    <mergeCell ref="H31:I31"/>
    <mergeCell ref="D28:E28"/>
    <mergeCell ref="F28:G28"/>
    <mergeCell ref="H28:I28"/>
    <mergeCell ref="D29:E29"/>
    <mergeCell ref="F29:G29"/>
    <mergeCell ref="H29:I29"/>
    <mergeCell ref="D27:E27"/>
    <mergeCell ref="F27:G27"/>
    <mergeCell ref="H27:I27"/>
    <mergeCell ref="B10:P10"/>
    <mergeCell ref="B13:O13"/>
    <mergeCell ref="B14:O14"/>
    <mergeCell ref="D17:F17"/>
    <mergeCell ref="D18:F18"/>
    <mergeCell ref="D26:E26"/>
    <mergeCell ref="F26:G26"/>
    <mergeCell ref="H26:I26"/>
  </mergeCells>
  <conditionalFormatting sqref="D71">
    <cfRule type="cellIs" dxfId="19" priority="1" operator="equal">
      <formula>"PASS"</formula>
    </cfRule>
    <cfRule type="cellIs" dxfId="18" priority="2" operator="equal">
      <formula>"FAIL"</formula>
    </cfRule>
  </conditionalFormatting>
  <conditionalFormatting sqref="G39">
    <cfRule type="cellIs" dxfId="10" priority="6" operator="greaterThanOrEqual">
      <formula>1.19</formula>
    </cfRule>
    <cfRule type="cellIs" dxfId="17" priority="7" operator="lessThan">
      <formula>1.19</formula>
    </cfRule>
  </conditionalFormatting>
  <conditionalFormatting sqref="K71">
    <cfRule type="cellIs" dxfId="16" priority="4" operator="equal">
      <formula>"FAIL"</formula>
    </cfRule>
    <cfRule type="cellIs" dxfId="15" priority="5" operator="equal">
      <formula>"PASS - VERIFIED"</formula>
    </cfRule>
  </conditionalFormatting>
  <conditionalFormatting sqref="L27:L31">
    <cfRule type="cellIs" dxfId="14" priority="8" operator="lessThan">
      <formula>-0.1</formula>
    </cfRule>
    <cfRule type="cellIs" dxfId="13" priority="9" operator="greaterThan">
      <formula>0.1</formula>
    </cfRule>
    <cfRule type="cellIs" dxfId="12" priority="10" operator="between">
      <formula>-0.1</formula>
      <formula>0.1</formula>
    </cfRule>
  </conditionalFormatting>
  <conditionalFormatting sqref="O22">
    <cfRule type="cellIs" dxfId="11" priority="3" operator="greaterThan">
      <formula>0</formula>
    </cfRule>
  </conditionalFormatting>
  <dataValidations disablePrompts="1" count="2">
    <dataValidation type="list" allowBlank="1" showInputMessage="1" showErrorMessage="1" sqref="K71" xr:uid="{B0FFBA86-8422-49BD-AE91-82E8550146B3}">
      <formula1>"PASS - VERIFIED,FAIL"</formula1>
      <formula2>0</formula2>
    </dataValidation>
    <dataValidation type="list" allowBlank="1" showInputMessage="1" showErrorMessage="1" sqref="D71" xr:uid="{8884F324-3B6F-4F7E-987A-559A37D9B557}">
      <formula1>"PASS,FAIL"</formula1>
      <formula2>0</formula2>
    </dataValidation>
  </dataValidations>
  <hyperlinks>
    <hyperlink ref="B8" r:id="rId1" xr:uid="{A1CC564F-246B-49DC-917D-8474B1E4D5AE}"/>
  </hyperlinks>
  <pageMargins left="0.25" right="0.25" top="0.75" bottom="0.75" header="0.51180555555555496" footer="0.51180555555555496"/>
  <pageSetup paperSize="9" scale="43" firstPageNumber="0"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Particle Counter</vt:lpstr>
      <vt:lpstr>Clause 6 - Spheres</vt:lpstr>
      <vt:lpstr>6 - Interpolated Thresholds</vt:lpstr>
      <vt:lpstr>Clause 6.15</vt:lpstr>
      <vt:lpstr>Annex E</vt:lpstr>
      <vt:lpstr>MP Calibration Certificate</vt:lpstr>
      <vt:lpstr>'MP Calibration Certificate'!Print_Area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cp:lastPrinted>2026-01-22T12:28:06Z</cp:lastPrinted>
  <dcterms:created xsi:type="dcterms:W3CDTF">2021-11-24T13:24:09Z</dcterms:created>
  <dcterms:modified xsi:type="dcterms:W3CDTF">2026-01-22T12:57:10Z</dcterms:modified>
  <dc:language>en-GB</dc:language>
</cp:coreProperties>
</file>