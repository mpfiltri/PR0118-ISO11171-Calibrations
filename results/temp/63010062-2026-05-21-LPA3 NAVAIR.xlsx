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temp\"/>
    </mc:Choice>
  </mc:AlternateContent>
  <xr:revisionPtr revIDLastSave="0" documentId="13_ncr:1_{A8D76CBE-A4A7-4D4E-B9F9-1B311CF7BCE3}" xr6:coauthVersionLast="47" xr6:coauthVersionMax="47" xr10:uidLastSave="{00000000-0000-0000-0000-000000000000}"/>
  <bookViews>
    <workbookView xWindow="-98" yWindow="-98" windowWidth="28996" windowHeight="17745" firstSheet="19" activeTab="19"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0" r:id="rId20"/>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110" l="1"/>
  <c r="H3" i="110"/>
  <c r="C4" i="110"/>
  <c r="C5" i="110"/>
  <c r="C6" i="110"/>
  <c r="C7" i="110"/>
  <c r="C8" i="110"/>
  <c r="C9" i="110"/>
  <c r="A19" i="110"/>
  <c r="B19" i="110"/>
  <c r="C19" i="110"/>
  <c r="E19" i="110"/>
  <c r="F19" i="110"/>
  <c r="G19" i="110"/>
  <c r="A20" i="110"/>
  <c r="B20" i="110"/>
  <c r="C20" i="110"/>
  <c r="E20" i="110"/>
  <c r="F20" i="110"/>
  <c r="G20" i="110"/>
  <c r="A21" i="110"/>
  <c r="B21" i="110"/>
  <c r="C21" i="110"/>
  <c r="E21" i="110"/>
  <c r="F21" i="110"/>
  <c r="G21" i="110"/>
  <c r="A22" i="110"/>
  <c r="B22" i="110"/>
  <c r="C22" i="110"/>
  <c r="E22" i="110"/>
  <c r="F22" i="110"/>
  <c r="G22" i="110"/>
  <c r="A23" i="110"/>
  <c r="B23" i="110"/>
  <c r="C23" i="110"/>
  <c r="E23" i="110"/>
  <c r="F23" i="110"/>
  <c r="G23" i="110"/>
  <c r="A24" i="110"/>
  <c r="B24" i="110"/>
  <c r="C24" i="110"/>
  <c r="E24" i="110"/>
  <c r="F24" i="110"/>
  <c r="G24" i="110"/>
  <c r="A25" i="110"/>
  <c r="B25" i="110"/>
  <c r="C25" i="110"/>
  <c r="E25" i="110"/>
  <c r="F25" i="110"/>
  <c r="G25" i="110"/>
  <c r="A26" i="110"/>
  <c r="B26" i="110"/>
  <c r="C26" i="110"/>
  <c r="E26" i="110"/>
  <c r="F26" i="110"/>
  <c r="G26" i="110"/>
  <c r="A27" i="110"/>
  <c r="B27" i="110"/>
  <c r="C27" i="110"/>
  <c r="E27" i="110"/>
  <c r="F27" i="110"/>
  <c r="G27" i="110"/>
  <c r="D152" i="108"/>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<sst xmlns="http://schemas.openxmlformats.org/spreadsheetml/2006/main" count="12064" uniqueCount="1046">
  <si>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</si>
  <si>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</si>
  <si>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</si>
  <si>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</si>
  <si>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</si>
  <si>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</si>
  <si>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</si>
  <si>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</si>
  <si>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</si>
  <si>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</si>
  <si>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</si>
  <si>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</si>
  <si>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</si>
  <si>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</si>
  <si>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</si>
  <si>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</si>
  <si>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</si>
  <si>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</si>
  <si>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</si>
  <si>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</si>
  <si>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</si>
  <si>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</si>
  <si>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</si>
  <si>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</si>
  <si>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</si>
  <si>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</si>
  <si>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</si>
  <si>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</si>
  <si>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</si>
  <si>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</si>
  <si>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</si>
  <si>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</si>
  <si>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</si>
  <si>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</si>
  <si>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</si>
  <si>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</si>
  <si>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</si>
  <si>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</si>
  <si>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</si>
  <si>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</si>
  <si>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</si>
  <si>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</si>
  <si>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</si>
  <si>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</si>
  <si>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</si>
  <si>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</si>
  <si>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</si>
  <si>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</si>
  <si>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</si>
  <si>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</si>
  <si>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</si>
  <si>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</si>
  <si>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</si>
  <si>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</si>
  <si>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</si>
  <si>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</si>
  <si>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</si>
  <si>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</si>
  <si>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</si>
  <si>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</si>
  <si>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</si>
  <si>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</si>
  <si>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</si>
  <si>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</si>
  <si>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</si>
  <si>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</si>
  <si>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</si>
  <si>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</si>
  <si>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</si>
  <si>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</si>
  <si>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</si>
  <si>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</si>
  <si>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</si>
  <si>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</si>
  <si>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</si>
  <si>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</si>
  <si>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</si>
  <si>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</si>
  <si>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</si>
  <si>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</si>
  <si>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</si>
  <si>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</si>
  <si>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</si>
  <si>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</si>
  <si>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</si>
  <si>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</si>
  <si>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</si>
  <si>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</si>
  <si>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</si>
  <si>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</si>
  <si>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</si>
  <si>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</si>
  <si>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</si>
  <si>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</si>
  <si>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</si>
  <si>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</si>
  <si>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</si>
  <si>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</si>
  <si>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</si>
  <si>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</si>
  <si>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</si>
  <si>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</si>
  <si>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</si>
  <si>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</si>
  <si>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</si>
  <si>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</si>
  <si>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</si>
  <si>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</si>
  <si>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</si>
  <si>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</si>
  <si>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</si>
  <si>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</si>
  <si>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</si>
  <si>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</si>
  <si>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</si>
  <si>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</si>
  <si>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</si>
  <si>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</si>
  <si>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</si>
  <si>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</si>
  <si>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</si>
  <si>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</si>
  <si>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</si>
  <si>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</si>
  <si>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</si>
  <si>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</si>
  <si>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</si>
  <si>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</si>
  <si>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</si>
  <si>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</si>
  <si>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</si>
  <si>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</si>
  <si>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</si>
  <si>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</si>
  <si>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</si>
  <si>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</si>
  <si>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</si>
  <si>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</si>
  <si>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</si>
  <si>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</si>
  <si>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</si>
  <si>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</si>
  <si>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</si>
  <si>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</si>
  <si>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</si>
  <si>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</si>
  <si>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</si>
  <si>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</si>
  <si>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</si>
  <si>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</si>
  <si>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</si>
  <si>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</si>
  <si>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</si>
  <si>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</si>
  <si>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</si>
  <si>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</si>
  <si>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</si>
  <si>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</si>
  <si>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</si>
  <si>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</si>
  <si>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</si>
  <si>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</si>
  <si>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</si>
  <si>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</si>
  <si>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</si>
  <si>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</si>
  <si>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</si>
  <si>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</si>
  <si>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</si>
  <si>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</si>
  <si>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</si>
  <si>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</si>
  <si>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</si>
  <si>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</si>
  <si>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</si>
  <si>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</si>
  <si>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</si>
  <si>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</si>
  <si>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</si>
  <si>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</si>
  <si>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</si>
  <si>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</si>
  <si>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</si>
  <si>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</si>
  <si>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</si>
  <si>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</si>
  <si>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</si>
  <si>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</si>
  <si>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</si>
  <si>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</si>
  <si>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</si>
  <si>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</si>
  <si>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</si>
  <si>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</si>
  <si>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</si>
  <si>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</si>
  <si>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</si>
  <si>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</si>
  <si>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</si>
  <si>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</si>
  <si>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</si>
  <si>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</si>
  <si>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</si>
  <si>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</si>
  <si>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</si>
  <si>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</si>
  <si>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</si>
  <si>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</si>
  <si>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</si>
  <si>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</si>
  <si>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</si>
  <si>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</si>
  <si>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</si>
  <si>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</si>
  <si>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</si>
  <si>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</si>
  <si>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</si>
  <si>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</si>
  <si>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</si>
  <si>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</si>
  <si>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</si>
  <si>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</si>
  <si>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</si>
  <si>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</si>
  <si>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</si>
  <si>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</si>
  <si>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</si>
  <si>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</si>
  <si>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</si>
  <si>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</si>
  <si>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</si>
  <si>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</si>
  <si>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</si>
  <si>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</si>
  <si>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</si>
  <si>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</si>
  <si>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</si>
  <si>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</si>
  <si>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</si>
  <si>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</si>
  <si>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</si>
  <si>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</si>
  <si>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</si>
  <si>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</si>
  <si>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</si>
  <si>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</si>
  <si>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</si>
  <si>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</si>
  <si>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</si>
  <si>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</si>
  <si>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</si>
  <si>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</si>
  <si>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</si>
  <si>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</si>
  <si>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</si>
  <si>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</si>
  <si>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</si>
  <si>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</si>
  <si>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</si>
  <si>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</si>
  <si>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</si>
  <si>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</si>
  <si>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</si>
  <si>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</si>
  <si>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</si>
  <si>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</si>
  <si>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</si>
  <si>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</si>
  <si>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</si>
  <si>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</si>
  <si>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</si>
  <si>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</si>
  <si>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</si>
  <si>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</si>
  <si>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</si>
  <si>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</si>
  <si>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</si>
  <si>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</si>
  <si>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</si>
  <si>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</si>
  <si>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</si>
  <si>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</si>
  <si>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</si>
  <si>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</si>
  <si>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</si>
  <si>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</si>
  <si>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</si>
  <si>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</si>
  <si>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</si>
  <si>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</si>
  <si>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</si>
  <si>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</si>
  <si>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</si>
  <si>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</si>
  <si>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</si>
  <si>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</si>
  <si>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</si>
  <si>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</si>
  <si>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</si>
  <si>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</si>
  <si>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</si>
  <si>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</si>
  <si>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</si>
  <si>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</si>
  <si>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</si>
  <si>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</si>
  <si>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</si>
  <si>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</si>
  <si>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</si>
  <si>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</si>
  <si>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</si>
  <si>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</si>
  <si>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</si>
  <si>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</si>
  <si>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</si>
  <si>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</si>
  <si>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</si>
  <si>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</si>
  <si>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</si>
  <si>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</si>
  <si>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</si>
  <si>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</si>
  <si>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</si>
  <si>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</si>
  <si>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</si>
  <si>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</si>
  <si>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</si>
  <si>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</si>
  <si>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</si>
  <si>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</si>
  <si>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</si>
  <si>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</si>
  <si>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</si>
  <si>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</si>
  <si>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</si>
  <si>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</si>
  <si>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</si>
  <si>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</si>
  <si>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</si>
  <si>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</si>
  <si>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</si>
  <si>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</si>
  <si>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</si>
  <si>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</si>
  <si>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</si>
  <si>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</si>
  <si>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</si>
  <si>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</si>
  <si>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</si>
  <si>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</si>
  <si>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</si>
  <si>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</si>
  <si>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</si>
  <si>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</si>
  <si>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</si>
  <si>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</si>
  <si>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</si>
  <si>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</si>
  <si>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</si>
  <si>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</si>
  <si>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</si>
  <si>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</si>
  <si>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</si>
  <si>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</si>
  <si>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</si>
  <si>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</si>
  <si>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</si>
  <si>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</si>
  <si>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</si>
  <si>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</si>
  <si>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</si>
  <si>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</si>
  <si>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</si>
  <si>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</si>
  <si>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</si>
  <si>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</si>
  <si>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</si>
  <si>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</si>
  <si>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</si>
  <si>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</si>
  <si>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</si>
  <si>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</si>
  <si>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</si>
  <si>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</si>
  <si>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</si>
  <si>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</si>
  <si>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</si>
  <si>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</si>
  <si>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</si>
  <si>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</si>
  <si>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</si>
  <si>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</si>
  <si>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</si>
  <si>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</si>
  <si>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</si>
  <si>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</si>
  <si>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</si>
  <si>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</si>
  <si>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</si>
  <si>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</si>
  <si>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</si>
  <si>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</si>
  <si>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</si>
  <si>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</si>
  <si>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</si>
  <si>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</si>
  <si>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</si>
  <si>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</si>
  <si>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</si>
  <si>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</si>
  <si>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</si>
  <si>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</si>
  <si>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</si>
  <si>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</si>
  <si>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</si>
  <si>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</si>
  <si>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</si>
  <si>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</si>
  <si>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</si>
  <si>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</si>
  <si>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</si>
  <si>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</si>
  <si>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</si>
  <si>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</si>
  <si>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</si>
  <si>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</si>
  <si>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</si>
  <si>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</si>
  <si>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</si>
  <si>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</si>
  <si>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</si>
  <si>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</si>
  <si>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</si>
  <si>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</si>
  <si>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</si>
  <si>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</si>
  <si>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</si>
  <si>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</si>
  <si>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</si>
  <si>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</si>
  <si>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</si>
  <si>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</si>
  <si>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</si>
  <si>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</si>
  <si>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</si>
  <si>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</si>
  <si>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</si>
  <si>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</si>
  <si>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</si>
  <si>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</si>
  <si>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</si>
  <si>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</si>
  <si>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</si>
  <si>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</si>
  <si>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</si>
  <si>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</si>
  <si>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</si>
  <si>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</si>
  <si>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</si>
  <si>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</si>
  <si>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</si>
  <si>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</si>
  <si>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</si>
  <si>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</si>
  <si>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</si>
  <si>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</si>
  <si>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</si>
  <si>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</si>
  <si>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</si>
  <si>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</si>
  <si>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</si>
  <si>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</si>
  <si>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</si>
  <si>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</si>
  <si>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</si>
  <si>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</si>
  <si>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</si>
  <si>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</si>
  <si>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</si>
  <si>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</si>
  <si>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</si>
  <si>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</si>
  <si>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</si>
  <si>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</si>
  <si>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</si>
  <si>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</si>
  <si>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</si>
  <si>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</si>
  <si>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</si>
  <si>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</si>
  <si>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</si>
  <si>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</si>
  <si>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</si>
  <si>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</si>
  <si>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</si>
  <si>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</si>
  <si>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</si>
  <si>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</si>
  <si>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</si>
  <si>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</si>
  <si>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</si>
  <si>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</si>
  <si>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</si>
  <si>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</si>
  <si>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</si>
  <si>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</si>
  <si>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</si>
  <si>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</si>
  <si>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</si>
  <si>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</si>
  <si>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</si>
  <si>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</si>
  <si>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</si>
  <si>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</si>
  <si>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</si>
  <si>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</si>
  <si>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</si>
  <si>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</si>
  <si>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</si>
  <si>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</si>
  <si>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</si>
  <si>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</si>
  <si>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</si>
  <si>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</si>
  <si>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</si>
  <si>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</si>
  <si>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</si>
  <si>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</si>
  <si>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</si>
  <si>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</si>
  <si>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</si>
  <si>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</si>
  <si>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</si>
  <si>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</si>
  <si>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</si>
  <si>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</si>
  <si>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</si>
  <si>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</si>
  <si>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</si>
  <si>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</si>
  <si>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</si>
  <si>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</si>
  <si>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</si>
  <si>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</si>
  <si>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</si>
  <si>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</si>
  <si>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</si>
  <si>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</si>
  <si>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</si>
  <si>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</si>
  <si>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</si>
  <si>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</si>
  <si>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</si>
  <si>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</si>
  <si>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</si>
  <si>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</si>
  <si>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</si>
  <si>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</si>
  <si>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</si>
  <si>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</si>
  <si>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</si>
  <si>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</si>
  <si>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</si>
  <si>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</si>
  <si>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</si>
  <si>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</si>
  <si>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</si>
  <si>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</si>
  <si>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</si>
  <si>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</si>
  <si>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</si>
  <si>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</si>
  <si>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</si>
  <si>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</si>
  <si>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</si>
  <si>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</si>
  <si>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</si>
  <si>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</si>
  <si>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</si>
  <si>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</si>
  <si>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</si>
  <si>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</si>
  <si>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</si>
  <si>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</si>
  <si>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</si>
  <si>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</si>
  <si>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</si>
  <si>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</si>
  <si>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</si>
  <si>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</si>
  <si>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</si>
  <si>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</si>
  <si>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</si>
  <si>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</si>
  <si>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</si>
  <si>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</si>
  <si>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</si>
  <si>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</si>
  <si>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</si>
  <si>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</si>
  <si>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</si>
  <si>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</si>
  <si>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</si>
  <si>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</si>
  <si>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</si>
  <si>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</si>
  <si>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</si>
  <si>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</si>
  <si>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</si>
  <si>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</si>
  <si>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</si>
  <si>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</si>
  <si>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</si>
  <si>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</si>
  <si>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</si>
  <si>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</si>
  <si>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</si>
  <si>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</si>
  <si>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</si>
  <si>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</si>
  <si>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</si>
  <si>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</si>
  <si>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</si>
  <si>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</si>
  <si>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</si>
  <si>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</si>
  <si>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</si>
  <si>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</si>
  <si>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</si>
  <si>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</si>
  <si>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</si>
  <si>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</si>
  <si>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</si>
  <si>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</si>
  <si>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</si>
  <si>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</si>
  <si>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</si>
  <si>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</si>
  <si>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</si>
  <si>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</si>
  <si>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</si>
  <si>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</si>
  <si>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</si>
  <si>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</si>
  <si>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</si>
  <si>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</si>
  <si>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</si>
  <si>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</si>
  <si>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</si>
  <si>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</si>
  <si>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</si>
  <si>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</si>
  <si>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</si>
  <si>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</si>
  <si>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</si>
  <si>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</si>
  <si>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</si>
  <si>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</si>
  <si>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</si>
  <si>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</si>
  <si>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</si>
  <si>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</si>
  <si>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</si>
  <si>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</si>
  <si>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</si>
  <si>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</si>
  <si>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</si>
  <si>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</si>
  <si>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</si>
  <si>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</si>
  <si>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</si>
  <si>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</si>
  <si>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</si>
  <si>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</si>
  <si>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</si>
  <si>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</si>
  <si>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</si>
  <si>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</si>
  <si>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</si>
  <si>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</si>
  <si>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</si>
  <si>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</si>
  <si>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</si>
  <si>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</si>
  <si>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</si>
  <si>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</si>
  <si>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</si>
  <si>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</si>
  <si>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</si>
  <si>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</si>
  <si>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</si>
  <si>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</si>
  <si>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</si>
  <si>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</si>
  <si>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</si>
  <si>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</si>
  <si>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</si>
  <si>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</si>
  <si>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</si>
  <si>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</si>
  <si>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</si>
  <si>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</si>
  <si>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</si>
  <si>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</si>
  <si>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</si>
  <si>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</si>
  <si>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</si>
  <si>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</si>
  <si>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</si>
  <si>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</si>
  <si>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</si>
  <si>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</si>
  <si>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</si>
  <si>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</si>
  <si>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</si>
  <si>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</si>
  <si>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</si>
  <si>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</si>
  <si>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</si>
  <si>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</si>
  <si>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</si>
  <si>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</si>
  <si>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</si>
  <si>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</si>
  <si>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</si>
  <si>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</si>
  <si>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</si>
  <si>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</si>
  <si>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</si>
  <si>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</si>
  <si>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</si>
  <si>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</si>
  <si>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</si>
  <si>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</si>
  <si>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</si>
  <si>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</si>
  <si>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</si>
  <si>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</si>
  <si>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</si>
  <si>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</si>
  <si>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</si>
  <si>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</si>
  <si>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</si>
  <si>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</si>
  <si>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</si>
  <si>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</si>
  <si>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</si>
  <si>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</si>
  <si>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</si>
  <si>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</si>
  <si>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</si>
  <si>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</si>
  <si>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</si>
  <si>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</si>
  <si>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</si>
  <si>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</si>
  <si>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</si>
  <si>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</si>
  <si>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</si>
  <si>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</si>
  <si>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</si>
  <si>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</si>
  <si>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</si>
  <si>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</si>
  <si>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</si>
  <si>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</si>
  <si>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</si>
  <si>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</si>
  <si>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</si>
  <si>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</si>
  <si>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</si>
  <si>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</si>
  <si>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</si>
  <si>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</si>
  <si>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</si>
  <si>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</si>
  <si>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</si>
  <si>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</si>
  <si>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</si>
  <si>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</si>
  <si>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</si>
  <si>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</si>
  <si>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</si>
  <si>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</si>
  <si>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</si>
  <si>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</si>
  <si>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</si>
  <si>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</si>
  <si>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</si>
  <si>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</si>
  <si>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</si>
  <si>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</si>
  <si>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</si>
  <si>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</si>
  <si>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</si>
  <si>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</si>
  <si>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</si>
  <si>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</si>
  <si>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</si>
  <si>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</si>
  <si>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</si>
  <si>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</si>
  <si>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</si>
  <si>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</si>
  <si>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</si>
  <si>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</si>
  <si>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</si>
  <si>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</si>
  <si>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</si>
  <si>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</si>
  <si>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</si>
  <si>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</si>
  <si>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</si>
  <si>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</si>
  <si>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</si>
  <si>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</si>
  <si>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</si>
  <si>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</si>
  <si>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</si>
  <si>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</si>
  <si>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</si>
  <si>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</si>
  <si>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</si>
  <si>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</si>
  <si>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</si>
  <si>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</si>
  <si>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</si>
  <si>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</si>
  <si>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</si>
  <si>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</si>
  <si>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</si>
  <si>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</si>
  <si>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</si>
  <si>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</si>
  <si>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</si>
  <si>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</si>
  <si>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</si>
  <si>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</si>
  <si>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</si>
  <si>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</si>
  <si>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</si>
  <si>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</si>
  <si>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</si>
  <si>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</si>
  <si>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</si>
  <si>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</si>
  <si>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</si>
  <si>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</si>
  <si>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</si>
  <si>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</si>
  <si>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</si>
  <si>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</si>
  <si>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</si>
  <si>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</si>
  <si>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</si>
  <si>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</si>
  <si>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</si>
  <si>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</si>
  <si>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</si>
  <si>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</si>
  <si>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</si>
  <si>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</si>
  <si>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</si>
  <si>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</si>
  <si>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</si>
  <si>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</si>
  <si>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</si>
  <si>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</si>
  <si>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</si>
  <si>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</si>
  <si>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</si>
  <si>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</si>
  <si>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</si>
  <si>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</si>
  <si>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</si>
  <si>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</si>
  <si>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</si>
  <si>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</si>
  <si>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</si>
  <si>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</si>
  <si>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</si>
  <si>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</si>
  <si>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</si>
  <si>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</si>
  <si>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</si>
  <si>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</si>
  <si>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</si>
  <si>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</si>
  <si>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</si>
  <si>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</si>
  <si>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</si>
  <si>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</si>
  <si>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</si>
  <si>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</si>
  <si>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</si>
  <si>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</si>
  <si>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</si>
  <si>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</si>
  <si>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</si>
  <si>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</si>
  <si>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</si>
  <si>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</si>
  <si>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</si>
  <si>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</si>
  <si>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</si>
  <si>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</si>
  <si>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</si>
  <si>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</si>
  <si>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</si>
  <si>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</si>
  <si>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</si>
  <si>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</si>
  <si>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</si>
  <si>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</si>
  <si>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</si>
  <si>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</si>
  <si>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</si>
  <si>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</si>
  <si>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</si>
  <si>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</si>
  <si>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</si>
  <si>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</si>
  <si>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</si>
  <si>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</si>
  <si>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</si>
  <si>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</si>
  <si>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</si>
  <si>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</si>
  <si>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</si>
  <si>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</si>
  <si>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</si>
  <si>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</si>
  <si>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</si>
  <si>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</si>
  <si>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</si>
  <si>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</si>
  <si>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</si>
  <si>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</si>
  <si>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</si>
  <si>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</si>
  <si>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</si>
  <si>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</si>
  <si>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</si>
  <si>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</si>
  <si>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</si>
  <si>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</si>
  <si>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</si>
  <si>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</si>
  <si>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</si>
  <si>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</si>
  <si>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</si>
  <si>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</si>
  <si>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</si>
  <si>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</si>
  <si>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</si>
  <si>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</si>
  <si>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</si>
  <si>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</si>
  <si>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</si>
  <si>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</si>
  <si>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</si>
  <si>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</si>
  <si>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</si>
  <si>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</si>
  <si>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</si>
  <si>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</si>
  <si>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</si>
  <si>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</si>
  <si>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</si>
  <si>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</si>
  <si>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</si>
  <si>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</si>
  <si>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</si>
  <si>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</si>
  <si>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</si>
  <si>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</si>
  <si>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</si>
  <si>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</si>
  <si>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</si>
  <si>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</si>
  <si>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</si>
  <si>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</si>
  <si>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</si>
  <si>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</si>
  <si>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</si>
  <si>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</si>
  <si>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</si>
  <si>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</si>
  <si>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</si>
  <si>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</si>
  <si>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</si>
  <si>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</si>
  <si>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</si>
  <si>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</si>
  <si>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</si>
  <si>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</si>
  <si>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</si>
  <si>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</si>
  <si>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</si>
  <si>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</si>
  <si>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</si>
  <si>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</si>
  <si>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</si>
  <si>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</si>
  <si>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</si>
  <si>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</si>
  <si>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</si>
  <si>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</si>
  <si>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</si>
  <si>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</si>
  <si>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#63010062 CALIBRATE</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</si>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</sst>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6"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7">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xf numFmtId="9" fontId="61" fillId="0" borderId="0" applyFont="0" applyFill="0" applyBorder="0" applyAlignment="0" applyProtection="0"/>
    <xf numFmtId="0" fontId="62" fillId="0" borderId="0"/>
  </cellStyleXfs>
  <cellXfs count="607">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62" fillId="0" borderId="0" xfId="6"/>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2" xfId="6" applyFont="1" applyFill="1" applyBorder="1" applyAlignment="1">
      <alignment horizontal="left" vertical="center" wrapText="1"/>
    </xf>
    <xf numFmtId="0" fontId="62" fillId="0" borderId="2" xfId="6" applyBorder="1"/>
    <xf numFmtId="0" fontId="64" fillId="15" borderId="2" xfId="6" applyFont="1" applyFill="1" applyBorder="1" applyAlignment="1">
      <alignment vertical="center" wrapText="1"/>
    </xf>
    <xf numFmtId="14" fontId="64" fillId="15" borderId="2" xfId="6" applyNumberFormat="1" applyFont="1" applyFill="1" applyBorder="1" applyAlignment="1">
      <alignment horizontal="left" vertical="center" wrapText="1"/>
    </xf>
    <xf numFmtId="0" fontId="64" fillId="0" borderId="2" xfId="6" applyFont="1" applyBorder="1" applyAlignment="1">
      <alignment horizontal="left" vertical="center"/>
    </xf>
    <xf numFmtId="171" fontId="1" fillId="0" borderId="0" xfId="5" applyNumberFormat="1" applyFont="1"/>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1" fontId="64" fillId="15" borderId="2" xfId="6" applyNumberFormat="1" applyFont="1" applyFill="1" applyBorder="1" applyAlignment="1">
      <alignment horizontal="left" vertical="center" wrapText="1"/>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64" fillId="15" borderId="2" xfId="6" applyFont="1" applyFill="1" applyBorder="1" applyAlignment="1">
      <alignment horizontal="left" vertical="center" wrapText="1"/>
    </xf>
    <xf numFmtId="0" fontId="64" fillId="15" borderId="6" xfId="6" applyFont="1" applyFill="1" applyBorder="1" applyAlignment="1">
      <alignment horizontal="left" vertical="center" wrapText="1"/>
    </xf>
    <xf numFmtId="0" fontId="64" fillId="15" borderId="7" xfId="6" applyFont="1" applyFill="1" applyBorder="1" applyAlignment="1">
      <alignment horizontal="left" vertical="center" wrapText="1"/>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0" fontId="64" fillId="15" borderId="2" xfId="0" applyFont="1" applyFill="1" applyBorder="1" applyAlignment="1">
      <alignment horizontal="left" vertical="center" wrapText="1"/>
    </xf>
    <xf numFmtId="0" fontId="63" fillId="0" borderId="0" xfId="6" applyFont="1" applyAlignment="1">
      <alignment horizontal="center" vertical="center" wrapText="1"/>
    </xf>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58" fillId="16" borderId="2" xfId="6" applyFont="1" applyFill="1" applyBorder="1" applyAlignment="1">
      <alignment horizontal="left" vertical="center" wrapText="1"/>
    </xf>
  </cellXfs>
  <cellStyles count="7">
    <cellStyle name="Currency" xfId="4" builtinId="4"/>
    <cellStyle name="Explanatory Text" xfId="3" builtinId="53"/>
    <cellStyle name="Hyperlink" xfId="1" builtinId="8"/>
    <cellStyle name="Normal" xfId="0" builtinId="0"/>
    <cellStyle name="Normal 2" xfId="2" xr:uid="{00000000-0005-0000-0000-000002000000}"/>
    <cellStyle name="Normal 3" xfId="6" xr:uid="{B468356A-0DBE-4575-907C-39EA2EBDD48E}"/>
    <cellStyle name="Percent" xfId="5" builtinId="5"/>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1.xml"/><Relationship Id="rId3" Type="http://schemas.openxmlformats.org/officeDocument/2006/relationships/worksheet" Target="worksheets/sheet1.xml"/><Relationship Id="rId21" Type="http://schemas.openxmlformats.org/officeDocument/2006/relationships/theme" Target="theme/theme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alcChain" Target="calcChain.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microsoft.com/office/2017/10/relationships/person" Target="persons/person.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haredStrings" Target="sharedString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onnections" Target="connections.xml"/><Relationship Id="rId27"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76</c:v>
                </c:pt>
                <c:pt idx="1">
                  <c:v>180</c:v>
                </c:pt>
                <c:pt idx="2">
                  <c:v>1020</c:v>
                </c:pt>
                <c:pt idx="3">
                  <c:v>2204</c:v>
                </c:pt>
                <c:pt idx="4">
                  <c:v>3244</c:v>
                </c:pt>
                <c:pt idx="5">
                  <c:v>11420</c:v>
                </c:pt>
                <c:pt idx="6">
                  <c:v>18008</c:v>
                </c:pt>
                <c:pt idx="7">
                  <c:v>30374</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1429381</c:v>
                </c:pt>
                <c:pt idx="1">
                  <c:v>582583</c:v>
                </c:pt>
                <c:pt idx="2">
                  <c:v>136243</c:v>
                </c:pt>
                <c:pt idx="3">
                  <c:v>46338.333333333336</c:v>
                </c:pt>
                <c:pt idx="4">
                  <c:v>12191</c:v>
                </c:pt>
                <c:pt idx="5">
                  <c:v>5583.666666666667</c:v>
                </c:pt>
                <c:pt idx="6">
                  <c:v>169</c:v>
                </c:pt>
                <c:pt idx="7">
                  <c:v>35</c:v>
                </c:pt>
                <c:pt idx="8">
                  <c:v>5.333333333333333</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1429381</c:v>
                </c:pt>
                <c:pt idx="1">
                  <c:v>582583</c:v>
                </c:pt>
                <c:pt idx="2">
                  <c:v>136243</c:v>
                </c:pt>
                <c:pt idx="3">
                  <c:v>46338.333333333336</c:v>
                </c:pt>
                <c:pt idx="4">
                  <c:v>12191</c:v>
                </c:pt>
                <c:pt idx="5">
                  <c:v>5583.666666666667</c:v>
                </c:pt>
                <c:pt idx="6">
                  <c:v>169</c:v>
                </c:pt>
                <c:pt idx="7">
                  <c:v>35</c:v>
                </c:pt>
                <c:pt idx="8">
                  <c:v>5.333333333333333</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1429381</c:v>
                </c:pt>
                <c:pt idx="1">
                  <c:v>582583</c:v>
                </c:pt>
                <c:pt idx="2">
                  <c:v>136243</c:v>
                </c:pt>
                <c:pt idx="3">
                  <c:v>46338.333333333336</c:v>
                </c:pt>
                <c:pt idx="4">
                  <c:v>12191</c:v>
                </c:pt>
                <c:pt idx="5">
                  <c:v>5583.666666666667</c:v>
                </c:pt>
                <c:pt idx="6">
                  <c:v>169</c:v>
                </c:pt>
                <c:pt idx="7">
                  <c:v>35</c:v>
                </c:pt>
                <c:pt idx="8">
                  <c:v>5.333333333333333</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1429381</c:v>
                </c:pt>
                <c:pt idx="1">
                  <c:v>582583</c:v>
                </c:pt>
                <c:pt idx="2">
                  <c:v>136243</c:v>
                </c:pt>
                <c:pt idx="3">
                  <c:v>46338.333333333336</c:v>
                </c:pt>
                <c:pt idx="4">
                  <c:v>12191</c:v>
                </c:pt>
                <c:pt idx="5">
                  <c:v>5583.666666666667</c:v>
                </c:pt>
                <c:pt idx="6">
                  <c:v>169</c:v>
                </c:pt>
                <c:pt idx="7">
                  <c:v>35</c:v>
                </c:pt>
                <c:pt idx="8">
                  <c:v>5.333333333333333</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1429381</c:v>
                </c:pt>
                <c:pt idx="1">
                  <c:v>582583</c:v>
                </c:pt>
                <c:pt idx="2">
                  <c:v>136243</c:v>
                </c:pt>
                <c:pt idx="3">
                  <c:v>46338.333333333336</c:v>
                </c:pt>
                <c:pt idx="4">
                  <c:v>12191</c:v>
                </c:pt>
                <c:pt idx="5">
                  <c:v>5583.666666666667</c:v>
                </c:pt>
                <c:pt idx="6">
                  <c:v>169</c:v>
                </c:pt>
                <c:pt idx="7">
                  <c:v>35</c:v>
                </c:pt>
                <c:pt idx="8">
                  <c:v>5.333333333333333</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1429381</c:v>
                </c:pt>
                <c:pt idx="1">
                  <c:v>582583</c:v>
                </c:pt>
                <c:pt idx="2">
                  <c:v>136243</c:v>
                </c:pt>
                <c:pt idx="3">
                  <c:v>46338.333333333336</c:v>
                </c:pt>
                <c:pt idx="4">
                  <c:v>12191</c:v>
                </c:pt>
                <c:pt idx="5">
                  <c:v>5583.666666666667</c:v>
                </c:pt>
                <c:pt idx="6">
                  <c:v>169</c:v>
                </c:pt>
                <c:pt idx="7">
                  <c:v>35</c:v>
                </c:pt>
                <c:pt idx="8">
                  <c:v>5.333333333333333</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1429381</c:v>
                </c:pt>
                <c:pt idx="1">
                  <c:v>582583</c:v>
                </c:pt>
                <c:pt idx="2">
                  <c:v>136243</c:v>
                </c:pt>
                <c:pt idx="3">
                  <c:v>46338.333333333336</c:v>
                </c:pt>
                <c:pt idx="4">
                  <c:v>12191</c:v>
                </c:pt>
                <c:pt idx="5">
                  <c:v>5583.666666666667</c:v>
                </c:pt>
                <c:pt idx="6">
                  <c:v>169</c:v>
                </c:pt>
                <c:pt idx="7">
                  <c:v>35</c:v>
                </c:pt>
                <c:pt idx="8">
                  <c:v>5.333333333333333</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1429381</c:v>
                </c:pt>
                <c:pt idx="1">
                  <c:v>582583</c:v>
                </c:pt>
                <c:pt idx="2">
                  <c:v>136243</c:v>
                </c:pt>
                <c:pt idx="3">
                  <c:v>46338.333333333336</c:v>
                </c:pt>
                <c:pt idx="4">
                  <c:v>12191</c:v>
                </c:pt>
                <c:pt idx="5">
                  <c:v>5583.666666666667</c:v>
                </c:pt>
                <c:pt idx="6">
                  <c:v>169</c:v>
                </c:pt>
                <c:pt idx="7">
                  <c:v>35</c:v>
                </c:pt>
                <c:pt idx="8">
                  <c:v>5.333333333333333</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63010062</v>
      </c>
      <c r="H4" s="154"/>
    </row>
    <row r="5" spans="1:9" x14ac:dyDescent="0.35">
      <c r="A5" t="s">
        <v>710</v>
      </c>
      <c r="B5">
        <v>1072</v>
      </c>
      <c r="H5" s="154"/>
      <c r="I5" s="154"/>
    </row>
    <row r="6" spans="1:9" x14ac:dyDescent="0.35">
      <c r="A6" t="s">
        <v>711</v>
      </c>
      <c r="B6">
        <v>0</v>
      </c>
      <c r="H6" s="154"/>
      <c r="I6" s="154"/>
    </row>
    <row r="7" spans="1:9" x14ac:dyDescent="0.35">
      <c r="A7" t="s">
        <v>712</v>
      </c>
      <c r="B7" t="s">
        <v>1010</v>
      </c>
      <c r="H7" s="154"/>
      <c r="I7" s="154"/>
    </row>
    <row r="8" spans="1:9" x14ac:dyDescent="0.35">
      <c r="A8" t="s">
        <v>713</v>
      </c>
      <c r="B8">
        <v>76</v>
      </c>
      <c r="H8" s="154"/>
      <c r="I8" s="154"/>
    </row>
    <row r="9" spans="1:9" x14ac:dyDescent="0.35">
      <c r="A9" t="s">
        <v>714</v>
      </c>
      <c r="B9">
        <v>180</v>
      </c>
      <c r="H9" s="154"/>
      <c r="I9" s="154"/>
    </row>
    <row r="10" spans="1:9" x14ac:dyDescent="0.35">
      <c r="A10" t="s">
        <v>715</v>
      </c>
      <c r="B10">
        <v>1020</v>
      </c>
      <c r="H10" s="154"/>
      <c r="I10" s="154"/>
    </row>
    <row r="11" spans="1:9" x14ac:dyDescent="0.35">
      <c r="A11" t="s">
        <v>716</v>
      </c>
      <c r="B11">
        <v>2204</v>
      </c>
      <c r="H11" s="154"/>
      <c r="I11" s="154"/>
    </row>
    <row r="12" spans="1:9" x14ac:dyDescent="0.35">
      <c r="A12" t="s">
        <v>717</v>
      </c>
      <c r="B12">
        <v>3244</v>
      </c>
      <c r="H12" s="154"/>
      <c r="I12" s="154"/>
    </row>
    <row r="13" spans="1:9" x14ac:dyDescent="0.35">
      <c r="A13" t="s">
        <v>718</v>
      </c>
      <c r="B13">
        <v>11420</v>
      </c>
      <c r="H13" s="154"/>
      <c r="I13" s="154"/>
    </row>
    <row r="14" spans="1:9" x14ac:dyDescent="0.35">
      <c r="A14" t="s">
        <v>719</v>
      </c>
      <c r="B14">
        <v>18008</v>
      </c>
      <c r="H14" s="154"/>
      <c r="I14" s="154"/>
    </row>
    <row r="15" spans="1:9" x14ac:dyDescent="0.35">
      <c r="A15" t="s">
        <v>720</v>
      </c>
      <c r="B15">
        <v>30374</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11060</v>
      </c>
      <c r="H21" s="154"/>
      <c r="I21" s="154"/>
    </row>
    <row r="22" spans="1:9" x14ac:dyDescent="0.35">
      <c r="A22" t="s">
        <v>727</v>
      </c>
      <c r="B22">
        <v>98.24</v>
      </c>
      <c r="H22" s="154"/>
      <c r="I22" s="154"/>
    </row>
    <row r="23" spans="1:9" x14ac:dyDescent="0.35">
      <c r="A23" t="s">
        <v>728</v>
      </c>
      <c r="B23">
        <v>50</v>
      </c>
      <c r="H23" s="154"/>
      <c r="I23" s="154"/>
    </row>
    <row r="24" spans="1:9" x14ac:dyDescent="0.35">
      <c r="A24" t="s">
        <v>729</v>
      </c>
      <c r="B24">
        <v>1779359702</v>
      </c>
      <c r="H24" s="154"/>
      <c r="I24" s="154"/>
    </row>
    <row r="25" spans="1:9" x14ac:dyDescent="0.35">
      <c r="A25" t="s">
        <v>730</v>
      </c>
      <c r="B25">
        <v>1810895702</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8</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0</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40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76</v>
      </c>
      <c r="H52" s="154"/>
      <c r="I52" s="154"/>
    </row>
    <row r="53" spans="1:9" x14ac:dyDescent="0.35">
      <c r="A53" t="s">
        <v>758</v>
      </c>
      <c r="B53">
        <v>122</v>
      </c>
      <c r="H53" s="154"/>
      <c r="I53" s="154"/>
    </row>
    <row r="54" spans="1:9" x14ac:dyDescent="0.35">
      <c r="A54" t="s">
        <v>759</v>
      </c>
      <c r="B54">
        <v>180</v>
      </c>
      <c r="H54" s="154"/>
      <c r="I54" s="154"/>
    </row>
    <row r="55" spans="1:9" x14ac:dyDescent="0.35">
      <c r="A55" t="s">
        <v>760</v>
      </c>
      <c r="B55">
        <v>244</v>
      </c>
      <c r="H55" s="154"/>
      <c r="I55" s="154"/>
    </row>
    <row r="56" spans="1:9" x14ac:dyDescent="0.35">
      <c r="A56" t="s">
        <v>761</v>
      </c>
      <c r="B56">
        <v>322</v>
      </c>
      <c r="H56" s="154"/>
      <c r="I56" s="154"/>
    </row>
    <row r="57" spans="1:9" x14ac:dyDescent="0.35">
      <c r="A57" t="s">
        <v>762</v>
      </c>
      <c r="B57">
        <v>416</v>
      </c>
      <c r="H57" s="154"/>
      <c r="I57" s="154"/>
    </row>
    <row r="58" spans="1:9" x14ac:dyDescent="0.35">
      <c r="A58" t="s">
        <v>763</v>
      </c>
      <c r="B58">
        <v>516</v>
      </c>
      <c r="H58" s="154"/>
    </row>
    <row r="59" spans="1:9" x14ac:dyDescent="0.35">
      <c r="A59" t="s">
        <v>764</v>
      </c>
      <c r="B59">
        <v>630</v>
      </c>
      <c r="H59" s="154"/>
      <c r="I59" s="154"/>
    </row>
    <row r="60" spans="1:9" x14ac:dyDescent="0.35">
      <c r="A60" t="s">
        <v>765</v>
      </c>
      <c r="B60">
        <v>758</v>
      </c>
      <c r="H60" s="154"/>
      <c r="I60" s="154"/>
    </row>
    <row r="61" spans="1:9" x14ac:dyDescent="0.35">
      <c r="A61" t="s">
        <v>766</v>
      </c>
      <c r="B61">
        <v>888</v>
      </c>
      <c r="H61" s="154"/>
      <c r="I61" s="154"/>
    </row>
    <row r="62" spans="1:9" x14ac:dyDescent="0.35">
      <c r="A62" t="s">
        <v>767</v>
      </c>
      <c r="B62">
        <v>1020</v>
      </c>
      <c r="H62" s="154"/>
      <c r="I62" s="154"/>
    </row>
    <row r="63" spans="1:9" x14ac:dyDescent="0.35">
      <c r="A63" t="s">
        <v>768</v>
      </c>
      <c r="B63">
        <v>1160</v>
      </c>
      <c r="H63" s="154"/>
      <c r="I63" s="154"/>
    </row>
    <row r="64" spans="1:9" x14ac:dyDescent="0.35">
      <c r="A64" t="s">
        <v>769</v>
      </c>
      <c r="B64">
        <v>1304</v>
      </c>
      <c r="H64" s="154"/>
      <c r="I64" s="154"/>
    </row>
    <row r="65" spans="1:9" x14ac:dyDescent="0.35">
      <c r="A65" t="s">
        <v>770</v>
      </c>
      <c r="B65">
        <v>1448</v>
      </c>
      <c r="H65" s="154"/>
      <c r="I65" s="154"/>
    </row>
    <row r="66" spans="1:9" x14ac:dyDescent="0.35">
      <c r="A66" t="s">
        <v>771</v>
      </c>
      <c r="B66">
        <v>1594</v>
      </c>
      <c r="H66" s="154"/>
      <c r="I66" s="154"/>
    </row>
    <row r="67" spans="1:9" x14ac:dyDescent="0.35">
      <c r="A67" t="s">
        <v>772</v>
      </c>
      <c r="B67">
        <v>1760</v>
      </c>
      <c r="H67" s="154"/>
      <c r="I67" s="154"/>
    </row>
    <row r="68" spans="1:9" x14ac:dyDescent="0.35">
      <c r="A68" t="s">
        <v>773</v>
      </c>
      <c r="B68">
        <v>1964</v>
      </c>
      <c r="H68" s="154"/>
      <c r="I68" s="154"/>
    </row>
    <row r="69" spans="1:9" x14ac:dyDescent="0.35">
      <c r="A69" t="s">
        <v>774</v>
      </c>
      <c r="B69">
        <v>2204</v>
      </c>
      <c r="H69" s="154"/>
      <c r="I69" s="154"/>
    </row>
    <row r="70" spans="1:9" x14ac:dyDescent="0.35">
      <c r="A70" t="s">
        <v>775</v>
      </c>
      <c r="B70">
        <v>2458</v>
      </c>
      <c r="H70" s="154"/>
      <c r="I70" s="154"/>
    </row>
    <row r="71" spans="1:9" x14ac:dyDescent="0.35">
      <c r="A71" t="s">
        <v>776</v>
      </c>
      <c r="B71">
        <v>2698</v>
      </c>
      <c r="H71" s="154"/>
      <c r="I71" s="154"/>
    </row>
    <row r="72" spans="1:9" x14ac:dyDescent="0.35">
      <c r="A72" t="s">
        <v>777</v>
      </c>
      <c r="B72">
        <v>3006</v>
      </c>
      <c r="H72" s="154"/>
      <c r="I72" s="154"/>
    </row>
    <row r="73" spans="1:9" x14ac:dyDescent="0.35">
      <c r="A73" t="s">
        <v>778</v>
      </c>
      <c r="B73">
        <v>3244</v>
      </c>
      <c r="H73" s="154"/>
      <c r="I73" s="154"/>
    </row>
    <row r="74" spans="1:9" x14ac:dyDescent="0.35">
      <c r="A74" t="s">
        <v>779</v>
      </c>
      <c r="B74">
        <v>3572</v>
      </c>
      <c r="H74" s="154"/>
      <c r="I74" s="154"/>
    </row>
    <row r="75" spans="1:9" x14ac:dyDescent="0.35">
      <c r="A75" t="s">
        <v>780</v>
      </c>
      <c r="B75">
        <v>3932</v>
      </c>
      <c r="H75" s="154"/>
    </row>
    <row r="76" spans="1:9" x14ac:dyDescent="0.35">
      <c r="A76" t="s">
        <v>781</v>
      </c>
      <c r="B76">
        <v>4228</v>
      </c>
      <c r="H76" s="154"/>
      <c r="I76" s="154"/>
    </row>
    <row r="77" spans="1:9" x14ac:dyDescent="0.35">
      <c r="A77" t="s">
        <v>782</v>
      </c>
      <c r="B77">
        <v>4602</v>
      </c>
      <c r="H77" s="154"/>
    </row>
    <row r="78" spans="1:9" x14ac:dyDescent="0.35">
      <c r="A78" t="s">
        <v>783</v>
      </c>
      <c r="B78">
        <v>5124</v>
      </c>
      <c r="H78" s="154"/>
      <c r="I78" s="154"/>
    </row>
    <row r="79" spans="1:9" x14ac:dyDescent="0.35">
      <c r="A79" t="s">
        <v>784</v>
      </c>
      <c r="B79">
        <v>11420</v>
      </c>
      <c r="H79" s="154"/>
      <c r="I79" s="154"/>
    </row>
    <row r="80" spans="1:9" x14ac:dyDescent="0.35">
      <c r="A80" t="s">
        <v>785</v>
      </c>
      <c r="B80">
        <v>18008</v>
      </c>
      <c r="H80" s="154"/>
      <c r="I80" s="154"/>
    </row>
    <row r="81" spans="1:9" x14ac:dyDescent="0.35">
      <c r="A81" t="s">
        <v>786</v>
      </c>
      <c r="B81">
        <v>30374</v>
      </c>
      <c r="H81" s="154"/>
      <c r="I81" s="154"/>
    </row>
    <row r="82" spans="1:9" x14ac:dyDescent="0.35">
      <c r="A82" t="s">
        <v>787</v>
      </c>
      <c r="B82">
        <v>30374</v>
      </c>
      <c r="H82" s="154"/>
      <c r="I82" s="154"/>
    </row>
    <row r="83" spans="1:9" x14ac:dyDescent="0.35">
      <c r="A83" t="s">
        <v>788</v>
      </c>
      <c r="B83">
        <v>30374</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1443077</v>
      </c>
      <c r="H117" s="154"/>
      <c r="I117" s="154"/>
    </row>
    <row r="118" spans="1:9" x14ac:dyDescent="0.35">
      <c r="A118" t="s">
        <v>823</v>
      </c>
      <c r="B118">
        <v>588111</v>
      </c>
      <c r="H118" s="154"/>
      <c r="I118" s="154"/>
    </row>
    <row r="119" spans="1:9" x14ac:dyDescent="0.35">
      <c r="A119" t="s">
        <v>824</v>
      </c>
      <c r="B119">
        <v>47076</v>
      </c>
      <c r="H119" s="154"/>
      <c r="I119" s="154"/>
    </row>
    <row r="120" spans="1:9" x14ac:dyDescent="0.35">
      <c r="A120" t="s">
        <v>825</v>
      </c>
      <c r="B120">
        <v>12122</v>
      </c>
      <c r="H120" s="154"/>
      <c r="I120" s="154"/>
    </row>
    <row r="121" spans="1:9" x14ac:dyDescent="0.35">
      <c r="A121" t="s">
        <v>826</v>
      </c>
      <c r="B121">
        <v>5515</v>
      </c>
      <c r="H121" s="154"/>
      <c r="I121" s="154"/>
    </row>
    <row r="122" spans="1:9" x14ac:dyDescent="0.35">
      <c r="A122" t="s">
        <v>827</v>
      </c>
      <c r="B122">
        <v>143</v>
      </c>
      <c r="H122" s="154"/>
      <c r="I122" s="154"/>
    </row>
    <row r="123" spans="1:9" x14ac:dyDescent="0.35">
      <c r="A123" t="s">
        <v>828</v>
      </c>
      <c r="B123">
        <v>23</v>
      </c>
      <c r="H123" s="154"/>
      <c r="I123" s="154"/>
    </row>
    <row r="124" spans="1:9" x14ac:dyDescent="0.35">
      <c r="A124" t="s">
        <v>829</v>
      </c>
      <c r="B124">
        <v>11</v>
      </c>
      <c r="H124" s="154"/>
      <c r="I124" s="154"/>
    </row>
    <row r="125" spans="1:9" x14ac:dyDescent="0.35">
      <c r="A125" t="s">
        <v>830</v>
      </c>
      <c r="B125">
        <v>1424740</v>
      </c>
      <c r="H125" s="154"/>
      <c r="I125" s="154"/>
    </row>
    <row r="126" spans="1:9" x14ac:dyDescent="0.35">
      <c r="A126" t="s">
        <v>831</v>
      </c>
      <c r="B126">
        <v>580711</v>
      </c>
      <c r="H126" s="154"/>
      <c r="I126" s="154"/>
    </row>
    <row r="127" spans="1:9" x14ac:dyDescent="0.35">
      <c r="A127" t="s">
        <v>832</v>
      </c>
      <c r="B127">
        <v>45733</v>
      </c>
      <c r="H127" s="154"/>
      <c r="I127" s="154"/>
    </row>
    <row r="128" spans="1:9" x14ac:dyDescent="0.35">
      <c r="A128" t="s">
        <v>833</v>
      </c>
      <c r="B128">
        <v>12357</v>
      </c>
      <c r="H128" s="154"/>
      <c r="I128" s="154"/>
    </row>
    <row r="129" spans="1:9" x14ac:dyDescent="0.35">
      <c r="A129" t="s">
        <v>834</v>
      </c>
      <c r="B129">
        <v>5636</v>
      </c>
      <c r="H129" s="154"/>
      <c r="I129" s="154"/>
    </row>
    <row r="130" spans="1:9" x14ac:dyDescent="0.35">
      <c r="A130" t="s">
        <v>835</v>
      </c>
      <c r="B130">
        <v>179</v>
      </c>
      <c r="H130" s="154"/>
      <c r="I130" s="155"/>
    </row>
    <row r="131" spans="1:9" x14ac:dyDescent="0.35">
      <c r="A131" t="s">
        <v>836</v>
      </c>
      <c r="B131">
        <v>23</v>
      </c>
      <c r="H131" s="154"/>
      <c r="I131" s="154"/>
    </row>
    <row r="132" spans="1:9" x14ac:dyDescent="0.35">
      <c r="A132" t="s">
        <v>837</v>
      </c>
      <c r="B132">
        <v>5</v>
      </c>
      <c r="H132" s="154"/>
      <c r="I132" s="154"/>
    </row>
    <row r="133" spans="1:9" x14ac:dyDescent="0.35">
      <c r="A133" t="s">
        <v>838</v>
      </c>
      <c r="B133">
        <v>1420326</v>
      </c>
      <c r="H133" s="154"/>
      <c r="I133" s="154"/>
    </row>
    <row r="134" spans="1:9" x14ac:dyDescent="0.35">
      <c r="A134" t="s">
        <v>839</v>
      </c>
      <c r="B134">
        <v>578927</v>
      </c>
      <c r="H134" s="154"/>
      <c r="I134" s="154"/>
    </row>
    <row r="135" spans="1:9" x14ac:dyDescent="0.35">
      <c r="A135" t="s">
        <v>840</v>
      </c>
      <c r="B135">
        <v>46206</v>
      </c>
      <c r="H135" s="154"/>
      <c r="I135" s="154"/>
    </row>
    <row r="136" spans="1:9" x14ac:dyDescent="0.35">
      <c r="A136" t="s">
        <v>841</v>
      </c>
      <c r="B136">
        <v>12094</v>
      </c>
      <c r="H136" s="154"/>
      <c r="I136" s="154"/>
    </row>
    <row r="137" spans="1:9" x14ac:dyDescent="0.35">
      <c r="A137" t="s">
        <v>842</v>
      </c>
      <c r="B137">
        <v>5600</v>
      </c>
      <c r="H137" s="154"/>
      <c r="I137" s="154"/>
    </row>
    <row r="138" spans="1:9" x14ac:dyDescent="0.35">
      <c r="A138" t="s">
        <v>843</v>
      </c>
      <c r="B138">
        <v>185</v>
      </c>
      <c r="H138" s="154"/>
      <c r="I138" s="154"/>
    </row>
    <row r="139" spans="1:9" x14ac:dyDescent="0.35">
      <c r="A139" t="s">
        <v>844</v>
      </c>
      <c r="B139">
        <v>59</v>
      </c>
      <c r="H139" s="154"/>
      <c r="I139" s="154"/>
    </row>
    <row r="140" spans="1:9" x14ac:dyDescent="0.35">
      <c r="A140" t="s">
        <v>845</v>
      </c>
      <c r="B140">
        <v>0</v>
      </c>
      <c r="H140" s="154"/>
      <c r="I140" s="154"/>
    </row>
    <row r="141" spans="1:9" x14ac:dyDescent="0.35">
      <c r="A141" t="s">
        <v>846</v>
      </c>
      <c r="B141">
        <v>1415270</v>
      </c>
      <c r="H141" s="154"/>
      <c r="I141" s="154"/>
    </row>
    <row r="142" spans="1:9" x14ac:dyDescent="0.35">
      <c r="A142" t="s">
        <v>847</v>
      </c>
      <c r="B142">
        <v>580231</v>
      </c>
      <c r="H142" s="154"/>
      <c r="I142" s="154"/>
    </row>
    <row r="143" spans="1:9" x14ac:dyDescent="0.35">
      <c r="A143" t="s">
        <v>848</v>
      </c>
      <c r="B143">
        <v>45814.7</v>
      </c>
      <c r="H143" s="154"/>
      <c r="I143" s="154"/>
    </row>
    <row r="144" spans="1:9" x14ac:dyDescent="0.35">
      <c r="A144" t="s">
        <v>849</v>
      </c>
      <c r="B144">
        <v>11873.6</v>
      </c>
      <c r="H144" s="154"/>
      <c r="I144" s="157"/>
    </row>
    <row r="145" spans="1:2" x14ac:dyDescent="0.35">
      <c r="A145" t="s">
        <v>850</v>
      </c>
      <c r="B145">
        <v>5545.63</v>
      </c>
    </row>
    <row r="146" spans="1:2" x14ac:dyDescent="0.35">
      <c r="A146" t="s">
        <v>851</v>
      </c>
      <c r="B146">
        <v>184.08699999999999</v>
      </c>
    </row>
    <row r="147" spans="1:2" x14ac:dyDescent="0.35">
      <c r="A147" t="s">
        <v>852</v>
      </c>
      <c r="B147">
        <v>34.516399999999997</v>
      </c>
    </row>
    <row r="148" spans="1:2" x14ac:dyDescent="0.35">
      <c r="A148" t="s">
        <v>853</v>
      </c>
      <c r="B148">
        <v>4.4329299999999998</v>
      </c>
    </row>
    <row r="149" spans="1:2" x14ac:dyDescent="0.35">
      <c r="A149" t="s">
        <v>854</v>
      </c>
      <c r="B149">
        <v>14430.8</v>
      </c>
    </row>
    <row r="150" spans="1:2" x14ac:dyDescent="0.35">
      <c r="A150" t="s">
        <v>855</v>
      </c>
      <c r="B150">
        <v>8992.42</v>
      </c>
    </row>
    <row r="151" spans="1:2" x14ac:dyDescent="0.35">
      <c r="A151" t="s">
        <v>856</v>
      </c>
      <c r="B151">
        <v>5881.12</v>
      </c>
    </row>
    <row r="152" spans="1:2" x14ac:dyDescent="0.35">
      <c r="A152" t="s">
        <v>857</v>
      </c>
      <c r="B152">
        <v>4058.54</v>
      </c>
    </row>
    <row r="153" spans="1:2" x14ac:dyDescent="0.35">
      <c r="A153" t="s">
        <v>858</v>
      </c>
      <c r="B153">
        <v>2792.29</v>
      </c>
    </row>
    <row r="154" spans="1:2" x14ac:dyDescent="0.35">
      <c r="A154" t="s">
        <v>859</v>
      </c>
      <c r="B154">
        <v>1913.65</v>
      </c>
    </row>
    <row r="155" spans="1:2" x14ac:dyDescent="0.35">
      <c r="A155" t="s">
        <v>860</v>
      </c>
      <c r="B155">
        <v>1375.67</v>
      </c>
    </row>
    <row r="156" spans="1:2" x14ac:dyDescent="0.35">
      <c r="A156" t="s">
        <v>861</v>
      </c>
      <c r="B156">
        <v>1007.85</v>
      </c>
    </row>
    <row r="157" spans="1:2" x14ac:dyDescent="0.35">
      <c r="A157" t="s">
        <v>862</v>
      </c>
      <c r="B157">
        <v>752.077</v>
      </c>
    </row>
    <row r="158" spans="1:2" x14ac:dyDescent="0.35">
      <c r="A158" t="s">
        <v>863</v>
      </c>
      <c r="B158">
        <v>589.35900000000004</v>
      </c>
    </row>
    <row r="159" spans="1:2" x14ac:dyDescent="0.35">
      <c r="A159" t="s">
        <v>864</v>
      </c>
      <c r="B159">
        <v>470.767</v>
      </c>
    </row>
    <row r="160" spans="1:2" x14ac:dyDescent="0.35">
      <c r="A160" t="s">
        <v>865</v>
      </c>
      <c r="B160">
        <v>382.57299999999998</v>
      </c>
    </row>
    <row r="161" spans="1:2" x14ac:dyDescent="0.35">
      <c r="A161" t="s">
        <v>866</v>
      </c>
      <c r="B161">
        <v>311.04700000000003</v>
      </c>
    </row>
    <row r="162" spans="1:2" x14ac:dyDescent="0.35">
      <c r="A162" t="s">
        <v>867</v>
      </c>
      <c r="B162">
        <v>258.70600000000002</v>
      </c>
    </row>
    <row r="163" spans="1:2" x14ac:dyDescent="0.35">
      <c r="A163" t="s">
        <v>868</v>
      </c>
      <c r="B163">
        <v>220.57499999999999</v>
      </c>
    </row>
    <row r="164" spans="1:2" x14ac:dyDescent="0.35">
      <c r="A164" t="s">
        <v>869</v>
      </c>
      <c r="B164">
        <v>182.863</v>
      </c>
    </row>
    <row r="165" spans="1:2" x14ac:dyDescent="0.35">
      <c r="A165" t="s">
        <v>870</v>
      </c>
      <c r="B165">
        <v>148.149</v>
      </c>
    </row>
    <row r="166" spans="1:2" x14ac:dyDescent="0.35">
      <c r="A166" t="s">
        <v>871</v>
      </c>
      <c r="B166">
        <v>121.229</v>
      </c>
    </row>
    <row r="167" spans="1:2" x14ac:dyDescent="0.35">
      <c r="A167" t="s">
        <v>872</v>
      </c>
      <c r="B167">
        <v>98.266400000000004</v>
      </c>
    </row>
    <row r="168" spans="1:2" x14ac:dyDescent="0.35">
      <c r="A168" t="s">
        <v>873</v>
      </c>
      <c r="B168">
        <v>82.498199999999997</v>
      </c>
    </row>
    <row r="169" spans="1:2" x14ac:dyDescent="0.35">
      <c r="A169" t="s">
        <v>874</v>
      </c>
      <c r="B169">
        <v>66.130499999999998</v>
      </c>
    </row>
    <row r="170" spans="1:2" x14ac:dyDescent="0.35">
      <c r="A170" t="s">
        <v>875</v>
      </c>
      <c r="B170">
        <v>55.158700000000003</v>
      </c>
    </row>
    <row r="171" spans="1:2" x14ac:dyDescent="0.35">
      <c r="A171" t="s">
        <v>876</v>
      </c>
      <c r="B171">
        <v>44.846400000000003</v>
      </c>
    </row>
    <row r="172" spans="1:2" x14ac:dyDescent="0.35">
      <c r="A172" t="s">
        <v>877</v>
      </c>
      <c r="B172">
        <v>36.9923</v>
      </c>
    </row>
    <row r="173" spans="1:2" x14ac:dyDescent="0.35">
      <c r="A173" t="s">
        <v>878</v>
      </c>
      <c r="B173">
        <v>31.416499999999999</v>
      </c>
    </row>
    <row r="174" spans="1:2" x14ac:dyDescent="0.35">
      <c r="A174" t="s">
        <v>879</v>
      </c>
      <c r="B174">
        <v>25.241099999999999</v>
      </c>
    </row>
    <row r="175" spans="1:2" x14ac:dyDescent="0.35">
      <c r="A175" t="s">
        <v>880</v>
      </c>
      <c r="B175">
        <v>20.024999999999999</v>
      </c>
    </row>
    <row r="176" spans="1:2" x14ac:dyDescent="0.35">
      <c r="A176" t="s">
        <v>881</v>
      </c>
      <c r="B176">
        <v>1.43892</v>
      </c>
    </row>
    <row r="177" spans="1:2" x14ac:dyDescent="0.35">
      <c r="A177" t="s">
        <v>882</v>
      </c>
      <c r="B177">
        <v>0.23982000000000001</v>
      </c>
    </row>
    <row r="178" spans="1:2" x14ac:dyDescent="0.35">
      <c r="A178" t="s">
        <v>883</v>
      </c>
      <c r="B178">
        <v>0.11991</v>
      </c>
    </row>
    <row r="179" spans="1:2" x14ac:dyDescent="0.35">
      <c r="A179" t="s">
        <v>884</v>
      </c>
      <c r="B179">
        <v>0.11991</v>
      </c>
    </row>
    <row r="180" spans="1:2" x14ac:dyDescent="0.35">
      <c r="A180" t="s">
        <v>885</v>
      </c>
      <c r="B180">
        <v>0.11991</v>
      </c>
    </row>
    <row r="181" spans="1:2" x14ac:dyDescent="0.35">
      <c r="A181" t="s">
        <v>886</v>
      </c>
      <c r="B181">
        <v>14247.4</v>
      </c>
    </row>
    <row r="182" spans="1:2" x14ac:dyDescent="0.35">
      <c r="A182" t="s">
        <v>887</v>
      </c>
      <c r="B182">
        <v>8850.1200000000008</v>
      </c>
    </row>
    <row r="183" spans="1:2" x14ac:dyDescent="0.35">
      <c r="A183" t="s">
        <v>888</v>
      </c>
      <c r="B183">
        <v>5807.12</v>
      </c>
    </row>
    <row r="184" spans="1:2" x14ac:dyDescent="0.35">
      <c r="A184" t="s">
        <v>889</v>
      </c>
      <c r="B184">
        <v>4002.89</v>
      </c>
    </row>
    <row r="185" spans="1:2" x14ac:dyDescent="0.35">
      <c r="A185" t="s">
        <v>890</v>
      </c>
      <c r="B185">
        <v>2752.01</v>
      </c>
    </row>
    <row r="186" spans="1:2" x14ac:dyDescent="0.35">
      <c r="A186" t="s">
        <v>891</v>
      </c>
      <c r="B186">
        <v>1886.53</v>
      </c>
    </row>
    <row r="187" spans="1:2" x14ac:dyDescent="0.35">
      <c r="A187" t="s">
        <v>892</v>
      </c>
      <c r="B187">
        <v>1357.62</v>
      </c>
    </row>
    <row r="188" spans="1:2" x14ac:dyDescent="0.35">
      <c r="A188" t="s">
        <v>893</v>
      </c>
      <c r="B188">
        <v>989.29600000000005</v>
      </c>
    </row>
    <row r="189" spans="1:2" x14ac:dyDescent="0.35">
      <c r="A189" t="s">
        <v>894</v>
      </c>
      <c r="B189">
        <v>741.49300000000005</v>
      </c>
    </row>
    <row r="190" spans="1:2" x14ac:dyDescent="0.35">
      <c r="A190" t="s">
        <v>895</v>
      </c>
      <c r="B190">
        <v>574.85299999999995</v>
      </c>
    </row>
    <row r="191" spans="1:2" x14ac:dyDescent="0.35">
      <c r="A191" t="s">
        <v>896</v>
      </c>
      <c r="B191">
        <v>457.33100000000002</v>
      </c>
    </row>
    <row r="192" spans="1:2" x14ac:dyDescent="0.35">
      <c r="A192" t="s">
        <v>897</v>
      </c>
      <c r="B192">
        <v>371.55500000000001</v>
      </c>
    </row>
    <row r="193" spans="1:2" x14ac:dyDescent="0.35">
      <c r="A193" t="s">
        <v>898</v>
      </c>
      <c r="B193">
        <v>309.38</v>
      </c>
    </row>
    <row r="194" spans="1:2" x14ac:dyDescent="0.35">
      <c r="A194" t="s">
        <v>899</v>
      </c>
      <c r="B194">
        <v>257.387</v>
      </c>
    </row>
    <row r="195" spans="1:2" x14ac:dyDescent="0.35">
      <c r="A195" t="s">
        <v>900</v>
      </c>
      <c r="B195">
        <v>218.63200000000001</v>
      </c>
    </row>
    <row r="196" spans="1:2" x14ac:dyDescent="0.35">
      <c r="A196" t="s">
        <v>901</v>
      </c>
      <c r="B196">
        <v>184.78899999999999</v>
      </c>
    </row>
    <row r="197" spans="1:2" x14ac:dyDescent="0.35">
      <c r="A197" t="s">
        <v>902</v>
      </c>
      <c r="B197">
        <v>154.72</v>
      </c>
    </row>
    <row r="198" spans="1:2" x14ac:dyDescent="0.35">
      <c r="A198" t="s">
        <v>903</v>
      </c>
      <c r="B198">
        <v>123.572</v>
      </c>
    </row>
    <row r="199" spans="1:2" x14ac:dyDescent="0.35">
      <c r="A199" t="s">
        <v>904</v>
      </c>
      <c r="B199">
        <v>99.971900000000005</v>
      </c>
    </row>
    <row r="200" spans="1:2" x14ac:dyDescent="0.35">
      <c r="A200" t="s">
        <v>905</v>
      </c>
      <c r="B200">
        <v>82.840699999999998</v>
      </c>
    </row>
    <row r="201" spans="1:2" x14ac:dyDescent="0.35">
      <c r="A201" t="s">
        <v>906</v>
      </c>
      <c r="B201">
        <v>66.608000000000004</v>
      </c>
    </row>
    <row r="202" spans="1:2" x14ac:dyDescent="0.35">
      <c r="A202" t="s">
        <v>907</v>
      </c>
      <c r="B202">
        <v>56.365200000000002</v>
      </c>
    </row>
    <row r="203" spans="1:2" x14ac:dyDescent="0.35">
      <c r="A203" t="s">
        <v>908</v>
      </c>
      <c r="B203">
        <v>44.804699999999997</v>
      </c>
    </row>
    <row r="204" spans="1:2" x14ac:dyDescent="0.35">
      <c r="A204" t="s">
        <v>909</v>
      </c>
      <c r="B204">
        <v>36.478700000000003</v>
      </c>
    </row>
    <row r="205" spans="1:2" x14ac:dyDescent="0.35">
      <c r="A205" t="s">
        <v>910</v>
      </c>
      <c r="B205">
        <v>30.309000000000001</v>
      </c>
    </row>
    <row r="206" spans="1:2" x14ac:dyDescent="0.35">
      <c r="A206" t="s">
        <v>911</v>
      </c>
      <c r="B206">
        <v>24.379000000000001</v>
      </c>
    </row>
    <row r="207" spans="1:2" x14ac:dyDescent="0.35">
      <c r="A207" t="s">
        <v>912</v>
      </c>
      <c r="B207">
        <v>17.9099</v>
      </c>
    </row>
    <row r="208" spans="1:2" x14ac:dyDescent="0.35">
      <c r="A208" t="s">
        <v>913</v>
      </c>
      <c r="B208">
        <v>1.79698</v>
      </c>
    </row>
    <row r="209" spans="1:2" x14ac:dyDescent="0.35">
      <c r="A209" t="s">
        <v>914</v>
      </c>
      <c r="B209">
        <v>0.239597</v>
      </c>
    </row>
    <row r="210" spans="1:2" x14ac:dyDescent="0.35">
      <c r="A210" t="s">
        <v>915</v>
      </c>
      <c r="B210">
        <v>5.9899300000000003E-2</v>
      </c>
    </row>
    <row r="211" spans="1:2" x14ac:dyDescent="0.35">
      <c r="A211" t="s">
        <v>916</v>
      </c>
      <c r="B211">
        <v>5.9899300000000003E-2</v>
      </c>
    </row>
    <row r="212" spans="1:2" x14ac:dyDescent="0.35">
      <c r="A212" t="s">
        <v>917</v>
      </c>
      <c r="B212">
        <v>5.9899300000000003E-2</v>
      </c>
    </row>
    <row r="213" spans="1:2" x14ac:dyDescent="0.35">
      <c r="A213" t="s">
        <v>918</v>
      </c>
      <c r="B213">
        <v>14203.3</v>
      </c>
    </row>
    <row r="214" spans="1:2" x14ac:dyDescent="0.35">
      <c r="A214" t="s">
        <v>919</v>
      </c>
      <c r="B214">
        <v>8858.5499999999993</v>
      </c>
    </row>
    <row r="215" spans="1:2" x14ac:dyDescent="0.35">
      <c r="A215" t="s">
        <v>920</v>
      </c>
      <c r="B215">
        <v>5789.27</v>
      </c>
    </row>
    <row r="216" spans="1:2" x14ac:dyDescent="0.35">
      <c r="A216" t="s">
        <v>921</v>
      </c>
      <c r="B216">
        <v>3994.97</v>
      </c>
    </row>
    <row r="217" spans="1:2" x14ac:dyDescent="0.35">
      <c r="A217" t="s">
        <v>922</v>
      </c>
      <c r="B217">
        <v>2748.6</v>
      </c>
    </row>
    <row r="218" spans="1:2" x14ac:dyDescent="0.35">
      <c r="A218" t="s">
        <v>923</v>
      </c>
      <c r="B218">
        <v>1891.68</v>
      </c>
    </row>
    <row r="219" spans="1:2" x14ac:dyDescent="0.35">
      <c r="A219" t="s">
        <v>924</v>
      </c>
      <c r="B219">
        <v>1354</v>
      </c>
    </row>
    <row r="220" spans="1:2" x14ac:dyDescent="0.35">
      <c r="A220" t="s">
        <v>925</v>
      </c>
      <c r="B220">
        <v>996.68899999999996</v>
      </c>
    </row>
    <row r="221" spans="1:2" x14ac:dyDescent="0.35">
      <c r="A221" t="s">
        <v>926</v>
      </c>
      <c r="B221">
        <v>742.39</v>
      </c>
    </row>
    <row r="222" spans="1:2" x14ac:dyDescent="0.35">
      <c r="A222" t="s">
        <v>927</v>
      </c>
      <c r="B222">
        <v>576.59500000000003</v>
      </c>
    </row>
    <row r="223" spans="1:2" x14ac:dyDescent="0.35">
      <c r="A223" t="s">
        <v>928</v>
      </c>
      <c r="B223">
        <v>462.06700000000001</v>
      </c>
    </row>
    <row r="224" spans="1:2" x14ac:dyDescent="0.35">
      <c r="A224" t="s">
        <v>929</v>
      </c>
      <c r="B224">
        <v>374.88299999999998</v>
      </c>
    </row>
    <row r="225" spans="1:2" x14ac:dyDescent="0.35">
      <c r="A225" t="s">
        <v>930</v>
      </c>
      <c r="B225">
        <v>308.505</v>
      </c>
    </row>
    <row r="226" spans="1:2" x14ac:dyDescent="0.35">
      <c r="A226" t="s">
        <v>931</v>
      </c>
      <c r="B226">
        <v>261.49400000000003</v>
      </c>
    </row>
    <row r="227" spans="1:2" x14ac:dyDescent="0.35">
      <c r="A227" t="s">
        <v>932</v>
      </c>
      <c r="B227">
        <v>218.68100000000001</v>
      </c>
    </row>
    <row r="228" spans="1:2" x14ac:dyDescent="0.35">
      <c r="A228" t="s">
        <v>933</v>
      </c>
      <c r="B228">
        <v>186.12200000000001</v>
      </c>
    </row>
    <row r="229" spans="1:2" x14ac:dyDescent="0.35">
      <c r="A229" t="s">
        <v>934</v>
      </c>
      <c r="B229">
        <v>151.28399999999999</v>
      </c>
    </row>
    <row r="230" spans="1:2" x14ac:dyDescent="0.35">
      <c r="A230" t="s">
        <v>935</v>
      </c>
      <c r="B230">
        <v>120.943</v>
      </c>
    </row>
    <row r="231" spans="1:2" x14ac:dyDescent="0.35">
      <c r="A231" t="s">
        <v>936</v>
      </c>
      <c r="B231">
        <v>99.536900000000003</v>
      </c>
    </row>
    <row r="232" spans="1:2" x14ac:dyDescent="0.35">
      <c r="A232" t="s">
        <v>937</v>
      </c>
      <c r="B232">
        <v>84.006799999999998</v>
      </c>
    </row>
    <row r="233" spans="1:2" x14ac:dyDescent="0.35">
      <c r="A233" t="s">
        <v>938</v>
      </c>
      <c r="B233">
        <v>65.6584</v>
      </c>
    </row>
    <row r="234" spans="1:2" x14ac:dyDescent="0.35">
      <c r="A234" t="s">
        <v>939</v>
      </c>
      <c r="B234">
        <v>56.0045</v>
      </c>
    </row>
    <row r="235" spans="1:2" x14ac:dyDescent="0.35">
      <c r="A235" t="s">
        <v>940</v>
      </c>
      <c r="B235">
        <v>46.050800000000002</v>
      </c>
    </row>
    <row r="236" spans="1:2" x14ac:dyDescent="0.35">
      <c r="A236" t="s">
        <v>941</v>
      </c>
      <c r="B236">
        <v>37.7761</v>
      </c>
    </row>
    <row r="237" spans="1:2" x14ac:dyDescent="0.35">
      <c r="A237" t="s">
        <v>942</v>
      </c>
      <c r="B237">
        <v>32.3795</v>
      </c>
    </row>
    <row r="238" spans="1:2" x14ac:dyDescent="0.35">
      <c r="A238" t="s">
        <v>943</v>
      </c>
      <c r="B238">
        <v>26.263400000000001</v>
      </c>
    </row>
    <row r="239" spans="1:2" x14ac:dyDescent="0.35">
      <c r="A239" t="s">
        <v>944</v>
      </c>
      <c r="B239">
        <v>19.727499999999999</v>
      </c>
    </row>
    <row r="240" spans="1:2" x14ac:dyDescent="0.35">
      <c r="A240" t="s">
        <v>945</v>
      </c>
      <c r="B240">
        <v>1.8588199999999999</v>
      </c>
    </row>
    <row r="241" spans="1:2" x14ac:dyDescent="0.35">
      <c r="A241" t="s">
        <v>946</v>
      </c>
      <c r="B241">
        <v>0.59962000000000004</v>
      </c>
    </row>
    <row r="242" spans="1:2" x14ac:dyDescent="0.35">
      <c r="A242" t="s">
        <v>947</v>
      </c>
      <c r="B242">
        <v>0</v>
      </c>
    </row>
    <row r="243" spans="1:2" x14ac:dyDescent="0.35">
      <c r="A243" t="s">
        <v>948</v>
      </c>
      <c r="B243">
        <v>0</v>
      </c>
    </row>
    <row r="244" spans="1:2" x14ac:dyDescent="0.35">
      <c r="A244" t="s">
        <v>949</v>
      </c>
      <c r="B244">
        <v>0</v>
      </c>
    </row>
    <row r="245" spans="1:2" x14ac:dyDescent="0.35">
      <c r="A245" t="s">
        <v>950</v>
      </c>
      <c r="B245">
        <v>14152.7</v>
      </c>
    </row>
    <row r="246" spans="1:2" x14ac:dyDescent="0.35">
      <c r="A246" t="s">
        <v>951</v>
      </c>
      <c r="B246">
        <v>8832.85</v>
      </c>
    </row>
    <row r="247" spans="1:2" x14ac:dyDescent="0.35">
      <c r="A247" t="s">
        <v>952</v>
      </c>
      <c r="B247">
        <v>5802.31</v>
      </c>
    </row>
    <row r="248" spans="1:2" x14ac:dyDescent="0.35">
      <c r="A248" t="s">
        <v>953</v>
      </c>
      <c r="B248">
        <v>4023.69</v>
      </c>
    </row>
    <row r="249" spans="1:2" x14ac:dyDescent="0.35">
      <c r="A249" t="s">
        <v>954</v>
      </c>
      <c r="B249">
        <v>2753.25</v>
      </c>
    </row>
    <row r="250" spans="1:2" x14ac:dyDescent="0.35">
      <c r="A250" t="s">
        <v>955</v>
      </c>
      <c r="B250">
        <v>1901.05</v>
      </c>
    </row>
    <row r="251" spans="1:2" x14ac:dyDescent="0.35">
      <c r="A251" t="s">
        <v>956</v>
      </c>
      <c r="B251">
        <v>1368.92</v>
      </c>
    </row>
    <row r="252" spans="1:2" x14ac:dyDescent="0.35">
      <c r="A252" t="s">
        <v>957</v>
      </c>
      <c r="B252">
        <v>999.36400000000003</v>
      </c>
    </row>
    <row r="253" spans="1:2" x14ac:dyDescent="0.35">
      <c r="A253" t="s">
        <v>958</v>
      </c>
      <c r="B253">
        <v>742.56200000000001</v>
      </c>
    </row>
    <row r="254" spans="1:2" x14ac:dyDescent="0.35">
      <c r="A254" t="s">
        <v>959</v>
      </c>
      <c r="B254">
        <v>575.73299999999995</v>
      </c>
    </row>
    <row r="255" spans="1:2" x14ac:dyDescent="0.35">
      <c r="A255" t="s">
        <v>960</v>
      </c>
      <c r="B255">
        <v>458.14699999999999</v>
      </c>
    </row>
    <row r="256" spans="1:2" x14ac:dyDescent="0.35">
      <c r="A256" t="s">
        <v>961</v>
      </c>
      <c r="B256">
        <v>369.9</v>
      </c>
    </row>
    <row r="257" spans="1:2" x14ac:dyDescent="0.35">
      <c r="A257" t="s">
        <v>962</v>
      </c>
      <c r="B257">
        <v>302.13299999999998</v>
      </c>
    </row>
    <row r="258" spans="1:2" x14ac:dyDescent="0.35">
      <c r="A258" t="s">
        <v>963</v>
      </c>
      <c r="B258">
        <v>252.77500000000001</v>
      </c>
    </row>
    <row r="259" spans="1:2" x14ac:dyDescent="0.35">
      <c r="A259" t="s">
        <v>964</v>
      </c>
      <c r="B259">
        <v>213.541</v>
      </c>
    </row>
    <row r="260" spans="1:2" x14ac:dyDescent="0.35">
      <c r="A260" t="s">
        <v>965</v>
      </c>
      <c r="B260">
        <v>178.79499999999999</v>
      </c>
    </row>
    <row r="261" spans="1:2" x14ac:dyDescent="0.35">
      <c r="A261" t="s">
        <v>966</v>
      </c>
      <c r="B261">
        <v>146.57900000000001</v>
      </c>
    </row>
    <row r="262" spans="1:2" x14ac:dyDescent="0.35">
      <c r="A262" t="s">
        <v>967</v>
      </c>
      <c r="B262">
        <v>118.736</v>
      </c>
    </row>
    <row r="263" spans="1:2" x14ac:dyDescent="0.35">
      <c r="A263" t="s">
        <v>968</v>
      </c>
      <c r="B263">
        <v>96.760900000000007</v>
      </c>
    </row>
    <row r="264" spans="1:2" x14ac:dyDescent="0.35">
      <c r="A264" t="s">
        <v>969</v>
      </c>
      <c r="B264">
        <v>80.423100000000005</v>
      </c>
    </row>
    <row r="265" spans="1:2" x14ac:dyDescent="0.35">
      <c r="A265" t="s">
        <v>970</v>
      </c>
      <c r="B265">
        <v>65.120900000000006</v>
      </c>
    </row>
    <row r="266" spans="1:2" x14ac:dyDescent="0.35">
      <c r="A266" t="s">
        <v>971</v>
      </c>
      <c r="B266">
        <v>55.456299999999999</v>
      </c>
    </row>
    <row r="267" spans="1:2" x14ac:dyDescent="0.35">
      <c r="A267" t="s">
        <v>972</v>
      </c>
      <c r="B267">
        <v>45.101399999999998</v>
      </c>
    </row>
    <row r="268" spans="1:2" x14ac:dyDescent="0.35">
      <c r="A268" t="s">
        <v>973</v>
      </c>
      <c r="B268">
        <v>37.162599999999998</v>
      </c>
    </row>
    <row r="269" spans="1:2" x14ac:dyDescent="0.35">
      <c r="A269" t="s">
        <v>974</v>
      </c>
      <c r="B269">
        <v>31.1798</v>
      </c>
    </row>
    <row r="270" spans="1:2" x14ac:dyDescent="0.35">
      <c r="A270" t="s">
        <v>975</v>
      </c>
      <c r="B270">
        <v>25.772200000000002</v>
      </c>
    </row>
    <row r="271" spans="1:2" x14ac:dyDescent="0.35">
      <c r="A271" t="s">
        <v>976</v>
      </c>
      <c r="B271">
        <v>19.674299999999999</v>
      </c>
    </row>
    <row r="272" spans="1:2" x14ac:dyDescent="0.35">
      <c r="A272" t="s">
        <v>977</v>
      </c>
      <c r="B272">
        <v>1.84087</v>
      </c>
    </row>
    <row r="273" spans="1:2" x14ac:dyDescent="0.35">
      <c r="A273" t="s">
        <v>978</v>
      </c>
      <c r="B273">
        <v>0.34516400000000003</v>
      </c>
    </row>
    <row r="274" spans="1:2" x14ac:dyDescent="0.35">
      <c r="A274" t="s">
        <v>979</v>
      </c>
      <c r="B274">
        <v>4.4329300000000002E-2</v>
      </c>
    </row>
    <row r="275" spans="1:2" x14ac:dyDescent="0.35">
      <c r="A275" t="s">
        <v>980</v>
      </c>
      <c r="B275">
        <v>4.4329300000000002E-2</v>
      </c>
    </row>
    <row r="276" spans="1:2" x14ac:dyDescent="0.35">
      <c r="A276" t="s">
        <v>981</v>
      </c>
      <c r="B276">
        <v>4.4329300000000002E-2</v>
      </c>
    </row>
    <row r="277" spans="1:2" x14ac:dyDescent="0.35">
      <c r="A277" t="s">
        <v>982</v>
      </c>
    </row>
    <row r="278" spans="1:2" x14ac:dyDescent="0.35">
      <c r="A278" t="s">
        <v>983</v>
      </c>
      <c r="B278">
        <v>17</v>
      </c>
    </row>
    <row r="279" spans="1:2" x14ac:dyDescent="0.35">
      <c r="A279" t="s">
        <v>984</v>
      </c>
      <c r="B279">
        <v>253</v>
      </c>
    </row>
    <row r="280" spans="1:2" x14ac:dyDescent="0.35">
      <c r="A280" t="s">
        <v>985</v>
      </c>
      <c r="B280">
        <v>10865</v>
      </c>
    </row>
    <row r="281" spans="1:2" x14ac:dyDescent="0.35">
      <c r="A281" t="s">
        <v>986</v>
      </c>
      <c r="B281">
        <v>34</v>
      </c>
    </row>
    <row r="282" spans="1:2" x14ac:dyDescent="0.35">
      <c r="A282" t="s">
        <v>987</v>
      </c>
    </row>
    <row r="283" spans="1:2" x14ac:dyDescent="0.35">
      <c r="A283" t="s">
        <v>988</v>
      </c>
      <c r="B283">
        <v>46163.5</v>
      </c>
    </row>
    <row r="284" spans="1:2" x14ac:dyDescent="0.35">
      <c r="A284" t="s">
        <v>989</v>
      </c>
      <c r="B284">
        <v>63010062</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63010062</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61" t="s">
        <v>33</v>
      </c>
      <c r="F6" s="462"/>
      <c r="G6" s="462"/>
      <c r="H6" s="462"/>
      <c r="I6" s="462"/>
      <c r="J6" s="462"/>
      <c r="K6" s="462"/>
      <c r="L6" s="462"/>
      <c r="M6" s="462"/>
      <c r="N6" s="462"/>
      <c r="O6" s="462"/>
      <c r="P6" s="462"/>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63"/>
      <c r="F7" s="451"/>
      <c r="G7" s="451"/>
      <c r="H7" s="451"/>
      <c r="I7" s="451"/>
      <c r="J7" s="451"/>
      <c r="K7" s="451"/>
      <c r="L7" s="451"/>
      <c r="M7" s="451"/>
      <c r="N7" s="451"/>
      <c r="O7" s="451"/>
      <c r="P7" s="451"/>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64" t="s">
        <v>40</v>
      </c>
      <c r="F8" s="465"/>
      <c r="G8" s="465"/>
      <c r="H8" s="465"/>
      <c r="I8" s="465"/>
      <c r="J8" s="465"/>
      <c r="K8" s="465"/>
      <c r="L8" s="465"/>
      <c r="M8" s="465"/>
      <c r="N8" s="465"/>
      <c r="O8" s="465"/>
      <c r="P8" s="465"/>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59"/>
      <c r="F9" s="460"/>
      <c r="G9" s="460"/>
      <c r="H9" s="460"/>
      <c r="I9" s="460"/>
      <c r="J9" s="460"/>
      <c r="K9" s="460"/>
      <c r="L9" s="460"/>
      <c r="M9" s="460"/>
      <c r="N9" s="460"/>
      <c r="O9" s="460"/>
      <c r="P9" s="460"/>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59"/>
      <c r="F10" s="460"/>
      <c r="G10" s="460"/>
      <c r="H10" s="460"/>
      <c r="I10" s="460"/>
      <c r="J10" s="460"/>
      <c r="K10" s="460"/>
      <c r="L10" s="460"/>
      <c r="M10" s="460"/>
      <c r="N10" s="460"/>
      <c r="O10" s="460"/>
      <c r="P10" s="460"/>
      <c r="Q10" s="211"/>
      <c r="R10" s="166" t="s">
        <v>704</v>
      </c>
    </row>
    <row r="11" spans="1:24" ht="15" hidden="1" customHeight="1" x14ac:dyDescent="0.35">
      <c r="A11" s="219" t="b">
        <v>0</v>
      </c>
      <c r="B11" s="279">
        <f t="shared" si="0"/>
        <v>8</v>
      </c>
      <c r="C11" s="231" t="s">
        <v>45</v>
      </c>
      <c r="D11" s="301"/>
      <c r="E11" s="459"/>
      <c r="F11" s="460"/>
      <c r="G11" s="460"/>
      <c r="H11" s="460"/>
      <c r="I11" s="460"/>
      <c r="J11" s="460"/>
      <c r="K11" s="460"/>
      <c r="L11" s="460"/>
      <c r="M11" s="460"/>
      <c r="N11" s="460"/>
      <c r="O11" s="460"/>
      <c r="P11" s="460"/>
      <c r="Q11" s="211"/>
      <c r="R11" s="166" t="s">
        <v>46</v>
      </c>
    </row>
    <row r="12" spans="1:24" ht="15" customHeight="1" x14ac:dyDescent="0.35">
      <c r="A12" s="219" t="b">
        <v>0</v>
      </c>
      <c r="B12" s="279">
        <f>B11+1</f>
        <v>9</v>
      </c>
      <c r="C12" s="231" t="s">
        <v>47</v>
      </c>
      <c r="D12" s="208"/>
      <c r="E12" s="466"/>
      <c r="F12" s="467"/>
      <c r="G12" s="467"/>
      <c r="H12" s="467"/>
      <c r="I12" s="467"/>
      <c r="J12" s="467"/>
      <c r="K12" s="467"/>
      <c r="L12" s="467"/>
      <c r="M12" s="467"/>
      <c r="N12" s="467"/>
      <c r="O12" s="467"/>
      <c r="P12" s="467"/>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45"/>
      <c r="F14" s="445"/>
      <c r="G14" s="445"/>
      <c r="H14" s="445"/>
      <c r="I14" s="445"/>
      <c r="J14" s="445"/>
      <c r="K14" s="445"/>
      <c r="L14" s="445"/>
      <c r="M14" s="445"/>
      <c r="N14" s="445"/>
      <c r="O14" s="445"/>
      <c r="P14" s="445"/>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43" t="s">
        <v>53</v>
      </c>
      <c r="D19" s="443"/>
      <c r="E19" s="443"/>
      <c r="F19" s="443"/>
      <c r="G19" s="443"/>
      <c r="H19" s="443"/>
      <c r="I19" s="443"/>
      <c r="J19" s="443"/>
      <c r="K19" s="443"/>
      <c r="L19" s="443"/>
      <c r="M19" s="443"/>
      <c r="N19" s="443"/>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43" t="s">
        <v>65</v>
      </c>
      <c r="D30" s="443"/>
      <c r="E30" s="443"/>
      <c r="F30" s="443"/>
      <c r="G30" s="443"/>
      <c r="H30" s="443"/>
      <c r="I30" s="443"/>
      <c r="J30" s="443"/>
      <c r="K30" s="443"/>
      <c r="L30" s="443"/>
      <c r="M30" s="443"/>
      <c r="N30" s="443"/>
    </row>
    <row r="31" spans="1:23" ht="15" customHeight="1" x14ac:dyDescent="0.35">
      <c r="A31" s="219" t="b">
        <v>1</v>
      </c>
      <c r="B31" s="279">
        <f>B29+1</f>
        <v>25</v>
      </c>
      <c r="C31" s="185" t="s">
        <v>66</v>
      </c>
      <c r="D31" s="365"/>
      <c r="E31" s="446" t="s">
        <v>67</v>
      </c>
      <c r="F31" s="446"/>
      <c r="G31" s="447" t="str">
        <f>IF($D$31=$D$10,"ON TIME",IF($D$31&gt;$D$10,"LATE",IF($D$31&lt;$D$10,"EARLY")))</f>
        <v>ON TIME</v>
      </c>
      <c r="H31" s="447"/>
      <c r="I31" s="447"/>
      <c r="J31" s="447"/>
      <c r="K31" s="447"/>
      <c r="L31" s="447"/>
      <c r="M31" s="447"/>
      <c r="N31" s="447"/>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48"/>
      <c r="F55" s="448"/>
      <c r="G55" s="448"/>
      <c r="H55" s="448"/>
      <c r="I55" s="448"/>
      <c r="J55" s="448"/>
      <c r="K55" s="448"/>
      <c r="L55" s="448"/>
      <c r="M55" s="448"/>
      <c r="N55" s="448"/>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44" t="s">
        <v>127</v>
      </c>
      <c r="D75" s="444"/>
      <c r="E75" s="444"/>
      <c r="F75" s="444"/>
      <c r="G75" s="444"/>
      <c r="H75" s="444"/>
      <c r="I75" s="444"/>
      <c r="J75" s="444"/>
      <c r="K75" s="444"/>
      <c r="L75" s="444"/>
      <c r="M75" s="444"/>
      <c r="N75" s="444"/>
      <c r="O75" s="444"/>
      <c r="P75" s="226"/>
    </row>
    <row r="76" spans="1:18" s="213" customFormat="1" ht="14.25" x14ac:dyDescent="0.35">
      <c r="A76" s="219" t="b">
        <v>0</v>
      </c>
      <c r="B76" s="279" t="e">
        <f>B74+1</f>
        <v>#REF!</v>
      </c>
      <c r="C76" s="232"/>
      <c r="D76" s="233" t="s">
        <v>688</v>
      </c>
      <c r="E76" s="445"/>
      <c r="F76" s="445"/>
      <c r="G76" s="445"/>
      <c r="H76" s="445"/>
      <c r="I76" s="445"/>
      <c r="J76" s="445"/>
      <c r="K76" s="445"/>
      <c r="L76" s="445"/>
      <c r="M76" s="445"/>
      <c r="N76" s="445"/>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49" t="s">
        <v>689</v>
      </c>
      <c r="F79" s="449"/>
      <c r="G79" s="449"/>
      <c r="H79" s="449"/>
      <c r="I79" s="449"/>
      <c r="J79" s="449"/>
      <c r="K79" s="449"/>
      <c r="L79" s="449"/>
      <c r="M79" s="449"/>
      <c r="N79" s="449"/>
      <c r="O79" s="211"/>
      <c r="P79" s="209"/>
    </row>
    <row r="80" spans="1:18" s="213" customFormat="1" ht="14.25" x14ac:dyDescent="0.4">
      <c r="A80" s="219" t="b">
        <v>1</v>
      </c>
      <c r="B80" s="279" t="e">
        <f t="shared" ref="B80:B105" si="3">B79+1</f>
        <v>#REF!</v>
      </c>
      <c r="C80" s="299" t="s">
        <v>134</v>
      </c>
      <c r="D80" s="212"/>
      <c r="E80" s="445"/>
      <c r="F80" s="445"/>
      <c r="G80" s="445"/>
      <c r="H80" s="445"/>
      <c r="I80" s="445"/>
      <c r="J80" s="445"/>
      <c r="K80" s="445"/>
      <c r="L80" s="445"/>
      <c r="M80" s="445"/>
      <c r="N80" s="445"/>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45"/>
      <c r="F81" s="445"/>
      <c r="G81" s="445"/>
      <c r="H81" s="445"/>
      <c r="I81" s="445"/>
      <c r="J81" s="445"/>
      <c r="K81" s="445"/>
      <c r="L81" s="445"/>
      <c r="M81" s="445"/>
      <c r="N81" s="445"/>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44"/>
      <c r="D82" s="444"/>
      <c r="E82" s="444"/>
      <c r="F82" s="444"/>
      <c r="G82" s="444"/>
      <c r="H82" s="444"/>
      <c r="I82" s="444"/>
      <c r="J82" s="444"/>
      <c r="K82" s="444"/>
      <c r="L82" s="444"/>
      <c r="M82" s="444"/>
      <c r="N82" s="444"/>
      <c r="O82" s="444"/>
      <c r="P82" s="226"/>
    </row>
    <row r="83" spans="1:17" s="213" customFormat="1" ht="14.25" hidden="1" x14ac:dyDescent="0.35">
      <c r="A83" s="219" t="b">
        <v>1</v>
      </c>
      <c r="B83" s="279"/>
      <c r="C83" s="241"/>
      <c r="D83" s="233"/>
      <c r="E83" s="468"/>
      <c r="F83" s="469"/>
      <c r="G83" s="469"/>
      <c r="H83" s="469"/>
      <c r="I83" s="469"/>
      <c r="J83" s="469"/>
      <c r="K83" s="451"/>
      <c r="L83" s="451"/>
      <c r="M83" s="451"/>
      <c r="N83" s="451"/>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49"/>
      <c r="F85" s="449"/>
      <c r="G85" s="449"/>
      <c r="H85" s="449"/>
      <c r="I85" s="449"/>
      <c r="J85" s="449"/>
      <c r="K85" s="449"/>
      <c r="L85" s="449"/>
      <c r="M85" s="449"/>
      <c r="N85" s="449"/>
      <c r="P85" s="209"/>
      <c r="Q85" s="211"/>
    </row>
    <row r="86" spans="1:17" s="213" customFormat="1" ht="14.25" hidden="1" x14ac:dyDescent="0.35">
      <c r="A86" s="219"/>
      <c r="B86" s="279"/>
      <c r="C86" s="241"/>
      <c r="D86" s="240"/>
      <c r="E86" s="446"/>
      <c r="F86" s="446"/>
      <c r="G86" s="446"/>
      <c r="H86" s="446"/>
      <c r="I86" s="446"/>
      <c r="J86" s="446"/>
      <c r="K86" s="450"/>
      <c r="L86" s="450"/>
      <c r="M86" s="450"/>
      <c r="N86" s="450"/>
      <c r="O86" s="211"/>
      <c r="P86" s="209"/>
    </row>
    <row r="87" spans="1:17" s="213" customFormat="1" ht="14.25" hidden="1" x14ac:dyDescent="0.35">
      <c r="A87" s="219"/>
      <c r="B87" s="279"/>
      <c r="C87" s="241"/>
      <c r="D87" s="240"/>
      <c r="E87" s="449"/>
      <c r="F87" s="449"/>
      <c r="G87" s="449"/>
      <c r="H87" s="449"/>
      <c r="I87" s="449"/>
      <c r="J87" s="449"/>
      <c r="K87" s="449"/>
      <c r="L87" s="449"/>
      <c r="M87" s="449"/>
      <c r="N87" s="449"/>
      <c r="P87" s="209"/>
      <c r="Q87" s="211"/>
    </row>
    <row r="88" spans="1:17" s="213" customFormat="1" ht="14.25" hidden="1" x14ac:dyDescent="0.35">
      <c r="A88" s="219"/>
      <c r="B88" s="279"/>
      <c r="C88" s="241"/>
      <c r="D88" s="240"/>
      <c r="E88" s="446"/>
      <c r="F88" s="446"/>
      <c r="G88" s="446"/>
      <c r="H88" s="446"/>
      <c r="I88" s="446"/>
      <c r="J88" s="446"/>
      <c r="K88" s="450"/>
      <c r="L88" s="450"/>
      <c r="M88" s="450"/>
      <c r="N88" s="450"/>
      <c r="P88" s="209"/>
      <c r="Q88" s="211"/>
    </row>
    <row r="89" spans="1:17" s="213" customFormat="1" ht="14.25" x14ac:dyDescent="0.4">
      <c r="A89" s="219" t="b">
        <v>1</v>
      </c>
      <c r="B89" s="279">
        <f t="shared" si="3"/>
        <v>1</v>
      </c>
      <c r="C89" s="299" t="s">
        <v>144</v>
      </c>
      <c r="D89" s="210" t="s">
        <v>23</v>
      </c>
      <c r="E89" s="471"/>
      <c r="F89" s="472"/>
      <c r="G89" s="472"/>
      <c r="H89" s="472"/>
      <c r="I89" s="472"/>
      <c r="J89" s="472"/>
      <c r="K89" s="472"/>
      <c r="L89" s="255"/>
      <c r="M89" s="255"/>
      <c r="N89" s="255"/>
      <c r="O89" s="209"/>
      <c r="P89" s="209"/>
    </row>
    <row r="90" spans="1:17" s="213" customFormat="1" ht="14.25" x14ac:dyDescent="0.4">
      <c r="A90" s="219" t="b">
        <v>0</v>
      </c>
      <c r="B90" s="279">
        <f t="shared" si="3"/>
        <v>2</v>
      </c>
      <c r="C90" s="299" t="s">
        <v>145</v>
      </c>
      <c r="D90" s="372" t="b">
        <v>1</v>
      </c>
      <c r="E90" s="231"/>
      <c r="G90" s="228"/>
      <c r="H90" s="228"/>
      <c r="I90" s="473"/>
      <c r="J90" s="473"/>
      <c r="K90" s="473"/>
      <c r="L90" s="473"/>
      <c r="M90" s="473"/>
      <c r="N90" s="473"/>
      <c r="P90" s="209"/>
    </row>
    <row r="91" spans="1:17" s="213" customFormat="1" ht="14.25" x14ac:dyDescent="0.35">
      <c r="A91" s="219" t="b">
        <v>0</v>
      </c>
      <c r="B91" s="279"/>
      <c r="C91" s="444" t="s">
        <v>146</v>
      </c>
      <c r="D91" s="444"/>
      <c r="E91" s="444"/>
      <c r="F91" s="444"/>
      <c r="G91" s="444"/>
      <c r="H91" s="444"/>
      <c r="I91" s="444"/>
      <c r="J91" s="444"/>
      <c r="K91" s="444"/>
      <c r="L91" s="444"/>
      <c r="M91" s="444"/>
      <c r="N91" s="444"/>
      <c r="O91" s="444"/>
      <c r="P91" s="226"/>
    </row>
    <row r="92" spans="1:17" s="220" customFormat="1" ht="15.75" customHeight="1" x14ac:dyDescent="0.35">
      <c r="A92" s="219" t="b">
        <v>0</v>
      </c>
      <c r="B92" s="279">
        <f>B90+1</f>
        <v>3</v>
      </c>
      <c r="C92" s="228" t="s">
        <v>147</v>
      </c>
      <c r="D92" s="302"/>
      <c r="E92" s="446" t="s">
        <v>67</v>
      </c>
      <c r="F92" s="446"/>
      <c r="G92" s="474" t="str">
        <f>IF(D92=$D$7,"ON TIME",IF(D92&gt;$D$7,"LATE",IF(D92&lt;$D$7,"EARLY")))</f>
        <v>ON TIME</v>
      </c>
      <c r="H92" s="474"/>
      <c r="I92" s="474"/>
      <c r="J92" s="474"/>
      <c r="K92" s="474"/>
      <c r="L92" s="474"/>
      <c r="M92" s="474"/>
      <c r="N92" s="474"/>
      <c r="O92" s="238"/>
      <c r="P92" s="238"/>
    </row>
    <row r="93" spans="1:17" s="213" customFormat="1" ht="14.25" x14ac:dyDescent="0.35">
      <c r="A93" s="219" t="b">
        <v>0</v>
      </c>
      <c r="B93" s="279">
        <f t="shared" si="3"/>
        <v>4</v>
      </c>
      <c r="C93" s="256">
        <f>D15</f>
        <v>0</v>
      </c>
      <c r="D93" s="233" t="s">
        <v>148</v>
      </c>
      <c r="E93" s="470">
        <v>0</v>
      </c>
      <c r="F93" s="470"/>
      <c r="G93" s="470"/>
      <c r="H93" s="470"/>
      <c r="I93" s="470"/>
      <c r="J93" s="470"/>
      <c r="K93" s="470"/>
      <c r="L93" s="470"/>
      <c r="M93" s="470"/>
      <c r="N93" s="470"/>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70">
        <v>0</v>
      </c>
      <c r="F94" s="470"/>
      <c r="G94" s="470"/>
      <c r="H94" s="470"/>
      <c r="I94" s="470"/>
      <c r="J94" s="470"/>
      <c r="K94" s="470"/>
      <c r="L94" s="470"/>
      <c r="M94" s="470"/>
      <c r="N94" s="470"/>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75"/>
      <c r="F95" s="475"/>
      <c r="G95" s="475"/>
      <c r="H95" s="475"/>
      <c r="I95" s="475"/>
      <c r="J95" s="475"/>
      <c r="K95" s="475"/>
      <c r="L95" s="475"/>
      <c r="M95" s="475"/>
      <c r="N95" s="475"/>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49" t="s">
        <v>152</v>
      </c>
      <c r="F97" s="449"/>
      <c r="G97" s="449"/>
      <c r="H97" s="449"/>
      <c r="I97" s="449"/>
      <c r="J97" s="449"/>
      <c r="K97" s="449"/>
      <c r="L97" s="449"/>
      <c r="M97" s="449"/>
      <c r="N97" s="449"/>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44" t="s">
        <v>136</v>
      </c>
      <c r="D98" s="444"/>
      <c r="E98" s="444"/>
      <c r="F98" s="444"/>
      <c r="G98" s="444"/>
      <c r="H98" s="444"/>
      <c r="I98" s="444"/>
      <c r="J98" s="444"/>
      <c r="K98" s="444"/>
      <c r="L98" s="444"/>
      <c r="M98" s="444"/>
      <c r="N98" s="444"/>
      <c r="O98" s="444"/>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46" t="s">
        <v>67</v>
      </c>
      <c r="F105" s="446"/>
      <c r="G105" s="447" t="str">
        <f>IF(D105=D18,"ON TIME",IF(D105&gt;D18,"LATE",IF(D105&lt;D18,"EARLY")))</f>
        <v>ON TIME</v>
      </c>
      <c r="H105" s="447"/>
      <c r="I105" s="447"/>
      <c r="J105" s="447"/>
      <c r="K105" s="447"/>
      <c r="L105" s="447"/>
      <c r="M105" s="447"/>
      <c r="N105" s="447"/>
      <c r="O105" s="220"/>
      <c r="P105" s="205"/>
    </row>
    <row r="106" spans="1:28" s="213" customFormat="1" ht="14.25" x14ac:dyDescent="0.35">
      <c r="A106" s="219" t="b">
        <v>0</v>
      </c>
      <c r="B106" s="279"/>
      <c r="C106" s="444" t="s">
        <v>691</v>
      </c>
      <c r="D106" s="444"/>
      <c r="E106" s="444"/>
      <c r="F106" s="444"/>
      <c r="G106" s="444"/>
      <c r="H106" s="444"/>
      <c r="I106" s="444"/>
      <c r="J106" s="444"/>
      <c r="K106" s="444"/>
      <c r="L106" s="444"/>
      <c r="M106" s="444"/>
      <c r="N106" s="444"/>
      <c r="O106" s="444"/>
      <c r="P106" s="209"/>
    </row>
    <row r="107" spans="1:28" s="213" customFormat="1" ht="15.75" x14ac:dyDescent="0.4">
      <c r="A107" s="219" t="b">
        <v>0</v>
      </c>
      <c r="B107" s="279" t="e">
        <f>B105+1</f>
        <v>#REF!</v>
      </c>
      <c r="C107" s="299" t="s">
        <v>163</v>
      </c>
      <c r="D107" s="302"/>
      <c r="E107" s="446" t="s">
        <v>67</v>
      </c>
      <c r="F107" s="446"/>
      <c r="G107" s="474" t="str">
        <f>IF(D107=D18,"ON TIME",IF(D107&gt;D18,"LATE",IF(D107&lt;D18,"EARLY")))</f>
        <v>ON TIME</v>
      </c>
      <c r="H107" s="474"/>
      <c r="I107" s="474"/>
      <c r="J107" s="474"/>
      <c r="K107" s="474"/>
      <c r="L107" s="474"/>
      <c r="M107" s="474"/>
      <c r="N107" s="474"/>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76" t="s">
        <v>166</v>
      </c>
      <c r="D110" s="476"/>
      <c r="E110" s="476"/>
      <c r="F110" s="476"/>
      <c r="G110" s="476"/>
      <c r="H110" s="476"/>
      <c r="I110" s="476"/>
      <c r="J110" s="476"/>
      <c r="K110" s="476"/>
      <c r="L110" s="476"/>
      <c r="M110" s="476"/>
      <c r="N110" s="476"/>
      <c r="O110" s="476"/>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63010062</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77" t="s">
        <v>692</v>
      </c>
      <c r="F113" s="472"/>
      <c r="G113" s="472"/>
      <c r="H113" s="472"/>
      <c r="I113" s="472"/>
      <c r="J113" s="472"/>
      <c r="K113" s="472"/>
      <c r="L113" s="472"/>
      <c r="M113" s="472"/>
      <c r="N113" s="472"/>
      <c r="O113" s="211"/>
      <c r="P113" s="209"/>
      <c r="Z113" s="266"/>
      <c r="AA113" s="266"/>
      <c r="AB113" s="266"/>
    </row>
    <row r="114" spans="1:28" s="213" customFormat="1" ht="14.25" x14ac:dyDescent="0.35">
      <c r="A114" s="219" t="b">
        <v>1</v>
      </c>
      <c r="B114" s="279"/>
      <c r="C114" s="444" t="s">
        <v>169</v>
      </c>
      <c r="D114" s="444"/>
      <c r="E114" s="444"/>
      <c r="F114" s="444"/>
      <c r="G114" s="444"/>
      <c r="H114" s="444"/>
      <c r="I114" s="444"/>
      <c r="J114" s="444"/>
      <c r="K114" s="444"/>
      <c r="L114" s="444"/>
      <c r="M114" s="444"/>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76</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180</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1020</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63010062</v>
      </c>
      <c r="F119" s="335">
        <f t="shared" si="5"/>
        <v>4</v>
      </c>
      <c r="G119" s="377">
        <v>21</v>
      </c>
      <c r="H119" s="354">
        <f>'Auto-Calibration record'!$E$65</f>
        <v>2204</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3244</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11420</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18008</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30374</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44" t="s">
        <v>187</v>
      </c>
      <c r="D133" s="444"/>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44" t="s">
        <v>207</v>
      </c>
      <c r="D155" s="444"/>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44" t="s">
        <v>213</v>
      </c>
      <c r="D161" s="444"/>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44" t="s">
        <v>219</v>
      </c>
      <c r="D167" s="478"/>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46" t="s">
        <v>67</v>
      </c>
      <c r="F176" s="446"/>
      <c r="G176" s="474" t="str">
        <f>IF(D176=D18,"ON TIME",IF(D176&gt;D18,"LATE",IF(D176&lt;D18,"EARLY")))</f>
        <v>ON TIME</v>
      </c>
      <c r="H176" s="474"/>
      <c r="I176" s="474"/>
      <c r="J176" s="474"/>
      <c r="K176" s="474"/>
      <c r="L176" s="474"/>
      <c r="M176" s="474"/>
      <c r="N176" s="474"/>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2" t="s">
        <v>230</v>
      </c>
      <c r="D181" s="452"/>
      <c r="E181" s="452"/>
      <c r="F181" s="455"/>
      <c r="G181" s="455"/>
      <c r="H181" s="455"/>
    </row>
    <row r="182" spans="1:16" ht="15" customHeight="1" x14ac:dyDescent="0.4">
      <c r="B182" s="279"/>
      <c r="C182" s="299" t="str">
        <f>IF(D180="Y", "NEW BUILD UNIT, SERVICE REPORT NOT APPLICABLE"," ")</f>
        <v xml:space="preserve"> </v>
      </c>
    </row>
    <row r="183" spans="1:16" ht="91.15" customHeight="1" x14ac:dyDescent="0.35">
      <c r="B183" s="279" t="e">
        <f>B177+1</f>
        <v>#REF!</v>
      </c>
      <c r="C183" s="453" t="s">
        <v>231</v>
      </c>
      <c r="D183" s="454"/>
      <c r="E183" s="454"/>
      <c r="F183" s="454"/>
      <c r="G183" s="454"/>
      <c r="H183" s="454"/>
      <c r="I183" s="454"/>
      <c r="J183" s="454"/>
      <c r="K183" s="454"/>
      <c r="L183" s="454"/>
      <c r="M183" s="454"/>
      <c r="N183" s="454"/>
      <c r="O183" s="454"/>
    </row>
    <row r="184" spans="1:16" ht="15" customHeight="1" x14ac:dyDescent="0.4">
      <c r="B184" s="279"/>
    </row>
    <row r="185" spans="1:16" ht="15" customHeight="1" x14ac:dyDescent="0.4">
      <c r="B185" s="279"/>
      <c r="C185" s="452" t="s">
        <v>232</v>
      </c>
      <c r="D185" s="455"/>
      <c r="E185" s="455"/>
    </row>
    <row r="186" spans="1:16" ht="15" customHeight="1" x14ac:dyDescent="0.4">
      <c r="B186" s="279"/>
      <c r="C186" s="299" t="str">
        <f>IF(D180="Y", "NEW BUILD UNIT, SERVICE REPORT NOT APPLICABLE","")</f>
        <v/>
      </c>
    </row>
    <row r="187" spans="1:16" ht="60" customHeight="1" x14ac:dyDescent="0.35">
      <c r="B187" s="279" t="e">
        <f>B183+1</f>
        <v>#REF!</v>
      </c>
      <c r="C187" s="454"/>
      <c r="D187" s="454"/>
      <c r="E187" s="454"/>
      <c r="F187" s="454"/>
      <c r="G187" s="454"/>
      <c r="H187" s="454"/>
      <c r="I187" s="454"/>
      <c r="J187" s="454"/>
      <c r="K187" s="454"/>
      <c r="L187" s="454"/>
      <c r="M187" s="454"/>
      <c r="N187" s="454"/>
      <c r="O187" s="454"/>
    </row>
    <row r="188" spans="1:16" ht="15" customHeight="1" x14ac:dyDescent="0.4">
      <c r="B188" s="279"/>
    </row>
    <row r="189" spans="1:16" ht="15" customHeight="1" x14ac:dyDescent="0.4">
      <c r="B189" s="279"/>
      <c r="C189" s="452" t="s">
        <v>233</v>
      </c>
      <c r="D189" s="452"/>
      <c r="E189" s="452"/>
    </row>
    <row r="190" spans="1:16" ht="15" customHeight="1" x14ac:dyDescent="0.4">
      <c r="B190" s="279"/>
      <c r="C190" s="299" t="str">
        <f>IF(D180="Y", "NEW BUILD UNIT, SERVICE REPORT NOT APPLICABLE","")</f>
        <v/>
      </c>
    </row>
    <row r="191" spans="1:16" ht="52.15" customHeight="1" x14ac:dyDescent="0.35">
      <c r="B191" s="279" t="e">
        <f>B187+1</f>
        <v>#REF!</v>
      </c>
      <c r="C191" s="454"/>
      <c r="D191" s="454"/>
      <c r="E191" s="454"/>
      <c r="F191" s="454"/>
      <c r="G191" s="454"/>
      <c r="H191" s="454"/>
      <c r="I191" s="454"/>
      <c r="J191" s="454"/>
      <c r="K191" s="454"/>
      <c r="L191" s="454"/>
      <c r="M191" s="454"/>
      <c r="N191" s="454"/>
      <c r="O191" s="454"/>
    </row>
    <row r="192" spans="1:16" ht="15" customHeight="1" x14ac:dyDescent="0.4">
      <c r="B192" s="279"/>
    </row>
    <row r="193" spans="2:15" ht="15" customHeight="1" x14ac:dyDescent="0.4">
      <c r="B193" s="279"/>
      <c r="C193" s="452" t="s">
        <v>234</v>
      </c>
      <c r="D193" s="452"/>
    </row>
    <row r="194" spans="2:15" ht="15" customHeight="1" x14ac:dyDescent="0.4">
      <c r="B194" s="279"/>
      <c r="C194" s="299" t="str">
        <f>IF(D180="Y", "NEW BUILD UNIT, SERVICE REPORT NOT APPLICABLE","")</f>
        <v/>
      </c>
    </row>
    <row r="195" spans="2:15" ht="55.15" customHeight="1" x14ac:dyDescent="0.35">
      <c r="B195" s="279" t="e">
        <f>B191+1</f>
        <v>#REF!</v>
      </c>
      <c r="C195" s="456"/>
      <c r="D195" s="457"/>
      <c r="E195" s="457"/>
      <c r="F195" s="457"/>
      <c r="G195" s="457"/>
      <c r="H195" s="457"/>
      <c r="I195" s="457"/>
      <c r="J195" s="457"/>
      <c r="K195" s="457"/>
      <c r="L195" s="457"/>
      <c r="M195" s="457"/>
      <c r="N195" s="457"/>
      <c r="O195" s="458"/>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79" t="s">
        <v>237</v>
      </c>
      <c r="B1" s="455"/>
      <c r="C1">
        <f>'Cover Service Sheet'!E10</f>
        <v>0</v>
      </c>
    </row>
    <row r="3" spans="1:7" x14ac:dyDescent="0.35">
      <c r="A3" s="479" t="s">
        <v>238</v>
      </c>
      <c r="B3" s="455"/>
      <c r="G3" s="197"/>
    </row>
    <row r="4" spans="1:7" x14ac:dyDescent="0.35">
      <c r="A4" s="479" t="s">
        <v>239</v>
      </c>
      <c r="B4" s="455"/>
      <c r="G4" s="197"/>
    </row>
    <row r="5" spans="1:7" x14ac:dyDescent="0.35">
      <c r="A5" s="166" t="s">
        <v>240</v>
      </c>
      <c r="G5" s="197"/>
    </row>
    <row r="6" spans="1:7" x14ac:dyDescent="0.35">
      <c r="A6" s="166" t="s">
        <v>241</v>
      </c>
      <c r="G6" s="197"/>
    </row>
    <row r="7" spans="1:7" x14ac:dyDescent="0.35">
      <c r="A7" s="166" t="s">
        <v>242</v>
      </c>
      <c r="G7" s="202"/>
    </row>
    <row r="8" spans="1:7" x14ac:dyDescent="0.35">
      <c r="A8" s="479" t="s">
        <v>243</v>
      </c>
      <c r="B8" s="455"/>
      <c r="G8" s="197"/>
    </row>
    <row r="9" spans="1:7" x14ac:dyDescent="0.35">
      <c r="A9" s="166" t="s">
        <v>244</v>
      </c>
      <c r="G9" s="197"/>
    </row>
    <row r="10" spans="1:7" x14ac:dyDescent="0.35">
      <c r="A10" s="479" t="s">
        <v>245</v>
      </c>
      <c r="B10" s="455"/>
      <c r="C10" s="455"/>
      <c r="G10" s="197"/>
    </row>
    <row r="11" spans="1:7" x14ac:dyDescent="0.35">
      <c r="A11" s="166" t="s">
        <v>246</v>
      </c>
      <c r="G11" s="197"/>
    </row>
    <row r="12" spans="1:7" x14ac:dyDescent="0.35">
      <c r="A12" s="166" t="s">
        <v>247</v>
      </c>
      <c r="G12" s="197"/>
    </row>
    <row r="13" spans="1:7" x14ac:dyDescent="0.35">
      <c r="A13" s="166" t="s">
        <v>248</v>
      </c>
      <c r="G13" s="197"/>
    </row>
    <row r="15" spans="1:7" x14ac:dyDescent="0.35">
      <c r="A15" s="479" t="s">
        <v>120</v>
      </c>
      <c r="B15" s="455"/>
      <c r="C15" s="455"/>
      <c r="G15" s="197"/>
    </row>
    <row r="16" spans="1:7" x14ac:dyDescent="0.35">
      <c r="A16" s="479" t="s">
        <v>249</v>
      </c>
      <c r="B16" s="455"/>
      <c r="C16" s="455"/>
      <c r="D16" s="455"/>
      <c r="E16" s="455"/>
      <c r="F16" s="455"/>
      <c r="G16" s="197"/>
    </row>
    <row r="17" spans="1:7" x14ac:dyDescent="0.35">
      <c r="A17" s="479" t="s">
        <v>250</v>
      </c>
      <c r="B17" s="455"/>
      <c r="G17" s="197"/>
    </row>
    <row r="18" spans="1:7" x14ac:dyDescent="0.35">
      <c r="A18" s="479" t="s">
        <v>251</v>
      </c>
      <c r="B18" s="455"/>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62" t="s">
        <v>252</v>
      </c>
      <c r="D2" s="462"/>
      <c r="E2" s="462"/>
      <c r="F2" s="462"/>
      <c r="G2" s="462"/>
      <c r="H2" s="462"/>
      <c r="I2" s="462"/>
      <c r="J2" s="462"/>
      <c r="K2" s="462"/>
      <c r="L2" s="462"/>
      <c r="M2" s="462"/>
      <c r="N2" s="462"/>
      <c r="O2" s="462"/>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63010062</v>
      </c>
      <c r="E5" s="480" t="str">
        <f>'Cover Service Sheet'!E5&amp;'Cover Service Sheet'!F5</f>
        <v/>
      </c>
      <c r="F5" s="480"/>
      <c r="G5" s="480"/>
      <c r="H5" s="480"/>
      <c r="I5" s="480"/>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1">
        <v>0</v>
      </c>
      <c r="F10" s="481"/>
      <c r="G10" s="481"/>
      <c r="H10" s="481"/>
      <c r="I10" s="481"/>
      <c r="J10" s="481"/>
      <c r="K10" s="481"/>
      <c r="L10" s="481"/>
      <c r="M10" s="481"/>
      <c r="N10" s="481"/>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44" t="s">
        <v>265</v>
      </c>
      <c r="D14" s="444"/>
      <c r="E14" s="444"/>
      <c r="F14" s="444"/>
      <c r="G14" s="444"/>
      <c r="H14" s="444"/>
      <c r="I14" s="444"/>
      <c r="J14" s="444"/>
      <c r="K14" s="444"/>
      <c r="L14" s="444"/>
      <c r="M14" s="444"/>
      <c r="N14" s="444"/>
      <c r="O14" s="444"/>
      <c r="P14" s="226"/>
    </row>
    <row r="15" spans="1:17" s="220" customFormat="1" ht="15.75" x14ac:dyDescent="0.35">
      <c r="A15" s="227"/>
      <c r="B15" s="203">
        <f>B13+1</f>
        <v>26</v>
      </c>
      <c r="C15" s="228" t="s">
        <v>163</v>
      </c>
      <c r="D15" s="210"/>
      <c r="E15" s="446" t="s">
        <v>67</v>
      </c>
      <c r="F15" s="446"/>
      <c r="G15" s="447" t="str">
        <f>IF(D15=D7,"ON TIME",IF(D15&gt;D7,"LATE",IF(D15&lt;D7,"EARLY")))</f>
        <v>ON TIME</v>
      </c>
      <c r="H15" s="447"/>
      <c r="I15" s="447"/>
      <c r="J15" s="447"/>
      <c r="K15" s="447"/>
      <c r="L15" s="447"/>
      <c r="M15" s="447"/>
      <c r="N15" s="447"/>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62" t="s">
        <v>268</v>
      </c>
      <c r="F17" s="462"/>
      <c r="G17" s="462"/>
      <c r="H17" s="462"/>
      <c r="I17" s="462"/>
      <c r="J17" s="462"/>
      <c r="K17" s="462"/>
      <c r="L17" s="462"/>
      <c r="M17" s="462"/>
      <c r="N17" s="462"/>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45"/>
      <c r="F25" s="445"/>
      <c r="G25" s="445"/>
      <c r="H25" s="445"/>
      <c r="I25" s="445"/>
      <c r="J25" s="445"/>
      <c r="K25" s="445"/>
      <c r="L25" s="445"/>
      <c r="M25" s="445"/>
      <c r="N25" s="445"/>
      <c r="O25" s="211" t="str">
        <f>IF(A25=TRUE,"Charge circuit checked and verified PASS","")</f>
        <v/>
      </c>
    </row>
    <row r="26" spans="1:16" x14ac:dyDescent="0.35">
      <c r="A26" s="236">
        <v>4.0999999999999996</v>
      </c>
      <c r="B26" s="203">
        <f t="shared" si="0"/>
        <v>36</v>
      </c>
      <c r="C26" s="205" t="s">
        <v>275</v>
      </c>
      <c r="D26" s="237"/>
      <c r="E26" s="482"/>
      <c r="F26" s="482"/>
      <c r="G26" s="482"/>
      <c r="H26" s="482"/>
      <c r="I26" s="482"/>
      <c r="J26" s="482"/>
      <c r="K26" s="482"/>
      <c r="L26" s="482"/>
      <c r="M26" s="482"/>
      <c r="N26" s="482"/>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48"/>
      <c r="F32" s="448"/>
      <c r="G32" s="448"/>
      <c r="H32" s="448"/>
      <c r="I32" s="448"/>
      <c r="J32" s="448"/>
      <c r="K32" s="448"/>
      <c r="L32" s="448"/>
      <c r="M32" s="448"/>
      <c r="N32" s="448"/>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63010062</v>
      </c>
      <c r="D60" s="243" t="s">
        <v>293</v>
      </c>
    </row>
    <row r="61" spans="1:25" x14ac:dyDescent="0.35">
      <c r="A61" s="219" t="b">
        <v>0</v>
      </c>
      <c r="B61" s="203">
        <f t="shared" si="0"/>
        <v>71</v>
      </c>
      <c r="C61" s="245"/>
      <c r="D61" s="243"/>
    </row>
    <row r="62" spans="1:25" ht="15" x14ac:dyDescent="0.35">
      <c r="B62" s="203">
        <f t="shared" si="0"/>
        <v>72</v>
      </c>
      <c r="C62" s="205"/>
      <c r="D62" s="212"/>
      <c r="O62" s="483"/>
      <c r="P62" s="483"/>
      <c r="Q62" s="483"/>
      <c r="R62" s="483"/>
      <c r="S62" s="483"/>
      <c r="T62" s="483"/>
      <c r="U62" s="483"/>
      <c r="V62" s="483"/>
      <c r="W62" s="483"/>
      <c r="X62" s="483"/>
      <c r="Y62" s="484"/>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45"/>
      <c r="F65" s="445"/>
      <c r="G65" s="445"/>
      <c r="H65" s="445"/>
      <c r="I65" s="445"/>
      <c r="J65" s="445"/>
      <c r="K65" s="445"/>
      <c r="L65" s="445"/>
      <c r="M65" s="445"/>
      <c r="N65" s="445"/>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44" t="s">
        <v>127</v>
      </c>
      <c r="D70" s="444"/>
      <c r="E70" s="444"/>
      <c r="F70" s="444"/>
      <c r="G70" s="444"/>
      <c r="H70" s="444"/>
      <c r="I70" s="444"/>
      <c r="J70" s="444"/>
      <c r="K70" s="444"/>
      <c r="L70" s="444"/>
      <c r="M70" s="444"/>
      <c r="N70" s="444"/>
      <c r="O70" s="444"/>
      <c r="P70" s="226"/>
    </row>
    <row r="71" spans="1:16" x14ac:dyDescent="0.35">
      <c r="A71" s="219" t="b">
        <v>0</v>
      </c>
      <c r="B71" s="203">
        <f>B69+1</f>
        <v>80</v>
      </c>
      <c r="C71" s="232"/>
      <c r="D71" s="233" t="s">
        <v>128</v>
      </c>
      <c r="E71" s="445"/>
      <c r="F71" s="445"/>
      <c r="G71" s="445"/>
      <c r="H71" s="445"/>
      <c r="I71" s="445"/>
      <c r="J71" s="445"/>
      <c r="K71" s="445"/>
      <c r="L71" s="445"/>
      <c r="M71" s="445"/>
      <c r="N71" s="445"/>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49" t="s">
        <v>133</v>
      </c>
      <c r="F76" s="449"/>
      <c r="G76" s="449"/>
      <c r="H76" s="449"/>
      <c r="I76" s="449"/>
      <c r="J76" s="449"/>
      <c r="K76" s="449"/>
      <c r="L76" s="449"/>
      <c r="M76" s="449"/>
      <c r="N76" s="449"/>
      <c r="O76" s="211" t="str">
        <f>IF(A76=FALSE,"Secondary purge test FAIL/not completed","Secondary purge test PASS")</f>
        <v>Secondary purge test FAIL/not completed</v>
      </c>
      <c r="P76" s="209"/>
    </row>
    <row r="77" spans="1:16" x14ac:dyDescent="0.35">
      <c r="A77" s="219">
        <v>2000</v>
      </c>
      <c r="B77" s="203">
        <f t="shared" si="1"/>
        <v>86</v>
      </c>
      <c r="C77" s="254"/>
      <c r="D77" s="212"/>
      <c r="E77" s="445"/>
      <c r="F77" s="445"/>
      <c r="G77" s="445"/>
      <c r="H77" s="445"/>
      <c r="I77" s="445"/>
      <c r="J77" s="445"/>
      <c r="K77" s="445"/>
      <c r="L77" s="445"/>
      <c r="M77" s="445"/>
      <c r="N77" s="445"/>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45"/>
      <c r="F78" s="445"/>
      <c r="G78" s="445"/>
      <c r="H78" s="445"/>
      <c r="I78" s="445"/>
      <c r="J78" s="445"/>
      <c r="K78" s="445"/>
      <c r="L78" s="445"/>
      <c r="M78" s="445"/>
      <c r="N78" s="445"/>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45"/>
      <c r="F79" s="445"/>
      <c r="G79" s="445"/>
      <c r="H79" s="445"/>
      <c r="I79" s="445"/>
      <c r="J79" s="445"/>
      <c r="K79" s="445"/>
      <c r="L79" s="445"/>
      <c r="M79" s="445"/>
      <c r="N79" s="445"/>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45"/>
      <c r="F80" s="445"/>
      <c r="G80" s="445"/>
      <c r="H80" s="445"/>
      <c r="I80" s="445"/>
      <c r="J80" s="445"/>
      <c r="K80" s="445"/>
      <c r="L80" s="445"/>
      <c r="M80" s="445"/>
      <c r="N80" s="445"/>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44" t="s">
        <v>136</v>
      </c>
      <c r="D81" s="444"/>
      <c r="E81" s="444"/>
      <c r="F81" s="444"/>
      <c r="G81" s="444"/>
      <c r="H81" s="444"/>
      <c r="I81" s="444"/>
      <c r="J81" s="444"/>
      <c r="K81" s="444"/>
      <c r="L81" s="444"/>
      <c r="M81" s="444"/>
      <c r="N81" s="444"/>
      <c r="O81" s="444"/>
      <c r="P81" s="226"/>
    </row>
    <row r="82" spans="1:16" x14ac:dyDescent="0.35">
      <c r="A82" s="219" t="b">
        <v>0</v>
      </c>
      <c r="B82" s="203">
        <f>B80+1</f>
        <v>90</v>
      </c>
      <c r="C82" s="241"/>
      <c r="D82" s="233" t="s">
        <v>137</v>
      </c>
      <c r="E82" s="468"/>
      <c r="F82" s="469"/>
      <c r="G82" s="469"/>
      <c r="H82" s="469"/>
      <c r="I82" s="469"/>
      <c r="J82" s="469"/>
      <c r="K82" s="451" t="s">
        <v>138</v>
      </c>
      <c r="L82" s="451"/>
      <c r="M82" s="451"/>
      <c r="N82" s="451"/>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49" t="s">
        <v>139</v>
      </c>
      <c r="F84" s="449"/>
      <c r="G84" s="449"/>
      <c r="H84" s="449"/>
      <c r="I84" s="449"/>
      <c r="J84" s="449"/>
      <c r="K84" s="449"/>
      <c r="L84" s="449"/>
      <c r="M84" s="449"/>
      <c r="N84" s="449"/>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46" t="s">
        <v>141</v>
      </c>
      <c r="F85" s="446"/>
      <c r="G85" s="446"/>
      <c r="H85" s="446"/>
      <c r="I85" s="446"/>
      <c r="J85" s="446"/>
      <c r="K85" s="485"/>
      <c r="L85" s="485"/>
      <c r="M85" s="485"/>
      <c r="N85" s="485"/>
      <c r="O85" s="211" t="str">
        <f>IF(A85=TRUE,"Customer advised of additional work required for approval","")</f>
        <v/>
      </c>
    </row>
    <row r="86" spans="1:16" x14ac:dyDescent="0.35">
      <c r="A86" s="219" t="b">
        <v>0</v>
      </c>
      <c r="B86" s="203">
        <f t="shared" si="2"/>
        <v>94</v>
      </c>
      <c r="C86" s="241"/>
      <c r="D86" s="240" t="s">
        <v>303</v>
      </c>
      <c r="E86" s="449" t="s">
        <v>139</v>
      </c>
      <c r="F86" s="449"/>
      <c r="G86" s="449"/>
      <c r="H86" s="449"/>
      <c r="I86" s="449"/>
      <c r="J86" s="449"/>
      <c r="K86" s="449"/>
      <c r="L86" s="449"/>
      <c r="M86" s="449"/>
      <c r="N86" s="449"/>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46" t="s">
        <v>143</v>
      </c>
      <c r="F87" s="446"/>
      <c r="G87" s="446"/>
      <c r="H87" s="446"/>
      <c r="I87" s="446"/>
      <c r="J87" s="446"/>
      <c r="K87" s="485"/>
      <c r="L87" s="485"/>
      <c r="M87" s="485"/>
      <c r="N87" s="485"/>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73">
        <f>D89-D16</f>
        <v>0</v>
      </c>
      <c r="J89" s="473"/>
      <c r="K89" s="473"/>
      <c r="L89" s="473"/>
      <c r="M89" s="473"/>
      <c r="N89" s="473"/>
      <c r="O89" s="213"/>
    </row>
    <row r="90" spans="1:16" x14ac:dyDescent="0.35">
      <c r="C90" s="444" t="s">
        <v>146</v>
      </c>
      <c r="D90" s="444"/>
      <c r="E90" s="444"/>
      <c r="F90" s="444"/>
      <c r="G90" s="444"/>
      <c r="H90" s="444"/>
      <c r="I90" s="444"/>
      <c r="J90" s="444"/>
      <c r="K90" s="444"/>
      <c r="L90" s="444"/>
      <c r="M90" s="444"/>
      <c r="N90" s="444"/>
      <c r="O90" s="444"/>
      <c r="P90" s="226"/>
    </row>
    <row r="91" spans="1:16" s="220" customFormat="1" ht="15.75" customHeight="1" x14ac:dyDescent="0.35">
      <c r="A91" s="227"/>
      <c r="B91" s="203">
        <f>B89+1</f>
        <v>98</v>
      </c>
      <c r="C91" s="228" t="s">
        <v>147</v>
      </c>
      <c r="D91" s="210"/>
      <c r="E91" s="446" t="s">
        <v>67</v>
      </c>
      <c r="F91" s="446"/>
      <c r="G91" s="474" t="str">
        <f>IF(D91=$D$7,"ON TIME",IF(D91&gt;$D$7,"LATE",IF(D91&lt;$D$7,"EARLY")))</f>
        <v>ON TIME</v>
      </c>
      <c r="H91" s="474"/>
      <c r="I91" s="474"/>
      <c r="J91" s="474"/>
      <c r="K91" s="474"/>
      <c r="L91" s="474"/>
      <c r="M91" s="474"/>
      <c r="N91" s="474"/>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70">
        <v>0</v>
      </c>
      <c r="F93" s="470"/>
      <c r="G93" s="470"/>
      <c r="H93" s="470"/>
      <c r="I93" s="470"/>
      <c r="J93" s="470"/>
      <c r="K93" s="470"/>
      <c r="L93" s="470"/>
      <c r="M93" s="470"/>
      <c r="N93" s="470"/>
      <c r="O93" s="211" t="str">
        <f>IF(A93=TRUE,"SO received and on system","Awaiting customers purchase order")</f>
        <v>Awaiting customers purchase order</v>
      </c>
      <c r="P93" s="220"/>
    </row>
    <row r="94" spans="1:16" x14ac:dyDescent="0.35">
      <c r="A94" s="219" t="b">
        <v>0</v>
      </c>
      <c r="B94" s="203">
        <f t="shared" si="1"/>
        <v>101</v>
      </c>
      <c r="C94" s="256"/>
      <c r="D94" s="233" t="s">
        <v>309</v>
      </c>
      <c r="E94" s="470">
        <v>0</v>
      </c>
      <c r="F94" s="470"/>
      <c r="G94" s="470"/>
      <c r="H94" s="470"/>
      <c r="I94" s="470"/>
      <c r="J94" s="470"/>
      <c r="K94" s="470"/>
      <c r="L94" s="470"/>
      <c r="M94" s="470"/>
      <c r="N94" s="470"/>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6"/>
      <c r="F97" s="487"/>
      <c r="G97" s="487"/>
      <c r="H97" s="487"/>
      <c r="I97" s="487"/>
      <c r="J97" s="487"/>
      <c r="K97" s="451" t="s">
        <v>138</v>
      </c>
      <c r="L97" s="451"/>
      <c r="M97" s="451"/>
      <c r="N97" s="451"/>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8"/>
      <c r="F99" s="445"/>
      <c r="G99" s="445"/>
      <c r="H99" s="445"/>
      <c r="I99" s="445"/>
      <c r="J99" s="445"/>
      <c r="K99" s="445"/>
      <c r="L99" s="445"/>
      <c r="M99" s="445"/>
      <c r="N99" s="445"/>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8"/>
      <c r="F100" s="445"/>
      <c r="G100" s="445"/>
      <c r="H100" s="445"/>
      <c r="I100" s="445"/>
      <c r="J100" s="445"/>
      <c r="K100" s="445"/>
      <c r="L100" s="445"/>
      <c r="M100" s="445"/>
      <c r="N100" s="445"/>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8"/>
      <c r="F101" s="445"/>
      <c r="G101" s="445"/>
      <c r="H101" s="445"/>
      <c r="I101" s="445"/>
      <c r="J101" s="445"/>
      <c r="K101" s="445"/>
      <c r="L101" s="445"/>
      <c r="M101" s="445"/>
      <c r="N101" s="445"/>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8"/>
      <c r="F102" s="445"/>
      <c r="G102" s="445"/>
      <c r="H102" s="445"/>
      <c r="I102" s="445"/>
      <c r="J102" s="445"/>
      <c r="K102" s="445"/>
      <c r="L102" s="445"/>
      <c r="M102" s="445"/>
      <c r="N102" s="445"/>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49" t="s">
        <v>152</v>
      </c>
      <c r="F103" s="449"/>
      <c r="G103" s="449"/>
      <c r="H103" s="449"/>
      <c r="I103" s="449"/>
      <c r="J103" s="449"/>
      <c r="K103" s="449"/>
      <c r="L103" s="449"/>
      <c r="M103" s="449"/>
      <c r="N103" s="449"/>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49" t="s">
        <v>152</v>
      </c>
      <c r="F109" s="449"/>
      <c r="G109" s="449"/>
      <c r="H109" s="449"/>
      <c r="I109" s="449"/>
      <c r="J109" s="449"/>
      <c r="K109" s="449"/>
      <c r="L109" s="449"/>
      <c r="M109" s="449"/>
      <c r="N109" s="449"/>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7"/>
      <c r="L112" s="487"/>
      <c r="M112" s="487"/>
      <c r="N112" s="487"/>
      <c r="O112" s="211" t="str">
        <f>IF(A112=TRUE,"Moisture sensor replaced as part of service","")</f>
        <v/>
      </c>
    </row>
    <row r="113" spans="1:16" x14ac:dyDescent="0.35">
      <c r="A113" s="219" t="b">
        <v>0</v>
      </c>
      <c r="B113" s="203">
        <f t="shared" si="1"/>
        <v>119</v>
      </c>
      <c r="C113" s="241"/>
      <c r="D113" s="233" t="s">
        <v>324</v>
      </c>
      <c r="E113" s="486"/>
      <c r="F113" s="487"/>
      <c r="G113" s="220" t="s">
        <v>325</v>
      </c>
      <c r="I113" s="487"/>
      <c r="J113" s="487"/>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7"/>
      <c r="F115" s="487"/>
      <c r="G115" s="487"/>
      <c r="H115" s="487"/>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44" t="s">
        <v>136</v>
      </c>
      <c r="D120" s="444"/>
      <c r="E120" s="444"/>
      <c r="F120" s="444"/>
      <c r="G120" s="444"/>
      <c r="H120" s="444"/>
      <c r="I120" s="444"/>
      <c r="J120" s="444"/>
      <c r="K120" s="444"/>
      <c r="L120" s="444"/>
      <c r="M120" s="444"/>
      <c r="N120" s="444"/>
      <c r="O120" s="444"/>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45"/>
      <c r="F124" s="445"/>
      <c r="G124" s="445"/>
      <c r="H124" s="445"/>
      <c r="I124" s="445"/>
      <c r="J124" s="445"/>
      <c r="K124" s="445"/>
      <c r="L124" s="445"/>
      <c r="M124" s="445"/>
      <c r="N124" s="445"/>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45"/>
      <c r="F125" s="445"/>
      <c r="G125" s="445"/>
      <c r="H125" s="445"/>
      <c r="I125" s="445"/>
      <c r="J125" s="445"/>
      <c r="K125" s="445"/>
      <c r="L125" s="445"/>
      <c r="M125" s="445"/>
      <c r="N125" s="445"/>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89"/>
      <c r="F127" s="489"/>
      <c r="G127" s="489"/>
      <c r="H127" s="489"/>
      <c r="I127" s="489"/>
      <c r="J127" s="489"/>
      <c r="K127" s="489"/>
      <c r="L127" s="489"/>
      <c r="M127" s="489"/>
      <c r="N127" s="489"/>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46" t="s">
        <v>67</v>
      </c>
      <c r="F131" s="446"/>
      <c r="G131" s="447" t="str">
        <f>IF(D131=D13,"ON TIME",IF(D131&gt;D13,"LATE",IF(D131&lt;D13,"EARLY")))</f>
        <v>EARLY</v>
      </c>
      <c r="H131" s="447"/>
      <c r="I131" s="447"/>
      <c r="J131" s="447"/>
      <c r="K131" s="447"/>
      <c r="L131" s="447"/>
      <c r="M131" s="447"/>
      <c r="N131" s="447"/>
      <c r="O131" s="220"/>
      <c r="P131" s="205"/>
    </row>
    <row r="132" spans="1:28" x14ac:dyDescent="0.35">
      <c r="B132" s="203">
        <f t="shared" si="1"/>
        <v>137</v>
      </c>
      <c r="C132" s="228" t="s">
        <v>335</v>
      </c>
      <c r="D132" s="229"/>
      <c r="E132" s="231" t="s">
        <v>306</v>
      </c>
      <c r="F132" s="213"/>
      <c r="G132" s="228"/>
      <c r="H132" s="228"/>
      <c r="I132" s="473">
        <f>D132-D92</f>
        <v>0</v>
      </c>
      <c r="J132" s="473"/>
      <c r="K132" s="473"/>
      <c r="L132" s="473"/>
      <c r="M132" s="473"/>
      <c r="N132" s="473"/>
      <c r="O132" s="213"/>
    </row>
    <row r="133" spans="1:28" x14ac:dyDescent="0.35">
      <c r="C133" s="444" t="s">
        <v>162</v>
      </c>
      <c r="D133" s="444"/>
      <c r="E133" s="444"/>
      <c r="F133" s="444"/>
      <c r="G133" s="444"/>
      <c r="H133" s="444"/>
      <c r="I133" s="444"/>
      <c r="J133" s="444"/>
      <c r="K133" s="444"/>
      <c r="L133" s="444"/>
      <c r="M133" s="444"/>
      <c r="N133" s="444"/>
      <c r="O133" s="444"/>
    </row>
    <row r="134" spans="1:28" ht="15.75" x14ac:dyDescent="0.35">
      <c r="B134" s="203">
        <f>B132+1</f>
        <v>138</v>
      </c>
      <c r="C134" s="228" t="s">
        <v>163</v>
      </c>
      <c r="D134" s="210"/>
      <c r="E134" s="446" t="s">
        <v>67</v>
      </c>
      <c r="F134" s="446"/>
      <c r="G134" s="474" t="str">
        <f>IF(D134=D13,"ON TIME",IF(D134&gt;D13,"LATE",IF(D134&lt;D13,"EARLY")))</f>
        <v>EARLY</v>
      </c>
      <c r="H134" s="474"/>
      <c r="I134" s="474"/>
      <c r="J134" s="474"/>
      <c r="K134" s="474"/>
      <c r="L134" s="474"/>
      <c r="M134" s="474"/>
      <c r="N134" s="474"/>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73">
        <f>D136-D135</f>
        <v>0</v>
      </c>
      <c r="J136" s="473"/>
      <c r="K136" s="473"/>
      <c r="L136" s="473"/>
      <c r="M136" s="473"/>
      <c r="N136" s="473"/>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89"/>
      <c r="F140" s="489"/>
      <c r="G140" s="489"/>
      <c r="H140" s="489"/>
      <c r="I140" s="489"/>
      <c r="J140" s="489"/>
      <c r="K140" s="489"/>
      <c r="L140" s="489"/>
      <c r="M140" s="489"/>
      <c r="N140" s="489"/>
      <c r="O140" s="211" t="str">
        <f>IF(A140=TRUE,"Calibration complete PASSED","")</f>
        <v/>
      </c>
    </row>
    <row r="141" spans="1:28" ht="15.75" x14ac:dyDescent="0.35">
      <c r="C141" s="476" t="s">
        <v>166</v>
      </c>
      <c r="D141" s="476"/>
      <c r="E141" s="476"/>
      <c r="F141" s="476"/>
      <c r="G141" s="476"/>
      <c r="H141" s="476"/>
      <c r="I141" s="476"/>
      <c r="J141" s="476"/>
      <c r="K141" s="476"/>
      <c r="L141" s="476"/>
      <c r="M141" s="476"/>
      <c r="N141" s="476"/>
      <c r="O141" s="476"/>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63010062</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75" t="s">
        <v>172</v>
      </c>
      <c r="H160" s="475"/>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90">
        <f>'Auto-Calibration record'!B65</f>
        <v>76</v>
      </c>
      <c r="H161" s="491"/>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90">
        <f>'Auto-Calibration record'!C65</f>
        <v>180</v>
      </c>
      <c r="H162" s="491"/>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90">
        <f>'Auto-Calibration record'!D65</f>
        <v>1020</v>
      </c>
      <c r="H163" s="491"/>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90">
        <f>'Auto-Calibration record'!E65</f>
        <v>2204</v>
      </c>
      <c r="H164" s="491"/>
    </row>
    <row r="165" spans="1:18" x14ac:dyDescent="0.35">
      <c r="A165" s="219" t="b">
        <v>0</v>
      </c>
      <c r="B165" s="203">
        <f t="shared" si="3"/>
        <v>167</v>
      </c>
      <c r="C165" s="228" t="s">
        <v>358</v>
      </c>
      <c r="D165" s="270"/>
      <c r="E165" s="204">
        <v>5</v>
      </c>
      <c r="F165" s="204">
        <v>25</v>
      </c>
      <c r="G165" s="490">
        <f>'Auto-Calibration record'!F65</f>
        <v>3244</v>
      </c>
      <c r="H165" s="491"/>
    </row>
    <row r="166" spans="1:18" x14ac:dyDescent="0.35">
      <c r="A166" s="219" t="b">
        <v>0</v>
      </c>
      <c r="B166" s="203">
        <f t="shared" si="3"/>
        <v>168</v>
      </c>
      <c r="C166" s="228" t="s">
        <v>359</v>
      </c>
      <c r="D166" s="273"/>
      <c r="E166" s="204">
        <v>6</v>
      </c>
      <c r="F166" s="204">
        <v>38</v>
      </c>
      <c r="G166" s="490">
        <f>'Auto-Calibration record'!G65</f>
        <v>11420</v>
      </c>
      <c r="H166" s="491"/>
    </row>
    <row r="167" spans="1:18" x14ac:dyDescent="0.35">
      <c r="A167" s="219" t="b">
        <v>0</v>
      </c>
      <c r="B167" s="203">
        <f t="shared" si="3"/>
        <v>169</v>
      </c>
      <c r="C167" s="279" t="s">
        <v>360</v>
      </c>
      <c r="D167" s="273"/>
      <c r="E167" s="204">
        <v>7</v>
      </c>
      <c r="F167" s="204">
        <v>50</v>
      </c>
      <c r="G167" s="490">
        <f>'Auto-Calibration record'!H65</f>
        <v>18008</v>
      </c>
      <c r="H167" s="491"/>
    </row>
    <row r="168" spans="1:18" x14ac:dyDescent="0.35">
      <c r="A168" s="219" t="b">
        <v>0</v>
      </c>
      <c r="B168" s="203">
        <f t="shared" si="3"/>
        <v>170</v>
      </c>
      <c r="C168" s="228" t="s">
        <v>361</v>
      </c>
      <c r="D168" s="273"/>
      <c r="E168" s="204">
        <v>8</v>
      </c>
      <c r="F168" s="204">
        <v>70</v>
      </c>
      <c r="G168" s="490">
        <f>'Auto-Calibration record'!I65</f>
        <v>30374</v>
      </c>
      <c r="H168" s="491"/>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64" t="s">
        <v>438</v>
      </c>
      <c r="F219" s="465"/>
      <c r="G219" s="465"/>
      <c r="H219" s="465"/>
      <c r="I219" s="465"/>
      <c r="J219" s="465"/>
      <c r="K219" s="465"/>
      <c r="L219" s="465"/>
      <c r="M219" s="465"/>
      <c r="N219" s="465"/>
      <c r="O219" s="465"/>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46"/>
      <c r="F225" s="446"/>
      <c r="G225" s="474"/>
      <c r="H225" s="474"/>
      <c r="I225" s="474"/>
      <c r="J225" s="474"/>
      <c r="K225" s="474"/>
      <c r="L225" s="474"/>
      <c r="M225" s="474"/>
      <c r="N225" s="474"/>
    </row>
    <row r="226" spans="2:14" x14ac:dyDescent="0.35">
      <c r="B226" s="203">
        <f t="shared" si="4"/>
        <v>223</v>
      </c>
      <c r="C226" s="228" t="s">
        <v>414</v>
      </c>
      <c r="D226" s="229"/>
      <c r="E226" s="231" t="s">
        <v>306</v>
      </c>
      <c r="F226" s="213"/>
      <c r="G226" s="228"/>
      <c r="H226" s="228"/>
      <c r="I226" s="473"/>
      <c r="J226" s="473"/>
      <c r="K226" s="473"/>
      <c r="L226" s="473"/>
      <c r="M226" s="473"/>
      <c r="N226" s="473"/>
    </row>
    <row r="227" spans="2:14" x14ac:dyDescent="0.35">
      <c r="B227" s="203">
        <f t="shared" si="4"/>
        <v>224</v>
      </c>
      <c r="C227" s="205" t="s">
        <v>415</v>
      </c>
      <c r="E227" s="489"/>
      <c r="F227" s="489"/>
      <c r="G227" s="489"/>
      <c r="H227" s="489"/>
      <c r="I227" s="489"/>
      <c r="J227" s="489"/>
      <c r="K227" s="489"/>
      <c r="L227" s="489"/>
      <c r="M227" s="489"/>
      <c r="N227" s="489"/>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92"/>
      <c r="F233" s="493"/>
      <c r="G233" s="493"/>
      <c r="H233" s="493"/>
      <c r="I233" s="493"/>
      <c r="J233" s="493"/>
      <c r="K233" s="494"/>
      <c r="L233" s="213"/>
    </row>
    <row r="234" spans="2:14" x14ac:dyDescent="0.35">
      <c r="B234" s="280"/>
      <c r="C234" s="281" t="s">
        <v>422</v>
      </c>
      <c r="D234" s="282"/>
      <c r="E234" s="492"/>
      <c r="F234" s="493"/>
      <c r="G234" s="493"/>
      <c r="H234" s="493"/>
      <c r="I234" s="493"/>
      <c r="J234" s="493"/>
      <c r="K234" s="494"/>
      <c r="L234" s="213"/>
    </row>
    <row r="235" spans="2:14" x14ac:dyDescent="0.35">
      <c r="B235" s="296"/>
      <c r="C235" s="295" t="s">
        <v>423</v>
      </c>
      <c r="D235" s="297"/>
      <c r="E235" s="492"/>
      <c r="F235" s="493"/>
      <c r="G235" s="493"/>
      <c r="H235" s="493"/>
      <c r="I235" s="493"/>
      <c r="J235" s="493"/>
      <c r="K235" s="494"/>
      <c r="L235" s="213"/>
    </row>
    <row r="236" spans="2:14" x14ac:dyDescent="0.35">
      <c r="B236" s="280"/>
      <c r="C236" s="295"/>
      <c r="D236" s="282"/>
      <c r="E236" s="495" t="s">
        <v>67</v>
      </c>
      <c r="F236" s="496"/>
      <c r="G236" s="497" t="str">
        <f>IF(D225=D13,"ON TIME",IF(D225&gt;D13,"LATE",IF(D225&lt;D13,"EARLY")))</f>
        <v>EARLY</v>
      </c>
      <c r="H236" s="472"/>
      <c r="I236" s="472"/>
      <c r="J236" s="472"/>
      <c r="K236" s="472"/>
      <c r="L236" s="472"/>
      <c r="M236" s="472"/>
      <c r="N236" s="472"/>
    </row>
    <row r="237" spans="2:14" x14ac:dyDescent="0.35">
      <c r="B237" s="280"/>
      <c r="C237" s="295"/>
      <c r="D237" s="282"/>
      <c r="E237" s="492"/>
      <c r="F237" s="493"/>
      <c r="G237" s="493"/>
      <c r="H237" s="493"/>
      <c r="I237" s="493"/>
      <c r="J237" s="493"/>
      <c r="K237" s="494"/>
      <c r="L237" s="213"/>
    </row>
    <row r="238" spans="2:14" x14ac:dyDescent="0.35">
      <c r="B238" s="280"/>
      <c r="C238" s="295"/>
      <c r="D238" s="282"/>
      <c r="E238" s="492"/>
      <c r="F238" s="493"/>
      <c r="G238" s="493"/>
      <c r="H238" s="493"/>
      <c r="I238" s="493"/>
      <c r="J238" s="493"/>
      <c r="K238" s="494"/>
      <c r="L238" s="213"/>
    </row>
    <row r="239" spans="2:14" x14ac:dyDescent="0.35">
      <c r="B239" s="280"/>
      <c r="C239" s="281"/>
      <c r="D239" s="282"/>
      <c r="E239" s="492"/>
      <c r="F239" s="493"/>
      <c r="G239" s="493"/>
      <c r="H239" s="493"/>
      <c r="I239" s="493"/>
      <c r="J239" s="493"/>
      <c r="K239" s="494"/>
      <c r="L239" s="213"/>
    </row>
    <row r="240" spans="2:14" x14ac:dyDescent="0.35">
      <c r="B240" s="280"/>
      <c r="C240" s="281"/>
      <c r="D240" s="282"/>
      <c r="E240" s="492"/>
      <c r="F240" s="493"/>
      <c r="G240" s="493"/>
      <c r="H240" s="493"/>
      <c r="I240" s="493"/>
      <c r="J240" s="493"/>
      <c r="K240" s="494"/>
      <c r="L240" s="213"/>
    </row>
    <row r="241" spans="2:12" x14ac:dyDescent="0.35">
      <c r="B241" s="280"/>
      <c r="C241" s="281"/>
      <c r="D241" s="282"/>
      <c r="E241" s="492"/>
      <c r="F241" s="493"/>
      <c r="G241" s="493"/>
      <c r="H241" s="493"/>
      <c r="I241" s="493"/>
      <c r="J241" s="493"/>
      <c r="K241" s="494"/>
      <c r="L241" s="213"/>
    </row>
    <row r="242" spans="2:12" x14ac:dyDescent="0.35">
      <c r="B242" s="280"/>
      <c r="C242" s="295" t="s">
        <v>424</v>
      </c>
      <c r="D242" s="282"/>
      <c r="E242" s="492"/>
      <c r="F242" s="493"/>
      <c r="G242" s="493"/>
      <c r="H242" s="493"/>
      <c r="I242" s="493"/>
      <c r="J242" s="493"/>
      <c r="K242" s="494"/>
      <c r="L242" s="213"/>
    </row>
    <row r="243" spans="2:12" x14ac:dyDescent="0.35">
      <c r="B243" s="280"/>
      <c r="C243" s="295" t="s">
        <v>236</v>
      </c>
      <c r="D243" s="282"/>
      <c r="E243" s="492"/>
      <c r="F243" s="493"/>
      <c r="G243" s="493"/>
      <c r="H243" s="493"/>
      <c r="I243" s="493"/>
      <c r="J243" s="493"/>
      <c r="K243" s="494"/>
      <c r="L243" s="213"/>
    </row>
    <row r="244" spans="2:12" x14ac:dyDescent="0.35">
      <c r="B244" s="286"/>
      <c r="C244" s="287"/>
      <c r="D244" s="288"/>
      <c r="E244" s="492"/>
      <c r="F244" s="493"/>
      <c r="G244" s="493"/>
      <c r="H244" s="493"/>
      <c r="I244" s="493"/>
      <c r="J244" s="493"/>
      <c r="K244" s="494"/>
      <c r="L244" s="213"/>
    </row>
    <row r="245" spans="2:12" x14ac:dyDescent="0.35">
      <c r="B245" s="280"/>
      <c r="C245" s="281"/>
      <c r="D245" s="282"/>
      <c r="E245" s="492"/>
      <c r="F245" s="493"/>
      <c r="G245" s="493"/>
      <c r="H245" s="493"/>
      <c r="I245" s="493"/>
      <c r="J245" s="493"/>
      <c r="K245" s="494"/>
      <c r="L245" s="213"/>
    </row>
    <row r="246" spans="2:12" x14ac:dyDescent="0.35">
      <c r="B246" s="283"/>
      <c r="C246" s="284"/>
      <c r="D246" s="285"/>
      <c r="E246" s="498"/>
      <c r="F246" s="499"/>
      <c r="G246" s="499"/>
      <c r="H246" s="499"/>
      <c r="I246" s="499"/>
      <c r="J246" s="499"/>
      <c r="K246" s="500"/>
      <c r="L246" s="213"/>
    </row>
    <row r="247" spans="2:12" x14ac:dyDescent="0.35">
      <c r="B247" s="283"/>
      <c r="C247" s="284"/>
      <c r="D247" s="285"/>
      <c r="E247" s="498"/>
      <c r="F247" s="499"/>
      <c r="G247" s="499"/>
      <c r="H247" s="499"/>
      <c r="I247" s="499"/>
      <c r="J247" s="499"/>
      <c r="K247" s="500"/>
      <c r="L247" s="213"/>
    </row>
    <row r="248" spans="2:12" x14ac:dyDescent="0.35">
      <c r="B248" s="283"/>
      <c r="C248" s="284"/>
      <c r="D248" s="285"/>
      <c r="E248" s="498"/>
      <c r="F248" s="499"/>
      <c r="G248" s="499"/>
      <c r="H248" s="499"/>
      <c r="I248" s="499"/>
      <c r="J248" s="499"/>
      <c r="K248" s="500"/>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01" t="str">
        <f>'MP Calibration Certificate'!D17</f>
        <v>5.6mg/l RM8631b</v>
      </c>
      <c r="I3" s="501"/>
    </row>
    <row r="4" spans="1:16" x14ac:dyDescent="0.35">
      <c r="A4" s="166" t="s">
        <v>241</v>
      </c>
      <c r="H4" s="502">
        <f>'MP Calibration Certificate'!D18</f>
        <v>63010062</v>
      </c>
      <c r="I4" s="503"/>
    </row>
    <row r="5" spans="1:16" x14ac:dyDescent="0.35">
      <c r="A5" s="166" t="s">
        <v>430</v>
      </c>
      <c r="H5" s="503">
        <f>'Cover Service Sheet'!D6</f>
        <v>0</v>
      </c>
      <c r="I5" s="503"/>
    </row>
    <row r="6" spans="1:16" ht="13.15" x14ac:dyDescent="0.35">
      <c r="A6" s="166" t="s">
        <v>431</v>
      </c>
      <c r="H6" s="503">
        <f>'Cover Service Sheet'!D15</f>
        <v>0</v>
      </c>
      <c r="I6" s="503"/>
      <c r="M6" s="198"/>
      <c r="N6" s="199"/>
      <c r="O6" s="199"/>
      <c r="P6" s="307"/>
    </row>
    <row r="7" spans="1:16" ht="13.15" x14ac:dyDescent="0.35">
      <c r="A7" s="166" t="s">
        <v>432</v>
      </c>
      <c r="H7" s="503">
        <f>'Cover Service Sheet'!D16</f>
        <v>0</v>
      </c>
      <c r="I7" s="503"/>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79" t="s">
        <v>435</v>
      </c>
      <c r="C11" s="479"/>
      <c r="D11" s="479"/>
      <c r="E11" s="479"/>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79" t="s">
        <v>437</v>
      </c>
      <c r="C13" s="479"/>
      <c r="D13" s="479"/>
      <c r="E13" s="479"/>
      <c r="F13" s="479"/>
      <c r="H13" s="315" t="s">
        <v>438</v>
      </c>
      <c r="I13" s="312"/>
      <c r="M13" s="310"/>
      <c r="N13" s="309"/>
      <c r="O13" s="309"/>
      <c r="P13" s="309"/>
    </row>
    <row r="14" spans="1:16" ht="13.15" x14ac:dyDescent="0.4">
      <c r="A14" s="218"/>
      <c r="B14" s="508" t="s">
        <v>439</v>
      </c>
      <c r="C14" s="509"/>
      <c r="D14" s="509"/>
      <c r="E14" s="509"/>
      <c r="F14" s="509"/>
      <c r="G14" s="509"/>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63010062</v>
      </c>
      <c r="K30" s="166">
        <f>AUTO!B5</f>
        <v>1072</v>
      </c>
      <c r="L30" s="166">
        <f>AUTO!B6</f>
        <v>0</v>
      </c>
      <c r="M30" s="310" t="str">
        <f>AUTO!B7</f>
        <v>LPA3 NAVAIR #63010062 CALIBRATE</v>
      </c>
      <c r="N30" s="309">
        <f>AUTO!B8</f>
        <v>76</v>
      </c>
      <c r="O30" s="309">
        <f>AUTO!B9</f>
        <v>180</v>
      </c>
      <c r="P30" s="309">
        <f>AUTO!B10</f>
        <v>1020</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79" t="s">
        <v>456</v>
      </c>
      <c r="C37" s="479"/>
      <c r="D37" s="479"/>
      <c r="E37" s="479"/>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2" t="s">
        <v>459</v>
      </c>
      <c r="C41" s="452"/>
      <c r="H41" s="324"/>
      <c r="M41" s="310"/>
      <c r="N41" s="309"/>
      <c r="O41" s="309"/>
      <c r="P41" s="309"/>
    </row>
    <row r="42" spans="1:16" x14ac:dyDescent="0.35">
      <c r="A42" s="218">
        <f>A40+1</f>
        <v>27</v>
      </c>
      <c r="B42" s="479" t="s">
        <v>460</v>
      </c>
      <c r="C42" s="479"/>
      <c r="D42" s="479"/>
      <c r="E42" s="479"/>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79" t="s">
        <v>463</v>
      </c>
      <c r="C45" s="479"/>
      <c r="D45" s="479"/>
      <c r="E45" s="479"/>
      <c r="F45" s="479"/>
      <c r="G45" s="512"/>
      <c r="H45" s="319" t="s">
        <v>438</v>
      </c>
      <c r="I45" s="513" t="str">
        <f>'Cover Service Sheet'!D49</f>
        <v>-</v>
      </c>
      <c r="J45" s="514"/>
      <c r="K45" s="514"/>
      <c r="M45" s="310"/>
      <c r="N45" s="309"/>
      <c r="O45" s="309"/>
      <c r="P45" s="309"/>
    </row>
    <row r="46" spans="1:16" x14ac:dyDescent="0.35">
      <c r="A46" s="218">
        <f t="shared" si="0"/>
        <v>31</v>
      </c>
      <c r="B46" s="479" t="s">
        <v>464</v>
      </c>
      <c r="C46" s="479"/>
      <c r="D46" s="479"/>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510" t="s">
        <v>472</v>
      </c>
      <c r="C55" s="511"/>
      <c r="D55" s="511"/>
      <c r="E55" s="511"/>
      <c r="F55" s="511"/>
      <c r="G55" s="511"/>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79" t="s">
        <v>476</v>
      </c>
      <c r="C61" s="479"/>
      <c r="D61" s="479"/>
      <c r="E61" s="479"/>
      <c r="F61" s="479"/>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79" t="s">
        <v>481</v>
      </c>
      <c r="C71" s="479"/>
      <c r="D71" s="479"/>
      <c r="E71" s="479"/>
      <c r="F71" s="479"/>
      <c r="G71" s="512"/>
      <c r="H71" s="320" t="s">
        <v>438</v>
      </c>
      <c r="I71" s="513">
        <f>'Cover Service Sheet'!D50</f>
        <v>0</v>
      </c>
      <c r="J71" s="514"/>
      <c r="K71" s="514"/>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504"/>
      <c r="I97" s="505"/>
    </row>
    <row r="98" spans="1:9" x14ac:dyDescent="0.35">
      <c r="A98" s="218">
        <f t="shared" si="1"/>
        <v>73</v>
      </c>
      <c r="B98" s="166" t="s">
        <v>236</v>
      </c>
      <c r="H98" s="506"/>
      <c r="I98" s="507"/>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21" t="s">
        <v>687</v>
      </c>
      <c r="H4" s="521"/>
      <c r="I4" s="521"/>
      <c r="J4" s="521"/>
      <c r="K4" s="521"/>
      <c r="L4" s="521"/>
      <c r="M4" s="183"/>
    </row>
    <row r="5" spans="2:13" x14ac:dyDescent="0.35">
      <c r="B5" s="390">
        <f>VLOOKUP("pump_flow_emptying_ml_min",AUTO!$A$1:$B$1051,2,FALSE)</f>
        <v>150</v>
      </c>
      <c r="C5" s="176" t="s">
        <v>516</v>
      </c>
      <c r="D5" s="177" t="s">
        <v>517</v>
      </c>
      <c r="E5" s="176"/>
      <c r="F5" s="183"/>
      <c r="G5" s="521"/>
      <c r="H5" s="521"/>
      <c r="I5" s="521"/>
      <c r="J5" s="521"/>
      <c r="K5" s="521"/>
      <c r="L5" s="521"/>
      <c r="M5" s="183"/>
    </row>
    <row r="6" spans="2:13" x14ac:dyDescent="0.35">
      <c r="B6" s="390">
        <f>VLOOKUP("pump_target_flow_ml_min",AUTO!$A$1:$B$1051,2,FALSE)</f>
        <v>30</v>
      </c>
      <c r="C6" s="176" t="s">
        <v>516</v>
      </c>
      <c r="D6" s="177" t="s">
        <v>518</v>
      </c>
      <c r="E6" s="176"/>
      <c r="F6" s="183"/>
      <c r="G6" s="521"/>
      <c r="H6" s="521"/>
      <c r="I6" s="521"/>
      <c r="J6" s="521"/>
      <c r="K6" s="521"/>
      <c r="L6" s="521"/>
      <c r="M6" s="183"/>
    </row>
    <row r="7" spans="2:13" x14ac:dyDescent="0.35">
      <c r="B7" s="390">
        <f>VLOOKUP("pump_current_sampling",AUTO!$A$1:$B$1051,2,FALSE)</f>
        <v>17</v>
      </c>
      <c r="C7" s="391" t="s">
        <v>519</v>
      </c>
      <c r="D7" s="392" t="s">
        <v>520</v>
      </c>
      <c r="E7" s="391"/>
      <c r="F7" s="183"/>
      <c r="G7" s="183"/>
      <c r="H7" s="183"/>
      <c r="I7" s="183"/>
      <c r="J7" s="183"/>
      <c r="K7" s="183"/>
      <c r="L7" s="183"/>
      <c r="M7" s="183"/>
    </row>
    <row r="8" spans="2:13" x14ac:dyDescent="0.35">
      <c r="B8" s="390">
        <f>VLOOKUP("pump_current_emptying",AUTO!$A$1:$B$1051,2,FALSE)</f>
        <v>253</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34</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10865</v>
      </c>
      <c r="C14" s="176" t="s">
        <v>531</v>
      </c>
      <c r="D14" s="177" t="s">
        <v>532</v>
      </c>
      <c r="E14" s="176"/>
      <c r="F14" s="183"/>
      <c r="G14" s="181" t="s">
        <v>533</v>
      </c>
      <c r="H14" s="534" t="s">
        <v>1007</v>
      </c>
      <c r="I14" s="535"/>
      <c r="J14" s="535"/>
      <c r="K14" s="396"/>
      <c r="L14" s="396"/>
      <c r="M14" s="406"/>
    </row>
    <row r="15" spans="2:13" ht="12.75" customHeight="1" x14ac:dyDescent="0.35">
      <c r="B15" s="407"/>
      <c r="C15" s="396"/>
      <c r="D15" s="397"/>
      <c r="E15" s="396"/>
      <c r="F15" s="183"/>
      <c r="G15" s="181" t="s">
        <v>241</v>
      </c>
      <c r="H15" s="525">
        <f>VLOOKUP("serial_number_",AUTO!$A$1:$B$1051,2,FALSE)</f>
        <v>63010062</v>
      </c>
      <c r="I15" s="526"/>
      <c r="J15" s="527"/>
      <c r="K15" s="183"/>
      <c r="L15" s="183"/>
      <c r="M15" s="183"/>
    </row>
    <row r="16" spans="2:13" ht="13.15" x14ac:dyDescent="0.35">
      <c r="B16" s="182"/>
      <c r="C16" s="174"/>
      <c r="D16" s="398"/>
      <c r="E16" s="399"/>
      <c r="F16" s="183"/>
      <c r="G16" s="181" t="s">
        <v>236</v>
      </c>
      <c r="H16" s="522">
        <f>VLOOKUP("date_",AUTO!$A$1:$B$1051,2,FALSE)</f>
        <v>46163.5</v>
      </c>
      <c r="I16" s="523"/>
      <c r="J16" s="524"/>
      <c r="K16" s="183"/>
      <c r="L16" s="183"/>
      <c r="M16" s="183"/>
    </row>
    <row r="17" spans="2:10" ht="13.15" x14ac:dyDescent="0.35">
      <c r="B17" s="390"/>
      <c r="C17" s="402"/>
      <c r="D17" s="180"/>
      <c r="E17" s="403"/>
      <c r="F17" s="183"/>
      <c r="G17" s="181" t="s">
        <v>534</v>
      </c>
      <c r="H17" s="525" t="str">
        <f>H15&amp;" "&amp;TEXT(H16,"ddmmyy")</f>
        <v>63010062 210526</v>
      </c>
      <c r="I17" s="526"/>
      <c r="J17" s="527"/>
    </row>
    <row r="18" spans="2:10" ht="13.15" x14ac:dyDescent="0.35">
      <c r="B18" s="390"/>
      <c r="C18" s="176"/>
      <c r="D18" s="177"/>
      <c r="E18" s="176"/>
      <c r="F18" s="183"/>
      <c r="G18" s="181" t="s">
        <v>1003</v>
      </c>
      <c r="H18" s="531" t="s">
        <v>1008</v>
      </c>
      <c r="I18" s="532"/>
      <c r="J18" s="533"/>
    </row>
    <row r="19" spans="2:10" ht="13.15" x14ac:dyDescent="0.35">
      <c r="B19" s="390"/>
      <c r="C19" s="405"/>
      <c r="D19" s="177"/>
      <c r="E19" s="176"/>
      <c r="F19" s="183"/>
      <c r="G19" s="181" t="s">
        <v>535</v>
      </c>
      <c r="H19" s="528">
        <f>VLOOKUP("rig_param_identifier",AUTO!$A$1:$B$1051,2,FALSE)</f>
        <v>303</v>
      </c>
      <c r="I19" s="529"/>
      <c r="J19" s="530"/>
    </row>
    <row r="20" spans="2:10" x14ac:dyDescent="0.35">
      <c r="B20" s="390"/>
      <c r="C20" s="176"/>
      <c r="D20" s="177"/>
      <c r="E20" s="176"/>
      <c r="F20" s="183"/>
      <c r="G20" s="183"/>
      <c r="H20" s="183"/>
      <c r="I20" s="183"/>
      <c r="J20" s="183"/>
    </row>
    <row r="21" spans="2:10" ht="12.75" customHeight="1" x14ac:dyDescent="0.35">
      <c r="B21" s="407"/>
      <c r="C21" s="396"/>
      <c r="D21" s="397"/>
      <c r="E21" s="396"/>
      <c r="F21" s="183"/>
      <c r="G21" s="517" t="s">
        <v>536</v>
      </c>
      <c r="H21" s="518">
        <f>VLOOKUP("rig_cleanliness_count",AUTO!$A$1:$B$1051,2,FALSE)</f>
        <v>0</v>
      </c>
      <c r="I21" s="183"/>
      <c r="J21" s="183"/>
    </row>
    <row r="22" spans="2:10" ht="13.15" x14ac:dyDescent="0.35">
      <c r="B22" s="179" t="s">
        <v>537</v>
      </c>
      <c r="C22" s="174" t="s">
        <v>515</v>
      </c>
      <c r="D22" s="398"/>
      <c r="E22" s="399"/>
      <c r="F22" s="183"/>
      <c r="G22" s="517"/>
      <c r="H22" s="519"/>
      <c r="I22" s="183"/>
      <c r="J22" s="183"/>
    </row>
    <row r="23" spans="2:10" x14ac:dyDescent="0.35">
      <c r="B23" s="390">
        <f>VLOOKUP("meas_init_level",AUTO!A13:B1063,2,FALSE)</f>
        <v>0</v>
      </c>
      <c r="C23" s="403" t="s">
        <v>538</v>
      </c>
      <c r="D23" s="180" t="s">
        <v>539</v>
      </c>
      <c r="E23" s="403"/>
      <c r="F23" s="183"/>
      <c r="G23" s="517"/>
      <c r="H23" s="519"/>
      <c r="I23" s="183"/>
      <c r="J23" s="183"/>
    </row>
    <row r="24" spans="2:10" x14ac:dyDescent="0.35">
      <c r="B24" s="390">
        <f>VLOOKUP("calc_init_volume",AUTO!$A$1:$B$1051,2,FALSE)</f>
        <v>0</v>
      </c>
      <c r="C24" s="176" t="s">
        <v>540</v>
      </c>
      <c r="D24" s="177" t="s">
        <v>541</v>
      </c>
      <c r="E24" s="176"/>
      <c r="F24" s="183"/>
      <c r="G24" s="517"/>
      <c r="H24" s="520"/>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15" t="s">
        <v>1009</v>
      </c>
      <c r="I26" s="516"/>
      <c r="J26" s="183"/>
    </row>
    <row r="27" spans="2:10" x14ac:dyDescent="0.35">
      <c r="B27" s="390">
        <f>VLOOKUP("meas_qty_add",AUTO!$A$1:$B$1051,2,FALSE)</f>
        <v>0</v>
      </c>
      <c r="C27" s="176" t="s">
        <v>544</v>
      </c>
      <c r="D27" s="177" t="s">
        <v>547</v>
      </c>
      <c r="E27" s="176"/>
      <c r="F27" s="183"/>
      <c r="G27" s="184" t="s">
        <v>548</v>
      </c>
      <c r="H27" s="504"/>
      <c r="I27" s="505"/>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76</v>
      </c>
      <c r="C65" s="196">
        <f>VLOOKUP("threshold1",AUTO!$A$1:$B$1051,2,FALSE)</f>
        <v>180</v>
      </c>
      <c r="D65" s="196">
        <f>VLOOKUP("threshold2",AUTO!$A$1:$B$1051,2,FALSE)</f>
        <v>1020</v>
      </c>
      <c r="E65" s="196">
        <f>VLOOKUP("threshold3",AUTO!$A$1:$B$1051,2,FALSE)</f>
        <v>2204</v>
      </c>
      <c r="F65" s="196">
        <f>VLOOKUP("threshold4",AUTO!$A$1:$B$1051,2,FALSE)</f>
        <v>3244</v>
      </c>
      <c r="G65" s="196">
        <f>VLOOKUP("threshold5",AUTO!$A$1:$B$1051,2,FALSE)</f>
        <v>11420</v>
      </c>
      <c r="H65" s="196">
        <f>VLOOKUP("threshold6",AUTO!$A$1:$B$1051,2,FALSE)</f>
        <v>18008</v>
      </c>
      <c r="I65" s="196">
        <f>VLOOKUP("threshold7",AUTO!$A$1:$B$1051,2,FALSE)</f>
        <v>30374</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1415270</v>
      </c>
      <c r="C68" s="390">
        <f>VLOOKUP("verification_count_1_0",AUTO!$A$1:$B$1051,2,FALSE)</f>
        <v>1443077</v>
      </c>
      <c r="D68" s="156">
        <f>(C68-B68)/B68</f>
        <v>1.9647841047997907E-2</v>
      </c>
      <c r="E68" s="390">
        <f>VLOOKUP("verification_count_2_0",AUTO!$A$1:$B$1051,2,FALSE)</f>
        <v>1424740</v>
      </c>
      <c r="F68" s="156">
        <f>(E68-B68)/B68</f>
        <v>6.6913027196224039E-3</v>
      </c>
      <c r="G68" s="390">
        <f>VLOOKUP("verification_count_3_0",AUTO!$A$1:$B$1051,2,FALSE)</f>
        <v>1420326</v>
      </c>
      <c r="H68" s="156">
        <f>(G68-B68)/B68</f>
        <v>3.5724632049008317E-3</v>
      </c>
      <c r="I68" s="329">
        <f>(C68+E68+G68)/3</f>
        <v>1429381</v>
      </c>
      <c r="J68" s="156">
        <f>(I68-$B68)/$B68</f>
        <v>9.9705356575070479E-3</v>
      </c>
    </row>
    <row r="69" spans="1:10" ht="18" customHeight="1" x14ac:dyDescent="0.35">
      <c r="A69" s="139">
        <v>6</v>
      </c>
      <c r="B69" s="163">
        <f>VLOOKUP("reference_count_1",AUTO!$A$1:$B$1051,2,FALSE)</f>
        <v>580231</v>
      </c>
      <c r="C69" s="390">
        <f>VLOOKUP("verification_count_1_1",AUTO!$A$1:$B$1051,2,FALSE)</f>
        <v>588111</v>
      </c>
      <c r="D69" s="156">
        <f t="shared" ref="D69:D76" si="0">(C69-B69)/B69</f>
        <v>1.3580797992523668E-2</v>
      </c>
      <c r="E69" s="390">
        <f>VLOOKUP("verification_count_2_1",AUTO!$A$1:$B$1051,2,FALSE)</f>
        <v>580711</v>
      </c>
      <c r="F69" s="156">
        <f t="shared" ref="F69:F76" si="1">(E69-B69)/B69</f>
        <v>8.2725673050905587E-4</v>
      </c>
      <c r="G69" s="390">
        <f>VLOOKUP("verification_count_3_1",AUTO!$A$1:$B$1051,2,FALSE)</f>
        <v>578927</v>
      </c>
      <c r="H69" s="156">
        <f t="shared" ref="H69:H76" si="2">(G69-B69)/B69</f>
        <v>-2.2473807845496017E-3</v>
      </c>
      <c r="I69" s="329">
        <f t="shared" ref="I69:I76" si="3">(C69+E69+G69)/3</f>
        <v>582583</v>
      </c>
      <c r="J69" s="156">
        <f t="shared" ref="J69:J76" si="4">(I69-$B69)/$B69</f>
        <v>4.0535579794943738E-3</v>
      </c>
    </row>
    <row r="70" spans="1:10" ht="18" customHeight="1" x14ac:dyDescent="0.35">
      <c r="A70" s="139">
        <v>10</v>
      </c>
      <c r="B70" s="163">
        <f>VLOOKUP("reference_count32_6",AUTO!$A$1:$B$1051,2,FALSE)*100</f>
        <v>136892</v>
      </c>
      <c r="C70" s="430">
        <f>VLOOKUP("verification_count32_1_6",AUTO!$A$1:$B$1051,2,FALSE)*100</f>
        <v>137567</v>
      </c>
      <c r="D70" s="156">
        <f t="shared" si="0"/>
        <v>4.9308944277240453E-3</v>
      </c>
      <c r="E70" s="430">
        <f>VLOOKUP("verification_count32_2_6",AUTO!$A$1:$B$1051,2,FALSE)*100</f>
        <v>135762</v>
      </c>
      <c r="F70" s="156">
        <f t="shared" si="1"/>
        <v>-8.2546825234491427E-3</v>
      </c>
      <c r="G70" s="430">
        <f>VLOOKUP("verification_count32_3_6",AUTO!$A$1:$B$1051,2,FALSE)*100</f>
        <v>135400</v>
      </c>
      <c r="H70" s="156">
        <f t="shared" si="2"/>
        <v>-1.0899102942465592E-2</v>
      </c>
      <c r="I70" s="329">
        <f t="shared" si="3"/>
        <v>136243</v>
      </c>
      <c r="J70" s="156">
        <f t="shared" si="4"/>
        <v>-4.7409636793968972E-3</v>
      </c>
    </row>
    <row r="71" spans="1:10" ht="18" customHeight="1" x14ac:dyDescent="0.35">
      <c r="A71" s="139">
        <v>14</v>
      </c>
      <c r="B71" s="163">
        <f>VLOOKUP("reference_count_2",AUTO!$A$1:$B$1051,2,FALSE)</f>
        <v>45814.7</v>
      </c>
      <c r="C71" s="390">
        <f>VLOOKUP("verification_count_1_2",AUTO!$A$1:$B$1051,2,FALSE)</f>
        <v>47076</v>
      </c>
      <c r="D71" s="156">
        <f t="shared" si="0"/>
        <v>2.7530465112725895E-2</v>
      </c>
      <c r="E71" s="390">
        <f>VLOOKUP("verification_count_2_2",AUTO!$A$1:$B$1051,2,FALSE)</f>
        <v>45733</v>
      </c>
      <c r="F71" s="156">
        <f t="shared" si="1"/>
        <v>-1.7832704350349798E-3</v>
      </c>
      <c r="G71" s="390">
        <f>VLOOKUP("verification_count_3_2",AUTO!$A$1:$B$1051,2,FALSE)</f>
        <v>46206</v>
      </c>
      <c r="H71" s="156">
        <f t="shared" si="2"/>
        <v>8.5409268204310607E-3</v>
      </c>
      <c r="I71" s="329">
        <f t="shared" si="3"/>
        <v>46338.333333333336</v>
      </c>
      <c r="J71" s="156">
        <f t="shared" si="4"/>
        <v>1.1429373832707378E-2</v>
      </c>
    </row>
    <row r="72" spans="1:10" ht="18" customHeight="1" x14ac:dyDescent="0.35">
      <c r="A72" s="139">
        <v>21</v>
      </c>
      <c r="B72" s="163">
        <f>VLOOKUP("reference_count_3",AUTO!$A$1:$B$1051,2,FALSE)</f>
        <v>11873.6</v>
      </c>
      <c r="C72" s="390">
        <f>VLOOKUP("verification_count_1_3",AUTO!$A$1:$B$1051,2,FALSE)</f>
        <v>12122</v>
      </c>
      <c r="D72" s="156">
        <f t="shared" si="0"/>
        <v>2.0920361137313E-2</v>
      </c>
      <c r="E72" s="390">
        <f>VLOOKUP("verification_count_2_3",AUTO!$A$1:$B$1051,2,FALSE)</f>
        <v>12357</v>
      </c>
      <c r="F72" s="156">
        <f t="shared" si="1"/>
        <v>4.0712168171405438E-2</v>
      </c>
      <c r="G72" s="390">
        <f>VLOOKUP("verification_count_3_3",AUTO!$A$1:$B$1051,2,FALSE)</f>
        <v>12094</v>
      </c>
      <c r="H72" s="156">
        <f t="shared" si="2"/>
        <v>1.856218838431475E-2</v>
      </c>
      <c r="I72" s="329">
        <f t="shared" si="3"/>
        <v>12191</v>
      </c>
      <c r="J72" s="156">
        <f t="shared" si="4"/>
        <v>2.6731572564344396E-2</v>
      </c>
    </row>
    <row r="73" spans="1:10" ht="18" customHeight="1" x14ac:dyDescent="0.35">
      <c r="A73" s="139">
        <v>25</v>
      </c>
      <c r="B73" s="163">
        <f>VLOOKUP("reference_count_4",AUTO!$A$1:$B$1051,2,FALSE)</f>
        <v>5545.63</v>
      </c>
      <c r="C73" s="390">
        <f>VLOOKUP("verification_count_1_4",AUTO!$A$1:$B$1051,2,FALSE)</f>
        <v>5515</v>
      </c>
      <c r="D73" s="156">
        <f t="shared" si="0"/>
        <v>-5.5232678703772357E-3</v>
      </c>
      <c r="E73" s="390">
        <f>VLOOKUP("verification_count_2_4",AUTO!$A$1:$B$1051,2,FALSE)</f>
        <v>5636</v>
      </c>
      <c r="F73" s="156">
        <f t="shared" si="1"/>
        <v>1.6295713922493908E-2</v>
      </c>
      <c r="G73" s="390">
        <f>VLOOKUP("verification_count_3_4",AUTO!$A$1:$B$1051,2,FALSE)</f>
        <v>5600</v>
      </c>
      <c r="H73" s="156">
        <f t="shared" si="2"/>
        <v>9.8041160337057984E-3</v>
      </c>
      <c r="I73" s="329">
        <f t="shared" si="3"/>
        <v>5583.666666666667</v>
      </c>
      <c r="J73" s="156">
        <f t="shared" si="4"/>
        <v>6.8588540286075453E-3</v>
      </c>
    </row>
    <row r="74" spans="1:10" ht="18" customHeight="1" x14ac:dyDescent="0.35">
      <c r="A74" s="139">
        <v>38</v>
      </c>
      <c r="B74" s="163">
        <f>VLOOKUP("reference_count_5",AUTO!$A$1:$B$1051,2,FALSE)</f>
        <v>184.08699999999999</v>
      </c>
      <c r="C74" s="390">
        <f>VLOOKUP("verification_count_1_5",AUTO!$A$1:$B$1051,2,FALSE)</f>
        <v>143</v>
      </c>
      <c r="D74" s="156">
        <f t="shared" si="0"/>
        <v>-0.22319338139032083</v>
      </c>
      <c r="E74" s="390">
        <f>VLOOKUP("verification_count_2_5",AUTO!$A$1:$B$1051,2,FALSE)</f>
        <v>179</v>
      </c>
      <c r="F74" s="156">
        <f t="shared" si="1"/>
        <v>-2.7633673208863143E-2</v>
      </c>
      <c r="G74" s="390">
        <f>VLOOKUP("verification_count_3_5",AUTO!$A$1:$B$1051,2,FALSE)</f>
        <v>185</v>
      </c>
      <c r="H74" s="156">
        <f t="shared" si="2"/>
        <v>4.9596114880464722E-3</v>
      </c>
      <c r="I74" s="329">
        <f t="shared" si="3"/>
        <v>169</v>
      </c>
      <c r="J74" s="156">
        <f t="shared" si="4"/>
        <v>-8.1955814370379174E-2</v>
      </c>
    </row>
    <row r="75" spans="1:10" ht="18" customHeight="1" x14ac:dyDescent="0.35">
      <c r="A75" s="139">
        <v>50</v>
      </c>
      <c r="B75" s="163">
        <f>VLOOKUP("reference_count_6",AUTO!$A$1:$B$1051,2,FALSE)</f>
        <v>34.516399999999997</v>
      </c>
      <c r="C75" s="390">
        <f>VLOOKUP("verification_count_1_6",AUTO!$A$1:$B$1051,2,FALSE)</f>
        <v>23</v>
      </c>
      <c r="D75" s="156">
        <f t="shared" si="0"/>
        <v>-0.33365009097124843</v>
      </c>
      <c r="E75" s="390">
        <f>VLOOKUP("verification_count_2_6",AUTO!$A$1:$B$1051,2,FALSE)</f>
        <v>23</v>
      </c>
      <c r="F75" s="156">
        <f t="shared" si="1"/>
        <v>-0.33365009097124843</v>
      </c>
      <c r="G75" s="390">
        <f>VLOOKUP("verification_count_3_6",AUTO!$A$1:$B$1051,2,FALSE)</f>
        <v>59</v>
      </c>
      <c r="H75" s="156">
        <f t="shared" si="2"/>
        <v>0.70933237533462368</v>
      </c>
      <c r="I75" s="329">
        <f t="shared" si="3"/>
        <v>35</v>
      </c>
      <c r="J75" s="156">
        <f t="shared" si="4"/>
        <v>1.401073113070896E-2</v>
      </c>
    </row>
    <row r="76" spans="1:10" ht="18" customHeight="1" x14ac:dyDescent="0.35">
      <c r="A76" s="139">
        <v>70</v>
      </c>
      <c r="B76" s="163">
        <f>VLOOKUP("reference_count_7",AUTO!$A$1:$B$1051,2,FALSE)</f>
        <v>4.4329299999999998</v>
      </c>
      <c r="C76" s="390">
        <f>VLOOKUP("verification_count_1_7",AUTO!$A$1:$B$1051,2,FALSE)</f>
        <v>11</v>
      </c>
      <c r="D76" s="156">
        <f t="shared" si="0"/>
        <v>1.481428761564022</v>
      </c>
      <c r="E76" s="390">
        <f>VLOOKUP("verification_count_2_7",AUTO!$A$1:$B$1051,2,FALSE)</f>
        <v>5</v>
      </c>
      <c r="F76" s="156">
        <f t="shared" si="1"/>
        <v>0.12792216434728276</v>
      </c>
      <c r="G76" s="390">
        <f>VLOOKUP("verification_count_3_7",AUTO!$A$1:$B$1051,2,FALSE)</f>
        <v>0</v>
      </c>
      <c r="H76" s="156">
        <f t="shared" si="2"/>
        <v>-1</v>
      </c>
      <c r="I76" s="329">
        <f t="shared" si="3"/>
        <v>5.333333333333333</v>
      </c>
      <c r="J76" s="156">
        <f t="shared" si="4"/>
        <v>0.20311697530376821</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569</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1004</v>
      </c>
      <c r="L17" s="96"/>
      <c r="M17" s="96"/>
      <c r="N17" s="97"/>
      <c r="O17" s="378" t="str">
        <f>'Auto-Calibration record'!H18</f>
        <v>RM8631b</v>
      </c>
    </row>
    <row r="18" spans="2:15" ht="25.9" customHeight="1" x14ac:dyDescent="0.45">
      <c r="B18" s="131" t="s">
        <v>573</v>
      </c>
      <c r="C18" s="132"/>
      <c r="D18" s="564">
        <f>'Auto-Calibration record'!H15</f>
        <v>63010062</v>
      </c>
      <c r="E18" s="565"/>
      <c r="F18" s="566"/>
      <c r="K18" s="98" t="s">
        <v>574</v>
      </c>
      <c r="L18" s="99"/>
      <c r="M18" s="99"/>
      <c r="N18" s="100"/>
      <c r="O18" s="55">
        <f>'Auto-Calibration record'!H16</f>
        <v>46163.5</v>
      </c>
    </row>
    <row r="19" spans="2:15" ht="25.9" customHeight="1" x14ac:dyDescent="0.45">
      <c r="B19" s="131" t="s">
        <v>575</v>
      </c>
      <c r="C19" s="132"/>
      <c r="D19" s="564" t="str">
        <f>'Auto-Calibration record'!H17</f>
        <v>63010062 210526</v>
      </c>
      <c r="E19" s="565"/>
      <c r="F19" s="566"/>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76</v>
      </c>
      <c r="G28" s="557"/>
      <c r="H28" s="553">
        <f>'Auto-Calibration record'!B68</f>
        <v>1415270</v>
      </c>
      <c r="I28" s="553"/>
      <c r="J28" s="159">
        <f>'Auto-Calibration record'!I68</f>
        <v>1429381</v>
      </c>
      <c r="K28" s="159">
        <f t="shared" ref="K28:K33" si="0">J28-H28</f>
        <v>14111</v>
      </c>
      <c r="L28" s="379">
        <f t="shared" ref="L28:L33" si="1">K28/H28</f>
        <v>9.9705356575070479E-3</v>
      </c>
    </row>
    <row r="29" spans="2:15" s="108" customFormat="1" ht="25.9" customHeight="1" x14ac:dyDescent="0.35">
      <c r="D29" s="542" t="s">
        <v>591</v>
      </c>
      <c r="E29" s="542"/>
      <c r="F29" s="557">
        <f>'Auto-Calibration record'!C65</f>
        <v>180</v>
      </c>
      <c r="G29" s="557"/>
      <c r="H29" s="553">
        <f>'Auto-Calibration record'!B69</f>
        <v>580231</v>
      </c>
      <c r="I29" s="553"/>
      <c r="J29" s="159">
        <f>'Auto-Calibration record'!I69</f>
        <v>582583</v>
      </c>
      <c r="K29" s="159">
        <f t="shared" si="0"/>
        <v>2352</v>
      </c>
      <c r="L29" s="379">
        <f t="shared" si="1"/>
        <v>4.0535579794943738E-3</v>
      </c>
    </row>
    <row r="30" spans="2:15" s="108" customFormat="1" ht="25.9" customHeight="1" x14ac:dyDescent="0.35">
      <c r="D30" s="542" t="s">
        <v>592</v>
      </c>
      <c r="E30" s="542"/>
      <c r="F30" s="557">
        <f>'Auto-Calibration record'!D65</f>
        <v>1020</v>
      </c>
      <c r="G30" s="557"/>
      <c r="H30" s="553">
        <f>'Auto-Calibration record'!B71</f>
        <v>45814.7</v>
      </c>
      <c r="I30" s="553"/>
      <c r="J30" s="159">
        <f>'Auto-Calibration record'!I71</f>
        <v>46338.333333333336</v>
      </c>
      <c r="K30" s="159">
        <f t="shared" si="0"/>
        <v>523.63333333333867</v>
      </c>
      <c r="L30" s="379">
        <f t="shared" si="1"/>
        <v>1.1429373832707378E-2</v>
      </c>
    </row>
    <row r="31" spans="2:15" s="108" customFormat="1" ht="25.9" customHeight="1" x14ac:dyDescent="0.35">
      <c r="D31" s="542" t="s">
        <v>593</v>
      </c>
      <c r="E31" s="542"/>
      <c r="F31" s="557">
        <f>'Auto-Calibration record'!E65</f>
        <v>2204</v>
      </c>
      <c r="G31" s="557"/>
      <c r="H31" s="553">
        <f>'Auto-Calibration record'!B72</f>
        <v>11873.6</v>
      </c>
      <c r="I31" s="553"/>
      <c r="J31" s="159">
        <f>'Auto-Calibration record'!I72</f>
        <v>12191</v>
      </c>
      <c r="K31" s="159">
        <f t="shared" si="0"/>
        <v>317.39999999999964</v>
      </c>
      <c r="L31" s="379">
        <f t="shared" si="1"/>
        <v>2.6731572564344396E-2</v>
      </c>
    </row>
    <row r="32" spans="2:15" s="108" customFormat="1" ht="25.9" customHeight="1" x14ac:dyDescent="0.35">
      <c r="D32" s="542" t="s">
        <v>594</v>
      </c>
      <c r="E32" s="542"/>
      <c r="F32" s="557">
        <f>'Auto-Calibration record'!F65</f>
        <v>3244</v>
      </c>
      <c r="G32" s="557"/>
      <c r="H32" s="553">
        <f>'Auto-Calibration record'!B73</f>
        <v>5545.63</v>
      </c>
      <c r="I32" s="553"/>
      <c r="J32" s="159">
        <f>'Auto-Calibration record'!I73</f>
        <v>5583.666666666667</v>
      </c>
      <c r="K32" s="159">
        <f t="shared" si="0"/>
        <v>38.036666666666861</v>
      </c>
      <c r="L32" s="379">
        <f t="shared" si="1"/>
        <v>6.8588540286075453E-3</v>
      </c>
    </row>
    <row r="33" spans="2:12" s="108" customFormat="1" ht="25.9" customHeight="1" x14ac:dyDescent="0.35">
      <c r="D33" s="542" t="s">
        <v>595</v>
      </c>
      <c r="E33" s="542"/>
      <c r="F33" s="557">
        <f>'Auto-Calibration record'!G65</f>
        <v>11420</v>
      </c>
      <c r="G33" s="557"/>
      <c r="H33" s="553">
        <f>'Auto-Calibration record'!B74</f>
        <v>184.08699999999999</v>
      </c>
      <c r="I33" s="553"/>
      <c r="J33" s="159">
        <f>'Auto-Calibration record'!I74</f>
        <v>169</v>
      </c>
      <c r="K33" s="159">
        <f t="shared" si="0"/>
        <v>-15.086999999999989</v>
      </c>
      <c r="L33" s="379">
        <f t="shared" si="1"/>
        <v>-8.1955814370379174E-2</v>
      </c>
    </row>
    <row r="34" spans="2:12" s="108" customFormat="1" ht="25.9" customHeight="1" x14ac:dyDescent="0.35">
      <c r="D34" s="542" t="s">
        <v>596</v>
      </c>
      <c r="E34" s="542"/>
      <c r="F34" s="557">
        <f>'Auto-Calibration record'!H65</f>
        <v>18008</v>
      </c>
      <c r="G34" s="557"/>
      <c r="H34" s="553">
        <f>'Auto-Calibration record'!B75</f>
        <v>34.516399999999997</v>
      </c>
      <c r="I34" s="553"/>
      <c r="J34" s="159">
        <f>'Auto-Calibration record'!I75</f>
        <v>35</v>
      </c>
      <c r="K34" s="159" t="s">
        <v>23</v>
      </c>
      <c r="L34" s="112" t="s">
        <v>23</v>
      </c>
    </row>
    <row r="35" spans="2:12" s="102" customFormat="1" ht="25.9" customHeight="1" x14ac:dyDescent="0.45">
      <c r="D35" s="542" t="s">
        <v>597</v>
      </c>
      <c r="E35" s="542"/>
      <c r="F35" s="558">
        <f>'Auto-Calibration record'!I65</f>
        <v>30374</v>
      </c>
      <c r="G35" s="558"/>
      <c r="H35" s="553">
        <f>'Auto-Calibration record'!B76</f>
        <v>4.4329299999999998</v>
      </c>
      <c r="I35" s="553"/>
      <c r="J35" s="380">
        <f>'Auto-Calibration record'!I76</f>
        <v>5.333333333333333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67"/>
      <c r="K38" s="167"/>
      <c r="L38" s="167"/>
    </row>
    <row r="39" spans="2:12" ht="25.9" customHeight="1" x14ac:dyDescent="0.35">
      <c r="B39" s="115"/>
      <c r="D39" s="109" t="s">
        <v>587</v>
      </c>
      <c r="E39" s="541" t="s">
        <v>587</v>
      </c>
      <c r="F39" s="541"/>
      <c r="G39" s="541" t="s">
        <v>602</v>
      </c>
      <c r="H39" s="541"/>
      <c r="I39" s="116"/>
      <c r="J39" s="168"/>
      <c r="K39" s="168"/>
      <c r="L39" s="168"/>
    </row>
    <row r="40" spans="2:12" ht="25.9" customHeight="1" x14ac:dyDescent="0.35">
      <c r="B40" s="115"/>
      <c r="D40" s="129">
        <f>'Auto-Calibration record'!B11</f>
        <v>34</v>
      </c>
      <c r="E40" s="553">
        <f>F28-D40</f>
        <v>42</v>
      </c>
      <c r="F40" s="553"/>
      <c r="G40" s="567">
        <f>F28/D40</f>
        <v>2.2352941176470589</v>
      </c>
      <c r="H40" s="567"/>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37" t="s">
        <v>607</v>
      </c>
      <c r="E74" s="538"/>
      <c r="F74" s="538"/>
      <c r="G74" s="539"/>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t="str">
        <f>'Auto-Calibration record'!H26</f>
        <v>John Devereux</v>
      </c>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62" t="str">
        <f>'Cover Service Sheet'!C183</f>
        <v xml:space="preserve">
</v>
      </c>
      <c r="C99" s="562"/>
      <c r="D99" s="562"/>
      <c r="E99" s="562"/>
      <c r="F99" s="562"/>
      <c r="G99" s="562"/>
      <c r="H99" s="562"/>
      <c r="I99" s="562"/>
      <c r="J99" s="562"/>
      <c r="K99" s="562"/>
      <c r="L99" s="562"/>
      <c r="M99" s="562"/>
      <c r="N99" s="562"/>
      <c r="O99" s="562"/>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62">
        <f>'Cover Service Sheet'!C187</f>
        <v>0</v>
      </c>
      <c r="C103" s="562"/>
      <c r="D103" s="562"/>
      <c r="E103" s="562"/>
      <c r="F103" s="562"/>
      <c r="G103" s="562"/>
      <c r="H103" s="562"/>
      <c r="I103" s="562"/>
      <c r="J103" s="562"/>
      <c r="K103" s="562"/>
      <c r="L103" s="562"/>
      <c r="M103" s="562"/>
      <c r="N103" s="562"/>
      <c r="O103" s="562"/>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62">
        <f>'Cover Service Sheet'!C191</f>
        <v>0</v>
      </c>
      <c r="C107" s="562"/>
      <c r="D107" s="562"/>
      <c r="E107" s="562"/>
      <c r="F107" s="562"/>
      <c r="G107" s="562"/>
      <c r="H107" s="562"/>
      <c r="I107" s="562"/>
      <c r="J107" s="562"/>
      <c r="K107" s="562"/>
      <c r="L107" s="562"/>
      <c r="M107" s="562"/>
      <c r="N107" s="562"/>
      <c r="O107" s="562"/>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062810062</v>
      </c>
      <c r="G13" s="415"/>
      <c r="H13" s="415"/>
      <c r="I13" s="415"/>
      <c r="J13" s="415"/>
      <c r="K13" s="415"/>
      <c r="L13" s="415"/>
    </row>
    <row r="14" spans="1:12" x14ac:dyDescent="0.35">
      <c r="B14" s="307" t="s">
        <v>634</v>
      </c>
      <c r="C14" s="415"/>
      <c r="D14" s="568" t="str">
        <f>'Auto-Calibration record'!H14</f>
        <v>5.6mg/l RM8631b</v>
      </c>
      <c r="E14" s="568"/>
      <c r="F14" s="568"/>
      <c r="G14" s="415"/>
      <c r="H14" s="415"/>
      <c r="I14" s="415"/>
      <c r="J14" s="415"/>
      <c r="K14" s="415"/>
      <c r="L14" s="415"/>
    </row>
    <row r="15" spans="1:12" x14ac:dyDescent="0.35">
      <c r="B15" s="307" t="s">
        <v>30</v>
      </c>
      <c r="C15" s="415"/>
      <c r="D15" s="164" t="s">
        <v>633</v>
      </c>
      <c r="E15" s="418" t="str">
        <f>F13</f>
        <v>062810062</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9" t="s">
        <v>635</v>
      </c>
      <c r="C17" s="569"/>
      <c r="D17" s="569"/>
      <c r="E17" s="569"/>
      <c r="F17" s="569"/>
      <c r="G17" s="569"/>
      <c r="H17" s="569"/>
      <c r="I17" s="569"/>
      <c r="J17" s="419"/>
      <c r="K17" s="419"/>
      <c r="L17" s="419"/>
    </row>
    <row r="18" spans="1:12" ht="28.5" customHeight="1" x14ac:dyDescent="0.35">
      <c r="B18" s="569" t="s">
        <v>636</v>
      </c>
      <c r="C18" s="569"/>
      <c r="D18" s="569"/>
      <c r="E18" s="569"/>
      <c r="F18" s="569"/>
      <c r="G18" s="569"/>
      <c r="H18" s="569"/>
      <c r="I18" s="569"/>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77" t="s">
        <v>637</v>
      </c>
      <c r="C20" s="577"/>
      <c r="D20" s="577"/>
      <c r="E20" s="577"/>
      <c r="F20" s="577"/>
      <c r="G20" s="577"/>
      <c r="H20" s="577"/>
      <c r="I20" s="577"/>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80">
        <f>'Auto-Calibration record'!H16</f>
        <v>46163.5</v>
      </c>
      <c r="E25" s="580"/>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78" t="str">
        <f>'Auto-Calibration record'!H14</f>
        <v>5.6mg/l RM8631b</v>
      </c>
      <c r="F41" s="579"/>
      <c r="G41" s="183"/>
    </row>
    <row r="42" spans="1:12" x14ac:dyDescent="0.35">
      <c r="A42" s="59"/>
      <c r="C42" s="421" t="s">
        <v>645</v>
      </c>
      <c r="D42" s="422"/>
      <c r="E42" s="165" t="s">
        <v>633</v>
      </c>
      <c r="F42" s="150" t="str">
        <f>E15</f>
        <v>062810062</v>
      </c>
    </row>
    <row r="43" spans="1:12" x14ac:dyDescent="0.35">
      <c r="A43" s="59"/>
      <c r="C43" s="85" t="s">
        <v>646</v>
      </c>
      <c r="D43" s="71"/>
      <c r="E43" s="575" t="s">
        <v>647</v>
      </c>
      <c r="F43" s="576"/>
      <c r="G43" s="59"/>
    </row>
    <row r="44" spans="1:12" x14ac:dyDescent="0.35">
      <c r="C44" s="86" t="s">
        <v>648</v>
      </c>
      <c r="D44" s="73"/>
      <c r="E44" s="575">
        <f>'Auto-Calibration record'!B17</f>
        <v>0</v>
      </c>
      <c r="F44" s="576"/>
      <c r="G44" s="59"/>
      <c r="H44" s="4"/>
      <c r="I44" s="4"/>
      <c r="J44" s="4"/>
      <c r="K44" s="4"/>
      <c r="L44" s="4"/>
    </row>
    <row r="45" spans="1:12" x14ac:dyDescent="0.35">
      <c r="C45" s="85" t="s">
        <v>649</v>
      </c>
      <c r="D45" s="71"/>
      <c r="E45" s="575">
        <f>'Auto-Calibration record'!B11</f>
        <v>34</v>
      </c>
      <c r="F45" s="576"/>
      <c r="G45" s="59"/>
    </row>
    <row r="46" spans="1:12" x14ac:dyDescent="0.35">
      <c r="A46" s="59"/>
      <c r="C46" s="85" t="s">
        <v>650</v>
      </c>
      <c r="D46" s="71"/>
      <c r="E46" s="575" t="s">
        <v>651</v>
      </c>
      <c r="F46" s="576"/>
      <c r="G46" s="59"/>
    </row>
    <row r="47" spans="1:12" s="2" customFormat="1" x14ac:dyDescent="0.35">
      <c r="A47" s="1"/>
      <c r="C47" s="85" t="s">
        <v>652</v>
      </c>
      <c r="D47" s="71"/>
      <c r="E47" s="575" t="s">
        <v>653</v>
      </c>
      <c r="F47" s="576"/>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73" t="s">
        <v>657</v>
      </c>
      <c r="E55" s="573"/>
      <c r="F55" s="78" t="s">
        <v>658</v>
      </c>
      <c r="G55" s="77" t="s">
        <v>584</v>
      </c>
      <c r="H55" s="79" t="s">
        <v>584</v>
      </c>
      <c r="I55" s="2"/>
    </row>
    <row r="56" spans="1:10" s="2" customFormat="1" x14ac:dyDescent="0.3">
      <c r="A56" s="59"/>
      <c r="B56" s="140" t="s">
        <v>659</v>
      </c>
      <c r="C56" s="141" t="s">
        <v>587</v>
      </c>
      <c r="D56" s="574" t="s">
        <v>660</v>
      </c>
      <c r="E56" s="574"/>
      <c r="F56" s="143" t="s">
        <v>660</v>
      </c>
      <c r="G56" s="142" t="s">
        <v>660</v>
      </c>
      <c r="H56" s="144" t="s">
        <v>589</v>
      </c>
      <c r="I56" s="80"/>
    </row>
    <row r="57" spans="1:10" x14ac:dyDescent="0.35">
      <c r="A57" s="59"/>
      <c r="B57" s="146">
        <v>4</v>
      </c>
      <c r="C57" s="145">
        <f>'Auto-Calibration record'!B65</f>
        <v>76</v>
      </c>
      <c r="D57" s="571">
        <f>'Auto-Calibration record'!B68</f>
        <v>1415270</v>
      </c>
      <c r="E57" s="572"/>
      <c r="F57" s="160">
        <f>'Auto-Calibration record'!I68</f>
        <v>1429381</v>
      </c>
      <c r="G57" s="145">
        <f t="shared" ref="G57:G62" si="0">F57-D57</f>
        <v>14111</v>
      </c>
      <c r="H57" s="147">
        <f t="shared" ref="H57:H62" si="1">G57/D57</f>
        <v>9.9705356575070479E-3</v>
      </c>
      <c r="I57" s="81"/>
    </row>
    <row r="58" spans="1:10" s="59" customFormat="1" x14ac:dyDescent="0.35">
      <c r="A58" s="2"/>
      <c r="B58" s="146">
        <v>6</v>
      </c>
      <c r="C58" s="145">
        <f>'Auto-Calibration record'!C65</f>
        <v>180</v>
      </c>
      <c r="D58" s="571">
        <f>'Auto-Calibration record'!B69</f>
        <v>580231</v>
      </c>
      <c r="E58" s="572"/>
      <c r="F58" s="160">
        <f>'Auto-Calibration record'!I69</f>
        <v>582583</v>
      </c>
      <c r="G58" s="145">
        <f t="shared" si="0"/>
        <v>2352</v>
      </c>
      <c r="H58" s="147">
        <f t="shared" si="1"/>
        <v>4.0535579794943738E-3</v>
      </c>
      <c r="I58" s="81"/>
    </row>
    <row r="59" spans="1:10" x14ac:dyDescent="0.35">
      <c r="B59" s="146">
        <v>14</v>
      </c>
      <c r="C59" s="145">
        <f>'Auto-Calibration record'!D65</f>
        <v>1020</v>
      </c>
      <c r="D59" s="571">
        <f>'Auto-Calibration record'!B71</f>
        <v>45814.7</v>
      </c>
      <c r="E59" s="572"/>
      <c r="F59" s="160">
        <f>'Auto-Calibration record'!I71</f>
        <v>46338.333333333336</v>
      </c>
      <c r="G59" s="145">
        <f t="shared" si="0"/>
        <v>523.63333333333867</v>
      </c>
      <c r="H59" s="147">
        <f t="shared" si="1"/>
        <v>1.1429373832707378E-2</v>
      </c>
      <c r="I59" s="81"/>
    </row>
    <row r="60" spans="1:10" x14ac:dyDescent="0.35">
      <c r="A60" s="59"/>
      <c r="B60" s="146">
        <v>21</v>
      </c>
      <c r="C60" s="145">
        <f>'Auto-Calibration record'!E65</f>
        <v>2204</v>
      </c>
      <c r="D60" s="571">
        <f>'Auto-Calibration record'!B72</f>
        <v>11873.6</v>
      </c>
      <c r="E60" s="572"/>
      <c r="F60" s="160">
        <f>'Auto-Calibration record'!I72</f>
        <v>12191</v>
      </c>
      <c r="G60" s="145">
        <f t="shared" si="0"/>
        <v>317.39999999999964</v>
      </c>
      <c r="H60" s="147">
        <f t="shared" si="1"/>
        <v>2.6731572564344396E-2</v>
      </c>
      <c r="I60" s="81"/>
    </row>
    <row r="61" spans="1:10" x14ac:dyDescent="0.35">
      <c r="B61" s="146">
        <v>25</v>
      </c>
      <c r="C61" s="145">
        <f>'Auto-Calibration record'!F65</f>
        <v>3244</v>
      </c>
      <c r="D61" s="571">
        <f>'Auto-Calibration record'!B73</f>
        <v>5545.63</v>
      </c>
      <c r="E61" s="572"/>
      <c r="F61" s="160">
        <f>'Auto-Calibration record'!I73</f>
        <v>5583.666666666667</v>
      </c>
      <c r="G61" s="145">
        <f t="shared" si="0"/>
        <v>38.036666666666861</v>
      </c>
      <c r="H61" s="147">
        <f t="shared" si="1"/>
        <v>6.8588540286075453E-3</v>
      </c>
      <c r="I61" s="81"/>
    </row>
    <row r="62" spans="1:10" x14ac:dyDescent="0.35">
      <c r="A62" s="2"/>
      <c r="B62" s="146">
        <v>38</v>
      </c>
      <c r="C62" s="145">
        <f>'Auto-Calibration record'!G65</f>
        <v>11420</v>
      </c>
      <c r="D62" s="571">
        <f>'Auto-Calibration record'!B74</f>
        <v>184.08699999999999</v>
      </c>
      <c r="E62" s="572"/>
      <c r="F62" s="160">
        <f>'Auto-Calibration record'!I74</f>
        <v>169</v>
      </c>
      <c r="G62" s="145">
        <f t="shared" si="0"/>
        <v>-15.086999999999989</v>
      </c>
      <c r="H62" s="147">
        <f t="shared" si="1"/>
        <v>-8.1955814370379174E-2</v>
      </c>
      <c r="I62" s="81"/>
    </row>
    <row r="63" spans="1:10" x14ac:dyDescent="0.35">
      <c r="B63" s="146" t="s">
        <v>661</v>
      </c>
      <c r="C63" s="145">
        <f>'Auto-Calibration record'!H65</f>
        <v>18008</v>
      </c>
      <c r="D63" s="571">
        <f>'Auto-Calibration record'!B75</f>
        <v>34.516399999999997</v>
      </c>
      <c r="E63" s="572"/>
      <c r="F63" s="160">
        <f>'Auto-Calibration record'!I75</f>
        <v>35</v>
      </c>
      <c r="G63" s="423" t="s">
        <v>23</v>
      </c>
      <c r="H63" s="424" t="s">
        <v>23</v>
      </c>
      <c r="I63" s="81"/>
    </row>
    <row r="64" spans="1:10" ht="13.15" thickBot="1" x14ac:dyDescent="0.4">
      <c r="A64" s="59"/>
      <c r="B64" s="148" t="s">
        <v>662</v>
      </c>
      <c r="C64" s="149">
        <f>'Auto-Calibration record'!I65</f>
        <v>30374</v>
      </c>
      <c r="D64" s="571">
        <f>'Auto-Calibration record'!B76</f>
        <v>4.4329299999999998</v>
      </c>
      <c r="E64" s="572"/>
      <c r="F64" s="161">
        <f>'Auto-Calibration record'!I76</f>
        <v>5.333333333333333</v>
      </c>
      <c r="G64" s="425" t="s">
        <v>23</v>
      </c>
      <c r="H64" s="426" t="s">
        <v>23</v>
      </c>
      <c r="I64" s="81"/>
    </row>
    <row r="65" spans="2:7" x14ac:dyDescent="0.35">
      <c r="B65" s="570" t="s">
        <v>663</v>
      </c>
      <c r="C65" s="570"/>
      <c r="D65" s="570"/>
      <c r="E65" s="570"/>
      <c r="F65" s="570"/>
      <c r="G65" s="570"/>
    </row>
    <row r="67" spans="2:7" x14ac:dyDescent="0.35">
      <c r="B67" s="84" t="s">
        <v>664</v>
      </c>
      <c r="C67" s="82">
        <f>'Auto-Calibration record'!H16</f>
        <v>46163.5</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46163.5</v>
      </c>
    </row>
    <row r="19" spans="2:15" ht="25.9" customHeight="1" x14ac:dyDescent="0.45">
      <c r="B19" s="131" t="s">
        <v>575</v>
      </c>
      <c r="C19" s="132"/>
      <c r="D19" s="564" t="str">
        <f>'Auto-Calibration record'!H17</f>
        <v>63010062 210526</v>
      </c>
      <c r="E19" s="565"/>
      <c r="F19" s="566"/>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81" t="s">
        <v>668</v>
      </c>
      <c r="F21" s="581"/>
      <c r="G21" s="581" t="s">
        <v>669</v>
      </c>
      <c r="H21" s="581"/>
      <c r="I21" s="581" t="s">
        <v>670</v>
      </c>
      <c r="J21" s="581"/>
      <c r="M21" s="102"/>
      <c r="N21" s="102"/>
      <c r="O21" s="128"/>
    </row>
    <row r="22" spans="2:15" ht="17.649999999999999" x14ac:dyDescent="0.45">
      <c r="B22" s="101"/>
      <c r="D22" s="134" t="s">
        <v>671</v>
      </c>
      <c r="E22" s="582" t="s">
        <v>672</v>
      </c>
      <c r="F22" s="582"/>
      <c r="G22" s="582" t="s">
        <v>673</v>
      </c>
      <c r="H22" s="582"/>
      <c r="I22" s="582">
        <v>5226</v>
      </c>
      <c r="J22" s="582"/>
      <c r="M22" s="102"/>
      <c r="N22" s="102"/>
      <c r="O22" s="128"/>
    </row>
    <row r="23" spans="2:15" ht="14.25" customHeight="1" x14ac:dyDescent="0.45">
      <c r="B23" s="101"/>
      <c r="D23" s="134" t="s">
        <v>674</v>
      </c>
      <c r="E23" s="582" t="s">
        <v>672</v>
      </c>
      <c r="F23" s="582"/>
      <c r="G23" s="582" t="s">
        <v>673</v>
      </c>
      <c r="H23" s="582"/>
      <c r="I23" s="582">
        <v>5306</v>
      </c>
      <c r="J23" s="582"/>
      <c r="M23" s="102"/>
      <c r="N23" s="102"/>
      <c r="O23" s="128"/>
    </row>
    <row r="24" spans="2:15" ht="14.25" customHeight="1" x14ac:dyDescent="0.45">
      <c r="B24" s="101"/>
      <c r="D24" s="134" t="s">
        <v>675</v>
      </c>
      <c r="E24" s="582" t="s">
        <v>672</v>
      </c>
      <c r="F24" s="582"/>
      <c r="G24" s="582" t="s">
        <v>673</v>
      </c>
      <c r="H24" s="582"/>
      <c r="I24" s="582">
        <v>5326</v>
      </c>
      <c r="J24" s="582"/>
      <c r="M24" s="102"/>
      <c r="N24" s="102"/>
      <c r="O24" s="128"/>
    </row>
    <row r="25" spans="2:15" ht="14.25" customHeight="1" x14ac:dyDescent="0.45">
      <c r="B25" s="101"/>
      <c r="D25" s="134" t="s">
        <v>676</v>
      </c>
      <c r="E25" s="582" t="s">
        <v>672</v>
      </c>
      <c r="F25" s="582"/>
      <c r="G25" s="582" t="s">
        <v>673</v>
      </c>
      <c r="H25" s="582"/>
      <c r="I25" s="582">
        <v>5529</v>
      </c>
      <c r="J25" s="582"/>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40" t="s">
        <v>580</v>
      </c>
      <c r="E32" s="540"/>
      <c r="F32" s="540" t="s">
        <v>581</v>
      </c>
      <c r="G32" s="540"/>
      <c r="H32" s="540" t="s">
        <v>582</v>
      </c>
      <c r="I32" s="540"/>
      <c r="J32" s="107" t="s">
        <v>583</v>
      </c>
      <c r="K32" s="107" t="s">
        <v>584</v>
      </c>
      <c r="L32" s="107" t="s">
        <v>585</v>
      </c>
    </row>
    <row r="33" spans="2:12" s="108" customFormat="1" ht="25.9" customHeight="1" x14ac:dyDescent="0.35">
      <c r="D33" s="541" t="s">
        <v>586</v>
      </c>
      <c r="E33" s="541"/>
      <c r="F33" s="541" t="s">
        <v>587</v>
      </c>
      <c r="G33" s="541"/>
      <c r="H33" s="541" t="s">
        <v>588</v>
      </c>
      <c r="I33" s="541"/>
      <c r="J33" s="109" t="s">
        <v>588</v>
      </c>
      <c r="K33" s="109" t="s">
        <v>588</v>
      </c>
      <c r="L33" s="109" t="s">
        <v>589</v>
      </c>
    </row>
    <row r="34" spans="2:12" s="108" customFormat="1" ht="25.9" customHeight="1" x14ac:dyDescent="0.35">
      <c r="D34" s="542" t="s">
        <v>590</v>
      </c>
      <c r="E34" s="542"/>
      <c r="F34" s="557">
        <f>'Auto-Calibration record'!B65</f>
        <v>76</v>
      </c>
      <c r="G34" s="557"/>
      <c r="H34" s="553">
        <f>'Auto-Calibration record'!B68</f>
        <v>1415270</v>
      </c>
      <c r="I34" s="583"/>
      <c r="J34" s="158">
        <f>'Auto-Calibration record'!I68</f>
        <v>1429381</v>
      </c>
      <c r="K34" s="159">
        <f t="shared" ref="K34:K39" si="0">J34-H34</f>
        <v>14111</v>
      </c>
      <c r="L34" s="111">
        <f t="shared" ref="L34:L39" si="1">K34/H34</f>
        <v>9.9705356575070479E-3</v>
      </c>
    </row>
    <row r="35" spans="2:12" s="108" customFormat="1" ht="25.9" customHeight="1" x14ac:dyDescent="0.35">
      <c r="D35" s="542" t="s">
        <v>591</v>
      </c>
      <c r="E35" s="542"/>
      <c r="F35" s="557">
        <f>'Auto-Calibration record'!C65</f>
        <v>180</v>
      </c>
      <c r="G35" s="557"/>
      <c r="H35" s="553">
        <f>'Auto-Calibration record'!B69</f>
        <v>580231</v>
      </c>
      <c r="I35" s="583"/>
      <c r="J35" s="158">
        <f>'Auto-Calibration record'!I69</f>
        <v>582583</v>
      </c>
      <c r="K35" s="159">
        <f t="shared" si="0"/>
        <v>2352</v>
      </c>
      <c r="L35" s="111">
        <f t="shared" si="1"/>
        <v>4.0535579794943738E-3</v>
      </c>
    </row>
    <row r="36" spans="2:12" s="108" customFormat="1" ht="25.9" customHeight="1" x14ac:dyDescent="0.35">
      <c r="D36" s="542" t="s">
        <v>592</v>
      </c>
      <c r="E36" s="542"/>
      <c r="F36" s="557">
        <f>'Auto-Calibration record'!D65</f>
        <v>1020</v>
      </c>
      <c r="G36" s="557"/>
      <c r="H36" s="553">
        <f>'Auto-Calibration record'!B71</f>
        <v>45814.7</v>
      </c>
      <c r="I36" s="583"/>
      <c r="J36" s="158">
        <f>'Auto-Calibration record'!I71</f>
        <v>46338.333333333336</v>
      </c>
      <c r="K36" s="159">
        <f t="shared" si="0"/>
        <v>523.63333333333867</v>
      </c>
      <c r="L36" s="111">
        <f t="shared" si="1"/>
        <v>1.1429373832707378E-2</v>
      </c>
    </row>
    <row r="37" spans="2:12" s="108" customFormat="1" ht="25.9" customHeight="1" x14ac:dyDescent="0.35">
      <c r="D37" s="542" t="s">
        <v>593</v>
      </c>
      <c r="E37" s="542"/>
      <c r="F37" s="557">
        <f>'Auto-Calibration record'!E65</f>
        <v>2204</v>
      </c>
      <c r="G37" s="557"/>
      <c r="H37" s="553">
        <f>'Auto-Calibration record'!B72</f>
        <v>11873.6</v>
      </c>
      <c r="I37" s="583"/>
      <c r="J37" s="158">
        <f>'Auto-Calibration record'!I72</f>
        <v>12191</v>
      </c>
      <c r="K37" s="159">
        <f t="shared" si="0"/>
        <v>317.39999999999964</v>
      </c>
      <c r="L37" s="111">
        <f t="shared" si="1"/>
        <v>2.6731572564344396E-2</v>
      </c>
    </row>
    <row r="38" spans="2:12" s="108" customFormat="1" ht="25.9" customHeight="1" x14ac:dyDescent="0.35">
      <c r="D38" s="542" t="s">
        <v>594</v>
      </c>
      <c r="E38" s="542"/>
      <c r="F38" s="557">
        <f>'Auto-Calibration record'!F65</f>
        <v>3244</v>
      </c>
      <c r="G38" s="557"/>
      <c r="H38" s="553">
        <f>'Auto-Calibration record'!B73</f>
        <v>5545.63</v>
      </c>
      <c r="I38" s="583"/>
      <c r="J38" s="158">
        <f>'Auto-Calibration record'!I73</f>
        <v>5583.666666666667</v>
      </c>
      <c r="K38" s="159">
        <f t="shared" si="0"/>
        <v>38.036666666666861</v>
      </c>
      <c r="L38" s="111">
        <f t="shared" si="1"/>
        <v>6.8588540286075453E-3</v>
      </c>
    </row>
    <row r="39" spans="2:12" s="108" customFormat="1" ht="25.9" customHeight="1" x14ac:dyDescent="0.35">
      <c r="D39" s="542" t="s">
        <v>595</v>
      </c>
      <c r="E39" s="542"/>
      <c r="F39" s="557">
        <f>'Auto-Calibration record'!G65</f>
        <v>11420</v>
      </c>
      <c r="G39" s="557"/>
      <c r="H39" s="553">
        <f>'Auto-Calibration record'!B74</f>
        <v>184.08699999999999</v>
      </c>
      <c r="I39" s="583"/>
      <c r="J39" s="158">
        <f>'Auto-Calibration record'!I74</f>
        <v>169</v>
      </c>
      <c r="K39" s="159">
        <f t="shared" si="0"/>
        <v>-15.086999999999989</v>
      </c>
      <c r="L39" s="111">
        <f t="shared" si="1"/>
        <v>-8.1955814370379174E-2</v>
      </c>
    </row>
    <row r="40" spans="2:12" s="108" customFormat="1" ht="25.9" customHeight="1" x14ac:dyDescent="0.35">
      <c r="D40" s="542" t="s">
        <v>596</v>
      </c>
      <c r="E40" s="542"/>
      <c r="F40" s="557">
        <f>'Auto-Calibration record'!H65</f>
        <v>18008</v>
      </c>
      <c r="G40" s="557"/>
      <c r="H40" s="553">
        <f>'Auto-Calibration record'!B75</f>
        <v>34.516399999999997</v>
      </c>
      <c r="I40" s="583"/>
      <c r="J40" s="158">
        <f>'Auto-Calibration record'!I75</f>
        <v>35</v>
      </c>
      <c r="K40" s="159" t="s">
        <v>23</v>
      </c>
      <c r="L40" s="112" t="s">
        <v>23</v>
      </c>
    </row>
    <row r="41" spans="2:12" s="102" customFormat="1" ht="25.9" customHeight="1" x14ac:dyDescent="0.45">
      <c r="D41" s="542" t="s">
        <v>597</v>
      </c>
      <c r="E41" s="542"/>
      <c r="F41" s="558">
        <f>'Auto-Calibration record'!I65</f>
        <v>30374</v>
      </c>
      <c r="G41" s="558"/>
      <c r="H41" s="553">
        <f>'Auto-Calibration record'!B76</f>
        <v>4.4329299999999998</v>
      </c>
      <c r="I41" s="583"/>
      <c r="J41" s="158">
        <f>'Auto-Calibration record'!I76</f>
        <v>5.333333333333333</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40" t="s">
        <v>600</v>
      </c>
      <c r="F44" s="540"/>
      <c r="G44" s="540" t="s">
        <v>601</v>
      </c>
      <c r="H44" s="540"/>
      <c r="I44" s="108"/>
      <c r="J44" s="107" t="s">
        <v>677</v>
      </c>
      <c r="K44" s="107" t="s">
        <v>678</v>
      </c>
      <c r="L44" s="107" t="s">
        <v>601</v>
      </c>
    </row>
    <row r="45" spans="2:12" ht="25.9" customHeight="1" x14ac:dyDescent="0.35">
      <c r="B45" s="115"/>
      <c r="D45" s="109" t="s">
        <v>587</v>
      </c>
      <c r="E45" s="541" t="s">
        <v>587</v>
      </c>
      <c r="F45" s="541"/>
      <c r="G45" s="541" t="s">
        <v>602</v>
      </c>
      <c r="H45" s="541"/>
      <c r="I45" s="116"/>
      <c r="J45" s="109" t="s">
        <v>587</v>
      </c>
      <c r="K45" s="109" t="s">
        <v>587</v>
      </c>
      <c r="L45" s="109" t="s">
        <v>602</v>
      </c>
    </row>
    <row r="46" spans="2:12" ht="25.9" customHeight="1" x14ac:dyDescent="0.35">
      <c r="B46" s="115"/>
      <c r="D46" s="129">
        <f>'Auto-Calibration record'!B17</f>
        <v>0</v>
      </c>
      <c r="E46" s="553">
        <f>F34-D46</f>
        <v>76</v>
      </c>
      <c r="F46" s="553"/>
      <c r="G46" s="567" t="e">
        <f>F34/D46</f>
        <v>#DIV/0!</v>
      </c>
      <c r="H46" s="567"/>
      <c r="I46" s="116"/>
      <c r="J46" s="129">
        <f>'Auto-Calibration record'!B11</f>
        <v>34</v>
      </c>
      <c r="K46" s="159">
        <f>F35-J46</f>
        <v>146</v>
      </c>
      <c r="L46" s="151">
        <f>F35/J46</f>
        <v>5.2941176470588234</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43" t="s">
        <v>605</v>
      </c>
      <c r="L78" s="544"/>
      <c r="M78" s="544"/>
      <c r="N78" s="544"/>
      <c r="O78" s="545"/>
    </row>
    <row r="79" spans="2:16" s="88" customFormat="1" ht="25.9" customHeight="1" x14ac:dyDescent="0.4">
      <c r="H79" s="1"/>
      <c r="I79" s="1"/>
      <c r="K79" s="546"/>
      <c r="L79" s="547"/>
      <c r="M79" s="547"/>
      <c r="N79" s="547"/>
      <c r="O79" s="548"/>
    </row>
    <row r="80" spans="2:16" s="88" customFormat="1" ht="25.9" customHeight="1" x14ac:dyDescent="0.4">
      <c r="B80" s="120" t="s">
        <v>606</v>
      </c>
      <c r="C80" s="121"/>
      <c r="D80" s="584" t="s">
        <v>607</v>
      </c>
      <c r="E80" s="585"/>
      <c r="F80" s="585"/>
      <c r="G80" s="586"/>
      <c r="H80" s="1"/>
      <c r="I80" s="1"/>
      <c r="K80" s="546"/>
      <c r="L80" s="547"/>
      <c r="M80" s="547"/>
      <c r="N80" s="547"/>
      <c r="O80" s="548"/>
    </row>
    <row r="81" spans="2:16" s="88" customFormat="1" ht="25.9" customHeight="1" x14ac:dyDescent="0.4">
      <c r="K81" s="549"/>
      <c r="L81" s="550"/>
      <c r="M81" s="550"/>
      <c r="N81" s="550"/>
      <c r="O81" s="551"/>
    </row>
    <row r="82" spans="2:16" s="88" customFormat="1" ht="25.9" customHeight="1" x14ac:dyDescent="0.4">
      <c r="B82" s="120" t="s">
        <v>608</v>
      </c>
      <c r="C82" s="121"/>
      <c r="D82" s="559"/>
      <c r="E82" s="560"/>
      <c r="F82" s="561"/>
      <c r="K82" s="122" t="s">
        <v>609</v>
      </c>
      <c r="L82" s="554" t="s">
        <v>610</v>
      </c>
      <c r="M82" s="555"/>
      <c r="N82" s="555"/>
      <c r="O82" s="556"/>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680</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46163.5</v>
      </c>
    </row>
    <row r="19" spans="2:15" ht="25.9" customHeight="1" x14ac:dyDescent="0.45">
      <c r="B19" s="131" t="s">
        <v>575</v>
      </c>
      <c r="C19" s="132"/>
      <c r="D19" s="564" t="str">
        <f>'Auto-Calibration record'!H17</f>
        <v>63010062 210526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76</v>
      </c>
      <c r="G28" s="557"/>
      <c r="H28" s="553">
        <f>'Auto-Calibration record'!B68</f>
        <v>1415270</v>
      </c>
      <c r="I28" s="583"/>
      <c r="J28" s="158">
        <f>'Auto-Calibration record'!I68</f>
        <v>1429381</v>
      </c>
      <c r="K28" s="159">
        <f t="shared" ref="K28:K33" si="0">J28-H28</f>
        <v>14111</v>
      </c>
      <c r="L28" s="111">
        <f t="shared" ref="L28:L33" si="1">K28/H28</f>
        <v>9.9705356575070479E-3</v>
      </c>
    </row>
    <row r="29" spans="2:15" s="108" customFormat="1" ht="25.9" customHeight="1" x14ac:dyDescent="0.35">
      <c r="D29" s="542" t="s">
        <v>591</v>
      </c>
      <c r="E29" s="542"/>
      <c r="F29" s="557">
        <f>'Auto-Calibration record'!C65</f>
        <v>180</v>
      </c>
      <c r="G29" s="557"/>
      <c r="H29" s="553">
        <f>'Auto-Calibration record'!B69</f>
        <v>580231</v>
      </c>
      <c r="I29" s="583"/>
      <c r="J29" s="158">
        <f>'Auto-Calibration record'!I69</f>
        <v>582583</v>
      </c>
      <c r="K29" s="159">
        <f t="shared" si="0"/>
        <v>2352</v>
      </c>
      <c r="L29" s="111">
        <f t="shared" si="1"/>
        <v>4.0535579794943738E-3</v>
      </c>
    </row>
    <row r="30" spans="2:15" s="108" customFormat="1" ht="25.9" customHeight="1" x14ac:dyDescent="0.35">
      <c r="D30" s="542" t="s">
        <v>592</v>
      </c>
      <c r="E30" s="542"/>
      <c r="F30" s="557">
        <f>'Auto-Calibration record'!D65</f>
        <v>1020</v>
      </c>
      <c r="G30" s="557"/>
      <c r="H30" s="553">
        <f>'Auto-Calibration record'!B71</f>
        <v>45814.7</v>
      </c>
      <c r="I30" s="583"/>
      <c r="J30" s="158">
        <f>'Auto-Calibration record'!I71</f>
        <v>46338.333333333336</v>
      </c>
      <c r="K30" s="159">
        <f t="shared" si="0"/>
        <v>523.63333333333867</v>
      </c>
      <c r="L30" s="111">
        <f t="shared" si="1"/>
        <v>1.1429373832707378E-2</v>
      </c>
    </row>
    <row r="31" spans="2:15" s="108" customFormat="1" ht="25.9" customHeight="1" x14ac:dyDescent="0.35">
      <c r="D31" s="542" t="s">
        <v>593</v>
      </c>
      <c r="E31" s="542"/>
      <c r="F31" s="557">
        <f>'Auto-Calibration record'!E65</f>
        <v>2204</v>
      </c>
      <c r="G31" s="557"/>
      <c r="H31" s="553">
        <f>'Auto-Calibration record'!B72</f>
        <v>11873.6</v>
      </c>
      <c r="I31" s="583"/>
      <c r="J31" s="158">
        <f>'Auto-Calibration record'!I72</f>
        <v>12191</v>
      </c>
      <c r="K31" s="159">
        <f t="shared" si="0"/>
        <v>317.39999999999964</v>
      </c>
      <c r="L31" s="111">
        <f t="shared" si="1"/>
        <v>2.6731572564344396E-2</v>
      </c>
    </row>
    <row r="32" spans="2:15" s="108" customFormat="1" ht="25.9" customHeight="1" x14ac:dyDescent="0.35">
      <c r="D32" s="542" t="s">
        <v>594</v>
      </c>
      <c r="E32" s="542"/>
      <c r="F32" s="557">
        <f>'Auto-Calibration record'!F65</f>
        <v>3244</v>
      </c>
      <c r="G32" s="557"/>
      <c r="H32" s="553">
        <f>'Auto-Calibration record'!B73</f>
        <v>5545.63</v>
      </c>
      <c r="I32" s="583"/>
      <c r="J32" s="158">
        <f>'Auto-Calibration record'!I73</f>
        <v>5583.666666666667</v>
      </c>
      <c r="K32" s="159">
        <f t="shared" si="0"/>
        <v>38.036666666666861</v>
      </c>
      <c r="L32" s="111">
        <f t="shared" si="1"/>
        <v>6.8588540286075453E-3</v>
      </c>
    </row>
    <row r="33" spans="2:14" s="108" customFormat="1" ht="25.9" customHeight="1" x14ac:dyDescent="0.35">
      <c r="D33" s="542" t="s">
        <v>595</v>
      </c>
      <c r="E33" s="542"/>
      <c r="F33" s="557">
        <f>'Auto-Calibration record'!G65</f>
        <v>11420</v>
      </c>
      <c r="G33" s="557"/>
      <c r="H33" s="553">
        <f>'Auto-Calibration record'!B74</f>
        <v>184.08699999999999</v>
      </c>
      <c r="I33" s="583"/>
      <c r="J33" s="158">
        <f>'Auto-Calibration record'!I74</f>
        <v>169</v>
      </c>
      <c r="K33" s="159">
        <f t="shared" si="0"/>
        <v>-15.086999999999989</v>
      </c>
      <c r="L33" s="111">
        <f t="shared" si="1"/>
        <v>-8.1955814370379174E-2</v>
      </c>
    </row>
    <row r="34" spans="2:14" s="108" customFormat="1" ht="25.9" customHeight="1" x14ac:dyDescent="0.35">
      <c r="D34" s="542" t="s">
        <v>596</v>
      </c>
      <c r="E34" s="542"/>
      <c r="F34" s="557">
        <f>'Auto-Calibration record'!H65</f>
        <v>18008</v>
      </c>
      <c r="G34" s="557"/>
      <c r="H34" s="553">
        <f>'Auto-Calibration record'!B75</f>
        <v>34.516399999999997</v>
      </c>
      <c r="I34" s="583"/>
      <c r="J34" s="158">
        <f>'Auto-Calibration record'!I75</f>
        <v>35</v>
      </c>
      <c r="K34" s="159" t="s">
        <v>23</v>
      </c>
      <c r="L34" s="112" t="s">
        <v>23</v>
      </c>
    </row>
    <row r="35" spans="2:14" s="102" customFormat="1" ht="25.9" customHeight="1" x14ac:dyDescent="0.45">
      <c r="D35" s="542" t="s">
        <v>597</v>
      </c>
      <c r="E35" s="542"/>
      <c r="F35" s="558">
        <f>'Auto-Calibration record'!I65</f>
        <v>30374</v>
      </c>
      <c r="G35" s="558"/>
      <c r="H35" s="553">
        <f>'Auto-Calibration record'!B76</f>
        <v>4.4329299999999998</v>
      </c>
      <c r="I35" s="583"/>
      <c r="J35" s="158">
        <f>'Auto-Calibration record'!I76</f>
        <v>5.333333333333333</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40" t="s">
        <v>600</v>
      </c>
      <c r="F38" s="540"/>
      <c r="G38" s="540" t="s">
        <v>601</v>
      </c>
      <c r="H38" s="540"/>
      <c r="I38" s="108"/>
      <c r="J38" s="107" t="s">
        <v>677</v>
      </c>
      <c r="K38" s="107" t="s">
        <v>678</v>
      </c>
      <c r="L38" s="107" t="s">
        <v>601</v>
      </c>
      <c r="N38" s="152"/>
    </row>
    <row r="39" spans="2:14" ht="25.9" customHeight="1" x14ac:dyDescent="0.35">
      <c r="B39" s="115"/>
      <c r="D39" s="109" t="s">
        <v>587</v>
      </c>
      <c r="E39" s="541" t="s">
        <v>587</v>
      </c>
      <c r="F39" s="541"/>
      <c r="G39" s="541" t="s">
        <v>602</v>
      </c>
      <c r="H39" s="541"/>
      <c r="I39" s="116"/>
      <c r="J39" s="109" t="s">
        <v>587</v>
      </c>
      <c r="K39" s="109" t="s">
        <v>587</v>
      </c>
      <c r="L39" s="109" t="s">
        <v>602</v>
      </c>
    </row>
    <row r="40" spans="2:14" ht="25.9" customHeight="1" x14ac:dyDescent="0.35">
      <c r="B40" s="115"/>
      <c r="D40" s="129">
        <f>'Auto-Calibration record'!B17</f>
        <v>0</v>
      </c>
      <c r="E40" s="553">
        <f>F28-D40</f>
        <v>76</v>
      </c>
      <c r="F40" s="553"/>
      <c r="G40" s="567" t="e">
        <f>F28/D40</f>
        <v>#DIV/0!</v>
      </c>
      <c r="H40" s="567"/>
      <c r="I40" s="116"/>
      <c r="J40" s="129">
        <f>'Auto-Calibration record'!B11</f>
        <v>34</v>
      </c>
      <c r="K40" s="159">
        <f>F29-J40</f>
        <v>146</v>
      </c>
      <c r="L40" s="151">
        <f>F29/J40</f>
        <v>5.2941176470588234</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680</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46163.5</v>
      </c>
    </row>
    <row r="19" spans="2:15" ht="25.9" customHeight="1" x14ac:dyDescent="0.45">
      <c r="B19" s="131" t="s">
        <v>575</v>
      </c>
      <c r="C19" s="132"/>
      <c r="D19" s="564" t="str">
        <f>'Auto-Calibration record'!H17</f>
        <v>63010062 210526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76</v>
      </c>
      <c r="G28" s="557"/>
      <c r="H28" s="553">
        <f>'Auto-Calibration record'!B68</f>
        <v>1415270</v>
      </c>
      <c r="I28" s="583"/>
      <c r="J28" s="158">
        <f>'Auto-Calibration record'!I68</f>
        <v>1429381</v>
      </c>
      <c r="K28" s="159">
        <f t="shared" ref="K28:K33" si="0">J28-H28</f>
        <v>14111</v>
      </c>
      <c r="L28" s="111">
        <f t="shared" ref="L28:L33" si="1">K28/H28</f>
        <v>9.9705356575070479E-3</v>
      </c>
    </row>
    <row r="29" spans="2:15" s="108" customFormat="1" ht="25.9" customHeight="1" x14ac:dyDescent="0.35">
      <c r="D29" s="542" t="s">
        <v>591</v>
      </c>
      <c r="E29" s="542"/>
      <c r="F29" s="557">
        <f>'Auto-Calibration record'!C65</f>
        <v>180</v>
      </c>
      <c r="G29" s="557"/>
      <c r="H29" s="553">
        <f>'Auto-Calibration record'!B69</f>
        <v>580231</v>
      </c>
      <c r="I29" s="583"/>
      <c r="J29" s="158">
        <f>'Auto-Calibration record'!I69</f>
        <v>582583</v>
      </c>
      <c r="K29" s="159">
        <f t="shared" si="0"/>
        <v>2352</v>
      </c>
      <c r="L29" s="111">
        <f t="shared" si="1"/>
        <v>4.0535579794943738E-3</v>
      </c>
    </row>
    <row r="30" spans="2:15" s="108" customFormat="1" ht="25.9" customHeight="1" x14ac:dyDescent="0.35">
      <c r="D30" s="542" t="s">
        <v>592</v>
      </c>
      <c r="E30" s="542"/>
      <c r="F30" s="557">
        <f>'Auto-Calibration record'!D65</f>
        <v>1020</v>
      </c>
      <c r="G30" s="557"/>
      <c r="H30" s="553">
        <f>'Auto-Calibration record'!B71</f>
        <v>45814.7</v>
      </c>
      <c r="I30" s="583"/>
      <c r="J30" s="158">
        <f>'Auto-Calibration record'!I71</f>
        <v>46338.333333333336</v>
      </c>
      <c r="K30" s="159">
        <f t="shared" si="0"/>
        <v>523.63333333333867</v>
      </c>
      <c r="L30" s="111">
        <f t="shared" si="1"/>
        <v>1.1429373832707378E-2</v>
      </c>
    </row>
    <row r="31" spans="2:15" s="108" customFormat="1" ht="25.9" customHeight="1" x14ac:dyDescent="0.35">
      <c r="D31" s="542" t="s">
        <v>593</v>
      </c>
      <c r="E31" s="542"/>
      <c r="F31" s="557">
        <f>'Auto-Calibration record'!E65</f>
        <v>2204</v>
      </c>
      <c r="G31" s="557"/>
      <c r="H31" s="553">
        <f>'Auto-Calibration record'!B72</f>
        <v>11873.6</v>
      </c>
      <c r="I31" s="583"/>
      <c r="J31" s="158">
        <f>'Auto-Calibration record'!I72</f>
        <v>12191</v>
      </c>
      <c r="K31" s="159">
        <f t="shared" si="0"/>
        <v>317.39999999999964</v>
      </c>
      <c r="L31" s="111">
        <f t="shared" si="1"/>
        <v>2.6731572564344396E-2</v>
      </c>
    </row>
    <row r="32" spans="2:15" s="108" customFormat="1" ht="25.9" customHeight="1" x14ac:dyDescent="0.35">
      <c r="D32" s="542" t="s">
        <v>594</v>
      </c>
      <c r="E32" s="542"/>
      <c r="F32" s="557">
        <f>'Auto-Calibration record'!F65</f>
        <v>3244</v>
      </c>
      <c r="G32" s="557"/>
      <c r="H32" s="553">
        <f>'Auto-Calibration record'!B73</f>
        <v>5545.63</v>
      </c>
      <c r="I32" s="583"/>
      <c r="J32" s="158">
        <f>'Auto-Calibration record'!I73</f>
        <v>5583.666666666667</v>
      </c>
      <c r="K32" s="159">
        <f t="shared" si="0"/>
        <v>38.036666666666861</v>
      </c>
      <c r="L32" s="111">
        <f t="shared" si="1"/>
        <v>6.8588540286075453E-3</v>
      </c>
    </row>
    <row r="33" spans="2:12" s="108" customFormat="1" ht="25.9" customHeight="1" x14ac:dyDescent="0.35">
      <c r="D33" s="542" t="s">
        <v>595</v>
      </c>
      <c r="E33" s="542"/>
      <c r="F33" s="557">
        <f>'Auto-Calibration record'!G65</f>
        <v>11420</v>
      </c>
      <c r="G33" s="557"/>
      <c r="H33" s="553">
        <f>'Auto-Calibration record'!B74</f>
        <v>184.08699999999999</v>
      </c>
      <c r="I33" s="583"/>
      <c r="J33" s="158">
        <f>'Auto-Calibration record'!I74</f>
        <v>169</v>
      </c>
      <c r="K33" s="159">
        <f t="shared" si="0"/>
        <v>-15.086999999999989</v>
      </c>
      <c r="L33" s="111">
        <f t="shared" si="1"/>
        <v>-8.1955814370379174E-2</v>
      </c>
    </row>
    <row r="34" spans="2:12" s="108" customFormat="1" ht="25.9" customHeight="1" x14ac:dyDescent="0.35">
      <c r="D34" s="542" t="s">
        <v>596</v>
      </c>
      <c r="E34" s="542"/>
      <c r="F34" s="557">
        <f>'Auto-Calibration record'!H65</f>
        <v>18008</v>
      </c>
      <c r="G34" s="557"/>
      <c r="H34" s="553">
        <f>'Auto-Calibration record'!B75</f>
        <v>34.516399999999997</v>
      </c>
      <c r="I34" s="583"/>
      <c r="J34" s="158">
        <f>'Auto-Calibration record'!I75</f>
        <v>35</v>
      </c>
      <c r="K34" s="159" t="s">
        <v>23</v>
      </c>
      <c r="L34" s="112" t="s">
        <v>23</v>
      </c>
    </row>
    <row r="35" spans="2:12" s="102" customFormat="1" ht="25.9" customHeight="1" x14ac:dyDescent="0.45">
      <c r="D35" s="542" t="s">
        <v>597</v>
      </c>
      <c r="E35" s="542"/>
      <c r="F35" s="558">
        <f>'Auto-Calibration record'!I65</f>
        <v>30374</v>
      </c>
      <c r="G35" s="558"/>
      <c r="H35" s="553">
        <f>'Auto-Calibration record'!B76</f>
        <v>4.4329299999999998</v>
      </c>
      <c r="I35" s="583"/>
      <c r="J35" s="158">
        <f>'Auto-Calibration record'!I76</f>
        <v>5.333333333333333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76</v>
      </c>
      <c r="F40" s="553"/>
      <c r="G40" s="567" t="e">
        <f>F28/D40</f>
        <v>#DIV/0!</v>
      </c>
      <c r="H40" s="567"/>
      <c r="I40" s="116"/>
      <c r="J40" s="129">
        <f>'Auto-Calibration record'!B11</f>
        <v>34</v>
      </c>
      <c r="K40" s="159">
        <f>F29-J40</f>
        <v>146</v>
      </c>
      <c r="L40" s="151">
        <f>F29/J40</f>
        <v>5.2941176470588234</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46163.5</v>
      </c>
    </row>
    <row r="19" spans="2:15" ht="25.9" customHeight="1" x14ac:dyDescent="0.45">
      <c r="B19" s="131" t="s">
        <v>575</v>
      </c>
      <c r="C19" s="132"/>
      <c r="D19" s="564" t="str">
        <f>'Auto-Calibration record'!H17</f>
        <v>63010062 210526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76</v>
      </c>
      <c r="G28" s="557"/>
      <c r="H28" s="553">
        <f>'Auto-Calibration record'!B68</f>
        <v>1415270</v>
      </c>
      <c r="I28" s="583"/>
      <c r="J28" s="158">
        <f>'Auto-Calibration record'!I68</f>
        <v>1429381</v>
      </c>
      <c r="K28" s="159">
        <f t="shared" ref="K28:K33" si="0">J28-H28</f>
        <v>14111</v>
      </c>
      <c r="L28" s="111">
        <f t="shared" ref="L28:L33" si="1">K28/H28</f>
        <v>9.9705356575070479E-3</v>
      </c>
    </row>
    <row r="29" spans="2:15" s="108" customFormat="1" ht="25.9" customHeight="1" x14ac:dyDescent="0.35">
      <c r="D29" s="542" t="s">
        <v>591</v>
      </c>
      <c r="E29" s="542"/>
      <c r="F29" s="557">
        <f>'Auto-Calibration record'!C65</f>
        <v>180</v>
      </c>
      <c r="G29" s="557"/>
      <c r="H29" s="553">
        <f>'Auto-Calibration record'!B69</f>
        <v>580231</v>
      </c>
      <c r="I29" s="583"/>
      <c r="J29" s="158">
        <f>'Auto-Calibration record'!I69</f>
        <v>582583</v>
      </c>
      <c r="K29" s="159">
        <f t="shared" si="0"/>
        <v>2352</v>
      </c>
      <c r="L29" s="111">
        <f t="shared" si="1"/>
        <v>4.0535579794943738E-3</v>
      </c>
    </row>
    <row r="30" spans="2:15" s="108" customFormat="1" ht="25.9" customHeight="1" x14ac:dyDescent="0.35">
      <c r="D30" s="542" t="s">
        <v>592</v>
      </c>
      <c r="E30" s="542"/>
      <c r="F30" s="557">
        <f>'Auto-Calibration record'!D65</f>
        <v>1020</v>
      </c>
      <c r="G30" s="557"/>
      <c r="H30" s="553">
        <f>'Auto-Calibration record'!B71</f>
        <v>45814.7</v>
      </c>
      <c r="I30" s="583"/>
      <c r="J30" s="158">
        <f>'Auto-Calibration record'!I71</f>
        <v>46338.333333333336</v>
      </c>
      <c r="K30" s="159">
        <f t="shared" si="0"/>
        <v>523.63333333333867</v>
      </c>
      <c r="L30" s="111">
        <f t="shared" si="1"/>
        <v>1.1429373832707378E-2</v>
      </c>
    </row>
    <row r="31" spans="2:15" s="108" customFormat="1" ht="25.9" customHeight="1" x14ac:dyDescent="0.35">
      <c r="D31" s="542" t="s">
        <v>593</v>
      </c>
      <c r="E31" s="542"/>
      <c r="F31" s="557">
        <f>'Auto-Calibration record'!E65</f>
        <v>2204</v>
      </c>
      <c r="G31" s="557"/>
      <c r="H31" s="553">
        <f>'Auto-Calibration record'!B72</f>
        <v>11873.6</v>
      </c>
      <c r="I31" s="583"/>
      <c r="J31" s="158">
        <f>'Auto-Calibration record'!I72</f>
        <v>12191</v>
      </c>
      <c r="K31" s="159">
        <f t="shared" si="0"/>
        <v>317.39999999999964</v>
      </c>
      <c r="L31" s="111">
        <f t="shared" si="1"/>
        <v>2.6731572564344396E-2</v>
      </c>
    </row>
    <row r="32" spans="2:15" s="108" customFormat="1" ht="25.9" customHeight="1" x14ac:dyDescent="0.35">
      <c r="D32" s="542" t="s">
        <v>594</v>
      </c>
      <c r="E32" s="542"/>
      <c r="F32" s="557">
        <f>'Auto-Calibration record'!F65</f>
        <v>3244</v>
      </c>
      <c r="G32" s="557"/>
      <c r="H32" s="553">
        <f>'Auto-Calibration record'!B73</f>
        <v>5545.63</v>
      </c>
      <c r="I32" s="583"/>
      <c r="J32" s="158">
        <f>'Auto-Calibration record'!I73</f>
        <v>5583.666666666667</v>
      </c>
      <c r="K32" s="159">
        <f t="shared" si="0"/>
        <v>38.036666666666861</v>
      </c>
      <c r="L32" s="111">
        <f t="shared" si="1"/>
        <v>6.8588540286075453E-3</v>
      </c>
    </row>
    <row r="33" spans="2:12" s="108" customFormat="1" ht="25.9" customHeight="1" x14ac:dyDescent="0.35">
      <c r="D33" s="542" t="s">
        <v>595</v>
      </c>
      <c r="E33" s="542"/>
      <c r="F33" s="557">
        <f>'Auto-Calibration record'!G65</f>
        <v>11420</v>
      </c>
      <c r="G33" s="557"/>
      <c r="H33" s="553">
        <f>'Auto-Calibration record'!B74</f>
        <v>184.08699999999999</v>
      </c>
      <c r="I33" s="583"/>
      <c r="J33" s="158">
        <f>'Auto-Calibration record'!I74</f>
        <v>169</v>
      </c>
      <c r="K33" s="159">
        <f t="shared" si="0"/>
        <v>-15.086999999999989</v>
      </c>
      <c r="L33" s="111">
        <f t="shared" si="1"/>
        <v>-8.1955814370379174E-2</v>
      </c>
    </row>
    <row r="34" spans="2:12" s="108" customFormat="1" ht="25.9" customHeight="1" x14ac:dyDescent="0.35">
      <c r="D34" s="542" t="s">
        <v>596</v>
      </c>
      <c r="E34" s="542"/>
      <c r="F34" s="557">
        <f>'Auto-Calibration record'!H65</f>
        <v>18008</v>
      </c>
      <c r="G34" s="557"/>
      <c r="H34" s="553">
        <f>'Auto-Calibration record'!B75</f>
        <v>34.516399999999997</v>
      </c>
      <c r="I34" s="583"/>
      <c r="J34" s="158">
        <f>'Auto-Calibration record'!I75</f>
        <v>35</v>
      </c>
      <c r="K34" s="159" t="s">
        <v>23</v>
      </c>
      <c r="L34" s="112" t="s">
        <v>23</v>
      </c>
    </row>
    <row r="35" spans="2:12" s="102" customFormat="1" ht="25.9" customHeight="1" x14ac:dyDescent="0.45">
      <c r="D35" s="542" t="s">
        <v>597</v>
      </c>
      <c r="E35" s="542"/>
      <c r="F35" s="558">
        <f>'Auto-Calibration record'!I65</f>
        <v>30374</v>
      </c>
      <c r="G35" s="558"/>
      <c r="H35" s="553">
        <f>'Auto-Calibration record'!B76</f>
        <v>4.4329299999999998</v>
      </c>
      <c r="I35" s="583"/>
      <c r="J35" s="158">
        <f>'Auto-Calibration record'!I76</f>
        <v>5.333333333333333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76</v>
      </c>
      <c r="F40" s="553"/>
      <c r="G40" s="567" t="e">
        <f>F28/D40</f>
        <v>#DIV/0!</v>
      </c>
      <c r="H40" s="567"/>
      <c r="I40" s="116"/>
      <c r="J40" s="129">
        <f>'Auto-Calibration record'!B11</f>
        <v>34</v>
      </c>
      <c r="K40" s="159">
        <f>F29-J40</f>
        <v>146</v>
      </c>
      <c r="L40" s="151">
        <f>F29/J40</f>
        <v>5.2941176470588234</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7.649999999999999" x14ac:dyDescent="0.4">
      <c r="B78" s="115" t="s">
        <v>611</v>
      </c>
      <c r="H78" s="88"/>
      <c r="I78" s="88"/>
      <c r="J78" s="136" t="s">
        <v>681</v>
      </c>
      <c r="M78" s="587" t="s">
        <v>682</v>
      </c>
      <c r="N78" s="588"/>
      <c r="O78" s="589"/>
    </row>
    <row r="79" spans="2:16" ht="15" x14ac:dyDescent="0.4">
      <c r="B79" s="115" t="s">
        <v>612</v>
      </c>
      <c r="H79" s="88"/>
      <c r="I79" s="88"/>
      <c r="M79" s="590" t="s">
        <v>683</v>
      </c>
      <c r="N79" s="591"/>
      <c r="O79" s="592"/>
    </row>
    <row r="80" spans="2:16" ht="13.15" x14ac:dyDescent="0.35">
      <c r="B80" s="115" t="s">
        <v>613</v>
      </c>
      <c r="M80" s="590" t="s">
        <v>684</v>
      </c>
      <c r="N80" s="591"/>
      <c r="O80" s="592"/>
    </row>
    <row r="81" spans="2:15" ht="13.15" x14ac:dyDescent="0.35">
      <c r="M81" s="593" t="s">
        <v>685</v>
      </c>
      <c r="N81" s="594"/>
      <c r="O81" s="595"/>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2" t="s">
        <v>680</v>
      </c>
      <c r="C13" s="552"/>
      <c r="D13" s="552"/>
      <c r="E13" s="552"/>
      <c r="F13" s="552"/>
      <c r="G13" s="552"/>
      <c r="H13" s="552"/>
      <c r="I13" s="552"/>
      <c r="J13" s="552"/>
      <c r="K13" s="552"/>
      <c r="L13" s="552"/>
      <c r="M13" s="552"/>
      <c r="N13" s="552"/>
      <c r="O13" s="552"/>
      <c r="P13" s="91"/>
    </row>
    <row r="14" spans="1:16" ht="66"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46163.5</v>
      </c>
    </row>
    <row r="19" spans="2:15" ht="25.9" customHeight="1" x14ac:dyDescent="0.45">
      <c r="B19" s="131" t="s">
        <v>575</v>
      </c>
      <c r="C19" s="132"/>
      <c r="D19" s="564" t="str">
        <f>'Auto-Calibration record'!H17</f>
        <v>63010062 210526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76</v>
      </c>
      <c r="G28" s="557"/>
      <c r="H28" s="553">
        <f>'Auto-Calibration record'!B68</f>
        <v>1415270</v>
      </c>
      <c r="I28" s="583"/>
      <c r="J28" s="158">
        <f>'MP Calibration Certificate'!J28</f>
        <v>1429381</v>
      </c>
      <c r="K28" s="159">
        <f t="shared" ref="K28:K33" si="0">J28-H28</f>
        <v>14111</v>
      </c>
      <c r="L28" s="111">
        <f t="shared" ref="L28:L33" si="1">K28/H28</f>
        <v>9.9705356575070479E-3</v>
      </c>
    </row>
    <row r="29" spans="2:15" s="108" customFormat="1" ht="25.9" customHeight="1" x14ac:dyDescent="0.35">
      <c r="D29" s="542" t="s">
        <v>591</v>
      </c>
      <c r="E29" s="542"/>
      <c r="F29" s="557">
        <f>'Auto-Calibration record'!C65</f>
        <v>180</v>
      </c>
      <c r="G29" s="557"/>
      <c r="H29" s="553">
        <f>'Auto-Calibration record'!B69</f>
        <v>580231</v>
      </c>
      <c r="I29" s="583"/>
      <c r="J29" s="158">
        <f>'MP Calibration Certificate'!J29</f>
        <v>582583</v>
      </c>
      <c r="K29" s="159">
        <f t="shared" si="0"/>
        <v>2352</v>
      </c>
      <c r="L29" s="111">
        <f t="shared" si="1"/>
        <v>4.0535579794943738E-3</v>
      </c>
    </row>
    <row r="30" spans="2:15" s="108" customFormat="1" ht="25.9" customHeight="1" x14ac:dyDescent="0.35">
      <c r="D30" s="542" t="s">
        <v>592</v>
      </c>
      <c r="E30" s="542"/>
      <c r="F30" s="557">
        <f>'Auto-Calibration record'!D65</f>
        <v>1020</v>
      </c>
      <c r="G30" s="557"/>
      <c r="H30" s="553">
        <f>'Auto-Calibration record'!B71</f>
        <v>45814.7</v>
      </c>
      <c r="I30" s="583"/>
      <c r="J30" s="158">
        <f>'MP Calibration Certificate'!J30</f>
        <v>46338.333333333336</v>
      </c>
      <c r="K30" s="159">
        <f t="shared" si="0"/>
        <v>523.63333333333867</v>
      </c>
      <c r="L30" s="111">
        <f t="shared" si="1"/>
        <v>1.1429373832707378E-2</v>
      </c>
    </row>
    <row r="31" spans="2:15" s="108" customFormat="1" ht="25.9" customHeight="1" x14ac:dyDescent="0.35">
      <c r="D31" s="542" t="s">
        <v>593</v>
      </c>
      <c r="E31" s="542"/>
      <c r="F31" s="557">
        <f>'Auto-Calibration record'!E65</f>
        <v>2204</v>
      </c>
      <c r="G31" s="557"/>
      <c r="H31" s="553">
        <f>'Auto-Calibration record'!B72</f>
        <v>11873.6</v>
      </c>
      <c r="I31" s="583"/>
      <c r="J31" s="158">
        <f>'MP Calibration Certificate'!J31</f>
        <v>12191</v>
      </c>
      <c r="K31" s="159">
        <f t="shared" si="0"/>
        <v>317.39999999999964</v>
      </c>
      <c r="L31" s="111">
        <f t="shared" si="1"/>
        <v>2.6731572564344396E-2</v>
      </c>
    </row>
    <row r="32" spans="2:15" s="108" customFormat="1" ht="25.9" customHeight="1" x14ac:dyDescent="0.35">
      <c r="D32" s="542" t="s">
        <v>594</v>
      </c>
      <c r="E32" s="542"/>
      <c r="F32" s="557">
        <f>'Auto-Calibration record'!F65</f>
        <v>3244</v>
      </c>
      <c r="G32" s="557"/>
      <c r="H32" s="553">
        <f>'Auto-Calibration record'!B73</f>
        <v>5545.63</v>
      </c>
      <c r="I32" s="583"/>
      <c r="J32" s="158">
        <f>'MP Calibration Certificate'!J32</f>
        <v>5583.666666666667</v>
      </c>
      <c r="K32" s="159">
        <f t="shared" si="0"/>
        <v>38.036666666666861</v>
      </c>
      <c r="L32" s="111">
        <f t="shared" si="1"/>
        <v>6.8588540286075453E-3</v>
      </c>
    </row>
    <row r="33" spans="2:12" s="108" customFormat="1" ht="25.9" customHeight="1" x14ac:dyDescent="0.35">
      <c r="D33" s="542" t="s">
        <v>595</v>
      </c>
      <c r="E33" s="542"/>
      <c r="F33" s="557">
        <f>'Auto-Calibration record'!G65</f>
        <v>11420</v>
      </c>
      <c r="G33" s="557"/>
      <c r="H33" s="553">
        <f>'Auto-Calibration record'!B74</f>
        <v>184.08699999999999</v>
      </c>
      <c r="I33" s="583"/>
      <c r="J33" s="158">
        <f>'MP Calibration Certificate'!J33</f>
        <v>169</v>
      </c>
      <c r="K33" s="159">
        <f t="shared" si="0"/>
        <v>-15.086999999999989</v>
      </c>
      <c r="L33" s="111">
        <f t="shared" si="1"/>
        <v>-8.1955814370379174E-2</v>
      </c>
    </row>
    <row r="34" spans="2:12" s="108" customFormat="1" ht="25.9" customHeight="1" x14ac:dyDescent="0.35">
      <c r="D34" s="542" t="s">
        <v>596</v>
      </c>
      <c r="E34" s="542"/>
      <c r="F34" s="557">
        <f>'Auto-Calibration record'!H65</f>
        <v>18008</v>
      </c>
      <c r="G34" s="557"/>
      <c r="H34" s="553">
        <f>'Auto-Calibration record'!B75</f>
        <v>34.516399999999997</v>
      </c>
      <c r="I34" s="583"/>
      <c r="J34" s="158">
        <f>'MP Calibration Certificate'!J34</f>
        <v>35</v>
      </c>
      <c r="K34" s="159" t="s">
        <v>23</v>
      </c>
      <c r="L34" s="112" t="s">
        <v>23</v>
      </c>
    </row>
    <row r="35" spans="2:12" s="102" customFormat="1" ht="25.9" customHeight="1" x14ac:dyDescent="0.45">
      <c r="D35" s="542" t="s">
        <v>597</v>
      </c>
      <c r="E35" s="542"/>
      <c r="F35" s="558">
        <f>'Auto-Calibration record'!I65</f>
        <v>30374</v>
      </c>
      <c r="G35" s="558"/>
      <c r="H35" s="553">
        <f>'Auto-Calibration record'!B76</f>
        <v>4.4329299999999998</v>
      </c>
      <c r="I35" s="583"/>
      <c r="J35" s="158">
        <f>'MP Calibration Certificate'!J35</f>
        <v>5.333333333333333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76</v>
      </c>
      <c r="F40" s="553"/>
      <c r="G40" s="567" t="e">
        <f>F28/D40</f>
        <v>#DIV/0!</v>
      </c>
      <c r="H40" s="567"/>
      <c r="I40" s="116"/>
      <c r="J40" s="129">
        <f>'Auto-Calibration record'!B11</f>
        <v>34</v>
      </c>
      <c r="K40" s="159">
        <f>F29-J40</f>
        <v>146</v>
      </c>
      <c r="L40" s="151">
        <f>F29/J40</f>
        <v>5.2941176470588234</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46163.5</v>
      </c>
    </row>
    <row r="19" spans="2:15" ht="25.9" customHeight="1" x14ac:dyDescent="0.45">
      <c r="B19" s="131" t="s">
        <v>575</v>
      </c>
      <c r="C19" s="132"/>
      <c r="D19" s="564" t="str">
        <f>'Auto-Calibration record'!H17</f>
        <v>63010062 210526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76</v>
      </c>
      <c r="G28" s="557"/>
      <c r="H28" s="553">
        <f>'Auto-Calibration record'!B68</f>
        <v>1415270</v>
      </c>
      <c r="I28" s="583"/>
      <c r="J28" s="158">
        <f>'Auto-Calibration record'!I68</f>
        <v>1429381</v>
      </c>
      <c r="K28" s="159">
        <f t="shared" ref="K28:K33" si="0">J28-H28</f>
        <v>14111</v>
      </c>
      <c r="L28" s="111">
        <f t="shared" ref="L28:L33" si="1">K28/H28</f>
        <v>9.9705356575070479E-3</v>
      </c>
    </row>
    <row r="29" spans="2:15" s="108" customFormat="1" ht="25.9" customHeight="1" x14ac:dyDescent="0.35">
      <c r="D29" s="542" t="s">
        <v>591</v>
      </c>
      <c r="E29" s="542"/>
      <c r="F29" s="557">
        <f>'Auto-Calibration record'!C65</f>
        <v>180</v>
      </c>
      <c r="G29" s="557"/>
      <c r="H29" s="553">
        <f>'Auto-Calibration record'!B69</f>
        <v>580231</v>
      </c>
      <c r="I29" s="583"/>
      <c r="J29" s="158">
        <f>'Auto-Calibration record'!I69</f>
        <v>582583</v>
      </c>
      <c r="K29" s="159">
        <f t="shared" si="0"/>
        <v>2352</v>
      </c>
      <c r="L29" s="111">
        <f t="shared" si="1"/>
        <v>4.0535579794943738E-3</v>
      </c>
    </row>
    <row r="30" spans="2:15" s="108" customFormat="1" ht="25.9" customHeight="1" x14ac:dyDescent="0.35">
      <c r="D30" s="542" t="s">
        <v>592</v>
      </c>
      <c r="E30" s="542"/>
      <c r="F30" s="557">
        <f>'Auto-Calibration record'!D65</f>
        <v>1020</v>
      </c>
      <c r="G30" s="557"/>
      <c r="H30" s="553">
        <f>'Auto-Calibration record'!B71</f>
        <v>45814.7</v>
      </c>
      <c r="I30" s="583"/>
      <c r="J30" s="158">
        <f>'Auto-Calibration record'!I71</f>
        <v>46338.333333333336</v>
      </c>
      <c r="K30" s="159">
        <f t="shared" si="0"/>
        <v>523.63333333333867</v>
      </c>
      <c r="L30" s="111">
        <f t="shared" si="1"/>
        <v>1.1429373832707378E-2</v>
      </c>
    </row>
    <row r="31" spans="2:15" s="108" customFormat="1" ht="25.9" customHeight="1" x14ac:dyDescent="0.35">
      <c r="D31" s="542" t="s">
        <v>593</v>
      </c>
      <c r="E31" s="542"/>
      <c r="F31" s="557">
        <f>'Auto-Calibration record'!E65</f>
        <v>2204</v>
      </c>
      <c r="G31" s="557"/>
      <c r="H31" s="553">
        <f>'Auto-Calibration record'!B72</f>
        <v>11873.6</v>
      </c>
      <c r="I31" s="583"/>
      <c r="J31" s="158">
        <f>'Auto-Calibration record'!I72</f>
        <v>12191</v>
      </c>
      <c r="K31" s="159">
        <f t="shared" si="0"/>
        <v>317.39999999999964</v>
      </c>
      <c r="L31" s="111">
        <f t="shared" si="1"/>
        <v>2.6731572564344396E-2</v>
      </c>
    </row>
    <row r="32" spans="2:15" s="108" customFormat="1" ht="25.9" customHeight="1" x14ac:dyDescent="0.35">
      <c r="D32" s="542" t="s">
        <v>594</v>
      </c>
      <c r="E32" s="542"/>
      <c r="F32" s="557">
        <f>'Auto-Calibration record'!F65</f>
        <v>3244</v>
      </c>
      <c r="G32" s="557"/>
      <c r="H32" s="553">
        <f>'Auto-Calibration record'!B73</f>
        <v>5545.63</v>
      </c>
      <c r="I32" s="583"/>
      <c r="J32" s="158">
        <f>'Auto-Calibration record'!I73</f>
        <v>5583.666666666667</v>
      </c>
      <c r="K32" s="159">
        <f t="shared" si="0"/>
        <v>38.036666666666861</v>
      </c>
      <c r="L32" s="111">
        <f t="shared" si="1"/>
        <v>6.8588540286075453E-3</v>
      </c>
    </row>
    <row r="33" spans="2:12" s="108" customFormat="1" ht="25.9" customHeight="1" x14ac:dyDescent="0.35">
      <c r="D33" s="542" t="s">
        <v>595</v>
      </c>
      <c r="E33" s="542"/>
      <c r="F33" s="557">
        <f>'Auto-Calibration record'!G65</f>
        <v>11420</v>
      </c>
      <c r="G33" s="557"/>
      <c r="H33" s="553">
        <f>'Auto-Calibration record'!B74</f>
        <v>184.08699999999999</v>
      </c>
      <c r="I33" s="583"/>
      <c r="J33" s="158">
        <f>'Auto-Calibration record'!I74</f>
        <v>169</v>
      </c>
      <c r="K33" s="159">
        <f t="shared" si="0"/>
        <v>-15.086999999999989</v>
      </c>
      <c r="L33" s="111">
        <f t="shared" si="1"/>
        <v>-8.1955814370379174E-2</v>
      </c>
    </row>
    <row r="34" spans="2:12" s="108" customFormat="1" ht="25.9" customHeight="1" x14ac:dyDescent="0.35">
      <c r="D34" s="542" t="s">
        <v>596</v>
      </c>
      <c r="E34" s="542"/>
      <c r="F34" s="557">
        <f>'Auto-Calibration record'!H65</f>
        <v>18008</v>
      </c>
      <c r="G34" s="557"/>
      <c r="H34" s="553">
        <f>'Auto-Calibration record'!B75</f>
        <v>34.516399999999997</v>
      </c>
      <c r="I34" s="583"/>
      <c r="J34" s="158">
        <f>'Auto-Calibration record'!I75</f>
        <v>35</v>
      </c>
      <c r="K34" s="159" t="s">
        <v>23</v>
      </c>
      <c r="L34" s="112" t="s">
        <v>23</v>
      </c>
    </row>
    <row r="35" spans="2:12" s="102" customFormat="1" ht="25.9" customHeight="1" x14ac:dyDescent="0.45">
      <c r="D35" s="542" t="s">
        <v>597</v>
      </c>
      <c r="E35" s="542"/>
      <c r="F35" s="558">
        <f>'Auto-Calibration record'!I65</f>
        <v>30374</v>
      </c>
      <c r="G35" s="558"/>
      <c r="H35" s="553">
        <f>'Auto-Calibration record'!B76</f>
        <v>4.4329299999999998</v>
      </c>
      <c r="I35" s="583"/>
      <c r="J35" s="158">
        <f>'Auto-Calibration record'!I76</f>
        <v>5.333333333333333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83">
        <f>F28-D40</f>
        <v>76</v>
      </c>
      <c r="F40" s="583"/>
      <c r="G40" s="596" t="e">
        <f>F28/D40</f>
        <v>#DIV/0!</v>
      </c>
      <c r="H40" s="596"/>
      <c r="I40" s="116"/>
      <c r="J40" s="129">
        <f>'Auto-Calibration record'!B11</f>
        <v>34</v>
      </c>
      <c r="K40" s="110">
        <f>F29-J40</f>
        <v>146</v>
      </c>
      <c r="L40" s="117">
        <f>F29/J40</f>
        <v>5.2941176470588234</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569</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1004</v>
      </c>
      <c r="L17" s="96"/>
      <c r="M17" s="96"/>
      <c r="N17" s="97"/>
      <c r="O17" s="378" t="str">
        <f>'Auto-Calibration record'!H18</f>
        <v>RM8631b</v>
      </c>
    </row>
    <row r="18" spans="2:15" ht="25.9" customHeight="1" x14ac:dyDescent="0.45">
      <c r="B18" s="131" t="s">
        <v>573</v>
      </c>
      <c r="C18" s="132"/>
      <c r="D18" s="564">
        <f>'Auto-Calibration record'!H15</f>
        <v>63010062</v>
      </c>
      <c r="E18" s="565"/>
      <c r="F18" s="566"/>
      <c r="K18" s="98" t="s">
        <v>574</v>
      </c>
      <c r="L18" s="99"/>
      <c r="M18" s="99"/>
      <c r="N18" s="100"/>
      <c r="O18" s="55">
        <f>'Auto-Calibration record'!H16</f>
        <v>46163.5</v>
      </c>
    </row>
    <row r="19" spans="2:15" ht="25.9" customHeight="1" x14ac:dyDescent="0.45">
      <c r="B19" s="131" t="s">
        <v>575</v>
      </c>
      <c r="C19" s="132"/>
      <c r="D19" s="564" t="str">
        <f>'Auto-Calibration record'!H17</f>
        <v>63010062 210526</v>
      </c>
      <c r="E19" s="565"/>
      <c r="F19" s="566"/>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76</v>
      </c>
      <c r="G28" s="557"/>
      <c r="H28" s="553">
        <f>'Auto-Calibration record'!B68</f>
        <v>1415270</v>
      </c>
      <c r="I28" s="553"/>
      <c r="J28" s="159">
        <f>'Auto-Calibration record'!I68</f>
        <v>1429381</v>
      </c>
      <c r="K28" s="159">
        <f t="shared" ref="K28:K35" si="0">J28-H28</f>
        <v>14111</v>
      </c>
      <c r="L28" s="379">
        <f t="shared" ref="L28:L35" si="1">K28/H28</f>
        <v>9.9705356575070479E-3</v>
      </c>
    </row>
    <row r="29" spans="2:15" s="108" customFormat="1" ht="25.9" customHeight="1" x14ac:dyDescent="0.35">
      <c r="D29" s="542" t="s">
        <v>591</v>
      </c>
      <c r="E29" s="542"/>
      <c r="F29" s="557">
        <f>'Auto-Calibration record'!C65</f>
        <v>180</v>
      </c>
      <c r="G29" s="557"/>
      <c r="H29" s="553">
        <f>'Auto-Calibration record'!B69</f>
        <v>580231</v>
      </c>
      <c r="I29" s="553"/>
      <c r="J29" s="159">
        <f>'Auto-Calibration record'!I69</f>
        <v>582583</v>
      </c>
      <c r="K29" s="159">
        <f t="shared" si="0"/>
        <v>2352</v>
      </c>
      <c r="L29" s="379">
        <f t="shared" si="1"/>
        <v>4.0535579794943738E-3</v>
      </c>
    </row>
    <row r="30" spans="2:15" s="108" customFormat="1" ht="25.9" customHeight="1" x14ac:dyDescent="0.35">
      <c r="D30" s="542" t="s">
        <v>592</v>
      </c>
      <c r="E30" s="542"/>
      <c r="F30" s="557">
        <f>'Auto-Calibration record'!D65</f>
        <v>1020</v>
      </c>
      <c r="G30" s="557"/>
      <c r="H30" s="553">
        <f>'Auto-Calibration record'!B71</f>
        <v>45814.7</v>
      </c>
      <c r="I30" s="553"/>
      <c r="J30" s="159">
        <f>'Auto-Calibration record'!I71</f>
        <v>46338.333333333336</v>
      </c>
      <c r="K30" s="159">
        <f t="shared" si="0"/>
        <v>523.63333333333867</v>
      </c>
      <c r="L30" s="379">
        <f t="shared" si="1"/>
        <v>1.1429373832707378E-2</v>
      </c>
    </row>
    <row r="31" spans="2:15" s="108" customFormat="1" ht="25.9" customHeight="1" x14ac:dyDescent="0.35">
      <c r="D31" s="542" t="s">
        <v>593</v>
      </c>
      <c r="E31" s="542"/>
      <c r="F31" s="557">
        <f>'Auto-Calibration record'!E65</f>
        <v>2204</v>
      </c>
      <c r="G31" s="557"/>
      <c r="H31" s="553">
        <f>'Auto-Calibration record'!B72</f>
        <v>11873.6</v>
      </c>
      <c r="I31" s="553"/>
      <c r="J31" s="159">
        <f>'Auto-Calibration record'!I72</f>
        <v>12191</v>
      </c>
      <c r="K31" s="159">
        <f t="shared" si="0"/>
        <v>317.39999999999964</v>
      </c>
      <c r="L31" s="379">
        <f t="shared" si="1"/>
        <v>2.6731572564344396E-2</v>
      </c>
    </row>
    <row r="32" spans="2:15" s="108" customFormat="1" ht="25.9" customHeight="1" x14ac:dyDescent="0.35">
      <c r="D32" s="542" t="s">
        <v>594</v>
      </c>
      <c r="E32" s="542"/>
      <c r="F32" s="557">
        <f>'Auto-Calibration record'!F65</f>
        <v>3244</v>
      </c>
      <c r="G32" s="557"/>
      <c r="H32" s="553">
        <f>'Auto-Calibration record'!B73</f>
        <v>5545.63</v>
      </c>
      <c r="I32" s="553"/>
      <c r="J32" s="159">
        <f>'Auto-Calibration record'!I73</f>
        <v>5583.666666666667</v>
      </c>
      <c r="K32" s="159">
        <f t="shared" si="0"/>
        <v>38.036666666666861</v>
      </c>
      <c r="L32" s="379">
        <f t="shared" si="1"/>
        <v>6.8588540286075453E-3</v>
      </c>
    </row>
    <row r="33" spans="2:12" s="108" customFormat="1" ht="25.9" customHeight="1" x14ac:dyDescent="0.35">
      <c r="D33" s="542" t="s">
        <v>595</v>
      </c>
      <c r="E33" s="542"/>
      <c r="F33" s="557">
        <f>'Auto-Calibration record'!G65</f>
        <v>11420</v>
      </c>
      <c r="G33" s="557"/>
      <c r="H33" s="553">
        <f>'Auto-Calibration record'!B74</f>
        <v>184.08699999999999</v>
      </c>
      <c r="I33" s="553"/>
      <c r="J33" s="159">
        <f>'Auto-Calibration record'!I74</f>
        <v>169</v>
      </c>
      <c r="K33" s="159">
        <f t="shared" si="0"/>
        <v>-15.086999999999989</v>
      </c>
      <c r="L33" s="379">
        <f t="shared" si="1"/>
        <v>-8.1955814370379174E-2</v>
      </c>
    </row>
    <row r="34" spans="2:12" s="108" customFormat="1" ht="25.9" customHeight="1" x14ac:dyDescent="0.35">
      <c r="D34" s="542" t="s">
        <v>1005</v>
      </c>
      <c r="E34" s="542"/>
      <c r="F34" s="557">
        <f>'Auto-Calibration record'!H65</f>
        <v>18008</v>
      </c>
      <c r="G34" s="557"/>
      <c r="H34" s="553">
        <f>'Auto-Calibration record'!B75</f>
        <v>34.516399999999997</v>
      </c>
      <c r="I34" s="553"/>
      <c r="J34" s="159">
        <f>'Auto-Calibration record'!I75</f>
        <v>35</v>
      </c>
      <c r="K34" s="159">
        <f t="shared" si="0"/>
        <v>0.48360000000000269</v>
      </c>
      <c r="L34" s="379">
        <f t="shared" si="1"/>
        <v>1.401073113070896E-2</v>
      </c>
    </row>
    <row r="35" spans="2:12" s="102" customFormat="1" ht="25.9" customHeight="1" x14ac:dyDescent="0.45">
      <c r="D35" s="542" t="s">
        <v>1006</v>
      </c>
      <c r="E35" s="542"/>
      <c r="F35" s="558">
        <f>'Auto-Calibration record'!I65</f>
        <v>30374</v>
      </c>
      <c r="G35" s="558"/>
      <c r="H35" s="553">
        <f>'Auto-Calibration record'!B76</f>
        <v>4.4329299999999998</v>
      </c>
      <c r="I35" s="553"/>
      <c r="J35" s="380">
        <f>'Auto-Calibration record'!I76</f>
        <v>5.333333333333333</v>
      </c>
      <c r="K35" s="159">
        <f t="shared" si="0"/>
        <v>0.90040333333333322</v>
      </c>
      <c r="L35" s="379">
        <f t="shared" si="1"/>
        <v>0.20311697530376821</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67"/>
      <c r="K38" s="167"/>
      <c r="L38" s="167"/>
    </row>
    <row r="39" spans="2:12" ht="25.9" customHeight="1" x14ac:dyDescent="0.35">
      <c r="B39" s="115"/>
      <c r="D39" s="109" t="s">
        <v>587</v>
      </c>
      <c r="E39" s="541" t="s">
        <v>587</v>
      </c>
      <c r="F39" s="541"/>
      <c r="G39" s="541" t="s">
        <v>602</v>
      </c>
      <c r="H39" s="541"/>
      <c r="I39" s="116"/>
      <c r="J39" s="168"/>
      <c r="K39" s="168"/>
      <c r="L39" s="168"/>
    </row>
    <row r="40" spans="2:12" ht="25.9" customHeight="1" x14ac:dyDescent="0.35">
      <c r="B40" s="115"/>
      <c r="D40" s="129">
        <f>'Auto-Calibration record'!B11</f>
        <v>34</v>
      </c>
      <c r="E40" s="553">
        <f>F28-D40</f>
        <v>42</v>
      </c>
      <c r="F40" s="553"/>
      <c r="G40" s="567">
        <f>F28/D40</f>
        <v>2.2352941176470589</v>
      </c>
      <c r="H40" s="567"/>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37" t="s">
        <v>607</v>
      </c>
      <c r="E74" s="538"/>
      <c r="F74" s="538"/>
      <c r="G74" s="539"/>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t="str">
        <f>'Auto-Calibration record'!H26</f>
        <v>John Devereux</v>
      </c>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62" t="str">
        <f>'Cover Service Sheet'!C183</f>
        <v xml:space="preserve">
</v>
      </c>
      <c r="C99" s="562"/>
      <c r="D99" s="562"/>
      <c r="E99" s="562"/>
      <c r="F99" s="562"/>
      <c r="G99" s="562"/>
      <c r="H99" s="562"/>
      <c r="I99" s="562"/>
      <c r="J99" s="562"/>
      <c r="K99" s="562"/>
      <c r="L99" s="562"/>
      <c r="M99" s="562"/>
      <c r="N99" s="562"/>
      <c r="O99" s="562"/>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62">
        <f>'Cover Service Sheet'!C187</f>
        <v>0</v>
      </c>
      <c r="C103" s="562"/>
      <c r="D103" s="562"/>
      <c r="E103" s="562"/>
      <c r="F103" s="562"/>
      <c r="G103" s="562"/>
      <c r="H103" s="562"/>
      <c r="I103" s="562"/>
      <c r="J103" s="562"/>
      <c r="K103" s="562"/>
      <c r="L103" s="562"/>
      <c r="M103" s="562"/>
      <c r="N103" s="562"/>
      <c r="O103" s="562"/>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62">
        <f>'Cover Service Sheet'!C191</f>
        <v>0</v>
      </c>
      <c r="C107" s="562"/>
      <c r="D107" s="562"/>
      <c r="E107" s="562"/>
      <c r="F107" s="562"/>
      <c r="G107" s="562"/>
      <c r="H107" s="562"/>
      <c r="I107" s="562"/>
      <c r="J107" s="562"/>
      <c r="K107" s="562"/>
      <c r="L107" s="562"/>
      <c r="M107" s="562"/>
      <c r="N107" s="562"/>
      <c r="O107" s="562"/>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9F79-1387-4D17-804A-1495BC9EC034}">
  <dimension ref="A1:H38"/>
  <sheetViews>
    <sheetView showGridLines="0" tabSelected="1" zoomScale="70" zoomScaleNormal="70" workbookViewId="0">
      <selection activeCell="Y19" sqref="Y19"/>
    </sheetView>
  </sheetViews>
  <sheetFormatPr defaultColWidth="8.6640625" defaultRowHeight="14.25" x14ac:dyDescent="0.45"/>
  <cols>
    <col min="1" max="1" width="10" style="431" customWidth="1"/>
    <col min="2" max="2" width="22" style="431" customWidth="1"/>
    <col min="3" max="3" width="18" style="431" customWidth="1"/>
    <col min="4" max="4" width="4" style="431" customWidth="1"/>
    <col min="5" max="5" width="24" style="431" customWidth="1"/>
    <col min="6" max="6" width="18" style="431" customWidth="1"/>
    <col min="7" max="7" width="16" style="431" customWidth="1"/>
    <col min="8" max="8" width="14" style="431" customWidth="1"/>
    <col min="9" max="16384" width="8.6640625" style="431"/>
  </cols>
  <sheetData>
    <row r="1" spans="1:8" ht="21.75" customHeight="1" x14ac:dyDescent="0.45">
      <c r="A1" s="603" t="s">
        <v>1011</v>
      </c>
      <c r="B1" s="603"/>
      <c r="C1" s="603"/>
      <c r="D1" s="603"/>
      <c r="E1" s="603"/>
      <c r="F1" s="603"/>
      <c r="G1" s="603"/>
      <c r="H1" s="603"/>
    </row>
    <row r="3" spans="1:8" ht="19.5" customHeight="1" x14ac:dyDescent="0.45">
      <c r="A3" s="604" t="s">
        <v>1012</v>
      </c>
      <c r="B3" s="433" t="s">
        <v>1013</v>
      </c>
      <c r="C3" s="434" t="str">
        <f>VLOOKUP("product",AUTO!$A$1:$B$1051,2,FALSE)</f>
        <v>LPA3 NAVAIR</v>
      </c>
      <c r="D3" s="435"/>
      <c r="E3" s="433" t="s">
        <v>236</v>
      </c>
      <c r="F3" s="436"/>
      <c r="G3" s="436"/>
      <c r="H3" s="437">
        <f>VLOOKUP("date_",AUTO!$A$1:$B$1051,2,FALSE)</f>
        <v>46163.5</v>
      </c>
    </row>
    <row r="4" spans="1:8" ht="19.5" customHeight="1" x14ac:dyDescent="0.45">
      <c r="A4" s="604"/>
      <c r="B4" s="433" t="s">
        <v>241</v>
      </c>
      <c r="C4" s="434">
        <f>VLOOKUP("serial_number",AUTO!$A$1:$B$1051,2,FALSE)</f>
        <v>63010062</v>
      </c>
      <c r="D4" s="435"/>
      <c r="E4" s="433" t="s">
        <v>1014</v>
      </c>
      <c r="F4" s="436"/>
      <c r="G4" s="436"/>
      <c r="H4" s="436" t="s">
        <v>1015</v>
      </c>
    </row>
    <row r="5" spans="1:8" ht="19.5" customHeight="1" x14ac:dyDescent="0.45">
      <c r="A5" s="604"/>
      <c r="B5" s="433" t="s">
        <v>1013</v>
      </c>
      <c r="C5" s="434" t="str">
        <f>VLOOKUP("product",AUTO!$A$1:$B$1051,2,FALSE)</f>
        <v>LPA3 NAVAIR</v>
      </c>
      <c r="D5" s="435"/>
      <c r="E5" s="438" t="s">
        <v>1016</v>
      </c>
      <c r="F5" s="436"/>
      <c r="G5" s="436"/>
      <c r="H5" s="436" t="s">
        <v>1017</v>
      </c>
    </row>
    <row r="6" spans="1:8" ht="19.5" customHeight="1" x14ac:dyDescent="0.45">
      <c r="A6" s="604"/>
      <c r="B6" s="433" t="s">
        <v>241</v>
      </c>
      <c r="C6" s="434">
        <f>VLOOKUP("serial_number",AUTO!$A$1:$B$1051,2,FALSE)</f>
        <v>63010062</v>
      </c>
      <c r="D6" s="435"/>
      <c r="E6" s="438" t="s">
        <v>1018</v>
      </c>
      <c r="F6" s="436"/>
      <c r="G6" s="436"/>
      <c r="H6" s="436" t="s">
        <v>1019</v>
      </c>
    </row>
    <row r="7" spans="1:8" ht="19.5" customHeight="1" x14ac:dyDescent="0.45">
      <c r="A7" s="605" t="s">
        <v>1020</v>
      </c>
      <c r="B7" s="605"/>
      <c r="C7" s="434">
        <f>VLOOKUP("no_noise_threshold",AUTO!$A$1:$B$1051,2,FALSE)</f>
        <v>34</v>
      </c>
      <c r="D7" s="435"/>
      <c r="E7" s="438" t="s">
        <v>1021</v>
      </c>
      <c r="F7" s="436"/>
      <c r="G7" s="436">
        <v>20000</v>
      </c>
      <c r="H7" s="433" t="s">
        <v>1022</v>
      </c>
    </row>
    <row r="8" spans="1:8" ht="19.5" customHeight="1" x14ac:dyDescent="0.45">
      <c r="A8" s="605" t="s">
        <v>1023</v>
      </c>
      <c r="B8" s="605"/>
      <c r="C8" s="434">
        <f>VLOOKUP("sample_volume_ml",AUTO!$A$1:$B$1051,2,FALSE)</f>
        <v>40</v>
      </c>
      <c r="D8" s="435"/>
      <c r="E8" s="433" t="s">
        <v>1024</v>
      </c>
      <c r="F8" s="436"/>
      <c r="G8" s="436">
        <v>30</v>
      </c>
      <c r="H8" s="433" t="s">
        <v>1025</v>
      </c>
    </row>
    <row r="9" spans="1:8" ht="19.5" customHeight="1" x14ac:dyDescent="0.45">
      <c r="A9" s="605" t="s">
        <v>1026</v>
      </c>
      <c r="B9" s="605"/>
      <c r="C9" s="439">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8.440482842269675E-3</v>
      </c>
      <c r="D9" s="435"/>
      <c r="E9" s="433" t="s">
        <v>1027</v>
      </c>
      <c r="F9" s="436"/>
      <c r="G9" s="436">
        <v>30</v>
      </c>
      <c r="H9" s="433" t="s">
        <v>1025</v>
      </c>
    </row>
    <row r="10" spans="1:8" ht="18" customHeight="1" x14ac:dyDescent="0.45">
      <c r="A10" s="606" t="s">
        <v>1028</v>
      </c>
      <c r="B10" s="606"/>
      <c r="C10" s="606"/>
      <c r="D10" s="606"/>
      <c r="E10" s="606"/>
      <c r="F10" s="606"/>
      <c r="G10" s="606"/>
      <c r="H10" s="606"/>
    </row>
    <row r="11" spans="1:8" ht="19.5" customHeight="1" x14ac:dyDescent="0.45">
      <c r="A11" s="432" t="s">
        <v>1029</v>
      </c>
      <c r="B11" s="602">
        <v>0.5</v>
      </c>
      <c r="C11" s="602"/>
      <c r="D11" s="432" t="s">
        <v>1030</v>
      </c>
      <c r="E11" s="432" t="s">
        <v>1031</v>
      </c>
      <c r="F11" s="602">
        <v>2.7</v>
      </c>
      <c r="G11" s="602"/>
      <c r="H11" s="432" t="s">
        <v>1032</v>
      </c>
    </row>
    <row r="12" spans="1:8" ht="19.5" customHeight="1" x14ac:dyDescent="0.45">
      <c r="A12" s="432" t="s">
        <v>1033</v>
      </c>
      <c r="B12" s="602">
        <v>0.6</v>
      </c>
      <c r="C12" s="602"/>
      <c r="D12" s="432" t="s">
        <v>1030</v>
      </c>
      <c r="E12" s="432" t="s">
        <v>1034</v>
      </c>
      <c r="F12" s="602">
        <v>8.3000000000000007</v>
      </c>
      <c r="G12" s="602"/>
      <c r="H12" s="432" t="s">
        <v>1032</v>
      </c>
    </row>
    <row r="13" spans="1:8" ht="19.5" customHeight="1" x14ac:dyDescent="0.45">
      <c r="A13" s="432" t="s">
        <v>1035</v>
      </c>
      <c r="B13" s="602">
        <v>10.199999999999999</v>
      </c>
      <c r="C13" s="602"/>
      <c r="D13" s="432" t="s">
        <v>1030</v>
      </c>
      <c r="E13" s="432" t="s">
        <v>1036</v>
      </c>
      <c r="F13" s="602">
        <v>8.3000000000000007</v>
      </c>
      <c r="G13" s="602"/>
      <c r="H13" s="432" t="s">
        <v>1032</v>
      </c>
    </row>
    <row r="16" spans="1:8" ht="30" customHeight="1" x14ac:dyDescent="0.45">
      <c r="A16" s="600" t="s">
        <v>1037</v>
      </c>
      <c r="B16" s="600"/>
      <c r="C16" s="600"/>
      <c r="E16" s="600" t="s">
        <v>1038</v>
      </c>
      <c r="F16" s="600"/>
      <c r="G16" s="600"/>
      <c r="H16" s="600"/>
    </row>
    <row r="17" spans="1:8" ht="42" customHeight="1" x14ac:dyDescent="0.45">
      <c r="A17" s="440" t="s">
        <v>580</v>
      </c>
      <c r="B17" s="440" t="s">
        <v>1039</v>
      </c>
      <c r="C17" s="440" t="s">
        <v>1040</v>
      </c>
      <c r="E17" s="440" t="s">
        <v>580</v>
      </c>
      <c r="F17" s="440" t="s">
        <v>1041</v>
      </c>
      <c r="G17" s="600" t="s">
        <v>1042</v>
      </c>
      <c r="H17" s="600"/>
    </row>
    <row r="18" spans="1:8" ht="18" customHeight="1" x14ac:dyDescent="0.45">
      <c r="A18" s="441" t="s">
        <v>1043</v>
      </c>
      <c r="B18" s="441" t="s">
        <v>1044</v>
      </c>
      <c r="C18" s="441" t="s">
        <v>1044</v>
      </c>
      <c r="E18" s="441" t="s">
        <v>1043</v>
      </c>
      <c r="F18" s="441" t="s">
        <v>1044</v>
      </c>
      <c r="G18" s="601" t="s">
        <v>1045</v>
      </c>
      <c r="H18" s="601"/>
    </row>
    <row r="19" spans="1:8" ht="18" customHeight="1" x14ac:dyDescent="0.45">
      <c r="A19" s="434">
        <f>VLOOKUP("threshold32_0_sz",AUTO!$A$1:$B$1051,2,FALSE)</f>
        <v>4</v>
      </c>
      <c r="B19" s="434">
        <f>VLOOKUP("reference_count_0",AUTO!$A$1:$B$1051,2,FALSE)</f>
        <v>1415270</v>
      </c>
      <c r="C19" s="442">
        <f>'Auto-Calibration record'!$I$68</f>
        <v>1429381</v>
      </c>
      <c r="E19" s="434">
        <f>VLOOKUP("threshold32_0_sz",AUTO!$A$1:$B$1051,2,FALSE)</f>
        <v>4</v>
      </c>
      <c r="F19" s="434">
        <f>VLOOKUP("reference_count_0",AUTO!$A$1:$B$1051,2,FALSE)</f>
        <v>1415270</v>
      </c>
      <c r="G19" s="598">
        <f>VLOOKUP("threshold32_0_value",AUTO!$A$1:$B$1051,2,FALSE)</f>
        <v>76</v>
      </c>
      <c r="H19" s="599"/>
    </row>
    <row r="20" spans="1:8" ht="18" customHeight="1" x14ac:dyDescent="0.45">
      <c r="A20" s="434">
        <f>VLOOKUP("threshold32_2_sz",AUTO!$A$1:$B$1051,2,FALSE)</f>
        <v>6</v>
      </c>
      <c r="B20" s="434">
        <f>VLOOKUP("reference_count_1",AUTO!$A$1:$B$1051,2,FALSE)</f>
        <v>580231</v>
      </c>
      <c r="C20" s="442">
        <f>'Auto-Calibration record'!$I$69</f>
        <v>582583</v>
      </c>
      <c r="E20" s="434">
        <f>VLOOKUP("threshold32_2_sz",AUTO!$A$1:$B$1051,2,FALSE)</f>
        <v>6</v>
      </c>
      <c r="F20" s="434">
        <f>VLOOKUP("reference_count_1",AUTO!$A$1:$B$1051,2,FALSE)</f>
        <v>580231</v>
      </c>
      <c r="G20" s="598">
        <f>VLOOKUP("threshold32_2_value",AUTO!$A$1:$B$1051,2,FALSE)</f>
        <v>180</v>
      </c>
      <c r="H20" s="599"/>
    </row>
    <row r="21" spans="1:8" ht="18" customHeight="1" x14ac:dyDescent="0.45">
      <c r="A21" s="434">
        <f>VLOOKUP("threshold32_6_sz",AUTO!$A$1:$B$1051,2,FALSE)</f>
        <v>10</v>
      </c>
      <c r="B21" s="434">
        <f>VLOOKUP("reference_count32_6",AUTO!$A$1:$B$1051,2,FALSE)*100</f>
        <v>136892</v>
      </c>
      <c r="C21" s="442">
        <f>'Auto-Calibration record'!$I$70</f>
        <v>136243</v>
      </c>
      <c r="E21" s="434">
        <f>VLOOKUP("threshold32_6_sz",AUTO!$A$1:$B$1051,2,FALSE)</f>
        <v>10</v>
      </c>
      <c r="F21" s="434">
        <f>VLOOKUP("reference_count32_6",AUTO!$A$1:$B$1051,2,FALSE)*100</f>
        <v>136892</v>
      </c>
      <c r="G21" s="598">
        <f>VLOOKUP("threshold32_6_value",AUTO!$A$1:$B$1051,2,FALSE)</f>
        <v>516</v>
      </c>
      <c r="H21" s="599"/>
    </row>
    <row r="22" spans="1:8" ht="18" customHeight="1" x14ac:dyDescent="0.45">
      <c r="A22" s="434">
        <f>VLOOKUP("threshold32_10_sz",AUTO!$A$1:$B$1051,2,FALSE)</f>
        <v>14</v>
      </c>
      <c r="B22" s="434">
        <f>VLOOKUP("reference_count_2",AUTO!$A$1:$B$1051,2,FALSE)</f>
        <v>45814.7</v>
      </c>
      <c r="C22" s="442">
        <f>'Auto-Calibration record'!$I$71</f>
        <v>46338.333333333336</v>
      </c>
      <c r="E22" s="434">
        <f>VLOOKUP("threshold32_10_sz",AUTO!$A$1:$B$1051,2,FALSE)</f>
        <v>14</v>
      </c>
      <c r="F22" s="434">
        <f>VLOOKUP("reference_count_2",AUTO!$A$1:$B$1051,2,FALSE)</f>
        <v>45814.7</v>
      </c>
      <c r="G22" s="598">
        <f>VLOOKUP("threshold32_10_value",AUTO!$A$1:$B$1051,2,FALSE)</f>
        <v>1020</v>
      </c>
      <c r="H22" s="599"/>
    </row>
    <row r="23" spans="1:8" ht="18" customHeight="1" x14ac:dyDescent="0.45">
      <c r="A23" s="434">
        <f>VLOOKUP("threshold32_17_sz",AUTO!$A$1:$B$1051,2,FALSE)</f>
        <v>21</v>
      </c>
      <c r="B23" s="434">
        <f>VLOOKUP("reference_count_3",AUTO!$A$1:$B$1051,2,FALSE)</f>
        <v>11873.6</v>
      </c>
      <c r="C23" s="442">
        <f>'Auto-Calibration record'!$I$72</f>
        <v>12191</v>
      </c>
      <c r="E23" s="434">
        <f>VLOOKUP("threshold32_17_sz",AUTO!$A$1:$B$1051,2,FALSE)</f>
        <v>21</v>
      </c>
      <c r="F23" s="434">
        <f>VLOOKUP("reference_count_3",AUTO!$A$1:$B$1051,2,FALSE)</f>
        <v>11873.6</v>
      </c>
      <c r="G23" s="598">
        <f>VLOOKUP("threshold32_17_value",AUTO!$A$1:$B$1051,2,FALSE)</f>
        <v>2204</v>
      </c>
      <c r="H23" s="599"/>
    </row>
    <row r="24" spans="1:8" ht="18" customHeight="1" x14ac:dyDescent="0.45">
      <c r="A24" s="434">
        <f>VLOOKUP("threshold32_21_sz",AUTO!$A$1:$B$1051,2,FALSE)</f>
        <v>25</v>
      </c>
      <c r="B24" s="434">
        <f>VLOOKUP("reference_count_4",AUTO!$A$1:$B$1051,2,FALSE)</f>
        <v>5545.63</v>
      </c>
      <c r="C24" s="442">
        <f>'Auto-Calibration record'!$I$73</f>
        <v>5583.666666666667</v>
      </c>
      <c r="E24" s="434">
        <f>VLOOKUP("threshold32_21_sz",AUTO!$A$1:$B$1051,2,FALSE)</f>
        <v>25</v>
      </c>
      <c r="F24" s="434">
        <f>VLOOKUP("reference_count_4",AUTO!$A$1:$B$1051,2,FALSE)</f>
        <v>5545.63</v>
      </c>
      <c r="G24" s="598">
        <f>VLOOKUP("threshold32_21_value",AUTO!$A$1:$B$1051,2,FALSE)</f>
        <v>3244</v>
      </c>
      <c r="H24" s="599"/>
    </row>
    <row r="25" spans="1:8" ht="18" customHeight="1" x14ac:dyDescent="0.45">
      <c r="A25" s="434">
        <f>VLOOKUP("threshold32_27_sz",AUTO!$A$1:$B$1051,2,FALSE)</f>
        <v>38</v>
      </c>
      <c r="B25" s="434">
        <f>VLOOKUP("reference_count_5",AUTO!$A$1:$B$1051,2,FALSE)</f>
        <v>184.08699999999999</v>
      </c>
      <c r="C25" s="442">
        <f>'Auto-Calibration record'!$I$74</f>
        <v>169</v>
      </c>
      <c r="E25" s="434">
        <f>VLOOKUP("threshold32_27_sz",AUTO!$A$1:$B$1051,2,FALSE)</f>
        <v>38</v>
      </c>
      <c r="F25" s="434">
        <f>VLOOKUP("reference_count_5",AUTO!$A$1:$B$1051,2,FALSE)</f>
        <v>184.08699999999999</v>
      </c>
      <c r="G25" s="598">
        <f>VLOOKUP("threshold32_27_value",AUTO!$A$1:$B$1051,2,FALSE)</f>
        <v>11420</v>
      </c>
      <c r="H25" s="599"/>
    </row>
    <row r="26" spans="1:8" ht="18" customHeight="1" x14ac:dyDescent="0.45">
      <c r="A26" s="434">
        <f>VLOOKUP("threshold32_28_sz",AUTO!$A$1:$B$1051,2,FALSE)</f>
        <v>50</v>
      </c>
      <c r="B26" s="434">
        <f>VLOOKUP("reference_count_6",AUTO!$A$1:$B$1051,2,FALSE)</f>
        <v>34.516399999999997</v>
      </c>
      <c r="C26" s="442">
        <f>'Auto-Calibration record'!$I$75</f>
        <v>35</v>
      </c>
      <c r="E26" s="434">
        <f>VLOOKUP("threshold32_28_sz",AUTO!$A$1:$B$1051,2,FALSE)</f>
        <v>50</v>
      </c>
      <c r="F26" s="434">
        <f>VLOOKUP("reference_count_6",AUTO!$A$1:$B$1051,2,FALSE)</f>
        <v>34.516399999999997</v>
      </c>
      <c r="G26" s="598">
        <f>VLOOKUP("threshold32_28_value",AUTO!$A$1:$B$1051,2,FALSE)</f>
        <v>18008</v>
      </c>
      <c r="H26" s="599"/>
    </row>
    <row r="27" spans="1:8" ht="18" customHeight="1" x14ac:dyDescent="0.45">
      <c r="A27" s="434">
        <f>VLOOKUP("threshold32_29_sz",AUTO!$A$1:$B$1051,2,FALSE)</f>
        <v>70</v>
      </c>
      <c r="B27" s="434">
        <f>VLOOKUP("reference_count_7",AUTO!$A$1:$B$1051,2,FALSE)</f>
        <v>4.4329299999999998</v>
      </c>
      <c r="C27" s="442">
        <f>'Auto-Calibration record'!$I$76</f>
        <v>5.333333333333333</v>
      </c>
      <c r="E27" s="434">
        <f>VLOOKUP("threshold32_29_sz",AUTO!$A$1:$B$1051,2,FALSE)</f>
        <v>70</v>
      </c>
      <c r="F27" s="434">
        <f>VLOOKUP("reference_count_7",AUTO!$A$1:$B$1051,2,FALSE)</f>
        <v>4.4329299999999998</v>
      </c>
      <c r="G27" s="598">
        <f>VLOOKUP("threshold32_29_value",AUTO!$A$1:$B$1051,2,FALSE)</f>
        <v>30374</v>
      </c>
      <c r="H27" s="599"/>
    </row>
    <row r="28" spans="1:8" ht="18" customHeight="1" x14ac:dyDescent="0.45">
      <c r="A28" s="434"/>
      <c r="B28" s="434"/>
      <c r="C28" s="434"/>
      <c r="E28" s="434"/>
      <c r="F28" s="434"/>
      <c r="G28" s="597"/>
      <c r="H28" s="597"/>
    </row>
    <row r="29" spans="1:8" ht="18" customHeight="1" x14ac:dyDescent="0.45">
      <c r="A29" s="434"/>
      <c r="B29" s="434"/>
      <c r="C29" s="434"/>
      <c r="E29" s="434"/>
      <c r="F29" s="434"/>
      <c r="G29" s="597"/>
      <c r="H29" s="597"/>
    </row>
    <row r="30" spans="1:8" ht="18" customHeight="1" x14ac:dyDescent="0.45">
      <c r="A30" s="434"/>
      <c r="B30" s="434"/>
      <c r="C30" s="434"/>
      <c r="E30" s="434"/>
      <c r="F30" s="434"/>
      <c r="G30" s="597"/>
      <c r="H30" s="597"/>
    </row>
    <row r="31" spans="1:8" ht="18" customHeight="1" x14ac:dyDescent="0.45">
      <c r="A31" s="434"/>
      <c r="B31" s="434"/>
      <c r="C31" s="434"/>
      <c r="E31" s="434"/>
      <c r="F31" s="434"/>
      <c r="G31" s="597"/>
      <c r="H31" s="597"/>
    </row>
    <row r="32" spans="1:8" ht="18" customHeight="1" x14ac:dyDescent="0.45">
      <c r="A32" s="434"/>
      <c r="B32" s="434"/>
      <c r="C32" s="434"/>
      <c r="E32" s="434"/>
      <c r="F32" s="434"/>
      <c r="G32" s="597"/>
      <c r="H32" s="597"/>
    </row>
    <row r="33" spans="1:8" ht="18" customHeight="1" x14ac:dyDescent="0.45">
      <c r="A33" s="434"/>
      <c r="B33" s="434"/>
      <c r="C33" s="434"/>
      <c r="E33" s="434"/>
      <c r="F33" s="434"/>
      <c r="G33" s="597"/>
      <c r="H33" s="597"/>
    </row>
    <row r="34" spans="1:8" ht="18" customHeight="1" x14ac:dyDescent="0.45">
      <c r="A34" s="434"/>
      <c r="B34" s="434"/>
      <c r="C34" s="434"/>
      <c r="E34" s="434"/>
      <c r="F34" s="434"/>
      <c r="G34" s="597"/>
      <c r="H34" s="597"/>
    </row>
    <row r="35" spans="1:8" ht="18" customHeight="1" x14ac:dyDescent="0.45">
      <c r="A35" s="434"/>
      <c r="B35" s="434"/>
      <c r="C35" s="434"/>
      <c r="E35" s="434"/>
      <c r="F35" s="434"/>
      <c r="G35" s="597"/>
      <c r="H35" s="597"/>
    </row>
    <row r="36" spans="1:8" ht="18" customHeight="1" x14ac:dyDescent="0.45">
      <c r="A36" s="434"/>
      <c r="B36" s="434"/>
      <c r="C36" s="434"/>
      <c r="E36" s="434"/>
      <c r="F36" s="434"/>
      <c r="G36" s="597"/>
      <c r="H36" s="597"/>
    </row>
    <row r="37" spans="1:8" ht="18" customHeight="1" x14ac:dyDescent="0.45">
      <c r="A37" s="434"/>
      <c r="B37" s="434"/>
      <c r="C37" s="434"/>
      <c r="E37" s="434"/>
      <c r="F37" s="434"/>
      <c r="G37" s="597"/>
      <c r="H37" s="597"/>
    </row>
    <row r="38" spans="1:8" ht="18" customHeight="1" x14ac:dyDescent="0.45">
      <c r="A38" s="434"/>
      <c r="B38" s="434"/>
      <c r="C38" s="434"/>
      <c r="E38" s="434"/>
      <c r="F38" s="434"/>
      <c r="G38" s="597"/>
      <c r="H38" s="597"/>
    </row>
  </sheetData>
  <mergeCells count="36">
    <mergeCell ref="G33:H33"/>
    <mergeCell ref="G34:H34"/>
    <mergeCell ref="G35:H35"/>
    <mergeCell ref="G36:H36"/>
    <mergeCell ref="G37:H37"/>
    <mergeCell ref="G38:H38"/>
    <mergeCell ref="G27:H27"/>
    <mergeCell ref="G28:H28"/>
    <mergeCell ref="G29:H29"/>
    <mergeCell ref="G30:H30"/>
    <mergeCell ref="G31:H31"/>
    <mergeCell ref="G32:H32"/>
    <mergeCell ref="G21:H21"/>
    <mergeCell ref="G22:H22"/>
    <mergeCell ref="G23:H23"/>
    <mergeCell ref="G24:H24"/>
    <mergeCell ref="G25:H25"/>
    <mergeCell ref="G26:H26"/>
    <mergeCell ref="A16:C16"/>
    <mergeCell ref="E16:H16"/>
    <mergeCell ref="G17:H17"/>
    <mergeCell ref="G18:H18"/>
    <mergeCell ref="G19:H19"/>
    <mergeCell ref="G20:H20"/>
    <mergeCell ref="B11:C11"/>
    <mergeCell ref="F11:G11"/>
    <mergeCell ref="B12:C12"/>
    <mergeCell ref="F12:G12"/>
    <mergeCell ref="B13:C13"/>
    <mergeCell ref="F13:G13"/>
    <mergeCell ref="A1:H1"/>
    <mergeCell ref="A3:A6"/>
    <mergeCell ref="A7:B7"/>
    <mergeCell ref="A8:B8"/>
    <mergeCell ref="A9:B9"/>
    <mergeCell ref="A10:H10"/>
  </mergeCells>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2</vt:i4>
      </vt:variant>
      <vt:variant>
        <vt:lpstr>Named Ranges</vt:lpstr>
      </vt:variant>
      <vt:variant>
        <vt:i4>15</vt:i4>
      </vt:variant>
    </vt:vector>
  </HeadingPairs>
  <TitlesOfParts>
    <vt:vector size="35"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2026-06-08T11:27:33Z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