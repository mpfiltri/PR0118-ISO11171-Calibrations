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D44F3D52-099F-44B9-8919-D68F90D66C84}"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<sst xmlns="http://schemas.openxmlformats.org/spreadsheetml/2006/main" count="12064" uniqueCount="1046">
  <si>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</si>
  <si>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</si>
  <si>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</si>
  <si>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</si>
  <si>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</si>
  <si>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</si>
  <si>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</si>
  <si>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</si>
  <si>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</si>
  <si>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</si>
  <si>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</si>
  <si>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</si>
  <si>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</si>
  <si>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</si>
  <si>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</si>
  <si>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</si>
  <si>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</si>
  <si>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</si>
  <si>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</si>
  <si>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</si>
  <si>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</si>
  <si>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</si>
  <si>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</si>
  <si>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</si>
  <si>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</si>
  <si>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</si>
  <si>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</si>
  <si>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</si>
  <si>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</si>
  <si>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</si>
  <si>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</si>
  <si>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</si>
  <si>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</si>
  <si>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</si>
  <si>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</si>
  <si>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</si>
  <si>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</si>
  <si>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</si>
  <si>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</si>
  <si>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</si>
  <si>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</si>
  <si>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</si>
  <si>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</si>
  <si>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</si>
  <si>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</si>
  <si>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</si>
  <si>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</si>
  <si>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</si>
  <si>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</si>
  <si>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</si>
  <si>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</si>
  <si>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</si>
  <si>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</si>
  <si>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</si>
  <si>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</si>
  <si>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</si>
  <si>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</si>
  <si>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</si>
  <si>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</si>
  <si>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</si>
  <si>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</si>
  <si>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</si>
  <si>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</si>
  <si>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</si>
  <si>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</si>
  <si>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</si>
  <si>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</si>
  <si>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</si>
  <si>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</si>
  <si>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</si>
  <si>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</si>
  <si>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</si>
  <si>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</si>
  <si>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</si>
  <si>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</si>
  <si>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</si>
  <si>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</si>
  <si>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</si>
  <si>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</si>
  <si>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</si>
  <si>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</si>
  <si>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</si>
  <si>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</si>
  <si>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</si>
  <si>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</si>
  <si>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</si>
  <si>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</si>
  <si>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</si>
  <si>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</si>
  <si>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</si>
  <si>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</si>
  <si>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</si>
  <si>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</si>
  <si>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</si>
  <si>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</si>
  <si>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</si>
  <si>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</si>
  <si>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</si>
  <si>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</si>
  <si>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</si>
  <si>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</si>
  <si>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</si>
  <si>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</si>
  <si>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</si>
  <si>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</si>
  <si>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</si>
  <si>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</si>
  <si>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</si>
  <si>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</si>
  <si>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</si>
  <si>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</si>
  <si>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</si>
  <si>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</si>
  <si>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</si>
  <si>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</si>
  <si>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</si>
  <si>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</si>
  <si>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</si>
  <si>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</si>
  <si>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</si>
  <si>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</si>
  <si>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</si>
  <si>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</si>
  <si>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</si>
  <si>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</si>
  <si>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</si>
  <si>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</si>
  <si>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</si>
  <si>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</si>
  <si>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</si>
  <si>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</si>
  <si>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</si>
  <si>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</si>
  <si>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</si>
  <si>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</si>
  <si>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</si>
  <si>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</si>
  <si>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</si>
  <si>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</si>
  <si>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</si>
  <si>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</si>
  <si>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</si>
  <si>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</si>
  <si>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</si>
  <si>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</si>
  <si>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</si>
  <si>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</si>
  <si>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</si>
  <si>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</si>
  <si>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</si>
  <si>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</si>
  <si>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</si>
  <si>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</si>
  <si>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</si>
  <si>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</si>
  <si>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</si>
  <si>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</si>
  <si>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</si>
  <si>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</si>
  <si>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</si>
  <si>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</si>
  <si>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</si>
  <si>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</si>
  <si>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</si>
  <si>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</si>
  <si>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</si>
  <si>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</si>
  <si>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</si>
  <si>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</si>
  <si>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</si>
  <si>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</si>
  <si>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</si>
  <si>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</si>
  <si>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</si>
  <si>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</si>
  <si>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</si>
  <si>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</si>
  <si>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</si>
  <si>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</si>
  <si>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</si>
  <si>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</si>
  <si>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</si>
  <si>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</si>
  <si>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</si>
  <si>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</si>
  <si>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</si>
  <si>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</si>
  <si>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</si>
  <si>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</si>
  <si>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</si>
  <si>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</si>
  <si>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</si>
  <si>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</si>
  <si>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</si>
  <si>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</si>
  <si>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</si>
  <si>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</si>
  <si>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</si>
  <si>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</si>
  <si>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</si>
  <si>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</si>
  <si>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</si>
  <si>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</si>
  <si>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</si>
  <si>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</si>
  <si>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</si>
  <si>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</si>
  <si>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</si>
  <si>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</si>
  <si>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</si>
  <si>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</si>
  <si>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</si>
  <si>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</si>
  <si>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</si>
  <si>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</si>
  <si>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</si>
  <si>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</si>
  <si>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</si>
  <si>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</si>
  <si>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</si>
  <si>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</si>
  <si>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</si>
  <si>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</si>
  <si>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</si>
  <si>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</si>
  <si>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</si>
  <si>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</si>
  <si>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</si>
  <si>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</si>
  <si>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</si>
  <si>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</si>
  <si>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</si>
  <si>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</si>
  <si>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</si>
  <si>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</si>
  <si>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</si>
  <si>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</si>
  <si>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</si>
  <si>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</si>
  <si>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</si>
  <si>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</si>
  <si>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</si>
  <si>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</si>
  <si>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</si>
  <si>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</si>
  <si>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</si>
  <si>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</si>
  <si>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</si>
  <si>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</si>
  <si>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</si>
  <si>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</si>
  <si>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</si>
  <si>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</si>
  <si>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</si>
  <si>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</si>
  <si>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</si>
  <si>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</si>
  <si>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</si>
  <si>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</si>
  <si>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</si>
  <si>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</si>
  <si>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</si>
  <si>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</si>
  <si>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</si>
  <si>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</si>
  <si>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</si>
  <si>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</si>
  <si>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</si>
  <si>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</si>
  <si>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</si>
  <si>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</si>
  <si>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</si>
  <si>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</si>
  <si>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</si>
  <si>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</si>
  <si>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</si>
  <si>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</si>
  <si>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</si>
  <si>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</si>
  <si>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</si>
  <si>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</si>
  <si>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</si>
  <si>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</si>
  <si>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</si>
  <si>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</si>
  <si>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</si>
  <si>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</si>
  <si>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</si>
  <si>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</si>
  <si>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</si>
  <si>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</si>
  <si>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</si>
  <si>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</si>
  <si>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</si>
  <si>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</si>
  <si>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</si>
  <si>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</si>
  <si>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</si>
  <si>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</si>
  <si>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</si>
  <si>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</si>
  <si>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</si>
  <si>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</si>
  <si>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</si>
  <si>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</si>
  <si>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</si>
  <si>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</si>
  <si>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</si>
  <si>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</si>
  <si>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</si>
  <si>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</si>
  <si>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</si>
  <si>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</si>
  <si>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</si>
  <si>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</si>
  <si>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</si>
  <si>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</si>
  <si>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</si>
  <si>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</si>
  <si>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</si>
  <si>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</si>
  <si>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</si>
  <si>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</si>
  <si>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</si>
  <si>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</si>
  <si>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</si>
  <si>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</si>
  <si>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</si>
  <si>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</si>
  <si>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</si>
  <si>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</si>
  <si>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</si>
  <si>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</si>
  <si>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</si>
  <si>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</si>
  <si>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</si>
  <si>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</si>
  <si>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</si>
  <si>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</si>
  <si>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</si>
  <si>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</si>
  <si>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</si>
  <si>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</si>
  <si>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</si>
  <si>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</si>
  <si>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</si>
  <si>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</si>
  <si>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</si>
  <si>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</si>
  <si>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</si>
  <si>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</si>
  <si>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</si>
  <si>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</si>
  <si>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</si>
  <si>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</si>
  <si>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</si>
  <si>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</si>
  <si>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</si>
  <si>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</si>
  <si>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</si>
  <si>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</si>
  <si>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</si>
  <si>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</si>
  <si>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</si>
  <si>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</si>
  <si>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</si>
  <si>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</si>
  <si>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</si>
  <si>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</si>
  <si>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</si>
  <si>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</si>
  <si>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</si>
  <si>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</si>
  <si>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</si>
  <si>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</si>
  <si>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</si>
  <si>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</si>
  <si>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</si>
  <si>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</si>
  <si>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</si>
  <si>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</si>
  <si>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</si>
  <si>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</si>
  <si>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</si>
  <si>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</si>
  <si>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</si>
  <si>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</si>
  <si>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</si>
  <si>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</si>
  <si>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</si>
  <si>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</si>
  <si>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</si>
  <si>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</si>
  <si>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</si>
  <si>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</si>
  <si>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</si>
  <si>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</si>
  <si>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</si>
  <si>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</si>
  <si>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</si>
  <si>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</si>
  <si>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</si>
  <si>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</si>
  <si>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</si>
  <si>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</si>
  <si>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</si>
  <si>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</si>
  <si>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</si>
  <si>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</si>
  <si>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</si>
  <si>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</si>
  <si>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</si>
  <si>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</si>
  <si>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</si>
  <si>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</si>
  <si>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</si>
  <si>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</si>
  <si>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</si>
  <si>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</si>
  <si>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</si>
  <si>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</si>
  <si>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</si>
  <si>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</si>
  <si>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</si>
  <si>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</si>
  <si>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</si>
  <si>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</si>
  <si>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</si>
  <si>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</si>
  <si>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</si>
  <si>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</si>
  <si>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</si>
  <si>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</si>
  <si>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</si>
  <si>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</si>
  <si>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</si>
  <si>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</si>
  <si>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</si>
  <si>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</si>
  <si>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</si>
  <si>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</si>
  <si>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</si>
  <si>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</si>
  <si>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</si>
  <si>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</si>
  <si>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</si>
  <si>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</si>
  <si>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</si>
  <si>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</si>
  <si>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</si>
  <si>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</si>
  <si>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</si>
  <si>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</si>
  <si>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</si>
  <si>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</si>
  <si>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</si>
  <si>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</si>
  <si>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</si>
  <si>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</si>
  <si>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</si>
  <si>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</si>
  <si>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</si>
  <si>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</si>
  <si>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</si>
  <si>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</si>
  <si>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</si>
  <si>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</si>
  <si>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</si>
  <si>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</si>
  <si>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</si>
  <si>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</si>
  <si>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</si>
  <si>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</si>
  <si>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</si>
  <si>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</si>
  <si>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</si>
  <si>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</si>
  <si>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</si>
  <si>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</si>
  <si>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</si>
  <si>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</si>
  <si>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</si>
  <si>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</si>
  <si>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</si>
  <si>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</si>
  <si>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</si>
  <si>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</si>
  <si>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</si>
  <si>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</si>
  <si>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</si>
  <si>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</si>
  <si>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</si>
  <si>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</si>
  <si>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</si>
  <si>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</si>
  <si>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</si>
  <si>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</si>
  <si>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</si>
  <si>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</si>
  <si>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</si>
  <si>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</si>
  <si>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</si>
  <si>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</si>
  <si>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</si>
  <si>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</si>
  <si>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</si>
  <si>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</si>
  <si>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</si>
  <si>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</si>
  <si>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</si>
  <si>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</si>
  <si>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</si>
  <si>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</si>
  <si>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</si>
  <si>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</si>
  <si>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</si>
  <si>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</si>
  <si>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</si>
  <si>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</si>
  <si>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</si>
  <si>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</si>
  <si>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</si>
  <si>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</si>
  <si>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</si>
  <si>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</si>
  <si>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</si>
  <si>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</si>
  <si>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</si>
  <si>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</si>
  <si>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</si>
  <si>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</si>
  <si>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</si>
  <si>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</si>
  <si>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</si>
  <si>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</si>
  <si>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</si>
  <si>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</si>
  <si>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</si>
  <si>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</si>
  <si>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</si>
  <si>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</si>
  <si>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</si>
  <si>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</si>
  <si>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</si>
  <si>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</si>
  <si>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</si>
  <si>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</si>
  <si>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</si>
  <si>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</si>
  <si>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</si>
  <si>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</si>
  <si>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</si>
  <si>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</si>
  <si>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</si>
  <si>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</si>
  <si>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</si>
  <si>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</si>
  <si>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</si>
  <si>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</si>
  <si>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</si>
  <si>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</si>
  <si>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</si>
  <si>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</si>
  <si>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</si>
  <si>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</si>
  <si>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</si>
  <si>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</si>
  <si>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</si>
  <si>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</si>
  <si>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</si>
  <si>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</si>
  <si>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</si>
  <si>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</si>
  <si>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</si>
  <si>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</si>
  <si>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</si>
  <si>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</si>
  <si>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</si>
  <si>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</si>
  <si>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</si>
  <si>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</si>
  <si>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</si>
  <si>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</si>
  <si>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</si>
  <si>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</si>
  <si>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</si>
  <si>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</si>
  <si>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</si>
  <si>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</si>
  <si>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</si>
  <si>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</si>
  <si>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</si>
  <si>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</si>
  <si>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</si>
  <si>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</si>
  <si>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</si>
  <si>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</si>
  <si>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</si>
  <si>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</si>
  <si>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</si>
  <si>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</si>
  <si>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</si>
  <si>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</si>
  <si>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</si>
  <si>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</si>
  <si>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</si>
  <si>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</si>
  <si>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</si>
  <si>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</si>
  <si>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</si>
  <si>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</si>
  <si>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</si>
  <si>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</si>
  <si>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</si>
  <si>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</si>
  <si>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</si>
  <si>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</si>
  <si>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</si>
  <si>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</si>
  <si>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</si>
  <si>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</si>
  <si>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</si>
  <si>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</si>
  <si>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</si>
  <si>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</si>
  <si>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</si>
  <si>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</si>
  <si>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</si>
  <si>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</si>
  <si>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</si>
  <si>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</si>
  <si>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</si>
  <si>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</si>
  <si>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</si>
  <si>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</si>
  <si>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</si>
  <si>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</si>
  <si>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</si>
  <si>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</si>
  <si>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</si>
  <si>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</si>
  <si>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</si>
  <si>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</si>
  <si>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</si>
  <si>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</si>
  <si>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</si>
  <si>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</si>
  <si>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</si>
  <si>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</si>
  <si>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</si>
  <si>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</si>
  <si>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</si>
  <si>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</si>
  <si>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</si>
  <si>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</si>
  <si>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</si>
  <si>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</si>
  <si>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</si>
  <si>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</si>
  <si>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</si>
  <si>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</si>
  <si>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</si>
  <si>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</si>
  <si>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</si>
  <si>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</si>
  <si>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</si>
  <si>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</si>
  <si>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</si>
  <si>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</si>
  <si>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</si>
  <si>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</si>
  <si>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</si>
  <si>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</si>
  <si>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</si>
  <si>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</si>
  <si>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</si>
  <si>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</si>
  <si>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</si>
  <si>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</si>
  <si>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</si>
  <si>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</si>
  <si>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</si>
  <si>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</si>
  <si>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</si>
  <si>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</si>
  <si>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</si>
  <si>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</si>
  <si>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</si>
  <si>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</si>
  <si>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</si>
  <si>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</si>
  <si>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</si>
  <si>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</si>
  <si>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</si>
  <si>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</si>
  <si>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</si>
  <si>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</si>
  <si>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</si>
  <si>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</si>
  <si>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</si>
  <si>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</si>
  <si>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</si>
  <si>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</si>
  <si>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</si>
  <si>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</si>
  <si>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</si>
  <si>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</si>
  <si>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</si>
  <si>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</si>
  <si>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</si>
  <si>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</si>
  <si>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</si>
  <si>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</si>
  <si>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</si>
  <si>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</si>
  <si>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</si>
  <si>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</si>
  <si>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</si>
  <si>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</si>
  <si>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</si>
  <si>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</si>
  <si>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</si>
  <si>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</si>
  <si>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</si>
  <si>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</si>
  <si>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</si>
  <si>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</si>
  <si>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</si>
  <si>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</si>
  <si>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</si>
  <si>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</si>
  <si>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</si>
  <si>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</si>
  <si>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</si>
  <si>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</si>
  <si>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</si>
  <si>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</si>
  <si>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</si>
  <si>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</si>
  <si>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</si>
  <si>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</si>
  <si>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</si>
  <si>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</si>
  <si>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</si>
  <si>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</si>
  <si>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</si>
  <si>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</si>
  <si>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</si>
  <si>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</si>
  <si>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</si>
  <si>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</si>
  <si>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</si>
  <si>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</si>
  <si>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</si>
  <si>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</si>
  <si>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</si>
  <si>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</si>
  <si>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</si>
  <si>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</si>
  <si>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</si>
  <si>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</si>
  <si>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</si>
  <si>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</si>
  <si>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</si>
  <si>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</si>
  <si>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</si>
  <si>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</si>
  <si>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</si>
  <si>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</si>
  <si>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</si>
  <si>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</si>
  <si>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</si>
  <si>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</si>
  <si>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</si>
  <si>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</si>
  <si>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</si>
  <si>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</si>
  <si>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</si>
  <si>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</si>
  <si>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</si>
  <si>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</si>
  <si>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</si>
  <si>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</si>
  <si>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</si>
  <si>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</si>
  <si>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</si>
  <si>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</si>
  <si>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</si>
  <si>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</si>
  <si>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</si>
  <si>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</si>
  <si>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</si>
  <si>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</si>
  <si>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</si>
  <si>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</si>
  <si>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</si>
  <si>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</si>
  <si>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</si>
  <si>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</si>
  <si>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</si>
  <si>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</si>
  <si>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</si>
  <si>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</si>
  <si>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</si>
  <si>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</si>
  <si>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</si>
  <si>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</si>
  <si>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</si>
  <si>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</si>
  <si>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</si>
  <si>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</si>
  <si>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</si>
  <si>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</si>
  <si>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</si>
  <si>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</si>
  <si>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</si>
  <si>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</si>
  <si>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</si>
  <si>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</si>
  <si>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</si>
  <si>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</si>
  <si>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</si>
  <si>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</si>
  <si>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</si>
  <si>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</si>
  <si>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</si>
  <si>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</si>
  <si>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</si>
  <si>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</si>
  <si>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</si>
  <si>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</si>
  <si>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</si>
  <si>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</si>
  <si>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</si>
  <si>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</si>
  <si>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</si>
  <si>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</si>
  <si>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</si>
  <si>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</si>
  <si>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</si>
  <si>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</si>
  <si>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</si>
  <si>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</si>
  <si>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</si>
  <si>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</si>
  <si>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</si>
  <si>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</si>
  <si>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</si>
  <si>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</si>
  <si>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</si>
  <si>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</si>
  <si>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</si>
  <si>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</si>
  <si>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</si>
  <si>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</si>
  <si>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</si>
  <si>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</si>
  <si>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</si>
  <si>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</si>
  <si>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</si>
  <si>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</si>
  <si>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</si>
  <si>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</si>
  <si>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</si>
  <si>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</si>
  <si>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</si>
  <si>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</si>
  <si>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</si>
  <si>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</si>
  <si>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</si>
  <si>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</si>
  <si>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</si>
  <si>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</si>
  <si>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</si>
  <si>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</si>
  <si>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</si>
  <si>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</si>
  <si>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</si>
  <si>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</si>
  <si>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</si>
  <si>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</si>
  <si>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</si>
  <si>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</si>
  <si>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</si>
  <si>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</si>
  <si>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</si>
  <si>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</si>
  <si>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</si>
  <si>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</si>
  <si>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</si>
  <si>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</si>
  <si>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</si>
  <si>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</si>
  <si>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</si>
  <si>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</si>
  <si>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</si>
  <si>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</si>
  <si>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</si>
  <si>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</si>
  <si>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</si>
  <si>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</si>
  <si>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</si>
  <si>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</si>
  <si>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</si>
  <si>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</si>
  <si>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</si>
  <si>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</si>
  <si>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</si>
  <si>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</si>
  <si>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</si>
  <si>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</si>
  <si>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</si>
  <si>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</si>
  <si>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</si>
  <si>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</si>
  <si>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</si>
  <si>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</si>
  <si>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</si>
  <si>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</si>
  <si>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</si>
  <si>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</si>
  <si>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</si>
  <si>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</si>
  <si>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</si>
  <si>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</si>
  <si>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</si>
  <si>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</si>
  <si>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</si>
  <si>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</si>
  <si>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</si>
  <si>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</si>
  <si>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</si>
  <si>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</si>
  <si>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</si>
  <si>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</si>
  <si>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</si>
  <si>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</si>
  <si>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</si>
  <si>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</si>
  <si>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</si>
  <si>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</si>
  <si>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</si>
  <si>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</si>
  <si>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</si>
  <si>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</si>
  <si>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</si>
  <si>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</si>
  <si>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</si>
  <si>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</si>
  <si>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</si>
  <si>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</si>
  <si>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</si>
  <si>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</si>
  <si>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</si>
  <si>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</si>
  <si>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</si>
  <si>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</si>
  <si>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</si>
  <si>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</si>
  <si>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</si>
  <si>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</si>
  <si>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</si>
  <si>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</si>
  <si>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</si>
  <si>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</si>
  <si>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</si>
  <si>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</si>
  <si>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</si>
  <si>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</si>
  <si>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</si>
  <si>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</si>
  <si>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</si>
  <si>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</si>
  <si>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</si>
  <si>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</si>
  <si>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</si>
  <si>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</si>
  <si>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</si>
  <si>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</si>
  <si>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</si>
  <si>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</si>
  <si>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</si>
  <si>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</si>
  <si>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</si>
  <si>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</si>
  <si>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</si>
  <si>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</si>
  <si>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</si>
  <si>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</si>
  <si>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</si>
  <si>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</si>
  <si>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</si>
  <si>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</si>
  <si>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</si>
  <si>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</si>
  <si>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</si>
  <si>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</si>
  <si>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</si>
  <si>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</si>
  <si>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</si>
  <si>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</si>
  <si>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</si>
  <si>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</si>
  <si>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</si>
  <si>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</si>
  <si>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</si>
  <si>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</si>
  <si>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</si>
  <si>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</si>
  <si>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</si>
  <si>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#63010059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</si>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</sst>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607B8D8D-27C9-44AF-A012-84D978DF393D}"/>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176</c:v>
                </c:pt>
                <c:pt idx="2">
                  <c:v>1002</c:v>
                </c:pt>
                <c:pt idx="3">
                  <c:v>2036</c:v>
                </c:pt>
                <c:pt idx="4">
                  <c:v>2900</c:v>
                </c:pt>
                <c:pt idx="5">
                  <c:v>8260</c:v>
                </c:pt>
                <c:pt idx="6">
                  <c:v>13176</c:v>
                </c:pt>
                <c:pt idx="7">
                  <c:v>16046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1181053.3333333333</c:v>
                </c:pt>
                <c:pt idx="1">
                  <c:v>498305</c:v>
                </c:pt>
                <c:pt idx="2">
                  <c:v>116806.66666666669</c:v>
                </c:pt>
                <c:pt idx="3">
                  <c:v>38309.666666666664</c:v>
                </c:pt>
                <c:pt idx="4">
                  <c:v>11665</c:v>
                </c:pt>
                <c:pt idx="5">
                  <c:v>6006.333333333333</c:v>
                </c:pt>
                <c:pt idx="6">
                  <c:v>476.66666666666669</c:v>
                </c:pt>
                <c:pt idx="7">
                  <c:v>108.33333333333333</c:v>
                </c:pt>
                <c:pt idx="8">
                  <c:v>45</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63010059</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72</v>
      </c>
      <c r="H8" s="154"/>
      <c r="I8" s="154"/>
    </row>
    <row r="9" spans="1:9" x14ac:dyDescent="0.35">
      <c r="A9" t="s">
        <v>714</v>
      </c>
      <c r="B9">
        <v>176</v>
      </c>
      <c r="H9" s="154"/>
      <c r="I9" s="154"/>
    </row>
    <row r="10" spans="1:9" x14ac:dyDescent="0.35">
      <c r="A10" t="s">
        <v>715</v>
      </c>
      <c r="B10">
        <v>1002</v>
      </c>
      <c r="H10" s="154"/>
      <c r="I10" s="154"/>
    </row>
    <row r="11" spans="1:9" x14ac:dyDescent="0.35">
      <c r="A11" t="s">
        <v>716</v>
      </c>
      <c r="B11">
        <v>2036</v>
      </c>
      <c r="H11" s="154"/>
      <c r="I11" s="154"/>
    </row>
    <row r="12" spans="1:9" x14ac:dyDescent="0.35">
      <c r="A12" t="s">
        <v>717</v>
      </c>
      <c r="B12">
        <v>2900</v>
      </c>
      <c r="H12" s="154"/>
      <c r="I12" s="154"/>
    </row>
    <row r="13" spans="1:9" x14ac:dyDescent="0.35">
      <c r="A13" t="s">
        <v>718</v>
      </c>
      <c r="B13">
        <v>8260</v>
      </c>
      <c r="H13" s="154"/>
      <c r="I13" s="154"/>
    </row>
    <row r="14" spans="1:9" x14ac:dyDescent="0.35">
      <c r="A14" t="s">
        <v>719</v>
      </c>
      <c r="B14">
        <v>13176</v>
      </c>
      <c r="H14" s="154"/>
      <c r="I14" s="154"/>
    </row>
    <row r="15" spans="1:9" x14ac:dyDescent="0.35">
      <c r="A15" t="s">
        <v>720</v>
      </c>
      <c r="B15">
        <v>16046</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12507</v>
      </c>
      <c r="H21" s="154"/>
      <c r="I21" s="154"/>
    </row>
    <row r="22" spans="1:9" x14ac:dyDescent="0.35">
      <c r="A22" t="s">
        <v>727</v>
      </c>
      <c r="B22">
        <v>98.43</v>
      </c>
      <c r="H22" s="154"/>
      <c r="I22" s="154"/>
    </row>
    <row r="23" spans="1:9" x14ac:dyDescent="0.35">
      <c r="A23" t="s">
        <v>728</v>
      </c>
      <c r="B23">
        <v>50</v>
      </c>
      <c r="H23" s="154"/>
      <c r="I23" s="154"/>
    </row>
    <row r="24" spans="1:9" x14ac:dyDescent="0.35">
      <c r="A24" t="s">
        <v>729</v>
      </c>
      <c r="B24">
        <v>1779284823</v>
      </c>
      <c r="H24" s="154"/>
      <c r="I24" s="154"/>
    </row>
    <row r="25" spans="1:9" x14ac:dyDescent="0.35">
      <c r="A25" t="s">
        <v>730</v>
      </c>
      <c r="B25">
        <v>1810820823</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6</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72</v>
      </c>
      <c r="H52" s="154"/>
      <c r="I52" s="154"/>
    </row>
    <row r="53" spans="1:9" x14ac:dyDescent="0.35">
      <c r="A53" t="s">
        <v>758</v>
      </c>
      <c r="B53">
        <v>116</v>
      </c>
      <c r="H53" s="154"/>
      <c r="I53" s="154"/>
    </row>
    <row r="54" spans="1:9" x14ac:dyDescent="0.35">
      <c r="A54" t="s">
        <v>759</v>
      </c>
      <c r="B54">
        <v>176</v>
      </c>
      <c r="H54" s="154"/>
      <c r="I54" s="154"/>
    </row>
    <row r="55" spans="1:9" x14ac:dyDescent="0.35">
      <c r="A55" t="s">
        <v>760</v>
      </c>
      <c r="B55">
        <v>238</v>
      </c>
      <c r="H55" s="154"/>
      <c r="I55" s="154"/>
    </row>
    <row r="56" spans="1:9" x14ac:dyDescent="0.35">
      <c r="A56" t="s">
        <v>761</v>
      </c>
      <c r="B56">
        <v>318</v>
      </c>
      <c r="H56" s="154"/>
      <c r="I56" s="154"/>
    </row>
    <row r="57" spans="1:9" x14ac:dyDescent="0.35">
      <c r="A57" t="s">
        <v>762</v>
      </c>
      <c r="B57">
        <v>410</v>
      </c>
      <c r="H57" s="154"/>
      <c r="I57" s="154"/>
    </row>
    <row r="58" spans="1:9" x14ac:dyDescent="0.35">
      <c r="A58" t="s">
        <v>763</v>
      </c>
      <c r="B58">
        <v>508</v>
      </c>
      <c r="H58" s="154"/>
    </row>
    <row r="59" spans="1:9" x14ac:dyDescent="0.35">
      <c r="A59" t="s">
        <v>764</v>
      </c>
      <c r="B59">
        <v>618</v>
      </c>
      <c r="H59" s="154"/>
      <c r="I59" s="154"/>
    </row>
    <row r="60" spans="1:9" x14ac:dyDescent="0.35">
      <c r="A60" t="s">
        <v>765</v>
      </c>
      <c r="B60">
        <v>742</v>
      </c>
      <c r="H60" s="154"/>
      <c r="I60" s="154"/>
    </row>
    <row r="61" spans="1:9" x14ac:dyDescent="0.35">
      <c r="A61" t="s">
        <v>766</v>
      </c>
      <c r="B61">
        <v>872</v>
      </c>
      <c r="H61" s="154"/>
      <c r="I61" s="154"/>
    </row>
    <row r="62" spans="1:9" x14ac:dyDescent="0.35">
      <c r="A62" t="s">
        <v>767</v>
      </c>
      <c r="B62">
        <v>1002</v>
      </c>
      <c r="H62" s="154"/>
      <c r="I62" s="154"/>
    </row>
    <row r="63" spans="1:9" x14ac:dyDescent="0.35">
      <c r="A63" t="s">
        <v>768</v>
      </c>
      <c r="B63">
        <v>1134</v>
      </c>
      <c r="H63" s="154"/>
      <c r="I63" s="154"/>
    </row>
    <row r="64" spans="1:9" x14ac:dyDescent="0.35">
      <c r="A64" t="s">
        <v>769</v>
      </c>
      <c r="B64">
        <v>1256</v>
      </c>
      <c r="H64" s="154"/>
      <c r="I64" s="154"/>
    </row>
    <row r="65" spans="1:9" x14ac:dyDescent="0.35">
      <c r="A65" t="s">
        <v>770</v>
      </c>
      <c r="B65">
        <v>1396</v>
      </c>
      <c r="H65" s="154"/>
      <c r="I65" s="154"/>
    </row>
    <row r="66" spans="1:9" x14ac:dyDescent="0.35">
      <c r="A66" t="s">
        <v>771</v>
      </c>
      <c r="B66">
        <v>1520</v>
      </c>
      <c r="H66" s="154"/>
      <c r="I66" s="154"/>
    </row>
    <row r="67" spans="1:9" x14ac:dyDescent="0.35">
      <c r="A67" t="s">
        <v>772</v>
      </c>
      <c r="B67">
        <v>1662</v>
      </c>
      <c r="H67" s="154"/>
      <c r="I67" s="154"/>
    </row>
    <row r="68" spans="1:9" x14ac:dyDescent="0.35">
      <c r="A68" t="s">
        <v>773</v>
      </c>
      <c r="B68">
        <v>1818</v>
      </c>
      <c r="H68" s="154"/>
      <c r="I68" s="154"/>
    </row>
    <row r="69" spans="1:9" x14ac:dyDescent="0.35">
      <c r="A69" t="s">
        <v>774</v>
      </c>
      <c r="B69">
        <v>2036</v>
      </c>
      <c r="H69" s="154"/>
      <c r="I69" s="154"/>
    </row>
    <row r="70" spans="1:9" x14ac:dyDescent="0.35">
      <c r="A70" t="s">
        <v>775</v>
      </c>
      <c r="B70">
        <v>2232</v>
      </c>
      <c r="H70" s="154"/>
      <c r="I70" s="154"/>
    </row>
    <row r="71" spans="1:9" x14ac:dyDescent="0.35">
      <c r="A71" t="s">
        <v>776</v>
      </c>
      <c r="B71">
        <v>2466</v>
      </c>
      <c r="H71" s="154"/>
      <c r="I71" s="154"/>
    </row>
    <row r="72" spans="1:9" x14ac:dyDescent="0.35">
      <c r="A72" t="s">
        <v>777</v>
      </c>
      <c r="B72">
        <v>2656</v>
      </c>
      <c r="H72" s="154"/>
      <c r="I72" s="154"/>
    </row>
    <row r="73" spans="1:9" x14ac:dyDescent="0.35">
      <c r="A73" t="s">
        <v>778</v>
      </c>
      <c r="B73">
        <v>2900</v>
      </c>
      <c r="H73" s="154"/>
      <c r="I73" s="154"/>
    </row>
    <row r="74" spans="1:9" x14ac:dyDescent="0.35">
      <c r="A74" t="s">
        <v>779</v>
      </c>
      <c r="B74">
        <v>3268</v>
      </c>
      <c r="H74" s="154"/>
      <c r="I74" s="154"/>
    </row>
    <row r="75" spans="1:9" x14ac:dyDescent="0.35">
      <c r="A75" t="s">
        <v>780</v>
      </c>
      <c r="B75">
        <v>3660</v>
      </c>
      <c r="H75" s="154"/>
    </row>
    <row r="76" spans="1:9" x14ac:dyDescent="0.35">
      <c r="A76" t="s">
        <v>781</v>
      </c>
      <c r="B76">
        <v>4038</v>
      </c>
      <c r="H76" s="154"/>
      <c r="I76" s="154"/>
    </row>
    <row r="77" spans="1:9" x14ac:dyDescent="0.35">
      <c r="A77" t="s">
        <v>782</v>
      </c>
      <c r="B77">
        <v>4530</v>
      </c>
      <c r="H77" s="154"/>
    </row>
    <row r="78" spans="1:9" x14ac:dyDescent="0.35">
      <c r="A78" t="s">
        <v>783</v>
      </c>
      <c r="B78">
        <v>4930</v>
      </c>
      <c r="H78" s="154"/>
      <c r="I78" s="154"/>
    </row>
    <row r="79" spans="1:9" x14ac:dyDescent="0.35">
      <c r="A79" t="s">
        <v>784</v>
      </c>
      <c r="B79">
        <v>8260</v>
      </c>
      <c r="H79" s="154"/>
      <c r="I79" s="154"/>
    </row>
    <row r="80" spans="1:9" x14ac:dyDescent="0.35">
      <c r="A80" t="s">
        <v>785</v>
      </c>
      <c r="B80">
        <v>13176</v>
      </c>
      <c r="H80" s="154"/>
      <c r="I80" s="154"/>
    </row>
    <row r="81" spans="1:9" x14ac:dyDescent="0.35">
      <c r="A81" t="s">
        <v>786</v>
      </c>
      <c r="B81">
        <v>16046</v>
      </c>
      <c r="H81" s="154"/>
      <c r="I81" s="154"/>
    </row>
    <row r="82" spans="1:9" x14ac:dyDescent="0.35">
      <c r="A82" t="s">
        <v>787</v>
      </c>
      <c r="B82">
        <v>16046</v>
      </c>
      <c r="H82" s="154"/>
      <c r="I82" s="154"/>
    </row>
    <row r="83" spans="1:9" x14ac:dyDescent="0.35">
      <c r="A83" t="s">
        <v>788</v>
      </c>
      <c r="B83">
        <v>16046</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1177397</v>
      </c>
      <c r="H117" s="154"/>
      <c r="I117" s="154"/>
    </row>
    <row r="118" spans="1:9" x14ac:dyDescent="0.35">
      <c r="A118" t="s">
        <v>823</v>
      </c>
      <c r="B118">
        <v>496450</v>
      </c>
      <c r="H118" s="154"/>
      <c r="I118" s="154"/>
    </row>
    <row r="119" spans="1:9" x14ac:dyDescent="0.35">
      <c r="A119" t="s">
        <v>824</v>
      </c>
      <c r="B119">
        <v>37139</v>
      </c>
      <c r="H119" s="154"/>
      <c r="I119" s="154"/>
    </row>
    <row r="120" spans="1:9" x14ac:dyDescent="0.35">
      <c r="A120" t="s">
        <v>825</v>
      </c>
      <c r="B120">
        <v>11505</v>
      </c>
      <c r="H120" s="154"/>
      <c r="I120" s="154"/>
    </row>
    <row r="121" spans="1:9" x14ac:dyDescent="0.35">
      <c r="A121" t="s">
        <v>826</v>
      </c>
      <c r="B121">
        <v>5924</v>
      </c>
      <c r="H121" s="154"/>
      <c r="I121" s="154"/>
    </row>
    <row r="122" spans="1:9" x14ac:dyDescent="0.35">
      <c r="A122" t="s">
        <v>827</v>
      </c>
      <c r="B122">
        <v>397</v>
      </c>
      <c r="H122" s="154"/>
      <c r="I122" s="154"/>
    </row>
    <row r="123" spans="1:9" x14ac:dyDescent="0.35">
      <c r="A123" t="s">
        <v>828</v>
      </c>
      <c r="B123">
        <v>89</v>
      </c>
      <c r="H123" s="154"/>
      <c r="I123" s="154"/>
    </row>
    <row r="124" spans="1:9" x14ac:dyDescent="0.35">
      <c r="A124" t="s">
        <v>829</v>
      </c>
      <c r="B124">
        <v>35</v>
      </c>
      <c r="H124" s="154"/>
      <c r="I124" s="154"/>
    </row>
    <row r="125" spans="1:9" x14ac:dyDescent="0.35">
      <c r="A125" t="s">
        <v>830</v>
      </c>
      <c r="B125">
        <v>1183501</v>
      </c>
      <c r="H125" s="154"/>
      <c r="I125" s="154"/>
    </row>
    <row r="126" spans="1:9" x14ac:dyDescent="0.35">
      <c r="A126" t="s">
        <v>831</v>
      </c>
      <c r="B126">
        <v>498600</v>
      </c>
      <c r="H126" s="154"/>
      <c r="I126" s="154"/>
    </row>
    <row r="127" spans="1:9" x14ac:dyDescent="0.35">
      <c r="A127" t="s">
        <v>832</v>
      </c>
      <c r="B127">
        <v>38771</v>
      </c>
      <c r="H127" s="154"/>
      <c r="I127" s="154"/>
    </row>
    <row r="128" spans="1:9" x14ac:dyDescent="0.35">
      <c r="A128" t="s">
        <v>833</v>
      </c>
      <c r="B128">
        <v>11971</v>
      </c>
      <c r="H128" s="154"/>
      <c r="I128" s="154"/>
    </row>
    <row r="129" spans="1:9" x14ac:dyDescent="0.35">
      <c r="A129" t="s">
        <v>834</v>
      </c>
      <c r="B129">
        <v>6116</v>
      </c>
      <c r="H129" s="154"/>
      <c r="I129" s="154"/>
    </row>
    <row r="130" spans="1:9" x14ac:dyDescent="0.35">
      <c r="A130" t="s">
        <v>835</v>
      </c>
      <c r="B130">
        <v>546</v>
      </c>
      <c r="H130" s="154"/>
      <c r="I130" s="155"/>
    </row>
    <row r="131" spans="1:9" x14ac:dyDescent="0.35">
      <c r="A131" t="s">
        <v>836</v>
      </c>
      <c r="B131">
        <v>118</v>
      </c>
      <c r="H131" s="154"/>
      <c r="I131" s="154"/>
    </row>
    <row r="132" spans="1:9" x14ac:dyDescent="0.35">
      <c r="A132" t="s">
        <v>837</v>
      </c>
      <c r="B132">
        <v>35</v>
      </c>
      <c r="H132" s="154"/>
      <c r="I132" s="154"/>
    </row>
    <row r="133" spans="1:9" x14ac:dyDescent="0.35">
      <c r="A133" t="s">
        <v>838</v>
      </c>
      <c r="B133">
        <v>1182262</v>
      </c>
      <c r="H133" s="154"/>
      <c r="I133" s="154"/>
    </row>
    <row r="134" spans="1:9" x14ac:dyDescent="0.35">
      <c r="A134" t="s">
        <v>839</v>
      </c>
      <c r="B134">
        <v>499865</v>
      </c>
      <c r="H134" s="154"/>
      <c r="I134" s="154"/>
    </row>
    <row r="135" spans="1:9" x14ac:dyDescent="0.35">
      <c r="A135" t="s">
        <v>840</v>
      </c>
      <c r="B135">
        <v>39019</v>
      </c>
      <c r="H135" s="154"/>
      <c r="I135" s="154"/>
    </row>
    <row r="136" spans="1:9" x14ac:dyDescent="0.35">
      <c r="A136" t="s">
        <v>841</v>
      </c>
      <c r="B136">
        <v>11519</v>
      </c>
      <c r="H136" s="154"/>
      <c r="I136" s="154"/>
    </row>
    <row r="137" spans="1:9" x14ac:dyDescent="0.35">
      <c r="A137" t="s">
        <v>842</v>
      </c>
      <c r="B137">
        <v>5979</v>
      </c>
      <c r="H137" s="154"/>
      <c r="I137" s="154"/>
    </row>
    <row r="138" spans="1:9" x14ac:dyDescent="0.35">
      <c r="A138" t="s">
        <v>843</v>
      </c>
      <c r="B138">
        <v>487</v>
      </c>
      <c r="H138" s="154"/>
      <c r="I138" s="154"/>
    </row>
    <row r="139" spans="1:9" x14ac:dyDescent="0.35">
      <c r="A139" t="s">
        <v>844</v>
      </c>
      <c r="B139">
        <v>118</v>
      </c>
      <c r="H139" s="154"/>
      <c r="I139" s="154"/>
    </row>
    <row r="140" spans="1:9" x14ac:dyDescent="0.35">
      <c r="A140" t="s">
        <v>845</v>
      </c>
      <c r="B140">
        <v>65</v>
      </c>
      <c r="H140" s="154"/>
      <c r="I140" s="154"/>
    </row>
    <row r="141" spans="1:9" x14ac:dyDescent="0.35">
      <c r="A141" t="s">
        <v>846</v>
      </c>
      <c r="B141">
        <v>1181320</v>
      </c>
      <c r="H141" s="154"/>
      <c r="I141" s="154"/>
    </row>
    <row r="142" spans="1:9" x14ac:dyDescent="0.35">
      <c r="A142" t="s">
        <v>847</v>
      </c>
      <c r="B142">
        <v>501618</v>
      </c>
      <c r="H142" s="154"/>
      <c r="I142" s="154"/>
    </row>
    <row r="143" spans="1:9" x14ac:dyDescent="0.35">
      <c r="A143" t="s">
        <v>848</v>
      </c>
      <c r="B143">
        <v>38258.400000000001</v>
      </c>
      <c r="H143" s="154"/>
      <c r="I143" s="154"/>
    </row>
    <row r="144" spans="1:9" x14ac:dyDescent="0.35">
      <c r="A144" t="s">
        <v>849</v>
      </c>
      <c r="B144">
        <v>10950.3</v>
      </c>
      <c r="H144" s="154"/>
      <c r="I144" s="157"/>
    </row>
    <row r="145" spans="1:2" x14ac:dyDescent="0.35">
      <c r="A145" t="s">
        <v>850</v>
      </c>
      <c r="B145">
        <v>5531.48</v>
      </c>
    </row>
    <row r="146" spans="1:2" x14ac:dyDescent="0.35">
      <c r="A146" t="s">
        <v>851</v>
      </c>
      <c r="B146">
        <v>394.30099999999999</v>
      </c>
    </row>
    <row r="147" spans="1:2" x14ac:dyDescent="0.35">
      <c r="A147" t="s">
        <v>852</v>
      </c>
      <c r="B147">
        <v>78.860100000000003</v>
      </c>
    </row>
    <row r="148" spans="1:2" x14ac:dyDescent="0.35">
      <c r="A148" t="s">
        <v>853</v>
      </c>
      <c r="B148">
        <v>10.962</v>
      </c>
    </row>
    <row r="149" spans="1:2" x14ac:dyDescent="0.35">
      <c r="A149" t="s">
        <v>854</v>
      </c>
      <c r="B149">
        <v>11774</v>
      </c>
    </row>
    <row r="150" spans="1:2" x14ac:dyDescent="0.35">
      <c r="A150" t="s">
        <v>855</v>
      </c>
      <c r="B150">
        <v>7605.27</v>
      </c>
    </row>
    <row r="151" spans="1:2" x14ac:dyDescent="0.35">
      <c r="A151" t="s">
        <v>856</v>
      </c>
      <c r="B151">
        <v>4964.51</v>
      </c>
    </row>
    <row r="152" spans="1:2" x14ac:dyDescent="0.35">
      <c r="A152" t="s">
        <v>857</v>
      </c>
      <c r="B152">
        <v>3482.39</v>
      </c>
    </row>
    <row r="153" spans="1:2" x14ac:dyDescent="0.35">
      <c r="A153" t="s">
        <v>858</v>
      </c>
      <c r="B153">
        <v>2361.8000000000002</v>
      </c>
    </row>
    <row r="154" spans="1:2" x14ac:dyDescent="0.35">
      <c r="A154" t="s">
        <v>859</v>
      </c>
      <c r="B154">
        <v>1621.87</v>
      </c>
    </row>
    <row r="155" spans="1:2" x14ac:dyDescent="0.35">
      <c r="A155" t="s">
        <v>860</v>
      </c>
      <c r="B155">
        <v>1157.3900000000001</v>
      </c>
    </row>
    <row r="156" spans="1:2" x14ac:dyDescent="0.35">
      <c r="A156" t="s">
        <v>861</v>
      </c>
      <c r="B156">
        <v>834.91800000000001</v>
      </c>
    </row>
    <row r="157" spans="1:2" x14ac:dyDescent="0.35">
      <c r="A157" t="s">
        <v>862</v>
      </c>
      <c r="B157">
        <v>615.08699999999999</v>
      </c>
    </row>
    <row r="158" spans="1:2" x14ac:dyDescent="0.35">
      <c r="A158" t="s">
        <v>863</v>
      </c>
      <c r="B158">
        <v>466.495</v>
      </c>
    </row>
    <row r="159" spans="1:2" x14ac:dyDescent="0.35">
      <c r="A159" t="s">
        <v>864</v>
      </c>
      <c r="B159">
        <v>371.39100000000002</v>
      </c>
    </row>
    <row r="160" spans="1:2" x14ac:dyDescent="0.35">
      <c r="A160" t="s">
        <v>865</v>
      </c>
      <c r="B160">
        <v>304.01100000000002</v>
      </c>
    </row>
    <row r="161" spans="1:2" x14ac:dyDescent="0.35">
      <c r="A161" t="s">
        <v>866</v>
      </c>
      <c r="B161">
        <v>257.46899999999999</v>
      </c>
    </row>
    <row r="162" spans="1:2" x14ac:dyDescent="0.35">
      <c r="A162" t="s">
        <v>867</v>
      </c>
      <c r="B162">
        <v>216.922</v>
      </c>
    </row>
    <row r="163" spans="1:2" x14ac:dyDescent="0.35">
      <c r="A163" t="s">
        <v>868</v>
      </c>
      <c r="B163">
        <v>188.96100000000001</v>
      </c>
    </row>
    <row r="164" spans="1:2" x14ac:dyDescent="0.35">
      <c r="A164" t="s">
        <v>869</v>
      </c>
      <c r="B164">
        <v>163.315</v>
      </c>
    </row>
    <row r="165" spans="1:2" x14ac:dyDescent="0.35">
      <c r="A165" t="s">
        <v>870</v>
      </c>
      <c r="B165">
        <v>140.696</v>
      </c>
    </row>
    <row r="166" spans="1:2" x14ac:dyDescent="0.35">
      <c r="A166" t="s">
        <v>871</v>
      </c>
      <c r="B166">
        <v>115.051</v>
      </c>
    </row>
    <row r="167" spans="1:2" x14ac:dyDescent="0.35">
      <c r="A167" t="s">
        <v>872</v>
      </c>
      <c r="B167">
        <v>98.665599999999998</v>
      </c>
    </row>
    <row r="168" spans="1:2" x14ac:dyDescent="0.35">
      <c r="A168" t="s">
        <v>873</v>
      </c>
      <c r="B168">
        <v>80.559100000000001</v>
      </c>
    </row>
    <row r="169" spans="1:2" x14ac:dyDescent="0.35">
      <c r="A169" t="s">
        <v>874</v>
      </c>
      <c r="B169">
        <v>69.576499999999996</v>
      </c>
    </row>
    <row r="170" spans="1:2" x14ac:dyDescent="0.35">
      <c r="A170" t="s">
        <v>875</v>
      </c>
      <c r="B170">
        <v>59.246899999999997</v>
      </c>
    </row>
    <row r="171" spans="1:2" x14ac:dyDescent="0.35">
      <c r="A171" t="s">
        <v>876</v>
      </c>
      <c r="B171">
        <v>45.770899999999997</v>
      </c>
    </row>
    <row r="172" spans="1:2" x14ac:dyDescent="0.35">
      <c r="A172" t="s">
        <v>877</v>
      </c>
      <c r="B172">
        <v>35.797400000000003</v>
      </c>
    </row>
    <row r="173" spans="1:2" x14ac:dyDescent="0.35">
      <c r="A173" t="s">
        <v>878</v>
      </c>
      <c r="B173">
        <v>29.089099999999998</v>
      </c>
    </row>
    <row r="174" spans="1:2" x14ac:dyDescent="0.35">
      <c r="A174" t="s">
        <v>879</v>
      </c>
      <c r="B174">
        <v>22.2027</v>
      </c>
    </row>
    <row r="175" spans="1:2" x14ac:dyDescent="0.35">
      <c r="A175" t="s">
        <v>880</v>
      </c>
      <c r="B175">
        <v>18.759499999999999</v>
      </c>
    </row>
    <row r="176" spans="1:2" x14ac:dyDescent="0.35">
      <c r="A176" t="s">
        <v>881</v>
      </c>
      <c r="B176">
        <v>3.97749</v>
      </c>
    </row>
    <row r="177" spans="1:2" x14ac:dyDescent="0.35">
      <c r="A177" t="s">
        <v>882</v>
      </c>
      <c r="B177">
        <v>0.89048400000000005</v>
      </c>
    </row>
    <row r="178" spans="1:2" x14ac:dyDescent="0.35">
      <c r="A178" t="s">
        <v>883</v>
      </c>
      <c r="B178">
        <v>0.35619400000000001</v>
      </c>
    </row>
    <row r="179" spans="1:2" x14ac:dyDescent="0.35">
      <c r="A179" t="s">
        <v>884</v>
      </c>
      <c r="B179">
        <v>0.35619400000000001</v>
      </c>
    </row>
    <row r="180" spans="1:2" x14ac:dyDescent="0.35">
      <c r="A180" t="s">
        <v>885</v>
      </c>
      <c r="B180">
        <v>0.35619400000000001</v>
      </c>
    </row>
    <row r="181" spans="1:2" x14ac:dyDescent="0.35">
      <c r="A181" t="s">
        <v>886</v>
      </c>
      <c r="B181">
        <v>11835</v>
      </c>
    </row>
    <row r="182" spans="1:2" x14ac:dyDescent="0.35">
      <c r="A182" t="s">
        <v>887</v>
      </c>
      <c r="B182">
        <v>7612.21</v>
      </c>
    </row>
    <row r="183" spans="1:2" x14ac:dyDescent="0.35">
      <c r="A183" t="s">
        <v>888</v>
      </c>
      <c r="B183">
        <v>4986.01</v>
      </c>
    </row>
    <row r="184" spans="1:2" x14ac:dyDescent="0.35">
      <c r="A184" t="s">
        <v>889</v>
      </c>
      <c r="B184">
        <v>3511.14</v>
      </c>
    </row>
    <row r="185" spans="1:2" x14ac:dyDescent="0.35">
      <c r="A185" t="s">
        <v>890</v>
      </c>
      <c r="B185">
        <v>2391.34</v>
      </c>
    </row>
    <row r="186" spans="1:2" x14ac:dyDescent="0.35">
      <c r="A186" t="s">
        <v>891</v>
      </c>
      <c r="B186">
        <v>1639.95</v>
      </c>
    </row>
    <row r="187" spans="1:2" x14ac:dyDescent="0.35">
      <c r="A187" t="s">
        <v>892</v>
      </c>
      <c r="B187">
        <v>1175.1500000000001</v>
      </c>
    </row>
    <row r="188" spans="1:2" x14ac:dyDescent="0.35">
      <c r="A188" t="s">
        <v>893</v>
      </c>
      <c r="B188">
        <v>848.48</v>
      </c>
    </row>
    <row r="189" spans="1:2" x14ac:dyDescent="0.35">
      <c r="A189" t="s">
        <v>894</v>
      </c>
      <c r="B189">
        <v>628.69899999999996</v>
      </c>
    </row>
    <row r="190" spans="1:2" x14ac:dyDescent="0.35">
      <c r="A190" t="s">
        <v>895</v>
      </c>
      <c r="B190">
        <v>484.57400000000001</v>
      </c>
    </row>
    <row r="191" spans="1:2" x14ac:dyDescent="0.35">
      <c r="A191" t="s">
        <v>896</v>
      </c>
      <c r="B191">
        <v>387.71899999999999</v>
      </c>
    </row>
    <row r="192" spans="1:2" x14ac:dyDescent="0.35">
      <c r="A192" t="s">
        <v>897</v>
      </c>
      <c r="B192">
        <v>316.81400000000002</v>
      </c>
    </row>
    <row r="193" spans="1:2" x14ac:dyDescent="0.35">
      <c r="A193" t="s">
        <v>898</v>
      </c>
      <c r="B193">
        <v>268.06</v>
      </c>
    </row>
    <row r="194" spans="1:2" x14ac:dyDescent="0.35">
      <c r="A194" t="s">
        <v>899</v>
      </c>
      <c r="B194">
        <v>228.035</v>
      </c>
    </row>
    <row r="195" spans="1:2" x14ac:dyDescent="0.35">
      <c r="A195" t="s">
        <v>900</v>
      </c>
      <c r="B195">
        <v>199.05500000000001</v>
      </c>
    </row>
    <row r="196" spans="1:2" x14ac:dyDescent="0.35">
      <c r="A196" t="s">
        <v>901</v>
      </c>
      <c r="B196">
        <v>169.779</v>
      </c>
    </row>
    <row r="197" spans="1:2" x14ac:dyDescent="0.35">
      <c r="A197" t="s">
        <v>902</v>
      </c>
      <c r="B197">
        <v>145.78800000000001</v>
      </c>
    </row>
    <row r="198" spans="1:2" x14ac:dyDescent="0.35">
      <c r="A198" t="s">
        <v>903</v>
      </c>
      <c r="B198">
        <v>119.718</v>
      </c>
    </row>
    <row r="199" spans="1:2" x14ac:dyDescent="0.35">
      <c r="A199" t="s">
        <v>904</v>
      </c>
      <c r="B199">
        <v>99.349599999999995</v>
      </c>
    </row>
    <row r="200" spans="1:2" x14ac:dyDescent="0.35">
      <c r="A200" t="s">
        <v>905</v>
      </c>
      <c r="B200">
        <v>82.247</v>
      </c>
    </row>
    <row r="201" spans="1:2" x14ac:dyDescent="0.35">
      <c r="A201" t="s">
        <v>906</v>
      </c>
      <c r="B201">
        <v>71.5578</v>
      </c>
    </row>
    <row r="202" spans="1:2" x14ac:dyDescent="0.35">
      <c r="A202" t="s">
        <v>907</v>
      </c>
      <c r="B202">
        <v>61.165599999999998</v>
      </c>
    </row>
    <row r="203" spans="1:2" x14ac:dyDescent="0.35">
      <c r="A203" t="s">
        <v>908</v>
      </c>
      <c r="B203">
        <v>48.160499999999999</v>
      </c>
    </row>
    <row r="204" spans="1:2" x14ac:dyDescent="0.35">
      <c r="A204" t="s">
        <v>909</v>
      </c>
      <c r="B204">
        <v>37.5901</v>
      </c>
    </row>
    <row r="205" spans="1:2" x14ac:dyDescent="0.35">
      <c r="A205" t="s">
        <v>910</v>
      </c>
      <c r="B205">
        <v>30.701599999999999</v>
      </c>
    </row>
    <row r="206" spans="1:2" x14ac:dyDescent="0.35">
      <c r="A206" t="s">
        <v>911</v>
      </c>
      <c r="B206">
        <v>24.050599999999999</v>
      </c>
    </row>
    <row r="207" spans="1:2" x14ac:dyDescent="0.35">
      <c r="A207" t="s">
        <v>912</v>
      </c>
      <c r="B207">
        <v>19.478000000000002</v>
      </c>
    </row>
    <row r="208" spans="1:2" x14ac:dyDescent="0.35">
      <c r="A208" t="s">
        <v>913</v>
      </c>
      <c r="B208">
        <v>5.4633399999999996</v>
      </c>
    </row>
    <row r="209" spans="1:2" x14ac:dyDescent="0.35">
      <c r="A209" t="s">
        <v>914</v>
      </c>
      <c r="B209">
        <v>1.1876800000000001</v>
      </c>
    </row>
    <row r="210" spans="1:2" x14ac:dyDescent="0.35">
      <c r="A210" t="s">
        <v>915</v>
      </c>
      <c r="B210">
        <v>0.35630499999999998</v>
      </c>
    </row>
    <row r="211" spans="1:2" x14ac:dyDescent="0.35">
      <c r="A211" t="s">
        <v>916</v>
      </c>
      <c r="B211">
        <v>0.35630499999999998</v>
      </c>
    </row>
    <row r="212" spans="1:2" x14ac:dyDescent="0.35">
      <c r="A212" t="s">
        <v>917</v>
      </c>
      <c r="B212">
        <v>0.35630499999999998</v>
      </c>
    </row>
    <row r="213" spans="1:2" x14ac:dyDescent="0.35">
      <c r="A213" t="s">
        <v>918</v>
      </c>
      <c r="B213">
        <v>11822.6</v>
      </c>
    </row>
    <row r="214" spans="1:2" x14ac:dyDescent="0.35">
      <c r="A214" t="s">
        <v>919</v>
      </c>
      <c r="B214">
        <v>7663.98</v>
      </c>
    </row>
    <row r="215" spans="1:2" x14ac:dyDescent="0.35">
      <c r="A215" t="s">
        <v>920</v>
      </c>
      <c r="B215">
        <v>4998.6499999999996</v>
      </c>
    </row>
    <row r="216" spans="1:2" x14ac:dyDescent="0.35">
      <c r="A216" t="s">
        <v>921</v>
      </c>
      <c r="B216">
        <v>3510.28</v>
      </c>
    </row>
    <row r="217" spans="1:2" x14ac:dyDescent="0.35">
      <c r="A217" t="s">
        <v>922</v>
      </c>
      <c r="B217">
        <v>2387.41</v>
      </c>
    </row>
    <row r="218" spans="1:2" x14ac:dyDescent="0.35">
      <c r="A218" t="s">
        <v>923</v>
      </c>
      <c r="B218">
        <v>1638.43</v>
      </c>
    </row>
    <row r="219" spans="1:2" x14ac:dyDescent="0.35">
      <c r="A219" t="s">
        <v>924</v>
      </c>
      <c r="B219">
        <v>1171.6600000000001</v>
      </c>
    </row>
    <row r="220" spans="1:2" x14ac:dyDescent="0.35">
      <c r="A220" t="s">
        <v>925</v>
      </c>
      <c r="B220">
        <v>848.81700000000001</v>
      </c>
    </row>
    <row r="221" spans="1:2" x14ac:dyDescent="0.35">
      <c r="A221" t="s">
        <v>926</v>
      </c>
      <c r="B221">
        <v>628.07399999999996</v>
      </c>
    </row>
    <row r="222" spans="1:2" x14ac:dyDescent="0.35">
      <c r="A222" t="s">
        <v>927</v>
      </c>
      <c r="B222">
        <v>484.74099999999999</v>
      </c>
    </row>
    <row r="223" spans="1:2" x14ac:dyDescent="0.35">
      <c r="A223" t="s">
        <v>928</v>
      </c>
      <c r="B223">
        <v>390.19600000000003</v>
      </c>
    </row>
    <row r="224" spans="1:2" x14ac:dyDescent="0.35">
      <c r="A224" t="s">
        <v>929</v>
      </c>
      <c r="B224">
        <v>314.45400000000001</v>
      </c>
    </row>
    <row r="225" spans="1:2" x14ac:dyDescent="0.35">
      <c r="A225" t="s">
        <v>930</v>
      </c>
      <c r="B225">
        <v>265.30700000000002</v>
      </c>
    </row>
    <row r="226" spans="1:2" x14ac:dyDescent="0.35">
      <c r="A226" t="s">
        <v>931</v>
      </c>
      <c r="B226">
        <v>222.11099999999999</v>
      </c>
    </row>
    <row r="227" spans="1:2" x14ac:dyDescent="0.35">
      <c r="A227" t="s">
        <v>932</v>
      </c>
      <c r="B227">
        <v>193.55099999999999</v>
      </c>
    </row>
    <row r="228" spans="1:2" x14ac:dyDescent="0.35">
      <c r="A228" t="s">
        <v>933</v>
      </c>
      <c r="B228">
        <v>166.3</v>
      </c>
    </row>
    <row r="229" spans="1:2" x14ac:dyDescent="0.35">
      <c r="A229" t="s">
        <v>934</v>
      </c>
      <c r="B229">
        <v>144.167</v>
      </c>
    </row>
    <row r="230" spans="1:2" x14ac:dyDescent="0.35">
      <c r="A230" t="s">
        <v>935</v>
      </c>
      <c r="B230">
        <v>115.191</v>
      </c>
    </row>
    <row r="231" spans="1:2" x14ac:dyDescent="0.35">
      <c r="A231" t="s">
        <v>936</v>
      </c>
      <c r="B231">
        <v>97.459800000000001</v>
      </c>
    </row>
    <row r="232" spans="1:2" x14ac:dyDescent="0.35">
      <c r="A232" t="s">
        <v>937</v>
      </c>
      <c r="B232">
        <v>82.287499999999994</v>
      </c>
    </row>
    <row r="233" spans="1:2" x14ac:dyDescent="0.35">
      <c r="A233" t="s">
        <v>938</v>
      </c>
      <c r="B233">
        <v>72.291600000000003</v>
      </c>
    </row>
    <row r="234" spans="1:2" x14ac:dyDescent="0.35">
      <c r="A234" t="s">
        <v>939</v>
      </c>
      <c r="B234">
        <v>59.796799999999998</v>
      </c>
    </row>
    <row r="235" spans="1:2" x14ac:dyDescent="0.35">
      <c r="A235" t="s">
        <v>940</v>
      </c>
      <c r="B235">
        <v>47.599400000000003</v>
      </c>
    </row>
    <row r="236" spans="1:2" x14ac:dyDescent="0.35">
      <c r="A236" t="s">
        <v>941</v>
      </c>
      <c r="B236">
        <v>37.067999999999998</v>
      </c>
    </row>
    <row r="237" spans="1:2" x14ac:dyDescent="0.35">
      <c r="A237" t="s">
        <v>942</v>
      </c>
      <c r="B237">
        <v>30.2851</v>
      </c>
    </row>
    <row r="238" spans="1:2" x14ac:dyDescent="0.35">
      <c r="A238" t="s">
        <v>943</v>
      </c>
      <c r="B238">
        <v>23.799700000000001</v>
      </c>
    </row>
    <row r="239" spans="1:2" x14ac:dyDescent="0.35">
      <c r="A239" t="s">
        <v>944</v>
      </c>
      <c r="B239">
        <v>19.932300000000001</v>
      </c>
    </row>
    <row r="240" spans="1:2" x14ac:dyDescent="0.35">
      <c r="A240" t="s">
        <v>945</v>
      </c>
      <c r="B240">
        <v>4.8789400000000001</v>
      </c>
    </row>
    <row r="241" spans="1:2" x14ac:dyDescent="0.35">
      <c r="A241" t="s">
        <v>946</v>
      </c>
      <c r="B241">
        <v>1.1899900000000001</v>
      </c>
    </row>
    <row r="242" spans="1:2" x14ac:dyDescent="0.35">
      <c r="A242" t="s">
        <v>947</v>
      </c>
      <c r="B242">
        <v>0.65449199999999996</v>
      </c>
    </row>
    <row r="243" spans="1:2" x14ac:dyDescent="0.35">
      <c r="A243" t="s">
        <v>948</v>
      </c>
      <c r="B243">
        <v>0.65449199999999996</v>
      </c>
    </row>
    <row r="244" spans="1:2" x14ac:dyDescent="0.35">
      <c r="A244" t="s">
        <v>949</v>
      </c>
      <c r="B244">
        <v>0.65449199999999996</v>
      </c>
    </row>
    <row r="245" spans="1:2" x14ac:dyDescent="0.35">
      <c r="A245" t="s">
        <v>950</v>
      </c>
      <c r="B245">
        <v>11813.2</v>
      </c>
    </row>
    <row r="246" spans="1:2" x14ac:dyDescent="0.35">
      <c r="A246" t="s">
        <v>951</v>
      </c>
      <c r="B246">
        <v>7564.6</v>
      </c>
    </row>
    <row r="247" spans="1:2" x14ac:dyDescent="0.35">
      <c r="A247" t="s">
        <v>952</v>
      </c>
      <c r="B247">
        <v>5016.18</v>
      </c>
    </row>
    <row r="248" spans="1:2" x14ac:dyDescent="0.35">
      <c r="A248" t="s">
        <v>953</v>
      </c>
      <c r="B248">
        <v>3528.2</v>
      </c>
    </row>
    <row r="249" spans="1:2" x14ac:dyDescent="0.35">
      <c r="A249" t="s">
        <v>954</v>
      </c>
      <c r="B249">
        <v>2407.15</v>
      </c>
    </row>
    <row r="250" spans="1:2" x14ac:dyDescent="0.35">
      <c r="A250" t="s">
        <v>955</v>
      </c>
      <c r="B250">
        <v>1633.19</v>
      </c>
    </row>
    <row r="251" spans="1:2" x14ac:dyDescent="0.35">
      <c r="A251" t="s">
        <v>956</v>
      </c>
      <c r="B251">
        <v>1169.05</v>
      </c>
    </row>
    <row r="252" spans="1:2" x14ac:dyDescent="0.35">
      <c r="A252" t="s">
        <v>957</v>
      </c>
      <c r="B252">
        <v>840.31100000000004</v>
      </c>
    </row>
    <row r="253" spans="1:2" x14ac:dyDescent="0.35">
      <c r="A253" t="s">
        <v>958</v>
      </c>
      <c r="B253">
        <v>619.05200000000002</v>
      </c>
    </row>
    <row r="254" spans="1:2" x14ac:dyDescent="0.35">
      <c r="A254" t="s">
        <v>959</v>
      </c>
      <c r="B254">
        <v>479.13200000000001</v>
      </c>
    </row>
    <row r="255" spans="1:2" x14ac:dyDescent="0.35">
      <c r="A255" t="s">
        <v>960</v>
      </c>
      <c r="B255">
        <v>382.584</v>
      </c>
    </row>
    <row r="256" spans="1:2" x14ac:dyDescent="0.35">
      <c r="A256" t="s">
        <v>961</v>
      </c>
      <c r="B256">
        <v>309.80799999999999</v>
      </c>
    </row>
    <row r="257" spans="1:2" x14ac:dyDescent="0.35">
      <c r="A257" t="s">
        <v>962</v>
      </c>
      <c r="B257">
        <v>260.464</v>
      </c>
    </row>
    <row r="258" spans="1:2" x14ac:dyDescent="0.35">
      <c r="A258" t="s">
        <v>963</v>
      </c>
      <c r="B258">
        <v>220.696</v>
      </c>
    </row>
    <row r="259" spans="1:2" x14ac:dyDescent="0.35">
      <c r="A259" t="s">
        <v>964</v>
      </c>
      <c r="B259">
        <v>186.786</v>
      </c>
    </row>
    <row r="260" spans="1:2" x14ac:dyDescent="0.35">
      <c r="A260" t="s">
        <v>965</v>
      </c>
      <c r="B260">
        <v>160.762</v>
      </c>
    </row>
    <row r="261" spans="1:2" x14ac:dyDescent="0.35">
      <c r="A261" t="s">
        <v>966</v>
      </c>
      <c r="B261">
        <v>135.63900000000001</v>
      </c>
    </row>
    <row r="262" spans="1:2" x14ac:dyDescent="0.35">
      <c r="A262" t="s">
        <v>967</v>
      </c>
      <c r="B262">
        <v>109.503</v>
      </c>
    </row>
    <row r="263" spans="1:2" x14ac:dyDescent="0.35">
      <c r="A263" t="s">
        <v>968</v>
      </c>
      <c r="B263">
        <v>92.604299999999995</v>
      </c>
    </row>
    <row r="264" spans="1:2" x14ac:dyDescent="0.35">
      <c r="A264" t="s">
        <v>969</v>
      </c>
      <c r="B264">
        <v>77.846199999999996</v>
      </c>
    </row>
    <row r="265" spans="1:2" x14ac:dyDescent="0.35">
      <c r="A265" t="s">
        <v>970</v>
      </c>
      <c r="B265">
        <v>66.017200000000003</v>
      </c>
    </row>
    <row r="266" spans="1:2" x14ac:dyDescent="0.35">
      <c r="A266" t="s">
        <v>971</v>
      </c>
      <c r="B266">
        <v>55.314799999999998</v>
      </c>
    </row>
    <row r="267" spans="1:2" x14ac:dyDescent="0.35">
      <c r="A267" t="s">
        <v>972</v>
      </c>
      <c r="B267">
        <v>44.161700000000003</v>
      </c>
    </row>
    <row r="268" spans="1:2" x14ac:dyDescent="0.35">
      <c r="A268" t="s">
        <v>973</v>
      </c>
      <c r="B268">
        <v>37.2896</v>
      </c>
    </row>
    <row r="269" spans="1:2" x14ac:dyDescent="0.35">
      <c r="A269" t="s">
        <v>974</v>
      </c>
      <c r="B269">
        <v>30.3048</v>
      </c>
    </row>
    <row r="270" spans="1:2" x14ac:dyDescent="0.35">
      <c r="A270" t="s">
        <v>975</v>
      </c>
      <c r="B270">
        <v>25.460599999999999</v>
      </c>
    </row>
    <row r="271" spans="1:2" x14ac:dyDescent="0.35">
      <c r="A271" t="s">
        <v>976</v>
      </c>
      <c r="B271">
        <v>21.0669</v>
      </c>
    </row>
    <row r="272" spans="1:2" x14ac:dyDescent="0.35">
      <c r="A272" t="s">
        <v>977</v>
      </c>
      <c r="B272">
        <v>3.9430100000000001</v>
      </c>
    </row>
    <row r="273" spans="1:2" x14ac:dyDescent="0.35">
      <c r="A273" t="s">
        <v>978</v>
      </c>
      <c r="B273">
        <v>0.788601</v>
      </c>
    </row>
    <row r="274" spans="1:2" x14ac:dyDescent="0.35">
      <c r="A274" t="s">
        <v>979</v>
      </c>
      <c r="B274">
        <v>0.10962</v>
      </c>
    </row>
    <row r="275" spans="1:2" x14ac:dyDescent="0.35">
      <c r="A275" t="s">
        <v>980</v>
      </c>
      <c r="B275">
        <v>0.10962</v>
      </c>
    </row>
    <row r="276" spans="1:2" x14ac:dyDescent="0.35">
      <c r="A276" t="s">
        <v>981</v>
      </c>
      <c r="B276">
        <v>0.10962</v>
      </c>
    </row>
    <row r="277" spans="1:2" x14ac:dyDescent="0.35">
      <c r="A277" t="s">
        <v>982</v>
      </c>
    </row>
    <row r="278" spans="1:2" x14ac:dyDescent="0.35">
      <c r="A278" t="s">
        <v>983</v>
      </c>
      <c r="B278">
        <v>27</v>
      </c>
    </row>
    <row r="279" spans="1:2" x14ac:dyDescent="0.35">
      <c r="A279" t="s">
        <v>984</v>
      </c>
      <c r="B279">
        <v>312</v>
      </c>
    </row>
    <row r="280" spans="1:2" x14ac:dyDescent="0.35">
      <c r="A280" t="s">
        <v>985</v>
      </c>
      <c r="B280">
        <v>12311</v>
      </c>
    </row>
    <row r="281" spans="1:2" x14ac:dyDescent="0.35">
      <c r="A281" t="s">
        <v>986</v>
      </c>
      <c r="B281">
        <v>30</v>
      </c>
    </row>
    <row r="282" spans="1:2" x14ac:dyDescent="0.35">
      <c r="A282" t="s">
        <v>987</v>
      </c>
    </row>
    <row r="283" spans="1:2" x14ac:dyDescent="0.35">
      <c r="A283" t="s">
        <v>988</v>
      </c>
      <c r="B283">
        <v>46162.6</v>
      </c>
    </row>
    <row r="284" spans="1:2" x14ac:dyDescent="0.35">
      <c r="A284" t="s">
        <v>989</v>
      </c>
      <c r="B284">
        <v>63010059</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63010059</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63010059</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1002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63010059</v>
      </c>
      <c r="F119" s="335">
        <f t="shared" si="5"/>
        <v>4</v>
      </c>
      <c r="G119" s="377">
        <v>21</v>
      </c>
      <c r="H119" s="354">
        <f>'Auto-Calibration record'!$E$65</f>
        <v>2036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2900</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8260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13176</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16046</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63010059</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63010059</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63010059</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72</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176</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1002</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2036</v>
      </c>
      <c r="H164" s="491"/>
    </row>
    <row r="165" spans="1:18" x14ac:dyDescent="0.35">
      <c r="A165" s="219" t="b">
        <v>0</v>
      </c>
      <c r="B165" s="203">
        <f t="shared" si="3"/>
        <v>167</v>
      </c>
      <c r="C165" s="228" t="s">
        <v>358</v>
      </c>
      <c r="D165" s="270"/>
      <c r="E165" s="204">
        <v>5</v>
      </c>
      <c r="F165" s="204">
        <v>25</v>
      </c>
      <c r="G165" s="490">
        <f>'Auto-Calibration record'!F65</f>
        <v>2900</v>
      </c>
      <c r="H165" s="491"/>
    </row>
    <row r="166" spans="1:18" x14ac:dyDescent="0.35">
      <c r="A166" s="219" t="b">
        <v>0</v>
      </c>
      <c r="B166" s="203">
        <f t="shared" si="3"/>
        <v>168</v>
      </c>
      <c r="C166" s="228" t="s">
        <v>359</v>
      </c>
      <c r="D166" s="273"/>
      <c r="E166" s="204">
        <v>6</v>
      </c>
      <c r="F166" s="204">
        <v>38</v>
      </c>
      <c r="G166" s="490">
        <f>'Auto-Calibration record'!G65</f>
        <v>8260</v>
      </c>
      <c r="H166" s="491"/>
    </row>
    <row r="167" spans="1:18" x14ac:dyDescent="0.35">
      <c r="A167" s="219" t="b">
        <v>0</v>
      </c>
      <c r="B167" s="203">
        <f t="shared" si="3"/>
        <v>169</v>
      </c>
      <c r="C167" s="279" t="s">
        <v>360</v>
      </c>
      <c r="D167" s="273"/>
      <c r="E167" s="204">
        <v>7</v>
      </c>
      <c r="F167" s="204">
        <v>50</v>
      </c>
      <c r="G167" s="490">
        <f>'Auto-Calibration record'!H65</f>
        <v>13176</v>
      </c>
      <c r="H167" s="491"/>
    </row>
    <row r="168" spans="1:18" x14ac:dyDescent="0.35">
      <c r="A168" s="219" t="b">
        <v>0</v>
      </c>
      <c r="B168" s="203">
        <f t="shared" si="3"/>
        <v>170</v>
      </c>
      <c r="C168" s="228" t="s">
        <v>361</v>
      </c>
      <c r="D168" s="273"/>
      <c r="E168" s="204">
        <v>8</v>
      </c>
      <c r="F168" s="204">
        <v>70</v>
      </c>
      <c r="G168" s="490">
        <f>'Auto-Calibration record'!I65</f>
        <v>16046</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63010059</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63010059</v>
      </c>
      <c r="K30" s="166">
        <f>AUTO!B5</f>
        <v>1072</v>
      </c>
      <c r="L30" s="166">
        <f>AUTO!B6</f>
        <v>0</v>
      </c>
      <c r="M30" s="310" t="str">
        <f>AUTO!B7</f>
        <v>LPA3 NAVAIR #63010059 CALIBRATE</v>
      </c>
      <c r="N30" s="309">
        <f>AUTO!B8</f>
        <v>72</v>
      </c>
      <c r="O30" s="309">
        <f>AUTO!B9</f>
        <v>176</v>
      </c>
      <c r="P30" s="309">
        <f>AUTO!B10</f>
        <v>1002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27</v>
      </c>
      <c r="C7" s="391" t="s">
        <v>519</v>
      </c>
      <c r="D7" s="392" t="s">
        <v>520</v>
      </c>
      <c r="E7" s="391"/>
      <c r="F7" s="183"/>
      <c r="G7" s="183"/>
      <c r="H7" s="183"/>
      <c r="I7" s="183"/>
      <c r="J7" s="183"/>
      <c r="K7" s="183"/>
      <c r="L7" s="183"/>
      <c r="M7" s="183"/>
    </row>
    <row r="8" spans="2:13" x14ac:dyDescent="0.35">
      <c r="B8" s="390">
        <f>VLOOKUP("pump_current_emptying",AUTO!$A$1:$B$1051,2,FALSE)</f>
        <v>312</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30</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12311</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63010059</v>
      </c>
      <c r="I15" s="526"/>
      <c r="J15" s="527"/>
      <c r="K15" s="183"/>
      <c r="L15" s="183"/>
      <c r="M15" s="183"/>
    </row>
    <row r="16" spans="2:13" ht="13.15" x14ac:dyDescent="0.35">
      <c r="B16" s="182"/>
      <c r="C16" s="174"/>
      <c r="D16" s="398"/>
      <c r="E16" s="399"/>
      <c r="F16" s="183"/>
      <c r="G16" s="181" t="s">
        <v>236</v>
      </c>
      <c r="H16" s="522">
        <f>VLOOKUP("date_",AUTO!$A$1:$B$1051,2,FALSE)</f>
        <v>46162.6</v>
      </c>
      <c r="I16" s="523"/>
      <c r="J16" s="524"/>
      <c r="K16" s="183"/>
      <c r="L16" s="183"/>
      <c r="M16" s="183"/>
    </row>
    <row r="17" spans="2:10" ht="13.15" x14ac:dyDescent="0.35">
      <c r="B17" s="390"/>
      <c r="C17" s="402"/>
      <c r="D17" s="180"/>
      <c r="E17" s="403"/>
      <c r="F17" s="183"/>
      <c r="G17" s="181" t="s">
        <v>534</v>
      </c>
      <c r="H17" s="525" t="str">
        <f>H15&amp;" "&amp;TEXT(H16,"ddmmyy")</f>
        <v>63010059 200526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176</v>
      </c>
      <c r="D65" s="196">
        <f>VLOOKUP("threshold2",AUTO!$A$1:$B$1051,2,FALSE)</f>
        <v>1002</v>
      </c>
      <c r="E65" s="196">
        <f>VLOOKUP("threshold3",AUTO!$A$1:$B$1051,2,FALSE)</f>
        <v>2036</v>
      </c>
      <c r="F65" s="196">
        <f>VLOOKUP("threshold4",AUTO!$A$1:$B$1051,2,FALSE)</f>
        <v>2900</v>
      </c>
      <c r="G65" s="196">
        <f>VLOOKUP("threshold5",AUTO!$A$1:$B$1051,2,FALSE)</f>
        <v>8260</v>
      </c>
      <c r="H65" s="196">
        <f>VLOOKUP("threshold6",AUTO!$A$1:$B$1051,2,FALSE)</f>
        <v>13176</v>
      </c>
      <c r="I65" s="196">
        <f>VLOOKUP("threshold7",AUTO!$A$1:$B$1051,2,FALSE)</f>
        <v>16046</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1181320</v>
      </c>
      <c r="C68" s="390">
        <f>VLOOKUP("verification_count_1_0",AUTO!$A$1:$B$1051,2,FALSE)</f>
        <v>1177397</v>
      </c>
      <c r="D68" s="156">
        <f>(C68-B68)/B68</f>
        <v>-3.3208614092709852E-3</v>
      </c>
      <c r="E68" s="390">
        <f>VLOOKUP("verification_count_2_0",AUTO!$A$1:$B$1051,2,FALSE)</f>
        <v>1183501</v>
      </c>
      <c r="F68" s="156">
        <f>(E68-B68)/B68</f>
        <v>1.8462397995462703E-3</v>
      </c>
      <c r="G68" s="390">
        <f>VLOOKUP("verification_count_3_0",AUTO!$A$1:$B$1051,2,FALSE)</f>
        <v>1182262</v>
      </c>
      <c r="H68" s="156">
        <f>(G68-B68)/B68</f>
        <v>7.9741306335285949E-4</v>
      </c>
      <c r="I68" s="329">
        <f>(C68+E68+G68)/3</f>
        <v>1181053.3333333333</v>
      </c>
      <c r="J68" s="156">
        <f>(I68-$B68)/$B68</f>
        <v>-2.2573618212401743E-4</v>
      </c>
    </row>
    <row r="69" spans="1:10" ht="18" customHeight="1" x14ac:dyDescent="0.35">
      <c r="A69" s="139">
        <v>6</v>
      </c>
      <c r="B69" s="163">
        <f>VLOOKUP("reference_count_1",AUTO!$A$1:$B$1051,2,FALSE)</f>
        <v>501618</v>
      </c>
      <c r="C69" s="390">
        <f>VLOOKUP("verification_count_1_1",AUTO!$A$1:$B$1051,2,FALSE)</f>
        <v>496450</v>
      </c>
      <c r="D69" s="156">
        <f t="shared" ref="D69:D76" si="0">(C69-B69)/B69</f>
        <v>-1.0302660590329693E-2</v>
      </c>
      <c r="E69" s="390">
        <f>VLOOKUP("verification_count_2_1",AUTO!$A$1:$B$1051,2,FALSE)</f>
        <v>498600</v>
      </c>
      <c r="F69" s="156">
        <f t="shared" ref="F69:F76" si="1">(E69-B69)/B69</f>
        <v>-6.0165305072784466E-3</v>
      </c>
      <c r="G69" s="390">
        <f>VLOOKUP("verification_count_3_1",AUTO!$A$1:$B$1051,2,FALSE)</f>
        <v>499865</v>
      </c>
      <c r="H69" s="156">
        <f t="shared" ref="H69:H76" si="2">(G69-B69)/B69</f>
        <v>-3.494691179343644E-3</v>
      </c>
      <c r="I69" s="329">
        <f t="shared" ref="I69:I76" si="3">(C69+E69+G69)/3</f>
        <v>498305</v>
      </c>
      <c r="J69" s="156">
        <f t="shared" ref="J69:J76" si="4">(I69-$B69)/$B69</f>
        <v>-6.6046274256505947E-3</v>
      </c>
    </row>
    <row r="70" spans="1:10" ht="18" customHeight="1" x14ac:dyDescent="0.35">
      <c r="A70" s="139">
        <v>10</v>
      </c>
      <c r="B70" s="163">
        <f>VLOOKUP("reference_count32_6",AUTO!$A$1:$B$1051,2,FALSE)*100</f>
        <v>116905</v>
      </c>
      <c r="C70" s="430">
        <f>VLOOKUP("verification_count32_1_6",AUTO!$A$1:$B$1051,2,FALSE)*100</f>
        <v>115739.00000000001</v>
      </c>
      <c r="D70" s="156">
        <f t="shared" si="0"/>
        <v>-9.9739104401008125E-3</v>
      </c>
      <c r="E70" s="430">
        <f>VLOOKUP("verification_count32_2_6",AUTO!$A$1:$B$1051,2,FALSE)*100</f>
        <v>117515.00000000001</v>
      </c>
      <c r="F70" s="156">
        <f t="shared" si="1"/>
        <v>5.217911979812793E-3</v>
      </c>
      <c r="G70" s="430">
        <f>VLOOKUP("verification_count32_3_6",AUTO!$A$1:$B$1051,2,FALSE)*100</f>
        <v>117166.00000000001</v>
      </c>
      <c r="H70" s="156">
        <f t="shared" si="2"/>
        <v>2.2325820110347251E-3</v>
      </c>
      <c r="I70" s="329">
        <f t="shared" si="3"/>
        <v>116806.66666666669</v>
      </c>
      <c r="J70" s="156">
        <f t="shared" si="4"/>
        <v>-8.411388164177232E-4</v>
      </c>
    </row>
    <row r="71" spans="1:10" ht="18" customHeight="1" x14ac:dyDescent="0.35">
      <c r="A71" s="139">
        <v>14</v>
      </c>
      <c r="B71" s="163">
        <f>VLOOKUP("reference_count_2",AUTO!$A$1:$B$1051,2,FALSE)</f>
        <v>38258.400000000001</v>
      </c>
      <c r="C71" s="390">
        <f>VLOOKUP("verification_count_1_2",AUTO!$A$1:$B$1051,2,FALSE)</f>
        <v>37139</v>
      </c>
      <c r="D71" s="156">
        <f t="shared" si="0"/>
        <v>-2.9258933985739116E-2</v>
      </c>
      <c r="E71" s="390">
        <f>VLOOKUP("verification_count_2_2",AUTO!$A$1:$B$1051,2,FALSE)</f>
        <v>38771</v>
      </c>
      <c r="F71" s="156">
        <f t="shared" si="1"/>
        <v>1.3398364803546373E-2</v>
      </c>
      <c r="G71" s="390">
        <f>VLOOKUP("verification_count_3_2",AUTO!$A$1:$B$1051,2,FALSE)</f>
        <v>39019</v>
      </c>
      <c r="H71" s="156">
        <f t="shared" si="2"/>
        <v>1.9880601384271127E-2</v>
      </c>
      <c r="I71" s="329">
        <f t="shared" si="3"/>
        <v>38309.666666666664</v>
      </c>
      <c r="J71" s="156">
        <f t="shared" si="4"/>
        <v>1.3400107340260645E-3</v>
      </c>
    </row>
    <row r="72" spans="1:10" ht="18" customHeight="1" x14ac:dyDescent="0.35">
      <c r="A72" s="139">
        <v>21</v>
      </c>
      <c r="B72" s="163">
        <f>VLOOKUP("reference_count_3",AUTO!$A$1:$B$1051,2,FALSE)</f>
        <v>10950.3</v>
      </c>
      <c r="C72" s="390">
        <f>VLOOKUP("verification_count_1_3",AUTO!$A$1:$B$1051,2,FALSE)</f>
        <v>11505</v>
      </c>
      <c r="D72" s="156">
        <f t="shared" si="0"/>
        <v>5.0656146406947822E-2</v>
      </c>
      <c r="E72" s="390">
        <f>VLOOKUP("verification_count_2_3",AUTO!$A$1:$B$1051,2,FALSE)</f>
        <v>11971</v>
      </c>
      <c r="F72" s="156">
        <f t="shared" si="1"/>
        <v>9.3212058117129279E-2</v>
      </c>
      <c r="G72" s="390">
        <f>VLOOKUP("verification_count_3_3",AUTO!$A$1:$B$1051,2,FALSE)</f>
        <v>11519</v>
      </c>
      <c r="H72" s="156">
        <f t="shared" si="2"/>
        <v>5.1934650192232243E-2</v>
      </c>
      <c r="I72" s="329">
        <f t="shared" si="3"/>
        <v>11665</v>
      </c>
      <c r="J72" s="156">
        <f t="shared" si="4"/>
        <v>6.5267618238769781E-2</v>
      </c>
    </row>
    <row r="73" spans="1:10" ht="18" customHeight="1" x14ac:dyDescent="0.35">
      <c r="A73" s="139">
        <v>25</v>
      </c>
      <c r="B73" s="163">
        <f>VLOOKUP("reference_count_4",AUTO!$A$1:$B$1051,2,FALSE)</f>
        <v>5531.48</v>
      </c>
      <c r="C73" s="390">
        <f>VLOOKUP("verification_count_1_4",AUTO!$A$1:$B$1051,2,FALSE)</f>
        <v>5924</v>
      </c>
      <c r="D73" s="156">
        <f t="shared" si="0"/>
        <v>7.0961117097051871E-2</v>
      </c>
      <c r="E73" s="390">
        <f>VLOOKUP("verification_count_2_4",AUTO!$A$1:$B$1051,2,FALSE)</f>
        <v>6116</v>
      </c>
      <c r="F73" s="156">
        <f t="shared" si="1"/>
        <v>0.10567153817784761</v>
      </c>
      <c r="G73" s="390">
        <f>VLOOKUP("verification_count_3_4",AUTO!$A$1:$B$1051,2,FALSE)</f>
        <v>5979</v>
      </c>
      <c r="H73" s="156">
        <f t="shared" si="2"/>
        <v>8.0904206469154819E-2</v>
      </c>
      <c r="I73" s="329">
        <f t="shared" si="3"/>
        <v>6006.333333333333</v>
      </c>
      <c r="J73" s="156">
        <f t="shared" si="4"/>
        <v>8.5845620581351381E-2</v>
      </c>
    </row>
    <row r="74" spans="1:10" ht="18" customHeight="1" x14ac:dyDescent="0.35">
      <c r="A74" s="139">
        <v>38</v>
      </c>
      <c r="B74" s="163">
        <f>VLOOKUP("reference_count_5",AUTO!$A$1:$B$1051,2,FALSE)</f>
        <v>394.30099999999999</v>
      </c>
      <c r="C74" s="390">
        <f>VLOOKUP("verification_count_1_5",AUTO!$A$1:$B$1051,2,FALSE)</f>
        <v>397</v>
      </c>
      <c r="D74" s="156">
        <f t="shared" si="0"/>
        <v>6.8450244863695817E-3</v>
      </c>
      <c r="E74" s="390">
        <f>VLOOKUP("verification_count_2_5",AUTO!$A$1:$B$1051,2,FALSE)</f>
        <v>546</v>
      </c>
      <c r="F74" s="156">
        <f t="shared" si="1"/>
        <v>0.3847289253641254</v>
      </c>
      <c r="G74" s="390">
        <f>VLOOKUP("verification_count_3_5",AUTO!$A$1:$B$1051,2,FALSE)</f>
        <v>487</v>
      </c>
      <c r="H74" s="156">
        <f t="shared" si="2"/>
        <v>0.23509704515078586</v>
      </c>
      <c r="I74" s="329">
        <f t="shared" si="3"/>
        <v>476.66666666666669</v>
      </c>
      <c r="J74" s="156">
        <f t="shared" si="4"/>
        <v>0.20889033166709367</v>
      </c>
    </row>
    <row r="75" spans="1:10" ht="18" customHeight="1" x14ac:dyDescent="0.35">
      <c r="A75" s="139">
        <v>50</v>
      </c>
      <c r="B75" s="163">
        <f>VLOOKUP("reference_count_6",AUTO!$A$1:$B$1051,2,FALSE)</f>
        <v>78.860100000000003</v>
      </c>
      <c r="C75" s="390">
        <f>VLOOKUP("verification_count_1_6",AUTO!$A$1:$B$1051,2,FALSE)</f>
        <v>89</v>
      </c>
      <c r="D75" s="156">
        <f t="shared" si="0"/>
        <v>0.12858086662329868</v>
      </c>
      <c r="E75" s="390">
        <f>VLOOKUP("verification_count_2_6",AUTO!$A$1:$B$1051,2,FALSE)</f>
        <v>118</v>
      </c>
      <c r="F75" s="156">
        <f t="shared" si="1"/>
        <v>0.49632069956796904</v>
      </c>
      <c r="G75" s="390">
        <f>VLOOKUP("verification_count_3_6",AUTO!$A$1:$B$1051,2,FALSE)</f>
        <v>118</v>
      </c>
      <c r="H75" s="156">
        <f t="shared" si="2"/>
        <v>0.49632069956796904</v>
      </c>
      <c r="I75" s="329">
        <f t="shared" si="3"/>
        <v>108.33333333333333</v>
      </c>
      <c r="J75" s="156">
        <f t="shared" si="4"/>
        <v>0.37374075525307887</v>
      </c>
    </row>
    <row r="76" spans="1:10" ht="18" customHeight="1" x14ac:dyDescent="0.35">
      <c r="A76" s="139">
        <v>70</v>
      </c>
      <c r="B76" s="163">
        <f>VLOOKUP("reference_count_7",AUTO!$A$1:$B$1051,2,FALSE)</f>
        <v>10.962</v>
      </c>
      <c r="C76" s="390">
        <f>VLOOKUP("verification_count_1_7",AUTO!$A$1:$B$1051,2,FALSE)</f>
        <v>35</v>
      </c>
      <c r="D76" s="156">
        <f t="shared" si="0"/>
        <v>2.1928480204342273</v>
      </c>
      <c r="E76" s="390">
        <f>VLOOKUP("verification_count_2_7",AUTO!$A$1:$B$1051,2,FALSE)</f>
        <v>35</v>
      </c>
      <c r="F76" s="156">
        <f t="shared" si="1"/>
        <v>2.1928480204342273</v>
      </c>
      <c r="G76" s="390">
        <f>VLOOKUP("verification_count_3_7",AUTO!$A$1:$B$1051,2,FALSE)</f>
        <v>65</v>
      </c>
      <c r="H76" s="156">
        <f t="shared" si="2"/>
        <v>4.9295748950921361</v>
      </c>
      <c r="I76" s="329">
        <f t="shared" si="3"/>
        <v>45</v>
      </c>
      <c r="J76" s="156">
        <f t="shared" si="4"/>
        <v>3.1050903119868636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63010059</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1181320</v>
      </c>
      <c r="I28" s="536"/>
      <c r="J28" s="159">
        <f>'Auto-Calibration record'!I68</f>
        <v>1181053.3333333333</v>
      </c>
      <c r="K28" s="159">
        <f t="shared" ref="K28:K33" si="0">J28-H28</f>
        <v>-266.66666666674428</v>
      </c>
      <c r="L28" s="379">
        <f t="shared" ref="L28:L33" si="1">K28/H28</f>
        <v>-2.2573618212401743E-4</v>
      </c>
    </row>
    <row r="29" spans="2:15" s="108" customFormat="1" ht="25.9" customHeight="1" x14ac:dyDescent="0.35">
      <c r="D29" s="553" t="s">
        <v>591</v>
      </c>
      <c r="E29" s="553"/>
      <c r="F29" s="541">
        <f>'Auto-Calibration record'!C65</f>
        <v>176</v>
      </c>
      <c r="G29" s="541"/>
      <c r="H29" s="536">
        <f>'Auto-Calibration record'!B69</f>
        <v>501618</v>
      </c>
      <c r="I29" s="536"/>
      <c r="J29" s="159">
        <f>'Auto-Calibration record'!I69</f>
        <v>498305</v>
      </c>
      <c r="K29" s="159">
        <f t="shared" si="0"/>
        <v>-3313</v>
      </c>
      <c r="L29" s="379">
        <f t="shared" si="1"/>
        <v>-6.6046274256505947E-3</v>
      </c>
    </row>
    <row r="30" spans="2:15" s="108" customFormat="1" ht="25.9" customHeight="1" x14ac:dyDescent="0.35">
      <c r="D30" s="553" t="s">
        <v>592</v>
      </c>
      <c r="E30" s="553"/>
      <c r="F30" s="541">
        <f>'Auto-Calibration record'!D65</f>
        <v>1002</v>
      </c>
      <c r="G30" s="541"/>
      <c r="H30" s="536">
        <f>'Auto-Calibration record'!B71</f>
        <v>38258.400000000001</v>
      </c>
      <c r="I30" s="536"/>
      <c r="J30" s="159">
        <f>'Auto-Calibration record'!I71</f>
        <v>38309.666666666664</v>
      </c>
      <c r="K30" s="159">
        <f t="shared" si="0"/>
        <v>51.266666666662786</v>
      </c>
      <c r="L30" s="379">
        <f t="shared" si="1"/>
        <v>1.3400107340260645E-3</v>
      </c>
    </row>
    <row r="31" spans="2:15" s="108" customFormat="1" ht="25.9" customHeight="1" x14ac:dyDescent="0.35">
      <c r="D31" s="553" t="s">
        <v>593</v>
      </c>
      <c r="E31" s="553"/>
      <c r="F31" s="541">
        <f>'Auto-Calibration record'!E65</f>
        <v>2036</v>
      </c>
      <c r="G31" s="541"/>
      <c r="H31" s="536">
        <f>'Auto-Calibration record'!B72</f>
        <v>10950.3</v>
      </c>
      <c r="I31" s="536"/>
      <c r="J31" s="159">
        <f>'Auto-Calibration record'!I72</f>
        <v>11665</v>
      </c>
      <c r="K31" s="159">
        <f t="shared" si="0"/>
        <v>714.70000000000073</v>
      </c>
      <c r="L31" s="379">
        <f t="shared" si="1"/>
        <v>6.5267618238769781E-2</v>
      </c>
    </row>
    <row r="32" spans="2:15" s="108" customFormat="1" ht="25.9" customHeight="1" x14ac:dyDescent="0.35">
      <c r="D32" s="553" t="s">
        <v>594</v>
      </c>
      <c r="E32" s="553"/>
      <c r="F32" s="541">
        <f>'Auto-Calibration record'!F65</f>
        <v>2900</v>
      </c>
      <c r="G32" s="541"/>
      <c r="H32" s="536">
        <f>'Auto-Calibration record'!B73</f>
        <v>5531.48</v>
      </c>
      <c r="I32" s="536"/>
      <c r="J32" s="159">
        <f>'Auto-Calibration record'!I73</f>
        <v>6006.333333333333</v>
      </c>
      <c r="K32" s="159">
        <f t="shared" si="0"/>
        <v>474.85333333333347</v>
      </c>
      <c r="L32" s="379">
        <f t="shared" si="1"/>
        <v>8.5845620581351381E-2</v>
      </c>
    </row>
    <row r="33" spans="2:12" s="108" customFormat="1" ht="25.9" customHeight="1" x14ac:dyDescent="0.35">
      <c r="D33" s="553" t="s">
        <v>595</v>
      </c>
      <c r="E33" s="553"/>
      <c r="F33" s="541">
        <f>'Auto-Calibration record'!G65</f>
        <v>8260</v>
      </c>
      <c r="G33" s="541"/>
      <c r="H33" s="536">
        <f>'Auto-Calibration record'!B74</f>
        <v>394.30099999999999</v>
      </c>
      <c r="I33" s="536"/>
      <c r="J33" s="159">
        <f>'Auto-Calibration record'!I74</f>
        <v>476.66666666666669</v>
      </c>
      <c r="K33" s="159">
        <f t="shared" si="0"/>
        <v>82.365666666666698</v>
      </c>
      <c r="L33" s="379">
        <f t="shared" si="1"/>
        <v>0.20889033166709367</v>
      </c>
    </row>
    <row r="34" spans="2:12" s="108" customFormat="1" ht="25.9" customHeight="1" x14ac:dyDescent="0.35">
      <c r="D34" s="553" t="s">
        <v>596</v>
      </c>
      <c r="E34" s="553"/>
      <c r="F34" s="541">
        <f>'Auto-Calibration record'!H65</f>
        <v>13176</v>
      </c>
      <c r="G34" s="541"/>
      <c r="H34" s="536">
        <f>'Auto-Calibration record'!B75</f>
        <v>78.860100000000003</v>
      </c>
      <c r="I34" s="536"/>
      <c r="J34" s="159">
        <f>'Auto-Calibration record'!I75</f>
        <v>108.33333333333333</v>
      </c>
      <c r="K34" s="159" t="s">
        <v>23</v>
      </c>
      <c r="L34" s="112" t="s">
        <v>23</v>
      </c>
    </row>
    <row r="35" spans="2:12" s="102" customFormat="1" ht="25.9" customHeight="1" x14ac:dyDescent="0.45">
      <c r="D35" s="553" t="s">
        <v>597</v>
      </c>
      <c r="E35" s="553"/>
      <c r="F35" s="549">
        <f>'Auto-Calibration record'!I65</f>
        <v>16046</v>
      </c>
      <c r="G35" s="549"/>
      <c r="H35" s="536">
        <f>'Auto-Calibration record'!B76</f>
        <v>10.962</v>
      </c>
      <c r="I35" s="536"/>
      <c r="J35" s="380">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30</v>
      </c>
      <c r="E40" s="536">
        <f>F28-D40</f>
        <v>42</v>
      </c>
      <c r="F40" s="536"/>
      <c r="G40" s="545">
        <f>F28/D40</f>
        <v>2.4</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062810059</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062810059</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46162.6</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062810059</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30</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72</v>
      </c>
      <c r="D57" s="577">
        <f>'Auto-Calibration record'!B68</f>
        <v>1181320</v>
      </c>
      <c r="E57" s="578"/>
      <c r="F57" s="160">
        <f>'Auto-Calibration record'!I68</f>
        <v>1181053.3333333333</v>
      </c>
      <c r="G57" s="145">
        <f t="shared" ref="G57:G62" si="0">F57-D57</f>
        <v>-266.66666666674428</v>
      </c>
      <c r="H57" s="147">
        <f t="shared" ref="H57:H62" si="1">G57/D57</f>
        <v>-2.2573618212401743E-4</v>
      </c>
      <c r="I57" s="81"/>
    </row>
    <row r="58" spans="1:10" s="59" customFormat="1" x14ac:dyDescent="0.35">
      <c r="A58" s="2"/>
      <c r="B58" s="146">
        <v>6</v>
      </c>
      <c r="C58" s="145">
        <f>'Auto-Calibration record'!C65</f>
        <v>176</v>
      </c>
      <c r="D58" s="577">
        <f>'Auto-Calibration record'!B69</f>
        <v>501618</v>
      </c>
      <c r="E58" s="578"/>
      <c r="F58" s="160">
        <f>'Auto-Calibration record'!I69</f>
        <v>498305</v>
      </c>
      <c r="G58" s="145">
        <f t="shared" si="0"/>
        <v>-3313</v>
      </c>
      <c r="H58" s="147">
        <f t="shared" si="1"/>
        <v>-6.6046274256505947E-3</v>
      </c>
      <c r="I58" s="81"/>
    </row>
    <row r="59" spans="1:10" x14ac:dyDescent="0.35">
      <c r="B59" s="146">
        <v>14</v>
      </c>
      <c r="C59" s="145">
        <f>'Auto-Calibration record'!D65</f>
        <v>1002</v>
      </c>
      <c r="D59" s="577">
        <f>'Auto-Calibration record'!B71</f>
        <v>38258.400000000001</v>
      </c>
      <c r="E59" s="578"/>
      <c r="F59" s="160">
        <f>'Auto-Calibration record'!I71</f>
        <v>38309.666666666664</v>
      </c>
      <c r="G59" s="145">
        <f t="shared" si="0"/>
        <v>51.266666666662786</v>
      </c>
      <c r="H59" s="147">
        <f t="shared" si="1"/>
        <v>1.3400107340260645E-3</v>
      </c>
      <c r="I59" s="81"/>
    </row>
    <row r="60" spans="1:10" x14ac:dyDescent="0.35">
      <c r="A60" s="59"/>
      <c r="B60" s="146">
        <v>21</v>
      </c>
      <c r="C60" s="145">
        <f>'Auto-Calibration record'!E65</f>
        <v>2036</v>
      </c>
      <c r="D60" s="577">
        <f>'Auto-Calibration record'!B72</f>
        <v>10950.3</v>
      </c>
      <c r="E60" s="578"/>
      <c r="F60" s="160">
        <f>'Auto-Calibration record'!I72</f>
        <v>11665</v>
      </c>
      <c r="G60" s="145">
        <f t="shared" si="0"/>
        <v>714.70000000000073</v>
      </c>
      <c r="H60" s="147">
        <f t="shared" si="1"/>
        <v>6.5267618238769781E-2</v>
      </c>
      <c r="I60" s="81"/>
    </row>
    <row r="61" spans="1:10" x14ac:dyDescent="0.35">
      <c r="B61" s="146">
        <v>25</v>
      </c>
      <c r="C61" s="145">
        <f>'Auto-Calibration record'!F65</f>
        <v>2900</v>
      </c>
      <c r="D61" s="577">
        <f>'Auto-Calibration record'!B73</f>
        <v>5531.48</v>
      </c>
      <c r="E61" s="578"/>
      <c r="F61" s="160">
        <f>'Auto-Calibration record'!I73</f>
        <v>6006.333333333333</v>
      </c>
      <c r="G61" s="145">
        <f t="shared" si="0"/>
        <v>474.85333333333347</v>
      </c>
      <c r="H61" s="147">
        <f t="shared" si="1"/>
        <v>8.5845620581351381E-2</v>
      </c>
      <c r="I61" s="81"/>
    </row>
    <row r="62" spans="1:10" x14ac:dyDescent="0.35">
      <c r="A62" s="2"/>
      <c r="B62" s="146">
        <v>38</v>
      </c>
      <c r="C62" s="145">
        <f>'Auto-Calibration record'!G65</f>
        <v>8260</v>
      </c>
      <c r="D62" s="577">
        <f>'Auto-Calibration record'!B74</f>
        <v>394.30099999999999</v>
      </c>
      <c r="E62" s="578"/>
      <c r="F62" s="160">
        <f>'Auto-Calibration record'!I74</f>
        <v>476.66666666666669</v>
      </c>
      <c r="G62" s="145">
        <f t="shared" si="0"/>
        <v>82.365666666666698</v>
      </c>
      <c r="H62" s="147">
        <f t="shared" si="1"/>
        <v>0.20889033166709367</v>
      </c>
      <c r="I62" s="81"/>
    </row>
    <row r="63" spans="1:10" x14ac:dyDescent="0.35">
      <c r="B63" s="146" t="s">
        <v>661</v>
      </c>
      <c r="C63" s="145">
        <f>'Auto-Calibration record'!H65</f>
        <v>13176</v>
      </c>
      <c r="D63" s="577">
        <f>'Auto-Calibration record'!B75</f>
        <v>78.860100000000003</v>
      </c>
      <c r="E63" s="578"/>
      <c r="F63" s="160">
        <f>'Auto-Calibration record'!I75</f>
        <v>108.33333333333333</v>
      </c>
      <c r="G63" s="423" t="s">
        <v>23</v>
      </c>
      <c r="H63" s="424" t="s">
        <v>23</v>
      </c>
      <c r="I63" s="81"/>
    </row>
    <row r="64" spans="1:10" ht="13.15" thickBot="1" x14ac:dyDescent="0.4">
      <c r="A64" s="59"/>
      <c r="B64" s="148" t="s">
        <v>662</v>
      </c>
      <c r="C64" s="149">
        <f>'Auto-Calibration record'!I65</f>
        <v>16046</v>
      </c>
      <c r="D64" s="577">
        <f>'Auto-Calibration record'!B76</f>
        <v>10.962</v>
      </c>
      <c r="E64" s="578"/>
      <c r="F64" s="161">
        <f>'Auto-Calibration record'!I76</f>
        <v>45</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72</v>
      </c>
      <c r="G34" s="541"/>
      <c r="H34" s="536">
        <f>'Auto-Calibration record'!B68</f>
        <v>1181320</v>
      </c>
      <c r="I34" s="582"/>
      <c r="J34" s="158">
        <f>'Auto-Calibration record'!I68</f>
        <v>1181053.3333333333</v>
      </c>
      <c r="K34" s="159">
        <f t="shared" ref="K34:K39" si="0">J34-H34</f>
        <v>-266.66666666674428</v>
      </c>
      <c r="L34" s="111">
        <f t="shared" ref="L34:L39" si="1">K34/H34</f>
        <v>-2.2573618212401743E-4</v>
      </c>
    </row>
    <row r="35" spans="2:12" s="108" customFormat="1" ht="25.9" customHeight="1" x14ac:dyDescent="0.35">
      <c r="D35" s="553" t="s">
        <v>591</v>
      </c>
      <c r="E35" s="553"/>
      <c r="F35" s="541">
        <f>'Auto-Calibration record'!C65</f>
        <v>176</v>
      </c>
      <c r="G35" s="541"/>
      <c r="H35" s="536">
        <f>'Auto-Calibration record'!B69</f>
        <v>501618</v>
      </c>
      <c r="I35" s="582"/>
      <c r="J35" s="158">
        <f>'Auto-Calibration record'!I69</f>
        <v>498305</v>
      </c>
      <c r="K35" s="159">
        <f t="shared" si="0"/>
        <v>-3313</v>
      </c>
      <c r="L35" s="111">
        <f t="shared" si="1"/>
        <v>-6.6046274256505947E-3</v>
      </c>
    </row>
    <row r="36" spans="2:12" s="108" customFormat="1" ht="25.9" customHeight="1" x14ac:dyDescent="0.35">
      <c r="D36" s="553" t="s">
        <v>592</v>
      </c>
      <c r="E36" s="553"/>
      <c r="F36" s="541">
        <f>'Auto-Calibration record'!D65</f>
        <v>1002</v>
      </c>
      <c r="G36" s="541"/>
      <c r="H36" s="536">
        <f>'Auto-Calibration record'!B71</f>
        <v>38258.400000000001</v>
      </c>
      <c r="I36" s="582"/>
      <c r="J36" s="158">
        <f>'Auto-Calibration record'!I71</f>
        <v>38309.666666666664</v>
      </c>
      <c r="K36" s="159">
        <f t="shared" si="0"/>
        <v>51.266666666662786</v>
      </c>
      <c r="L36" s="111">
        <f t="shared" si="1"/>
        <v>1.3400107340260645E-3</v>
      </c>
    </row>
    <row r="37" spans="2:12" s="108" customFormat="1" ht="25.9" customHeight="1" x14ac:dyDescent="0.35">
      <c r="D37" s="553" t="s">
        <v>593</v>
      </c>
      <c r="E37" s="553"/>
      <c r="F37" s="541">
        <f>'Auto-Calibration record'!E65</f>
        <v>2036</v>
      </c>
      <c r="G37" s="541"/>
      <c r="H37" s="536">
        <f>'Auto-Calibration record'!B72</f>
        <v>10950.3</v>
      </c>
      <c r="I37" s="582"/>
      <c r="J37" s="158">
        <f>'Auto-Calibration record'!I72</f>
        <v>11665</v>
      </c>
      <c r="K37" s="159">
        <f t="shared" si="0"/>
        <v>714.70000000000073</v>
      </c>
      <c r="L37" s="111">
        <f t="shared" si="1"/>
        <v>6.5267618238769781E-2</v>
      </c>
    </row>
    <row r="38" spans="2:12" s="108" customFormat="1" ht="25.9" customHeight="1" x14ac:dyDescent="0.35">
      <c r="D38" s="553" t="s">
        <v>594</v>
      </c>
      <c r="E38" s="553"/>
      <c r="F38" s="541">
        <f>'Auto-Calibration record'!F65</f>
        <v>2900</v>
      </c>
      <c r="G38" s="541"/>
      <c r="H38" s="536">
        <f>'Auto-Calibration record'!B73</f>
        <v>5531.48</v>
      </c>
      <c r="I38" s="582"/>
      <c r="J38" s="158">
        <f>'Auto-Calibration record'!I73</f>
        <v>6006.333333333333</v>
      </c>
      <c r="K38" s="159">
        <f t="shared" si="0"/>
        <v>474.85333333333347</v>
      </c>
      <c r="L38" s="111">
        <f t="shared" si="1"/>
        <v>8.5845620581351381E-2</v>
      </c>
    </row>
    <row r="39" spans="2:12" s="108" customFormat="1" ht="25.9" customHeight="1" x14ac:dyDescent="0.35">
      <c r="D39" s="553" t="s">
        <v>595</v>
      </c>
      <c r="E39" s="553"/>
      <c r="F39" s="541">
        <f>'Auto-Calibration record'!G65</f>
        <v>8260</v>
      </c>
      <c r="G39" s="541"/>
      <c r="H39" s="536">
        <f>'Auto-Calibration record'!B74</f>
        <v>394.30099999999999</v>
      </c>
      <c r="I39" s="582"/>
      <c r="J39" s="158">
        <f>'Auto-Calibration record'!I74</f>
        <v>476.66666666666669</v>
      </c>
      <c r="K39" s="159">
        <f t="shared" si="0"/>
        <v>82.365666666666698</v>
      </c>
      <c r="L39" s="111">
        <f t="shared" si="1"/>
        <v>0.20889033166709367</v>
      </c>
    </row>
    <row r="40" spans="2:12" s="108" customFormat="1" ht="25.9" customHeight="1" x14ac:dyDescent="0.35">
      <c r="D40" s="553" t="s">
        <v>596</v>
      </c>
      <c r="E40" s="553"/>
      <c r="F40" s="541">
        <f>'Auto-Calibration record'!H65</f>
        <v>13176</v>
      </c>
      <c r="G40" s="541"/>
      <c r="H40" s="536">
        <f>'Auto-Calibration record'!B75</f>
        <v>78.860100000000003</v>
      </c>
      <c r="I40" s="582"/>
      <c r="J40" s="158">
        <f>'Auto-Calibration record'!I75</f>
        <v>108.33333333333333</v>
      </c>
      <c r="K40" s="159" t="s">
        <v>23</v>
      </c>
      <c r="L40" s="112" t="s">
        <v>23</v>
      </c>
    </row>
    <row r="41" spans="2:12" s="102" customFormat="1" ht="25.9" customHeight="1" x14ac:dyDescent="0.45">
      <c r="D41" s="553" t="s">
        <v>597</v>
      </c>
      <c r="E41" s="553"/>
      <c r="F41" s="549">
        <f>'Auto-Calibration record'!I65</f>
        <v>16046</v>
      </c>
      <c r="G41" s="549"/>
      <c r="H41" s="536">
        <f>'Auto-Calibration record'!B76</f>
        <v>10.962</v>
      </c>
      <c r="I41" s="582"/>
      <c r="J41" s="158">
        <f>'Auto-Calibration record'!I76</f>
        <v>45</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72</v>
      </c>
      <c r="F46" s="536"/>
      <c r="G46" s="545" t="e">
        <f>F34/D46</f>
        <v>#DIV/0!</v>
      </c>
      <c r="H46" s="545"/>
      <c r="I46" s="116"/>
      <c r="J46" s="129">
        <f>'Auto-Calibration record'!B11</f>
        <v>30</v>
      </c>
      <c r="K46" s="159">
        <f>F35-J46</f>
        <v>146</v>
      </c>
      <c r="L46" s="151">
        <f>F35/J46</f>
        <v>5.8666666666666663</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1181320</v>
      </c>
      <c r="I28" s="582"/>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53" t="s">
        <v>591</v>
      </c>
      <c r="E29" s="553"/>
      <c r="F29" s="541">
        <f>'Auto-Calibration record'!C65</f>
        <v>176</v>
      </c>
      <c r="G29" s="541"/>
      <c r="H29" s="536">
        <f>'Auto-Calibration record'!B69</f>
        <v>501618</v>
      </c>
      <c r="I29" s="582"/>
      <c r="J29" s="158">
        <f>'Auto-Calibration record'!I69</f>
        <v>498305</v>
      </c>
      <c r="K29" s="159">
        <f t="shared" si="0"/>
        <v>-3313</v>
      </c>
      <c r="L29" s="111">
        <f t="shared" si="1"/>
        <v>-6.6046274256505947E-3</v>
      </c>
    </row>
    <row r="30" spans="2:15" s="108" customFormat="1" ht="25.9" customHeight="1" x14ac:dyDescent="0.35">
      <c r="D30" s="553" t="s">
        <v>592</v>
      </c>
      <c r="E30" s="553"/>
      <c r="F30" s="541">
        <f>'Auto-Calibration record'!D65</f>
        <v>1002</v>
      </c>
      <c r="G30" s="541"/>
      <c r="H30" s="536">
        <f>'Auto-Calibration record'!B71</f>
        <v>38258.400000000001</v>
      </c>
      <c r="I30" s="582"/>
      <c r="J30" s="158">
        <f>'Auto-Calibration record'!I71</f>
        <v>38309.666666666664</v>
      </c>
      <c r="K30" s="159">
        <f t="shared" si="0"/>
        <v>51.266666666662786</v>
      </c>
      <c r="L30" s="111">
        <f t="shared" si="1"/>
        <v>1.3400107340260645E-3</v>
      </c>
    </row>
    <row r="31" spans="2:15" s="108" customFormat="1" ht="25.9" customHeight="1" x14ac:dyDescent="0.35">
      <c r="D31" s="553" t="s">
        <v>593</v>
      </c>
      <c r="E31" s="553"/>
      <c r="F31" s="541">
        <f>'Auto-Calibration record'!E65</f>
        <v>2036</v>
      </c>
      <c r="G31" s="541"/>
      <c r="H31" s="536">
        <f>'Auto-Calibration record'!B72</f>
        <v>10950.3</v>
      </c>
      <c r="I31" s="582"/>
      <c r="J31" s="158">
        <f>'Auto-Calibration record'!I72</f>
        <v>11665</v>
      </c>
      <c r="K31" s="159">
        <f t="shared" si="0"/>
        <v>714.70000000000073</v>
      </c>
      <c r="L31" s="111">
        <f t="shared" si="1"/>
        <v>6.5267618238769781E-2</v>
      </c>
    </row>
    <row r="32" spans="2:15" s="108" customFormat="1" ht="25.9" customHeight="1" x14ac:dyDescent="0.35">
      <c r="D32" s="553" t="s">
        <v>594</v>
      </c>
      <c r="E32" s="553"/>
      <c r="F32" s="541">
        <f>'Auto-Calibration record'!F65</f>
        <v>2900</v>
      </c>
      <c r="G32" s="541"/>
      <c r="H32" s="536">
        <f>'Auto-Calibration record'!B73</f>
        <v>5531.48</v>
      </c>
      <c r="I32" s="582"/>
      <c r="J32" s="158">
        <f>'Auto-Calibration record'!I73</f>
        <v>6006.333333333333</v>
      </c>
      <c r="K32" s="159">
        <f t="shared" si="0"/>
        <v>474.85333333333347</v>
      </c>
      <c r="L32" s="111">
        <f t="shared" si="1"/>
        <v>8.5845620581351381E-2</v>
      </c>
    </row>
    <row r="33" spans="2:14" s="108" customFormat="1" ht="25.9" customHeight="1" x14ac:dyDescent="0.35">
      <c r="D33" s="553" t="s">
        <v>595</v>
      </c>
      <c r="E33" s="553"/>
      <c r="F33" s="541">
        <f>'Auto-Calibration record'!G65</f>
        <v>8260</v>
      </c>
      <c r="G33" s="541"/>
      <c r="H33" s="536">
        <f>'Auto-Calibration record'!B74</f>
        <v>394.30099999999999</v>
      </c>
      <c r="I33" s="582"/>
      <c r="J33" s="158">
        <f>'Auto-Calibration record'!I74</f>
        <v>476.66666666666669</v>
      </c>
      <c r="K33" s="159">
        <f t="shared" si="0"/>
        <v>82.365666666666698</v>
      </c>
      <c r="L33" s="111">
        <f t="shared" si="1"/>
        <v>0.20889033166709367</v>
      </c>
    </row>
    <row r="34" spans="2:14" s="108" customFormat="1" ht="25.9" customHeight="1" x14ac:dyDescent="0.35">
      <c r="D34" s="553" t="s">
        <v>596</v>
      </c>
      <c r="E34" s="553"/>
      <c r="F34" s="541">
        <f>'Auto-Calibration record'!H65</f>
        <v>13176</v>
      </c>
      <c r="G34" s="541"/>
      <c r="H34" s="536">
        <f>'Auto-Calibration record'!B75</f>
        <v>78.860100000000003</v>
      </c>
      <c r="I34" s="582"/>
      <c r="J34" s="158">
        <f>'Auto-Calibration record'!I75</f>
        <v>108.33333333333333</v>
      </c>
      <c r="K34" s="159" t="s">
        <v>23</v>
      </c>
      <c r="L34" s="112" t="s">
        <v>23</v>
      </c>
    </row>
    <row r="35" spans="2:14" s="102" customFormat="1" ht="25.9" customHeight="1" x14ac:dyDescent="0.45">
      <c r="D35" s="553" t="s">
        <v>597</v>
      </c>
      <c r="E35" s="553"/>
      <c r="F35" s="549">
        <f>'Auto-Calibration record'!I65</f>
        <v>16046</v>
      </c>
      <c r="G35" s="549"/>
      <c r="H35" s="536">
        <f>'Auto-Calibration record'!B76</f>
        <v>10.962</v>
      </c>
      <c r="I35" s="582"/>
      <c r="J35" s="158">
        <f>'Auto-Calibration record'!I76</f>
        <v>45</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72</v>
      </c>
      <c r="F40" s="536"/>
      <c r="G40" s="545" t="e">
        <f>F28/D40</f>
        <v>#DIV/0!</v>
      </c>
      <c r="H40" s="545"/>
      <c r="I40" s="116"/>
      <c r="J40" s="129">
        <f>'Auto-Calibration record'!B11</f>
        <v>30</v>
      </c>
      <c r="K40" s="159">
        <f>F29-J40</f>
        <v>146</v>
      </c>
      <c r="L40" s="151">
        <f>F29/J40</f>
        <v>5.8666666666666663</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1181320</v>
      </c>
      <c r="I28" s="582"/>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53" t="s">
        <v>591</v>
      </c>
      <c r="E29" s="553"/>
      <c r="F29" s="541">
        <f>'Auto-Calibration record'!C65</f>
        <v>176</v>
      </c>
      <c r="G29" s="541"/>
      <c r="H29" s="536">
        <f>'Auto-Calibration record'!B69</f>
        <v>501618</v>
      </c>
      <c r="I29" s="582"/>
      <c r="J29" s="158">
        <f>'Auto-Calibration record'!I69</f>
        <v>498305</v>
      </c>
      <c r="K29" s="159">
        <f t="shared" si="0"/>
        <v>-3313</v>
      </c>
      <c r="L29" s="111">
        <f t="shared" si="1"/>
        <v>-6.6046274256505947E-3</v>
      </c>
    </row>
    <row r="30" spans="2:15" s="108" customFormat="1" ht="25.9" customHeight="1" x14ac:dyDescent="0.35">
      <c r="D30" s="553" t="s">
        <v>592</v>
      </c>
      <c r="E30" s="553"/>
      <c r="F30" s="541">
        <f>'Auto-Calibration record'!D65</f>
        <v>1002</v>
      </c>
      <c r="G30" s="541"/>
      <c r="H30" s="536">
        <f>'Auto-Calibration record'!B71</f>
        <v>38258.400000000001</v>
      </c>
      <c r="I30" s="582"/>
      <c r="J30" s="158">
        <f>'Auto-Calibration record'!I71</f>
        <v>38309.666666666664</v>
      </c>
      <c r="K30" s="159">
        <f t="shared" si="0"/>
        <v>51.266666666662786</v>
      </c>
      <c r="L30" s="111">
        <f t="shared" si="1"/>
        <v>1.3400107340260645E-3</v>
      </c>
    </row>
    <row r="31" spans="2:15" s="108" customFormat="1" ht="25.9" customHeight="1" x14ac:dyDescent="0.35">
      <c r="D31" s="553" t="s">
        <v>593</v>
      </c>
      <c r="E31" s="553"/>
      <c r="F31" s="541">
        <f>'Auto-Calibration record'!E65</f>
        <v>2036</v>
      </c>
      <c r="G31" s="541"/>
      <c r="H31" s="536">
        <f>'Auto-Calibration record'!B72</f>
        <v>10950.3</v>
      </c>
      <c r="I31" s="582"/>
      <c r="J31" s="158">
        <f>'Auto-Calibration record'!I72</f>
        <v>11665</v>
      </c>
      <c r="K31" s="159">
        <f t="shared" si="0"/>
        <v>714.70000000000073</v>
      </c>
      <c r="L31" s="111">
        <f t="shared" si="1"/>
        <v>6.5267618238769781E-2</v>
      </c>
    </row>
    <row r="32" spans="2:15" s="108" customFormat="1" ht="25.9" customHeight="1" x14ac:dyDescent="0.35">
      <c r="D32" s="553" t="s">
        <v>594</v>
      </c>
      <c r="E32" s="553"/>
      <c r="F32" s="541">
        <f>'Auto-Calibration record'!F65</f>
        <v>2900</v>
      </c>
      <c r="G32" s="541"/>
      <c r="H32" s="536">
        <f>'Auto-Calibration record'!B73</f>
        <v>5531.48</v>
      </c>
      <c r="I32" s="582"/>
      <c r="J32" s="158">
        <f>'Auto-Calibration record'!I73</f>
        <v>6006.333333333333</v>
      </c>
      <c r="K32" s="159">
        <f t="shared" si="0"/>
        <v>474.85333333333347</v>
      </c>
      <c r="L32" s="111">
        <f t="shared" si="1"/>
        <v>8.5845620581351381E-2</v>
      </c>
    </row>
    <row r="33" spans="2:12" s="108" customFormat="1" ht="25.9" customHeight="1" x14ac:dyDescent="0.35">
      <c r="D33" s="553" t="s">
        <v>595</v>
      </c>
      <c r="E33" s="553"/>
      <c r="F33" s="541">
        <f>'Auto-Calibration record'!G65</f>
        <v>8260</v>
      </c>
      <c r="G33" s="541"/>
      <c r="H33" s="536">
        <f>'Auto-Calibration record'!B74</f>
        <v>394.30099999999999</v>
      </c>
      <c r="I33" s="582"/>
      <c r="J33" s="158">
        <f>'Auto-Calibration record'!I74</f>
        <v>476.66666666666669</v>
      </c>
      <c r="K33" s="159">
        <f t="shared" si="0"/>
        <v>82.365666666666698</v>
      </c>
      <c r="L33" s="111">
        <f t="shared" si="1"/>
        <v>0.20889033166709367</v>
      </c>
    </row>
    <row r="34" spans="2:12" s="108" customFormat="1" ht="25.9" customHeight="1" x14ac:dyDescent="0.35">
      <c r="D34" s="553" t="s">
        <v>596</v>
      </c>
      <c r="E34" s="553"/>
      <c r="F34" s="541">
        <f>'Auto-Calibration record'!H65</f>
        <v>13176</v>
      </c>
      <c r="G34" s="541"/>
      <c r="H34" s="536">
        <f>'Auto-Calibration record'!B75</f>
        <v>78.860100000000003</v>
      </c>
      <c r="I34" s="582"/>
      <c r="J34" s="158">
        <f>'Auto-Calibration record'!I75</f>
        <v>108.33333333333333</v>
      </c>
      <c r="K34" s="159" t="s">
        <v>23</v>
      </c>
      <c r="L34" s="112" t="s">
        <v>23</v>
      </c>
    </row>
    <row r="35" spans="2:12" s="102" customFormat="1" ht="25.9" customHeight="1" x14ac:dyDescent="0.45">
      <c r="D35" s="553" t="s">
        <v>597</v>
      </c>
      <c r="E35" s="553"/>
      <c r="F35" s="549">
        <f>'Auto-Calibration record'!I65</f>
        <v>16046</v>
      </c>
      <c r="G35" s="549"/>
      <c r="H35" s="536">
        <f>'Auto-Calibration record'!B76</f>
        <v>10.962</v>
      </c>
      <c r="I35" s="582"/>
      <c r="J35" s="158">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72</v>
      </c>
      <c r="F40" s="536"/>
      <c r="G40" s="545" t="e">
        <f>F28/D40</f>
        <v>#DIV/0!</v>
      </c>
      <c r="H40" s="545"/>
      <c r="I40" s="116"/>
      <c r="J40" s="129">
        <f>'Auto-Calibration record'!B11</f>
        <v>30</v>
      </c>
      <c r="K40" s="159">
        <f>F29-J40</f>
        <v>146</v>
      </c>
      <c r="L40" s="151">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1181320</v>
      </c>
      <c r="I28" s="582"/>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53" t="s">
        <v>591</v>
      </c>
      <c r="E29" s="553"/>
      <c r="F29" s="541">
        <f>'Auto-Calibration record'!C65</f>
        <v>176</v>
      </c>
      <c r="G29" s="541"/>
      <c r="H29" s="536">
        <f>'Auto-Calibration record'!B69</f>
        <v>501618</v>
      </c>
      <c r="I29" s="582"/>
      <c r="J29" s="158">
        <f>'Auto-Calibration record'!I69</f>
        <v>498305</v>
      </c>
      <c r="K29" s="159">
        <f t="shared" si="0"/>
        <v>-3313</v>
      </c>
      <c r="L29" s="111">
        <f t="shared" si="1"/>
        <v>-6.6046274256505947E-3</v>
      </c>
    </row>
    <row r="30" spans="2:15" s="108" customFormat="1" ht="25.9" customHeight="1" x14ac:dyDescent="0.35">
      <c r="D30" s="553" t="s">
        <v>592</v>
      </c>
      <c r="E30" s="553"/>
      <c r="F30" s="541">
        <f>'Auto-Calibration record'!D65</f>
        <v>1002</v>
      </c>
      <c r="G30" s="541"/>
      <c r="H30" s="536">
        <f>'Auto-Calibration record'!B71</f>
        <v>38258.400000000001</v>
      </c>
      <c r="I30" s="582"/>
      <c r="J30" s="158">
        <f>'Auto-Calibration record'!I71</f>
        <v>38309.666666666664</v>
      </c>
      <c r="K30" s="159">
        <f t="shared" si="0"/>
        <v>51.266666666662786</v>
      </c>
      <c r="L30" s="111">
        <f t="shared" si="1"/>
        <v>1.3400107340260645E-3</v>
      </c>
    </row>
    <row r="31" spans="2:15" s="108" customFormat="1" ht="25.9" customHeight="1" x14ac:dyDescent="0.35">
      <c r="D31" s="553" t="s">
        <v>593</v>
      </c>
      <c r="E31" s="553"/>
      <c r="F31" s="541">
        <f>'Auto-Calibration record'!E65</f>
        <v>2036</v>
      </c>
      <c r="G31" s="541"/>
      <c r="H31" s="536">
        <f>'Auto-Calibration record'!B72</f>
        <v>10950.3</v>
      </c>
      <c r="I31" s="582"/>
      <c r="J31" s="158">
        <f>'Auto-Calibration record'!I72</f>
        <v>11665</v>
      </c>
      <c r="K31" s="159">
        <f t="shared" si="0"/>
        <v>714.70000000000073</v>
      </c>
      <c r="L31" s="111">
        <f t="shared" si="1"/>
        <v>6.5267618238769781E-2</v>
      </c>
    </row>
    <row r="32" spans="2:15" s="108" customFormat="1" ht="25.9" customHeight="1" x14ac:dyDescent="0.35">
      <c r="D32" s="553" t="s">
        <v>594</v>
      </c>
      <c r="E32" s="553"/>
      <c r="F32" s="541">
        <f>'Auto-Calibration record'!F65</f>
        <v>2900</v>
      </c>
      <c r="G32" s="541"/>
      <c r="H32" s="536">
        <f>'Auto-Calibration record'!B73</f>
        <v>5531.48</v>
      </c>
      <c r="I32" s="582"/>
      <c r="J32" s="158">
        <f>'Auto-Calibration record'!I73</f>
        <v>6006.333333333333</v>
      </c>
      <c r="K32" s="159">
        <f t="shared" si="0"/>
        <v>474.85333333333347</v>
      </c>
      <c r="L32" s="111">
        <f t="shared" si="1"/>
        <v>8.5845620581351381E-2</v>
      </c>
    </row>
    <row r="33" spans="2:12" s="108" customFormat="1" ht="25.9" customHeight="1" x14ac:dyDescent="0.35">
      <c r="D33" s="553" t="s">
        <v>595</v>
      </c>
      <c r="E33" s="553"/>
      <c r="F33" s="541">
        <f>'Auto-Calibration record'!G65</f>
        <v>8260</v>
      </c>
      <c r="G33" s="541"/>
      <c r="H33" s="536">
        <f>'Auto-Calibration record'!B74</f>
        <v>394.30099999999999</v>
      </c>
      <c r="I33" s="582"/>
      <c r="J33" s="158">
        <f>'Auto-Calibration record'!I74</f>
        <v>476.66666666666669</v>
      </c>
      <c r="K33" s="159">
        <f t="shared" si="0"/>
        <v>82.365666666666698</v>
      </c>
      <c r="L33" s="111">
        <f t="shared" si="1"/>
        <v>0.20889033166709367</v>
      </c>
    </row>
    <row r="34" spans="2:12" s="108" customFormat="1" ht="25.9" customHeight="1" x14ac:dyDescent="0.35">
      <c r="D34" s="553" t="s">
        <v>596</v>
      </c>
      <c r="E34" s="553"/>
      <c r="F34" s="541">
        <f>'Auto-Calibration record'!H65</f>
        <v>13176</v>
      </c>
      <c r="G34" s="541"/>
      <c r="H34" s="536">
        <f>'Auto-Calibration record'!B75</f>
        <v>78.860100000000003</v>
      </c>
      <c r="I34" s="582"/>
      <c r="J34" s="158">
        <f>'Auto-Calibration record'!I75</f>
        <v>108.33333333333333</v>
      </c>
      <c r="K34" s="159" t="s">
        <v>23</v>
      </c>
      <c r="L34" s="112" t="s">
        <v>23</v>
      </c>
    </row>
    <row r="35" spans="2:12" s="102" customFormat="1" ht="25.9" customHeight="1" x14ac:dyDescent="0.45">
      <c r="D35" s="553" t="s">
        <v>597</v>
      </c>
      <c r="E35" s="553"/>
      <c r="F35" s="549">
        <f>'Auto-Calibration record'!I65</f>
        <v>16046</v>
      </c>
      <c r="G35" s="549"/>
      <c r="H35" s="536">
        <f>'Auto-Calibration record'!B76</f>
        <v>10.962</v>
      </c>
      <c r="I35" s="582"/>
      <c r="J35" s="158">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72</v>
      </c>
      <c r="F40" s="536"/>
      <c r="G40" s="545" t="e">
        <f>F28/D40</f>
        <v>#DIV/0!</v>
      </c>
      <c r="H40" s="545"/>
      <c r="I40" s="116"/>
      <c r="J40" s="129">
        <f>'Auto-Calibration record'!B11</f>
        <v>30</v>
      </c>
      <c r="K40" s="159">
        <f>F29-J40</f>
        <v>146</v>
      </c>
      <c r="L40" s="151">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1181320</v>
      </c>
      <c r="I28" s="582"/>
      <c r="J28" s="158">
        <f>'MP Calibration Certificate'!J28</f>
        <v>1181053.3333333333</v>
      </c>
      <c r="K28" s="159">
        <f t="shared" ref="K28:K33" si="0">J28-H28</f>
        <v>-266.66666666674428</v>
      </c>
      <c r="L28" s="111">
        <f t="shared" ref="L28:L33" si="1">K28/H28</f>
        <v>-2.2573618212401743E-4</v>
      </c>
    </row>
    <row r="29" spans="2:15" s="108" customFormat="1" ht="25.9" customHeight="1" x14ac:dyDescent="0.35">
      <c r="D29" s="553" t="s">
        <v>591</v>
      </c>
      <c r="E29" s="553"/>
      <c r="F29" s="541">
        <f>'Auto-Calibration record'!C65</f>
        <v>176</v>
      </c>
      <c r="G29" s="541"/>
      <c r="H29" s="536">
        <f>'Auto-Calibration record'!B69</f>
        <v>501618</v>
      </c>
      <c r="I29" s="582"/>
      <c r="J29" s="158">
        <f>'MP Calibration Certificate'!J29</f>
        <v>498305</v>
      </c>
      <c r="K29" s="159">
        <f t="shared" si="0"/>
        <v>-3313</v>
      </c>
      <c r="L29" s="111">
        <f t="shared" si="1"/>
        <v>-6.6046274256505947E-3</v>
      </c>
    </row>
    <row r="30" spans="2:15" s="108" customFormat="1" ht="25.9" customHeight="1" x14ac:dyDescent="0.35">
      <c r="D30" s="553" t="s">
        <v>592</v>
      </c>
      <c r="E30" s="553"/>
      <c r="F30" s="541">
        <f>'Auto-Calibration record'!D65</f>
        <v>1002</v>
      </c>
      <c r="G30" s="541"/>
      <c r="H30" s="536">
        <f>'Auto-Calibration record'!B71</f>
        <v>38258.400000000001</v>
      </c>
      <c r="I30" s="582"/>
      <c r="J30" s="158">
        <f>'MP Calibration Certificate'!J30</f>
        <v>38309.666666666664</v>
      </c>
      <c r="K30" s="159">
        <f t="shared" si="0"/>
        <v>51.266666666662786</v>
      </c>
      <c r="L30" s="111">
        <f t="shared" si="1"/>
        <v>1.3400107340260645E-3</v>
      </c>
    </row>
    <row r="31" spans="2:15" s="108" customFormat="1" ht="25.9" customHeight="1" x14ac:dyDescent="0.35">
      <c r="D31" s="553" t="s">
        <v>593</v>
      </c>
      <c r="E31" s="553"/>
      <c r="F31" s="541">
        <f>'Auto-Calibration record'!E65</f>
        <v>2036</v>
      </c>
      <c r="G31" s="541"/>
      <c r="H31" s="536">
        <f>'Auto-Calibration record'!B72</f>
        <v>10950.3</v>
      </c>
      <c r="I31" s="582"/>
      <c r="J31" s="158">
        <f>'MP Calibration Certificate'!J31</f>
        <v>11665</v>
      </c>
      <c r="K31" s="159">
        <f t="shared" si="0"/>
        <v>714.70000000000073</v>
      </c>
      <c r="L31" s="111">
        <f t="shared" si="1"/>
        <v>6.5267618238769781E-2</v>
      </c>
    </row>
    <row r="32" spans="2:15" s="108" customFormat="1" ht="25.9" customHeight="1" x14ac:dyDescent="0.35">
      <c r="D32" s="553" t="s">
        <v>594</v>
      </c>
      <c r="E32" s="553"/>
      <c r="F32" s="541">
        <f>'Auto-Calibration record'!F65</f>
        <v>2900</v>
      </c>
      <c r="G32" s="541"/>
      <c r="H32" s="536">
        <f>'Auto-Calibration record'!B73</f>
        <v>5531.48</v>
      </c>
      <c r="I32" s="582"/>
      <c r="J32" s="158">
        <f>'MP Calibration Certificate'!J32</f>
        <v>6006.333333333333</v>
      </c>
      <c r="K32" s="159">
        <f t="shared" si="0"/>
        <v>474.85333333333347</v>
      </c>
      <c r="L32" s="111">
        <f t="shared" si="1"/>
        <v>8.5845620581351381E-2</v>
      </c>
    </row>
    <row r="33" spans="2:12" s="108" customFormat="1" ht="25.9" customHeight="1" x14ac:dyDescent="0.35">
      <c r="D33" s="553" t="s">
        <v>595</v>
      </c>
      <c r="E33" s="553"/>
      <c r="F33" s="541">
        <f>'Auto-Calibration record'!G65</f>
        <v>8260</v>
      </c>
      <c r="G33" s="541"/>
      <c r="H33" s="536">
        <f>'Auto-Calibration record'!B74</f>
        <v>394.30099999999999</v>
      </c>
      <c r="I33" s="582"/>
      <c r="J33" s="158">
        <f>'MP Calibration Certificate'!J33</f>
        <v>476.66666666666669</v>
      </c>
      <c r="K33" s="159">
        <f t="shared" si="0"/>
        <v>82.365666666666698</v>
      </c>
      <c r="L33" s="111">
        <f t="shared" si="1"/>
        <v>0.20889033166709367</v>
      </c>
    </row>
    <row r="34" spans="2:12" s="108" customFormat="1" ht="25.9" customHeight="1" x14ac:dyDescent="0.35">
      <c r="D34" s="553" t="s">
        <v>596</v>
      </c>
      <c r="E34" s="553"/>
      <c r="F34" s="541">
        <f>'Auto-Calibration record'!H65</f>
        <v>13176</v>
      </c>
      <c r="G34" s="541"/>
      <c r="H34" s="536">
        <f>'Auto-Calibration record'!B75</f>
        <v>78.860100000000003</v>
      </c>
      <c r="I34" s="582"/>
      <c r="J34" s="158">
        <f>'MP Calibration Certificate'!J34</f>
        <v>108.33333333333333</v>
      </c>
      <c r="K34" s="159" t="s">
        <v>23</v>
      </c>
      <c r="L34" s="112" t="s">
        <v>23</v>
      </c>
    </row>
    <row r="35" spans="2:12" s="102" customFormat="1" ht="25.9" customHeight="1" x14ac:dyDescent="0.45">
      <c r="D35" s="553" t="s">
        <v>597</v>
      </c>
      <c r="E35" s="553"/>
      <c r="F35" s="549">
        <f>'Auto-Calibration record'!I65</f>
        <v>16046</v>
      </c>
      <c r="G35" s="549"/>
      <c r="H35" s="536">
        <f>'Auto-Calibration record'!B76</f>
        <v>10.962</v>
      </c>
      <c r="I35" s="582"/>
      <c r="J35" s="158">
        <f>'MP Calibration Certificate'!J35</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72</v>
      </c>
      <c r="F40" s="536"/>
      <c r="G40" s="545" t="e">
        <f>F28/D40</f>
        <v>#DIV/0!</v>
      </c>
      <c r="H40" s="545"/>
      <c r="I40" s="116"/>
      <c r="J40" s="129">
        <f>'Auto-Calibration record'!B11</f>
        <v>30</v>
      </c>
      <c r="K40" s="159">
        <f>F29-J40</f>
        <v>146</v>
      </c>
      <c r="L40" s="151">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1181320</v>
      </c>
      <c r="I28" s="582"/>
      <c r="J28" s="158">
        <f>'Auto-Calibration record'!I68</f>
        <v>1181053.3333333333</v>
      </c>
      <c r="K28" s="159">
        <f t="shared" ref="K28:K33" si="0">J28-H28</f>
        <v>-266.66666666674428</v>
      </c>
      <c r="L28" s="111">
        <f t="shared" ref="L28:L33" si="1">K28/H28</f>
        <v>-2.2573618212401743E-4</v>
      </c>
    </row>
    <row r="29" spans="2:15" s="108" customFormat="1" ht="25.9" customHeight="1" x14ac:dyDescent="0.35">
      <c r="D29" s="553" t="s">
        <v>591</v>
      </c>
      <c r="E29" s="553"/>
      <c r="F29" s="541">
        <f>'Auto-Calibration record'!C65</f>
        <v>176</v>
      </c>
      <c r="G29" s="541"/>
      <c r="H29" s="536">
        <f>'Auto-Calibration record'!B69</f>
        <v>501618</v>
      </c>
      <c r="I29" s="582"/>
      <c r="J29" s="158">
        <f>'Auto-Calibration record'!I69</f>
        <v>498305</v>
      </c>
      <c r="K29" s="159">
        <f t="shared" si="0"/>
        <v>-3313</v>
      </c>
      <c r="L29" s="111">
        <f t="shared" si="1"/>
        <v>-6.6046274256505947E-3</v>
      </c>
    </row>
    <row r="30" spans="2:15" s="108" customFormat="1" ht="25.9" customHeight="1" x14ac:dyDescent="0.35">
      <c r="D30" s="553" t="s">
        <v>592</v>
      </c>
      <c r="E30" s="553"/>
      <c r="F30" s="541">
        <f>'Auto-Calibration record'!D65</f>
        <v>1002</v>
      </c>
      <c r="G30" s="541"/>
      <c r="H30" s="536">
        <f>'Auto-Calibration record'!B71</f>
        <v>38258.400000000001</v>
      </c>
      <c r="I30" s="582"/>
      <c r="J30" s="158">
        <f>'Auto-Calibration record'!I71</f>
        <v>38309.666666666664</v>
      </c>
      <c r="K30" s="159">
        <f t="shared" si="0"/>
        <v>51.266666666662786</v>
      </c>
      <c r="L30" s="111">
        <f t="shared" si="1"/>
        <v>1.3400107340260645E-3</v>
      </c>
    </row>
    <row r="31" spans="2:15" s="108" customFormat="1" ht="25.9" customHeight="1" x14ac:dyDescent="0.35">
      <c r="D31" s="553" t="s">
        <v>593</v>
      </c>
      <c r="E31" s="553"/>
      <c r="F31" s="541">
        <f>'Auto-Calibration record'!E65</f>
        <v>2036</v>
      </c>
      <c r="G31" s="541"/>
      <c r="H31" s="536">
        <f>'Auto-Calibration record'!B72</f>
        <v>10950.3</v>
      </c>
      <c r="I31" s="582"/>
      <c r="J31" s="158">
        <f>'Auto-Calibration record'!I72</f>
        <v>11665</v>
      </c>
      <c r="K31" s="159">
        <f t="shared" si="0"/>
        <v>714.70000000000073</v>
      </c>
      <c r="L31" s="111">
        <f t="shared" si="1"/>
        <v>6.5267618238769781E-2</v>
      </c>
    </row>
    <row r="32" spans="2:15" s="108" customFormat="1" ht="25.9" customHeight="1" x14ac:dyDescent="0.35">
      <c r="D32" s="553" t="s">
        <v>594</v>
      </c>
      <c r="E32" s="553"/>
      <c r="F32" s="541">
        <f>'Auto-Calibration record'!F65</f>
        <v>2900</v>
      </c>
      <c r="G32" s="541"/>
      <c r="H32" s="536">
        <f>'Auto-Calibration record'!B73</f>
        <v>5531.48</v>
      </c>
      <c r="I32" s="582"/>
      <c r="J32" s="158">
        <f>'Auto-Calibration record'!I73</f>
        <v>6006.333333333333</v>
      </c>
      <c r="K32" s="159">
        <f t="shared" si="0"/>
        <v>474.85333333333347</v>
      </c>
      <c r="L32" s="111">
        <f t="shared" si="1"/>
        <v>8.5845620581351381E-2</v>
      </c>
    </row>
    <row r="33" spans="2:12" s="108" customFormat="1" ht="25.9" customHeight="1" x14ac:dyDescent="0.35">
      <c r="D33" s="553" t="s">
        <v>595</v>
      </c>
      <c r="E33" s="553"/>
      <c r="F33" s="541">
        <f>'Auto-Calibration record'!G65</f>
        <v>8260</v>
      </c>
      <c r="G33" s="541"/>
      <c r="H33" s="536">
        <f>'Auto-Calibration record'!B74</f>
        <v>394.30099999999999</v>
      </c>
      <c r="I33" s="582"/>
      <c r="J33" s="158">
        <f>'Auto-Calibration record'!I74</f>
        <v>476.66666666666669</v>
      </c>
      <c r="K33" s="159">
        <f t="shared" si="0"/>
        <v>82.365666666666698</v>
      </c>
      <c r="L33" s="111">
        <f t="shared" si="1"/>
        <v>0.20889033166709367</v>
      </c>
    </row>
    <row r="34" spans="2:12" s="108" customFormat="1" ht="25.9" customHeight="1" x14ac:dyDescent="0.35">
      <c r="D34" s="553" t="s">
        <v>596</v>
      </c>
      <c r="E34" s="553"/>
      <c r="F34" s="541">
        <f>'Auto-Calibration record'!H65</f>
        <v>13176</v>
      </c>
      <c r="G34" s="541"/>
      <c r="H34" s="536">
        <f>'Auto-Calibration record'!B75</f>
        <v>78.860100000000003</v>
      </c>
      <c r="I34" s="582"/>
      <c r="J34" s="158">
        <f>'Auto-Calibration record'!I75</f>
        <v>108.33333333333333</v>
      </c>
      <c r="K34" s="159" t="s">
        <v>23</v>
      </c>
      <c r="L34" s="112" t="s">
        <v>23</v>
      </c>
    </row>
    <row r="35" spans="2:12" s="102" customFormat="1" ht="25.9" customHeight="1" x14ac:dyDescent="0.45">
      <c r="D35" s="553" t="s">
        <v>597</v>
      </c>
      <c r="E35" s="553"/>
      <c r="F35" s="549">
        <f>'Auto-Calibration record'!I65</f>
        <v>16046</v>
      </c>
      <c r="G35" s="549"/>
      <c r="H35" s="536">
        <f>'Auto-Calibration record'!B76</f>
        <v>10.962</v>
      </c>
      <c r="I35" s="582"/>
      <c r="J35" s="158">
        <f>'Auto-Calibration record'!I76</f>
        <v>45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72</v>
      </c>
      <c r="F40" s="582"/>
      <c r="G40" s="596" t="e">
        <f>F28/D40</f>
        <v>#DIV/0!</v>
      </c>
      <c r="H40" s="596"/>
      <c r="I40" s="116"/>
      <c r="J40" s="129">
        <f>'Auto-Calibration record'!B11</f>
        <v>30</v>
      </c>
      <c r="K40" s="110">
        <f>F29-J40</f>
        <v>146</v>
      </c>
      <c r="L40" s="117">
        <f>F29/J40</f>
        <v>5.8666666666666663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63010059</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63010059 200526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1181320</v>
      </c>
      <c r="I28" s="536"/>
      <c r="J28" s="159">
        <f>'Auto-Calibration record'!I68</f>
        <v>1181053.3333333333</v>
      </c>
      <c r="K28" s="159">
        <f t="shared" ref="K28:K35" si="0">J28-H28</f>
        <v>-266.66666666674428</v>
      </c>
      <c r="L28" s="379">
        <f t="shared" ref="L28:L35" si="1">K28/H28</f>
        <v>-2.2573618212401743E-4</v>
      </c>
    </row>
    <row r="29" spans="2:15" s="108" customFormat="1" ht="25.9" customHeight="1" x14ac:dyDescent="0.35">
      <c r="D29" s="553" t="s">
        <v>591</v>
      </c>
      <c r="E29" s="553"/>
      <c r="F29" s="541">
        <f>'Auto-Calibration record'!C65</f>
        <v>176</v>
      </c>
      <c r="G29" s="541"/>
      <c r="H29" s="536">
        <f>'Auto-Calibration record'!B69</f>
        <v>501618</v>
      </c>
      <c r="I29" s="536"/>
      <c r="J29" s="159">
        <f>'Auto-Calibration record'!I69</f>
        <v>498305</v>
      </c>
      <c r="K29" s="159">
        <f t="shared" si="0"/>
        <v>-3313</v>
      </c>
      <c r="L29" s="379">
        <f t="shared" si="1"/>
        <v>-6.6046274256505947E-3</v>
      </c>
    </row>
    <row r="30" spans="2:15" s="108" customFormat="1" ht="25.9" customHeight="1" x14ac:dyDescent="0.35">
      <c r="D30" s="553" t="s">
        <v>592</v>
      </c>
      <c r="E30" s="553"/>
      <c r="F30" s="541">
        <f>'Auto-Calibration record'!D65</f>
        <v>1002</v>
      </c>
      <c r="G30" s="541"/>
      <c r="H30" s="536">
        <f>'Auto-Calibration record'!B71</f>
        <v>38258.400000000001</v>
      </c>
      <c r="I30" s="536"/>
      <c r="J30" s="159">
        <f>'Auto-Calibration record'!I71</f>
        <v>38309.666666666664</v>
      </c>
      <c r="K30" s="159">
        <f t="shared" si="0"/>
        <v>51.266666666662786</v>
      </c>
      <c r="L30" s="379">
        <f t="shared" si="1"/>
        <v>1.3400107340260645E-3</v>
      </c>
    </row>
    <row r="31" spans="2:15" s="108" customFormat="1" ht="25.9" customHeight="1" x14ac:dyDescent="0.35">
      <c r="D31" s="553" t="s">
        <v>593</v>
      </c>
      <c r="E31" s="553"/>
      <c r="F31" s="541">
        <f>'Auto-Calibration record'!E65</f>
        <v>2036</v>
      </c>
      <c r="G31" s="541"/>
      <c r="H31" s="536">
        <f>'Auto-Calibration record'!B72</f>
        <v>10950.3</v>
      </c>
      <c r="I31" s="536"/>
      <c r="J31" s="159">
        <f>'Auto-Calibration record'!I72</f>
        <v>11665</v>
      </c>
      <c r="K31" s="159">
        <f t="shared" si="0"/>
        <v>714.70000000000073</v>
      </c>
      <c r="L31" s="379">
        <f t="shared" si="1"/>
        <v>6.5267618238769781E-2</v>
      </c>
    </row>
    <row r="32" spans="2:15" s="108" customFormat="1" ht="25.9" customHeight="1" x14ac:dyDescent="0.35">
      <c r="D32" s="553" t="s">
        <v>594</v>
      </c>
      <c r="E32" s="553"/>
      <c r="F32" s="541">
        <f>'Auto-Calibration record'!F65</f>
        <v>2900</v>
      </c>
      <c r="G32" s="541"/>
      <c r="H32" s="536">
        <f>'Auto-Calibration record'!B73</f>
        <v>5531.48</v>
      </c>
      <c r="I32" s="536"/>
      <c r="J32" s="159">
        <f>'Auto-Calibration record'!I73</f>
        <v>6006.333333333333</v>
      </c>
      <c r="K32" s="159">
        <f t="shared" si="0"/>
        <v>474.85333333333347</v>
      </c>
      <c r="L32" s="379">
        <f t="shared" si="1"/>
        <v>8.5845620581351381E-2</v>
      </c>
    </row>
    <row r="33" spans="2:12" s="108" customFormat="1" ht="25.9" customHeight="1" x14ac:dyDescent="0.35">
      <c r="D33" s="553" t="s">
        <v>595</v>
      </c>
      <c r="E33" s="553"/>
      <c r="F33" s="541">
        <f>'Auto-Calibration record'!G65</f>
        <v>8260</v>
      </c>
      <c r="G33" s="541"/>
      <c r="H33" s="536">
        <f>'Auto-Calibration record'!B74</f>
        <v>394.30099999999999</v>
      </c>
      <c r="I33" s="536"/>
      <c r="J33" s="159">
        <f>'Auto-Calibration record'!I74</f>
        <v>476.66666666666669</v>
      </c>
      <c r="K33" s="159">
        <f t="shared" si="0"/>
        <v>82.365666666666698</v>
      </c>
      <c r="L33" s="379">
        <f t="shared" si="1"/>
        <v>0.20889033166709367</v>
      </c>
    </row>
    <row r="34" spans="2:12" s="108" customFormat="1" ht="25.9" customHeight="1" x14ac:dyDescent="0.35">
      <c r="D34" s="553" t="s">
        <v>1005</v>
      </c>
      <c r="E34" s="553"/>
      <c r="F34" s="541">
        <f>'Auto-Calibration record'!H65</f>
        <v>13176</v>
      </c>
      <c r="G34" s="541"/>
      <c r="H34" s="536">
        <f>'Auto-Calibration record'!B75</f>
        <v>78.860100000000003</v>
      </c>
      <c r="I34" s="536"/>
      <c r="J34" s="159">
        <f>'Auto-Calibration record'!I75</f>
        <v>108.33333333333333</v>
      </c>
      <c r="K34" s="159">
        <f t="shared" si="0"/>
        <v>29.473233333333326</v>
      </c>
      <c r="L34" s="379">
        <f t="shared" si="1"/>
        <v>0.37374075525307887</v>
      </c>
    </row>
    <row r="35" spans="2:12" s="102" customFormat="1" ht="25.9" customHeight="1" x14ac:dyDescent="0.45">
      <c r="D35" s="553" t="s">
        <v>1006</v>
      </c>
      <c r="E35" s="553"/>
      <c r="F35" s="549">
        <f>'Auto-Calibration record'!I65</f>
        <v>16046</v>
      </c>
      <c r="G35" s="549"/>
      <c r="H35" s="536">
        <f>'Auto-Calibration record'!B76</f>
        <v>10.962</v>
      </c>
      <c r="I35" s="536"/>
      <c r="J35" s="380">
        <f>'Auto-Calibration record'!I76</f>
        <v>45</v>
      </c>
      <c r="K35" s="159">
        <f t="shared" si="0"/>
        <v>34.037999999999997</v>
      </c>
      <c r="L35" s="379">
        <f t="shared" si="1"/>
        <v>3.1050903119868636</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30</v>
      </c>
      <c r="E40" s="536">
        <f>F28-D40</f>
        <v>42</v>
      </c>
      <c r="F40" s="536"/>
      <c r="G40" s="545">
        <f>F28/D40</f>
        <v>2.4</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61C9-5242-416A-A34F-98F3C4BBEB09}">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46162.6</v>
      </c>
    </row>
    <row r="4" spans="1:8" ht="19.5" customHeight="1" x14ac:dyDescent="0.45">
      <c r="A4" s="604"/>
      <c r="B4" s="433" t="s">
        <v>241</v>
      </c>
      <c r="C4" s="434">
        <f>VLOOKUP("serial_number",AUTO!$A$1:$B$1051,2,FALSE)</f>
        <v>63010059</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63010059</v>
      </c>
      <c r="D6" s="435"/>
      <c r="E6" s="438" t="s">
        <v>1018</v>
      </c>
      <c r="F6" s="436"/>
      <c r="G6" s="436"/>
      <c r="H6" s="436" t="s">
        <v>1019</v>
      </c>
    </row>
    <row r="7" spans="1:8" ht="19.5" customHeight="1" x14ac:dyDescent="0.45">
      <c r="A7" s="605" t="s">
        <v>1020</v>
      </c>
      <c r="B7" s="605"/>
      <c r="C7" s="434">
        <f>VLOOKUP("no_noise_threshold",AUTO!$A$1:$B$1051,2,FALSE)</f>
        <v>30</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2.7318910246522036E-3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1181320</v>
      </c>
      <c r="C19" s="442">
        <f>'Auto-Calibration record'!$I$68</f>
        <v>1181053.3333333333</v>
      </c>
      <c r="E19" s="434">
        <f>VLOOKUP("threshold32_0_sz",AUTO!$A$1:$B$1051,2,FALSE)</f>
        <v>4</v>
      </c>
      <c r="F19" s="434">
        <f>VLOOKUP("reference_count_0",AUTO!$A$1:$B$1051,2,FALSE)</f>
        <v>1181320</v>
      </c>
      <c r="G19" s="598">
        <f>VLOOKUP("threshold32_0_value",AUTO!$A$1:$B$1051,2,FALSE)</f>
        <v>72</v>
      </c>
      <c r="H19" s="599"/>
    </row>
    <row r="20" spans="1:8" ht="18" customHeight="1" x14ac:dyDescent="0.45">
      <c r="A20" s="434">
        <f>VLOOKUP("threshold32_2_sz",AUTO!$A$1:$B$1051,2,FALSE)</f>
        <v>6</v>
      </c>
      <c r="B20" s="434">
        <f>VLOOKUP("reference_count_1",AUTO!$A$1:$B$1051,2,FALSE)</f>
        <v>501618</v>
      </c>
      <c r="C20" s="442">
        <f>'Auto-Calibration record'!$I$69</f>
        <v>498305</v>
      </c>
      <c r="E20" s="434">
        <f>VLOOKUP("threshold32_2_sz",AUTO!$A$1:$B$1051,2,FALSE)</f>
        <v>6</v>
      </c>
      <c r="F20" s="434">
        <f>VLOOKUP("reference_count_1",AUTO!$A$1:$B$1051,2,FALSE)</f>
        <v>501618</v>
      </c>
      <c r="G20" s="598">
        <f>VLOOKUP("threshold32_2_value",AUTO!$A$1:$B$1051,2,FALSE)</f>
        <v>176</v>
      </c>
      <c r="H20" s="599"/>
    </row>
    <row r="21" spans="1:8" ht="18" customHeight="1" x14ac:dyDescent="0.45">
      <c r="A21" s="434">
        <f>VLOOKUP("threshold32_6_sz",AUTO!$A$1:$B$1051,2,FALSE)</f>
        <v>10</v>
      </c>
      <c r="B21" s="434">
        <f>VLOOKUP("reference_count32_6",AUTO!$A$1:$B$1051,2,FALSE)*100</f>
        <v>116905</v>
      </c>
      <c r="C21" s="442">
        <f>'Auto-Calibration record'!$I$70</f>
        <v>116806.66666666669</v>
      </c>
      <c r="E21" s="434">
        <f>VLOOKUP("threshold32_6_sz",AUTO!$A$1:$B$1051,2,FALSE)</f>
        <v>10</v>
      </c>
      <c r="F21" s="434">
        <f>VLOOKUP("reference_count32_6",AUTO!$A$1:$B$1051,2,FALSE)*100</f>
        <v>116905</v>
      </c>
      <c r="G21" s="598">
        <f>VLOOKUP("threshold32_6_value",AUTO!$A$1:$B$1051,2,FALSE)</f>
        <v>508</v>
      </c>
      <c r="H21" s="599"/>
    </row>
    <row r="22" spans="1:8" ht="18" customHeight="1" x14ac:dyDescent="0.45">
      <c r="A22" s="434">
        <f>VLOOKUP("threshold32_10_sz",AUTO!$A$1:$B$1051,2,FALSE)</f>
        <v>14</v>
      </c>
      <c r="B22" s="434">
        <f>VLOOKUP("reference_count_2",AUTO!$A$1:$B$1051,2,FALSE)</f>
        <v>38258.400000000001</v>
      </c>
      <c r="C22" s="442">
        <f>'Auto-Calibration record'!$I$71</f>
        <v>38309.666666666664</v>
      </c>
      <c r="E22" s="434">
        <f>VLOOKUP("threshold32_10_sz",AUTO!$A$1:$B$1051,2,FALSE)</f>
        <v>14</v>
      </c>
      <c r="F22" s="434">
        <f>VLOOKUP("reference_count_2",AUTO!$A$1:$B$1051,2,FALSE)</f>
        <v>38258.400000000001</v>
      </c>
      <c r="G22" s="598">
        <f>VLOOKUP("threshold32_10_value",AUTO!$A$1:$B$1051,2,FALSE)</f>
        <v>1002</v>
      </c>
      <c r="H22" s="599"/>
    </row>
    <row r="23" spans="1:8" ht="18" customHeight="1" x14ac:dyDescent="0.45">
      <c r="A23" s="434">
        <f>VLOOKUP("threshold32_17_sz",AUTO!$A$1:$B$1051,2,FALSE)</f>
        <v>21</v>
      </c>
      <c r="B23" s="434">
        <f>VLOOKUP("reference_count_3",AUTO!$A$1:$B$1051,2,FALSE)</f>
        <v>10950.3</v>
      </c>
      <c r="C23" s="442">
        <f>'Auto-Calibration record'!$I$72</f>
        <v>11665</v>
      </c>
      <c r="E23" s="434">
        <f>VLOOKUP("threshold32_17_sz",AUTO!$A$1:$B$1051,2,FALSE)</f>
        <v>21</v>
      </c>
      <c r="F23" s="434">
        <f>VLOOKUP("reference_count_3",AUTO!$A$1:$B$1051,2,FALSE)</f>
        <v>10950.3</v>
      </c>
      <c r="G23" s="598">
        <f>VLOOKUP("threshold32_17_value",AUTO!$A$1:$B$1051,2,FALSE)</f>
        <v>2036</v>
      </c>
      <c r="H23" s="599"/>
    </row>
    <row r="24" spans="1:8" ht="18" customHeight="1" x14ac:dyDescent="0.45">
      <c r="A24" s="434">
        <f>VLOOKUP("threshold32_21_sz",AUTO!$A$1:$B$1051,2,FALSE)</f>
        <v>25</v>
      </c>
      <c r="B24" s="434">
        <f>VLOOKUP("reference_count_4",AUTO!$A$1:$B$1051,2,FALSE)</f>
        <v>5531.48</v>
      </c>
      <c r="C24" s="442">
        <f>'Auto-Calibration record'!$I$73</f>
        <v>6006.333333333333</v>
      </c>
      <c r="E24" s="434">
        <f>VLOOKUP("threshold32_21_sz",AUTO!$A$1:$B$1051,2,FALSE)</f>
        <v>25</v>
      </c>
      <c r="F24" s="434">
        <f>VLOOKUP("reference_count_4",AUTO!$A$1:$B$1051,2,FALSE)</f>
        <v>5531.48</v>
      </c>
      <c r="G24" s="598">
        <f>VLOOKUP("threshold32_21_value",AUTO!$A$1:$B$1051,2,FALSE)</f>
        <v>2900</v>
      </c>
      <c r="H24" s="599"/>
    </row>
    <row r="25" spans="1:8" ht="18" customHeight="1" x14ac:dyDescent="0.45">
      <c r="A25" s="434">
        <f>VLOOKUP("threshold32_27_sz",AUTO!$A$1:$B$1051,2,FALSE)</f>
        <v>38</v>
      </c>
      <c r="B25" s="434">
        <f>VLOOKUP("reference_count_5",AUTO!$A$1:$B$1051,2,FALSE)</f>
        <v>394.30099999999999</v>
      </c>
      <c r="C25" s="442">
        <f>'Auto-Calibration record'!$I$74</f>
        <v>476.66666666666669</v>
      </c>
      <c r="E25" s="434">
        <f>VLOOKUP("threshold32_27_sz",AUTO!$A$1:$B$1051,2,FALSE)</f>
        <v>38</v>
      </c>
      <c r="F25" s="434">
        <f>VLOOKUP("reference_count_5",AUTO!$A$1:$B$1051,2,FALSE)</f>
        <v>394.30099999999999</v>
      </c>
      <c r="G25" s="598">
        <f>VLOOKUP("threshold32_27_value",AUTO!$A$1:$B$1051,2,FALSE)</f>
        <v>8260</v>
      </c>
      <c r="H25" s="599"/>
    </row>
    <row r="26" spans="1:8" ht="18" customHeight="1" x14ac:dyDescent="0.45">
      <c r="A26" s="434">
        <f>VLOOKUP("threshold32_28_sz",AUTO!$A$1:$B$1051,2,FALSE)</f>
        <v>50</v>
      </c>
      <c r="B26" s="434">
        <f>VLOOKUP("reference_count_6",AUTO!$A$1:$B$1051,2,FALSE)</f>
        <v>78.860100000000003</v>
      </c>
      <c r="C26" s="442">
        <f>'Auto-Calibration record'!$I$75</f>
        <v>108.33333333333333</v>
      </c>
      <c r="E26" s="434">
        <f>VLOOKUP("threshold32_28_sz",AUTO!$A$1:$B$1051,2,FALSE)</f>
        <v>50</v>
      </c>
      <c r="F26" s="434">
        <f>VLOOKUP("reference_count_6",AUTO!$A$1:$B$1051,2,FALSE)</f>
        <v>78.860100000000003</v>
      </c>
      <c r="G26" s="598">
        <f>VLOOKUP("threshold32_28_value",AUTO!$A$1:$B$1051,2,FALSE)</f>
        <v>13176</v>
      </c>
      <c r="H26" s="599"/>
    </row>
    <row r="27" spans="1:8" ht="18" customHeight="1" x14ac:dyDescent="0.45">
      <c r="A27" s="434">
        <f>VLOOKUP("threshold32_29_sz",AUTO!$A$1:$B$1051,2,FALSE)</f>
        <v>70</v>
      </c>
      <c r="B27" s="434">
        <f>VLOOKUP("reference_count_7",AUTO!$A$1:$B$1051,2,FALSE)</f>
        <v>10.962</v>
      </c>
      <c r="C27" s="442">
        <f>'Auto-Calibration record'!$I$76</f>
        <v>45</v>
      </c>
      <c r="E27" s="434">
        <f>VLOOKUP("threshold32_29_sz",AUTO!$A$1:$B$1051,2,FALSE)</f>
        <v>70</v>
      </c>
      <c r="F27" s="434">
        <f>VLOOKUP("reference_count_7",AUTO!$A$1:$B$1051,2,FALSE)</f>
        <v>10.962</v>
      </c>
      <c r="G27" s="598">
        <f>VLOOKUP("threshold32_29_value",AUTO!$A$1:$B$1051,2,FALSE)</f>
        <v>16046</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