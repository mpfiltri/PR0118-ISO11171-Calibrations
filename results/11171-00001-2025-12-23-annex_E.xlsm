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37911FE3-4ADD-4571-8954-ABC965F33A75}" xr6:coauthVersionLast="47" xr6:coauthVersionMax="47" xr10:uidLastSave="{00000000-0000-0000-0000-000000000000}"/>
  <bookViews>
    <workbookView xWindow="-98" yWindow="-98" windowWidth="28996" windowHeight="17745" activeTab="3" xr2:uid="{1CED0541-8FE6-43FC-8C99-84ADE5FEB82D}"/>
  </bookViews>
  <sheets>
    <sheet name="E - B1" sheetId="1" r:id="rId1"/>
    <sheet name="E - B2" sheetId="2" r:id="rId2"/>
    <sheet name="E - B3" sheetId="3" r:id="rId3"/>
    <sheet name="Annex 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2" l="1"/>
  <c r="G9" i="2"/>
  <c r="H9" i="2"/>
  <c r="I9" i="2"/>
  <c r="G10" i="2"/>
  <c r="H10" i="2" s="1"/>
  <c r="I10" i="2"/>
  <c r="G11" i="2"/>
  <c r="H11" i="2" s="1"/>
  <c r="I11" i="2"/>
  <c r="G12" i="2"/>
  <c r="H12" i="2" s="1"/>
  <c r="I12" i="2"/>
  <c r="G12" i="3"/>
  <c r="G9" i="3"/>
  <c r="I11" i="3"/>
  <c r="G10" i="3"/>
  <c r="H8" i="3"/>
  <c r="I10" i="3"/>
  <c r="G11" i="3"/>
  <c r="H11" i="3" s="1"/>
  <c r="H46" i="3"/>
  <c r="G46" i="3"/>
  <c r="F46" i="3"/>
  <c r="E46" i="3"/>
  <c r="D46" i="3"/>
  <c r="C46" i="3"/>
  <c r="B46" i="3"/>
  <c r="A46" i="3"/>
  <c r="H45" i="3"/>
  <c r="G45" i="3"/>
  <c r="F45" i="3"/>
  <c r="E45" i="3"/>
  <c r="D45" i="3"/>
  <c r="C45" i="3"/>
  <c r="B45" i="3"/>
  <c r="A45" i="3"/>
  <c r="H44" i="3"/>
  <c r="G44" i="3"/>
  <c r="F44" i="3"/>
  <c r="E44" i="3"/>
  <c r="D44" i="3"/>
  <c r="C44" i="3"/>
  <c r="B44" i="3"/>
  <c r="A44" i="3"/>
  <c r="H43" i="3"/>
  <c r="G43" i="3"/>
  <c r="F43" i="3"/>
  <c r="E43" i="3"/>
  <c r="D43" i="3"/>
  <c r="C43" i="3"/>
  <c r="B43" i="3"/>
  <c r="A43" i="3"/>
  <c r="H42" i="3"/>
  <c r="G42" i="3"/>
  <c r="F42" i="3"/>
  <c r="E42" i="3"/>
  <c r="D42" i="3"/>
  <c r="C42" i="3"/>
  <c r="B42" i="3"/>
  <c r="A42" i="3"/>
  <c r="H41" i="3"/>
  <c r="G41" i="3"/>
  <c r="F41" i="3"/>
  <c r="E41" i="3"/>
  <c r="D41" i="3"/>
  <c r="C41" i="3"/>
  <c r="B41" i="3"/>
  <c r="A41" i="3"/>
  <c r="H40" i="3"/>
  <c r="G40" i="3"/>
  <c r="F40" i="3"/>
  <c r="E40" i="3"/>
  <c r="D40" i="3"/>
  <c r="C40" i="3"/>
  <c r="B40" i="3"/>
  <c r="A40" i="3"/>
  <c r="H39" i="3"/>
  <c r="G39" i="3"/>
  <c r="F39" i="3"/>
  <c r="E39" i="3"/>
  <c r="D39" i="3"/>
  <c r="C39" i="3"/>
  <c r="B39" i="3"/>
  <c r="A39" i="3"/>
  <c r="H38" i="3"/>
  <c r="G38" i="3"/>
  <c r="F38" i="3"/>
  <c r="E38" i="3"/>
  <c r="D38" i="3"/>
  <c r="C38" i="3"/>
  <c r="B38" i="3"/>
  <c r="A38" i="3"/>
  <c r="H37" i="3"/>
  <c r="G37" i="3"/>
  <c r="F37" i="3"/>
  <c r="E37" i="3"/>
  <c r="D37" i="3"/>
  <c r="C37" i="3"/>
  <c r="B37" i="3"/>
  <c r="A37" i="3"/>
  <c r="H36" i="3"/>
  <c r="G36" i="3"/>
  <c r="F36" i="3"/>
  <c r="E36" i="3"/>
  <c r="D36" i="3"/>
  <c r="C36" i="3"/>
  <c r="B36" i="3"/>
  <c r="A36" i="3"/>
  <c r="H35" i="3"/>
  <c r="G35" i="3"/>
  <c r="F35" i="3"/>
  <c r="E35" i="3"/>
  <c r="D35" i="3"/>
  <c r="C35" i="3"/>
  <c r="B35" i="3"/>
  <c r="A35" i="3"/>
  <c r="H34" i="3"/>
  <c r="G34" i="3"/>
  <c r="F34" i="3"/>
  <c r="E34" i="3"/>
  <c r="D34" i="3"/>
  <c r="C34" i="3"/>
  <c r="B34" i="3"/>
  <c r="A34" i="3"/>
  <c r="H33" i="3"/>
  <c r="G33" i="3"/>
  <c r="F33" i="3"/>
  <c r="E33" i="3"/>
  <c r="D33" i="3"/>
  <c r="C33" i="3"/>
  <c r="B33" i="3"/>
  <c r="A33" i="3"/>
  <c r="H32" i="3"/>
  <c r="G32" i="3"/>
  <c r="F32" i="3"/>
  <c r="E32" i="3"/>
  <c r="D32" i="3"/>
  <c r="C32" i="3"/>
  <c r="B32" i="3"/>
  <c r="A32" i="3"/>
  <c r="H31" i="3"/>
  <c r="G31" i="3"/>
  <c r="F31" i="3"/>
  <c r="E31" i="3"/>
  <c r="D31" i="3"/>
  <c r="C31" i="3"/>
  <c r="B31" i="3"/>
  <c r="A31" i="3"/>
  <c r="A31" i="2"/>
  <c r="B31" i="2"/>
  <c r="C31" i="2"/>
  <c r="D31" i="2"/>
  <c r="E31" i="2"/>
  <c r="F31" i="2"/>
  <c r="G31" i="2"/>
  <c r="H31" i="2"/>
  <c r="H8" i="1"/>
  <c r="G9" i="1"/>
  <c r="H9" i="1" s="1"/>
  <c r="I9" i="1"/>
  <c r="G10" i="1"/>
  <c r="H10" i="1"/>
  <c r="I10" i="1"/>
  <c r="G11" i="1"/>
  <c r="H11" i="1" s="1"/>
  <c r="I11" i="1"/>
  <c r="G12" i="1"/>
  <c r="H12" i="1"/>
  <c r="I12" i="1"/>
  <c r="M34" i="1"/>
  <c r="M32" i="1"/>
  <c r="M25" i="1"/>
  <c r="M24" i="1"/>
  <c r="R22" i="1"/>
  <c r="H9" i="3" l="1"/>
  <c r="H10" i="3"/>
  <c r="I9" i="3"/>
  <c r="H12" i="3"/>
  <c r="I12" i="3"/>
  <c r="B25" i="4"/>
  <c r="B23" i="4"/>
  <c r="B20" i="4"/>
  <c r="B19" i="4"/>
  <c r="B15" i="4"/>
  <c r="B18" i="4" s="1"/>
  <c r="I15" i="3"/>
  <c r="G15" i="3"/>
  <c r="I14" i="3"/>
  <c r="G14" i="3"/>
  <c r="D28" i="4" s="1"/>
  <c r="I13" i="3"/>
  <c r="G13" i="3"/>
  <c r="D27" i="4" s="1"/>
  <c r="D26" i="4"/>
  <c r="D25" i="4"/>
  <c r="D24" i="4"/>
  <c r="I15" i="2"/>
  <c r="G15" i="2"/>
  <c r="I14" i="2"/>
  <c r="G14" i="2"/>
  <c r="C28" i="4" s="1"/>
  <c r="I13" i="2"/>
  <c r="G13" i="2"/>
  <c r="C25" i="4"/>
  <c r="C23" i="4"/>
  <c r="I15" i="1"/>
  <c r="G15" i="1"/>
  <c r="I14" i="1"/>
  <c r="G14" i="1"/>
  <c r="H14" i="1" s="1"/>
  <c r="I13" i="1"/>
  <c r="G13" i="1"/>
  <c r="H13" i="1" s="1"/>
  <c r="B24" i="4"/>
  <c r="H13" i="2" l="1"/>
  <c r="D23" i="4"/>
  <c r="E23" i="4" s="1"/>
  <c r="I23" i="4" s="1"/>
  <c r="K12" i="3"/>
  <c r="H13" i="3"/>
  <c r="H15" i="3"/>
  <c r="J15" i="3" s="1"/>
  <c r="C26" i="4"/>
  <c r="H14" i="2"/>
  <c r="H15" i="2"/>
  <c r="J15" i="2" s="1"/>
  <c r="K9" i="2"/>
  <c r="K10" i="2"/>
  <c r="K11" i="2"/>
  <c r="J11" i="1"/>
  <c r="K9" i="3"/>
  <c r="J9" i="3"/>
  <c r="E25" i="4"/>
  <c r="I25" i="4" s="1"/>
  <c r="K12" i="1"/>
  <c r="J12" i="1"/>
  <c r="K12" i="2"/>
  <c r="J12" i="2"/>
  <c r="K13" i="1"/>
  <c r="J13" i="1"/>
  <c r="J14" i="1"/>
  <c r="K14" i="1"/>
  <c r="K13" i="2"/>
  <c r="J13" i="2"/>
  <c r="B26" i="4"/>
  <c r="H14" i="3"/>
  <c r="B27" i="4"/>
  <c r="C27" i="4"/>
  <c r="C24" i="4"/>
  <c r="E24" i="4" s="1"/>
  <c r="I24" i="4" s="1"/>
  <c r="H15" i="1"/>
  <c r="B28" i="4"/>
  <c r="E28" i="4" s="1"/>
  <c r="I28" i="4" s="1"/>
  <c r="J12" i="3"/>
  <c r="J10" i="2" l="1"/>
  <c r="K15" i="3"/>
  <c r="J9" i="2"/>
  <c r="J11" i="2"/>
  <c r="E26" i="4"/>
  <c r="I26" i="4" s="1"/>
  <c r="K11" i="1"/>
  <c r="J10" i="3"/>
  <c r="K10" i="3"/>
  <c r="K13" i="3"/>
  <c r="J13" i="3"/>
  <c r="K15" i="2"/>
  <c r="E27" i="4"/>
  <c r="I27" i="4" s="1"/>
  <c r="J14" i="2"/>
  <c r="K14" i="2"/>
  <c r="K11" i="3"/>
  <c r="J11" i="3"/>
  <c r="K14" i="3"/>
  <c r="J14" i="3"/>
  <c r="K9" i="1"/>
  <c r="J9" i="1"/>
  <c r="K15" i="1"/>
  <c r="J15" i="1"/>
  <c r="K10" i="1"/>
  <c r="J10" i="1"/>
</calcChain>
</file>

<file path=xl/sharedStrings.xml><?xml version="1.0" encoding="utf-8"?>
<sst xmlns="http://schemas.openxmlformats.org/spreadsheetml/2006/main" count="185" uniqueCount="90">
  <si>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</si>
  <si>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</si>
  <si>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</si>
  <si>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</si>
  <si>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</si>
  <si>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</si>
  <si>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</si>
  <si>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</si>
  <si>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</si>
  <si>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</si>
  <si>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</si>
  <si>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</si>
  <si>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</si>
  <si>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</si>
  <si>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</si>
  <si>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</si>
  <si>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</si>
  <si>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</si>
  <si>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</si>
  <si>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#00001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</si>
  <si>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</si>
  <si>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</si>
  <si>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</si>
  <si>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</si>
  <si>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</si>
  <si>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</si>
  <si>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</si>
  <si>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</si>
  <si>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</si>
  <si>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</si>
  <si>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</si>
  <si>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</si>
  <si>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</si>
  <si>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</si>
  <si>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</si>
  <si>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</si>
  <si>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#00009</t>
  </si>
  <si>
    <t>Counts per Table A.1
Cv &lt; Table C.2
6 sizes 5-15um</t>
  </si>
  <si>
    <t>RM8632x
1mg/l</t>
  </si>
  <si>
    <t>Annex E – particle counting accuracy. Ensure RM8632x counts in permitted range.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</si>
  <si>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</si>
  <si>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</si>
  <si>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</si>
  <si>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</si>
  <si>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</si>
  <si>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</si>
  <si>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</si>
  <si>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</si>
  <si>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</si>
  <si>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</si>
  <si>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</si>
  <si>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</si>
  <si>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</si>
  <si>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</si>
  <si>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</si>
  <si>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</si>
  <si>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</si>
  <si>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</si>
  <si>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</si>
  <si>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</si>
  <si>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</si>
  <si>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</si>
  <si>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</si>
  <si>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</si>
  <si>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</si>
  <si>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</si>
  <si>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</si>
  <si>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</si>
  <si>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</si>
  <si>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</si>
  <si>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</si>
  <si>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11171-00001</t>
  </si>
  <si>
    <t>REF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</si>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</sst>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1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67">
    <xf numFmtId="0" fontId="0" fillId="0" borderId="0" xfId="0"/>
    <xf numFmtId="0" fontId="3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" fontId="0" fillId="0" borderId="0" xfId="1" applyNumberFormat="1" applyFont="1"/>
    <xf numFmtId="1" fontId="3" fillId="0" borderId="0" xfId="1" applyNumberFormat="1" applyFont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0" fillId="0" borderId="0" xfId="0" applyAlignment="1">
      <alignment vertical="center" wrapText="1"/>
    </xf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18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1"/>
  <sheetViews>
    <sheetView zoomScale="85" zoomScaleNormal="85" workbookViewId="0">
      <selection activeCell="G8" sqref="G8"/>
    </sheetView>
  </sheetViews>
  <sheetFormatPr defaultColWidth="11.53125" defaultRowHeight="12.75" x14ac:dyDescent="0.35"/>
  <sheetData>
    <row r="1" spans="1:49" x14ac:dyDescent="0.35">
      <c r="A1" t="s">
        <v>0</v>
      </c>
    </row>
    <row r="4" spans="1:49" ht="13.15" x14ac:dyDescent="0.4">
      <c r="A4" s="1"/>
    </row>
    <row r="5" spans="1:49" x14ac:dyDescent="0.35">
      <c r="A5" s="2"/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11</v>
      </c>
      <c r="B8">
        <v>12.899665000000001</v>
      </c>
      <c r="C8">
        <v>14.140632999999999</v>
      </c>
      <c r="D8">
        <v>14.078093000000001</v>
      </c>
      <c r="E8">
        <v>14.256824</v>
      </c>
      <c r="F8">
        <v>14.288171</v>
      </c>
      <c r="G8" s="5"/>
      <c r="H8" s="5">
        <f>AVERAGE(B$8:F$8)*5</f>
        <v>69.663386000000003</v>
      </c>
      <c r="I8" s="6"/>
      <c r="K8" s="6"/>
    </row>
    <row r="9" spans="1:49" ht="40.15" x14ac:dyDescent="1.05">
      <c r="A9" s="4" t="s">
        <v>12</v>
      </c>
      <c r="B9">
        <v>5927.6733400000003</v>
      </c>
      <c r="C9">
        <v>5886.3701170000004</v>
      </c>
      <c r="D9">
        <v>5909.607422</v>
      </c>
      <c r="E9">
        <v>5684.0849609999996</v>
      </c>
      <c r="F9">
        <v>5638.5102539999998</v>
      </c>
      <c r="G9" s="7">
        <f>AVERAGE(B9:F9)</f>
        <v>5809.2492188000006</v>
      </c>
      <c r="H9" s="8">
        <f t="shared" ref="H9:H15" si="0">G9*H$8</f>
        <v>404691.97069946292</v>
      </c>
      <c r="I9" s="9">
        <f t="shared" ref="I9:I15" si="1">STDEVP(B9:F9)/AVERAGE(B9:F9)</f>
        <v>2.10632036005989E-2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3.5726318649245224E-3</v>
      </c>
      <c r="M9" s="10" t="s">
        <v>13</v>
      </c>
    </row>
    <row r="10" spans="1:49" ht="13.15" x14ac:dyDescent="0.4">
      <c r="A10" s="4" t="s">
        <v>14</v>
      </c>
      <c r="B10">
        <v>3592.186279</v>
      </c>
      <c r="C10">
        <v>3574.0268550000001</v>
      </c>
      <c r="D10">
        <v>3578.9648440000001</v>
      </c>
      <c r="E10">
        <v>3459.185547</v>
      </c>
      <c r="F10">
        <v>3432.4897460000002</v>
      </c>
      <c r="G10" s="7">
        <f t="shared" ref="G10:G15" si="4">AVERAGE(B10:F10)</f>
        <v>3527.3706542</v>
      </c>
      <c r="H10" s="11">
        <f t="shared" si="0"/>
        <v>245728.58344860713</v>
      </c>
      <c r="I10" s="6">
        <f t="shared" si="1"/>
        <v>1.9098302130145958E-2</v>
      </c>
      <c r="J10" s="6">
        <f t="shared" si="2"/>
        <v>0.11</v>
      </c>
      <c r="K10" s="6">
        <f t="shared" si="3"/>
        <v>3.2494496724553728E-3</v>
      </c>
    </row>
    <row r="11" spans="1:49" ht="40.15" x14ac:dyDescent="1.05">
      <c r="A11" s="4" t="s">
        <v>15</v>
      </c>
      <c r="B11">
        <v>1966.4077150000001</v>
      </c>
      <c r="C11">
        <v>1966.6022949999999</v>
      </c>
      <c r="D11">
        <v>1978.1088870000001</v>
      </c>
      <c r="E11">
        <v>1909.681885</v>
      </c>
      <c r="F11">
        <v>1904.30249</v>
      </c>
      <c r="G11" s="7">
        <f t="shared" si="4"/>
        <v>1945.0206544</v>
      </c>
      <c r="H11" s="11">
        <f t="shared" si="0"/>
        <v>135496.72462543979</v>
      </c>
      <c r="I11" s="6">
        <f t="shared" si="1"/>
        <v>1.6135602195803535E-2</v>
      </c>
      <c r="J11" s="6">
        <f t="shared" si="2"/>
        <v>0.11</v>
      </c>
      <c r="K11" s="6">
        <f t="shared" si="3"/>
        <v>2.7235491191402112E-3</v>
      </c>
      <c r="M11" s="10" t="s">
        <v>16</v>
      </c>
    </row>
    <row r="12" spans="1:49" ht="13.15" x14ac:dyDescent="0.4">
      <c r="A12" s="4" t="s">
        <v>17</v>
      </c>
      <c r="B12">
        <v>1079.950562</v>
      </c>
      <c r="C12">
        <v>1079.301025</v>
      </c>
      <c r="D12">
        <v>1079.9758300000001</v>
      </c>
      <c r="E12">
        <v>1042.44812</v>
      </c>
      <c r="F12">
        <v>1036.94165</v>
      </c>
      <c r="G12" s="7">
        <f t="shared" si="4"/>
        <v>1063.7234374</v>
      </c>
      <c r="H12" s="11">
        <f t="shared" si="0"/>
        <v>74102.576416843032</v>
      </c>
      <c r="I12" s="6">
        <f t="shared" si="1"/>
        <v>1.8517820026855009E-2</v>
      </c>
      <c r="J12" s="6">
        <f t="shared" si="2"/>
        <v>0.11</v>
      </c>
      <c r="K12" s="6">
        <f t="shared" si="3"/>
        <v>2.9036898634889241E-3</v>
      </c>
      <c r="M12" s="12">
        <v>46007</v>
      </c>
    </row>
    <row r="13" spans="1:49" ht="13.15" x14ac:dyDescent="0.4">
      <c r="A13" s="4" t="s">
        <v>18</v>
      </c>
      <c r="B13">
        <v>546.91345200000001</v>
      </c>
      <c r="C13">
        <v>533.56878700000004</v>
      </c>
      <c r="D13">
        <v>537.64386000000002</v>
      </c>
      <c r="E13">
        <v>519.82122800000002</v>
      </c>
      <c r="F13">
        <v>530.71875</v>
      </c>
      <c r="G13" s="7">
        <f t="shared" si="4"/>
        <v>533.73321539999995</v>
      </c>
      <c r="H13" s="11">
        <f t="shared" si="0"/>
        <v>37181.663005431343</v>
      </c>
      <c r="I13" s="6">
        <f t="shared" si="1"/>
        <v>1.6582518213125556E-2</v>
      </c>
      <c r="J13" s="6">
        <f t="shared" si="2"/>
        <v>0.11</v>
      </c>
      <c r="K13" s="6">
        <f t="shared" si="3"/>
        <v>3.6432238111623019E-3</v>
      </c>
      <c r="M13" t="s">
        <v>19</v>
      </c>
    </row>
    <row r="14" spans="1:49" ht="13.15" x14ac:dyDescent="0.4">
      <c r="A14" s="4" t="s">
        <v>20</v>
      </c>
      <c r="B14">
        <v>282.87558000000001</v>
      </c>
      <c r="C14">
        <v>269.012024</v>
      </c>
      <c r="D14">
        <v>271.98288000000002</v>
      </c>
      <c r="E14">
        <v>263.38262900000001</v>
      </c>
      <c r="F14">
        <v>275.05270400000001</v>
      </c>
      <c r="G14" s="7">
        <f t="shared" si="4"/>
        <v>272.46116339999998</v>
      </c>
      <c r="H14" s="13">
        <f t="shared" si="0"/>
        <v>18980.567195943273</v>
      </c>
      <c r="I14" s="14">
        <f t="shared" si="1"/>
        <v>2.3770133482127333E-2</v>
      </c>
      <c r="J14" s="14">
        <f t="shared" si="2"/>
        <v>0.11</v>
      </c>
      <c r="K14" s="14">
        <f t="shared" si="3"/>
        <v>5.1349758937041263E-3</v>
      </c>
      <c r="M14" s="15"/>
    </row>
    <row r="15" spans="1:49" ht="13.15" x14ac:dyDescent="0.4">
      <c r="A15" s="4" t="s">
        <v>21</v>
      </c>
      <c r="B15">
        <v>163.33757</v>
      </c>
      <c r="C15">
        <v>148.791077</v>
      </c>
      <c r="D15">
        <v>152.64851400000001</v>
      </c>
      <c r="E15">
        <v>147.08744799999999</v>
      </c>
      <c r="F15">
        <v>154.67340100000001</v>
      </c>
      <c r="G15" s="7">
        <f t="shared" si="4"/>
        <v>153.307602</v>
      </c>
      <c r="H15" s="11">
        <f t="shared" si="0"/>
        <v>10679.926654860372</v>
      </c>
      <c r="I15" s="6">
        <f t="shared" si="1"/>
        <v>3.7127403100246134E-2</v>
      </c>
      <c r="J15" s="6">
        <f t="shared" si="2"/>
        <v>0.11</v>
      </c>
      <c r="K15" s="6">
        <f t="shared" si="3"/>
        <v>7.6077872653763359E-3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5" thickBot="1" x14ac:dyDescent="0.45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52" t="s">
        <v>73</v>
      </c>
      <c r="L19" s="53"/>
      <c r="M19" s="53"/>
      <c r="N19" s="54"/>
      <c r="P19" s="1" t="s">
        <v>74</v>
      </c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55" t="s">
        <v>75</v>
      </c>
      <c r="L20" s="56"/>
      <c r="M20" s="57">
        <v>100</v>
      </c>
      <c r="N20" s="58" t="s">
        <v>76</v>
      </c>
      <c r="P20" t="s">
        <v>77</v>
      </c>
      <c r="R20" s="1">
        <v>250</v>
      </c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9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55" t="s">
        <v>78</v>
      </c>
      <c r="M21" s="57">
        <v>500</v>
      </c>
      <c r="N21" s="58" t="s">
        <v>50</v>
      </c>
      <c r="P21" t="s">
        <v>79</v>
      </c>
      <c r="R21" s="1">
        <v>1000</v>
      </c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9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55" t="s">
        <v>80</v>
      </c>
      <c r="M22" s="59">
        <v>1</v>
      </c>
      <c r="N22" s="58" t="s">
        <v>76</v>
      </c>
      <c r="P22" t="s">
        <v>81</v>
      </c>
      <c r="R22" s="1">
        <f>R21*R20/1000</f>
        <v>250</v>
      </c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x14ac:dyDescent="0.35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55"/>
      <c r="N23" s="5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9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55" t="s">
        <v>82</v>
      </c>
      <c r="M24" s="60">
        <f>M22/M20*M21</f>
        <v>5</v>
      </c>
      <c r="N24" s="58" t="s">
        <v>50</v>
      </c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9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55" t="s">
        <v>83</v>
      </c>
      <c r="M25" s="61">
        <f>M21*(1-M22/M20)</f>
        <v>495</v>
      </c>
      <c r="N25" s="58" t="s">
        <v>50</v>
      </c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ht="13.15" thickBot="1" x14ac:dyDescent="0.4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2"/>
      <c r="L26" s="63"/>
      <c r="M26" s="63"/>
      <c r="N26" s="64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</row>
    <row r="28" spans="1:49" ht="13.15" x14ac:dyDescent="0.4">
      <c r="A28" s="4"/>
      <c r="G28" s="16"/>
      <c r="H28" s="11"/>
      <c r="I28" s="6"/>
      <c r="J28" s="6"/>
      <c r="K28" s="1" t="s">
        <v>84</v>
      </c>
    </row>
    <row r="29" spans="1:49" ht="13.15" x14ac:dyDescent="0.4">
      <c r="A29" s="4"/>
      <c r="G29" s="16"/>
      <c r="H29" s="11"/>
      <c r="I29" s="6"/>
      <c r="J29" s="6"/>
      <c r="K29" t="s">
        <v>85</v>
      </c>
      <c r="L29" s="56"/>
      <c r="M29" s="3">
        <v>100</v>
      </c>
    </row>
    <row r="30" spans="1:49" ht="13.15" x14ac:dyDescent="0.4">
      <c r="A30" s="4"/>
      <c r="G30" s="16"/>
      <c r="H30" s="11"/>
      <c r="I30" s="6"/>
      <c r="J30" s="6"/>
      <c r="K30" t="s">
        <v>86</v>
      </c>
      <c r="M30" s="3">
        <v>500</v>
      </c>
    </row>
    <row r="31" spans="1:49" ht="13.15" x14ac:dyDescent="0.4">
      <c r="A31" s="4" t="s">
        <v>11</v>
      </c>
      <c r="B31" s="4" t="s">
        <v>12</v>
      </c>
      <c r="C31" s="4" t="s">
        <v>14</v>
      </c>
      <c r="D31" s="4" t="s">
        <v>15</v>
      </c>
      <c r="E31" s="4" t="s">
        <v>17</v>
      </c>
      <c r="F31" s="4" t="s">
        <v>18</v>
      </c>
      <c r="G31" s="4" t="s">
        <v>20</v>
      </c>
      <c r="H31" s="4" t="s">
        <v>21</v>
      </c>
      <c r="I31" s="6"/>
      <c r="J31" s="6"/>
      <c r="K31" t="s">
        <v>87</v>
      </c>
      <c r="M31" s="65">
        <v>6.5</v>
      </c>
    </row>
    <row r="32" spans="1:49" x14ac:dyDescent="0.35">
      <c r="A32">
        <v>12.899665000000001</v>
      </c>
      <c r="B32">
        <v>5927.6733400000003</v>
      </c>
      <c r="C32">
        <v>3592.186279</v>
      </c>
      <c r="D32">
        <v>1966.4077150000001</v>
      </c>
      <c r="E32">
        <v>1079.950562</v>
      </c>
      <c r="F32">
        <v>546.91345200000001</v>
      </c>
      <c r="G32">
        <v>282.87558000000001</v>
      </c>
      <c r="H32">
        <v>163.33757</v>
      </c>
      <c r="I32" s="6"/>
      <c r="J32" s="6"/>
      <c r="K32" t="s">
        <v>82</v>
      </c>
      <c r="M32">
        <f>M31*M30/M29</f>
        <v>32.5</v>
      </c>
    </row>
    <row r="33" spans="1:13" ht="13.15" x14ac:dyDescent="0.4">
      <c r="A33">
        <v>14.140632999999999</v>
      </c>
      <c r="B33">
        <v>5886.3701170000004</v>
      </c>
      <c r="C33">
        <v>3574.0268550000001</v>
      </c>
      <c r="D33">
        <v>1966.6022949999999</v>
      </c>
      <c r="E33">
        <v>1079.301025</v>
      </c>
      <c r="F33">
        <v>533.56878700000004</v>
      </c>
      <c r="G33">
        <v>269.012024</v>
      </c>
      <c r="H33">
        <v>148.791077</v>
      </c>
      <c r="I33" s="6"/>
      <c r="J33" s="6"/>
      <c r="K33" t="s">
        <v>88</v>
      </c>
      <c r="M33" s="1">
        <v>3.27</v>
      </c>
    </row>
    <row r="34" spans="1:13" x14ac:dyDescent="0.35">
      <c r="A34">
        <v>14.078093000000001</v>
      </c>
      <c r="B34">
        <v>5909.607422</v>
      </c>
      <c r="C34">
        <v>3578.9648440000001</v>
      </c>
      <c r="D34">
        <v>1978.1088870000001</v>
      </c>
      <c r="E34">
        <v>1079.9758300000001</v>
      </c>
      <c r="F34">
        <v>537.64386000000002</v>
      </c>
      <c r="G34">
        <v>271.98288000000002</v>
      </c>
      <c r="H34">
        <v>152.64851400000001</v>
      </c>
      <c r="I34" s="6"/>
      <c r="J34" s="6"/>
      <c r="K34" t="s">
        <v>89</v>
      </c>
      <c r="M34" s="66">
        <f>M33*M29/(M30+M33)</f>
        <v>0.64975063087408347</v>
      </c>
    </row>
    <row r="35" spans="1:13" x14ac:dyDescent="0.35">
      <c r="A35">
        <v>14.256824</v>
      </c>
      <c r="B35">
        <v>5684.0849609999996</v>
      </c>
      <c r="C35">
        <v>3459.185547</v>
      </c>
      <c r="D35">
        <v>1909.681885</v>
      </c>
      <c r="E35">
        <v>1042.44812</v>
      </c>
      <c r="F35">
        <v>519.82122800000002</v>
      </c>
      <c r="G35">
        <v>263.38262900000001</v>
      </c>
      <c r="H35">
        <v>147.08744799999999</v>
      </c>
      <c r="I35" s="6"/>
      <c r="J35" s="6"/>
      <c r="K35" s="6"/>
      <c r="M35" s="15"/>
    </row>
    <row r="36" spans="1:13" x14ac:dyDescent="0.35">
      <c r="A36">
        <v>14.288171</v>
      </c>
      <c r="B36">
        <v>5638.5102539999998</v>
      </c>
      <c r="C36">
        <v>3432.4897460000002</v>
      </c>
      <c r="D36">
        <v>1904.30249</v>
      </c>
      <c r="E36">
        <v>1036.94165</v>
      </c>
      <c r="F36">
        <v>530.71875</v>
      </c>
      <c r="G36">
        <v>275.05270400000001</v>
      </c>
      <c r="H36">
        <v>154.67340100000001</v>
      </c>
      <c r="I36" s="6"/>
      <c r="J36" s="6"/>
      <c r="K36" s="6"/>
      <c r="M36" s="15"/>
    </row>
    <row r="37" spans="1:13" x14ac:dyDescent="0.35">
      <c r="A37">
        <v>13.005224</v>
      </c>
      <c r="B37">
        <v>6604.5766599999997</v>
      </c>
      <c r="C37">
        <v>3990.7807619999999</v>
      </c>
      <c r="D37">
        <v>2206.9592290000001</v>
      </c>
      <c r="E37">
        <v>1211.5900879999999</v>
      </c>
      <c r="F37">
        <v>618.52069100000006</v>
      </c>
      <c r="G37">
        <v>314.79656999999997</v>
      </c>
      <c r="H37">
        <v>180.61972</v>
      </c>
      <c r="I37" s="6"/>
      <c r="J37" s="6"/>
      <c r="K37" s="6"/>
    </row>
    <row r="38" spans="1:13" x14ac:dyDescent="0.35">
      <c r="A38">
        <v>14.095831</v>
      </c>
      <c r="B38">
        <v>6684.1040039999998</v>
      </c>
      <c r="C38">
        <v>4023.530029</v>
      </c>
      <c r="D38">
        <v>2227.2543949999999</v>
      </c>
      <c r="E38">
        <v>1230.2219239999999</v>
      </c>
      <c r="F38">
        <v>626.78106700000001</v>
      </c>
      <c r="G38">
        <v>329.104401</v>
      </c>
      <c r="H38">
        <v>189.91430700000001</v>
      </c>
      <c r="I38" s="6"/>
      <c r="J38" s="6"/>
      <c r="K38" s="6"/>
    </row>
    <row r="39" spans="1:13" x14ac:dyDescent="0.35">
      <c r="A39">
        <v>13.994657</v>
      </c>
      <c r="B39">
        <v>6672.4038090000004</v>
      </c>
      <c r="C39">
        <v>3986.8789059999999</v>
      </c>
      <c r="D39">
        <v>2203.4838869999999</v>
      </c>
      <c r="E39">
        <v>1210.319092</v>
      </c>
      <c r="F39">
        <v>629.45452899999998</v>
      </c>
      <c r="G39">
        <v>323.12332199999997</v>
      </c>
      <c r="H39">
        <v>188.57197600000001</v>
      </c>
    </row>
    <row r="40" spans="1:13" x14ac:dyDescent="0.35">
      <c r="A40">
        <v>14.086591</v>
      </c>
      <c r="B40">
        <v>6719.3691410000001</v>
      </c>
      <c r="C40">
        <v>4063.2258299999999</v>
      </c>
      <c r="D40">
        <v>2247.314453</v>
      </c>
      <c r="E40">
        <v>1238.9086910000001</v>
      </c>
      <c r="F40">
        <v>627.26318400000002</v>
      </c>
      <c r="G40">
        <v>322.64727800000003</v>
      </c>
      <c r="H40">
        <v>182.868942</v>
      </c>
    </row>
    <row r="41" spans="1:13" x14ac:dyDescent="0.35">
      <c r="A41">
        <v>14.098701</v>
      </c>
      <c r="B41">
        <v>7280.6000979999999</v>
      </c>
      <c r="C41">
        <v>4559.8530270000001</v>
      </c>
      <c r="D41">
        <v>2670.8134770000001</v>
      </c>
      <c r="E41">
        <v>1572.3435059999999</v>
      </c>
      <c r="F41">
        <v>877.52770999999996</v>
      </c>
      <c r="G41">
        <v>504.51458700000001</v>
      </c>
      <c r="H41">
        <v>311.37622099999999</v>
      </c>
    </row>
    <row r="42" spans="1:13" x14ac:dyDescent="0.35">
      <c r="A42">
        <v>13.178515000000001</v>
      </c>
      <c r="B42">
        <v>5674.6909180000002</v>
      </c>
      <c r="C42">
        <v>3444.318115</v>
      </c>
      <c r="D42">
        <v>1896.8752440000001</v>
      </c>
      <c r="E42">
        <v>1031.3756100000001</v>
      </c>
      <c r="F42">
        <v>512.04553199999998</v>
      </c>
      <c r="G42">
        <v>253.366928</v>
      </c>
      <c r="H42">
        <v>139.697067</v>
      </c>
    </row>
    <row r="43" spans="1:13" x14ac:dyDescent="0.35">
      <c r="A43">
        <v>14.304658999999999</v>
      </c>
      <c r="B43">
        <v>5784.4790039999998</v>
      </c>
      <c r="C43">
        <v>3510.744385</v>
      </c>
      <c r="D43">
        <v>1926.575073</v>
      </c>
      <c r="E43">
        <v>1036.445557</v>
      </c>
      <c r="F43">
        <v>506.058899</v>
      </c>
      <c r="G43" s="15">
        <v>256.979218</v>
      </c>
      <c r="H43" s="15">
        <v>143.24005099999999</v>
      </c>
    </row>
    <row r="44" spans="1:13" ht="13.15" x14ac:dyDescent="0.4">
      <c r="A44" s="1">
        <v>14.120302000000001</v>
      </c>
      <c r="B44">
        <v>5781.4628910000001</v>
      </c>
      <c r="C44">
        <v>3522.9416500000002</v>
      </c>
      <c r="D44">
        <v>1928.5706789999999</v>
      </c>
      <c r="E44">
        <v>1032.343384</v>
      </c>
      <c r="F44">
        <v>511.81625400000001</v>
      </c>
      <c r="G44">
        <v>255.660248</v>
      </c>
      <c r="H44">
        <v>138.80722</v>
      </c>
    </row>
    <row r="45" spans="1:13" x14ac:dyDescent="0.35">
      <c r="A45">
        <v>14.325768</v>
      </c>
      <c r="B45">
        <v>5697.2861329999996</v>
      </c>
      <c r="C45">
        <v>3466.3413089999999</v>
      </c>
      <c r="D45">
        <v>1889.6020510000001</v>
      </c>
      <c r="E45">
        <v>1031.21875</v>
      </c>
      <c r="F45">
        <v>514.52740500000004</v>
      </c>
      <c r="G45">
        <v>261.48687699999999</v>
      </c>
      <c r="H45">
        <v>141.563095</v>
      </c>
    </row>
    <row r="46" spans="1:13" x14ac:dyDescent="0.35">
      <c r="A46">
        <v>14.273574</v>
      </c>
      <c r="B46">
        <v>5752.0981449999999</v>
      </c>
      <c r="C46">
        <v>3479.0166020000001</v>
      </c>
      <c r="D46">
        <v>1910.3134769999999</v>
      </c>
      <c r="E46">
        <v>1043.3967290000001</v>
      </c>
      <c r="F46">
        <v>525.65673800000002</v>
      </c>
      <c r="G46">
        <v>264.33462500000002</v>
      </c>
      <c r="H46">
        <v>147.61544799999999</v>
      </c>
    </row>
    <row r="48" spans="1:13" x14ac:dyDescent="0.35">
      <c r="H48" s="32"/>
    </row>
    <row r="49" spans="1:10" ht="13.15" x14ac:dyDescent="0.4">
      <c r="A49" s="1"/>
      <c r="H49" s="33"/>
    </row>
    <row r="64" spans="1:10" x14ac:dyDescent="0.35">
      <c r="I64" s="15"/>
      <c r="J64" s="15"/>
    </row>
    <row r="69" spans="10:11" x14ac:dyDescent="0.35">
      <c r="J69" s="28"/>
    </row>
    <row r="70" spans="10:11" ht="13.15" x14ac:dyDescent="0.4">
      <c r="J70" s="34"/>
    </row>
    <row r="71" spans="10:11" ht="13.15" x14ac:dyDescent="0.4">
      <c r="K71" s="3"/>
    </row>
  </sheetData>
  <conditionalFormatting sqref="H9:H18 H28:H30">
    <cfRule type="cellIs" dxfId="17" priority="1" operator="greaterThan">
      <formula>1000</formula>
    </cfRule>
  </conditionalFormatting>
  <conditionalFormatting sqref="K9:K18 K35:K38">
    <cfRule type="cellIs" dxfId="16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zoomScale="85" zoomScaleNormal="85" workbookViewId="0">
      <selection activeCell="G8" sqref="G8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O2" s="10"/>
    </row>
    <row r="4" spans="1:49" ht="40.15" x14ac:dyDescent="1.05">
      <c r="A4" s="1" t="s">
        <v>33</v>
      </c>
      <c r="O4" s="10" t="s">
        <v>16</v>
      </c>
    </row>
    <row r="5" spans="1:49" x14ac:dyDescent="0.35">
      <c r="O5" s="12">
        <v>46007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19</v>
      </c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35</v>
      </c>
      <c r="B8">
        <v>13.005224</v>
      </c>
      <c r="C8">
        <v>14.095831</v>
      </c>
      <c r="D8">
        <v>13.994657</v>
      </c>
      <c r="E8">
        <v>14.086591</v>
      </c>
      <c r="F8">
        <v>14.098701</v>
      </c>
      <c r="G8" s="5"/>
      <c r="H8" s="5">
        <f>AVERAGE(B$8:F$8)*5</f>
        <v>69.28100400000001</v>
      </c>
      <c r="I8" s="6"/>
      <c r="K8" s="6"/>
    </row>
    <row r="9" spans="1:49" ht="13.15" x14ac:dyDescent="0.4">
      <c r="A9" s="18" t="s">
        <v>12</v>
      </c>
      <c r="B9">
        <v>6604.5766599999997</v>
      </c>
      <c r="C9">
        <v>6684.1040039999998</v>
      </c>
      <c r="D9">
        <v>6672.4038090000004</v>
      </c>
      <c r="E9">
        <v>6719.3691410000001</v>
      </c>
      <c r="F9">
        <v>7280.6000979999999</v>
      </c>
      <c r="G9" s="7">
        <f>AVERAGE(B9:F9)</f>
        <v>6792.2107424000005</v>
      </c>
      <c r="H9" s="8">
        <f t="shared" ref="H9:H15" si="0">G9*H$8</f>
        <v>470571.17961305747</v>
      </c>
      <c r="I9" s="9">
        <f t="shared" ref="I9:I15" si="1">STDEVP(B9:F9)/AVERAGE(B9:F9)</f>
        <v>3.6367114886598426E-2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7.1830093648731583E-3</v>
      </c>
      <c r="M9" s="15"/>
    </row>
    <row r="10" spans="1:49" ht="13.15" x14ac:dyDescent="0.4">
      <c r="A10" s="4" t="s">
        <v>14</v>
      </c>
      <c r="B10">
        <v>3990.7807619999999</v>
      </c>
      <c r="C10">
        <v>4023.530029</v>
      </c>
      <c r="D10">
        <v>3986.8789059999999</v>
      </c>
      <c r="E10">
        <v>4063.2258299999999</v>
      </c>
      <c r="F10">
        <v>4559.8530270000001</v>
      </c>
      <c r="G10" s="7">
        <f t="shared" ref="G10:G15" si="4">AVERAGE(B10:F10)</f>
        <v>4124.8537108</v>
      </c>
      <c r="H10" s="11">
        <f t="shared" si="0"/>
        <v>285774.00643734972</v>
      </c>
      <c r="I10" s="6">
        <f t="shared" si="1"/>
        <v>5.3147725145812522E-2</v>
      </c>
      <c r="J10" s="6">
        <f t="shared" si="2"/>
        <v>0.11</v>
      </c>
      <c r="K10" s="6">
        <f t="shared" si="3"/>
        <v>1.0024951676730148E-2</v>
      </c>
      <c r="M10" s="15"/>
    </row>
    <row r="11" spans="1:49" ht="13.15" x14ac:dyDescent="0.4">
      <c r="A11" s="4" t="s">
        <v>15</v>
      </c>
      <c r="B11">
        <v>2206.9592290000001</v>
      </c>
      <c r="C11">
        <v>2227.2543949999999</v>
      </c>
      <c r="D11">
        <v>2203.4838869999999</v>
      </c>
      <c r="E11">
        <v>2247.314453</v>
      </c>
      <c r="F11">
        <v>2670.8134770000001</v>
      </c>
      <c r="G11" s="7">
        <f t="shared" si="4"/>
        <v>2311.1650882000004</v>
      </c>
      <c r="H11" s="11">
        <f t="shared" si="0"/>
        <v>160119.8377202446</v>
      </c>
      <c r="I11" s="6">
        <f t="shared" si="1"/>
        <v>7.8103386008030767E-2</v>
      </c>
      <c r="J11" s="6">
        <f t="shared" si="2"/>
        <v>0.11</v>
      </c>
      <c r="K11" s="6">
        <f t="shared" si="3"/>
        <v>1.4593119648812693E-2</v>
      </c>
      <c r="M11" s="15"/>
    </row>
    <row r="12" spans="1:49" ht="13.15" x14ac:dyDescent="0.4">
      <c r="A12" s="4" t="s">
        <v>17</v>
      </c>
      <c r="B12">
        <v>1211.5900879999999</v>
      </c>
      <c r="C12">
        <v>1230.2219239999999</v>
      </c>
      <c r="D12">
        <v>1210.319092</v>
      </c>
      <c r="E12">
        <v>1238.9086910000001</v>
      </c>
      <c r="F12">
        <v>1572.3435059999999</v>
      </c>
      <c r="G12" s="7">
        <f t="shared" si="4"/>
        <v>1292.6766602000002</v>
      </c>
      <c r="H12" s="11">
        <f t="shared" si="0"/>
        <v>89557.936866022865</v>
      </c>
      <c r="I12" s="6">
        <f t="shared" si="1"/>
        <v>0.10850277075627633</v>
      </c>
      <c r="J12" s="6">
        <f t="shared" si="2"/>
        <v>0.11</v>
      </c>
      <c r="K12" s="6">
        <f t="shared" si="3"/>
        <v>2.0211743742019332E-2</v>
      </c>
      <c r="M12" s="15"/>
    </row>
    <row r="13" spans="1:49" ht="13.15" x14ac:dyDescent="0.4">
      <c r="A13" s="4" t="s">
        <v>18</v>
      </c>
      <c r="B13">
        <v>618.52069100000006</v>
      </c>
      <c r="C13">
        <v>626.78106700000001</v>
      </c>
      <c r="D13">
        <v>629.45452899999998</v>
      </c>
      <c r="E13">
        <v>627.26318400000002</v>
      </c>
      <c r="F13">
        <v>877.52770999999996</v>
      </c>
      <c r="G13" s="7">
        <f t="shared" si="4"/>
        <v>675.90943619999996</v>
      </c>
      <c r="H13" s="11">
        <f t="shared" si="0"/>
        <v>46827.68435300995</v>
      </c>
      <c r="I13" s="6">
        <f t="shared" si="1"/>
        <v>0.14924729927161309</v>
      </c>
      <c r="J13" s="6">
        <f t="shared" si="2"/>
        <v>0.11</v>
      </c>
      <c r="K13" s="6">
        <f t="shared" si="3"/>
        <v>2.7655330663745668E-2</v>
      </c>
      <c r="M13" s="15"/>
    </row>
    <row r="14" spans="1:49" ht="13.15" x14ac:dyDescent="0.4">
      <c r="A14" s="23" t="s">
        <v>20</v>
      </c>
      <c r="B14">
        <v>314.79656999999997</v>
      </c>
      <c r="C14">
        <v>329.104401</v>
      </c>
      <c r="D14">
        <v>323.12332199999997</v>
      </c>
      <c r="E14">
        <v>322.64727800000003</v>
      </c>
      <c r="F14">
        <v>504.51458700000001</v>
      </c>
      <c r="G14" s="7">
        <f t="shared" si="4"/>
        <v>358.8372316</v>
      </c>
      <c r="H14" s="13">
        <f t="shared" si="0"/>
        <v>24860.603677828531</v>
      </c>
      <c r="I14" s="14">
        <f t="shared" si="1"/>
        <v>0.2033802913935702</v>
      </c>
      <c r="J14" s="14">
        <f t="shared" si="2"/>
        <v>0.11</v>
      </c>
      <c r="K14" s="14">
        <f t="shared" si="3"/>
        <v>3.8156357636881633E-2</v>
      </c>
      <c r="M14" s="15"/>
    </row>
    <row r="15" spans="1:49" ht="13.15" x14ac:dyDescent="0.4">
      <c r="A15" s="4" t="s">
        <v>21</v>
      </c>
      <c r="B15">
        <v>180.61972</v>
      </c>
      <c r="C15">
        <v>189.91430700000001</v>
      </c>
      <c r="D15">
        <v>188.57197600000001</v>
      </c>
      <c r="E15">
        <v>182.868942</v>
      </c>
      <c r="F15">
        <v>311.37622099999999</v>
      </c>
      <c r="G15" s="7">
        <f t="shared" si="4"/>
        <v>210.67023320000004</v>
      </c>
      <c r="H15" s="11">
        <f t="shared" si="0"/>
        <v>14595.445269010137</v>
      </c>
      <c r="I15" s="6">
        <f t="shared" si="1"/>
        <v>0.23957510609626001</v>
      </c>
      <c r="J15" s="6">
        <f t="shared" si="2"/>
        <v>0.11</v>
      </c>
      <c r="K15" s="6">
        <f t="shared" si="3"/>
        <v>4.4793597793699881E-2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15" x14ac:dyDescent="0.4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6"/>
      <c r="M19" s="15"/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6"/>
      <c r="M20" s="15"/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15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6"/>
      <c r="M21" s="15"/>
      <c r="O21" s="1"/>
      <c r="R21" s="3"/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15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6"/>
      <c r="M22" s="15"/>
      <c r="O22" s="3"/>
      <c r="P22" s="4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ht="13.15" x14ac:dyDescent="0.4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6"/>
      <c r="M23" s="15"/>
      <c r="O23" s="3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15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6"/>
      <c r="M24" s="15"/>
      <c r="O24" s="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15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6"/>
      <c r="M25" s="15"/>
      <c r="O25" s="3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x14ac:dyDescent="0.35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"/>
      <c r="M26" s="15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  <c r="K27" s="6"/>
      <c r="M27" s="15"/>
    </row>
    <row r="28" spans="1:49" ht="13.15" x14ac:dyDescent="0.4">
      <c r="A28" s="4"/>
      <c r="G28" s="16"/>
      <c r="H28" s="11"/>
      <c r="I28" s="6"/>
      <c r="J28" s="6"/>
      <c r="K28" s="6"/>
      <c r="M28" s="15"/>
    </row>
    <row r="29" spans="1:49" ht="13.15" x14ac:dyDescent="0.4">
      <c r="A29" s="4"/>
      <c r="G29" s="16"/>
      <c r="H29" s="11"/>
      <c r="I29" s="6"/>
      <c r="J29" s="6"/>
      <c r="K29" s="6"/>
      <c r="M29" s="15"/>
    </row>
    <row r="30" spans="1:49" ht="13.15" x14ac:dyDescent="0.4">
      <c r="A30" s="4"/>
      <c r="G30" s="16"/>
      <c r="H30" s="11"/>
      <c r="I30" s="6"/>
      <c r="J30" s="6"/>
      <c r="K30" s="6"/>
      <c r="M30" s="15"/>
    </row>
    <row r="31" spans="1:49" ht="13.15" x14ac:dyDescent="0.4">
      <c r="A31" s="4" t="str">
        <f>'E - B1'!A31</f>
        <v>scanned_volume_ml</v>
      </c>
      <c r="B31" t="str">
        <f>'E - B1'!B31</f>
        <v>count_4</v>
      </c>
      <c r="C31" t="str">
        <f>'E - B1'!C31</f>
        <v>count_5</v>
      </c>
      <c r="D31" t="str">
        <f>'E - B1'!D31</f>
        <v>count_6</v>
      </c>
      <c r="E31" t="str">
        <f>'E - B1'!E31</f>
        <v>count_7</v>
      </c>
      <c r="F31" t="str">
        <f>'E - B1'!F31</f>
        <v>count_8</v>
      </c>
      <c r="G31" s="16" t="str">
        <f>'E - B1'!G31</f>
        <v>count_9</v>
      </c>
      <c r="H31" s="11" t="str">
        <f>'E - B1'!H31</f>
        <v>count_10</v>
      </c>
      <c r="I31" s="6"/>
      <c r="J31" s="6"/>
      <c r="K31" s="6"/>
      <c r="M31" s="15"/>
    </row>
    <row r="32" spans="1:49" ht="13.15" x14ac:dyDescent="0.4">
      <c r="A32" s="4"/>
      <c r="G32" s="16"/>
      <c r="H32" s="11"/>
      <c r="I32" s="6"/>
      <c r="J32" s="6"/>
      <c r="K32" s="6"/>
      <c r="M32" s="15"/>
    </row>
    <row r="33" spans="1:13" ht="13.15" x14ac:dyDescent="0.4">
      <c r="A33" s="4"/>
      <c r="G33" s="16"/>
      <c r="H33" s="11"/>
      <c r="I33" s="6"/>
      <c r="J33" s="6"/>
      <c r="K33" s="6"/>
      <c r="M33" s="15"/>
    </row>
    <row r="34" spans="1:13" ht="13.15" x14ac:dyDescent="0.4">
      <c r="A34" s="4"/>
      <c r="G34" s="16"/>
      <c r="H34" s="11"/>
      <c r="I34" s="6"/>
      <c r="J34" s="6"/>
      <c r="K34" s="6"/>
      <c r="M34" s="15"/>
    </row>
    <row r="35" spans="1:13" ht="13.15" x14ac:dyDescent="0.4">
      <c r="A35" s="4"/>
      <c r="G35" s="16"/>
      <c r="H35" s="11"/>
      <c r="I35" s="6"/>
      <c r="J35" s="6"/>
      <c r="K35" s="6"/>
      <c r="M35" s="15"/>
    </row>
    <row r="36" spans="1:13" ht="13.15" x14ac:dyDescent="0.4">
      <c r="A36" s="4"/>
      <c r="G36" s="16"/>
      <c r="H36" s="11"/>
      <c r="I36" s="6"/>
      <c r="J36" s="6"/>
      <c r="K36" s="6"/>
      <c r="M36" s="15"/>
    </row>
    <row r="37" spans="1:13" ht="13.15" x14ac:dyDescent="0.4">
      <c r="A37" s="4"/>
      <c r="G37" s="16"/>
      <c r="H37" s="11"/>
      <c r="I37" s="6"/>
      <c r="J37" s="6"/>
      <c r="K37" s="6"/>
    </row>
    <row r="38" spans="1:13" ht="13.15" x14ac:dyDescent="0.4">
      <c r="A38" s="4"/>
      <c r="G38" s="16"/>
      <c r="H38" s="11"/>
      <c r="I38" s="6"/>
      <c r="J38" s="6"/>
      <c r="K38" s="6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5"/>
      <c r="J71" s="15"/>
    </row>
    <row r="72" spans="1:11" x14ac:dyDescent="0.35">
      <c r="G72" s="15"/>
      <c r="H72" s="15"/>
      <c r="I72" s="15"/>
      <c r="J72" s="15"/>
    </row>
    <row r="73" spans="1:11" ht="13.15" x14ac:dyDescent="0.4">
      <c r="A73" s="1"/>
    </row>
    <row r="77" spans="1:11" x14ac:dyDescent="0.35">
      <c r="H77" s="28"/>
      <c r="J77" s="28"/>
    </row>
    <row r="78" spans="1:11" ht="13.15" x14ac:dyDescent="0.4">
      <c r="A78" s="1"/>
      <c r="H78" s="34"/>
      <c r="J78" s="34"/>
    </row>
    <row r="79" spans="1:11" ht="13.15" x14ac:dyDescent="0.4">
      <c r="K79" s="3"/>
    </row>
  </sheetData>
  <conditionalFormatting sqref="H9:H18 H28:H39">
    <cfRule type="cellIs" dxfId="15" priority="1" operator="greaterThan">
      <formula>1000</formula>
    </cfRule>
  </conditionalFormatting>
  <conditionalFormatting sqref="K9:K38">
    <cfRule type="cellIs" dxfId="1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G8" sqref="G8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10"/>
    </row>
    <row r="4" spans="1:49" ht="40.15" x14ac:dyDescent="1.05">
      <c r="A4" s="1" t="s">
        <v>33</v>
      </c>
      <c r="O4" s="10" t="s">
        <v>16</v>
      </c>
    </row>
    <row r="5" spans="1:49" x14ac:dyDescent="0.35">
      <c r="O5" s="12">
        <v>45831</v>
      </c>
    </row>
    <row r="6" spans="1:49" ht="13.15" x14ac:dyDescent="0.4">
      <c r="A6" t="s">
        <v>34</v>
      </c>
      <c r="B6" s="1"/>
      <c r="C6" s="1"/>
      <c r="D6" s="1"/>
      <c r="E6" s="1"/>
      <c r="F6" s="1"/>
      <c r="O6" t="s">
        <v>36</v>
      </c>
    </row>
    <row r="7" spans="1:49" ht="14.65" x14ac:dyDescent="0.5">
      <c r="B7" s="3" t="s">
        <v>1</v>
      </c>
      <c r="C7" s="3" t="s">
        <v>2</v>
      </c>
      <c r="D7" s="3" t="s">
        <v>3</v>
      </c>
      <c r="E7" s="3" t="s">
        <v>4</v>
      </c>
      <c r="F7" s="3" t="s">
        <v>5</v>
      </c>
      <c r="G7" s="3" t="s">
        <v>6</v>
      </c>
      <c r="H7" s="3" t="s">
        <v>7</v>
      </c>
      <c r="I7" s="3" t="s">
        <v>8</v>
      </c>
      <c r="J7" s="3" t="s">
        <v>9</v>
      </c>
      <c r="K7" s="3" t="s">
        <v>10</v>
      </c>
      <c r="M7" s="3"/>
    </row>
    <row r="8" spans="1:49" ht="13.15" x14ac:dyDescent="0.4">
      <c r="A8" s="4" t="s">
        <v>35</v>
      </c>
      <c r="B8">
        <v>13.178515000000001</v>
      </c>
      <c r="C8">
        <v>14.304658999999999</v>
      </c>
      <c r="D8" s="1">
        <v>14.120302000000001</v>
      </c>
      <c r="E8">
        <v>14.325768</v>
      </c>
      <c r="F8">
        <v>14.273574</v>
      </c>
      <c r="G8" s="5"/>
      <c r="H8" s="5">
        <f>AVERAGE(B$8:F$8)*5</f>
        <v>70.202817999999994</v>
      </c>
      <c r="I8" s="6"/>
      <c r="K8" s="6"/>
    </row>
    <row r="9" spans="1:49" ht="13.15" x14ac:dyDescent="0.4">
      <c r="A9" s="18" t="s">
        <v>12</v>
      </c>
      <c r="B9">
        <v>5674.6909180000002</v>
      </c>
      <c r="C9">
        <v>5784.4790039999998</v>
      </c>
      <c r="D9">
        <v>5781.4628910000001</v>
      </c>
      <c r="E9">
        <v>5697.2861329999996</v>
      </c>
      <c r="F9">
        <v>5752.0981449999999</v>
      </c>
      <c r="G9" s="7">
        <f>AVERAGE(B9:F9)</f>
        <v>5738.0034181999999</v>
      </c>
      <c r="H9" s="8">
        <f t="shared" ref="H9:H15" si="0">G9*H$8</f>
        <v>402824.00965127244</v>
      </c>
      <c r="I9" s="9">
        <f t="shared" ref="I9:I15" si="1">STDEVP(B9:F9)/AVERAGE(B9:F9)</f>
        <v>7.7601996671278145E-3</v>
      </c>
      <c r="J9" s="9">
        <f t="shared" ref="J9:J15" si="2">IF(H9&gt;$A$21, $C$21, IF(H9&gt;$A$22, $C$22, IF(H9&gt;$A$23,$C$23,IF(H9&gt;$A$24,$C$24, IF(H9&gt;$A$25,$C$25,IF(H9&gt;$A$26,$C$26,$C$27))))))/100</f>
        <v>0.11</v>
      </c>
      <c r="K9" s="9">
        <f t="shared" ref="K9:K15" si="3">(MAX(B9:F9)-MIN(B9:F9))/H9*5</f>
        <v>1.3627301671397874E-3</v>
      </c>
      <c r="M9" s="15"/>
    </row>
    <row r="10" spans="1:49" ht="13.15" x14ac:dyDescent="0.4">
      <c r="A10" s="4" t="s">
        <v>14</v>
      </c>
      <c r="B10">
        <v>3444.318115</v>
      </c>
      <c r="C10">
        <v>3510.744385</v>
      </c>
      <c r="D10">
        <v>3522.9416500000002</v>
      </c>
      <c r="E10">
        <v>3466.3413089999999</v>
      </c>
      <c r="F10">
        <v>3479.0166020000001</v>
      </c>
      <c r="G10" s="7">
        <f t="shared" ref="G10:G15" si="4">AVERAGE(B10:F10)</f>
        <v>3484.6724122000001</v>
      </c>
      <c r="H10" s="11">
        <f t="shared" si="0"/>
        <v>244633.82314329757</v>
      </c>
      <c r="I10" s="6">
        <f t="shared" si="1"/>
        <v>8.2583550588654613E-3</v>
      </c>
      <c r="J10" s="6">
        <f t="shared" si="2"/>
        <v>0.11</v>
      </c>
      <c r="K10" s="6">
        <f t="shared" si="3"/>
        <v>1.6069637057902939E-3</v>
      </c>
      <c r="M10" s="15"/>
    </row>
    <row r="11" spans="1:49" ht="13.15" x14ac:dyDescent="0.4">
      <c r="A11" s="4" t="s">
        <v>15</v>
      </c>
      <c r="B11">
        <v>1896.8752440000001</v>
      </c>
      <c r="C11">
        <v>1926.575073</v>
      </c>
      <c r="D11">
        <v>1928.5706789999999</v>
      </c>
      <c r="E11">
        <v>1889.6020510000001</v>
      </c>
      <c r="F11">
        <v>1910.3134769999999</v>
      </c>
      <c r="G11" s="7">
        <f t="shared" si="4"/>
        <v>1910.3873047999998</v>
      </c>
      <c r="H11" s="11">
        <f t="shared" si="0"/>
        <v>134114.57226838489</v>
      </c>
      <c r="I11" s="6">
        <f t="shared" si="1"/>
        <v>8.133899975357909E-3</v>
      </c>
      <c r="J11" s="6">
        <f t="shared" si="2"/>
        <v>0.11</v>
      </c>
      <c r="K11" s="6">
        <f t="shared" si="3"/>
        <v>1.4528111054933441E-3</v>
      </c>
      <c r="M11" s="15"/>
    </row>
    <row r="12" spans="1:49" ht="13.15" x14ac:dyDescent="0.4">
      <c r="A12" s="4" t="s">
        <v>17</v>
      </c>
      <c r="B12">
        <v>1031.3756100000001</v>
      </c>
      <c r="C12">
        <v>1036.445557</v>
      </c>
      <c r="D12">
        <v>1032.343384</v>
      </c>
      <c r="E12">
        <v>1031.21875</v>
      </c>
      <c r="F12">
        <v>1043.3967290000001</v>
      </c>
      <c r="G12" s="7">
        <f t="shared" si="4"/>
        <v>1034.9560059999999</v>
      </c>
      <c r="H12" s="11">
        <f t="shared" si="0"/>
        <v>72656.828127224901</v>
      </c>
      <c r="I12" s="6">
        <f t="shared" si="1"/>
        <v>4.4713694408044478E-3</v>
      </c>
      <c r="J12" s="6">
        <f t="shared" si="2"/>
        <v>0.11</v>
      </c>
      <c r="K12" s="6">
        <f t="shared" si="3"/>
        <v>8.3804780045420788E-4</v>
      </c>
      <c r="M12" s="15"/>
    </row>
    <row r="13" spans="1:49" ht="13.15" x14ac:dyDescent="0.4">
      <c r="A13" s="4" t="s">
        <v>18</v>
      </c>
      <c r="B13">
        <v>512.04553199999998</v>
      </c>
      <c r="C13">
        <v>506.058899</v>
      </c>
      <c r="D13">
        <v>511.81625400000001</v>
      </c>
      <c r="E13">
        <v>514.52740500000004</v>
      </c>
      <c r="F13">
        <v>525.65673800000002</v>
      </c>
      <c r="G13" s="7">
        <f t="shared" si="4"/>
        <v>514.02096559999995</v>
      </c>
      <c r="H13" s="11">
        <f t="shared" si="0"/>
        <v>36085.720296201056</v>
      </c>
      <c r="I13" s="6">
        <f t="shared" si="1"/>
        <v>1.2541874464574779E-2</v>
      </c>
      <c r="J13" s="6">
        <f t="shared" si="2"/>
        <v>0.11</v>
      </c>
      <c r="K13" s="6">
        <f t="shared" si="3"/>
        <v>2.715456257923608E-3</v>
      </c>
      <c r="M13" s="15"/>
    </row>
    <row r="14" spans="1:49" ht="13.15" x14ac:dyDescent="0.4">
      <c r="A14" s="23" t="s">
        <v>20</v>
      </c>
      <c r="B14">
        <v>253.366928</v>
      </c>
      <c r="C14" s="15">
        <v>256.979218</v>
      </c>
      <c r="D14">
        <v>255.660248</v>
      </c>
      <c r="E14">
        <v>261.48687699999999</v>
      </c>
      <c r="F14">
        <v>264.33462500000002</v>
      </c>
      <c r="G14" s="7">
        <f t="shared" si="4"/>
        <v>258.36557920000001</v>
      </c>
      <c r="H14" s="13">
        <f t="shared" si="0"/>
        <v>18137.991734042185</v>
      </c>
      <c r="I14" s="14">
        <f t="shared" si="1"/>
        <v>1.5443120692466328E-2</v>
      </c>
      <c r="J14" s="14">
        <f t="shared" si="2"/>
        <v>0.11</v>
      </c>
      <c r="K14" s="14">
        <f t="shared" si="3"/>
        <v>3.0234044542581185E-3</v>
      </c>
      <c r="M14" s="15"/>
    </row>
    <row r="15" spans="1:49" ht="13.15" x14ac:dyDescent="0.4">
      <c r="A15" s="4" t="s">
        <v>21</v>
      </c>
      <c r="B15">
        <v>139.697067</v>
      </c>
      <c r="C15" s="15">
        <v>143.24005099999999</v>
      </c>
      <c r="D15">
        <v>138.80722</v>
      </c>
      <c r="E15">
        <v>141.563095</v>
      </c>
      <c r="F15">
        <v>147.61544799999999</v>
      </c>
      <c r="G15" s="7">
        <f t="shared" si="4"/>
        <v>142.18457619999998</v>
      </c>
      <c r="H15" s="11">
        <f t="shared" si="0"/>
        <v>9981.7579253757285</v>
      </c>
      <c r="I15" s="6">
        <f t="shared" si="1"/>
        <v>2.192456147757273E-2</v>
      </c>
      <c r="J15" s="6">
        <f t="shared" si="2"/>
        <v>0.113</v>
      </c>
      <c r="K15" s="6">
        <f t="shared" si="3"/>
        <v>4.4121627001230002E-3</v>
      </c>
      <c r="M15" s="15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</row>
    <row r="16" spans="1:49" ht="13.15" x14ac:dyDescent="0.4">
      <c r="A16" s="4"/>
      <c r="G16" s="16"/>
      <c r="H16" s="11"/>
      <c r="I16" s="6"/>
      <c r="J16" s="6"/>
      <c r="K16" s="6"/>
      <c r="M16" s="15"/>
      <c r="P16" s="1"/>
      <c r="Q16" s="1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</row>
    <row r="17" spans="1:49" ht="13.15" x14ac:dyDescent="0.4">
      <c r="A17" s="4"/>
      <c r="G17" s="16"/>
      <c r="H17" s="11"/>
      <c r="I17" s="6"/>
      <c r="J17" s="6"/>
      <c r="K17" s="6"/>
      <c r="M17" s="15"/>
      <c r="P17" s="1"/>
      <c r="Q17" s="1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</row>
    <row r="18" spans="1:49" ht="13.15" x14ac:dyDescent="0.4">
      <c r="A18" t="s">
        <v>22</v>
      </c>
      <c r="I18" s="6"/>
      <c r="J18" s="6"/>
      <c r="K18" s="6"/>
      <c r="M18" s="15"/>
      <c r="P18" s="1"/>
      <c r="Q18" s="1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</row>
    <row r="19" spans="1:49" ht="15" x14ac:dyDescent="0.5">
      <c r="A19" s="17"/>
      <c r="B19" s="18" t="s">
        <v>23</v>
      </c>
      <c r="C19" s="17"/>
      <c r="D19" s="19" t="s">
        <v>24</v>
      </c>
      <c r="E19" s="20"/>
      <c r="F19" s="20"/>
      <c r="G19" s="20"/>
      <c r="H19" s="21"/>
      <c r="I19" s="6"/>
      <c r="J19" s="6"/>
      <c r="K19" s="6"/>
      <c r="M19" s="15"/>
      <c r="P19" s="1"/>
      <c r="Q19" s="1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</row>
    <row r="20" spans="1:49" ht="15" x14ac:dyDescent="0.5">
      <c r="A20" s="22" t="s">
        <v>25</v>
      </c>
      <c r="B20" s="23" t="s">
        <v>26</v>
      </c>
      <c r="C20" s="22" t="s">
        <v>27</v>
      </c>
      <c r="D20" s="22" t="s">
        <v>28</v>
      </c>
      <c r="E20" s="23" t="s">
        <v>29</v>
      </c>
      <c r="F20" s="23" t="s">
        <v>30</v>
      </c>
      <c r="G20" s="23" t="s">
        <v>31</v>
      </c>
      <c r="H20" s="24" t="s">
        <v>32</v>
      </c>
      <c r="I20" s="6"/>
      <c r="J20" s="6"/>
      <c r="K20" s="6"/>
      <c r="M20" s="15"/>
      <c r="P20" s="1"/>
      <c r="Q20" s="1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</row>
    <row r="21" spans="1:49" ht="13.15" x14ac:dyDescent="0.4">
      <c r="A21" s="25">
        <v>10000</v>
      </c>
      <c r="C21" s="25">
        <v>11</v>
      </c>
      <c r="D21" s="25">
        <v>7.8</v>
      </c>
      <c r="E21">
        <v>5.3</v>
      </c>
      <c r="F21">
        <v>4</v>
      </c>
      <c r="G21">
        <v>2.7</v>
      </c>
      <c r="H21" s="26">
        <v>1.8</v>
      </c>
      <c r="I21" s="6"/>
      <c r="J21" s="6"/>
      <c r="K21" s="6"/>
      <c r="M21" s="15"/>
      <c r="O21" s="1"/>
      <c r="R21" s="3"/>
      <c r="S21" s="3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</row>
    <row r="22" spans="1:49" ht="13.15" x14ac:dyDescent="0.4">
      <c r="A22" s="25">
        <v>5000</v>
      </c>
      <c r="B22">
        <v>10000</v>
      </c>
      <c r="C22" s="25">
        <v>11.3</v>
      </c>
      <c r="D22" s="25">
        <v>7.8</v>
      </c>
      <c r="E22">
        <v>5.3</v>
      </c>
      <c r="F22">
        <v>4</v>
      </c>
      <c r="G22">
        <v>2.7</v>
      </c>
      <c r="H22" s="26">
        <v>1.9</v>
      </c>
      <c r="I22" s="6"/>
      <c r="J22" s="6"/>
      <c r="K22" s="6"/>
      <c r="M22" s="15"/>
      <c r="O22" s="3"/>
      <c r="P22" s="4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</row>
    <row r="23" spans="1:49" ht="13.15" x14ac:dyDescent="0.4">
      <c r="A23" s="25">
        <v>2000</v>
      </c>
      <c r="B23">
        <v>5000</v>
      </c>
      <c r="C23" s="25">
        <v>11.9</v>
      </c>
      <c r="D23" s="25">
        <v>7.9</v>
      </c>
      <c r="E23">
        <v>5.4</v>
      </c>
      <c r="F23">
        <v>4.0999999999999996</v>
      </c>
      <c r="G23">
        <v>2.9</v>
      </c>
      <c r="H23" s="26">
        <v>2.1</v>
      </c>
      <c r="I23" s="6"/>
      <c r="J23" s="6"/>
      <c r="K23" s="6"/>
      <c r="M23" s="15"/>
      <c r="O23" s="3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</row>
    <row r="24" spans="1:49" ht="13.15" x14ac:dyDescent="0.4">
      <c r="A24" s="25">
        <v>1000</v>
      </c>
      <c r="B24">
        <v>2000</v>
      </c>
      <c r="C24" s="25">
        <v>13.4</v>
      </c>
      <c r="D24" s="25">
        <v>8</v>
      </c>
      <c r="E24">
        <v>5.6</v>
      </c>
      <c r="F24">
        <v>4.3</v>
      </c>
      <c r="G24">
        <v>3.1</v>
      </c>
      <c r="H24" s="26">
        <v>2.4</v>
      </c>
      <c r="I24" s="6"/>
      <c r="J24" s="6"/>
      <c r="K24" s="6"/>
      <c r="M24" s="15"/>
      <c r="O24" s="3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ht="13.15" x14ac:dyDescent="0.4">
      <c r="A25" s="25">
        <v>500</v>
      </c>
      <c r="B25">
        <v>1000</v>
      </c>
      <c r="C25" s="25">
        <v>15.6</v>
      </c>
      <c r="D25" s="25">
        <v>8.1999999999999993</v>
      </c>
      <c r="E25">
        <v>5.9</v>
      </c>
      <c r="F25">
        <v>4.7</v>
      </c>
      <c r="G25">
        <v>3.6</v>
      </c>
      <c r="H25" s="26">
        <v>2.9</v>
      </c>
      <c r="I25" s="6"/>
      <c r="J25" s="6"/>
      <c r="K25" s="6"/>
      <c r="M25" s="15"/>
      <c r="O25" s="3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x14ac:dyDescent="0.35">
      <c r="A26" s="25">
        <v>200</v>
      </c>
      <c r="B26">
        <v>500</v>
      </c>
      <c r="C26" s="25">
        <v>19.3</v>
      </c>
      <c r="D26" s="25">
        <v>8.9</v>
      </c>
      <c r="E26">
        <v>6.8</v>
      </c>
      <c r="F26">
        <v>5.7</v>
      </c>
      <c r="G26">
        <v>4.7</v>
      </c>
      <c r="H26" s="26">
        <v>4.0999999999999996</v>
      </c>
      <c r="I26" s="6"/>
      <c r="J26" s="6"/>
      <c r="K26" s="6"/>
      <c r="M26" s="15"/>
    </row>
    <row r="27" spans="1:49" x14ac:dyDescent="0.35">
      <c r="A27" s="29">
        <v>100</v>
      </c>
      <c r="B27" s="30">
        <v>200</v>
      </c>
      <c r="C27" s="29">
        <v>27.5</v>
      </c>
      <c r="D27" s="29">
        <v>10</v>
      </c>
      <c r="E27" s="30">
        <v>8</v>
      </c>
      <c r="F27" s="30">
        <v>7</v>
      </c>
      <c r="G27" s="30">
        <v>6.1</v>
      </c>
      <c r="H27" s="31">
        <v>5.5</v>
      </c>
      <c r="I27" s="6"/>
      <c r="J27" s="6"/>
      <c r="K27" s="6"/>
      <c r="M27" s="15"/>
    </row>
    <row r="28" spans="1:49" ht="13.15" x14ac:dyDescent="0.4">
      <c r="A28" s="4"/>
      <c r="G28" s="16"/>
      <c r="H28" s="11"/>
      <c r="I28" s="6"/>
      <c r="J28" s="6"/>
      <c r="K28" s="6"/>
      <c r="M28" s="15"/>
    </row>
    <row r="29" spans="1:49" ht="13.15" x14ac:dyDescent="0.4">
      <c r="A29" s="4"/>
      <c r="G29" s="16"/>
      <c r="H29" s="11"/>
      <c r="I29" s="6"/>
      <c r="J29" s="6"/>
      <c r="K29" s="6"/>
      <c r="M29" s="15"/>
    </row>
    <row r="30" spans="1:49" ht="13.15" x14ac:dyDescent="0.4">
      <c r="A30" s="4"/>
      <c r="G30" s="16"/>
      <c r="H30" s="11"/>
      <c r="I30" s="6"/>
      <c r="J30" s="6"/>
      <c r="K30" s="6"/>
      <c r="M30" s="15"/>
    </row>
    <row r="31" spans="1:49" x14ac:dyDescent="0.35">
      <c r="A31" s="4" t="str">
        <f>'E - B1'!A31</f>
        <v>scanned_volume_ml</v>
      </c>
      <c r="B31" t="str">
        <f>'E - B1'!B31</f>
        <v>count_4</v>
      </c>
      <c r="C31" t="str">
        <f>'E - B1'!C31</f>
        <v>count_5</v>
      </c>
      <c r="D31" t="str">
        <f>'E - B1'!D31</f>
        <v>count_6</v>
      </c>
      <c r="E31" t="str">
        <f>'E - B1'!E31</f>
        <v>count_7</v>
      </c>
      <c r="F31" t="str">
        <f>'E - B1'!F31</f>
        <v>count_8</v>
      </c>
      <c r="G31" t="str">
        <f>'E - B1'!G31</f>
        <v>count_9</v>
      </c>
      <c r="H31" t="str">
        <f>'E - B1'!H31</f>
        <v>count_10</v>
      </c>
      <c r="I31" s="6"/>
      <c r="J31" s="6"/>
      <c r="K31" s="6"/>
      <c r="M31" s="15"/>
    </row>
    <row r="32" spans="1:49" x14ac:dyDescent="0.35">
      <c r="A32" s="4">
        <f>'E - B1'!A32</f>
        <v>12.899665000000001</v>
      </c>
      <c r="B32">
        <f>'E - B1'!B32</f>
        <v>5927.6733400000003</v>
      </c>
      <c r="C32">
        <f>'E - B1'!C32</f>
        <v>3592.186279</v>
      </c>
      <c r="D32">
        <f>'E - B1'!D32</f>
        <v>1966.4077150000001</v>
      </c>
      <c r="E32">
        <f>'E - B1'!E32</f>
        <v>1079.950562</v>
      </c>
      <c r="F32">
        <f>'E - B1'!F32</f>
        <v>546.91345200000001</v>
      </c>
      <c r="G32">
        <f>'E - B1'!G32</f>
        <v>282.87558000000001</v>
      </c>
      <c r="H32">
        <f>'E - B1'!H32</f>
        <v>163.33757</v>
      </c>
      <c r="I32" s="6"/>
      <c r="J32" s="6"/>
      <c r="K32" s="6"/>
      <c r="M32" s="15"/>
    </row>
    <row r="33" spans="1:13" x14ac:dyDescent="0.35">
      <c r="A33" s="4">
        <f>'E - B1'!A33</f>
        <v>14.140632999999999</v>
      </c>
      <c r="B33">
        <f>'E - B1'!B33</f>
        <v>5886.3701170000004</v>
      </c>
      <c r="C33">
        <f>'E - B1'!C33</f>
        <v>3574.0268550000001</v>
      </c>
      <c r="D33">
        <f>'E - B1'!D33</f>
        <v>1966.6022949999999</v>
      </c>
      <c r="E33">
        <f>'E - B1'!E33</f>
        <v>1079.301025</v>
      </c>
      <c r="F33">
        <f>'E - B1'!F33</f>
        <v>533.56878700000004</v>
      </c>
      <c r="G33">
        <f>'E - B1'!G33</f>
        <v>269.012024</v>
      </c>
      <c r="H33">
        <f>'E - B1'!H33</f>
        <v>148.791077</v>
      </c>
      <c r="I33" s="6"/>
      <c r="J33" s="6"/>
      <c r="K33" s="6"/>
      <c r="M33" s="15"/>
    </row>
    <row r="34" spans="1:13" x14ac:dyDescent="0.35">
      <c r="A34" s="4">
        <f>'E - B1'!A34</f>
        <v>14.078093000000001</v>
      </c>
      <c r="B34">
        <f>'E - B1'!B34</f>
        <v>5909.607422</v>
      </c>
      <c r="C34">
        <f>'E - B1'!C34</f>
        <v>3578.9648440000001</v>
      </c>
      <c r="D34">
        <f>'E - B1'!D34</f>
        <v>1978.1088870000001</v>
      </c>
      <c r="E34">
        <f>'E - B1'!E34</f>
        <v>1079.9758300000001</v>
      </c>
      <c r="F34">
        <f>'E - B1'!F34</f>
        <v>537.64386000000002</v>
      </c>
      <c r="G34">
        <f>'E - B1'!G34</f>
        <v>271.98288000000002</v>
      </c>
      <c r="H34">
        <f>'E - B1'!H34</f>
        <v>152.64851400000001</v>
      </c>
      <c r="I34" s="6"/>
      <c r="J34" s="6"/>
      <c r="K34" s="6"/>
      <c r="M34" s="15"/>
    </row>
    <row r="35" spans="1:13" x14ac:dyDescent="0.35">
      <c r="A35" s="4">
        <f>'E - B1'!A35</f>
        <v>14.256824</v>
      </c>
      <c r="B35">
        <f>'E - B1'!B35</f>
        <v>5684.0849609999996</v>
      </c>
      <c r="C35">
        <f>'E - B1'!C35</f>
        <v>3459.185547</v>
      </c>
      <c r="D35">
        <f>'E - B1'!D35</f>
        <v>1909.681885</v>
      </c>
      <c r="E35">
        <f>'E - B1'!E35</f>
        <v>1042.44812</v>
      </c>
      <c r="F35">
        <f>'E - B1'!F35</f>
        <v>519.82122800000002</v>
      </c>
      <c r="G35">
        <f>'E - B1'!G35</f>
        <v>263.38262900000001</v>
      </c>
      <c r="H35">
        <f>'E - B1'!H35</f>
        <v>147.08744799999999</v>
      </c>
      <c r="I35" s="6"/>
      <c r="J35" s="6"/>
      <c r="K35" s="6"/>
      <c r="M35" s="15"/>
    </row>
    <row r="36" spans="1:13" x14ac:dyDescent="0.35">
      <c r="A36" s="4">
        <f>'E - B1'!A36</f>
        <v>14.288171</v>
      </c>
      <c r="B36">
        <f>'E - B1'!B36</f>
        <v>5638.5102539999998</v>
      </c>
      <c r="C36">
        <f>'E - B1'!C36</f>
        <v>3432.4897460000002</v>
      </c>
      <c r="D36">
        <f>'E - B1'!D36</f>
        <v>1904.30249</v>
      </c>
      <c r="E36">
        <f>'E - B1'!E36</f>
        <v>1036.94165</v>
      </c>
      <c r="F36">
        <f>'E - B1'!F36</f>
        <v>530.71875</v>
      </c>
      <c r="G36">
        <f>'E - B1'!G36</f>
        <v>275.05270400000001</v>
      </c>
      <c r="H36">
        <f>'E - B1'!H36</f>
        <v>154.67340100000001</v>
      </c>
      <c r="I36" s="6"/>
      <c r="J36" s="6"/>
      <c r="K36" s="6"/>
      <c r="M36" s="15"/>
    </row>
    <row r="37" spans="1:13" x14ac:dyDescent="0.35">
      <c r="A37" s="4">
        <f>'E - B1'!A37</f>
        <v>13.005224</v>
      </c>
      <c r="B37">
        <f>'E - B1'!B37</f>
        <v>6604.5766599999997</v>
      </c>
      <c r="C37">
        <f>'E - B1'!C37</f>
        <v>3990.7807619999999</v>
      </c>
      <c r="D37">
        <f>'E - B1'!D37</f>
        <v>2206.9592290000001</v>
      </c>
      <c r="E37">
        <f>'E - B1'!E37</f>
        <v>1211.5900879999999</v>
      </c>
      <c r="F37">
        <f>'E - B1'!F37</f>
        <v>618.52069100000006</v>
      </c>
      <c r="G37">
        <f>'E - B1'!G37</f>
        <v>314.79656999999997</v>
      </c>
      <c r="H37">
        <f>'E - B1'!H37</f>
        <v>180.61972</v>
      </c>
      <c r="I37" s="6"/>
      <c r="J37" s="6"/>
      <c r="K37" s="6"/>
    </row>
    <row r="38" spans="1:13" x14ac:dyDescent="0.35">
      <c r="A38" s="4">
        <f>'E - B1'!A38</f>
        <v>14.095831</v>
      </c>
      <c r="B38">
        <f>'E - B1'!B38</f>
        <v>6684.1040039999998</v>
      </c>
      <c r="C38">
        <f>'E - B1'!C38</f>
        <v>4023.530029</v>
      </c>
      <c r="D38">
        <f>'E - B1'!D38</f>
        <v>2227.2543949999999</v>
      </c>
      <c r="E38">
        <f>'E - B1'!E38</f>
        <v>1230.2219239999999</v>
      </c>
      <c r="F38">
        <f>'E - B1'!F38</f>
        <v>626.78106700000001</v>
      </c>
      <c r="G38">
        <f>'E - B1'!G38</f>
        <v>329.104401</v>
      </c>
      <c r="H38">
        <f>'E - B1'!H38</f>
        <v>189.91430700000001</v>
      </c>
      <c r="I38" s="6"/>
      <c r="J38" s="6"/>
      <c r="K38" s="6"/>
    </row>
    <row r="39" spans="1:13" x14ac:dyDescent="0.35">
      <c r="A39">
        <f>'E - B1'!A39</f>
        <v>13.994657</v>
      </c>
      <c r="B39">
        <f>'E - B1'!B39</f>
        <v>6672.4038090000004</v>
      </c>
      <c r="C39">
        <f>'E - B1'!C39</f>
        <v>3986.8789059999999</v>
      </c>
      <c r="D39">
        <f>'E - B1'!D39</f>
        <v>2203.4838869999999</v>
      </c>
      <c r="E39">
        <f>'E - B1'!E39</f>
        <v>1210.319092</v>
      </c>
      <c r="F39">
        <f>'E - B1'!F39</f>
        <v>629.45452899999998</v>
      </c>
      <c r="G39">
        <f>'E - B1'!G39</f>
        <v>323.12332199999997</v>
      </c>
      <c r="H39">
        <f>'E - B1'!H39</f>
        <v>188.57197600000001</v>
      </c>
    </row>
    <row r="40" spans="1:13" x14ac:dyDescent="0.35">
      <c r="A40">
        <f>'E - B1'!A40</f>
        <v>14.086591</v>
      </c>
      <c r="B40">
        <f>'E - B1'!B40</f>
        <v>6719.3691410000001</v>
      </c>
      <c r="C40">
        <f>'E - B1'!C40</f>
        <v>4063.2258299999999</v>
      </c>
      <c r="D40">
        <f>'E - B1'!D40</f>
        <v>2247.314453</v>
      </c>
      <c r="E40">
        <f>'E - B1'!E40</f>
        <v>1238.9086910000001</v>
      </c>
      <c r="F40">
        <f>'E - B1'!F40</f>
        <v>627.26318400000002</v>
      </c>
      <c r="G40">
        <f>'E - B1'!G40</f>
        <v>322.64727800000003</v>
      </c>
      <c r="H40">
        <f>'E - B1'!H40</f>
        <v>182.868942</v>
      </c>
    </row>
    <row r="41" spans="1:13" x14ac:dyDescent="0.35">
      <c r="A41">
        <f>'E - B1'!A41</f>
        <v>14.098701</v>
      </c>
      <c r="B41">
        <f>'E - B1'!B41</f>
        <v>7280.6000979999999</v>
      </c>
      <c r="C41">
        <f>'E - B1'!C41</f>
        <v>4559.8530270000001</v>
      </c>
      <c r="D41">
        <f>'E - B1'!D41</f>
        <v>2670.8134770000001</v>
      </c>
      <c r="E41">
        <f>'E - B1'!E41</f>
        <v>1572.3435059999999</v>
      </c>
      <c r="F41">
        <f>'E - B1'!F41</f>
        <v>877.52770999999996</v>
      </c>
      <c r="G41">
        <f>'E - B1'!G41</f>
        <v>504.51458700000001</v>
      </c>
      <c r="H41">
        <f>'E - B1'!H41</f>
        <v>311.37622099999999</v>
      </c>
    </row>
    <row r="42" spans="1:13" x14ac:dyDescent="0.35">
      <c r="A42">
        <f>'E - B1'!A42</f>
        <v>13.178515000000001</v>
      </c>
      <c r="B42">
        <f>'E - B1'!B42</f>
        <v>5674.6909180000002</v>
      </c>
      <c r="C42">
        <f>'E - B1'!C42</f>
        <v>3444.318115</v>
      </c>
      <c r="D42">
        <f>'E - B1'!D42</f>
        <v>1896.8752440000001</v>
      </c>
      <c r="E42">
        <f>'E - B1'!E42</f>
        <v>1031.3756100000001</v>
      </c>
      <c r="F42">
        <f>'E - B1'!F42</f>
        <v>512.04553199999998</v>
      </c>
      <c r="G42">
        <f>'E - B1'!G42</f>
        <v>253.366928</v>
      </c>
      <c r="H42">
        <f>'E - B1'!H42</f>
        <v>139.697067</v>
      </c>
    </row>
    <row r="43" spans="1:13" x14ac:dyDescent="0.35">
      <c r="A43">
        <f>'E - B1'!A43</f>
        <v>14.304658999999999</v>
      </c>
      <c r="B43">
        <f>'E - B1'!B43</f>
        <v>5784.4790039999998</v>
      </c>
      <c r="C43">
        <f>'E - B1'!C43</f>
        <v>3510.744385</v>
      </c>
      <c r="D43">
        <f>'E - B1'!D43</f>
        <v>1926.575073</v>
      </c>
      <c r="E43">
        <f>'E - B1'!E43</f>
        <v>1036.445557</v>
      </c>
      <c r="F43">
        <f>'E - B1'!F43</f>
        <v>506.058899</v>
      </c>
      <c r="G43">
        <f>'E - B1'!G43</f>
        <v>256.979218</v>
      </c>
      <c r="H43">
        <f>'E - B1'!H43</f>
        <v>143.24005099999999</v>
      </c>
    </row>
    <row r="44" spans="1:13" x14ac:dyDescent="0.35">
      <c r="A44">
        <f>'E - B1'!A44</f>
        <v>14.120302000000001</v>
      </c>
      <c r="B44">
        <f>'E - B1'!B44</f>
        <v>5781.4628910000001</v>
      </c>
      <c r="C44">
        <f>'E - B1'!C44</f>
        <v>3522.9416500000002</v>
      </c>
      <c r="D44">
        <f>'E - B1'!D44</f>
        <v>1928.5706789999999</v>
      </c>
      <c r="E44">
        <f>'E - B1'!E44</f>
        <v>1032.343384</v>
      </c>
      <c r="F44">
        <f>'E - B1'!F44</f>
        <v>511.81625400000001</v>
      </c>
      <c r="G44">
        <f>'E - B1'!G44</f>
        <v>255.660248</v>
      </c>
      <c r="H44">
        <f>'E - B1'!H44</f>
        <v>138.80722</v>
      </c>
    </row>
    <row r="45" spans="1:13" x14ac:dyDescent="0.35">
      <c r="A45">
        <f>'E - B1'!A45</f>
        <v>14.325768</v>
      </c>
      <c r="B45">
        <f>'E - B1'!B45</f>
        <v>5697.2861329999996</v>
      </c>
      <c r="C45">
        <f>'E - B1'!C45</f>
        <v>3466.3413089999999</v>
      </c>
      <c r="D45">
        <f>'E - B1'!D45</f>
        <v>1889.6020510000001</v>
      </c>
      <c r="E45">
        <f>'E - B1'!E45</f>
        <v>1031.21875</v>
      </c>
      <c r="F45">
        <f>'E - B1'!F45</f>
        <v>514.52740500000004</v>
      </c>
      <c r="G45">
        <f>'E - B1'!G45</f>
        <v>261.48687699999999</v>
      </c>
      <c r="H45">
        <f>'E - B1'!H45</f>
        <v>141.563095</v>
      </c>
    </row>
    <row r="46" spans="1:13" x14ac:dyDescent="0.35">
      <c r="A46">
        <f>'E - B1'!A46</f>
        <v>14.273574</v>
      </c>
      <c r="B46">
        <f>'E - B1'!B46</f>
        <v>5752.0981449999999</v>
      </c>
      <c r="C46">
        <f>'E - B1'!C46</f>
        <v>3479.0166020000001</v>
      </c>
      <c r="D46">
        <f>'E - B1'!D46</f>
        <v>1910.3134769999999</v>
      </c>
      <c r="E46">
        <f>'E - B1'!E46</f>
        <v>1043.3967290000001</v>
      </c>
      <c r="F46">
        <f>'E - B1'!F46</f>
        <v>525.65673800000002</v>
      </c>
      <c r="G46">
        <f>'E - B1'!G46</f>
        <v>264.33462500000002</v>
      </c>
      <c r="H46">
        <f>'E - B1'!H46</f>
        <v>147.61544799999999</v>
      </c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5"/>
      <c r="J71" s="15"/>
    </row>
    <row r="72" spans="1:11" x14ac:dyDescent="0.35">
      <c r="G72" s="15"/>
      <c r="H72" s="15"/>
      <c r="I72" s="15"/>
      <c r="J72" s="15"/>
    </row>
    <row r="73" spans="1:11" ht="13.15" x14ac:dyDescent="0.4">
      <c r="A73" s="1"/>
    </row>
    <row r="77" spans="1:11" x14ac:dyDescent="0.35">
      <c r="H77" s="28"/>
      <c r="J77" s="28"/>
    </row>
    <row r="78" spans="1:11" ht="13.15" x14ac:dyDescent="0.4">
      <c r="A78" s="1"/>
      <c r="H78" s="34"/>
      <c r="J78" s="34"/>
    </row>
    <row r="79" spans="1:11" ht="13.15" x14ac:dyDescent="0.4">
      <c r="K79" s="3"/>
    </row>
  </sheetData>
  <conditionalFormatting sqref="H9:H18 H28:H30 H39">
    <cfRule type="cellIs" dxfId="13" priority="3" operator="greaterThan">
      <formula>1000</formula>
    </cfRule>
  </conditionalFormatting>
  <conditionalFormatting sqref="K9:K38">
    <cfRule type="cellIs" dxfId="12" priority="4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tabSelected="1" zoomScale="70" zoomScaleNormal="70" workbookViewId="0">
      <selection activeCell="B27" sqref="B27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35" t="s">
        <v>37</v>
      </c>
      <c r="B1" s="35" t="s">
        <v>38</v>
      </c>
      <c r="C1" s="51" t="s">
        <v>39</v>
      </c>
      <c r="D1" s="51"/>
      <c r="E1" s="51"/>
      <c r="F1" s="51"/>
      <c r="G1" s="51"/>
      <c r="H1" s="51"/>
      <c r="I1" s="51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  <c r="PT1" s="36"/>
      <c r="PU1" s="36"/>
      <c r="PV1" s="36"/>
      <c r="PW1" s="36"/>
      <c r="PX1" s="36"/>
      <c r="PY1" s="36"/>
      <c r="PZ1" s="36"/>
      <c r="QA1" s="36"/>
      <c r="QB1" s="36"/>
      <c r="QC1" s="36"/>
      <c r="QD1" s="36"/>
      <c r="QE1" s="36"/>
      <c r="QF1" s="36"/>
      <c r="QG1" s="36"/>
      <c r="QH1" s="36"/>
      <c r="QI1" s="36"/>
      <c r="QJ1" s="36"/>
      <c r="QK1" s="36"/>
      <c r="QL1" s="36"/>
      <c r="QM1" s="36"/>
      <c r="QN1" s="36"/>
      <c r="QO1" s="36"/>
      <c r="QP1" s="36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36"/>
      <c r="RB1" s="36"/>
      <c r="RC1" s="36"/>
      <c r="RD1" s="36"/>
      <c r="RE1" s="36"/>
      <c r="RF1" s="36"/>
      <c r="RG1" s="36"/>
      <c r="RH1" s="36"/>
      <c r="RI1" s="36"/>
      <c r="RJ1" s="36"/>
      <c r="RK1" s="36"/>
      <c r="RL1" s="36"/>
      <c r="RM1" s="36"/>
      <c r="RN1" s="36"/>
      <c r="RO1" s="36"/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  <c r="YY1" s="36"/>
      <c r="YZ1" s="36"/>
      <c r="ZA1" s="36"/>
      <c r="ZB1" s="36"/>
      <c r="ZC1" s="36"/>
      <c r="ZD1" s="36"/>
      <c r="ZE1" s="36"/>
      <c r="ZF1" s="36"/>
      <c r="ZG1" s="36"/>
      <c r="ZH1" s="36"/>
      <c r="ZI1" s="36"/>
      <c r="ZJ1" s="36"/>
      <c r="ZK1" s="36"/>
      <c r="ZL1" s="36"/>
      <c r="ZM1" s="36"/>
      <c r="ZN1" s="36"/>
      <c r="ZO1" s="36"/>
      <c r="ZP1" s="36"/>
      <c r="ZQ1" s="36"/>
      <c r="ZR1" s="36"/>
      <c r="ZS1" s="36"/>
      <c r="ZT1" s="36"/>
      <c r="ZU1" s="36"/>
      <c r="ZV1" s="36"/>
      <c r="ZW1" s="36"/>
      <c r="ZX1" s="36"/>
      <c r="ZY1" s="36"/>
      <c r="ZZ1" s="36"/>
      <c r="AAA1" s="36"/>
      <c r="AAB1" s="36"/>
      <c r="AAC1" s="36"/>
      <c r="AAD1" s="36"/>
      <c r="AAE1" s="36"/>
      <c r="AAF1" s="36"/>
      <c r="AAG1" s="36"/>
      <c r="AAH1" s="36"/>
      <c r="AAI1" s="36"/>
      <c r="AAJ1" s="36"/>
      <c r="AAK1" s="36"/>
      <c r="AAL1" s="36"/>
      <c r="AAM1" s="36"/>
      <c r="AAN1" s="36"/>
      <c r="AAO1" s="36"/>
      <c r="AAP1" s="36"/>
      <c r="AAQ1" s="36"/>
      <c r="AAR1" s="36"/>
      <c r="AAS1" s="36"/>
      <c r="AAT1" s="36"/>
      <c r="AAU1" s="36"/>
      <c r="AAV1" s="36"/>
      <c r="AAW1" s="36"/>
      <c r="AAX1" s="36"/>
      <c r="AAY1" s="36"/>
      <c r="AAZ1" s="36"/>
      <c r="ABA1" s="36"/>
      <c r="ABB1" s="36"/>
      <c r="ABC1" s="36"/>
      <c r="ABD1" s="36"/>
      <c r="ABE1" s="36"/>
      <c r="ABF1" s="36"/>
      <c r="ABG1" s="36"/>
      <c r="ABH1" s="36"/>
      <c r="ABI1" s="36"/>
      <c r="ABJ1" s="36"/>
      <c r="ABK1" s="36"/>
      <c r="ABL1" s="36"/>
      <c r="ABM1" s="36"/>
      <c r="ABN1" s="36"/>
      <c r="ABO1" s="36"/>
      <c r="ABP1" s="36"/>
      <c r="ABQ1" s="36"/>
      <c r="ABR1" s="36"/>
      <c r="ABS1" s="36"/>
      <c r="ABT1" s="36"/>
      <c r="ABU1" s="36"/>
      <c r="ABV1" s="36"/>
      <c r="ABW1" s="36"/>
      <c r="ABX1" s="36"/>
      <c r="ABY1" s="36"/>
      <c r="ABZ1" s="36"/>
      <c r="ACA1" s="36"/>
      <c r="ACB1" s="36"/>
      <c r="ACC1" s="36"/>
      <c r="ACD1" s="36"/>
      <c r="ACE1" s="36"/>
      <c r="ACF1" s="36"/>
      <c r="ACG1" s="36"/>
      <c r="ACH1" s="36"/>
      <c r="ACI1" s="36"/>
      <c r="ACJ1" s="36"/>
      <c r="ACK1" s="36"/>
      <c r="ACL1" s="36"/>
      <c r="ACM1" s="36"/>
      <c r="ACN1" s="36"/>
      <c r="ACO1" s="36"/>
      <c r="ACP1" s="36"/>
      <c r="ACQ1" s="36"/>
      <c r="ACR1" s="36"/>
      <c r="ACS1" s="36"/>
      <c r="ACT1" s="36"/>
      <c r="ACU1" s="36"/>
      <c r="ACV1" s="36"/>
      <c r="ACW1" s="36"/>
      <c r="ACX1" s="36"/>
      <c r="ACY1" s="36"/>
      <c r="ACZ1" s="36"/>
      <c r="ADA1" s="36"/>
      <c r="ADB1" s="36"/>
      <c r="ADC1" s="36"/>
      <c r="ADD1" s="36"/>
      <c r="ADE1" s="36"/>
      <c r="ADF1" s="36"/>
      <c r="ADG1" s="36"/>
      <c r="ADH1" s="36"/>
      <c r="ADI1" s="36"/>
      <c r="ADJ1" s="36"/>
      <c r="ADK1" s="36"/>
      <c r="ADL1" s="36"/>
      <c r="ADM1" s="36"/>
      <c r="ADN1" s="36"/>
      <c r="ADO1" s="36"/>
      <c r="ADP1" s="36"/>
      <c r="ADQ1" s="36"/>
      <c r="ADR1" s="36"/>
      <c r="ADS1" s="36"/>
      <c r="ADT1" s="36"/>
      <c r="ADU1" s="36"/>
      <c r="ADV1" s="36"/>
      <c r="ADW1" s="36"/>
      <c r="ADX1" s="36"/>
      <c r="ADY1" s="36"/>
      <c r="ADZ1" s="36"/>
      <c r="AEA1" s="36"/>
      <c r="AEB1" s="36"/>
      <c r="AEC1" s="36"/>
      <c r="AED1" s="36"/>
      <c r="AEE1" s="36"/>
      <c r="AEF1" s="36"/>
      <c r="AEG1" s="36"/>
      <c r="AEH1" s="36"/>
      <c r="AEI1" s="36"/>
      <c r="AEJ1" s="36"/>
      <c r="AEK1" s="36"/>
      <c r="AEL1" s="36"/>
      <c r="AEM1" s="36"/>
      <c r="AEN1" s="36"/>
      <c r="AEO1" s="36"/>
      <c r="AEP1" s="36"/>
      <c r="AEQ1" s="36"/>
      <c r="AER1" s="36"/>
      <c r="AES1" s="36"/>
      <c r="AET1" s="36"/>
      <c r="AEU1" s="36"/>
      <c r="AEV1" s="36"/>
      <c r="AEW1" s="36"/>
      <c r="AEX1" s="36"/>
      <c r="AEY1" s="36"/>
      <c r="AEZ1" s="36"/>
      <c r="AFA1" s="36"/>
      <c r="AFB1" s="36"/>
      <c r="AFC1" s="36"/>
      <c r="AFD1" s="36"/>
      <c r="AFE1" s="36"/>
      <c r="AFF1" s="36"/>
      <c r="AFG1" s="36"/>
      <c r="AFH1" s="36"/>
      <c r="AFI1" s="36"/>
      <c r="AFJ1" s="36"/>
      <c r="AFK1" s="36"/>
      <c r="AFL1" s="36"/>
      <c r="AFM1" s="36"/>
      <c r="AFN1" s="36"/>
      <c r="AFO1" s="36"/>
      <c r="AFP1" s="36"/>
      <c r="AFQ1" s="36"/>
      <c r="AFR1" s="36"/>
      <c r="AFS1" s="36"/>
      <c r="AFT1" s="36"/>
      <c r="AFU1" s="36"/>
      <c r="AFV1" s="36"/>
      <c r="AFW1" s="36"/>
      <c r="AFX1" s="36"/>
      <c r="AFY1" s="36"/>
      <c r="AFZ1" s="36"/>
      <c r="AGA1" s="36"/>
      <c r="AGB1" s="36"/>
      <c r="AGC1" s="36"/>
      <c r="AGD1" s="36"/>
      <c r="AGE1" s="36"/>
      <c r="AGF1" s="36"/>
      <c r="AGG1" s="36"/>
      <c r="AGH1" s="36"/>
      <c r="AGI1" s="36"/>
      <c r="AGJ1" s="36"/>
      <c r="AGK1" s="36"/>
      <c r="AGL1" s="36"/>
      <c r="AGM1" s="36"/>
      <c r="AGN1" s="36"/>
      <c r="AGO1" s="36"/>
      <c r="AGP1" s="36"/>
      <c r="AGQ1" s="36"/>
      <c r="AGR1" s="36"/>
      <c r="AGS1" s="36"/>
      <c r="AGT1" s="36"/>
      <c r="AGU1" s="36"/>
      <c r="AGV1" s="36"/>
      <c r="AGW1" s="36"/>
      <c r="AGX1" s="36"/>
      <c r="AGY1" s="36"/>
      <c r="AGZ1" s="36"/>
      <c r="AHA1" s="36"/>
      <c r="AHB1" s="36"/>
      <c r="AHC1" s="36"/>
      <c r="AHD1" s="36"/>
      <c r="AHE1" s="36"/>
      <c r="AHF1" s="36"/>
      <c r="AHG1" s="36"/>
      <c r="AHH1" s="36"/>
      <c r="AHI1" s="36"/>
      <c r="AHJ1" s="36"/>
      <c r="AHK1" s="36"/>
      <c r="AHL1" s="36"/>
      <c r="AHM1" s="36"/>
      <c r="AHN1" s="36"/>
      <c r="AHO1" s="36"/>
      <c r="AHP1" s="36"/>
      <c r="AHQ1" s="36"/>
      <c r="AHR1" s="36"/>
      <c r="AHS1" s="36"/>
      <c r="AHT1" s="36"/>
      <c r="AHU1" s="36"/>
      <c r="AHV1" s="36"/>
      <c r="AHW1" s="36"/>
      <c r="AHX1" s="36"/>
      <c r="AHY1" s="36"/>
      <c r="AHZ1" s="36"/>
      <c r="AIA1" s="36"/>
      <c r="AIB1" s="36"/>
      <c r="AIC1" s="36"/>
      <c r="AID1" s="36"/>
      <c r="AIE1" s="36"/>
      <c r="AIF1" s="36"/>
      <c r="AIG1" s="36"/>
      <c r="AIH1" s="36"/>
      <c r="AII1" s="36"/>
      <c r="AIJ1" s="36"/>
      <c r="AIK1" s="36"/>
      <c r="AIL1" s="36"/>
      <c r="AIM1" s="36"/>
      <c r="AIN1" s="36"/>
      <c r="AIO1" s="36"/>
      <c r="AIP1" s="36"/>
      <c r="AIQ1" s="36"/>
      <c r="AIR1" s="36"/>
      <c r="AIS1" s="36"/>
      <c r="AIT1" s="36"/>
      <c r="AIU1" s="36"/>
      <c r="AIV1" s="36"/>
      <c r="AIW1" s="36"/>
      <c r="AIX1" s="36"/>
      <c r="AIY1" s="36"/>
      <c r="AIZ1" s="36"/>
      <c r="AJA1" s="36"/>
      <c r="AJB1" s="36"/>
      <c r="AJC1" s="36"/>
      <c r="AJD1" s="36"/>
      <c r="AJE1" s="36"/>
      <c r="AJF1" s="36"/>
      <c r="AJG1" s="36"/>
      <c r="AJH1" s="36"/>
      <c r="AJI1" s="36"/>
      <c r="AJJ1" s="36"/>
      <c r="AJK1" s="36"/>
      <c r="AJL1" s="36"/>
      <c r="AJM1" s="36"/>
      <c r="AJN1" s="36"/>
      <c r="AJO1" s="36"/>
      <c r="AJP1" s="36"/>
      <c r="AJQ1" s="36"/>
      <c r="AJR1" s="36"/>
      <c r="AJS1" s="36"/>
      <c r="AJT1" s="36"/>
      <c r="AJU1" s="36"/>
      <c r="AJV1" s="36"/>
      <c r="AJW1" s="36"/>
      <c r="AJX1" s="36"/>
      <c r="AJY1" s="36"/>
      <c r="AJZ1" s="36"/>
      <c r="AKA1" s="36"/>
      <c r="AKB1" s="36"/>
      <c r="AKC1" s="36"/>
      <c r="AKD1" s="36"/>
      <c r="AKE1" s="36"/>
      <c r="AKF1" s="36"/>
      <c r="AKG1" s="36"/>
      <c r="AKH1" s="36"/>
      <c r="AKI1" s="36"/>
      <c r="AKJ1" s="36"/>
      <c r="AKK1" s="36"/>
      <c r="AKL1" s="36"/>
      <c r="AKM1" s="36"/>
      <c r="AKN1" s="36"/>
      <c r="AKO1" s="36"/>
      <c r="AKP1" s="36"/>
      <c r="AKQ1" s="36"/>
      <c r="AKR1" s="36"/>
      <c r="AKS1" s="36"/>
      <c r="AKT1" s="36"/>
      <c r="AKU1" s="36"/>
      <c r="AKV1" s="36"/>
      <c r="AKW1" s="36"/>
      <c r="AKX1" s="36"/>
      <c r="AKY1" s="36"/>
      <c r="AKZ1" s="36"/>
      <c r="ALA1" s="36"/>
      <c r="ALB1" s="36"/>
      <c r="ALC1" s="36"/>
      <c r="ALD1" s="36"/>
      <c r="ALE1" s="36"/>
      <c r="ALF1" s="36"/>
      <c r="ALG1" s="36"/>
      <c r="ALH1" s="36"/>
      <c r="ALI1" s="36"/>
      <c r="ALJ1" s="36"/>
      <c r="ALK1" s="36"/>
      <c r="ALL1" s="36"/>
      <c r="ALM1" s="36"/>
      <c r="ALN1" s="36"/>
      <c r="ALO1" s="36"/>
      <c r="ALP1" s="36"/>
      <c r="ALQ1" s="36"/>
      <c r="ALR1" s="36"/>
      <c r="ALS1" s="36"/>
      <c r="ALT1" s="36"/>
      <c r="ALU1" s="36"/>
      <c r="ALV1" s="36"/>
      <c r="ALW1" s="36"/>
      <c r="ALX1" s="36"/>
      <c r="ALY1" s="36"/>
      <c r="ALZ1" s="36"/>
      <c r="AMA1" s="36"/>
      <c r="AMB1" s="36"/>
      <c r="AMC1" s="36"/>
      <c r="AMD1" s="36"/>
      <c r="AME1" s="36"/>
      <c r="AMF1" s="36"/>
      <c r="AMG1" s="36"/>
      <c r="AMH1" s="36"/>
      <c r="AMI1" s="36"/>
      <c r="AMJ1" s="36"/>
    </row>
    <row r="3" spans="1:1024" ht="13.15" x14ac:dyDescent="0.4">
      <c r="A3" s="1" t="s">
        <v>40</v>
      </c>
      <c r="D3" s="4" t="s">
        <v>70</v>
      </c>
    </row>
    <row r="4" spans="1:1024" x14ac:dyDescent="0.35">
      <c r="A4" t="s">
        <v>41</v>
      </c>
      <c r="D4" s="4" t="s">
        <v>72</v>
      </c>
    </row>
    <row r="5" spans="1:1024" x14ac:dyDescent="0.35">
      <c r="A5" t="s">
        <v>42</v>
      </c>
      <c r="D5" s="4" t="s">
        <v>71</v>
      </c>
    </row>
    <row r="6" spans="1:1024" x14ac:dyDescent="0.35">
      <c r="A6" t="s">
        <v>43</v>
      </c>
      <c r="D6" s="4" t="s">
        <v>72</v>
      </c>
    </row>
    <row r="7" spans="1:1024" x14ac:dyDescent="0.35">
      <c r="A7" t="s">
        <v>44</v>
      </c>
      <c r="D7" s="4"/>
    </row>
    <row r="8" spans="1:1024" ht="13.15" x14ac:dyDescent="0.4">
      <c r="A8" t="s">
        <v>33</v>
      </c>
      <c r="D8" s="37">
        <v>46014</v>
      </c>
    </row>
    <row r="9" spans="1:1024" x14ac:dyDescent="0.35">
      <c r="A9" t="s">
        <v>45</v>
      </c>
      <c r="D9" s="38" t="s">
        <v>46</v>
      </c>
    </row>
    <row r="10" spans="1:1024" ht="13.15" x14ac:dyDescent="0.4">
      <c r="A10" t="s">
        <v>47</v>
      </c>
      <c r="D10" s="3">
        <v>80</v>
      </c>
    </row>
    <row r="11" spans="1:1024" x14ac:dyDescent="0.35">
      <c r="A11" t="s">
        <v>48</v>
      </c>
      <c r="D11">
        <v>1</v>
      </c>
    </row>
    <row r="13" spans="1:1024" x14ac:dyDescent="0.35">
      <c r="A13" t="s">
        <v>49</v>
      </c>
      <c r="B13">
        <v>50</v>
      </c>
      <c r="C13" t="s">
        <v>50</v>
      </c>
    </row>
    <row r="14" spans="1:1024" x14ac:dyDescent="0.35">
      <c r="A14" t="s">
        <v>51</v>
      </c>
      <c r="B14">
        <v>5</v>
      </c>
    </row>
    <row r="15" spans="1:1024" x14ac:dyDescent="0.35">
      <c r="A15" t="s">
        <v>52</v>
      </c>
      <c r="B15">
        <f>B13/B14</f>
        <v>10</v>
      </c>
      <c r="C15" t="s">
        <v>50</v>
      </c>
    </row>
    <row r="16" spans="1:1024" x14ac:dyDescent="0.35">
      <c r="A16" t="s">
        <v>53</v>
      </c>
      <c r="B16">
        <v>0.7</v>
      </c>
    </row>
    <row r="17" spans="1:10" x14ac:dyDescent="0.35">
      <c r="D17" s="4"/>
    </row>
    <row r="18" spans="1:10" x14ac:dyDescent="0.35">
      <c r="A18" t="s">
        <v>54</v>
      </c>
      <c r="B18">
        <f>$B$16*$B$15/100</f>
        <v>7.0000000000000007E-2</v>
      </c>
    </row>
    <row r="19" spans="1:10" x14ac:dyDescent="0.35">
      <c r="A19" s="39" t="s">
        <v>55</v>
      </c>
      <c r="B19">
        <f>B16*$B$13</f>
        <v>35</v>
      </c>
      <c r="C19" t="s">
        <v>50</v>
      </c>
    </row>
    <row r="20" spans="1:10" x14ac:dyDescent="0.35">
      <c r="A20" t="s">
        <v>56</v>
      </c>
      <c r="B20">
        <f>B15*B16</f>
        <v>7</v>
      </c>
      <c r="C20" t="s">
        <v>50</v>
      </c>
    </row>
    <row r="22" spans="1:10" x14ac:dyDescent="0.35">
      <c r="A22" s="40" t="s">
        <v>57</v>
      </c>
      <c r="B22" s="40" t="s">
        <v>58</v>
      </c>
      <c r="C22" s="40" t="s">
        <v>59</v>
      </c>
      <c r="D22" s="40" t="s">
        <v>60</v>
      </c>
      <c r="E22" s="40" t="s">
        <v>61</v>
      </c>
      <c r="F22" s="40" t="s">
        <v>62</v>
      </c>
      <c r="G22" s="40" t="s">
        <v>63</v>
      </c>
      <c r="H22" s="40" t="s">
        <v>64</v>
      </c>
      <c r="I22" s="40" t="s">
        <v>65</v>
      </c>
    </row>
    <row r="23" spans="1:10" x14ac:dyDescent="0.35">
      <c r="A23" s="41">
        <v>4</v>
      </c>
      <c r="B23" s="42">
        <f>'E - B1'!$G9</f>
        <v>5809.2492188000006</v>
      </c>
      <c r="C23" s="42">
        <f>'E - B2'!$G9</f>
        <v>6792.2107424000005</v>
      </c>
      <c r="D23" s="42">
        <f>'E - B3'!$G9</f>
        <v>5738.0034181999999</v>
      </c>
      <c r="E23" s="15">
        <f t="shared" ref="E23:E28" si="0">AVERAGE(B23:D23)</f>
        <v>6113.154459800001</v>
      </c>
      <c r="F23" s="43">
        <v>6300</v>
      </c>
      <c r="G23">
        <v>4553</v>
      </c>
      <c r="H23">
        <v>8713</v>
      </c>
      <c r="I23" s="6">
        <f t="shared" ref="I23:I28" si="1">(E23-F23)/F23</f>
        <v>-2.9658022253968103E-2</v>
      </c>
    </row>
    <row r="24" spans="1:10" x14ac:dyDescent="0.35">
      <c r="A24" s="4">
        <v>5</v>
      </c>
      <c r="B24" s="42">
        <f>'E - B1'!$G10</f>
        <v>3527.3706542</v>
      </c>
      <c r="C24" s="42">
        <f>'E - B2'!$G10</f>
        <v>4124.8537108</v>
      </c>
      <c r="D24" s="42">
        <f>'E - B3'!$G10</f>
        <v>3484.6724122000001</v>
      </c>
      <c r="E24" s="15">
        <f t="shared" si="0"/>
        <v>3712.2989257333334</v>
      </c>
      <c r="F24" s="44">
        <v>3475</v>
      </c>
      <c r="G24">
        <v>2330</v>
      </c>
      <c r="H24">
        <v>5183</v>
      </c>
      <c r="I24" s="6">
        <f t="shared" si="1"/>
        <v>6.8287460642685857E-2</v>
      </c>
    </row>
    <row r="25" spans="1:10" x14ac:dyDescent="0.35">
      <c r="A25" s="4">
        <v>6</v>
      </c>
      <c r="B25" s="42">
        <f>'E - B1'!$G11</f>
        <v>1945.0206544</v>
      </c>
      <c r="C25" s="42">
        <f>'E - B2'!$G11</f>
        <v>2311.1650882000004</v>
      </c>
      <c r="D25" s="42">
        <f>'E - B3'!$G11</f>
        <v>1910.3873047999998</v>
      </c>
      <c r="E25" s="15">
        <f t="shared" si="0"/>
        <v>2055.5243491333335</v>
      </c>
      <c r="F25" s="44">
        <v>1631</v>
      </c>
      <c r="G25">
        <v>938.2</v>
      </c>
      <c r="H25">
        <v>2834</v>
      </c>
      <c r="I25" s="6">
        <f t="shared" si="1"/>
        <v>0.26028470210504817</v>
      </c>
    </row>
    <row r="26" spans="1:10" x14ac:dyDescent="0.35">
      <c r="A26" s="4">
        <v>7</v>
      </c>
      <c r="B26" s="42">
        <f>'E - B1'!$G12</f>
        <v>1063.7234374</v>
      </c>
      <c r="C26" s="42">
        <f>'E - B2'!$G12</f>
        <v>1292.6766602000002</v>
      </c>
      <c r="D26" s="42">
        <f>'E - B3'!$G12</f>
        <v>1034.9560059999999</v>
      </c>
      <c r="E26" s="15">
        <f t="shared" si="0"/>
        <v>1130.4520345333333</v>
      </c>
      <c r="F26" s="44">
        <v>769.8</v>
      </c>
      <c r="G26">
        <v>413.6</v>
      </c>
      <c r="H26">
        <v>1433</v>
      </c>
      <c r="I26" s="6">
        <f t="shared" si="1"/>
        <v>0.46850095418723481</v>
      </c>
    </row>
    <row r="27" spans="1:10" x14ac:dyDescent="0.35">
      <c r="A27" s="4">
        <v>8</v>
      </c>
      <c r="B27" s="42">
        <f>'E - B1'!$G13</f>
        <v>533.73321539999995</v>
      </c>
      <c r="C27" s="42">
        <f>'E - B2'!$G13</f>
        <v>675.90943619999996</v>
      </c>
      <c r="D27" s="42">
        <f>'E - B3'!$G13</f>
        <v>514.02096559999995</v>
      </c>
      <c r="E27" s="15">
        <f t="shared" si="0"/>
        <v>574.55453906666662</v>
      </c>
      <c r="F27" s="44">
        <v>379.1</v>
      </c>
      <c r="G27">
        <v>179.7</v>
      </c>
      <c r="H27">
        <v>799.5</v>
      </c>
      <c r="I27" s="6">
        <f t="shared" si="1"/>
        <v>0.51557514921304826</v>
      </c>
    </row>
    <row r="28" spans="1:10" x14ac:dyDescent="0.35">
      <c r="A28" s="23">
        <v>9</v>
      </c>
      <c r="B28" s="45">
        <f>'E - B1'!$G14</f>
        <v>272.46116339999998</v>
      </c>
      <c r="C28" s="45">
        <f>'E - B2'!$G14</f>
        <v>358.8372316</v>
      </c>
      <c r="D28" s="45">
        <f>'E - B3'!$G14</f>
        <v>258.36557920000001</v>
      </c>
      <c r="E28" s="46">
        <f t="shared" si="0"/>
        <v>296.55465806666666</v>
      </c>
      <c r="F28" s="47">
        <v>196.2</v>
      </c>
      <c r="G28" s="30">
        <v>76.569999999999993</v>
      </c>
      <c r="H28" s="30">
        <v>502.6</v>
      </c>
      <c r="I28" s="14">
        <f t="shared" si="1"/>
        <v>0.51149163132857633</v>
      </c>
    </row>
    <row r="29" spans="1:10" ht="13.15" x14ac:dyDescent="0.4">
      <c r="A29" s="1"/>
      <c r="B29" s="1"/>
      <c r="C29" s="48"/>
      <c r="D29" s="43"/>
      <c r="E29" s="43"/>
      <c r="J29" s="4"/>
    </row>
    <row r="30" spans="1:10" x14ac:dyDescent="0.35">
      <c r="A30" t="s">
        <v>62</v>
      </c>
      <c r="C30" s="27"/>
    </row>
    <row r="31" spans="1:10" x14ac:dyDescent="0.35">
      <c r="A31" s="40" t="s">
        <v>57</v>
      </c>
      <c r="B31" s="40" t="s">
        <v>66</v>
      </c>
      <c r="C31" s="40" t="s">
        <v>67</v>
      </c>
      <c r="D31" s="40" t="s">
        <v>68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2"/>
    </row>
    <row r="34" spans="1:21" ht="13.15" x14ac:dyDescent="0.4">
      <c r="A34" s="49">
        <v>4</v>
      </c>
      <c r="B34" s="49">
        <v>6300</v>
      </c>
      <c r="C34" s="49">
        <v>4553</v>
      </c>
      <c r="D34" s="49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8"/>
      <c r="F35" s="15"/>
      <c r="G35" s="28"/>
      <c r="H35" s="15"/>
      <c r="I35" s="28"/>
      <c r="J35" s="15"/>
      <c r="K35" s="28"/>
    </row>
    <row r="36" spans="1:21" ht="13.15" x14ac:dyDescent="0.4">
      <c r="A36" s="49">
        <v>6</v>
      </c>
      <c r="B36" s="49">
        <v>1631</v>
      </c>
      <c r="C36" s="49">
        <v>938.2</v>
      </c>
      <c r="D36" s="49">
        <v>2834</v>
      </c>
      <c r="E36" s="28"/>
      <c r="F36" s="15"/>
      <c r="G36" s="28"/>
      <c r="H36" s="15"/>
      <c r="I36" s="28"/>
      <c r="J36" s="15"/>
      <c r="K36" s="28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8"/>
      <c r="F37" s="15"/>
      <c r="G37" s="28"/>
      <c r="H37" s="15"/>
      <c r="I37" s="28"/>
      <c r="J37" s="15"/>
      <c r="K37" s="28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8"/>
      <c r="F38" s="15"/>
      <c r="G38" s="28"/>
      <c r="H38" s="15"/>
      <c r="I38" s="28"/>
      <c r="J38" s="15"/>
      <c r="K38" s="28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8"/>
      <c r="F39" s="15"/>
      <c r="G39" s="28"/>
      <c r="H39" s="15"/>
      <c r="I39" s="28"/>
      <c r="J39" s="15"/>
      <c r="K39" s="28"/>
    </row>
    <row r="40" spans="1:21" x14ac:dyDescent="0.35">
      <c r="A40" s="30">
        <v>10</v>
      </c>
      <c r="B40" s="30">
        <v>88.9</v>
      </c>
      <c r="C40" s="30">
        <v>27.89</v>
      </c>
      <c r="D40" s="30">
        <v>283.39999999999998</v>
      </c>
    </row>
    <row r="42" spans="1:21" x14ac:dyDescent="0.35">
      <c r="A42" t="s">
        <v>22</v>
      </c>
    </row>
    <row r="43" spans="1:21" ht="15" x14ac:dyDescent="0.5">
      <c r="A43" s="17"/>
      <c r="B43" s="18" t="s">
        <v>23</v>
      </c>
      <c r="C43" s="17"/>
      <c r="D43" s="19" t="s">
        <v>24</v>
      </c>
      <c r="E43" s="20"/>
      <c r="F43" s="20"/>
      <c r="G43" s="20"/>
      <c r="H43" s="21"/>
      <c r="U43" s="12"/>
    </row>
    <row r="44" spans="1:21" ht="15" x14ac:dyDescent="0.5">
      <c r="A44" s="22" t="s">
        <v>25</v>
      </c>
      <c r="B44" s="23" t="s">
        <v>26</v>
      </c>
      <c r="C44" s="22" t="s">
        <v>27</v>
      </c>
      <c r="D44" s="22" t="s">
        <v>28</v>
      </c>
      <c r="E44" s="23" t="s">
        <v>29</v>
      </c>
      <c r="F44" s="23" t="s">
        <v>30</v>
      </c>
      <c r="G44" s="23" t="s">
        <v>31</v>
      </c>
      <c r="H44" s="24" t="s">
        <v>32</v>
      </c>
      <c r="I44" s="15"/>
      <c r="J44" s="15"/>
    </row>
    <row r="45" spans="1:21" x14ac:dyDescent="0.35">
      <c r="A45" s="25">
        <v>10000</v>
      </c>
      <c r="C45" s="25">
        <v>11</v>
      </c>
      <c r="D45" s="25">
        <v>7.8</v>
      </c>
      <c r="E45">
        <v>5.3</v>
      </c>
      <c r="F45">
        <v>4</v>
      </c>
      <c r="G45">
        <v>2.7</v>
      </c>
      <c r="H45" s="26">
        <v>1.8</v>
      </c>
      <c r="I45" s="15"/>
      <c r="J45" s="15"/>
    </row>
    <row r="46" spans="1:21" x14ac:dyDescent="0.35">
      <c r="A46" s="25">
        <v>5000</v>
      </c>
      <c r="B46">
        <v>10000</v>
      </c>
      <c r="C46" s="25">
        <v>11.3</v>
      </c>
      <c r="D46" s="25">
        <v>7.8</v>
      </c>
      <c r="E46">
        <v>5.3</v>
      </c>
      <c r="F46">
        <v>4</v>
      </c>
      <c r="G46">
        <v>2.7</v>
      </c>
      <c r="H46" s="26">
        <v>1.9</v>
      </c>
    </row>
    <row r="47" spans="1:21" x14ac:dyDescent="0.35">
      <c r="A47" s="25">
        <v>2000</v>
      </c>
      <c r="B47">
        <v>5000</v>
      </c>
      <c r="C47" s="25">
        <v>11.9</v>
      </c>
      <c r="D47" s="25">
        <v>7.9</v>
      </c>
      <c r="E47">
        <v>5.4</v>
      </c>
      <c r="F47">
        <v>4.0999999999999996</v>
      </c>
      <c r="G47">
        <v>2.9</v>
      </c>
      <c r="H47" s="26">
        <v>2.1</v>
      </c>
      <c r="J47" s="15"/>
    </row>
    <row r="48" spans="1:21" x14ac:dyDescent="0.35">
      <c r="A48" s="25">
        <v>1000</v>
      </c>
      <c r="B48">
        <v>2000</v>
      </c>
      <c r="C48" s="25">
        <v>13.4</v>
      </c>
      <c r="D48" s="25">
        <v>8</v>
      </c>
      <c r="E48">
        <v>5.6</v>
      </c>
      <c r="F48">
        <v>4.3</v>
      </c>
      <c r="G48">
        <v>3.1</v>
      </c>
      <c r="H48" s="26">
        <v>2.4</v>
      </c>
      <c r="J48" s="15"/>
    </row>
    <row r="49" spans="1:12" x14ac:dyDescent="0.35">
      <c r="A49" s="25">
        <v>500</v>
      </c>
      <c r="B49">
        <v>1000</v>
      </c>
      <c r="C49" s="25">
        <v>15.6</v>
      </c>
      <c r="D49" s="25">
        <v>8.1999999999999993</v>
      </c>
      <c r="E49">
        <v>5.9</v>
      </c>
      <c r="F49">
        <v>4.7</v>
      </c>
      <c r="G49">
        <v>3.6</v>
      </c>
      <c r="H49" s="26">
        <v>2.9</v>
      </c>
      <c r="I49" s="15"/>
      <c r="J49" s="15"/>
    </row>
    <row r="50" spans="1:12" x14ac:dyDescent="0.35">
      <c r="A50" s="25">
        <v>200</v>
      </c>
      <c r="B50">
        <v>500</v>
      </c>
      <c r="C50" s="25">
        <v>19.3</v>
      </c>
      <c r="D50" s="25">
        <v>8.9</v>
      </c>
      <c r="E50">
        <v>6.8</v>
      </c>
      <c r="F50">
        <v>5.7</v>
      </c>
      <c r="G50">
        <v>4.7</v>
      </c>
      <c r="H50" s="26">
        <v>4.0999999999999996</v>
      </c>
    </row>
    <row r="51" spans="1:12" x14ac:dyDescent="0.35">
      <c r="A51" s="29">
        <v>100</v>
      </c>
      <c r="B51" s="30">
        <v>200</v>
      </c>
      <c r="C51" s="29">
        <v>27.5</v>
      </c>
      <c r="D51" s="29">
        <v>10</v>
      </c>
      <c r="E51" s="30">
        <v>8</v>
      </c>
      <c r="F51" s="30">
        <v>7</v>
      </c>
      <c r="G51" s="30">
        <v>6.1</v>
      </c>
      <c r="H51" s="31">
        <v>5.5</v>
      </c>
    </row>
    <row r="53" spans="1:12" ht="30" x14ac:dyDescent="1.1000000000000001">
      <c r="A53" s="50" t="s">
        <v>69</v>
      </c>
    </row>
    <row r="54" spans="1:12" x14ac:dyDescent="0.35">
      <c r="B54" s="28"/>
      <c r="D54" s="28"/>
      <c r="F54" s="28"/>
      <c r="H54" s="28"/>
      <c r="J54" s="28"/>
    </row>
    <row r="55" spans="1:12" ht="13.15" x14ac:dyDescent="0.4">
      <c r="A55" s="1"/>
      <c r="B55" s="34"/>
      <c r="D55" s="34"/>
      <c r="F55" s="34"/>
      <c r="H55" s="34"/>
      <c r="J55" s="34"/>
    </row>
    <row r="56" spans="1:12" ht="13.15" x14ac:dyDescent="0.4">
      <c r="B56" s="28"/>
      <c r="D56" s="28"/>
      <c r="K56" s="3"/>
      <c r="L56" s="3"/>
    </row>
  </sheetData>
  <mergeCells count="1">
    <mergeCell ref="C1:I1"/>
  </mergeCells>
  <conditionalFormatting sqref="A29">
    <cfRule type="cellIs" dxfId="11" priority="1" operator="between">
      <formula>$C$34</formula>
      <formula>$D$34</formula>
    </cfRule>
  </conditionalFormatting>
  <conditionalFormatting sqref="B29">
    <cfRule type="cellIs" dxfId="10" priority="2" operator="between">
      <formula>$C$36</formula>
      <formula>$D$36</formula>
    </cfRule>
  </conditionalFormatting>
  <conditionalFormatting sqref="B55 D55">
    <cfRule type="cellIs" dxfId="9" priority="3" operator="lessThan">
      <formula>B56</formula>
    </cfRule>
  </conditionalFormatting>
  <conditionalFormatting sqref="E23:E28">
    <cfRule type="cellIs" dxfId="8" priority="4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 - B1</vt:lpstr>
      <vt:lpstr>E - B2</vt:lpstr>
      <vt:lpstr>E - B3</vt:lpstr>
      <vt:lpstr>Annex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2025-12-23T14:06:03Z</dcterms:modified>
</cp:coreProperties>
</file>