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bility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<sst xmlns="http://schemas.openxmlformats.org/spreadsheetml/2006/main" count="62" uniqueCount="45">
  <si>
    <t xml:space="preserve">Time</t>
  </si>
  <si>
    <t xml:space="preserve">volume</t>
  </si>
  <si>
    <t xml:space="preserve">CV</t>
  </si>
  <si>
    <t xml:space="preserve">x</t>
  </si>
  <si>
    <t xml:space="preserve">σ</t>
  </si>
  <si>
    <r>
      <rPr>
        <b val="true"/>
        <sz val="10"/>
        <rFont val="Arial"/>
        <family val="0"/>
      </rPr>
      <t xml:space="preserve">σ</t>
    </r>
    <r>
      <rPr>
        <b val="true"/>
        <vertAlign val="subscript"/>
        <sz val="10"/>
        <rFont val="Arial"/>
        <family val="0"/>
      </rPr>
      <t xml:space="preserve">acceptable</t>
    </r>
  </si>
  <si>
    <t xml:space="preserve">PASS</t>
  </si>
  <si>
    <t xml:space="preserve">um(c)</t>
  </si>
  <si>
    <t xml:space="preserve">OLD</t>
  </si>
  <si>
    <t xml:space="preserve">NEW</t>
  </si>
  <si>
    <t xml:space="preserve">Level 3</t>
  </si>
  <si>
    <t xml:space="preserve">InpHI</t>
  </si>
  <si>
    <t xml:space="preserve">InpLO</t>
  </si>
  <si>
    <t xml:space="preserve">RngHI</t>
  </si>
  <si>
    <t xml:space="preserve">RngLO</t>
  </si>
  <si>
    <t xml:space="preserve">Pvoffset</t>
  </si>
  <si>
    <t xml:space="preserve">Filt.t</t>
  </si>
  <si>
    <t xml:space="preserve">filt.d</t>
  </si>
  <si>
    <t xml:space="preserve">OFF</t>
  </si>
  <si>
    <t xml:space="preserve">SV.type</t>
  </si>
  <si>
    <t xml:space="preserve">ON</t>
  </si>
  <si>
    <t xml:space="preserve">SV.DIR</t>
  </si>
  <si>
    <t xml:space="preserve">UP</t>
  </si>
  <si>
    <t xml:space="preserve">Pvin</t>
  </si>
  <si>
    <t xml:space="preserve">Nvin</t>
  </si>
  <si>
    <t xml:space="preserve">P.RST</t>
  </si>
  <si>
    <t xml:space="preserve">HI</t>
  </si>
  <si>
    <t xml:space="preserve">LO</t>
  </si>
  <si>
    <t xml:space="preserve">TA.OFFS</t>
  </si>
  <si>
    <t xml:space="preserve">Level</t>
  </si>
  <si>
    <t xml:space="preserve">Reading</t>
  </si>
  <si>
    <t xml:space="preserve">DEVIATION %</t>
  </si>
  <si>
    <t xml:space="preserve">RngLO: 0.68 → 0.78</t>
  </si>
  <si>
    <t xml:space="preserve">RngHI: 44.02 → 43.78</t>
  </si>
  <si>
    <t xml:space="preserve">We established 2.51 litres in pipes and filters after draining tank via lower outlet</t>
  </si>
  <si>
    <t xml:space="preserve">Depth</t>
  </si>
  <si>
    <t xml:space="preserve">Indication</t>
  </si>
  <si>
    <t xml:space="preserve">Removed</t>
  </si>
  <si>
    <t xml:space="preserve">Error</t>
  </si>
  <si>
    <t xml:space="preserve">Tank only drained leaving 2.51L in rig filter circuit. Added 1300ml to get above sensor level then adjusted Poffset to get 2.51+1.3 = 3.81L</t>
  </si>
  <si>
    <t xml:space="preserve">Added</t>
  </si>
  <si>
    <t xml:space="preserve">Final level validation after draining test mode circuit (excludes filter loop since</t>
  </si>
  <si>
    <t xml:space="preserve">Final adjustment of PvOffset to make read 12.25 so is best value at operating level</t>
  </si>
  <si>
    <t xml:space="preserve">Retrospective corrected</t>
  </si>
  <si>
    <t xml:space="preserve">Error %FS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</si>
</sst>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hh:mm:ss"/>
    <numFmt numFmtId="166" formatCode="0.0"/>
    <numFmt numFmtId="167" formatCode="0.00%"/>
    <numFmt numFmtId="168" formatCode="0.0%"/>
    <numFmt numFmtId="169" formatCode="yyyy\-mm\-dd"/>
    <numFmt numFmtId="170" formatCode="#,##0.0"/>
    <numFmt numFmtId="171" formatCode="#,##0.00"/>
    <numFmt numFmtId="172" formatCode="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Arial"/>
      <family val="0"/>
    </font>
    <font>
      <b val="true"/>
      <vertAlign val="subscript"/>
      <sz val="10"/>
      <name val="Arial"/>
      <family val="0"/>
    </font>
    <font>
      <sz val="13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ISO 11943 Clause 8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Calibration Rig 205 Stability Conformance - 2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Stability!$C$78</c:f>
              <c:strCache>
                <c:ptCount val="1"/>
                <c:pt idx="0">
                  <c:v>σ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Stability!$D$75:$AG$75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38</c:v>
                </c:pt>
                <c:pt idx="28">
                  <c:v>50</c:v>
                </c:pt>
                <c:pt idx="29">
                  <c:v>70</c:v>
                </c:pt>
              </c:numCache>
            </c:numRef>
          </c:xVal>
          <c:yVal>
            <c:numRef>
              <c:f>Stability!$D$78:$AG$78</c:f>
              <c:numCache>
                <c:formatCode>0.0</c:formatCode>
                <c:ptCount val="30"/>
                <c:pt idx="0">
                  <c:v>314.607166436894</c:v>
                </c:pt>
                <c:pt idx="1">
                  <c:v>183.736678314421</c:v>
                </c:pt>
                <c:pt idx="2">
                  <c:v>118.837378501259</c:v>
                </c:pt>
                <c:pt idx="3">
                  <c:v>85.926764915686</c:v>
                </c:pt>
                <c:pt idx="4">
                  <c:v>59.6013304475735</c:v>
                </c:pt>
                <c:pt idx="5">
                  <c:v>44.0750138616435</c:v>
                </c:pt>
                <c:pt idx="6">
                  <c:v>31.4643895798618</c:v>
                </c:pt>
                <c:pt idx="7">
                  <c:v>25.1943678751625</c:v>
                </c:pt>
                <c:pt idx="8">
                  <c:v>22.2218055092954</c:v>
                </c:pt>
                <c:pt idx="9">
                  <c:v>19.0367840647353</c:v>
                </c:pt>
                <c:pt idx="10">
                  <c:v>16.2901302796109</c:v>
                </c:pt>
                <c:pt idx="11">
                  <c:v>14.557092584509</c:v>
                </c:pt>
                <c:pt idx="12">
                  <c:v>12.786234975281</c:v>
                </c:pt>
                <c:pt idx="13">
                  <c:v>11.387296881471</c:v>
                </c:pt>
                <c:pt idx="14">
                  <c:v>9.74773586282734</c:v>
                </c:pt>
                <c:pt idx="15">
                  <c:v>8.49249491421676</c:v>
                </c:pt>
                <c:pt idx="16">
                  <c:v>7.83770691925205</c:v>
                </c:pt>
                <c:pt idx="17">
                  <c:v>7.25251834159095</c:v>
                </c:pt>
                <c:pt idx="18">
                  <c:v>6.70589036783384</c:v>
                </c:pt>
                <c:pt idx="19">
                  <c:v>6.0230719818694</c:v>
                </c:pt>
                <c:pt idx="20">
                  <c:v>5.13095479491029</c:v>
                </c:pt>
                <c:pt idx="21">
                  <c:v>5.02079127370535</c:v>
                </c:pt>
                <c:pt idx="22">
                  <c:v>4.52419547258146</c:v>
                </c:pt>
                <c:pt idx="23">
                  <c:v>4.10650152409391</c:v>
                </c:pt>
                <c:pt idx="24">
                  <c:v>3.80031330963961</c:v>
                </c:pt>
                <c:pt idx="25">
                  <c:v>3.45475033801533</c:v>
                </c:pt>
                <c:pt idx="26">
                  <c:v>3.07805717088094</c:v>
                </c:pt>
                <c:pt idx="27">
                  <c:v>1.31370955349514</c:v>
                </c:pt>
                <c:pt idx="28">
                  <c:v>0.419221842011148</c:v>
                </c:pt>
                <c:pt idx="29">
                  <c:v>0.0985957090199087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Stability!$C$79</c:f>
              <c:strCache>
                <c:ptCount val="1"/>
                <c:pt idx="0">
                  <c:v>σacceptable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Stability!$D$75:$AG$75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38</c:v>
                </c:pt>
                <c:pt idx="28">
                  <c:v>50</c:v>
                </c:pt>
                <c:pt idx="29">
                  <c:v>70</c:v>
                </c:pt>
              </c:numCache>
            </c:numRef>
          </c:xVal>
          <c:yVal>
            <c:numRef>
              <c:f>Stability!$D$79:$AG$79</c:f>
              <c:numCache>
                <c:formatCode>0.0</c:formatCode>
                <c:ptCount val="30"/>
                <c:pt idx="0">
                  <c:v>464.146428780608</c:v>
                </c:pt>
                <c:pt idx="1">
                  <c:v>312.884301672319</c:v>
                </c:pt>
                <c:pt idx="2">
                  <c:v>215.554277551906</c:v>
                </c:pt>
                <c:pt idx="3">
                  <c:v>158.817288044602</c:v>
                </c:pt>
                <c:pt idx="4">
                  <c:v>116.092187248882</c:v>
                </c:pt>
                <c:pt idx="5">
                  <c:v>85.9299036174151</c:v>
                </c:pt>
                <c:pt idx="6">
                  <c:v>66.3207228976871</c:v>
                </c:pt>
                <c:pt idx="7">
                  <c:v>52.1960299325138</c:v>
                </c:pt>
                <c:pt idx="8">
                  <c:v>42.3023099053234</c:v>
                </c:pt>
                <c:pt idx="9">
                  <c:v>35.4540744356442</c:v>
                </c:pt>
                <c:pt idx="10">
                  <c:v>30.5465046547978</c:v>
                </c:pt>
                <c:pt idx="11">
                  <c:v>26.7238590658347</c:v>
                </c:pt>
                <c:pt idx="12">
                  <c:v>23.718196514108</c:v>
                </c:pt>
                <c:pt idx="13">
                  <c:v>21.2844396803602</c:v>
                </c:pt>
                <c:pt idx="14">
                  <c:v>19.3046377405636</c:v>
                </c:pt>
                <c:pt idx="15">
                  <c:v>17.6483317439897</c:v>
                </c:pt>
                <c:pt idx="16">
                  <c:v>16.1113679329932</c:v>
                </c:pt>
                <c:pt idx="17">
                  <c:v>14.5657846273493</c:v>
                </c:pt>
                <c:pt idx="18">
                  <c:v>13.1483476326053</c:v>
                </c:pt>
                <c:pt idx="19">
                  <c:v>11.7940149101209</c:v>
                </c:pt>
                <c:pt idx="20">
                  <c:v>10.5970851142791</c:v>
                </c:pt>
                <c:pt idx="21">
                  <c:v>9.48990411729087</c:v>
                </c:pt>
                <c:pt idx="22">
                  <c:v>8.4851256716667</c:v>
                </c:pt>
                <c:pt idx="23">
                  <c:v>7.62852322134824</c:v>
                </c:pt>
                <c:pt idx="24">
                  <c:v>6.90762219603393</c:v>
                </c:pt>
                <c:pt idx="25">
                  <c:v>6.30423076807741</c:v>
                </c:pt>
                <c:pt idx="26">
                  <c:v>5.67741703898854</c:v>
                </c:pt>
                <c:pt idx="27">
                  <c:v>2.2279378065587</c:v>
                </c:pt>
                <c:pt idx="28">
                  <c:v>0.945327308367611</c:v>
                </c:pt>
                <c:pt idx="29">
                  <c:v>0.317494021922721</c:v>
                </c:pt>
              </c:numCache>
            </c:numRef>
          </c:yVal>
          <c:smooth val="1"/>
        </c:ser>
        <c:axId val="18709547"/>
        <c:axId val="81140745"/>
      </c:scatterChart>
      <c:valAx>
        <c:axId val="18709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Particle Diameter um(c)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1140745"/>
        <c:crosses val="autoZero"/>
        <c:crossBetween val="between"/>
      </c:valAx>
      <c:valAx>
        <c:axId val="81140745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Standard Deviation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870954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ISO 11943 Clause 8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uFillTx/>
                <a:latin typeface="Arial"/>
              </a:rPr>
              <a:t>Calibration Rig 205 Stability Conformance - 1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Stability!$C$37</c:f>
              <c:strCache>
                <c:ptCount val="1"/>
                <c:pt idx="0">
                  <c:v>σ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Stability!$D$75:$AG$75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38</c:v>
                </c:pt>
                <c:pt idx="28">
                  <c:v>50</c:v>
                </c:pt>
                <c:pt idx="29">
                  <c:v>70</c:v>
                </c:pt>
              </c:numCache>
            </c:numRef>
          </c:xVal>
          <c:yVal>
            <c:numRef>
              <c:f>Stability!$D$37:$AG$37</c:f>
              <c:numCache>
                <c:formatCode>0.0</c:formatCode>
                <c:ptCount val="30"/>
                <c:pt idx="0">
                  <c:v>176.29950086783</c:v>
                </c:pt>
                <c:pt idx="1">
                  <c:v>114.157498825453</c:v>
                </c:pt>
                <c:pt idx="2">
                  <c:v>86.0414119747076</c:v>
                </c:pt>
                <c:pt idx="3">
                  <c:v>67.6104340242887</c:v>
                </c:pt>
                <c:pt idx="4">
                  <c:v>52.454763132566</c:v>
                </c:pt>
                <c:pt idx="5">
                  <c:v>43.6889412571436</c:v>
                </c:pt>
                <c:pt idx="6">
                  <c:v>35.3033123236461</c:v>
                </c:pt>
                <c:pt idx="7">
                  <c:v>30.9068904329227</c:v>
                </c:pt>
                <c:pt idx="8">
                  <c:v>28.6477917386827</c:v>
                </c:pt>
                <c:pt idx="9">
                  <c:v>25.3100015866268</c:v>
                </c:pt>
                <c:pt idx="10">
                  <c:v>21.4709926457578</c:v>
                </c:pt>
                <c:pt idx="11">
                  <c:v>18.8463158441325</c:v>
                </c:pt>
                <c:pt idx="12">
                  <c:v>16.1861216447682</c:v>
                </c:pt>
                <c:pt idx="13">
                  <c:v>14.5479602195861</c:v>
                </c:pt>
                <c:pt idx="14">
                  <c:v>12.1064237009238</c:v>
                </c:pt>
                <c:pt idx="15">
                  <c:v>10.3882011467197</c:v>
                </c:pt>
                <c:pt idx="16">
                  <c:v>9.01294571967252</c:v>
                </c:pt>
                <c:pt idx="17">
                  <c:v>8.14665184374425</c:v>
                </c:pt>
                <c:pt idx="18">
                  <c:v>7.10051704785884</c:v>
                </c:pt>
                <c:pt idx="19">
                  <c:v>5.83391305358478</c:v>
                </c:pt>
                <c:pt idx="20">
                  <c:v>4.49866495644386</c:v>
                </c:pt>
                <c:pt idx="21">
                  <c:v>4.40713733980121</c:v>
                </c:pt>
                <c:pt idx="22">
                  <c:v>3.59370427016741</c:v>
                </c:pt>
                <c:pt idx="23">
                  <c:v>3.10685367642032</c:v>
                </c:pt>
                <c:pt idx="24">
                  <c:v>2.77813396089033</c:v>
                </c:pt>
                <c:pt idx="25">
                  <c:v>2.32921869070031</c:v>
                </c:pt>
                <c:pt idx="26">
                  <c:v>2.00092457789135</c:v>
                </c:pt>
                <c:pt idx="27">
                  <c:v>0.939741362623704</c:v>
                </c:pt>
                <c:pt idx="28">
                  <c:v>0.307844633275647</c:v>
                </c:pt>
                <c:pt idx="29">
                  <c:v>0.103221522370432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Stability!$C$38</c:f>
              <c:strCache>
                <c:ptCount val="1"/>
                <c:pt idx="0">
                  <c:v>σacceptable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Stability!$D$75:$AG$75</c:f>
              <c:numCache>
                <c:formatCode>General</c:formatCode>
                <c:ptCount val="3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38</c:v>
                </c:pt>
                <c:pt idx="28">
                  <c:v>50</c:v>
                </c:pt>
                <c:pt idx="29">
                  <c:v>70</c:v>
                </c:pt>
              </c:numCache>
            </c:numRef>
          </c:xVal>
          <c:yVal>
            <c:numRef>
              <c:f>Stability!$D$38:$AG$38</c:f>
              <c:numCache>
                <c:formatCode>0.0</c:formatCode>
                <c:ptCount val="30"/>
                <c:pt idx="0">
                  <c:v>467.372922259633</c:v>
                </c:pt>
                <c:pt idx="1">
                  <c:v>314.88572728115</c:v>
                </c:pt>
                <c:pt idx="2">
                  <c:v>217.005501571229</c:v>
                </c:pt>
                <c:pt idx="3">
                  <c:v>159.924991043235</c:v>
                </c:pt>
                <c:pt idx="4">
                  <c:v>116.786423961957</c:v>
                </c:pt>
                <c:pt idx="5">
                  <c:v>86.4124083958942</c:v>
                </c:pt>
                <c:pt idx="6">
                  <c:v>66.5707368317334</c:v>
                </c:pt>
                <c:pt idx="7">
                  <c:v>52.3104806052491</c:v>
                </c:pt>
                <c:pt idx="8">
                  <c:v>42.3717443153555</c:v>
                </c:pt>
                <c:pt idx="9">
                  <c:v>35.4892864481175</c:v>
                </c:pt>
                <c:pt idx="10">
                  <c:v>30.5580726103885</c:v>
                </c:pt>
                <c:pt idx="11">
                  <c:v>26.7310059010664</c:v>
                </c:pt>
                <c:pt idx="12">
                  <c:v>23.7307718200965</c:v>
                </c:pt>
                <c:pt idx="13">
                  <c:v>21.3057911648998</c:v>
                </c:pt>
                <c:pt idx="14">
                  <c:v>19.341262303686</c:v>
                </c:pt>
                <c:pt idx="15">
                  <c:v>17.7044590079782</c:v>
                </c:pt>
                <c:pt idx="16">
                  <c:v>16.1994205078276</c:v>
                </c:pt>
                <c:pt idx="17">
                  <c:v>14.6771729178803</c:v>
                </c:pt>
                <c:pt idx="18">
                  <c:v>13.2633988554567</c:v>
                </c:pt>
                <c:pt idx="19">
                  <c:v>11.9107522794669</c:v>
                </c:pt>
                <c:pt idx="20">
                  <c:v>10.7229186943786</c:v>
                </c:pt>
                <c:pt idx="21">
                  <c:v>9.64273113743137</c:v>
                </c:pt>
                <c:pt idx="22">
                  <c:v>8.64659910292737</c:v>
                </c:pt>
                <c:pt idx="23">
                  <c:v>7.80038477798329</c:v>
                </c:pt>
                <c:pt idx="24">
                  <c:v>7.09687510639051</c:v>
                </c:pt>
                <c:pt idx="25">
                  <c:v>6.48861342151335</c:v>
                </c:pt>
                <c:pt idx="26">
                  <c:v>5.86681674835183</c:v>
                </c:pt>
                <c:pt idx="27">
                  <c:v>2.43804754424959</c:v>
                </c:pt>
                <c:pt idx="28">
                  <c:v>1.07433852926755</c:v>
                </c:pt>
                <c:pt idx="29">
                  <c:v>0.394693043940228</c:v>
                </c:pt>
              </c:numCache>
            </c:numRef>
          </c:yVal>
          <c:smooth val="1"/>
        </c:ser>
        <c:axId val="18201441"/>
        <c:axId val="39407795"/>
      </c:scatterChart>
      <c:valAx>
        <c:axId val="182014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Particle Diameter um(c)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9407795"/>
        <c:crosses val="autoZero"/>
        <c:crossBetween val="between"/>
      </c:valAx>
      <c:valAx>
        <c:axId val="39407795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Standard Deviation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820144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Sheet1!$K$26</c:f>
              <c:strCache>
                <c:ptCount val="1"/>
                <c:pt idx="0">
                  <c:v>Reading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Sheet1!$J$27:$J$38</c:f>
              <c:numCache>
                <c:formatCode>General</c:formatCode>
                <c:ptCount val="12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11.7</c:v>
                </c:pt>
              </c:numCache>
            </c:numRef>
          </c:xVal>
          <c:yVal>
            <c:numRef>
              <c:f>Sheet1!$K$27:$K$38</c:f>
              <c:numCache>
                <c:formatCode>General</c:formatCode>
                <c:ptCount val="12"/>
                <c:pt idx="1">
                  <c:v>2.11</c:v>
                </c:pt>
                <c:pt idx="2">
                  <c:v>3.16</c:v>
                </c:pt>
                <c:pt idx="3">
                  <c:v>4.18</c:v>
                </c:pt>
                <c:pt idx="4">
                  <c:v>5.19</c:v>
                </c:pt>
                <c:pt idx="5">
                  <c:v>6.21</c:v>
                </c:pt>
                <c:pt idx="6">
                  <c:v>7.24</c:v>
                </c:pt>
                <c:pt idx="7">
                  <c:v>8.26</c:v>
                </c:pt>
                <c:pt idx="8">
                  <c:v>9.3</c:v>
                </c:pt>
                <c:pt idx="9">
                  <c:v>10.31</c:v>
                </c:pt>
                <c:pt idx="10">
                  <c:v>11.33</c:v>
                </c:pt>
                <c:pt idx="11">
                  <c:v>12.07</c:v>
                </c:pt>
              </c:numCache>
            </c:numRef>
          </c:yVal>
          <c:smooth val="0"/>
        </c:ser>
        <c:axId val="41787144"/>
        <c:axId val="46067564"/>
      </c:scatterChart>
      <c:valAx>
        <c:axId val="417871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6067564"/>
        <c:crosses val="autoZero"/>
        <c:crossBetween val="between"/>
      </c:valAx>
      <c:valAx>
        <c:axId val="460675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Reading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178714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1451520</xdr:colOff>
      <xdr:row>82</xdr:row>
      <xdr:rowOff>85320</xdr:rowOff>
    </xdr:from>
    <xdr:to>
      <xdr:col>14</xdr:col>
      <xdr:colOff>797400</xdr:colOff>
      <xdr:row>119</xdr:row>
      <xdr:rowOff>33840</xdr:rowOff>
    </xdr:to>
    <xdr:graphicFrame>
      <xdr:nvGraphicFramePr>
        <xdr:cNvPr id="1" name=""/>
        <xdr:cNvGraphicFramePr/>
      </xdr:nvGraphicFramePr>
      <xdr:xfrm>
        <a:off x="2264400" y="13415400"/>
        <a:ext cx="10601640" cy="596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752760</xdr:colOff>
      <xdr:row>82</xdr:row>
      <xdr:rowOff>129960</xdr:rowOff>
    </xdr:from>
    <xdr:to>
      <xdr:col>28</xdr:col>
      <xdr:colOff>788040</xdr:colOff>
      <xdr:row>119</xdr:row>
      <xdr:rowOff>78480</xdr:rowOff>
    </xdr:to>
    <xdr:graphicFrame>
      <xdr:nvGraphicFramePr>
        <xdr:cNvPr id="2" name=""/>
        <xdr:cNvGraphicFramePr/>
      </xdr:nvGraphicFramePr>
      <xdr:xfrm>
        <a:off x="13634280" y="13460040"/>
        <a:ext cx="10601640" cy="596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274320</xdr:colOff>
      <xdr:row>2</xdr:row>
      <xdr:rowOff>132120</xdr:rowOff>
    </xdr:from>
    <xdr:to>
      <xdr:col>15</xdr:col>
      <xdr:colOff>343800</xdr:colOff>
      <xdr:row>22</xdr:row>
      <xdr:rowOff>122400</xdr:rowOff>
    </xdr:to>
    <xdr:graphicFrame>
      <xdr:nvGraphicFramePr>
        <xdr:cNvPr id="3" name=""/>
        <xdr:cNvGraphicFramePr/>
      </xdr:nvGraphicFramePr>
      <xdr:xfrm>
        <a:off x="6776640" y="457200"/>
        <a:ext cx="575928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313920</xdr:colOff>
      <xdr:row>38</xdr:row>
      <xdr:rowOff>101520</xdr:rowOff>
    </xdr:from>
    <xdr:to>
      <xdr:col>19</xdr:col>
      <xdr:colOff>618120</xdr:colOff>
      <xdr:row>57</xdr:row>
      <xdr:rowOff>10440</xdr:rowOff>
    </xdr:to>
    <xdr:sp>
      <xdr:nvSpPr>
        <xdr:cNvPr id="4" name="Text Frame 1"/>
        <xdr:cNvSpPr txBox="1"/>
      </xdr:nvSpPr>
      <xdr:spPr>
        <a:xfrm>
          <a:off x="8442000" y="6564600"/>
          <a:ext cx="7619400" cy="299736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GB" sz="1200" b="0" u="none" strike="noStrike">
              <a:effectLst/>
              <a:uFillTx/>
              <a:latin typeface="Times New Roman"/>
            </a:rPr>
            <a:t>Procedure</a:t>
          </a:r>
          <a:endParaRPr lang="en-GB" sz="1200" b="0" u="none" strike="noStrike">
            <a:effectLst/>
            <a:uFillTx/>
            <a:latin typeface="Times New Roman"/>
          </a:endParaRPr>
        </a:p>
        <a:p>
          <a:endParaRPr lang="en-GB" sz="1200" b="0" u="none" strike="noStrike">
            <a:effectLst/>
            <a:uFillTx/>
            <a:latin typeface="Times New Roman"/>
          </a:endParaRPr>
        </a:p>
        <a:p>
          <a:r>
            <a:rPr lang="en-GB" sz="1200" b="0" u="none" strike="noStrike">
              <a:effectLst/>
              <a:uFillTx/>
              <a:latin typeface="Times New Roman"/>
            </a:rPr>
            <a:t>Filters switched out of circuit.</a:t>
          </a:r>
          <a:endParaRPr lang="en-GB" sz="1200" b="0" u="none" strike="noStrike">
            <a:effectLst/>
            <a:uFillTx/>
            <a:latin typeface="Times New Roman"/>
          </a:endParaRPr>
        </a:p>
        <a:p>
          <a:endParaRPr lang="en-GB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AG8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D76" activeCellId="0" sqref="D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1.31"/>
  </cols>
  <sheetData>
    <row r="5" customFormat="false" ht="12.8" hidden="false" customHeight="false" outlineLevel="0" collapsed="false">
      <c r="B5" s="1" t="s">
        <v>0</v>
      </c>
      <c r="C5" s="1" t="s">
        <v>1</v>
      </c>
      <c r="D5" s="1" t="n">
        <v>4</v>
      </c>
      <c r="E5" s="1" t="n">
        <v>5</v>
      </c>
      <c r="F5" s="1" t="n">
        <v>6</v>
      </c>
      <c r="G5" s="1" t="n">
        <v>7</v>
      </c>
      <c r="H5" s="1" t="n">
        <v>8</v>
      </c>
      <c r="I5" s="1" t="n">
        <v>9</v>
      </c>
      <c r="J5" s="1" t="n">
        <v>10</v>
      </c>
      <c r="K5" s="1" t="n">
        <v>11</v>
      </c>
      <c r="L5" s="1" t="n">
        <v>12</v>
      </c>
      <c r="M5" s="1" t="n">
        <v>13</v>
      </c>
      <c r="N5" s="1" t="n">
        <v>14</v>
      </c>
      <c r="O5" s="1" t="n">
        <v>15</v>
      </c>
      <c r="P5" s="1" t="n">
        <v>16</v>
      </c>
      <c r="Q5" s="1" t="n">
        <v>17</v>
      </c>
      <c r="R5" s="1" t="n">
        <v>18</v>
      </c>
      <c r="S5" s="1" t="n">
        <v>19</v>
      </c>
      <c r="T5" s="1" t="n">
        <v>20</v>
      </c>
      <c r="U5" s="1" t="n">
        <v>21</v>
      </c>
      <c r="V5" s="1" t="n">
        <v>22</v>
      </c>
      <c r="W5" s="1" t="n">
        <v>23</v>
      </c>
      <c r="X5" s="1" t="n">
        <v>24</v>
      </c>
      <c r="Y5" s="1" t="n">
        <v>25</v>
      </c>
      <c r="Z5" s="1" t="n">
        <v>26</v>
      </c>
      <c r="AA5" s="1" t="n">
        <v>27</v>
      </c>
      <c r="AB5" s="1" t="n">
        <v>28</v>
      </c>
      <c r="AC5" s="1" t="n">
        <v>29</v>
      </c>
      <c r="AD5" s="1" t="n">
        <v>30</v>
      </c>
      <c r="AE5" s="1" t="n">
        <v>38</v>
      </c>
      <c r="AF5" s="1" t="n">
        <v>50</v>
      </c>
      <c r="AG5" s="1" t="n">
        <v>70</v>
      </c>
    </row>
    <row r="6" customFormat="false" ht="12.8" hidden="false" customHeight="false" outlineLevel="0" collapsed="false">
      <c r="B6" s="2" t="n">
        <v>46185.4547222222</v>
      </c>
      <c r="C6" s="3" t="n">
        <v>21.066746</v>
      </c>
      <c r="D6" s="3" t="n">
        <v>22184.964844</v>
      </c>
      <c r="E6" s="3" t="n">
        <v>14552.983398</v>
      </c>
      <c r="F6" s="3" t="n">
        <v>9652.65332</v>
      </c>
      <c r="G6" s="3" t="n">
        <v>6798.439453</v>
      </c>
      <c r="H6" s="3" t="n">
        <v>4676.802246</v>
      </c>
      <c r="I6" s="3" t="n">
        <v>3187.108398</v>
      </c>
      <c r="J6" s="3" t="n">
        <v>2242.349121</v>
      </c>
      <c r="K6" s="3" t="n">
        <v>1587.098511</v>
      </c>
      <c r="L6" s="3" t="n">
        <v>1154.283691</v>
      </c>
      <c r="M6" s="3" t="n">
        <v>873.034668</v>
      </c>
      <c r="N6" s="3" t="n">
        <v>681.737976</v>
      </c>
      <c r="O6" s="3" t="n">
        <v>545.361877</v>
      </c>
      <c r="P6" s="3" t="n">
        <v>445.536316</v>
      </c>
      <c r="Q6" s="3" t="n">
        <v>369.017609</v>
      </c>
      <c r="R6" s="3" t="n">
        <v>311.343781</v>
      </c>
      <c r="S6" s="3" t="n">
        <v>266.011658</v>
      </c>
      <c r="T6" s="3" t="n">
        <v>224.999161</v>
      </c>
      <c r="U6" s="3" t="n">
        <v>186.217651</v>
      </c>
      <c r="V6" s="3" t="n">
        <v>153.22728</v>
      </c>
      <c r="W6" s="3" t="n">
        <v>126.550156</v>
      </c>
      <c r="X6" s="3" t="n">
        <v>104.429985</v>
      </c>
      <c r="Y6" s="3" t="n">
        <v>85.395248</v>
      </c>
      <c r="Z6" s="3" t="n">
        <v>69.066193</v>
      </c>
      <c r="AA6" s="3" t="n">
        <v>57.009281</v>
      </c>
      <c r="AB6" s="3" t="n">
        <v>48.132732</v>
      </c>
      <c r="AC6" s="3" t="n">
        <v>41.534653</v>
      </c>
      <c r="AD6" s="3" t="n">
        <v>34.604301</v>
      </c>
      <c r="AE6" s="3" t="n">
        <v>6.218331</v>
      </c>
      <c r="AF6" s="3" t="n">
        <v>1.329109</v>
      </c>
      <c r="AG6" s="3" t="n">
        <v>0.379745</v>
      </c>
    </row>
    <row r="7" customFormat="false" ht="12.8" hidden="false" customHeight="false" outlineLevel="0" collapsed="false">
      <c r="B7" s="2" t="n">
        <v>46185.4562152778</v>
      </c>
      <c r="C7" s="3" t="n">
        <v>21.04044</v>
      </c>
      <c r="D7" s="3" t="n">
        <v>22140.697266</v>
      </c>
      <c r="E7" s="3" t="n">
        <v>14487.245117</v>
      </c>
      <c r="F7" s="3" t="n">
        <v>9578.839844</v>
      </c>
      <c r="G7" s="3" t="n">
        <v>6734.365234</v>
      </c>
      <c r="H7" s="3" t="n">
        <v>4640.777344</v>
      </c>
      <c r="I7" s="3" t="n">
        <v>3166.093506</v>
      </c>
      <c r="J7" s="3" t="n">
        <v>2238.593994</v>
      </c>
      <c r="K7" s="3" t="n">
        <v>1592.171997</v>
      </c>
      <c r="L7" s="3" t="n">
        <v>1151.259155</v>
      </c>
      <c r="M7" s="3" t="n">
        <v>868.375366</v>
      </c>
      <c r="N7" s="3" t="n">
        <v>679.310913</v>
      </c>
      <c r="O7" s="3" t="n">
        <v>542.479187</v>
      </c>
      <c r="P7" s="3" t="n">
        <v>440.247467</v>
      </c>
      <c r="Q7" s="3" t="n">
        <v>361.969635</v>
      </c>
      <c r="R7" s="3" t="n">
        <v>306.980286</v>
      </c>
      <c r="S7" s="3" t="n">
        <v>261.876648</v>
      </c>
      <c r="T7" s="3" t="n">
        <v>222.191177</v>
      </c>
      <c r="U7" s="3" t="n">
        <v>183.97905</v>
      </c>
      <c r="V7" s="3" t="n">
        <v>151.993027</v>
      </c>
      <c r="W7" s="3" t="n">
        <v>121.717987</v>
      </c>
      <c r="X7" s="3" t="n">
        <v>101.756432</v>
      </c>
      <c r="Y7" s="3" t="n">
        <v>82.412727</v>
      </c>
      <c r="Z7" s="3" t="n">
        <v>66.681114</v>
      </c>
      <c r="AA7" s="3" t="n">
        <v>54.751709</v>
      </c>
      <c r="AB7" s="3" t="n">
        <v>45.816532</v>
      </c>
      <c r="AC7" s="3" t="n">
        <v>38.212128</v>
      </c>
      <c r="AD7" s="3" t="n">
        <v>31.795914</v>
      </c>
      <c r="AE7" s="3" t="n">
        <v>6.368688</v>
      </c>
      <c r="AF7" s="3" t="n">
        <v>1.188188</v>
      </c>
      <c r="AG7" s="3" t="n">
        <v>0.237638</v>
      </c>
    </row>
    <row r="8" customFormat="false" ht="12.8" hidden="false" customHeight="false" outlineLevel="0" collapsed="false">
      <c r="B8" s="2" t="n">
        <v>46185.4577199074</v>
      </c>
      <c r="C8" s="3" t="n">
        <v>21.061777</v>
      </c>
      <c r="D8" s="3" t="n">
        <v>21934.332031</v>
      </c>
      <c r="E8" s="3" t="n">
        <v>14381.549805</v>
      </c>
      <c r="F8" s="3" t="n">
        <v>9548.339844</v>
      </c>
      <c r="G8" s="3" t="n">
        <v>6757.45459</v>
      </c>
      <c r="H8" s="3" t="n">
        <v>4637.975098</v>
      </c>
      <c r="I8" s="3" t="n">
        <v>3177.034912</v>
      </c>
      <c r="J8" s="3" t="n">
        <v>2256.172363</v>
      </c>
      <c r="K8" s="3" t="n">
        <v>1599.200317</v>
      </c>
      <c r="L8" s="3" t="n">
        <v>1167.280396</v>
      </c>
      <c r="M8" s="3" t="n">
        <v>880.742371</v>
      </c>
      <c r="N8" s="3" t="n">
        <v>689.258057</v>
      </c>
      <c r="O8" s="3" t="n">
        <v>544.208618</v>
      </c>
      <c r="P8" s="3" t="n">
        <v>443.932159</v>
      </c>
      <c r="Q8" s="3" t="n">
        <v>367.490356</v>
      </c>
      <c r="R8" s="3" t="n">
        <v>309.518036</v>
      </c>
      <c r="S8" s="3" t="n">
        <v>263.225647</v>
      </c>
      <c r="T8" s="3" t="n">
        <v>224.00769</v>
      </c>
      <c r="U8" s="3" t="n">
        <v>185.501923</v>
      </c>
      <c r="V8" s="3" t="n">
        <v>156.064697</v>
      </c>
      <c r="W8" s="3" t="n">
        <v>126.20018</v>
      </c>
      <c r="X8" s="3" t="n">
        <v>103.647476</v>
      </c>
      <c r="Y8" s="3" t="n">
        <v>83.041428</v>
      </c>
      <c r="Z8" s="3" t="n">
        <v>67.848022</v>
      </c>
      <c r="AA8" s="3" t="n">
        <v>56.168098</v>
      </c>
      <c r="AB8" s="3" t="n">
        <v>46.33987</v>
      </c>
      <c r="AC8" s="3" t="n">
        <v>38.69569</v>
      </c>
      <c r="AD8" s="3" t="n">
        <v>32.475891</v>
      </c>
      <c r="AE8" s="3" t="n">
        <v>6.979468</v>
      </c>
      <c r="AF8" s="3" t="n">
        <v>2.041613</v>
      </c>
      <c r="AG8" s="3" t="n">
        <v>0.379835</v>
      </c>
    </row>
    <row r="9" customFormat="false" ht="12.8" hidden="false" customHeight="false" outlineLevel="0" collapsed="false">
      <c r="B9" s="2" t="n">
        <v>46185.459224537</v>
      </c>
      <c r="C9" s="3" t="n">
        <v>21.044771</v>
      </c>
      <c r="D9" s="3" t="n">
        <v>21968.6875</v>
      </c>
      <c r="E9" s="3" t="n">
        <v>14448.386719</v>
      </c>
      <c r="F9" s="3" t="n">
        <v>9605.141602</v>
      </c>
      <c r="G9" s="3" t="n">
        <v>6791.330566</v>
      </c>
      <c r="H9" s="3" t="n">
        <v>4666.384766</v>
      </c>
      <c r="I9" s="3" t="n">
        <v>3190.246094</v>
      </c>
      <c r="J9" s="3" t="n">
        <v>2250.677734</v>
      </c>
      <c r="K9" s="3" t="n">
        <v>1602.535889</v>
      </c>
      <c r="L9" s="3" t="n">
        <v>1167.083252</v>
      </c>
      <c r="M9" s="3" t="n">
        <v>878.650574</v>
      </c>
      <c r="N9" s="3" t="n">
        <v>692.190918</v>
      </c>
      <c r="O9" s="3" t="n">
        <v>554.437012</v>
      </c>
      <c r="P9" s="3" t="n">
        <v>453.60437</v>
      </c>
      <c r="Q9" s="3" t="n">
        <v>373.251862</v>
      </c>
      <c r="R9" s="3" t="n">
        <v>312.001495</v>
      </c>
      <c r="S9" s="3" t="n">
        <v>263.72348</v>
      </c>
      <c r="T9" s="3" t="n">
        <v>223.380905</v>
      </c>
      <c r="U9" s="3" t="n">
        <v>186.602173</v>
      </c>
      <c r="V9" s="3" t="n">
        <v>154.242584</v>
      </c>
      <c r="W9" s="3" t="n">
        <v>126.682297</v>
      </c>
      <c r="X9" s="3" t="n">
        <v>103.778748</v>
      </c>
      <c r="Y9" s="3" t="n">
        <v>83.631226</v>
      </c>
      <c r="Z9" s="3" t="n">
        <v>68.520584</v>
      </c>
      <c r="AA9" s="3" t="n">
        <v>56.736183</v>
      </c>
      <c r="AB9" s="3" t="n">
        <v>46.234764</v>
      </c>
      <c r="AC9" s="3" t="n">
        <v>39.392208</v>
      </c>
      <c r="AD9" s="3" t="n">
        <v>32.407101</v>
      </c>
      <c r="AE9" s="3" t="n">
        <v>5.702129</v>
      </c>
      <c r="AF9" s="3" t="n">
        <v>1.04539</v>
      </c>
      <c r="AG9" s="3" t="n">
        <v>0.095035</v>
      </c>
    </row>
    <row r="10" customFormat="false" ht="12.8" hidden="false" customHeight="false" outlineLevel="0" collapsed="false">
      <c r="B10" s="2" t="n">
        <v>46185.4607291667</v>
      </c>
      <c r="C10" s="3" t="n">
        <v>20.989532</v>
      </c>
      <c r="D10" s="3" t="n">
        <v>22297.400391</v>
      </c>
      <c r="E10" s="3" t="n">
        <v>14623.098633</v>
      </c>
      <c r="F10" s="3" t="n">
        <v>9717.795898</v>
      </c>
      <c r="G10" s="3" t="n">
        <v>6867.232422</v>
      </c>
      <c r="H10" s="3" t="n">
        <v>4720.066895</v>
      </c>
      <c r="I10" s="3" t="n">
        <v>3221.510498</v>
      </c>
      <c r="J10" s="3" t="n">
        <v>2269.083496</v>
      </c>
      <c r="K10" s="3" t="n">
        <v>1612.803955</v>
      </c>
      <c r="L10" s="3" t="n">
        <v>1178.778076</v>
      </c>
      <c r="M10" s="3" t="n">
        <v>892.301941</v>
      </c>
      <c r="N10" s="3" t="n">
        <v>699.491516</v>
      </c>
      <c r="O10" s="3" t="n">
        <v>557.897156</v>
      </c>
      <c r="P10" s="3" t="n">
        <v>449.89093</v>
      </c>
      <c r="Q10" s="3" t="n">
        <v>372.56665</v>
      </c>
      <c r="R10" s="3" t="n">
        <v>313.680176</v>
      </c>
      <c r="S10" s="3" t="n">
        <v>268.324219</v>
      </c>
      <c r="T10" s="3" t="n">
        <v>230.067062</v>
      </c>
      <c r="U10" s="3" t="n">
        <v>192.667465</v>
      </c>
      <c r="V10" s="3" t="n">
        <v>160.460938</v>
      </c>
      <c r="W10" s="3" t="n">
        <v>131.970551</v>
      </c>
      <c r="X10" s="3" t="n">
        <v>108.768501</v>
      </c>
      <c r="Y10" s="3" t="n">
        <v>89.234955</v>
      </c>
      <c r="Z10" s="3" t="n">
        <v>72.369408</v>
      </c>
      <c r="AA10" s="3" t="n">
        <v>59.553493</v>
      </c>
      <c r="AB10" s="3" t="n">
        <v>49.834362</v>
      </c>
      <c r="AC10" s="3" t="n">
        <v>41.544518</v>
      </c>
      <c r="AD10" s="3" t="n">
        <v>33.921669</v>
      </c>
      <c r="AE10" s="3" t="n">
        <v>6.288849</v>
      </c>
      <c r="AF10" s="3" t="n">
        <v>1.238713</v>
      </c>
      <c r="AG10" s="3" t="n">
        <v>0.190571</v>
      </c>
    </row>
    <row r="11" customFormat="false" ht="12.8" hidden="false" customHeight="false" outlineLevel="0" collapsed="false">
      <c r="B11" s="2" t="n">
        <v>46185.4622453704</v>
      </c>
      <c r="C11" s="3" t="n">
        <v>21.171135</v>
      </c>
      <c r="D11" s="3" t="n">
        <v>21856.078125</v>
      </c>
      <c r="E11" s="3" t="n">
        <v>14425.537109</v>
      </c>
      <c r="F11" s="3" t="n">
        <v>9642.042969</v>
      </c>
      <c r="G11" s="3" t="n">
        <v>6814.041992</v>
      </c>
      <c r="H11" s="3" t="n">
        <v>4682.129883</v>
      </c>
      <c r="I11" s="3" t="n">
        <v>3210.786865</v>
      </c>
      <c r="J11" s="3" t="n">
        <v>2276.731934</v>
      </c>
      <c r="K11" s="3" t="n">
        <v>1617.201904</v>
      </c>
      <c r="L11" s="3" t="n">
        <v>1176.885376</v>
      </c>
      <c r="M11" s="3" t="n">
        <v>891.544067</v>
      </c>
      <c r="N11" s="3" t="n">
        <v>696.986694</v>
      </c>
      <c r="O11" s="3" t="n">
        <v>553.914551</v>
      </c>
      <c r="P11" s="3" t="n">
        <v>449.763336</v>
      </c>
      <c r="Q11" s="3" t="n">
        <v>370.740631</v>
      </c>
      <c r="R11" s="3" t="n">
        <v>311.272888</v>
      </c>
      <c r="S11" s="3" t="n">
        <v>265.691956</v>
      </c>
      <c r="T11" s="3" t="n">
        <v>226.062515</v>
      </c>
      <c r="U11" s="3" t="n">
        <v>187.708405</v>
      </c>
      <c r="V11" s="3" t="n">
        <v>154.927917</v>
      </c>
      <c r="W11" s="3" t="n">
        <v>126.77639</v>
      </c>
      <c r="X11" s="3" t="n">
        <v>102.54528</v>
      </c>
      <c r="Y11" s="3" t="n">
        <v>83.604401</v>
      </c>
      <c r="Z11" s="3" t="n">
        <v>67.261391</v>
      </c>
      <c r="AA11" s="3" t="n">
        <v>55.027752</v>
      </c>
      <c r="AB11" s="3" t="n">
        <v>46.525612</v>
      </c>
      <c r="AC11" s="3" t="n">
        <v>39.487728</v>
      </c>
      <c r="AD11" s="3" t="n">
        <v>32.449844</v>
      </c>
      <c r="AE11" s="3" t="n">
        <v>5.101285</v>
      </c>
      <c r="AF11" s="3" t="n">
        <v>1.228087</v>
      </c>
      <c r="AG11" s="3" t="n">
        <v>0.094468</v>
      </c>
    </row>
    <row r="12" customFormat="false" ht="12.8" hidden="false" customHeight="false" outlineLevel="0" collapsed="false">
      <c r="B12" s="2" t="n">
        <v>46185.46375</v>
      </c>
      <c r="C12" s="3" t="n">
        <v>20.974035</v>
      </c>
      <c r="D12" s="3" t="n">
        <v>22150.673828</v>
      </c>
      <c r="E12" s="3" t="n">
        <v>14572.255859</v>
      </c>
      <c r="F12" s="3" t="n">
        <v>9638.917969</v>
      </c>
      <c r="G12" s="3" t="n">
        <v>6789.82373</v>
      </c>
      <c r="H12" s="3" t="n">
        <v>4684.029297</v>
      </c>
      <c r="I12" s="3" t="n">
        <v>3215.451904</v>
      </c>
      <c r="J12" s="3" t="n">
        <v>2280.724609</v>
      </c>
      <c r="K12" s="3" t="n">
        <v>1625.199951</v>
      </c>
      <c r="L12" s="3" t="n">
        <v>1188.564819</v>
      </c>
      <c r="M12" s="3" t="n">
        <v>899.2547</v>
      </c>
      <c r="N12" s="3" t="n">
        <v>706.444885</v>
      </c>
      <c r="O12" s="3" t="n">
        <v>567.797302</v>
      </c>
      <c r="P12" s="3" t="n">
        <v>461.666046</v>
      </c>
      <c r="Q12" s="3" t="n">
        <v>382.234497</v>
      </c>
      <c r="R12" s="3" t="n">
        <v>322.493988</v>
      </c>
      <c r="S12" s="3" t="n">
        <v>276.675415</v>
      </c>
      <c r="T12" s="3" t="n">
        <v>233.574509</v>
      </c>
      <c r="U12" s="3" t="n">
        <v>194.716934</v>
      </c>
      <c r="V12" s="3" t="n">
        <v>161.437698</v>
      </c>
      <c r="W12" s="3" t="n">
        <v>132.687866</v>
      </c>
      <c r="X12" s="3" t="n">
        <v>108.515121</v>
      </c>
      <c r="Y12" s="3" t="n">
        <v>89.0625</v>
      </c>
      <c r="Z12" s="3" t="n">
        <v>72.851982</v>
      </c>
      <c r="AA12" s="3" t="n">
        <v>59.120716</v>
      </c>
      <c r="AB12" s="3" t="n">
        <v>48.536201</v>
      </c>
      <c r="AC12" s="3" t="n">
        <v>41.479858</v>
      </c>
      <c r="AD12" s="3" t="n">
        <v>33.565311</v>
      </c>
      <c r="AE12" s="3" t="n">
        <v>6.388852</v>
      </c>
      <c r="AF12" s="3" t="n">
        <v>1.334984</v>
      </c>
      <c r="AG12" s="3" t="n">
        <v>0.190712</v>
      </c>
    </row>
    <row r="13" customFormat="false" ht="12.8" hidden="false" customHeight="false" outlineLevel="0" collapsed="false">
      <c r="B13" s="2" t="n">
        <v>46185.4652777778</v>
      </c>
      <c r="C13" s="3" t="n">
        <v>20.915182</v>
      </c>
      <c r="D13" s="3" t="n">
        <v>22067.080078</v>
      </c>
      <c r="E13" s="3" t="n">
        <v>14585.337891</v>
      </c>
      <c r="F13" s="3" t="n">
        <v>9739.576172</v>
      </c>
      <c r="G13" s="3" t="n">
        <v>6896.425781</v>
      </c>
      <c r="H13" s="3" t="n">
        <v>4761.947754</v>
      </c>
      <c r="I13" s="3" t="n">
        <v>3263.657959</v>
      </c>
      <c r="J13" s="3" t="n">
        <v>2306.984375</v>
      </c>
      <c r="K13" s="3" t="n">
        <v>1648.515381</v>
      </c>
      <c r="L13" s="3" t="n">
        <v>1205.870483</v>
      </c>
      <c r="M13" s="3" t="n">
        <v>913.164429</v>
      </c>
      <c r="N13" s="3" t="n">
        <v>717.086731</v>
      </c>
      <c r="O13" s="3" t="n">
        <v>572.168091</v>
      </c>
      <c r="P13" s="3" t="n">
        <v>468.463531</v>
      </c>
      <c r="Q13" s="3" t="n">
        <v>382.736328</v>
      </c>
      <c r="R13" s="3" t="n">
        <v>323.975189</v>
      </c>
      <c r="S13" s="3" t="n">
        <v>275.589294</v>
      </c>
      <c r="T13" s="3" t="n">
        <v>235.570511</v>
      </c>
      <c r="U13" s="3" t="n">
        <v>195.647354</v>
      </c>
      <c r="V13" s="3" t="n">
        <v>162.56134</v>
      </c>
      <c r="W13" s="3" t="n">
        <v>132.104996</v>
      </c>
      <c r="X13" s="3" t="n">
        <v>107.194862</v>
      </c>
      <c r="Y13" s="3" t="n">
        <v>87.830933</v>
      </c>
      <c r="Z13" s="3" t="n">
        <v>72.435417</v>
      </c>
      <c r="AA13" s="3" t="n">
        <v>59.000202</v>
      </c>
      <c r="AB13" s="3" t="n">
        <v>49.724644</v>
      </c>
      <c r="AC13" s="3" t="n">
        <v>41.83564</v>
      </c>
      <c r="AD13" s="3" t="n">
        <v>34.329128</v>
      </c>
      <c r="AE13" s="3" t="n">
        <v>6.64589</v>
      </c>
      <c r="AF13" s="3" t="n">
        <v>1.290928</v>
      </c>
      <c r="AG13" s="3" t="n">
        <v>0.191249</v>
      </c>
    </row>
    <row r="14" customFormat="false" ht="12.8" hidden="false" customHeight="false" outlineLevel="0" collapsed="false">
      <c r="B14" s="2" t="n">
        <v>46185.4668055556</v>
      </c>
      <c r="C14" s="3" t="n">
        <v>20.937191</v>
      </c>
      <c r="D14" s="3" t="n">
        <v>22253.033203</v>
      </c>
      <c r="E14" s="3" t="n">
        <v>14623.881836</v>
      </c>
      <c r="F14" s="3" t="n">
        <v>9734.400391</v>
      </c>
      <c r="G14" s="3" t="n">
        <v>6866.011719</v>
      </c>
      <c r="H14" s="3" t="n">
        <v>4725.323242</v>
      </c>
      <c r="I14" s="3" t="n">
        <v>3243.653809</v>
      </c>
      <c r="J14" s="3" t="n">
        <v>2310.290771</v>
      </c>
      <c r="K14" s="3" t="n">
        <v>1650.125854</v>
      </c>
      <c r="L14" s="3" t="n">
        <v>1205.367065</v>
      </c>
      <c r="M14" s="3" t="n">
        <v>915.356812</v>
      </c>
      <c r="N14" s="3" t="n">
        <v>721.682312</v>
      </c>
      <c r="O14" s="3" t="n">
        <v>574.766663</v>
      </c>
      <c r="P14" s="3" t="n">
        <v>469.595001</v>
      </c>
      <c r="Q14" s="3" t="n">
        <v>389.737091</v>
      </c>
      <c r="R14" s="3" t="n">
        <v>329.748138</v>
      </c>
      <c r="S14" s="3" t="n">
        <v>281.747437</v>
      </c>
      <c r="T14" s="3" t="n">
        <v>239.382645</v>
      </c>
      <c r="U14" s="3" t="n">
        <v>202.176117</v>
      </c>
      <c r="V14" s="3" t="n">
        <v>165.877075</v>
      </c>
      <c r="W14" s="3" t="n">
        <v>136.837845</v>
      </c>
      <c r="X14" s="3" t="n">
        <v>110.712082</v>
      </c>
      <c r="Y14" s="3" t="n">
        <v>90.747604</v>
      </c>
      <c r="Z14" s="3" t="n">
        <v>74.41304</v>
      </c>
      <c r="AA14" s="3" t="n">
        <v>61.421803</v>
      </c>
      <c r="AB14" s="3" t="n">
        <v>50.05447</v>
      </c>
      <c r="AC14" s="3" t="n">
        <v>43.03347</v>
      </c>
      <c r="AD14" s="3" t="n">
        <v>35.391567</v>
      </c>
      <c r="AE14" s="3" t="n">
        <v>6.925475</v>
      </c>
      <c r="AF14" s="3" t="n">
        <v>0.907476</v>
      </c>
      <c r="AG14" s="3" t="n">
        <v>0.095524</v>
      </c>
    </row>
    <row r="15" customFormat="false" ht="12.8" hidden="false" customHeight="false" outlineLevel="0" collapsed="false">
      <c r="B15" s="2" t="n">
        <v>46185.4683449074</v>
      </c>
      <c r="C15" s="3" t="n">
        <v>20.928505</v>
      </c>
      <c r="D15" s="3" t="n">
        <v>22301.59375</v>
      </c>
      <c r="E15" s="3" t="n">
        <v>14590.72168</v>
      </c>
      <c r="F15" s="3" t="n">
        <v>9743.983398</v>
      </c>
      <c r="G15" s="3" t="n">
        <v>6910.097168</v>
      </c>
      <c r="H15" s="3" t="n">
        <v>4767.421387</v>
      </c>
      <c r="I15" s="3" t="n">
        <v>3290.488281</v>
      </c>
      <c r="J15" s="3" t="n">
        <v>2338.294189</v>
      </c>
      <c r="K15" s="3" t="n">
        <v>1676.947266</v>
      </c>
      <c r="L15" s="3" t="n">
        <v>1228.468018</v>
      </c>
      <c r="M15" s="3" t="n">
        <v>933.702637</v>
      </c>
      <c r="N15" s="3" t="n">
        <v>731.681519</v>
      </c>
      <c r="O15" s="3" t="n">
        <v>586.377319</v>
      </c>
      <c r="P15" s="3" t="n">
        <v>479.585144</v>
      </c>
      <c r="Q15" s="3" t="n">
        <v>396.970551</v>
      </c>
      <c r="R15" s="3" t="n">
        <v>335.953278</v>
      </c>
      <c r="S15" s="3" t="n">
        <v>285.591339</v>
      </c>
      <c r="T15" s="3" t="n">
        <v>241.154343</v>
      </c>
      <c r="U15" s="3" t="n">
        <v>199.10643</v>
      </c>
      <c r="V15" s="3" t="n">
        <v>165.229187</v>
      </c>
      <c r="W15" s="3" t="n">
        <v>135.84343</v>
      </c>
      <c r="X15" s="3" t="n">
        <v>111.952576</v>
      </c>
      <c r="Y15" s="3" t="n">
        <v>91.024178</v>
      </c>
      <c r="Z15" s="3" t="n">
        <v>72.867126</v>
      </c>
      <c r="AA15" s="3" t="n">
        <v>58.867081</v>
      </c>
      <c r="AB15" s="3" t="n">
        <v>48.450665</v>
      </c>
      <c r="AC15" s="3" t="n">
        <v>41.856789</v>
      </c>
      <c r="AD15" s="3" t="n">
        <v>34.11615</v>
      </c>
      <c r="AE15" s="3" t="n">
        <v>6.020497</v>
      </c>
      <c r="AF15" s="3" t="n">
        <v>1.003416</v>
      </c>
      <c r="AG15" s="3" t="n">
        <v>0.143345</v>
      </c>
    </row>
    <row r="16" customFormat="false" ht="12.8" hidden="false" customHeight="false" outlineLevel="0" collapsed="false">
      <c r="B16" s="2" t="n">
        <v>46185.4742708333</v>
      </c>
      <c r="C16" s="3" t="n">
        <v>10.095458</v>
      </c>
      <c r="D16" s="3" t="n">
        <v>21776.128906</v>
      </c>
      <c r="E16" s="3" t="n">
        <v>14335.457031</v>
      </c>
      <c r="F16" s="3" t="n">
        <v>9517.349609</v>
      </c>
      <c r="G16" s="3" t="n">
        <v>6738.87207</v>
      </c>
      <c r="H16" s="3" t="n">
        <v>4645.752441</v>
      </c>
      <c r="I16" s="3" t="n">
        <v>3192.029541</v>
      </c>
      <c r="J16" s="3" t="n">
        <v>2284.492676</v>
      </c>
      <c r="K16" s="3" t="n">
        <v>1635.388916</v>
      </c>
      <c r="L16" s="3" t="n">
        <v>1198.855957</v>
      </c>
      <c r="M16" s="3" t="n">
        <v>912.291443</v>
      </c>
      <c r="N16" s="3" t="n">
        <v>711.111877</v>
      </c>
      <c r="O16" s="3" t="n">
        <v>568.077271</v>
      </c>
      <c r="P16" s="3" t="n">
        <v>466.447388</v>
      </c>
      <c r="Q16" s="3" t="n">
        <v>387.203827</v>
      </c>
      <c r="R16" s="3" t="n">
        <v>325.39386</v>
      </c>
      <c r="S16" s="3" t="n">
        <v>277.352448</v>
      </c>
      <c r="T16" s="3" t="n">
        <v>234.957138</v>
      </c>
      <c r="U16" s="3" t="n">
        <v>194.542938</v>
      </c>
      <c r="V16" s="3" t="n">
        <v>162.6474</v>
      </c>
      <c r="W16" s="3" t="n">
        <v>133.228226</v>
      </c>
      <c r="X16" s="3" t="n">
        <v>111.436249</v>
      </c>
      <c r="Y16" s="3" t="n">
        <v>91.328201</v>
      </c>
      <c r="Z16" s="3" t="n">
        <v>71.913528</v>
      </c>
      <c r="AA16" s="3" t="n">
        <v>58.144958</v>
      </c>
      <c r="AB16" s="3" t="n">
        <v>50.616821</v>
      </c>
      <c r="AC16" s="3" t="n">
        <v>42.395302</v>
      </c>
      <c r="AD16" s="3" t="n">
        <v>34.966221</v>
      </c>
      <c r="AE16" s="3" t="n">
        <v>6.042321</v>
      </c>
      <c r="AF16" s="3" t="n">
        <v>1.089599</v>
      </c>
      <c r="AG16" s="3" t="n">
        <v>0.099054</v>
      </c>
    </row>
    <row r="17" customFormat="false" ht="12.8" hidden="false" customHeight="false" outlineLevel="0" collapsed="false">
      <c r="B17" s="2" t="n">
        <v>46185.4750115741</v>
      </c>
      <c r="C17" s="3" t="n">
        <v>10.13731</v>
      </c>
      <c r="D17" s="3" t="n">
        <v>22100.931641</v>
      </c>
      <c r="E17" s="3" t="n">
        <v>14516.474609</v>
      </c>
      <c r="F17" s="3" t="n">
        <v>9655.915039</v>
      </c>
      <c r="G17" s="3" t="n">
        <v>6846.39209</v>
      </c>
      <c r="H17" s="3" t="n">
        <v>4716.635742</v>
      </c>
      <c r="I17" s="3" t="n">
        <v>3258.556641</v>
      </c>
      <c r="J17" s="3" t="n">
        <v>2306.627686</v>
      </c>
      <c r="K17" s="3" t="n">
        <v>1657.343018</v>
      </c>
      <c r="L17" s="3" t="n">
        <v>1213.142334</v>
      </c>
      <c r="M17" s="3" t="n">
        <v>924.111023</v>
      </c>
      <c r="N17" s="3" t="n">
        <v>729.483459</v>
      </c>
      <c r="O17" s="3" t="n">
        <v>587.532593</v>
      </c>
      <c r="P17" s="3" t="n">
        <v>482.573792</v>
      </c>
      <c r="Q17" s="3" t="n">
        <v>407.208618</v>
      </c>
      <c r="R17" s="3" t="n">
        <v>342.595825</v>
      </c>
      <c r="S17" s="3" t="n">
        <v>294.950043</v>
      </c>
      <c r="T17" s="3" t="n">
        <v>249.07988</v>
      </c>
      <c r="U17" s="3" t="n">
        <v>208.635223</v>
      </c>
      <c r="V17" s="3" t="n">
        <v>175.687637</v>
      </c>
      <c r="W17" s="3" t="n">
        <v>145.206177</v>
      </c>
      <c r="X17" s="3" t="n">
        <v>118.966469</v>
      </c>
      <c r="Y17" s="3" t="n">
        <v>97.560394</v>
      </c>
      <c r="Z17" s="3" t="n">
        <v>78.028587</v>
      </c>
      <c r="AA17" s="3" t="n">
        <v>66.289772</v>
      </c>
      <c r="AB17" s="3" t="n">
        <v>54.057732</v>
      </c>
      <c r="AC17" s="3" t="n">
        <v>44.587765</v>
      </c>
      <c r="AD17" s="3" t="n">
        <v>36.498833</v>
      </c>
      <c r="AE17" s="3" t="n">
        <v>7.299767</v>
      </c>
      <c r="AF17" s="3" t="n">
        <v>1.479682</v>
      </c>
      <c r="AG17" s="3" t="n">
        <v>0.098646</v>
      </c>
    </row>
    <row r="18" customFormat="false" ht="12.8" hidden="false" customHeight="false" outlineLevel="0" collapsed="false">
      <c r="B18" s="2" t="n">
        <v>46185.4757523148</v>
      </c>
      <c r="C18" s="3" t="n">
        <v>10.15552</v>
      </c>
      <c r="D18" s="3" t="n">
        <v>22331.007812</v>
      </c>
      <c r="E18" s="3" t="n">
        <v>14700.378906</v>
      </c>
      <c r="F18" s="3" t="n">
        <v>9811.708008</v>
      </c>
      <c r="G18" s="3" t="n">
        <v>6918.109375</v>
      </c>
      <c r="H18" s="3" t="n">
        <v>4758.495605</v>
      </c>
      <c r="I18" s="3" t="n">
        <v>3267.385498</v>
      </c>
      <c r="J18" s="3" t="n">
        <v>2308.30127</v>
      </c>
      <c r="K18" s="3" t="n">
        <v>1644.130371</v>
      </c>
      <c r="L18" s="3" t="n">
        <v>1214.70874</v>
      </c>
      <c r="M18" s="3" t="n">
        <v>931.710022</v>
      </c>
      <c r="N18" s="3" t="n">
        <v>732.803406</v>
      </c>
      <c r="O18" s="3" t="n">
        <v>587.857605</v>
      </c>
      <c r="P18" s="3" t="n">
        <v>477.868164</v>
      </c>
      <c r="Q18" s="3" t="n">
        <v>393.77597</v>
      </c>
      <c r="R18" s="3" t="n">
        <v>333.414734</v>
      </c>
      <c r="S18" s="3" t="n">
        <v>282.014099</v>
      </c>
      <c r="T18" s="3" t="n">
        <v>241.641968</v>
      </c>
      <c r="U18" s="3" t="n">
        <v>199.989746</v>
      </c>
      <c r="V18" s="3" t="n">
        <v>164.639526</v>
      </c>
      <c r="W18" s="3" t="n">
        <v>135.000473</v>
      </c>
      <c r="X18" s="3" t="n">
        <v>109.792503</v>
      </c>
      <c r="Y18" s="3" t="n">
        <v>90.985001</v>
      </c>
      <c r="Z18" s="3" t="n">
        <v>70.503525</v>
      </c>
      <c r="AA18" s="3" t="n">
        <v>58.785763</v>
      </c>
      <c r="AB18" s="3" t="n">
        <v>48.9389</v>
      </c>
      <c r="AC18" s="3" t="n">
        <v>41.159882</v>
      </c>
      <c r="AD18" s="3" t="n">
        <v>31.90383</v>
      </c>
      <c r="AE18" s="3" t="n">
        <v>5.908117</v>
      </c>
      <c r="AF18" s="3" t="n">
        <v>1.280092</v>
      </c>
      <c r="AG18" s="3" t="n">
        <v>0.393874</v>
      </c>
    </row>
    <row r="19" customFormat="false" ht="12.8" hidden="false" customHeight="false" outlineLevel="0" collapsed="false">
      <c r="B19" s="2" t="n">
        <v>46185.4764930556</v>
      </c>
      <c r="C19" s="3" t="n">
        <v>10.179069</v>
      </c>
      <c r="D19" s="3" t="n">
        <v>22133.65625</v>
      </c>
      <c r="E19" s="3" t="n">
        <v>14516.848633</v>
      </c>
      <c r="F19" s="3" t="n">
        <v>9633.297852</v>
      </c>
      <c r="G19" s="3" t="n">
        <v>6844.143066</v>
      </c>
      <c r="H19" s="3" t="n">
        <v>4751.318848</v>
      </c>
      <c r="I19" s="3" t="n">
        <v>3258.05835</v>
      </c>
      <c r="J19" s="3" t="n">
        <v>2322.51123</v>
      </c>
      <c r="K19" s="3" t="n">
        <v>1667.736084</v>
      </c>
      <c r="L19" s="3" t="n">
        <v>1233.413452</v>
      </c>
      <c r="M19" s="3" t="n">
        <v>945.764343</v>
      </c>
      <c r="N19" s="3" t="n">
        <v>744.174194</v>
      </c>
      <c r="O19" s="3" t="n">
        <v>600.349609</v>
      </c>
      <c r="P19" s="3" t="n">
        <v>491.302307</v>
      </c>
      <c r="Q19" s="3" t="n">
        <v>404.752167</v>
      </c>
      <c r="R19" s="3" t="n">
        <v>339.029053</v>
      </c>
      <c r="S19" s="3" t="n">
        <v>289.515686</v>
      </c>
      <c r="T19" s="3" t="n">
        <v>245.602036</v>
      </c>
      <c r="U19" s="3" t="n">
        <v>204.63562</v>
      </c>
      <c r="V19" s="3" t="n">
        <v>171.135498</v>
      </c>
      <c r="W19" s="3" t="n">
        <v>140.287888</v>
      </c>
      <c r="X19" s="3" t="n">
        <v>113.861107</v>
      </c>
      <c r="Y19" s="3" t="n">
        <v>92.83757</v>
      </c>
      <c r="Z19" s="3" t="n">
        <v>74.270058</v>
      </c>
      <c r="AA19" s="3" t="n">
        <v>61.105789</v>
      </c>
      <c r="AB19" s="3" t="n">
        <v>49.709854</v>
      </c>
      <c r="AC19" s="3" t="n">
        <v>40.868179</v>
      </c>
      <c r="AD19" s="3" t="n">
        <v>33.107155</v>
      </c>
      <c r="AE19" s="3" t="n">
        <v>5.894449</v>
      </c>
      <c r="AF19" s="3" t="n">
        <v>1.375371</v>
      </c>
      <c r="AG19" s="3" t="n">
        <v>0.196482</v>
      </c>
    </row>
    <row r="20" customFormat="false" ht="12.8" hidden="false" customHeight="false" outlineLevel="0" collapsed="false">
      <c r="B20" s="2" t="n">
        <v>46185.4772222222</v>
      </c>
      <c r="C20" s="3" t="n">
        <v>10.263468</v>
      </c>
      <c r="D20" s="3" t="n">
        <v>22031.734375</v>
      </c>
      <c r="E20" s="3" t="n">
        <v>14572.950195</v>
      </c>
      <c r="F20" s="3" t="n">
        <v>9739.788086</v>
      </c>
      <c r="G20" s="3" t="n">
        <v>6905.170898</v>
      </c>
      <c r="H20" s="3" t="n">
        <v>4772.168945</v>
      </c>
      <c r="I20" s="3" t="n">
        <v>3291.967285</v>
      </c>
      <c r="J20" s="3" t="n">
        <v>2336.637207</v>
      </c>
      <c r="K20" s="3" t="n">
        <v>1673.313599</v>
      </c>
      <c r="L20" s="3" t="n">
        <v>1237.495972</v>
      </c>
      <c r="M20" s="3" t="n">
        <v>952.407166</v>
      </c>
      <c r="N20" s="3" t="n">
        <v>747.992798</v>
      </c>
      <c r="O20" s="3" t="n">
        <v>596.484558</v>
      </c>
      <c r="P20" s="3" t="n">
        <v>484.144348</v>
      </c>
      <c r="Q20" s="3" t="n">
        <v>406.003113</v>
      </c>
      <c r="R20" s="3" t="n">
        <v>340.23587</v>
      </c>
      <c r="S20" s="3" t="n">
        <v>286.258026</v>
      </c>
      <c r="T20" s="3" t="n">
        <v>244.849014</v>
      </c>
      <c r="U20" s="3" t="n">
        <v>201.783646</v>
      </c>
      <c r="V20" s="3" t="n">
        <v>160.959244</v>
      </c>
      <c r="W20" s="3" t="n">
        <v>132.216522</v>
      </c>
      <c r="X20" s="3" t="n">
        <v>111.365868</v>
      </c>
      <c r="Y20" s="3" t="n">
        <v>92.756172</v>
      </c>
      <c r="Z20" s="3" t="n">
        <v>74.633644</v>
      </c>
      <c r="AA20" s="3" t="n">
        <v>62.35709</v>
      </c>
      <c r="AB20" s="3" t="n">
        <v>53.588127</v>
      </c>
      <c r="AC20" s="3" t="n">
        <v>45.403759</v>
      </c>
      <c r="AD20" s="3" t="n">
        <v>36.732224</v>
      </c>
      <c r="AE20" s="3" t="n">
        <v>6.430575</v>
      </c>
      <c r="AF20" s="3" t="n">
        <v>1.65636</v>
      </c>
      <c r="AG20" s="3" t="n">
        <v>0.097433</v>
      </c>
    </row>
    <row r="21" customFormat="false" ht="12.8" hidden="false" customHeight="false" outlineLevel="0" collapsed="false">
      <c r="B21" s="2" t="n">
        <v>46185.477962963</v>
      </c>
      <c r="C21" s="3" t="n">
        <v>10.237685</v>
      </c>
      <c r="D21" s="3" t="n">
        <v>22168.976562</v>
      </c>
      <c r="E21" s="3" t="n">
        <v>14602.714844</v>
      </c>
      <c r="F21" s="3" t="n">
        <v>9752.399414</v>
      </c>
      <c r="G21" s="3" t="n">
        <v>6921.388672</v>
      </c>
      <c r="H21" s="3" t="n">
        <v>4763.479004</v>
      </c>
      <c r="I21" s="3" t="n">
        <v>3283.359375</v>
      </c>
      <c r="J21" s="3" t="n">
        <v>2328.163086</v>
      </c>
      <c r="K21" s="3" t="n">
        <v>1670.983154</v>
      </c>
      <c r="L21" s="3" t="n">
        <v>1221.858276</v>
      </c>
      <c r="M21" s="3" t="n">
        <v>932.92572</v>
      </c>
      <c r="N21" s="3" t="n">
        <v>737.178345</v>
      </c>
      <c r="O21" s="3" t="n">
        <v>587.828186</v>
      </c>
      <c r="P21" s="3" t="n">
        <v>478.819183</v>
      </c>
      <c r="Q21" s="3" t="n">
        <v>399.504364</v>
      </c>
      <c r="R21" s="3" t="n">
        <v>339.43219</v>
      </c>
      <c r="S21" s="3" t="n">
        <v>286.588226</v>
      </c>
      <c r="T21" s="3" t="n">
        <v>242.828323</v>
      </c>
      <c r="U21" s="3" t="n">
        <v>204.245392</v>
      </c>
      <c r="V21" s="3" t="n">
        <v>167.029938</v>
      </c>
      <c r="W21" s="3" t="n">
        <v>136.847336</v>
      </c>
      <c r="X21" s="3" t="n">
        <v>113.697578</v>
      </c>
      <c r="Y21" s="3" t="n">
        <v>93.868874</v>
      </c>
      <c r="Z21" s="3" t="n">
        <v>75.01696</v>
      </c>
      <c r="AA21" s="3" t="n">
        <v>61.439671</v>
      </c>
      <c r="AB21" s="3" t="n">
        <v>51.476479</v>
      </c>
      <c r="AC21" s="3" t="n">
        <v>42.978466</v>
      </c>
      <c r="AD21" s="3" t="n">
        <v>35.261879</v>
      </c>
      <c r="AE21" s="3" t="n">
        <v>6.153735</v>
      </c>
      <c r="AF21" s="3" t="n">
        <v>0.683748</v>
      </c>
      <c r="AG21" s="3" t="n">
        <v>0.097678</v>
      </c>
    </row>
    <row r="22" customFormat="false" ht="12.8" hidden="false" customHeight="false" outlineLevel="0" collapsed="false">
      <c r="B22" s="2" t="n">
        <v>46185.4794212963</v>
      </c>
      <c r="C22" s="3" t="n">
        <v>10.145321</v>
      </c>
      <c r="D22" s="3" t="n">
        <v>22192.201172</v>
      </c>
      <c r="E22" s="3" t="n">
        <v>14517.727539</v>
      </c>
      <c r="F22" s="3" t="n">
        <v>9699.446289</v>
      </c>
      <c r="G22" s="3" t="n">
        <v>6878.244629</v>
      </c>
      <c r="H22" s="3" t="n">
        <v>4780.332031</v>
      </c>
      <c r="I22" s="3" t="n">
        <v>3299.15625</v>
      </c>
      <c r="J22" s="3" t="n">
        <v>2351.921631</v>
      </c>
      <c r="K22" s="3" t="n">
        <v>1696.545654</v>
      </c>
      <c r="L22" s="3" t="n">
        <v>1245.303101</v>
      </c>
      <c r="M22" s="3" t="n">
        <v>947.727539</v>
      </c>
      <c r="N22" s="3" t="n">
        <v>743.29834</v>
      </c>
      <c r="O22" s="3" t="n">
        <v>594.066956</v>
      </c>
      <c r="P22" s="3" t="n">
        <v>482.981262</v>
      </c>
      <c r="Q22" s="3" t="n">
        <v>397.424591</v>
      </c>
      <c r="R22" s="3" t="n">
        <v>332.172821</v>
      </c>
      <c r="S22" s="3" t="n">
        <v>283.480438</v>
      </c>
      <c r="T22" s="3" t="n">
        <v>244.053391</v>
      </c>
      <c r="U22" s="3" t="n">
        <v>204.429214</v>
      </c>
      <c r="V22" s="3" t="n">
        <v>169.930557</v>
      </c>
      <c r="W22" s="3" t="n">
        <v>138.980331</v>
      </c>
      <c r="X22" s="3" t="n">
        <v>114.239853</v>
      </c>
      <c r="Y22" s="3" t="n">
        <v>92.949257</v>
      </c>
      <c r="Z22" s="3" t="n">
        <v>76.882736</v>
      </c>
      <c r="AA22" s="3" t="n">
        <v>62.097591</v>
      </c>
      <c r="AB22" s="3" t="n">
        <v>52.832237</v>
      </c>
      <c r="AC22" s="3" t="n">
        <v>43.172611</v>
      </c>
      <c r="AD22" s="3" t="n">
        <v>35.780041</v>
      </c>
      <c r="AE22" s="3" t="n">
        <v>6.111192</v>
      </c>
      <c r="AF22" s="3" t="n">
        <v>0.689973</v>
      </c>
      <c r="AG22" s="3" t="n">
        <v>0.098568</v>
      </c>
    </row>
    <row r="23" customFormat="false" ht="12.8" hidden="false" customHeight="false" outlineLevel="0" collapsed="false">
      <c r="B23" s="2" t="n">
        <v>46185.4808333333</v>
      </c>
      <c r="C23" s="3" t="n">
        <v>10.117262</v>
      </c>
      <c r="D23" s="3" t="n">
        <v>22405.074219</v>
      </c>
      <c r="E23" s="3" t="n">
        <v>14727.99707</v>
      </c>
      <c r="F23" s="3" t="n">
        <v>9793.361328</v>
      </c>
      <c r="G23" s="3" t="n">
        <v>6956.328613</v>
      </c>
      <c r="H23" s="3" t="n">
        <v>4830.556152</v>
      </c>
      <c r="I23" s="3" t="n">
        <v>3321.056641</v>
      </c>
      <c r="J23" s="3" t="n">
        <v>2366.648193</v>
      </c>
      <c r="K23" s="3" t="n">
        <v>1694.529663</v>
      </c>
      <c r="L23" s="3" t="n">
        <v>1246.681152</v>
      </c>
      <c r="M23" s="3" t="n">
        <v>945.611572</v>
      </c>
      <c r="N23" s="3" t="n">
        <v>747.633118</v>
      </c>
      <c r="O23" s="3" t="n">
        <v>599.569336</v>
      </c>
      <c r="P23" s="3" t="n">
        <v>487.879028</v>
      </c>
      <c r="Q23" s="3" t="n">
        <v>401.195496</v>
      </c>
      <c r="R23" s="3" t="n">
        <v>340.012939</v>
      </c>
      <c r="S23" s="3" t="n">
        <v>287.824921</v>
      </c>
      <c r="T23" s="3" t="n">
        <v>242.852264</v>
      </c>
      <c r="U23" s="3" t="n">
        <v>201.932114</v>
      </c>
      <c r="V23" s="3" t="n">
        <v>166.151672</v>
      </c>
      <c r="W23" s="3" t="n">
        <v>137.487793</v>
      </c>
      <c r="X23" s="3" t="n">
        <v>112.283348</v>
      </c>
      <c r="Y23" s="3" t="n">
        <v>91.427902</v>
      </c>
      <c r="Z23" s="3" t="n">
        <v>74.427254</v>
      </c>
      <c r="AA23" s="3" t="n">
        <v>62.170971</v>
      </c>
      <c r="AB23" s="3" t="n">
        <v>51.594986</v>
      </c>
      <c r="AC23" s="3" t="n">
        <v>42.798141</v>
      </c>
      <c r="AD23" s="3" t="n">
        <v>35.187386</v>
      </c>
      <c r="AE23" s="3" t="n">
        <v>6.622345</v>
      </c>
      <c r="AF23" s="3" t="n">
        <v>1.087251</v>
      </c>
      <c r="AG23" s="3" t="n">
        <v>0</v>
      </c>
    </row>
    <row r="24" customFormat="false" ht="12.8" hidden="false" customHeight="false" outlineLevel="0" collapsed="false">
      <c r="B24" s="2" t="n">
        <v>46185.4822453704</v>
      </c>
      <c r="C24" s="3" t="n">
        <v>10.082671</v>
      </c>
      <c r="D24" s="3" t="n">
        <v>22464.78125</v>
      </c>
      <c r="E24" s="3" t="n">
        <v>14684.898438</v>
      </c>
      <c r="F24" s="3" t="n">
        <v>9739.878906</v>
      </c>
      <c r="G24" s="3" t="n">
        <v>6900.949219</v>
      </c>
      <c r="H24" s="3" t="n">
        <v>4758.758789</v>
      </c>
      <c r="I24" s="3" t="n">
        <v>3271.355225</v>
      </c>
      <c r="J24" s="3" t="n">
        <v>2308.416016</v>
      </c>
      <c r="K24" s="3" t="n">
        <v>1652.637451</v>
      </c>
      <c r="L24" s="3" t="n">
        <v>1217.73291</v>
      </c>
      <c r="M24" s="3" t="n">
        <v>931.697571</v>
      </c>
      <c r="N24" s="3" t="n">
        <v>737.998901</v>
      </c>
      <c r="O24" s="3" t="n">
        <v>593.394348</v>
      </c>
      <c r="P24" s="3" t="n">
        <v>487.073303</v>
      </c>
      <c r="Q24" s="3" t="n">
        <v>403.861237</v>
      </c>
      <c r="R24" s="3" t="n">
        <v>341.377777</v>
      </c>
      <c r="S24" s="3" t="n">
        <v>291.093506</v>
      </c>
      <c r="T24" s="3" t="n">
        <v>245.470673</v>
      </c>
      <c r="U24" s="3" t="n">
        <v>202.525696</v>
      </c>
      <c r="V24" s="3" t="n">
        <v>166.424149</v>
      </c>
      <c r="W24" s="3" t="n">
        <v>135.479965</v>
      </c>
      <c r="X24" s="3" t="n">
        <v>108.304634</v>
      </c>
      <c r="Y24" s="3" t="n">
        <v>86.187477</v>
      </c>
      <c r="Z24" s="3" t="n">
        <v>70.91375</v>
      </c>
      <c r="AA24" s="3" t="n">
        <v>57.425259</v>
      </c>
      <c r="AB24" s="3" t="n">
        <v>48.003151</v>
      </c>
      <c r="AC24" s="3" t="n">
        <v>38.878586</v>
      </c>
      <c r="AD24" s="3" t="n">
        <v>30.944181</v>
      </c>
      <c r="AE24" s="3" t="n">
        <v>2.975402</v>
      </c>
      <c r="AF24" s="3" t="n">
        <v>0.69426</v>
      </c>
      <c r="AG24" s="3" t="n">
        <v>0.09918</v>
      </c>
    </row>
    <row r="25" customFormat="false" ht="12.8" hidden="false" customHeight="false" outlineLevel="0" collapsed="false">
      <c r="B25" s="2" t="n">
        <v>46185.4836574074</v>
      </c>
      <c r="C25" s="3" t="n">
        <v>10.107396</v>
      </c>
      <c r="D25" s="3" t="n">
        <v>22342.945312</v>
      </c>
      <c r="E25" s="3" t="n">
        <v>14667.081055</v>
      </c>
      <c r="F25" s="3" t="n">
        <v>9777.889648</v>
      </c>
      <c r="G25" s="3" t="n">
        <v>6945.705566</v>
      </c>
      <c r="H25" s="3" t="n">
        <v>4790.056641</v>
      </c>
      <c r="I25" s="3" t="n">
        <v>3309.556641</v>
      </c>
      <c r="J25" s="3" t="n">
        <v>2359.855957</v>
      </c>
      <c r="K25" s="3" t="n">
        <v>1679.067505</v>
      </c>
      <c r="L25" s="3" t="n">
        <v>1241.56604</v>
      </c>
      <c r="M25" s="3" t="n">
        <v>941.290894</v>
      </c>
      <c r="N25" s="3" t="n">
        <v>741.437256</v>
      </c>
      <c r="O25" s="3" t="n">
        <v>595.504517</v>
      </c>
      <c r="P25" s="3" t="n">
        <v>486.475433</v>
      </c>
      <c r="Q25" s="3" t="n">
        <v>400.300934</v>
      </c>
      <c r="R25" s="3" t="n">
        <v>339.355469</v>
      </c>
      <c r="S25" s="3" t="n">
        <v>291.865479</v>
      </c>
      <c r="T25" s="3" t="n">
        <v>251.400055</v>
      </c>
      <c r="U25" s="3" t="n">
        <v>211.825073</v>
      </c>
      <c r="V25" s="3" t="n">
        <v>174.921417</v>
      </c>
      <c r="W25" s="3" t="n">
        <v>139.007111</v>
      </c>
      <c r="X25" s="3" t="n">
        <v>112.491882</v>
      </c>
      <c r="Y25" s="3" t="n">
        <v>91.022453</v>
      </c>
      <c r="Z25" s="3" t="n">
        <v>73.114777</v>
      </c>
      <c r="AA25" s="3" t="n">
        <v>58.867783</v>
      </c>
      <c r="AB25" s="3" t="n">
        <v>49.072975</v>
      </c>
      <c r="AC25" s="3" t="n">
        <v>40.465416</v>
      </c>
      <c r="AD25" s="3" t="n">
        <v>33.836609</v>
      </c>
      <c r="AE25" s="3" t="n">
        <v>4.452185</v>
      </c>
      <c r="AF25" s="3" t="n">
        <v>0.7915</v>
      </c>
      <c r="AG25" s="3" t="n">
        <v>0.098937</v>
      </c>
    </row>
    <row r="26" customFormat="false" ht="12.8" hidden="false" customHeight="false" outlineLevel="0" collapsed="false">
      <c r="B26" s="2" t="n">
        <v>46185.4850694445</v>
      </c>
      <c r="C26" s="3" t="n">
        <v>10.129753</v>
      </c>
      <c r="D26" s="3" t="n">
        <v>22261.056641</v>
      </c>
      <c r="E26" s="3" t="n">
        <v>14563.040039</v>
      </c>
      <c r="F26" s="3" t="n">
        <v>9656.602539</v>
      </c>
      <c r="G26" s="3" t="n">
        <v>6844.786621</v>
      </c>
      <c r="H26" s="3" t="n">
        <v>4732.395508</v>
      </c>
      <c r="I26" s="3" t="n">
        <v>3276.881348</v>
      </c>
      <c r="J26" s="3" t="n">
        <v>2331.350098</v>
      </c>
      <c r="K26" s="3" t="n">
        <v>1678.421997</v>
      </c>
      <c r="L26" s="3" t="n">
        <v>1231.421875</v>
      </c>
      <c r="M26" s="3" t="n">
        <v>942.964722</v>
      </c>
      <c r="N26" s="3" t="n">
        <v>742.466248</v>
      </c>
      <c r="O26" s="3" t="n">
        <v>600.903076</v>
      </c>
      <c r="P26" s="3" t="n">
        <v>488.856934</v>
      </c>
      <c r="Q26" s="3" t="n">
        <v>406.722656</v>
      </c>
      <c r="R26" s="3" t="n">
        <v>346.010406</v>
      </c>
      <c r="S26" s="3" t="n">
        <v>295.76239</v>
      </c>
      <c r="T26" s="3" t="n">
        <v>253.905502</v>
      </c>
      <c r="U26" s="3" t="n">
        <v>212.640915</v>
      </c>
      <c r="V26" s="3" t="n">
        <v>178.878983</v>
      </c>
      <c r="W26" s="3" t="n">
        <v>145.413223</v>
      </c>
      <c r="X26" s="3" t="n">
        <v>117.574432</v>
      </c>
      <c r="Y26" s="3" t="n">
        <v>96.645988</v>
      </c>
      <c r="Z26" s="3" t="n">
        <v>79.567589</v>
      </c>
      <c r="AA26" s="3" t="n">
        <v>64.167404</v>
      </c>
      <c r="AB26" s="3" t="n">
        <v>54.394218</v>
      </c>
      <c r="AC26" s="3" t="n">
        <v>46.397972</v>
      </c>
      <c r="AD26" s="3" t="n">
        <v>38.599163</v>
      </c>
      <c r="AE26" s="3" t="n">
        <v>6.614179</v>
      </c>
      <c r="AF26" s="3" t="n">
        <v>0.789753</v>
      </c>
      <c r="AG26" s="3" t="n">
        <v>0.197438</v>
      </c>
    </row>
    <row r="27" customFormat="false" ht="12.8" hidden="false" customHeight="false" outlineLevel="0" collapsed="false">
      <c r="B27" s="2" t="n">
        <v>46185.4864814815</v>
      </c>
      <c r="C27" s="3" t="n">
        <v>10.112735</v>
      </c>
      <c r="D27" s="3" t="n">
        <v>22081.564453</v>
      </c>
      <c r="E27" s="3" t="n">
        <v>14495.485352</v>
      </c>
      <c r="F27" s="3" t="n">
        <v>9651.889648</v>
      </c>
      <c r="G27" s="3" t="n">
        <v>6849.581543</v>
      </c>
      <c r="H27" s="3" t="n">
        <v>4714.847168</v>
      </c>
      <c r="I27" s="3" t="n">
        <v>3254.114746</v>
      </c>
      <c r="J27" s="3" t="n">
        <v>2318.16626</v>
      </c>
      <c r="K27" s="3" t="n">
        <v>1666.512573</v>
      </c>
      <c r="L27" s="3" t="n">
        <v>1222.814575</v>
      </c>
      <c r="M27" s="3" t="n">
        <v>934.267578</v>
      </c>
      <c r="N27" s="3" t="n">
        <v>740.650269</v>
      </c>
      <c r="O27" s="3" t="n">
        <v>593.607971</v>
      </c>
      <c r="P27" s="3" t="n">
        <v>486.317505</v>
      </c>
      <c r="Q27" s="3" t="n">
        <v>402.858398</v>
      </c>
      <c r="R27" s="3" t="n">
        <v>340.956238</v>
      </c>
      <c r="S27" s="3" t="n">
        <v>286.47049</v>
      </c>
      <c r="T27" s="3" t="n">
        <v>244.740921</v>
      </c>
      <c r="U27" s="3" t="n">
        <v>205.977905</v>
      </c>
      <c r="V27" s="3" t="n">
        <v>168.401535</v>
      </c>
      <c r="W27" s="3" t="n">
        <v>137.252686</v>
      </c>
      <c r="X27" s="3" t="n">
        <v>111.443642</v>
      </c>
      <c r="Y27" s="3" t="n">
        <v>90.578857</v>
      </c>
      <c r="Z27" s="3" t="n">
        <v>73.966141</v>
      </c>
      <c r="AA27" s="3" t="n">
        <v>61.605492</v>
      </c>
      <c r="AB27" s="3" t="n">
        <v>50.530346</v>
      </c>
      <c r="AC27" s="3" t="n">
        <v>43.41061</v>
      </c>
      <c r="AD27" s="3" t="n">
        <v>35.400909</v>
      </c>
      <c r="AE27" s="3" t="n">
        <v>6.82308</v>
      </c>
      <c r="AF27" s="3" t="n">
        <v>1.483278</v>
      </c>
      <c r="AG27" s="3" t="n">
        <v>0.098885</v>
      </c>
    </row>
    <row r="28" customFormat="false" ht="12.8" hidden="false" customHeight="false" outlineLevel="0" collapsed="false">
      <c r="B28" s="2" t="n">
        <v>46185.4878935185</v>
      </c>
      <c r="C28" s="3" t="n">
        <v>10.207784</v>
      </c>
      <c r="D28" s="3" t="n">
        <v>22076.388672</v>
      </c>
      <c r="E28" s="3" t="n">
        <v>14391.371094</v>
      </c>
      <c r="F28" s="3" t="n">
        <v>9558.686523</v>
      </c>
      <c r="G28" s="3" t="n">
        <v>6750.338867</v>
      </c>
      <c r="H28" s="3" t="n">
        <v>4664.577637</v>
      </c>
      <c r="I28" s="3" t="n">
        <v>3220.189697</v>
      </c>
      <c r="J28" s="3" t="n">
        <v>2295.209229</v>
      </c>
      <c r="K28" s="3" t="n">
        <v>1640.218872</v>
      </c>
      <c r="L28" s="3" t="n">
        <v>1200.064575</v>
      </c>
      <c r="M28" s="3" t="n">
        <v>914.400269</v>
      </c>
      <c r="N28" s="3" t="n">
        <v>721.410278</v>
      </c>
      <c r="O28" s="3" t="n">
        <v>576.031006</v>
      </c>
      <c r="P28" s="3" t="n">
        <v>473.070374</v>
      </c>
      <c r="Q28" s="3" t="n">
        <v>391.368011</v>
      </c>
      <c r="R28" s="3" t="n">
        <v>328.964661</v>
      </c>
      <c r="S28" s="3" t="n">
        <v>283.117279</v>
      </c>
      <c r="T28" s="3" t="n">
        <v>242.266098</v>
      </c>
      <c r="U28" s="3" t="n">
        <v>201.708817</v>
      </c>
      <c r="V28" s="3" t="n">
        <v>165.853821</v>
      </c>
      <c r="W28" s="3" t="n">
        <v>135.190948</v>
      </c>
      <c r="X28" s="3" t="n">
        <v>111.973373</v>
      </c>
      <c r="Y28" s="3" t="n">
        <v>90.715088</v>
      </c>
      <c r="Z28" s="3" t="n">
        <v>74.061127</v>
      </c>
      <c r="AA28" s="3" t="n">
        <v>59.366463</v>
      </c>
      <c r="AB28" s="3" t="n">
        <v>49.080193</v>
      </c>
      <c r="AC28" s="3" t="n">
        <v>39.185783</v>
      </c>
      <c r="AD28" s="3" t="n">
        <v>32.230309</v>
      </c>
      <c r="AE28" s="3" t="n">
        <v>5.48601</v>
      </c>
      <c r="AF28" s="3" t="n">
        <v>0.88168</v>
      </c>
      <c r="AG28" s="3" t="n">
        <v>0</v>
      </c>
    </row>
    <row r="29" customFormat="false" ht="12.8" hidden="false" customHeight="false" outlineLevel="0" collapsed="false">
      <c r="B29" s="2" t="n">
        <v>46185.4893171296</v>
      </c>
      <c r="C29" s="3" t="n">
        <v>10.169561</v>
      </c>
      <c r="D29" s="3" t="n">
        <v>22446.199219</v>
      </c>
      <c r="E29" s="3" t="n">
        <v>14770.056641</v>
      </c>
      <c r="F29" s="3" t="n">
        <v>9805.338867</v>
      </c>
      <c r="G29" s="3" t="n">
        <v>6930.092285</v>
      </c>
      <c r="H29" s="3" t="n">
        <v>4785.653809</v>
      </c>
      <c r="I29" s="3" t="n">
        <v>3311.942139</v>
      </c>
      <c r="J29" s="3" t="n">
        <v>2357.13208</v>
      </c>
      <c r="K29" s="3" t="n">
        <v>1687.68335</v>
      </c>
      <c r="L29" s="3" t="n">
        <v>1254.036377</v>
      </c>
      <c r="M29" s="3" t="n">
        <v>949.106812</v>
      </c>
      <c r="N29" s="3" t="n">
        <v>748.114868</v>
      </c>
      <c r="O29" s="3" t="n">
        <v>601.795837</v>
      </c>
      <c r="P29" s="3" t="n">
        <v>496.38327</v>
      </c>
      <c r="Q29" s="3" t="n">
        <v>417.323792</v>
      </c>
      <c r="R29" s="3" t="n">
        <v>346.229279</v>
      </c>
      <c r="S29" s="3" t="n">
        <v>296.669617</v>
      </c>
      <c r="T29" s="3" t="n">
        <v>252.616592</v>
      </c>
      <c r="U29" s="3" t="n">
        <v>212.693542</v>
      </c>
      <c r="V29" s="3" t="n">
        <v>178.768768</v>
      </c>
      <c r="W29" s="3" t="n">
        <v>145.434006</v>
      </c>
      <c r="X29" s="3" t="n">
        <v>118.392517</v>
      </c>
      <c r="Y29" s="3" t="n">
        <v>100.397644</v>
      </c>
      <c r="Z29" s="3" t="n">
        <v>81.616104</v>
      </c>
      <c r="AA29" s="3" t="n">
        <v>65.686218</v>
      </c>
      <c r="AB29" s="3" t="n">
        <v>54.181293</v>
      </c>
      <c r="AC29" s="3" t="n">
        <v>45.233021</v>
      </c>
      <c r="AD29" s="3" t="n">
        <v>37.661407</v>
      </c>
      <c r="AE29" s="3" t="n">
        <v>6.489955</v>
      </c>
      <c r="AF29" s="3" t="n">
        <v>1.179992</v>
      </c>
      <c r="AG29" s="3" t="n">
        <v>0.294998</v>
      </c>
    </row>
    <row r="30" customFormat="false" ht="12.8" hidden="false" customHeight="false" outlineLevel="0" collapsed="false">
      <c r="B30" s="2" t="n">
        <v>46185.4907291667</v>
      </c>
      <c r="C30" s="3" t="n">
        <v>10.174986</v>
      </c>
      <c r="D30" s="3" t="n">
        <v>22171.234375</v>
      </c>
      <c r="E30" s="3" t="n">
        <v>14554.320312</v>
      </c>
      <c r="F30" s="3" t="n">
        <v>9648.662109</v>
      </c>
      <c r="G30" s="3" t="n">
        <v>6799.321289</v>
      </c>
      <c r="H30" s="3" t="n">
        <v>4709.195801</v>
      </c>
      <c r="I30" s="3" t="n">
        <v>3249.439453</v>
      </c>
      <c r="J30" s="3" t="n">
        <v>2309.487305</v>
      </c>
      <c r="K30" s="3" t="n">
        <v>1668.405273</v>
      </c>
      <c r="L30" s="3" t="n">
        <v>1237.053345</v>
      </c>
      <c r="M30" s="3" t="n">
        <v>948.502563</v>
      </c>
      <c r="N30" s="3" t="n">
        <v>745.160767</v>
      </c>
      <c r="O30" s="3" t="n">
        <v>597.740356</v>
      </c>
      <c r="P30" s="3" t="n">
        <v>490.811493</v>
      </c>
      <c r="Q30" s="3" t="n">
        <v>403.145508</v>
      </c>
      <c r="R30" s="3" t="n">
        <v>337.887451</v>
      </c>
      <c r="S30" s="3" t="n">
        <v>286.388611</v>
      </c>
      <c r="T30" s="3" t="n">
        <v>243.243576</v>
      </c>
      <c r="U30" s="3" t="n">
        <v>204.02977</v>
      </c>
      <c r="V30" s="3" t="n">
        <v>168.550598</v>
      </c>
      <c r="W30" s="3" t="n">
        <v>135.823288</v>
      </c>
      <c r="X30" s="3" t="n">
        <v>110.368706</v>
      </c>
      <c r="Y30" s="3" t="n">
        <v>88.05909</v>
      </c>
      <c r="Z30" s="3" t="n">
        <v>71.351448</v>
      </c>
      <c r="AA30" s="3" t="n">
        <v>58.869862</v>
      </c>
      <c r="AB30" s="3" t="n">
        <v>48.845276</v>
      </c>
      <c r="AC30" s="3" t="n">
        <v>39.803493</v>
      </c>
      <c r="AD30" s="3" t="n">
        <v>32.334198</v>
      </c>
      <c r="AE30" s="3" t="n">
        <v>4.422611</v>
      </c>
      <c r="AF30" s="3" t="n">
        <v>0.982802</v>
      </c>
      <c r="AG30" s="3" t="n">
        <v>0.09828</v>
      </c>
    </row>
    <row r="31" customFormat="false" ht="12.8" hidden="false" customHeight="false" outlineLevel="0" collapsed="false">
      <c r="B31" s="2" t="n">
        <v>46185.4921412037</v>
      </c>
      <c r="C31" s="3" t="n">
        <v>10.118071</v>
      </c>
      <c r="D31" s="3" t="n">
        <v>22011.310547</v>
      </c>
      <c r="E31" s="3" t="n">
        <v>14378.235352</v>
      </c>
      <c r="F31" s="3" t="n">
        <v>9515.648438</v>
      </c>
      <c r="G31" s="3" t="n">
        <v>6741.799316</v>
      </c>
      <c r="H31" s="3" t="n">
        <v>4637.84082</v>
      </c>
      <c r="I31" s="3" t="n">
        <v>3198.831299</v>
      </c>
      <c r="J31" s="3" t="n">
        <v>2273.951416</v>
      </c>
      <c r="K31" s="3" t="n">
        <v>1634.698975</v>
      </c>
      <c r="L31" s="3" t="n">
        <v>1196.275513</v>
      </c>
      <c r="M31" s="3" t="n">
        <v>910.054932</v>
      </c>
      <c r="N31" s="3" t="n">
        <v>720.987244</v>
      </c>
      <c r="O31" s="3" t="n">
        <v>581.929138</v>
      </c>
      <c r="P31" s="3" t="n">
        <v>473.311584</v>
      </c>
      <c r="Q31" s="3" t="n">
        <v>393.157959</v>
      </c>
      <c r="R31" s="3" t="n">
        <v>329.311798</v>
      </c>
      <c r="S31" s="3" t="n">
        <v>284.342743</v>
      </c>
      <c r="T31" s="3" t="n">
        <v>241.152695</v>
      </c>
      <c r="U31" s="3" t="n">
        <v>197.666138</v>
      </c>
      <c r="V31" s="3" t="n">
        <v>163.07457</v>
      </c>
      <c r="W31" s="3" t="n">
        <v>132.633987</v>
      </c>
      <c r="X31" s="3" t="n">
        <v>107.431549</v>
      </c>
      <c r="Y31" s="3" t="n">
        <v>86.874268</v>
      </c>
      <c r="Z31" s="3" t="n">
        <v>69.380814</v>
      </c>
      <c r="AA31" s="3" t="n">
        <v>57.91618</v>
      </c>
      <c r="AB31" s="3" t="n">
        <v>46.846874</v>
      </c>
      <c r="AC31" s="3" t="n">
        <v>39.236729</v>
      </c>
      <c r="AD31" s="3" t="n">
        <v>32.219582</v>
      </c>
      <c r="AE31" s="3" t="n">
        <v>5.633485</v>
      </c>
      <c r="AF31" s="3" t="n">
        <v>1.28483</v>
      </c>
      <c r="AG31" s="3" t="n">
        <v>0.098833</v>
      </c>
    </row>
    <row r="32" customFormat="false" ht="12.8" hidden="false" customHeight="false" outlineLevel="0" collapsed="false">
      <c r="B32" s="2" t="n">
        <v>46185.4935532408</v>
      </c>
      <c r="C32" s="3" t="n">
        <v>10.141549</v>
      </c>
      <c r="D32" s="3" t="n">
        <v>22239.599609</v>
      </c>
      <c r="E32" s="3" t="n">
        <v>14577.654297</v>
      </c>
      <c r="F32" s="3" t="n">
        <v>9682.642578</v>
      </c>
      <c r="G32" s="3" t="n">
        <v>6842.840332</v>
      </c>
      <c r="H32" s="3" t="n">
        <v>4731.032715</v>
      </c>
      <c r="I32" s="3" t="n">
        <v>3261.631836</v>
      </c>
      <c r="J32" s="3" t="n">
        <v>2319.172363</v>
      </c>
      <c r="K32" s="3" t="n">
        <v>1660.791626</v>
      </c>
      <c r="L32" s="3" t="n">
        <v>1220.425049</v>
      </c>
      <c r="M32" s="3" t="n">
        <v>931.810303</v>
      </c>
      <c r="N32" s="3" t="n">
        <v>733.319946</v>
      </c>
      <c r="O32" s="3" t="n">
        <v>587.286987</v>
      </c>
      <c r="P32" s="3" t="n">
        <v>480.104156</v>
      </c>
      <c r="Q32" s="3" t="n">
        <v>399.938904</v>
      </c>
      <c r="R32" s="3" t="n">
        <v>332.394989</v>
      </c>
      <c r="S32" s="3" t="n">
        <v>285.064941</v>
      </c>
      <c r="T32" s="3" t="n">
        <v>239.805573</v>
      </c>
      <c r="U32" s="3" t="n">
        <v>199.673645</v>
      </c>
      <c r="V32" s="3" t="n">
        <v>165.457962</v>
      </c>
      <c r="W32" s="3" t="n">
        <v>130.552048</v>
      </c>
      <c r="X32" s="3" t="n">
        <v>106.591209</v>
      </c>
      <c r="Y32" s="3" t="n">
        <v>85.489899</v>
      </c>
      <c r="Z32" s="3" t="n">
        <v>69.713219</v>
      </c>
      <c r="AA32" s="3" t="n">
        <v>54.429554</v>
      </c>
      <c r="AB32" s="3" t="n">
        <v>44.174709</v>
      </c>
      <c r="AC32" s="3" t="n">
        <v>37.666828</v>
      </c>
      <c r="AD32" s="3" t="n">
        <v>31.060343</v>
      </c>
      <c r="AE32" s="3" t="n">
        <v>4.535796</v>
      </c>
      <c r="AF32" s="3" t="n">
        <v>1.183251</v>
      </c>
      <c r="AG32" s="3" t="n">
        <v>0.098604</v>
      </c>
    </row>
    <row r="33" customFormat="false" ht="12.8" hidden="false" customHeight="false" outlineLevel="0" collapsed="false">
      <c r="B33" s="2" t="n">
        <v>46185.4949652778</v>
      </c>
      <c r="C33" s="3" t="n">
        <v>10.171449</v>
      </c>
      <c r="D33" s="3" t="n">
        <v>21868.173828</v>
      </c>
      <c r="E33" s="3" t="n">
        <v>14363.539062</v>
      </c>
      <c r="F33" s="3" t="n">
        <v>9574.938477</v>
      </c>
      <c r="G33" s="3" t="n">
        <v>6774.846191</v>
      </c>
      <c r="H33" s="3" t="n">
        <v>4699.232422</v>
      </c>
      <c r="I33" s="3" t="n">
        <v>3247.030029</v>
      </c>
      <c r="J33" s="3" t="n">
        <v>2306.35791</v>
      </c>
      <c r="K33" s="3" t="n">
        <v>1648.241089</v>
      </c>
      <c r="L33" s="3" t="n">
        <v>1219.393677</v>
      </c>
      <c r="M33" s="3" t="n">
        <v>932.217285</v>
      </c>
      <c r="N33" s="3" t="n">
        <v>733.130554</v>
      </c>
      <c r="O33" s="3" t="n">
        <v>590.378052</v>
      </c>
      <c r="P33" s="3" t="n">
        <v>480.659149</v>
      </c>
      <c r="Q33" s="3" t="n">
        <v>403.580658</v>
      </c>
      <c r="R33" s="3" t="n">
        <v>339.872925</v>
      </c>
      <c r="S33" s="3" t="n">
        <v>290.519073</v>
      </c>
      <c r="T33" s="3" t="n">
        <v>244.606262</v>
      </c>
      <c r="U33" s="3" t="n">
        <v>202.724319</v>
      </c>
      <c r="V33" s="3" t="n">
        <v>166.151352</v>
      </c>
      <c r="W33" s="3" t="n">
        <v>135.870514</v>
      </c>
      <c r="X33" s="3" t="n">
        <v>110.112144</v>
      </c>
      <c r="Y33" s="3" t="n">
        <v>87.598145</v>
      </c>
      <c r="Z33" s="3" t="n">
        <v>70.589745</v>
      </c>
      <c r="AA33" s="3" t="n">
        <v>55.74427</v>
      </c>
      <c r="AB33" s="3" t="n">
        <v>45.322945</v>
      </c>
      <c r="AC33" s="3" t="n">
        <v>38.932507</v>
      </c>
      <c r="AD33" s="3" t="n">
        <v>32.050499</v>
      </c>
      <c r="AE33" s="3" t="n">
        <v>5.505607</v>
      </c>
      <c r="AF33" s="3" t="n">
        <v>1.081459</v>
      </c>
      <c r="AG33" s="3" t="n">
        <v>0.196629</v>
      </c>
    </row>
    <row r="34" customFormat="false" ht="12.8" hidden="false" customHeight="false" outlineLevel="0" collapsed="false"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customFormat="false" ht="12.8" hidden="false" customHeight="false" outlineLevel="0" collapsed="false">
      <c r="C35" s="4" t="s">
        <v>2</v>
      </c>
      <c r="D35" s="5" t="n">
        <f aca="false">STDEV(D6:D33)/AVERAGE(D6:D33)</f>
        <v>0.00795860747781328</v>
      </c>
      <c r="E35" s="5" t="n">
        <f aca="false">STDEV(E6:E33)/AVERAGE(E6:E33)</f>
        <v>0.00784920492365135</v>
      </c>
      <c r="F35" s="5" t="n">
        <f aca="false">STDEV(F6:F33)/AVERAGE(F6:F33)</f>
        <v>0.00889589034823201</v>
      </c>
      <c r="G35" s="5" t="n">
        <f aca="false">STDEV(G6:G33)/AVERAGE(G6:G33)</f>
        <v>0.00987971043736012</v>
      </c>
      <c r="H35" s="5" t="n">
        <f aca="false">STDEV(H6:H33)/AVERAGE(H6:H33)</f>
        <v>0.0111094987272583</v>
      </c>
      <c r="I35" s="5" t="n">
        <f aca="false">STDEV(I6:I33)/AVERAGE(I6:I33)</f>
        <v>0.0134518312574444</v>
      </c>
      <c r="J35" s="5" t="n">
        <f aca="false">STDEV(J6:J33)/AVERAGE(J6:J33)</f>
        <v>0.0153125768657484</v>
      </c>
      <c r="K35" s="5" t="n">
        <f aca="false">STDEV(K6:K33)/AVERAGE(K6:K33)</f>
        <v>0.0187442491239517</v>
      </c>
      <c r="L35" s="5" t="n">
        <f aca="false">STDEV(L6:L33)/AVERAGE(L6:L33)</f>
        <v>0.0236785983414844</v>
      </c>
      <c r="M35" s="5" t="n">
        <f aca="false">STDEV(M6:M33)/AVERAGE(M6:M33)</f>
        <v>0.0274948724739398</v>
      </c>
      <c r="N35" s="5" t="n">
        <f aca="false">STDEV(N6:N33)/AVERAGE(N6:N33)</f>
        <v>0.0296528149338337</v>
      </c>
      <c r="O35" s="5" t="n">
        <f aca="false">STDEV(O6:O33)/AVERAGE(O6:O33)</f>
        <v>0.0324941578732763</v>
      </c>
      <c r="P35" s="5" t="n">
        <f aca="false">STDEV(P6:P33)/AVERAGE(P6:P33)</f>
        <v>0.034185637594484</v>
      </c>
      <c r="Q35" s="5" t="n">
        <f aca="false">STDEV(Q6:Q33)/AVERAGE(Q6:Q33)</f>
        <v>0.0370782223400681</v>
      </c>
      <c r="R35" s="5" t="n">
        <f aca="false">STDEV(R6:R33)/AVERAGE(R6:R33)</f>
        <v>0.0366400724457543</v>
      </c>
      <c r="S35" s="5" t="n">
        <f aca="false">STDEV(S6:S33)/AVERAGE(S6:S33)</f>
        <v>0.0368761917189976</v>
      </c>
      <c r="T35" s="5" t="n">
        <f aca="false">STDEV(T6:T33)/AVERAGE(T6:T33)</f>
        <v>0.0376353578804106</v>
      </c>
      <c r="U35" s="5" t="n">
        <f aca="false">STDEV(U6:U33)/AVERAGE(U6:U33)</f>
        <v>0.0408354702914801</v>
      </c>
      <c r="V35" s="5" t="n">
        <f aca="false">STDEV(V6:V33)/AVERAGE(V6:V33)</f>
        <v>0.043027044343641</v>
      </c>
      <c r="W35" s="5" t="n">
        <f aca="false">STDEV(W6:W33)/AVERAGE(W6:W33)</f>
        <v>0.0433370252722343</v>
      </c>
      <c r="X35" s="5" t="n">
        <f aca="false">STDEV(X6:X33)/AVERAGE(X6:X33)</f>
        <v>0.0408488357329336</v>
      </c>
      <c r="Y35" s="5" t="n">
        <f aca="false">STDEV(Y6:Y33)/AVERAGE(Y6:Y33)</f>
        <v>0.0490993682512591</v>
      </c>
      <c r="Z35" s="5" t="n">
        <f aca="false">STDEV(Z6:Z33)/AVERAGE(Z6:Z33)</f>
        <v>0.0494644038835949</v>
      </c>
      <c r="AA35" s="5" t="n">
        <f aca="false">STDEV(AA6:AA33)/AVERAGE(AA6:AA33)</f>
        <v>0.05227481669756</v>
      </c>
      <c r="AB35" s="5" t="n">
        <f aca="false">STDEV(AB6:AB33)/AVERAGE(AB6:AB33)</f>
        <v>0.0562490393168199</v>
      </c>
      <c r="AC35" s="5" t="n">
        <f aca="false">STDEV(AC6:AC33)/AVERAGE(AC6:AC33)</f>
        <v>0.0562395989229673</v>
      </c>
      <c r="AD35" s="5" t="n">
        <f aca="false">STDEV(AD6:AD33)/AVERAGE(AD6:AD33)</f>
        <v>0.0589230369809134</v>
      </c>
      <c r="AE35" s="5" t="n">
        <f aca="false">STDEV(AE6:AE33)/AVERAGE(AE6:AE33)</f>
        <v>0.158472142698292</v>
      </c>
      <c r="AF35" s="5" t="n">
        <f aca="false">STDEV(AF6:AF33)/AVERAGE(AF6:AF33)</f>
        <v>0.26683921314271</v>
      </c>
      <c r="AG35" s="5" t="n">
        <f aca="false">STDEV(AG6:AG33)/AVERAGE(AG6:AG33)</f>
        <v>0.662641108328745</v>
      </c>
    </row>
    <row r="36" customFormat="false" ht="12.8" hidden="false" customHeight="false" outlineLevel="0" collapsed="false">
      <c r="C36" s="4" t="s">
        <v>3</v>
      </c>
      <c r="D36" s="3" t="n">
        <f aca="false">AVERAGE(D6:D33)</f>
        <v>22152.0537806786</v>
      </c>
      <c r="E36" s="3" t="n">
        <f aca="false">AVERAGE(E6:E33)</f>
        <v>14543.8295898571</v>
      </c>
      <c r="F36" s="3" t="n">
        <f aca="false">AVERAGE(F6:F33)</f>
        <v>9672.04052732143</v>
      </c>
      <c r="G36" s="3" t="n">
        <f aca="false">AVERAGE(G6:G33)</f>
        <v>6843.36190346429</v>
      </c>
      <c r="H36" s="3" t="n">
        <f aca="false">AVERAGE(H6:H33)</f>
        <v>4721.61385678571</v>
      </c>
      <c r="I36" s="3" t="n">
        <f aca="false">AVERAGE(I6:I33)</f>
        <v>3247.80622214286</v>
      </c>
      <c r="J36" s="3" t="n">
        <f aca="false">AVERAGE(J6:J33)</f>
        <v>2305.51086425</v>
      </c>
      <c r="K36" s="3" t="n">
        <f aca="false">AVERAGE(K6:K33)</f>
        <v>1648.87322125</v>
      </c>
      <c r="L36" s="3" t="n">
        <f aca="false">AVERAGE(L6:L33)</f>
        <v>1209.86011610714</v>
      </c>
      <c r="M36" s="3" t="n">
        <f aca="false">AVERAGE(M6:M33)</f>
        <v>920.535332928572</v>
      </c>
      <c r="N36" s="3" t="n">
        <f aca="false">AVERAGE(N6:N33)</f>
        <v>724.07940675</v>
      </c>
      <c r="O36" s="3" t="n">
        <f aca="false">AVERAGE(O6:O33)</f>
        <v>579.990899214286</v>
      </c>
      <c r="P36" s="3" t="n">
        <f aca="false">AVERAGE(P6:P33)</f>
        <v>473.477249035714</v>
      </c>
      <c r="Q36" s="3" t="n">
        <f aca="false">AVERAGE(Q6:Q33)</f>
        <v>392.358621892857</v>
      </c>
      <c r="R36" s="3" t="n">
        <f aca="false">AVERAGE(R6:R33)</f>
        <v>330.414840714286</v>
      </c>
      <c r="S36" s="3" t="n">
        <f aca="false">AVERAGE(S6:S33)</f>
        <v>281.704825321429</v>
      </c>
      <c r="T36" s="3" t="n">
        <f aca="false">AVERAGE(T6:T33)</f>
        <v>239.480802821429</v>
      </c>
      <c r="U36" s="3" t="n">
        <f aca="false">AVERAGE(U6:U33)</f>
        <v>199.499400535714</v>
      </c>
      <c r="V36" s="3" t="n">
        <f aca="false">AVERAGE(V6:V33)</f>
        <v>165.024513214286</v>
      </c>
      <c r="W36" s="3" t="n">
        <f aca="false">AVERAGE(W6:W33)</f>
        <v>134.617293571429</v>
      </c>
      <c r="X36" s="3" t="n">
        <f aca="false">AVERAGE(X6:X33)</f>
        <v>110.129575928571</v>
      </c>
      <c r="Y36" s="3" t="n">
        <f aca="false">AVERAGE(Y6:Y33)</f>
        <v>89.7595528571429</v>
      </c>
      <c r="Z36" s="3" t="n">
        <f aca="false">AVERAGE(Z6:Z33)</f>
        <v>72.6523315357143</v>
      </c>
      <c r="AA36" s="3" t="n">
        <f aca="false">AVERAGE(AA6:AA33)</f>
        <v>59.433086</v>
      </c>
      <c r="AB36" s="3" t="n">
        <f aca="false">AVERAGE(AB6:AB33)</f>
        <v>49.3898917142857</v>
      </c>
      <c r="AC36" s="3" t="n">
        <f aca="false">AVERAGE(AC6:AC33)</f>
        <v>41.4159904285714</v>
      </c>
      <c r="AD36" s="3" t="n">
        <f aca="false">AVERAGE(AD6:AD33)</f>
        <v>33.9582730357143</v>
      </c>
      <c r="AE36" s="3" t="n">
        <f aca="false">AVERAGE(AE6:AE33)</f>
        <v>5.93000982142857</v>
      </c>
      <c r="AF36" s="3" t="n">
        <f aca="false">AVERAGE(AF6:AF33)</f>
        <v>1.15367089285714</v>
      </c>
      <c r="AG36" s="3" t="n">
        <f aca="false">AVERAGE(AG6:AG33)</f>
        <v>0.155772892857143</v>
      </c>
    </row>
    <row r="37" customFormat="false" ht="12.8" hidden="false" customHeight="false" outlineLevel="0" collapsed="false">
      <c r="C37" s="6" t="s">
        <v>4</v>
      </c>
      <c r="D37" s="3" t="n">
        <f aca="false">STDEV(D6:D33)</f>
        <v>176.29950086783</v>
      </c>
      <c r="E37" s="3" t="n">
        <f aca="false">STDEV(E6:E33)</f>
        <v>114.157498825453</v>
      </c>
      <c r="F37" s="3" t="n">
        <f aca="false">STDEV(F6:F33)</f>
        <v>86.0414119747076</v>
      </c>
      <c r="G37" s="3" t="n">
        <f aca="false">STDEV(G6:G33)</f>
        <v>67.6104340242887</v>
      </c>
      <c r="H37" s="3" t="n">
        <f aca="false">STDEV(H6:H33)</f>
        <v>52.454763132566</v>
      </c>
      <c r="I37" s="3" t="n">
        <f aca="false">STDEV(I6:I33)</f>
        <v>43.6889412571436</v>
      </c>
      <c r="J37" s="3" t="n">
        <f aca="false">STDEV(J6:J33)</f>
        <v>35.3033123236461</v>
      </c>
      <c r="K37" s="3" t="n">
        <f aca="false">STDEV(K6:K33)</f>
        <v>30.9068904329227</v>
      </c>
      <c r="L37" s="3" t="n">
        <f aca="false">STDEV(L6:L33)</f>
        <v>28.6477917386827</v>
      </c>
      <c r="M37" s="3" t="n">
        <f aca="false">STDEV(M6:M33)</f>
        <v>25.3100015866268</v>
      </c>
      <c r="N37" s="3" t="n">
        <f aca="false">STDEV(N6:N33)</f>
        <v>21.4709926457578</v>
      </c>
      <c r="O37" s="3" t="n">
        <f aca="false">STDEV(O6:O33)</f>
        <v>18.8463158441325</v>
      </c>
      <c r="P37" s="3" t="n">
        <f aca="false">STDEV(P6:P33)</f>
        <v>16.1861216447682</v>
      </c>
      <c r="Q37" s="3" t="n">
        <f aca="false">STDEV(Q6:Q33)</f>
        <v>14.5479602195861</v>
      </c>
      <c r="R37" s="3" t="n">
        <f aca="false">STDEV(R6:R33)</f>
        <v>12.1064237009238</v>
      </c>
      <c r="S37" s="3" t="n">
        <f aca="false">STDEV(S6:S33)</f>
        <v>10.3882011467197</v>
      </c>
      <c r="T37" s="3" t="n">
        <f aca="false">STDEV(T6:T33)</f>
        <v>9.01294571967252</v>
      </c>
      <c r="U37" s="3" t="n">
        <f aca="false">STDEV(U6:U33)</f>
        <v>8.14665184374425</v>
      </c>
      <c r="V37" s="3" t="n">
        <f aca="false">STDEV(V6:V33)</f>
        <v>7.10051704785884</v>
      </c>
      <c r="W37" s="3" t="n">
        <f aca="false">STDEV(W6:W33)</f>
        <v>5.83391305358478</v>
      </c>
      <c r="X37" s="3" t="n">
        <f aca="false">STDEV(X6:X33)</f>
        <v>4.49866495644386</v>
      </c>
      <c r="Y37" s="3" t="n">
        <f aca="false">STDEV(Y6:Y33)</f>
        <v>4.40713733980121</v>
      </c>
      <c r="Z37" s="3" t="n">
        <f aca="false">STDEV(Z6:Z33)</f>
        <v>3.59370427016741</v>
      </c>
      <c r="AA37" s="3" t="n">
        <f aca="false">STDEV(AA6:AA33)</f>
        <v>3.10685367642032</v>
      </c>
      <c r="AB37" s="3" t="n">
        <f aca="false">STDEV(AB6:AB33)</f>
        <v>2.77813396089033</v>
      </c>
      <c r="AC37" s="3" t="n">
        <f aca="false">STDEV(AC6:AC33)</f>
        <v>2.32921869070031</v>
      </c>
      <c r="AD37" s="3" t="n">
        <f aca="false">STDEV(AD6:AD33)</f>
        <v>2.00092457789135</v>
      </c>
      <c r="AE37" s="3" t="n">
        <f aca="false">STDEV(AE6:AE33)</f>
        <v>0.939741362623704</v>
      </c>
      <c r="AF37" s="3" t="n">
        <f aca="false">STDEV(AF6:AF33)</f>
        <v>0.307844633275647</v>
      </c>
      <c r="AG37" s="3" t="n">
        <f aca="false">STDEV(AG6:AG33)</f>
        <v>0.103221522370432</v>
      </c>
    </row>
    <row r="38" customFormat="false" ht="12.8" hidden="false" customHeight="false" outlineLevel="0" collapsed="false">
      <c r="C38" s="6" t="s">
        <v>5</v>
      </c>
      <c r="D38" s="3" t="n">
        <f aca="false">SQRT(D36+0.0004*(D36)^2)</f>
        <v>467.372922259633</v>
      </c>
      <c r="E38" s="3" t="n">
        <f aca="false">SQRT(E36+0.0004*(E36)^2)</f>
        <v>314.88572728115</v>
      </c>
      <c r="F38" s="3" t="n">
        <f aca="false">SQRT(F36+0.0004*(F36)^2)</f>
        <v>217.005501571229</v>
      </c>
      <c r="G38" s="3" t="n">
        <f aca="false">SQRT(G36+0.0004*(G36)^2)</f>
        <v>159.924991043235</v>
      </c>
      <c r="H38" s="3" t="n">
        <f aca="false">SQRT(H36+0.0004*(H36)^2)</f>
        <v>116.786423961957</v>
      </c>
      <c r="I38" s="3" t="n">
        <f aca="false">SQRT(I36+0.0004*(I36)^2)</f>
        <v>86.4124083958942</v>
      </c>
      <c r="J38" s="3" t="n">
        <f aca="false">SQRT(J36+0.0004*(J36)^2)</f>
        <v>66.5707368317334</v>
      </c>
      <c r="K38" s="3" t="n">
        <f aca="false">SQRT(K36+0.0004*(K36)^2)</f>
        <v>52.3104806052491</v>
      </c>
      <c r="L38" s="3" t="n">
        <f aca="false">SQRT(L36+0.0004*(L36)^2)</f>
        <v>42.3717443153555</v>
      </c>
      <c r="M38" s="3" t="n">
        <f aca="false">SQRT(M36+0.0004*(M36)^2)</f>
        <v>35.4892864481175</v>
      </c>
      <c r="N38" s="3" t="n">
        <f aca="false">SQRT(N36+0.0004*(N36)^2)</f>
        <v>30.5580726103885</v>
      </c>
      <c r="O38" s="3" t="n">
        <f aca="false">SQRT(O36+0.0004*(O36)^2)</f>
        <v>26.7310059010664</v>
      </c>
      <c r="P38" s="3" t="n">
        <f aca="false">SQRT(P36+0.0004*(P36)^2)</f>
        <v>23.7307718200965</v>
      </c>
      <c r="Q38" s="3" t="n">
        <f aca="false">SQRT(Q36+0.0004*(Q36)^2)</f>
        <v>21.3057911648998</v>
      </c>
      <c r="R38" s="3" t="n">
        <f aca="false">SQRT(R36+0.0004*(R36)^2)</f>
        <v>19.341262303686</v>
      </c>
      <c r="S38" s="3" t="n">
        <f aca="false">SQRT(S36+0.0004*(S36)^2)</f>
        <v>17.7044590079782</v>
      </c>
      <c r="T38" s="3" t="n">
        <f aca="false">SQRT(T36+0.0004*(T36)^2)</f>
        <v>16.1994205078276</v>
      </c>
      <c r="U38" s="3" t="n">
        <f aca="false">SQRT(U36+0.0004*(U36)^2)</f>
        <v>14.6771729178803</v>
      </c>
      <c r="V38" s="3" t="n">
        <f aca="false">SQRT(V36+0.0004*(V36)^2)</f>
        <v>13.2633988554567</v>
      </c>
      <c r="W38" s="3" t="n">
        <f aca="false">SQRT(W36+0.0004*(W36)^2)</f>
        <v>11.9107522794669</v>
      </c>
      <c r="X38" s="3" t="n">
        <f aca="false">SQRT(X36+0.0004*(X36)^2)</f>
        <v>10.7229186943786</v>
      </c>
      <c r="Y38" s="3" t="n">
        <f aca="false">SQRT(Y36+0.0004*(Y36)^2)</f>
        <v>9.64273113743137</v>
      </c>
      <c r="Z38" s="3" t="n">
        <f aca="false">SQRT(Z36+0.0004*(Z36)^2)</f>
        <v>8.64659910292737</v>
      </c>
      <c r="AA38" s="3" t="n">
        <f aca="false">SQRT(AA36+0.0004*(AA36)^2)</f>
        <v>7.80038477798329</v>
      </c>
      <c r="AB38" s="3" t="n">
        <f aca="false">SQRT(AB36+0.0004*(AB36)^2)</f>
        <v>7.09687510639051</v>
      </c>
      <c r="AC38" s="3" t="n">
        <f aca="false">SQRT(AC36+0.0004*(AC36)^2)</f>
        <v>6.48861342151335</v>
      </c>
      <c r="AD38" s="3" t="n">
        <f aca="false">SQRT(AD36+0.0004*(AD36)^2)</f>
        <v>5.86681674835183</v>
      </c>
      <c r="AE38" s="3" t="n">
        <f aca="false">SQRT(AE36+0.0004*(AE36)^2)</f>
        <v>2.43804754424959</v>
      </c>
      <c r="AF38" s="3" t="n">
        <f aca="false">SQRT(AF36+0.0004*(AF36)^2)</f>
        <v>1.07433852926755</v>
      </c>
      <c r="AG38" s="3" t="n">
        <f aca="false">SQRT(AG36+0.0004*(AG36)^2)</f>
        <v>0.394693043940228</v>
      </c>
    </row>
    <row r="39" customFormat="false" ht="12.8" hidden="false" customHeight="false" outlineLevel="0" collapsed="false">
      <c r="C39" s="4" t="s">
        <v>6</v>
      </c>
      <c r="D39" s="7" t="str">
        <f aca="false">IF(D38&gt;D37,"✅","❌")</f>
        <v>✅</v>
      </c>
      <c r="E39" s="7" t="str">
        <f aca="false">IF(E38&gt;E37,"✅","❌")</f>
        <v>✅</v>
      </c>
      <c r="F39" s="7" t="str">
        <f aca="false">IF(F38&gt;F37,"✅","❌")</f>
        <v>✅</v>
      </c>
      <c r="G39" s="7" t="str">
        <f aca="false">IF(G38&gt;G37,"✅","❌")</f>
        <v>✅</v>
      </c>
      <c r="H39" s="7" t="str">
        <f aca="false">IF(H38&gt;H37,"✅","❌")</f>
        <v>✅</v>
      </c>
      <c r="I39" s="7" t="str">
        <f aca="false">IF(I38&gt;I37,"✅","❌")</f>
        <v>✅</v>
      </c>
      <c r="J39" s="7" t="str">
        <f aca="false">IF(J38&gt;J37,"✅","❌")</f>
        <v>✅</v>
      </c>
      <c r="K39" s="7" t="str">
        <f aca="false">IF(K38&gt;K37,"✅","❌")</f>
        <v>✅</v>
      </c>
      <c r="L39" s="7" t="str">
        <f aca="false">IF(L38&gt;L37,"✅","❌")</f>
        <v>✅</v>
      </c>
      <c r="M39" s="7" t="str">
        <f aca="false">IF(M38&gt;M37,"✅","❌")</f>
        <v>✅</v>
      </c>
      <c r="N39" s="7" t="str">
        <f aca="false">IF(N38&gt;N37,"✅","❌")</f>
        <v>✅</v>
      </c>
      <c r="O39" s="7" t="str">
        <f aca="false">IF(O38&gt;O37,"✅","❌")</f>
        <v>✅</v>
      </c>
      <c r="P39" s="7" t="str">
        <f aca="false">IF(P38&gt;P37,"✅","❌")</f>
        <v>✅</v>
      </c>
      <c r="Q39" s="7" t="str">
        <f aca="false">IF(Q38&gt;Q37,"✅","❌")</f>
        <v>✅</v>
      </c>
      <c r="R39" s="7" t="str">
        <f aca="false">IF(R38&gt;R37,"✅","❌")</f>
        <v>✅</v>
      </c>
      <c r="S39" s="7" t="str">
        <f aca="false">IF(S38&gt;S37,"✅","❌")</f>
        <v>✅</v>
      </c>
      <c r="T39" s="7" t="str">
        <f aca="false">IF(T38&gt;T37,"✅","❌")</f>
        <v>✅</v>
      </c>
      <c r="U39" s="7" t="str">
        <f aca="false">IF(U38&gt;U37,"✅","❌")</f>
        <v>✅</v>
      </c>
      <c r="V39" s="7" t="str">
        <f aca="false">IF(V38&gt;V37,"✅","❌")</f>
        <v>✅</v>
      </c>
      <c r="W39" s="7" t="str">
        <f aca="false">IF(W38&gt;W37,"✅","❌")</f>
        <v>✅</v>
      </c>
      <c r="X39" s="7" t="str">
        <f aca="false">IF(X38&gt;X37,"✅","❌")</f>
        <v>✅</v>
      </c>
      <c r="Y39" s="7" t="str">
        <f aca="false">IF(Y38&gt;Y37,"✅","❌")</f>
        <v>✅</v>
      </c>
      <c r="Z39" s="7" t="str">
        <f aca="false">IF(Z38&gt;Z37,"✅","❌")</f>
        <v>✅</v>
      </c>
      <c r="AA39" s="7" t="str">
        <f aca="false">IF(AA38&gt;AA37,"✅","❌")</f>
        <v>✅</v>
      </c>
      <c r="AB39" s="7" t="str">
        <f aca="false">IF(AB38&gt;AB37,"✅","❌")</f>
        <v>✅</v>
      </c>
      <c r="AC39" s="7" t="str">
        <f aca="false">IF(AC38&gt;AC37,"✅","❌")</f>
        <v>✅</v>
      </c>
      <c r="AD39" s="7" t="str">
        <f aca="false">IF(AD38&gt;AD37,"✅","❌")</f>
        <v>✅</v>
      </c>
      <c r="AE39" s="7" t="str">
        <f aca="false">IF(AE38&gt;AE37,"✅","❌")</f>
        <v>✅</v>
      </c>
      <c r="AF39" s="7" t="str">
        <f aca="false">IF(AF38&gt;AF37,"✅","❌")</f>
        <v>✅</v>
      </c>
      <c r="AG39" s="7" t="str">
        <f aca="false">IF(AG38&gt;AG37,"✅","❌")</f>
        <v>✅</v>
      </c>
    </row>
    <row r="40" customFormat="false" ht="12.8" hidden="false" customHeight="false" outlineLevel="0" collapsed="false">
      <c r="B40" s="4"/>
      <c r="C40" s="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customFormat="false" ht="12.8" hidden="false" customHeight="false" outlineLevel="0" collapsed="false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customFormat="false" ht="12.8" hidden="false" customHeight="false" outlineLevel="0" collapsed="false">
      <c r="B42" s="2" t="n">
        <v>46185.4963657407</v>
      </c>
      <c r="C42" s="3" t="n">
        <v>10.07333</v>
      </c>
      <c r="D42" s="3" t="n">
        <v>22265.923828</v>
      </c>
      <c r="E42" s="3" t="n">
        <v>14626.046875</v>
      </c>
      <c r="F42" s="3" t="n">
        <v>9705.628906</v>
      </c>
      <c r="G42" s="3" t="n">
        <v>6848.777832</v>
      </c>
      <c r="H42" s="3" t="n">
        <v>4752.450195</v>
      </c>
      <c r="I42" s="3" t="n">
        <v>3267.340576</v>
      </c>
      <c r="J42" s="3" t="n">
        <v>2320.682373</v>
      </c>
      <c r="K42" s="3" t="n">
        <v>1668.862305</v>
      </c>
      <c r="L42" s="3" t="n">
        <v>1230.079834</v>
      </c>
      <c r="M42" s="3" t="n">
        <v>932.164429</v>
      </c>
      <c r="N42" s="3" t="n">
        <v>733.620361</v>
      </c>
      <c r="O42" s="3" t="n">
        <v>591.661377</v>
      </c>
      <c r="P42" s="3" t="n">
        <v>478.789032</v>
      </c>
      <c r="Q42" s="3" t="n">
        <v>401.158295</v>
      </c>
      <c r="R42" s="3" t="n">
        <v>336.234406</v>
      </c>
      <c r="S42" s="3" t="n">
        <v>285.407104</v>
      </c>
      <c r="T42" s="3" t="n">
        <v>244.705582</v>
      </c>
      <c r="U42" s="3" t="n">
        <v>203.90477</v>
      </c>
      <c r="V42" s="3" t="n">
        <v>169.358093</v>
      </c>
      <c r="W42" s="3" t="n">
        <v>139.179398</v>
      </c>
      <c r="X42" s="3" t="n">
        <v>115.254837</v>
      </c>
      <c r="Y42" s="3" t="n">
        <v>92.720085</v>
      </c>
      <c r="Z42" s="3" t="n">
        <v>76.042381</v>
      </c>
      <c r="AA42" s="3" t="n">
        <v>61.151577</v>
      </c>
      <c r="AB42" s="3" t="n">
        <v>48.444756</v>
      </c>
      <c r="AC42" s="3" t="n">
        <v>40.900082</v>
      </c>
      <c r="AD42" s="3" t="n">
        <v>32.6605</v>
      </c>
      <c r="AE42" s="3" t="n">
        <v>5.261418</v>
      </c>
      <c r="AF42" s="3" t="n">
        <v>1.489081</v>
      </c>
      <c r="AG42" s="3" t="n">
        <v>0.198544</v>
      </c>
    </row>
    <row r="43" customFormat="false" ht="12.8" hidden="false" customHeight="false" outlineLevel="0" collapsed="false">
      <c r="B43" s="2" t="n">
        <v>46185.4977777778</v>
      </c>
      <c r="C43" s="3" t="n">
        <v>10.173282</v>
      </c>
      <c r="D43" s="3" t="n">
        <v>22011.580078</v>
      </c>
      <c r="E43" s="3" t="n">
        <v>14488.933594</v>
      </c>
      <c r="F43" s="3" t="n">
        <v>9633.371094</v>
      </c>
      <c r="G43" s="3" t="n">
        <v>6812.157715</v>
      </c>
      <c r="H43" s="3" t="n">
        <v>4709.39502</v>
      </c>
      <c r="I43" s="3" t="n">
        <v>3229.046631</v>
      </c>
      <c r="J43" s="3" t="n">
        <v>2295.817627</v>
      </c>
      <c r="K43" s="3" t="n">
        <v>1642.734375</v>
      </c>
      <c r="L43" s="3" t="n">
        <v>1208.754517</v>
      </c>
      <c r="M43" s="3" t="n">
        <v>927.13446</v>
      </c>
      <c r="N43" s="3" t="n">
        <v>737.126953</v>
      </c>
      <c r="O43" s="3" t="n">
        <v>594.400146</v>
      </c>
      <c r="P43" s="3" t="n">
        <v>495.808533</v>
      </c>
      <c r="Q43" s="3" t="n">
        <v>408.619385</v>
      </c>
      <c r="R43" s="3" t="n">
        <v>342.465698</v>
      </c>
      <c r="S43" s="3" t="n">
        <v>293.513947</v>
      </c>
      <c r="T43" s="3" t="n">
        <v>250.656586</v>
      </c>
      <c r="U43" s="3" t="n">
        <v>205.2435</v>
      </c>
      <c r="V43" s="3" t="n">
        <v>169.856689</v>
      </c>
      <c r="W43" s="3" t="n">
        <v>140.0728</v>
      </c>
      <c r="X43" s="3" t="n">
        <v>115.105431</v>
      </c>
      <c r="Y43" s="3" t="n">
        <v>96.035873</v>
      </c>
      <c r="Z43" s="3" t="n">
        <v>78.342468</v>
      </c>
      <c r="AA43" s="3" t="n">
        <v>64.974121</v>
      </c>
      <c r="AB43" s="3" t="n">
        <v>53.080215</v>
      </c>
      <c r="AC43" s="3" t="n">
        <v>45.413074</v>
      </c>
      <c r="AD43" s="3" t="n">
        <v>37.549339</v>
      </c>
      <c r="AE43" s="3" t="n">
        <v>7.175659</v>
      </c>
      <c r="AF43" s="3" t="n">
        <v>1.769341</v>
      </c>
      <c r="AG43" s="3" t="n">
        <v>0</v>
      </c>
    </row>
    <row r="44" customFormat="false" ht="12.8" hidden="false" customHeight="false" outlineLevel="0" collapsed="false">
      <c r="B44" s="2" t="n">
        <v>46185.4991898148</v>
      </c>
      <c r="C44" s="3" t="n">
        <v>10.145092</v>
      </c>
      <c r="D44" s="3" t="n">
        <v>22505.759766</v>
      </c>
      <c r="E44" s="3" t="n">
        <v>14721.700195</v>
      </c>
      <c r="F44" s="3" t="n">
        <v>9736.530273</v>
      </c>
      <c r="G44" s="3" t="n">
        <v>6892.29834</v>
      </c>
      <c r="H44" s="3" t="n">
        <v>4761.316895</v>
      </c>
      <c r="I44" s="3" t="n">
        <v>3276.362549</v>
      </c>
      <c r="J44" s="3" t="n">
        <v>2336.5979</v>
      </c>
      <c r="K44" s="3" t="n">
        <v>1669.181519</v>
      </c>
      <c r="L44" s="3" t="n">
        <v>1225.912964</v>
      </c>
      <c r="M44" s="3" t="n">
        <v>924.880737</v>
      </c>
      <c r="N44" s="3" t="n">
        <v>723.798279</v>
      </c>
      <c r="O44" s="3" t="n">
        <v>577.422058</v>
      </c>
      <c r="P44" s="3" t="n">
        <v>475.106598</v>
      </c>
      <c r="Q44" s="3" t="n">
        <v>399.207825</v>
      </c>
      <c r="R44" s="3" t="n">
        <v>334.250305</v>
      </c>
      <c r="S44" s="3" t="n">
        <v>282.205414</v>
      </c>
      <c r="T44" s="3" t="n">
        <v>239.820404</v>
      </c>
      <c r="U44" s="3" t="n">
        <v>201.772446</v>
      </c>
      <c r="V44" s="3" t="n">
        <v>168.061554</v>
      </c>
      <c r="W44" s="3" t="n">
        <v>136.026367</v>
      </c>
      <c r="X44" s="3" t="n">
        <v>111.482475</v>
      </c>
      <c r="Y44" s="3" t="n">
        <v>88.318565</v>
      </c>
      <c r="Z44" s="3" t="n">
        <v>72.645966</v>
      </c>
      <c r="AA44" s="3" t="n">
        <v>57.663349</v>
      </c>
      <c r="AB44" s="3" t="n">
        <v>49.087776</v>
      </c>
      <c r="AC44" s="3" t="n">
        <v>41.892178</v>
      </c>
      <c r="AD44" s="3" t="n">
        <v>34.99229</v>
      </c>
      <c r="AE44" s="3" t="n">
        <v>4.632782</v>
      </c>
      <c r="AF44" s="3" t="n">
        <v>0.887128</v>
      </c>
      <c r="AG44" s="3" t="n">
        <v>0.09857</v>
      </c>
    </row>
    <row r="45" customFormat="false" ht="12.8" hidden="false" customHeight="false" outlineLevel="0" collapsed="false">
      <c r="B45" s="2" t="n">
        <v>46185.5006018519</v>
      </c>
      <c r="C45" s="3" t="n">
        <v>10.122394</v>
      </c>
      <c r="D45" s="3" t="n">
        <v>22401.914062</v>
      </c>
      <c r="E45" s="3" t="n">
        <v>14680.618164</v>
      </c>
      <c r="F45" s="3" t="n">
        <v>9711.438477</v>
      </c>
      <c r="G45" s="3" t="n">
        <v>6839.884277</v>
      </c>
      <c r="H45" s="3" t="n">
        <v>4737.812012</v>
      </c>
      <c r="I45" s="3" t="n">
        <v>3253.479492</v>
      </c>
      <c r="J45" s="3" t="n">
        <v>2307.853271</v>
      </c>
      <c r="K45" s="3" t="n">
        <v>1654.845703</v>
      </c>
      <c r="L45" s="3" t="n">
        <v>1220.46228</v>
      </c>
      <c r="M45" s="3" t="n">
        <v>925.077637</v>
      </c>
      <c r="N45" s="3" t="n">
        <v>731.151184</v>
      </c>
      <c r="O45" s="3" t="n">
        <v>590.472961</v>
      </c>
      <c r="P45" s="3" t="n">
        <v>483.383698</v>
      </c>
      <c r="Q45" s="3" t="n">
        <v>399.115082</v>
      </c>
      <c r="R45" s="3" t="n">
        <v>336.580475</v>
      </c>
      <c r="S45" s="3" t="n">
        <v>285.999542</v>
      </c>
      <c r="T45" s="3" t="n">
        <v>242.926727</v>
      </c>
      <c r="U45" s="3" t="n">
        <v>203.114014</v>
      </c>
      <c r="V45" s="3" t="n">
        <v>170.513031</v>
      </c>
      <c r="W45" s="3" t="n">
        <v>140.480606</v>
      </c>
      <c r="X45" s="3" t="n">
        <v>114.301025</v>
      </c>
      <c r="Y45" s="3" t="n">
        <v>92.567039</v>
      </c>
      <c r="Z45" s="3" t="n">
        <v>74.68589</v>
      </c>
      <c r="AA45" s="3" t="n">
        <v>61.052753</v>
      </c>
      <c r="AB45" s="3" t="n">
        <v>49.09906</v>
      </c>
      <c r="AC45" s="3" t="n">
        <v>41.689743</v>
      </c>
      <c r="AD45" s="3" t="n">
        <v>33.09494</v>
      </c>
      <c r="AE45" s="3" t="n">
        <v>5.631079</v>
      </c>
      <c r="AF45" s="3" t="n">
        <v>0.889118</v>
      </c>
      <c r="AG45" s="3" t="n">
        <v>0</v>
      </c>
    </row>
    <row r="46" customFormat="false" ht="12.8" hidden="false" customHeight="false" outlineLevel="0" collapsed="false">
      <c r="B46" s="2" t="n">
        <v>46185.5020138889</v>
      </c>
      <c r="C46" s="3" t="n">
        <v>10.102073</v>
      </c>
      <c r="D46" s="3" t="n">
        <v>22350.166016</v>
      </c>
      <c r="E46" s="3" t="n">
        <v>14618.287109</v>
      </c>
      <c r="F46" s="3" t="n">
        <v>9666.234375</v>
      </c>
      <c r="G46" s="3" t="n">
        <v>6820.481445</v>
      </c>
      <c r="H46" s="3" t="n">
        <v>4718.239746</v>
      </c>
      <c r="I46" s="3" t="n">
        <v>3241.512939</v>
      </c>
      <c r="J46" s="3" t="n">
        <v>2314.376465</v>
      </c>
      <c r="K46" s="3" t="n">
        <v>1659.362427</v>
      </c>
      <c r="L46" s="3" t="n">
        <v>1211.43457</v>
      </c>
      <c r="M46" s="3" t="n">
        <v>920.50415</v>
      </c>
      <c r="N46" s="3" t="n">
        <v>730.147217</v>
      </c>
      <c r="O46" s="3" t="n">
        <v>582.65271</v>
      </c>
      <c r="P46" s="3" t="n">
        <v>474.853058</v>
      </c>
      <c r="Q46" s="3" t="n">
        <v>390.315948</v>
      </c>
      <c r="R46" s="3" t="n">
        <v>330.427246</v>
      </c>
      <c r="S46" s="3" t="n">
        <v>279.150635</v>
      </c>
      <c r="T46" s="3" t="n">
        <v>239.059845</v>
      </c>
      <c r="U46" s="3" t="n">
        <v>200.354919</v>
      </c>
      <c r="V46" s="3" t="n">
        <v>166.401489</v>
      </c>
      <c r="W46" s="3" t="n">
        <v>137.892487</v>
      </c>
      <c r="X46" s="3" t="n">
        <v>110.86834</v>
      </c>
      <c r="Y46" s="3" t="n">
        <v>89.189621</v>
      </c>
      <c r="Z46" s="3" t="n">
        <v>72.064423</v>
      </c>
      <c r="AA46" s="3" t="n">
        <v>58.106888</v>
      </c>
      <c r="AB46" s="3" t="n">
        <v>48.504898</v>
      </c>
      <c r="AC46" s="3" t="n">
        <v>39.496845</v>
      </c>
      <c r="AD46" s="3" t="n">
        <v>32.864544</v>
      </c>
      <c r="AE46" s="3" t="n">
        <v>4.553521</v>
      </c>
      <c r="AF46" s="3" t="n">
        <v>0.989896</v>
      </c>
      <c r="AG46" s="3" t="n">
        <v>0</v>
      </c>
    </row>
    <row r="47" customFormat="false" ht="12.8" hidden="false" customHeight="false" outlineLevel="0" collapsed="false">
      <c r="B47" s="2" t="n">
        <v>46185.5034259259</v>
      </c>
      <c r="C47" s="3" t="n">
        <v>10.176349</v>
      </c>
      <c r="D47" s="3" t="n">
        <v>22260.341797</v>
      </c>
      <c r="E47" s="3" t="n">
        <v>14569.272461</v>
      </c>
      <c r="F47" s="3" t="n">
        <v>9705.347656</v>
      </c>
      <c r="G47" s="3" t="n">
        <v>6839.879395</v>
      </c>
      <c r="H47" s="3" t="n">
        <v>4718.883301</v>
      </c>
      <c r="I47" s="3" t="n">
        <v>3235.050293</v>
      </c>
      <c r="J47" s="3" t="n">
        <v>2293.1604</v>
      </c>
      <c r="K47" s="3" t="n">
        <v>1643.615112</v>
      </c>
      <c r="L47" s="3" t="n">
        <v>1207.604004</v>
      </c>
      <c r="M47" s="3" t="n">
        <v>919.190186</v>
      </c>
      <c r="N47" s="3" t="n">
        <v>723.049133</v>
      </c>
      <c r="O47" s="3" t="n">
        <v>576.532898</v>
      </c>
      <c r="P47" s="3" t="n">
        <v>469.618347</v>
      </c>
      <c r="Q47" s="3" t="n">
        <v>383.929443</v>
      </c>
      <c r="R47" s="3" t="n">
        <v>316.911316</v>
      </c>
      <c r="S47" s="3" t="n">
        <v>271.217133</v>
      </c>
      <c r="T47" s="3" t="n">
        <v>229.355347</v>
      </c>
      <c r="U47" s="3" t="n">
        <v>191.031189</v>
      </c>
      <c r="V47" s="3" t="n">
        <v>158.799591</v>
      </c>
      <c r="W47" s="3" t="n">
        <v>128.238525</v>
      </c>
      <c r="X47" s="3" t="n">
        <v>105.145767</v>
      </c>
      <c r="Y47" s="3" t="n">
        <v>83.133942</v>
      </c>
      <c r="Z47" s="3" t="n">
        <v>67.411209</v>
      </c>
      <c r="AA47" s="3" t="n">
        <v>55.815697</v>
      </c>
      <c r="AB47" s="3" t="n">
        <v>45.202854</v>
      </c>
      <c r="AC47" s="3" t="n">
        <v>38.225891</v>
      </c>
      <c r="AD47" s="3" t="n">
        <v>30.659327</v>
      </c>
      <c r="AE47" s="3" t="n">
        <v>4.02895</v>
      </c>
      <c r="AF47" s="3" t="n">
        <v>0.687869</v>
      </c>
      <c r="AG47" s="3" t="n">
        <v>0</v>
      </c>
    </row>
    <row r="48" customFormat="false" ht="12.8" hidden="false" customHeight="false" outlineLevel="0" collapsed="false">
      <c r="B48" s="2" t="n">
        <v>46185.5048263889</v>
      </c>
      <c r="C48" s="3" t="n">
        <v>10.072859</v>
      </c>
      <c r="D48" s="3" t="n">
        <v>22001.300781</v>
      </c>
      <c r="E48" s="3" t="n">
        <v>14456.967773</v>
      </c>
      <c r="F48" s="3" t="n">
        <v>9617.130859</v>
      </c>
      <c r="G48" s="3" t="n">
        <v>6777.619141</v>
      </c>
      <c r="H48" s="3" t="n">
        <v>4669.280273</v>
      </c>
      <c r="I48" s="3" t="n">
        <v>3207.629639</v>
      </c>
      <c r="J48" s="3" t="n">
        <v>2286.342041</v>
      </c>
      <c r="K48" s="3" t="n">
        <v>1634.491333</v>
      </c>
      <c r="L48" s="3" t="n">
        <v>1197.276733</v>
      </c>
      <c r="M48" s="3" t="n">
        <v>911.955627</v>
      </c>
      <c r="N48" s="3" t="n">
        <v>718.465332</v>
      </c>
      <c r="O48" s="3" t="n">
        <v>572.826477</v>
      </c>
      <c r="P48" s="3" t="n">
        <v>466.00473</v>
      </c>
      <c r="Q48" s="3" t="n">
        <v>384.101471</v>
      </c>
      <c r="R48" s="3" t="n">
        <v>324.932587</v>
      </c>
      <c r="S48" s="3" t="n">
        <v>275.889893</v>
      </c>
      <c r="T48" s="3" t="n">
        <v>230.321899</v>
      </c>
      <c r="U48" s="3" t="n">
        <v>190.015564</v>
      </c>
      <c r="V48" s="3" t="n">
        <v>155.070175</v>
      </c>
      <c r="W48" s="3" t="n">
        <v>128.563309</v>
      </c>
      <c r="X48" s="3" t="n">
        <v>104.7369</v>
      </c>
      <c r="Y48" s="3" t="n">
        <v>83.193863</v>
      </c>
      <c r="Z48" s="3" t="n">
        <v>65.522614</v>
      </c>
      <c r="AA48" s="3" t="n">
        <v>53.807961</v>
      </c>
      <c r="AB48" s="3" t="n">
        <v>46.064381</v>
      </c>
      <c r="AC48" s="3" t="n">
        <v>39.809948</v>
      </c>
      <c r="AD48" s="3" t="n">
        <v>32.463474</v>
      </c>
      <c r="AE48" s="3" t="n">
        <v>5.559494</v>
      </c>
      <c r="AF48" s="3" t="n">
        <v>1.290597</v>
      </c>
      <c r="AG48" s="3" t="n">
        <v>0.099277</v>
      </c>
    </row>
    <row r="49" customFormat="false" ht="12.8" hidden="false" customHeight="false" outlineLevel="0" collapsed="false">
      <c r="B49" s="2" t="n">
        <v>46185.50625</v>
      </c>
      <c r="C49" s="3" t="n">
        <v>10.194119</v>
      </c>
      <c r="D49" s="3" t="n">
        <v>21853.382812</v>
      </c>
      <c r="E49" s="3" t="n">
        <v>14350.234375</v>
      </c>
      <c r="F49" s="3" t="n">
        <v>9551.683594</v>
      </c>
      <c r="G49" s="3" t="n">
        <v>6777.927246</v>
      </c>
      <c r="H49" s="3" t="n">
        <v>4670.928223</v>
      </c>
      <c r="I49" s="3" t="n">
        <v>3220.385986</v>
      </c>
      <c r="J49" s="3" t="n">
        <v>2287.691406</v>
      </c>
      <c r="K49" s="3" t="n">
        <v>1639.376465</v>
      </c>
      <c r="L49" s="3" t="n">
        <v>1212.561768</v>
      </c>
      <c r="M49" s="3" t="n">
        <v>926.808838</v>
      </c>
      <c r="N49" s="3" t="n">
        <v>728.949646</v>
      </c>
      <c r="O49" s="3" t="n">
        <v>589.261292</v>
      </c>
      <c r="P49" s="3" t="n">
        <v>479.786407</v>
      </c>
      <c r="Q49" s="3" t="n">
        <v>398.661224</v>
      </c>
      <c r="R49" s="3" t="n">
        <v>337.449463</v>
      </c>
      <c r="S49" s="3" t="n">
        <v>283.496765</v>
      </c>
      <c r="T49" s="3" t="n">
        <v>239.746063</v>
      </c>
      <c r="U49" s="3" t="n">
        <v>197.466782</v>
      </c>
      <c r="V49" s="3" t="n">
        <v>162.740891</v>
      </c>
      <c r="W49" s="3" t="n">
        <v>132.429291</v>
      </c>
      <c r="X49" s="3" t="n">
        <v>106.826294</v>
      </c>
      <c r="Y49" s="3" t="n">
        <v>87.207138</v>
      </c>
      <c r="Z49" s="3" t="n">
        <v>69.647995</v>
      </c>
      <c r="AA49" s="3" t="n">
        <v>55.42411</v>
      </c>
      <c r="AB49" s="3" t="n">
        <v>46.3993</v>
      </c>
      <c r="AC49" s="3" t="n">
        <v>39.630692</v>
      </c>
      <c r="AD49" s="3" t="n">
        <v>31.78303</v>
      </c>
      <c r="AE49" s="3" t="n">
        <v>5.10098</v>
      </c>
      <c r="AF49" s="3" t="n">
        <v>0.784766</v>
      </c>
      <c r="AG49" s="3" t="n">
        <v>0</v>
      </c>
    </row>
    <row r="50" customFormat="false" ht="12.8" hidden="false" customHeight="false" outlineLevel="0" collapsed="false">
      <c r="B50" s="2" t="n">
        <v>46185.507650463</v>
      </c>
      <c r="C50" s="3" t="n">
        <v>10.153531</v>
      </c>
      <c r="D50" s="3" t="n">
        <v>21326.078125</v>
      </c>
      <c r="E50" s="3" t="n">
        <v>14050.875</v>
      </c>
      <c r="F50" s="3" t="n">
        <v>9412.094727</v>
      </c>
      <c r="G50" s="3" t="n">
        <v>6666.646484</v>
      </c>
      <c r="H50" s="3" t="n">
        <v>4619.870605</v>
      </c>
      <c r="I50" s="3" t="n">
        <v>3169.734619</v>
      </c>
      <c r="J50" s="3" t="n">
        <v>2263.744385</v>
      </c>
      <c r="K50" s="3" t="n">
        <v>1610.375732</v>
      </c>
      <c r="L50" s="3" t="n">
        <v>1187.665649</v>
      </c>
      <c r="M50" s="3" t="n">
        <v>899.29303</v>
      </c>
      <c r="N50" s="3" t="n">
        <v>707.241638</v>
      </c>
      <c r="O50" s="3" t="n">
        <v>567.388794</v>
      </c>
      <c r="P50" s="3" t="n">
        <v>463.38559</v>
      </c>
      <c r="Q50" s="3" t="n">
        <v>382.625519</v>
      </c>
      <c r="R50" s="3" t="n">
        <v>319.494751</v>
      </c>
      <c r="S50" s="3" t="n">
        <v>271.82663</v>
      </c>
      <c r="T50" s="3" t="n">
        <v>229.378326</v>
      </c>
      <c r="U50" s="3" t="n">
        <v>188.111893</v>
      </c>
      <c r="V50" s="3" t="n">
        <v>154.133575</v>
      </c>
      <c r="W50" s="3" t="n">
        <v>124.193245</v>
      </c>
      <c r="X50" s="3" t="n">
        <v>101.344055</v>
      </c>
      <c r="Y50" s="3" t="n">
        <v>81.547981</v>
      </c>
      <c r="Z50" s="3" t="n">
        <v>66.479332</v>
      </c>
      <c r="AA50" s="3" t="n">
        <v>51.607662</v>
      </c>
      <c r="AB50" s="3" t="n">
        <v>43.039215</v>
      </c>
      <c r="AC50" s="3" t="n">
        <v>36.342037</v>
      </c>
      <c r="AD50" s="3" t="n">
        <v>29.546371</v>
      </c>
      <c r="AE50" s="3" t="n">
        <v>3.644053</v>
      </c>
      <c r="AF50" s="3" t="n">
        <v>0.49244</v>
      </c>
      <c r="AG50" s="3" t="n">
        <v>0</v>
      </c>
    </row>
    <row r="51" customFormat="false" ht="12.8" hidden="false" customHeight="false" outlineLevel="0" collapsed="false">
      <c r="B51" s="2" t="n">
        <v>46185.5090625</v>
      </c>
      <c r="C51" s="3" t="n">
        <v>10.099489</v>
      </c>
      <c r="D51" s="3" t="n">
        <v>21661.689453</v>
      </c>
      <c r="E51" s="3" t="n">
        <v>14202.995117</v>
      </c>
      <c r="F51" s="3" t="n">
        <v>9485.826172</v>
      </c>
      <c r="G51" s="3" t="n">
        <v>6713.507812</v>
      </c>
      <c r="H51" s="3" t="n">
        <v>4643.40332</v>
      </c>
      <c r="I51" s="3" t="n">
        <v>3192.73584</v>
      </c>
      <c r="J51" s="3" t="n">
        <v>2281.20459</v>
      </c>
      <c r="K51" s="3" t="n">
        <v>1644.835693</v>
      </c>
      <c r="L51" s="3" t="n">
        <v>1210.160156</v>
      </c>
      <c r="M51" s="3" t="n">
        <v>924.007141</v>
      </c>
      <c r="N51" s="3" t="n">
        <v>724.789124</v>
      </c>
      <c r="O51" s="3" t="n">
        <v>585.970215</v>
      </c>
      <c r="P51" s="3" t="n">
        <v>481.509491</v>
      </c>
      <c r="Q51" s="3" t="n">
        <v>395.564545</v>
      </c>
      <c r="R51" s="3" t="n">
        <v>329.521606</v>
      </c>
      <c r="S51" s="3" t="n">
        <v>279.123016</v>
      </c>
      <c r="T51" s="3" t="n">
        <v>230.803757</v>
      </c>
      <c r="U51" s="3" t="n">
        <v>189.019455</v>
      </c>
      <c r="V51" s="3" t="n">
        <v>155.651443</v>
      </c>
      <c r="W51" s="3" t="n">
        <v>125.748932</v>
      </c>
      <c r="X51" s="3" t="n">
        <v>103.074516</v>
      </c>
      <c r="Y51" s="3" t="n">
        <v>84.06366</v>
      </c>
      <c r="Z51" s="3" t="n">
        <v>66.240974</v>
      </c>
      <c r="AA51" s="3" t="n">
        <v>54.953274</v>
      </c>
      <c r="AB51" s="3" t="n">
        <v>43.566559</v>
      </c>
      <c r="AC51" s="3" t="n">
        <v>36.635517</v>
      </c>
      <c r="AD51" s="3" t="n">
        <v>28.615309</v>
      </c>
      <c r="AE51" s="3" t="n">
        <v>3.465522</v>
      </c>
      <c r="AF51" s="3" t="n">
        <v>0.594089</v>
      </c>
      <c r="AG51" s="3" t="n">
        <v>0.099015</v>
      </c>
    </row>
    <row r="52" customFormat="false" ht="12.8" hidden="false" customHeight="false" outlineLevel="0" collapsed="false">
      <c r="B52" s="2" t="n">
        <v>46185.510474537</v>
      </c>
      <c r="C52" s="3" t="n">
        <v>10.163274</v>
      </c>
      <c r="D52" s="3" t="n">
        <v>21440.630859</v>
      </c>
      <c r="E52" s="3" t="n">
        <v>14086.897461</v>
      </c>
      <c r="F52" s="3" t="n">
        <v>9399.431641</v>
      </c>
      <c r="G52" s="3" t="n">
        <v>6676.785645</v>
      </c>
      <c r="H52" s="3" t="n">
        <v>4617.508301</v>
      </c>
      <c r="I52" s="3" t="n">
        <v>3179.388916</v>
      </c>
      <c r="J52" s="3" t="n">
        <v>2265.116699</v>
      </c>
      <c r="K52" s="3" t="n">
        <v>1619.064941</v>
      </c>
      <c r="L52" s="3" t="n">
        <v>1193.808228</v>
      </c>
      <c r="M52" s="3" t="n">
        <v>908.565491</v>
      </c>
      <c r="N52" s="3" t="n">
        <v>711.876892</v>
      </c>
      <c r="O52" s="3" t="n">
        <v>565.959351</v>
      </c>
      <c r="P52" s="3" t="n">
        <v>456.644196</v>
      </c>
      <c r="Q52" s="3" t="n">
        <v>383.144257</v>
      </c>
      <c r="R52" s="3" t="n">
        <v>318.302948</v>
      </c>
      <c r="S52" s="3" t="n">
        <v>270.7789</v>
      </c>
      <c r="T52" s="3" t="n">
        <v>227.485748</v>
      </c>
      <c r="U52" s="3" t="n">
        <v>186.062088</v>
      </c>
      <c r="V52" s="3" t="n">
        <v>151.132401</v>
      </c>
      <c r="W52" s="3" t="n">
        <v>121.023994</v>
      </c>
      <c r="X52" s="3" t="n">
        <v>97.015984</v>
      </c>
      <c r="Y52" s="3" t="n">
        <v>77.534073</v>
      </c>
      <c r="Z52" s="3" t="n">
        <v>60.315212</v>
      </c>
      <c r="AA52" s="3" t="n">
        <v>47.720844</v>
      </c>
      <c r="AB52" s="3" t="n">
        <v>39.750969</v>
      </c>
      <c r="AC52" s="3" t="n">
        <v>33.060215</v>
      </c>
      <c r="AD52" s="3" t="n">
        <v>27.156603</v>
      </c>
      <c r="AE52" s="3" t="n">
        <v>4.132527</v>
      </c>
      <c r="AF52" s="3" t="n">
        <v>0.590361</v>
      </c>
      <c r="AG52" s="3" t="n">
        <v>0.196787</v>
      </c>
    </row>
    <row r="53" customFormat="false" ht="12.8" hidden="false" customHeight="false" outlineLevel="0" collapsed="false">
      <c r="B53" s="2" t="n">
        <v>46185.5118865741</v>
      </c>
      <c r="C53" s="3" t="n">
        <v>10.028913</v>
      </c>
      <c r="D53" s="3" t="n">
        <v>21775.140625</v>
      </c>
      <c r="E53" s="3" t="n">
        <v>14331.5625</v>
      </c>
      <c r="F53" s="3" t="n">
        <v>9499.733398</v>
      </c>
      <c r="G53" s="3" t="n">
        <v>6690.455566</v>
      </c>
      <c r="H53" s="3" t="n">
        <v>4640.48291</v>
      </c>
      <c r="I53" s="3" t="n">
        <v>3198.053223</v>
      </c>
      <c r="J53" s="3" t="n">
        <v>2281.702881</v>
      </c>
      <c r="K53" s="3" t="n">
        <v>1628.790649</v>
      </c>
      <c r="L53" s="3" t="n">
        <v>1207.907471</v>
      </c>
      <c r="M53" s="3" t="n">
        <v>923.729187</v>
      </c>
      <c r="N53" s="3" t="n">
        <v>725.801453</v>
      </c>
      <c r="O53" s="3" t="n">
        <v>583.213745</v>
      </c>
      <c r="P53" s="3" t="n">
        <v>473.730286</v>
      </c>
      <c r="Q53" s="3" t="n">
        <v>391.667542</v>
      </c>
      <c r="R53" s="3" t="n">
        <v>328.849182</v>
      </c>
      <c r="S53" s="3" t="n">
        <v>279.691315</v>
      </c>
      <c r="T53" s="3" t="n">
        <v>235.818161</v>
      </c>
      <c r="U53" s="3" t="n">
        <v>194.138672</v>
      </c>
      <c r="V53" s="3" t="n">
        <v>157.843613</v>
      </c>
      <c r="W53" s="3" t="n">
        <v>127.531265</v>
      </c>
      <c r="X53" s="3" t="n">
        <v>104.896706</v>
      </c>
      <c r="Y53" s="3" t="n">
        <v>84.954369</v>
      </c>
      <c r="Z53" s="3" t="n">
        <v>66.308281</v>
      </c>
      <c r="AA53" s="3" t="n">
        <v>52.548065</v>
      </c>
      <c r="AB53" s="3" t="n">
        <v>42.776318</v>
      </c>
      <c r="AC53" s="3" t="n">
        <v>34.500248</v>
      </c>
      <c r="AD53" s="3" t="n">
        <v>26.722734</v>
      </c>
      <c r="AE53" s="3" t="n">
        <v>2.991351</v>
      </c>
      <c r="AF53" s="3" t="n">
        <v>0.099712</v>
      </c>
      <c r="AG53" s="3" t="n">
        <v>0</v>
      </c>
    </row>
    <row r="54" customFormat="false" ht="12.8" hidden="false" customHeight="false" outlineLevel="0" collapsed="false">
      <c r="B54" s="2" t="n">
        <v>46185.513287037</v>
      </c>
      <c r="C54" s="3" t="n">
        <v>10.068703</v>
      </c>
      <c r="D54" s="3" t="n">
        <v>21860.314453</v>
      </c>
      <c r="E54" s="3" t="n">
        <v>14414.568359</v>
      </c>
      <c r="F54" s="3" t="n">
        <v>9558.927734</v>
      </c>
      <c r="G54" s="3" t="n">
        <v>6764.029297</v>
      </c>
      <c r="H54" s="3" t="n">
        <v>4667.830566</v>
      </c>
      <c r="I54" s="3" t="n">
        <v>3200.511719</v>
      </c>
      <c r="J54" s="3" t="n">
        <v>2284.405518</v>
      </c>
      <c r="K54" s="3" t="n">
        <v>1639.635254</v>
      </c>
      <c r="L54" s="3" t="n">
        <v>1201.843018</v>
      </c>
      <c r="M54" s="3" t="n">
        <v>916.304749</v>
      </c>
      <c r="N54" s="3" t="n">
        <v>717.967346</v>
      </c>
      <c r="O54" s="3" t="n">
        <v>575.14856</v>
      </c>
      <c r="P54" s="3" t="n">
        <v>468.481415</v>
      </c>
      <c r="Q54" s="3" t="n">
        <v>387.040924</v>
      </c>
      <c r="R54" s="3" t="n">
        <v>325.662598</v>
      </c>
      <c r="S54" s="3" t="n">
        <v>280.17511</v>
      </c>
      <c r="T54" s="3" t="n">
        <v>233.29718</v>
      </c>
      <c r="U54" s="3" t="n">
        <v>192.775574</v>
      </c>
      <c r="V54" s="3" t="n">
        <v>158.808945</v>
      </c>
      <c r="W54" s="3" t="n">
        <v>126.530701</v>
      </c>
      <c r="X54" s="3" t="n">
        <v>102.694458</v>
      </c>
      <c r="Y54" s="3" t="n">
        <v>83.228203</v>
      </c>
      <c r="Z54" s="3" t="n">
        <v>63.861256</v>
      </c>
      <c r="AA54" s="3" t="n">
        <v>52.042454</v>
      </c>
      <c r="AB54" s="3" t="n">
        <v>42.309322</v>
      </c>
      <c r="AC54" s="3" t="n">
        <v>34.661865</v>
      </c>
      <c r="AD54" s="3" t="n">
        <v>28.404852</v>
      </c>
      <c r="AE54" s="3" t="n">
        <v>3.972706</v>
      </c>
      <c r="AF54" s="3" t="n">
        <v>0.695224</v>
      </c>
      <c r="AG54" s="3" t="n">
        <v>0.099318</v>
      </c>
    </row>
    <row r="55" customFormat="false" ht="12.8" hidden="false" customHeight="false" outlineLevel="0" collapsed="false">
      <c r="B55" s="2" t="n">
        <v>46185.5146990741</v>
      </c>
      <c r="C55" s="3" t="n">
        <v>10.128601</v>
      </c>
      <c r="D55" s="3" t="n">
        <v>21814.859375</v>
      </c>
      <c r="E55" s="3" t="n">
        <v>14295.458984</v>
      </c>
      <c r="F55" s="3" t="n">
        <v>9493.414062</v>
      </c>
      <c r="G55" s="3" t="n">
        <v>6690.657227</v>
      </c>
      <c r="H55" s="3" t="n">
        <v>4596.390137</v>
      </c>
      <c r="I55" s="3" t="n">
        <v>3151.767822</v>
      </c>
      <c r="J55" s="3" t="n">
        <v>2238.117676</v>
      </c>
      <c r="K55" s="3" t="n">
        <v>1615.425415</v>
      </c>
      <c r="L55" s="3" t="n">
        <v>1182.591797</v>
      </c>
      <c r="M55" s="3" t="n">
        <v>904.073547</v>
      </c>
      <c r="N55" s="3" t="n">
        <v>713.030334</v>
      </c>
      <c r="O55" s="3" t="n">
        <v>569.377747</v>
      </c>
      <c r="P55" s="3" t="n">
        <v>465.315979</v>
      </c>
      <c r="Q55" s="3" t="n">
        <v>379.716797</v>
      </c>
      <c r="R55" s="3" t="n">
        <v>321.663361</v>
      </c>
      <c r="S55" s="3" t="n">
        <v>273.877899</v>
      </c>
      <c r="T55" s="3" t="n">
        <v>232.312439</v>
      </c>
      <c r="U55" s="3" t="n">
        <v>189.364746</v>
      </c>
      <c r="V55" s="3" t="n">
        <v>156.586288</v>
      </c>
      <c r="W55" s="3" t="n">
        <v>124.4002</v>
      </c>
      <c r="X55" s="3" t="n">
        <v>101.69223</v>
      </c>
      <c r="Y55" s="3" t="n">
        <v>83.130928</v>
      </c>
      <c r="Z55" s="3" t="n">
        <v>67.630264</v>
      </c>
      <c r="AA55" s="3" t="n">
        <v>54.795326</v>
      </c>
      <c r="AB55" s="3" t="n">
        <v>44.527374</v>
      </c>
      <c r="AC55" s="3" t="n">
        <v>36.135296</v>
      </c>
      <c r="AD55" s="3" t="n">
        <v>29.717825</v>
      </c>
      <c r="AE55" s="3" t="n">
        <v>4.344134</v>
      </c>
      <c r="AF55" s="3" t="n">
        <v>0.394921</v>
      </c>
      <c r="AG55" s="3" t="n">
        <v>0</v>
      </c>
    </row>
    <row r="56" customFormat="false" ht="12.8" hidden="false" customHeight="false" outlineLevel="0" collapsed="false">
      <c r="B56" s="2" t="n">
        <v>46185.5161111111</v>
      </c>
      <c r="C56" s="3" t="n">
        <v>10.152562</v>
      </c>
      <c r="D56" s="3" t="n">
        <v>21833.996094</v>
      </c>
      <c r="E56" s="3" t="n">
        <v>14354.40625</v>
      </c>
      <c r="F56" s="3" t="n">
        <v>9518.484375</v>
      </c>
      <c r="G56" s="3" t="n">
        <v>6737.806641</v>
      </c>
      <c r="H56" s="3" t="n">
        <v>4644.049316</v>
      </c>
      <c r="I56" s="3" t="n">
        <v>3163.043945</v>
      </c>
      <c r="J56" s="3" t="n">
        <v>2269.476318</v>
      </c>
      <c r="K56" s="3" t="n">
        <v>1623.038574</v>
      </c>
      <c r="L56" s="3" t="n">
        <v>1200.091187</v>
      </c>
      <c r="M56" s="3" t="n">
        <v>914.054993</v>
      </c>
      <c r="N56" s="3" t="n">
        <v>724.546143</v>
      </c>
      <c r="O56" s="3" t="n">
        <v>576.110718</v>
      </c>
      <c r="P56" s="3" t="n">
        <v>475.544983</v>
      </c>
      <c r="Q56" s="3" t="n">
        <v>393.102753</v>
      </c>
      <c r="R56" s="3" t="n">
        <v>332.132904</v>
      </c>
      <c r="S56" s="3" t="n">
        <v>282.687256</v>
      </c>
      <c r="T56" s="3" t="n">
        <v>237.772491</v>
      </c>
      <c r="U56" s="3" t="n">
        <v>196.009628</v>
      </c>
      <c r="V56" s="3" t="n">
        <v>158.482162</v>
      </c>
      <c r="W56" s="3" t="n">
        <v>127.947998</v>
      </c>
      <c r="X56" s="3" t="n">
        <v>102.240204</v>
      </c>
      <c r="Y56" s="3" t="n">
        <v>81.752762</v>
      </c>
      <c r="Z56" s="3" t="n">
        <v>64.318741</v>
      </c>
      <c r="AA56" s="3" t="n">
        <v>51.711086</v>
      </c>
      <c r="AB56" s="3" t="n">
        <v>43.634304</v>
      </c>
      <c r="AC56" s="3" t="n">
        <v>37.034985</v>
      </c>
      <c r="AD56" s="3" t="n">
        <v>29.056705</v>
      </c>
      <c r="AE56" s="3" t="n">
        <v>3.742898</v>
      </c>
      <c r="AF56" s="3" t="n">
        <v>0.590984</v>
      </c>
      <c r="AG56" s="3" t="n">
        <v>0.098497</v>
      </c>
    </row>
    <row r="57" customFormat="false" ht="12.8" hidden="false" customHeight="false" outlineLevel="0" collapsed="false">
      <c r="B57" s="2" t="n">
        <v>46185.5175115741</v>
      </c>
      <c r="C57" s="3" t="n">
        <v>10.035506</v>
      </c>
      <c r="D57" s="3" t="n">
        <v>21994.505859</v>
      </c>
      <c r="E57" s="3" t="n">
        <v>14452.982422</v>
      </c>
      <c r="F57" s="3" t="n">
        <v>9599.316406</v>
      </c>
      <c r="G57" s="3" t="n">
        <v>6770.859375</v>
      </c>
      <c r="H57" s="3" t="n">
        <v>4671.114746</v>
      </c>
      <c r="I57" s="3" t="n">
        <v>3198.543213</v>
      </c>
      <c r="J57" s="3" t="n">
        <v>2266.651855</v>
      </c>
      <c r="K57" s="3" t="n">
        <v>1627.82019</v>
      </c>
      <c r="L57" s="3" t="n">
        <v>1193.362793</v>
      </c>
      <c r="M57" s="3" t="n">
        <v>907.378235</v>
      </c>
      <c r="N57" s="3" t="n">
        <v>708.285156</v>
      </c>
      <c r="O57" s="3" t="n">
        <v>570.275146</v>
      </c>
      <c r="P57" s="3" t="n">
        <v>465.845947</v>
      </c>
      <c r="Q57" s="3" t="n">
        <v>383.737488</v>
      </c>
      <c r="R57" s="3" t="n">
        <v>324.746948</v>
      </c>
      <c r="S57" s="3" t="n">
        <v>276.717468</v>
      </c>
      <c r="T57" s="3" t="n">
        <v>234.268204</v>
      </c>
      <c r="U57" s="3" t="n">
        <v>188.729889</v>
      </c>
      <c r="V57" s="3" t="n">
        <v>155.149124</v>
      </c>
      <c r="W57" s="3" t="n">
        <v>127.447479</v>
      </c>
      <c r="X57" s="3" t="n">
        <v>98.749374</v>
      </c>
      <c r="Y57" s="3" t="n">
        <v>79.418015</v>
      </c>
      <c r="Z57" s="3" t="n">
        <v>64.67038</v>
      </c>
      <c r="AA57" s="3" t="n">
        <v>51.716373</v>
      </c>
      <c r="AB57" s="3" t="n">
        <v>41.353172</v>
      </c>
      <c r="AC57" s="3" t="n">
        <v>34.676876</v>
      </c>
      <c r="AD57" s="3" t="n">
        <v>27.801289</v>
      </c>
      <c r="AE57" s="3" t="n">
        <v>4.484079</v>
      </c>
      <c r="AF57" s="3" t="n">
        <v>0.697523</v>
      </c>
      <c r="AG57" s="3" t="n">
        <v>0</v>
      </c>
    </row>
    <row r="58" customFormat="false" ht="12.8" hidden="false" customHeight="false" outlineLevel="0" collapsed="false">
      <c r="B58" s="2" t="n">
        <v>46185.5189236111</v>
      </c>
      <c r="C58" s="3" t="n">
        <v>10.066354</v>
      </c>
      <c r="D58" s="3" t="n">
        <v>21566.994141</v>
      </c>
      <c r="E58" s="3" t="n">
        <v>14204.249023</v>
      </c>
      <c r="F58" s="3" t="n">
        <v>9414.431641</v>
      </c>
      <c r="G58" s="3" t="n">
        <v>6677.492188</v>
      </c>
      <c r="H58" s="3" t="n">
        <v>4607.825195</v>
      </c>
      <c r="I58" s="3" t="n">
        <v>3141.852539</v>
      </c>
      <c r="J58" s="3" t="n">
        <v>2240.831299</v>
      </c>
      <c r="K58" s="3" t="n">
        <v>1607.036743</v>
      </c>
      <c r="L58" s="3" t="n">
        <v>1174.705444</v>
      </c>
      <c r="M58" s="3" t="n">
        <v>900.922058</v>
      </c>
      <c r="N58" s="3" t="n">
        <v>723.499329</v>
      </c>
      <c r="O58" s="3" t="n">
        <v>578.263</v>
      </c>
      <c r="P58" s="3" t="n">
        <v>470.378845</v>
      </c>
      <c r="Q58" s="3" t="n">
        <v>390.608154</v>
      </c>
      <c r="R58" s="3" t="n">
        <v>327.427399</v>
      </c>
      <c r="S58" s="3" t="n">
        <v>277.061584</v>
      </c>
      <c r="T58" s="3" t="n">
        <v>231.066788</v>
      </c>
      <c r="U58" s="3" t="n">
        <v>190.734406</v>
      </c>
      <c r="V58" s="3" t="n">
        <v>155.468414</v>
      </c>
      <c r="W58" s="3" t="n">
        <v>127.454292</v>
      </c>
      <c r="X58" s="3" t="n">
        <v>105.897331</v>
      </c>
      <c r="Y58" s="3" t="n">
        <v>86.426529</v>
      </c>
      <c r="Z58" s="3" t="n">
        <v>69.339905</v>
      </c>
      <c r="AA58" s="3" t="n">
        <v>55.630867</v>
      </c>
      <c r="AB58" s="3" t="n">
        <v>44.802715</v>
      </c>
      <c r="AC58" s="3" t="n">
        <v>36.458088</v>
      </c>
      <c r="AD58" s="3" t="n">
        <v>29.702909</v>
      </c>
      <c r="AE58" s="3" t="n">
        <v>3.874293</v>
      </c>
      <c r="AF58" s="3" t="n">
        <v>0.695386</v>
      </c>
      <c r="AG58" s="3" t="n">
        <v>0</v>
      </c>
    </row>
    <row r="59" customFormat="false" ht="12.8" hidden="false" customHeight="false" outlineLevel="0" collapsed="false">
      <c r="B59" s="2" t="n">
        <v>46185.5203356482</v>
      </c>
      <c r="C59" s="3" t="n">
        <v>10.021994</v>
      </c>
      <c r="D59" s="3" t="n">
        <v>21788.378906</v>
      </c>
      <c r="E59" s="3" t="n">
        <v>14310.226562</v>
      </c>
      <c r="F59" s="3" t="n">
        <v>9516.070312</v>
      </c>
      <c r="G59" s="3" t="n">
        <v>6742.969727</v>
      </c>
      <c r="H59" s="3" t="n">
        <v>4649.773438</v>
      </c>
      <c r="I59" s="3" t="n">
        <v>3206.747314</v>
      </c>
      <c r="J59" s="3" t="n">
        <v>2277.59082</v>
      </c>
      <c r="K59" s="3" t="n">
        <v>1633.208008</v>
      </c>
      <c r="L59" s="3" t="n">
        <v>1196.069458</v>
      </c>
      <c r="M59" s="3" t="n">
        <v>910.59729</v>
      </c>
      <c r="N59" s="3" t="n">
        <v>712.732422</v>
      </c>
      <c r="O59" s="3" t="n">
        <v>566.753479</v>
      </c>
      <c r="P59" s="3" t="n">
        <v>464.378662</v>
      </c>
      <c r="Q59" s="3" t="n">
        <v>384.055328</v>
      </c>
      <c r="R59" s="3" t="n">
        <v>322.690277</v>
      </c>
      <c r="S59" s="3" t="n">
        <v>273.897614</v>
      </c>
      <c r="T59" s="3" t="n">
        <v>230.493057</v>
      </c>
      <c r="U59" s="3" t="n">
        <v>192.376892</v>
      </c>
      <c r="V59" s="3" t="n">
        <v>159.249756</v>
      </c>
      <c r="W59" s="3" t="n">
        <v>130.512955</v>
      </c>
      <c r="X59" s="3" t="n">
        <v>104.869354</v>
      </c>
      <c r="Y59" s="3" t="n">
        <v>83.715881</v>
      </c>
      <c r="Z59" s="3" t="n">
        <v>66.753189</v>
      </c>
      <c r="AA59" s="3" t="n">
        <v>54.97908</v>
      </c>
      <c r="AB59" s="3" t="n">
        <v>43.404537</v>
      </c>
      <c r="AC59" s="3" t="n">
        <v>37.417706</v>
      </c>
      <c r="AD59" s="3" t="n">
        <v>29.634823</v>
      </c>
      <c r="AE59" s="3" t="n">
        <v>3.991222</v>
      </c>
      <c r="AF59" s="3" t="n">
        <v>0.399122</v>
      </c>
      <c r="AG59" s="3" t="n">
        <v>0.099781</v>
      </c>
    </row>
    <row r="60" customFormat="false" ht="12.8" hidden="false" customHeight="false" outlineLevel="0" collapsed="false">
      <c r="B60" s="2" t="n">
        <v>46185.5217361111</v>
      </c>
      <c r="C60" s="3" t="n">
        <v>10.068234</v>
      </c>
      <c r="D60" s="3" t="n">
        <v>21406.632812</v>
      </c>
      <c r="E60" s="3" t="n">
        <v>14151.338867</v>
      </c>
      <c r="F60" s="3" t="n">
        <v>9418.930664</v>
      </c>
      <c r="G60" s="3" t="n">
        <v>6662.439453</v>
      </c>
      <c r="H60" s="3" t="n">
        <v>4603.885742</v>
      </c>
      <c r="I60" s="3" t="n">
        <v>3166.791504</v>
      </c>
      <c r="J60" s="3" t="n">
        <v>2262.95874</v>
      </c>
      <c r="K60" s="3" t="n">
        <v>1627.395508</v>
      </c>
      <c r="L60" s="3" t="n">
        <v>1189.285034</v>
      </c>
      <c r="M60" s="3" t="n">
        <v>905.819214</v>
      </c>
      <c r="N60" s="3" t="n">
        <v>711.246826</v>
      </c>
      <c r="O60" s="3" t="n">
        <v>571.897705</v>
      </c>
      <c r="P60" s="3" t="n">
        <v>466.914032</v>
      </c>
      <c r="Q60" s="3" t="n">
        <v>387.853516</v>
      </c>
      <c r="R60" s="3" t="n">
        <v>325.081818</v>
      </c>
      <c r="S60" s="3" t="n">
        <v>277.009827</v>
      </c>
      <c r="T60" s="3" t="n">
        <v>232.712097</v>
      </c>
      <c r="U60" s="3" t="n">
        <v>190.698776</v>
      </c>
      <c r="V60" s="3" t="n">
        <v>156.631241</v>
      </c>
      <c r="W60" s="3" t="n">
        <v>125.642685</v>
      </c>
      <c r="X60" s="3" t="n">
        <v>100.315506</v>
      </c>
      <c r="Y60" s="3" t="n">
        <v>80.053757</v>
      </c>
      <c r="Z60" s="3" t="n">
        <v>65.652023</v>
      </c>
      <c r="AA60" s="3" t="n">
        <v>54.031319</v>
      </c>
      <c r="AB60" s="3" t="n">
        <v>43.900448</v>
      </c>
      <c r="AC60" s="3" t="n">
        <v>35.160088</v>
      </c>
      <c r="AD60" s="3" t="n">
        <v>28.604816</v>
      </c>
      <c r="AE60" s="3" t="n">
        <v>3.873569</v>
      </c>
      <c r="AF60" s="3" t="n">
        <v>0.297967</v>
      </c>
      <c r="AG60" s="3" t="n">
        <v>0.099322</v>
      </c>
    </row>
    <row r="61" customFormat="false" ht="12.8" hidden="false" customHeight="false" outlineLevel="0" collapsed="false">
      <c r="B61" s="2" t="n">
        <v>46185.5231481481</v>
      </c>
      <c r="C61" s="3" t="n">
        <v>10.072055</v>
      </c>
      <c r="D61" s="3" t="n">
        <v>21329.113281</v>
      </c>
      <c r="E61" s="3" t="n">
        <v>14062.076172</v>
      </c>
      <c r="F61" s="3" t="n">
        <v>9355.489258</v>
      </c>
      <c r="G61" s="3" t="n">
        <v>6603.716797</v>
      </c>
      <c r="H61" s="3" t="n">
        <v>4567.290527</v>
      </c>
      <c r="I61" s="3" t="n">
        <v>3173.632324</v>
      </c>
      <c r="J61" s="3" t="n">
        <v>2252.866943</v>
      </c>
      <c r="K61" s="3" t="n">
        <v>1616.750488</v>
      </c>
      <c r="L61" s="3" t="n">
        <v>1191.415283</v>
      </c>
      <c r="M61" s="3" t="n">
        <v>908.057007</v>
      </c>
      <c r="N61" s="3" t="n">
        <v>718.224854</v>
      </c>
      <c r="O61" s="3" t="n">
        <v>581.509949</v>
      </c>
      <c r="P61" s="3" t="n">
        <v>475.275421</v>
      </c>
      <c r="Q61" s="3" t="n">
        <v>395.351288</v>
      </c>
      <c r="R61" s="3" t="n">
        <v>329.426331</v>
      </c>
      <c r="S61" s="3" t="n">
        <v>276.606903</v>
      </c>
      <c r="T61" s="3" t="n">
        <v>233.616684</v>
      </c>
      <c r="U61" s="3" t="n">
        <v>194.49855</v>
      </c>
      <c r="V61" s="3" t="n">
        <v>162.628189</v>
      </c>
      <c r="W61" s="3" t="n">
        <v>132.644241</v>
      </c>
      <c r="X61" s="3" t="n">
        <v>107.32666</v>
      </c>
      <c r="Y61" s="3" t="n">
        <v>86.377609</v>
      </c>
      <c r="Z61" s="3" t="n">
        <v>69.896362</v>
      </c>
      <c r="AA61" s="3" t="n">
        <v>57.386501</v>
      </c>
      <c r="AB61" s="3" t="n">
        <v>46.862335</v>
      </c>
      <c r="AC61" s="3" t="n">
        <v>39.614559</v>
      </c>
      <c r="AD61" s="3" t="n">
        <v>32.863205</v>
      </c>
      <c r="AE61" s="3" t="n">
        <v>3.67353</v>
      </c>
      <c r="AF61" s="3" t="n">
        <v>0.595708</v>
      </c>
      <c r="AG61" s="3" t="n">
        <v>0</v>
      </c>
    </row>
    <row r="62" customFormat="false" ht="12.8" hidden="false" customHeight="false" outlineLevel="0" collapsed="false">
      <c r="B62" s="2" t="n">
        <v>46185.5245486111</v>
      </c>
      <c r="C62" s="3" t="n">
        <v>10.039492</v>
      </c>
      <c r="D62" s="3" t="n">
        <v>21384.548828</v>
      </c>
      <c r="E62" s="3" t="n">
        <v>14053.5</v>
      </c>
      <c r="F62" s="3" t="n">
        <v>9354.557617</v>
      </c>
      <c r="G62" s="3" t="n">
        <v>6615.773438</v>
      </c>
      <c r="H62" s="3" t="n">
        <v>4575.530273</v>
      </c>
      <c r="I62" s="3" t="n">
        <v>3160.319336</v>
      </c>
      <c r="J62" s="3" t="n">
        <v>2266.449463</v>
      </c>
      <c r="K62" s="3" t="n">
        <v>1626.576416</v>
      </c>
      <c r="L62" s="3" t="n">
        <v>1198.168213</v>
      </c>
      <c r="M62" s="3" t="n">
        <v>915.982605</v>
      </c>
      <c r="N62" s="3" t="n">
        <v>728.722168</v>
      </c>
      <c r="O62" s="3" t="n">
        <v>581.50354</v>
      </c>
      <c r="P62" s="3" t="n">
        <v>473.629547</v>
      </c>
      <c r="Q62" s="3" t="n">
        <v>395.936371</v>
      </c>
      <c r="R62" s="3" t="n">
        <v>334.080658</v>
      </c>
      <c r="S62" s="3" t="n">
        <v>282.783234</v>
      </c>
      <c r="T62" s="3" t="n">
        <v>241.944519</v>
      </c>
      <c r="U62" s="3" t="n">
        <v>199.910522</v>
      </c>
      <c r="V62" s="3" t="n">
        <v>166.143875</v>
      </c>
      <c r="W62" s="3" t="n">
        <v>136.261887</v>
      </c>
      <c r="X62" s="3" t="n">
        <v>109.666908</v>
      </c>
      <c r="Y62" s="3" t="n">
        <v>85.960526</v>
      </c>
      <c r="Z62" s="3" t="n">
        <v>69.525429</v>
      </c>
      <c r="AA62" s="3" t="n">
        <v>55.680111</v>
      </c>
      <c r="AB62" s="3" t="n">
        <v>45.121807</v>
      </c>
      <c r="AC62" s="3" t="n">
        <v>36.954063</v>
      </c>
      <c r="AD62" s="3" t="n">
        <v>28.686712</v>
      </c>
      <c r="AE62" s="3" t="n">
        <v>3.884659</v>
      </c>
      <c r="AF62" s="3" t="n">
        <v>0.796853</v>
      </c>
      <c r="AG62" s="3" t="n">
        <v>0</v>
      </c>
    </row>
    <row r="63" customFormat="false" ht="12.8" hidden="false" customHeight="false" outlineLevel="0" collapsed="false">
      <c r="B63" s="2" t="n">
        <v>46185.5259606482</v>
      </c>
      <c r="C63" s="3" t="n">
        <v>10.096044</v>
      </c>
      <c r="D63" s="3" t="n">
        <v>21447.412109</v>
      </c>
      <c r="E63" s="3" t="n">
        <v>14124.542969</v>
      </c>
      <c r="F63" s="3" t="n">
        <v>9409.230469</v>
      </c>
      <c r="G63" s="3" t="n">
        <v>6670.831055</v>
      </c>
      <c r="H63" s="3" t="n">
        <v>4616.957031</v>
      </c>
      <c r="I63" s="3" t="n">
        <v>3181.840576</v>
      </c>
      <c r="J63" s="3" t="n">
        <v>2271.186768</v>
      </c>
      <c r="K63" s="3" t="n">
        <v>1632.124512</v>
      </c>
      <c r="L63" s="3" t="n">
        <v>1199.875977</v>
      </c>
      <c r="M63" s="3" t="n">
        <v>913.129944</v>
      </c>
      <c r="N63" s="3" t="n">
        <v>717.01355</v>
      </c>
      <c r="O63" s="3" t="n">
        <v>574.482483</v>
      </c>
      <c r="P63" s="3" t="n">
        <v>465.925079</v>
      </c>
      <c r="Q63" s="3" t="n">
        <v>385.992798</v>
      </c>
      <c r="R63" s="3" t="n">
        <v>324.483551</v>
      </c>
      <c r="S63" s="3" t="n">
        <v>273.57251</v>
      </c>
      <c r="T63" s="3" t="n">
        <v>231.773956</v>
      </c>
      <c r="U63" s="3" t="n">
        <v>192.550674</v>
      </c>
      <c r="V63" s="3" t="n">
        <v>156.397903</v>
      </c>
      <c r="W63" s="3" t="n">
        <v>124.999458</v>
      </c>
      <c r="X63" s="3" t="n">
        <v>102.614456</v>
      </c>
      <c r="Y63" s="3" t="n">
        <v>82.507568</v>
      </c>
      <c r="Z63" s="3" t="n">
        <v>66.758827</v>
      </c>
      <c r="AA63" s="3" t="n">
        <v>54.872982</v>
      </c>
      <c r="AB63" s="3" t="n">
        <v>44.17572</v>
      </c>
      <c r="AC63" s="3" t="n">
        <v>37.143261</v>
      </c>
      <c r="AD63" s="3" t="n">
        <v>29.516512</v>
      </c>
      <c r="AE63" s="3" t="n">
        <v>4.358143</v>
      </c>
      <c r="AF63" s="3" t="n">
        <v>0.495243</v>
      </c>
      <c r="AG63" s="3" t="n">
        <v>0.099049</v>
      </c>
    </row>
    <row r="64" customFormat="false" ht="12.8" hidden="false" customHeight="false" outlineLevel="0" collapsed="false">
      <c r="B64" s="2" t="n">
        <v>46185.5273726852</v>
      </c>
      <c r="C64" s="3" t="n">
        <v>10.052601</v>
      </c>
      <c r="D64" s="3" t="n">
        <v>22469.607422</v>
      </c>
      <c r="E64" s="3" t="n">
        <v>14584.881836</v>
      </c>
      <c r="F64" s="3" t="n">
        <v>9602.191406</v>
      </c>
      <c r="G64" s="3" t="n">
        <v>6788.889648</v>
      </c>
      <c r="H64" s="3" t="n">
        <v>4683.563965</v>
      </c>
      <c r="I64" s="3" t="n">
        <v>3191.412842</v>
      </c>
      <c r="J64" s="3" t="n">
        <v>2259.017334</v>
      </c>
      <c r="K64" s="3" t="n">
        <v>1634.402954</v>
      </c>
      <c r="L64" s="3" t="n">
        <v>1192.029785</v>
      </c>
      <c r="M64" s="3" t="n">
        <v>905.536804</v>
      </c>
      <c r="N64" s="3" t="n">
        <v>714.342468</v>
      </c>
      <c r="O64" s="3" t="n">
        <v>564.331543</v>
      </c>
      <c r="P64" s="3" t="n">
        <v>458.488312</v>
      </c>
      <c r="Q64" s="3" t="n">
        <v>379.603241</v>
      </c>
      <c r="R64" s="3" t="n">
        <v>319.41983</v>
      </c>
      <c r="S64" s="3" t="n">
        <v>271.273071</v>
      </c>
      <c r="T64" s="3" t="n">
        <v>227.801743</v>
      </c>
      <c r="U64" s="3" t="n">
        <v>188.110519</v>
      </c>
      <c r="V64" s="3" t="n">
        <v>153.890518</v>
      </c>
      <c r="W64" s="3" t="n">
        <v>123.64959</v>
      </c>
      <c r="X64" s="3" t="n">
        <v>98.780403</v>
      </c>
      <c r="Y64" s="3" t="n">
        <v>76.000229</v>
      </c>
      <c r="Z64" s="3" t="n">
        <v>61.277676</v>
      </c>
      <c r="AA64" s="3" t="n">
        <v>50.335232</v>
      </c>
      <c r="AB64" s="3" t="n">
        <v>40.089127</v>
      </c>
      <c r="AC64" s="3" t="n">
        <v>32.031513</v>
      </c>
      <c r="AD64" s="3" t="n">
        <v>26.162384</v>
      </c>
      <c r="AE64" s="3" t="n">
        <v>3.68064</v>
      </c>
      <c r="AF64" s="3" t="n">
        <v>0.497384</v>
      </c>
      <c r="AG64" s="3" t="n">
        <v>0</v>
      </c>
    </row>
    <row r="65" customFormat="false" ht="12.8" hidden="false" customHeight="false" outlineLevel="0" collapsed="false">
      <c r="B65" s="2" t="n">
        <v>46185.5287731482</v>
      </c>
      <c r="C65" s="3" t="n">
        <v>10.088013</v>
      </c>
      <c r="D65" s="3" t="n">
        <v>22149.357422</v>
      </c>
      <c r="E65" s="3" t="n">
        <v>14435.648438</v>
      </c>
      <c r="F65" s="3" t="n">
        <v>9552.228516</v>
      </c>
      <c r="G65" s="3" t="n">
        <v>6750.586426</v>
      </c>
      <c r="H65" s="3" t="n">
        <v>4655.525391</v>
      </c>
      <c r="I65" s="3" t="n">
        <v>3205.784912</v>
      </c>
      <c r="J65" s="3" t="n">
        <v>2273.292236</v>
      </c>
      <c r="K65" s="3" t="n">
        <v>1623.610229</v>
      </c>
      <c r="L65" s="3" t="n">
        <v>1188.83667</v>
      </c>
      <c r="M65" s="3" t="n">
        <v>905.530212</v>
      </c>
      <c r="N65" s="3" t="n">
        <v>712.033203</v>
      </c>
      <c r="O65" s="3" t="n">
        <v>567.703491</v>
      </c>
      <c r="P65" s="3" t="n">
        <v>461.636993</v>
      </c>
      <c r="Q65" s="3" t="n">
        <v>382.632355</v>
      </c>
      <c r="R65" s="3" t="n">
        <v>319.587219</v>
      </c>
      <c r="S65" s="3" t="n">
        <v>269.626953</v>
      </c>
      <c r="T65" s="3" t="n">
        <v>226.10994</v>
      </c>
      <c r="U65" s="3" t="n">
        <v>187.747589</v>
      </c>
      <c r="V65" s="3" t="n">
        <v>152.557297</v>
      </c>
      <c r="W65" s="3" t="n">
        <v>124.305946</v>
      </c>
      <c r="X65" s="3" t="n">
        <v>102.795273</v>
      </c>
      <c r="Y65" s="3" t="n">
        <v>83.068886</v>
      </c>
      <c r="Z65" s="3" t="n">
        <v>64.928543</v>
      </c>
      <c r="AA65" s="3" t="n">
        <v>50.753307</v>
      </c>
      <c r="AB65" s="3" t="n">
        <v>40.642296</v>
      </c>
      <c r="AC65" s="3" t="n">
        <v>34.992027</v>
      </c>
      <c r="AD65" s="3" t="n">
        <v>27.061821</v>
      </c>
      <c r="AE65" s="3" t="n">
        <v>3.370337</v>
      </c>
      <c r="AF65" s="3" t="n">
        <v>0.495638</v>
      </c>
      <c r="AG65" s="3" t="n">
        <v>0.099128</v>
      </c>
    </row>
    <row r="66" customFormat="false" ht="12.8" hidden="false" customHeight="false" outlineLevel="0" collapsed="false">
      <c r="B66" s="2" t="n">
        <v>46185.5301851852</v>
      </c>
      <c r="C66" s="3" t="n">
        <v>9.963431</v>
      </c>
      <c r="D66" s="3" t="n">
        <v>21632.205078</v>
      </c>
      <c r="E66" s="3" t="n">
        <v>14239.271484</v>
      </c>
      <c r="F66" s="3" t="n">
        <v>9444.938477</v>
      </c>
      <c r="G66" s="3" t="n">
        <v>6711.442871</v>
      </c>
      <c r="H66" s="3" t="n">
        <v>4655.625</v>
      </c>
      <c r="I66" s="3" t="n">
        <v>3215.960449</v>
      </c>
      <c r="J66" s="3" t="n">
        <v>2299.9104</v>
      </c>
      <c r="K66" s="3" t="n">
        <v>1650.033936</v>
      </c>
      <c r="L66" s="3" t="n">
        <v>1206.311279</v>
      </c>
      <c r="M66" s="3" t="n">
        <v>916.150208</v>
      </c>
      <c r="N66" s="3" t="n">
        <v>716.620605</v>
      </c>
      <c r="O66" s="3" t="n">
        <v>573.798279</v>
      </c>
      <c r="P66" s="3" t="n">
        <v>460.58429</v>
      </c>
      <c r="Q66" s="3" t="n">
        <v>378.584442</v>
      </c>
      <c r="R66" s="3" t="n">
        <v>315.754669</v>
      </c>
      <c r="S66" s="3" t="n">
        <v>266.17337</v>
      </c>
      <c r="T66" s="3" t="n">
        <v>225.725449</v>
      </c>
      <c r="U66" s="3" t="n">
        <v>189.894424</v>
      </c>
      <c r="V66" s="3" t="n">
        <v>155.267792</v>
      </c>
      <c r="W66" s="3" t="n">
        <v>125.659523</v>
      </c>
      <c r="X66" s="3" t="n">
        <v>102.374367</v>
      </c>
      <c r="Y66" s="3" t="n">
        <v>80.795456</v>
      </c>
      <c r="Z66" s="3" t="n">
        <v>63.933796</v>
      </c>
      <c r="AA66" s="3" t="n">
        <v>50.384247</v>
      </c>
      <c r="AB66" s="3" t="n">
        <v>41.551949</v>
      </c>
      <c r="AC66" s="3" t="n">
        <v>34.526257</v>
      </c>
      <c r="AD66" s="3" t="n">
        <v>28.002401</v>
      </c>
      <c r="AE66" s="3" t="n">
        <v>3.211745</v>
      </c>
      <c r="AF66" s="3" t="n">
        <v>0.401468</v>
      </c>
      <c r="AG66" s="3" t="n">
        <v>0</v>
      </c>
    </row>
    <row r="67" customFormat="false" ht="12.8" hidden="false" customHeight="false" outlineLevel="0" collapsed="false">
      <c r="B67" s="2" t="n">
        <v>46185.5315972222</v>
      </c>
      <c r="C67" s="3" t="n">
        <v>10.103598</v>
      </c>
      <c r="D67" s="3" t="n">
        <v>21753.242188</v>
      </c>
      <c r="E67" s="3" t="n">
        <v>14358.450195</v>
      </c>
      <c r="F67" s="3" t="n">
        <v>9546.005859</v>
      </c>
      <c r="G67" s="3" t="n">
        <v>6751.951172</v>
      </c>
      <c r="H67" s="3" t="n">
        <v>4668.436035</v>
      </c>
      <c r="I67" s="3" t="n">
        <v>3237.955566</v>
      </c>
      <c r="J67" s="3" t="n">
        <v>2320.262695</v>
      </c>
      <c r="K67" s="3" t="n">
        <v>1670.988892</v>
      </c>
      <c r="L67" s="3" t="n">
        <v>1223.623535</v>
      </c>
      <c r="M67" s="3" t="n">
        <v>932.04425</v>
      </c>
      <c r="N67" s="3" t="n">
        <v>731.620605</v>
      </c>
      <c r="O67" s="3" t="n">
        <v>587.711426</v>
      </c>
      <c r="P67" s="3" t="n">
        <v>476.463959</v>
      </c>
      <c r="Q67" s="3" t="n">
        <v>392.533447</v>
      </c>
      <c r="R67" s="3" t="n">
        <v>332.257874</v>
      </c>
      <c r="S67" s="3" t="n">
        <v>282.077728</v>
      </c>
      <c r="T67" s="3" t="n">
        <v>234.569916</v>
      </c>
      <c r="U67" s="3" t="n">
        <v>195.672882</v>
      </c>
      <c r="V67" s="3" t="n">
        <v>162.615341</v>
      </c>
      <c r="W67" s="3" t="n">
        <v>133.615768</v>
      </c>
      <c r="X67" s="3" t="n">
        <v>107.486465</v>
      </c>
      <c r="Y67" s="3" t="n">
        <v>86.899742</v>
      </c>
      <c r="Z67" s="3" t="n">
        <v>69.777122</v>
      </c>
      <c r="AA67" s="3" t="n">
        <v>55.920673</v>
      </c>
      <c r="AB67" s="3" t="n">
        <v>45.033463</v>
      </c>
      <c r="AC67" s="3" t="n">
        <v>37.709339</v>
      </c>
      <c r="AD67" s="3" t="n">
        <v>29.692394</v>
      </c>
      <c r="AE67" s="3" t="n">
        <v>2.870265</v>
      </c>
      <c r="AF67" s="3" t="n">
        <v>0.395899</v>
      </c>
      <c r="AG67" s="3" t="n">
        <v>0.098975</v>
      </c>
    </row>
    <row r="68" customFormat="false" ht="12.8" hidden="false" customHeight="false" outlineLevel="0" collapsed="false">
      <c r="B68" s="2" t="n">
        <v>46185.5329976852</v>
      </c>
      <c r="C68" s="3" t="n">
        <v>10.025001</v>
      </c>
      <c r="D68" s="3" t="n">
        <v>21790.322266</v>
      </c>
      <c r="E68" s="3" t="n">
        <v>14331.371094</v>
      </c>
      <c r="F68" s="3" t="n">
        <v>9498.453125</v>
      </c>
      <c r="G68" s="3" t="n">
        <v>6706.83252</v>
      </c>
      <c r="H68" s="3" t="n">
        <v>4642.792969</v>
      </c>
      <c r="I68" s="3" t="n">
        <v>3206.982422</v>
      </c>
      <c r="J68" s="3" t="n">
        <v>2291.770508</v>
      </c>
      <c r="K68" s="3" t="n">
        <v>1648.47876</v>
      </c>
      <c r="L68" s="3" t="n">
        <v>1201.895142</v>
      </c>
      <c r="M68" s="3" t="n">
        <v>924.388977</v>
      </c>
      <c r="N68" s="3" t="n">
        <v>734.66333</v>
      </c>
      <c r="O68" s="3" t="n">
        <v>587.531128</v>
      </c>
      <c r="P68" s="3" t="n">
        <v>480.897736</v>
      </c>
      <c r="Q68" s="3" t="n">
        <v>394.713196</v>
      </c>
      <c r="R68" s="3" t="n">
        <v>325.68576</v>
      </c>
      <c r="S68" s="3" t="n">
        <v>276.209473</v>
      </c>
      <c r="T68" s="3" t="n">
        <v>232.917694</v>
      </c>
      <c r="U68" s="3" t="n">
        <v>192.319199</v>
      </c>
      <c r="V68" s="3" t="n">
        <v>158.204483</v>
      </c>
      <c r="W68" s="3" t="n">
        <v>128.678299</v>
      </c>
      <c r="X68" s="3" t="n">
        <v>103.341637</v>
      </c>
      <c r="Y68" s="3" t="n">
        <v>83.192017</v>
      </c>
      <c r="Z68" s="3" t="n">
        <v>65.336655</v>
      </c>
      <c r="AA68" s="3" t="n">
        <v>53.16708</v>
      </c>
      <c r="AB68" s="3" t="n">
        <v>42.593513</v>
      </c>
      <c r="AC68" s="3" t="n">
        <v>35.211967</v>
      </c>
      <c r="AD68" s="3" t="n">
        <v>28.827929</v>
      </c>
      <c r="AE68" s="3" t="n">
        <v>3.29177</v>
      </c>
      <c r="AF68" s="3" t="n">
        <v>0.399002</v>
      </c>
      <c r="AG68" s="3" t="n">
        <v>0</v>
      </c>
    </row>
    <row r="69" customFormat="false" ht="12.8" hidden="false" customHeight="false" outlineLevel="0" collapsed="false">
      <c r="B69" s="2" t="n">
        <v>46185.5344097222</v>
      </c>
      <c r="C69" s="3" t="n">
        <v>10.062071</v>
      </c>
      <c r="D69" s="3" t="n">
        <v>21527.476562</v>
      </c>
      <c r="E69" s="3" t="n">
        <v>14202.941406</v>
      </c>
      <c r="F69" s="3" t="n">
        <v>9470.317383</v>
      </c>
      <c r="G69" s="3" t="n">
        <v>6687.390625</v>
      </c>
      <c r="H69" s="3" t="n">
        <v>4620.619629</v>
      </c>
      <c r="I69" s="3" t="n">
        <v>3202.322998</v>
      </c>
      <c r="J69" s="3" t="n">
        <v>2283.029053</v>
      </c>
      <c r="K69" s="3" t="n">
        <v>1644.393066</v>
      </c>
      <c r="L69" s="3" t="n">
        <v>1210.287598</v>
      </c>
      <c r="M69" s="3" t="n">
        <v>919.691406</v>
      </c>
      <c r="N69" s="3" t="n">
        <v>722.71405</v>
      </c>
      <c r="O69" s="3" t="n">
        <v>584.86969</v>
      </c>
      <c r="P69" s="3" t="n">
        <v>477.436523</v>
      </c>
      <c r="Q69" s="3" t="n">
        <v>397.433105</v>
      </c>
      <c r="R69" s="3" t="n">
        <v>337.107544</v>
      </c>
      <c r="S69" s="3" t="n">
        <v>288.111664</v>
      </c>
      <c r="T69" s="3" t="n">
        <v>242.792969</v>
      </c>
      <c r="U69" s="3" t="n">
        <v>197.076721</v>
      </c>
      <c r="V69" s="3" t="n">
        <v>163.684006</v>
      </c>
      <c r="W69" s="3" t="n">
        <v>133.272766</v>
      </c>
      <c r="X69" s="3" t="n">
        <v>108.725136</v>
      </c>
      <c r="Y69" s="3" t="n">
        <v>85.270714</v>
      </c>
      <c r="Z69" s="3" t="n">
        <v>67.87867</v>
      </c>
      <c r="AA69" s="3" t="n">
        <v>55.45578</v>
      </c>
      <c r="AB69" s="3" t="n">
        <v>46.610683</v>
      </c>
      <c r="AC69" s="3" t="n">
        <v>37.368053</v>
      </c>
      <c r="AD69" s="3" t="n">
        <v>29.91432</v>
      </c>
      <c r="AE69" s="3" t="n">
        <v>3.677176</v>
      </c>
      <c r="AF69" s="3" t="n">
        <v>0.993831</v>
      </c>
      <c r="AG69" s="3" t="n">
        <v>0.099383</v>
      </c>
    </row>
    <row r="70" customFormat="false" ht="12.8" hidden="false" customHeight="false" outlineLevel="0" collapsed="false">
      <c r="B70" s="2" t="n">
        <v>46185.5358217593</v>
      </c>
      <c r="C70" s="3" t="n">
        <v>10.018273</v>
      </c>
      <c r="D70" s="3" t="n">
        <v>21667.306641</v>
      </c>
      <c r="E70" s="3" t="n">
        <v>14309.452148</v>
      </c>
      <c r="F70" s="3" t="n">
        <v>9519.604492</v>
      </c>
      <c r="G70" s="3" t="n">
        <v>6698.260254</v>
      </c>
      <c r="H70" s="3" t="n">
        <v>4631.936035</v>
      </c>
      <c r="I70" s="3" t="n">
        <v>3188.772949</v>
      </c>
      <c r="J70" s="3" t="n">
        <v>2275.342285</v>
      </c>
      <c r="K70" s="3" t="n">
        <v>1647.289795</v>
      </c>
      <c r="L70" s="3" t="n">
        <v>1218.573242</v>
      </c>
      <c r="M70" s="3" t="n">
        <v>937.187439</v>
      </c>
      <c r="N70" s="3" t="n">
        <v>744.53949</v>
      </c>
      <c r="O70" s="3" t="n">
        <v>597.108887</v>
      </c>
      <c r="P70" s="3" t="n">
        <v>484.614441</v>
      </c>
      <c r="Q70" s="3" t="n">
        <v>398.172394</v>
      </c>
      <c r="R70" s="3" t="n">
        <v>334.788239</v>
      </c>
      <c r="S70" s="3" t="n">
        <v>285.079071</v>
      </c>
      <c r="T70" s="3" t="n">
        <v>240.859863</v>
      </c>
      <c r="U70" s="3" t="n">
        <v>200.932831</v>
      </c>
      <c r="V70" s="3" t="n">
        <v>164.798859</v>
      </c>
      <c r="W70" s="3" t="n">
        <v>135.552307</v>
      </c>
      <c r="X70" s="3" t="n">
        <v>108.801186</v>
      </c>
      <c r="Y70" s="3" t="n">
        <v>85.044594</v>
      </c>
      <c r="Z70" s="3" t="n">
        <v>67.4767</v>
      </c>
      <c r="AA70" s="3" t="n">
        <v>53.70187</v>
      </c>
      <c r="AB70" s="3" t="n">
        <v>46.415184</v>
      </c>
      <c r="AC70" s="3" t="n">
        <v>37.830872</v>
      </c>
      <c r="AD70" s="3" t="n">
        <v>29.94528</v>
      </c>
      <c r="AE70" s="3" t="n">
        <v>3.493616</v>
      </c>
      <c r="AF70" s="3" t="n">
        <v>0.598906</v>
      </c>
      <c r="AG70" s="3" t="n">
        <v>0.099818</v>
      </c>
    </row>
    <row r="71" customFormat="false" ht="12.8" hidden="false" customHeight="false" outlineLevel="0" collapsed="false">
      <c r="B71" s="2" t="n">
        <v>46185.5372222222</v>
      </c>
      <c r="C71" s="3" t="n">
        <v>10.05841</v>
      </c>
      <c r="D71" s="3" t="n">
        <v>21906.046875</v>
      </c>
      <c r="E71" s="3" t="n">
        <v>14437.669922</v>
      </c>
      <c r="F71" s="3" t="n">
        <v>9576.365234</v>
      </c>
      <c r="G71" s="3" t="n">
        <v>6750.669434</v>
      </c>
      <c r="H71" s="3" t="n">
        <v>4659.782227</v>
      </c>
      <c r="I71" s="3" t="n">
        <v>3223.571289</v>
      </c>
      <c r="J71" s="3" t="n">
        <v>2306.129883</v>
      </c>
      <c r="K71" s="3" t="n">
        <v>1671.238403</v>
      </c>
      <c r="L71" s="3" t="n">
        <v>1234.191162</v>
      </c>
      <c r="M71" s="3" t="n">
        <v>942.892578</v>
      </c>
      <c r="N71" s="3" t="n">
        <v>744.252869</v>
      </c>
      <c r="O71" s="3" t="n">
        <v>597.112305</v>
      </c>
      <c r="P71" s="3" t="n">
        <v>485.066742</v>
      </c>
      <c r="Q71" s="3" t="n">
        <v>401.753357</v>
      </c>
      <c r="R71" s="3" t="n">
        <v>336.236053</v>
      </c>
      <c r="S71" s="3" t="n">
        <v>282.052551</v>
      </c>
      <c r="T71" s="3" t="n">
        <v>235.822571</v>
      </c>
      <c r="U71" s="3" t="n">
        <v>194.662979</v>
      </c>
      <c r="V71" s="3" t="n">
        <v>160.562164</v>
      </c>
      <c r="W71" s="3" t="n">
        <v>127.356117</v>
      </c>
      <c r="X71" s="3" t="n">
        <v>104.29084</v>
      </c>
      <c r="Y71" s="3" t="n">
        <v>83.015114</v>
      </c>
      <c r="Z71" s="3" t="n">
        <v>65.616737</v>
      </c>
      <c r="AA71" s="3" t="n">
        <v>51.896873</v>
      </c>
      <c r="AB71" s="3" t="n">
        <v>41.457848</v>
      </c>
      <c r="AC71" s="3" t="n">
        <v>34.100819</v>
      </c>
      <c r="AD71" s="3" t="n">
        <v>28.632757</v>
      </c>
      <c r="AE71" s="3" t="n">
        <v>2.982579</v>
      </c>
      <c r="AF71" s="3" t="n">
        <v>0.198839</v>
      </c>
      <c r="AG71" s="3" t="n">
        <v>0</v>
      </c>
    </row>
    <row r="72" customFormat="false" ht="12.8" hidden="false" customHeight="false" outlineLevel="0" collapsed="false">
      <c r="B72" s="2" t="n">
        <v>46185.5386342593</v>
      </c>
      <c r="C72" s="3" t="n">
        <v>10.046991</v>
      </c>
      <c r="D72" s="3" t="n">
        <v>22032.964844</v>
      </c>
      <c r="E72" s="3" t="n">
        <v>14465.723633</v>
      </c>
      <c r="F72" s="3" t="n">
        <v>9607.054688</v>
      </c>
      <c r="G72" s="3" t="n">
        <v>6776.954102</v>
      </c>
      <c r="H72" s="3" t="n">
        <v>4689.165039</v>
      </c>
      <c r="I72" s="3" t="n">
        <v>3226.438477</v>
      </c>
      <c r="J72" s="3" t="n">
        <v>2306.959229</v>
      </c>
      <c r="K72" s="3" t="n">
        <v>1655.520508</v>
      </c>
      <c r="L72" s="3" t="n">
        <v>1212.502319</v>
      </c>
      <c r="M72" s="3" t="n">
        <v>928.63623</v>
      </c>
      <c r="N72" s="3" t="n">
        <v>727.979126</v>
      </c>
      <c r="O72" s="3" t="n">
        <v>581.069458</v>
      </c>
      <c r="P72" s="3" t="n">
        <v>476.759644</v>
      </c>
      <c r="Q72" s="3" t="n">
        <v>395.342224</v>
      </c>
      <c r="R72" s="3" t="n">
        <v>333.134552</v>
      </c>
      <c r="S72" s="3" t="n">
        <v>283.965607</v>
      </c>
      <c r="T72" s="3" t="n">
        <v>236.986374</v>
      </c>
      <c r="U72" s="3" t="n">
        <v>194.287018</v>
      </c>
      <c r="V72" s="3" t="n">
        <v>160.545578</v>
      </c>
      <c r="W72" s="3" t="n">
        <v>128.297119</v>
      </c>
      <c r="X72" s="3" t="n">
        <v>105.703285</v>
      </c>
      <c r="Y72" s="3" t="n">
        <v>85.100105</v>
      </c>
      <c r="Z72" s="3" t="n">
        <v>67.482887</v>
      </c>
      <c r="AA72" s="3" t="n">
        <v>53.6479</v>
      </c>
      <c r="AB72" s="3" t="n">
        <v>41.007301</v>
      </c>
      <c r="AC72" s="3" t="n">
        <v>32.447525</v>
      </c>
      <c r="AD72" s="3" t="n">
        <v>26.674652</v>
      </c>
      <c r="AE72" s="3" t="n">
        <v>3.284565</v>
      </c>
      <c r="AF72" s="3" t="n">
        <v>0.199065</v>
      </c>
      <c r="AG72" s="3" t="n">
        <v>0</v>
      </c>
    </row>
    <row r="75" customFormat="false" ht="12.8" hidden="false" customHeight="false" outlineLevel="0" collapsed="false">
      <c r="C75" s="1" t="s">
        <v>7</v>
      </c>
      <c r="D75" s="1" t="n">
        <v>4</v>
      </c>
      <c r="E75" s="1" t="n">
        <v>5</v>
      </c>
      <c r="F75" s="1" t="n">
        <v>6</v>
      </c>
      <c r="G75" s="1" t="n">
        <v>7</v>
      </c>
      <c r="H75" s="1" t="n">
        <v>8</v>
      </c>
      <c r="I75" s="1" t="n">
        <v>9</v>
      </c>
      <c r="J75" s="1" t="n">
        <v>10</v>
      </c>
      <c r="K75" s="1" t="n">
        <v>11</v>
      </c>
      <c r="L75" s="1" t="n">
        <v>12</v>
      </c>
      <c r="M75" s="1" t="n">
        <v>13</v>
      </c>
      <c r="N75" s="1" t="n">
        <v>14</v>
      </c>
      <c r="O75" s="1" t="n">
        <v>15</v>
      </c>
      <c r="P75" s="1" t="n">
        <v>16</v>
      </c>
      <c r="Q75" s="1" t="n">
        <v>17</v>
      </c>
      <c r="R75" s="1" t="n">
        <v>18</v>
      </c>
      <c r="S75" s="1" t="n">
        <v>19</v>
      </c>
      <c r="T75" s="1" t="n">
        <v>20</v>
      </c>
      <c r="U75" s="1" t="n">
        <v>21</v>
      </c>
      <c r="V75" s="1" t="n">
        <v>22</v>
      </c>
      <c r="W75" s="1" t="n">
        <v>23</v>
      </c>
      <c r="X75" s="1" t="n">
        <v>24</v>
      </c>
      <c r="Y75" s="1" t="n">
        <v>25</v>
      </c>
      <c r="Z75" s="1" t="n">
        <v>26</v>
      </c>
      <c r="AA75" s="1" t="n">
        <v>27</v>
      </c>
      <c r="AB75" s="1" t="n">
        <v>28</v>
      </c>
      <c r="AC75" s="1" t="n">
        <v>29</v>
      </c>
      <c r="AD75" s="1" t="n">
        <v>30</v>
      </c>
      <c r="AE75" s="1" t="n">
        <v>38</v>
      </c>
      <c r="AF75" s="1" t="n">
        <v>50</v>
      </c>
      <c r="AG75" s="1" t="n">
        <v>70</v>
      </c>
    </row>
    <row r="76" customFormat="false" ht="12.8" hidden="false" customHeight="false" outlineLevel="0" collapsed="false">
      <c r="C76" s="1" t="s">
        <v>2</v>
      </c>
      <c r="D76" s="8" t="n">
        <f aca="false">STDEV(D$6:D$33, D$42:D$72)/AVERAGE(D$6:D$33, D$42:D$72)</f>
        <v>0.0143062036435914</v>
      </c>
      <c r="E76" s="8" t="n">
        <f aca="false">STDEV(E6:E33, E42:E72)/AVERAGE(E6:E33, E42:E72)</f>
        <v>0.0127205576163819</v>
      </c>
      <c r="F76" s="8" t="n">
        <f aca="false">STDEV(F6:F33, F42:F72)/AVERAGE(F6:F33, F42:F72)</f>
        <v>0.0123789460982937</v>
      </c>
      <c r="G76" s="8" t="n">
        <f aca="false">STDEV(G6:G33, G42:G72)/AVERAGE(G6:G33, G42:G72)</f>
        <v>0.0126574233707988</v>
      </c>
      <c r="H76" s="8" t="n">
        <f aca="false">STDEV(H6:H33, H42:H72)/AVERAGE(H6:H33, H42:H72)</f>
        <v>0.0127144745780966</v>
      </c>
      <c r="I76" s="8" t="n">
        <f aca="false">STDEV(I6:I33, I42:I72)/AVERAGE(I6:I33, I42:I72)</f>
        <v>0.0136682120108407</v>
      </c>
      <c r="J76" s="8" t="n">
        <f aca="false">STDEV(J6:J33, J42:J72)/AVERAGE(J6:J33, J42:J72)</f>
        <v>0.0137170808381209</v>
      </c>
      <c r="K76" s="8" t="n">
        <f aca="false">STDEV(K6:K33, K42:K72)/AVERAGE(K6:K33, K42:K72)</f>
        <v>0.0153277349547595</v>
      </c>
      <c r="L76" s="8" t="n">
        <f aca="false">STDEV(L6:L33, L42:L72)/AVERAGE(L6:L33, L42:L72)</f>
        <v>0.0184127477801383</v>
      </c>
      <c r="M76" s="8" t="n">
        <f aca="false">STDEV(M6:M33, M42:M72)/AVERAGE(M6:M33, M42:M72)</f>
        <v>0.0207125035432361</v>
      </c>
      <c r="N76" s="8" t="n">
        <f aca="false">STDEV(N6:N33, N42:N72)/AVERAGE(N6:N33, N42:N72)</f>
        <v>0.0225116294471718</v>
      </c>
      <c r="O76" s="8" t="n">
        <f aca="false">STDEV(O6:O33, O42:O72)/AVERAGE(O6:O33, O42:O72)</f>
        <v>0.0251101278168246</v>
      </c>
      <c r="P76" s="8" t="n">
        <f aca="false">STDEV(P6:P33, P42:P72)/AVERAGE(P6:P33, P42:P72)</f>
        <v>0.0270296701744559</v>
      </c>
      <c r="Q76" s="8" t="n">
        <f aca="false">STDEV(Q6:Q33, Q42:Q72)/AVERAGE(Q6:Q33, Q42:Q72)</f>
        <v>0.0290739723910805</v>
      </c>
      <c r="R76" s="8" t="n">
        <f aca="false">STDEV(R6:R33, R42:R72)/AVERAGE(R6:R33, R42:R72)</f>
        <v>0.0296018366877512</v>
      </c>
      <c r="S76" s="8" t="n">
        <f aca="false">STDEV(S6:S33, S42:S72)/AVERAGE(S6:S33, S42:S72)</f>
        <v>0.0303211723383211</v>
      </c>
      <c r="T76" s="8" t="n">
        <f aca="false">STDEV(T6:T33, T42:T72)/AVERAGE(T6:T33, T42:T72)</f>
        <v>0.0330577627746215</v>
      </c>
      <c r="U76" s="8" t="n">
        <f aca="false">STDEV(U6:U33, U42:U72)/AVERAGE(U6:U33, U42:U72)</f>
        <v>0.0368732746139348</v>
      </c>
      <c r="V76" s="8" t="n">
        <f aca="false">STDEV(V6:V33, V42:V72)/AVERAGE(V6:V33, V42:V72)</f>
        <v>0.0413082899617193</v>
      </c>
      <c r="W76" s="8" t="n">
        <f aca="false">STDEV(W6:W33, W42:W72)/AVERAGE(W6:W33, W42:W72)</f>
        <v>0.0455889788130229</v>
      </c>
      <c r="X76" s="8" t="n">
        <f aca="false">STDEV(X6:X33, X42:X72)/AVERAGE(X6:X33, X42:X72)</f>
        <v>0.0476580861263703</v>
      </c>
      <c r="Y76" s="8" t="n">
        <f aca="false">STDEV(Y6:Y33, Y42:Y72)/AVERAGE(Y6:Y33, Y42:Y72)</f>
        <v>0.057691224022134</v>
      </c>
      <c r="Z76" s="8" t="n">
        <f aca="false">STDEV(Z6:Z33, Z42:Z72)/AVERAGE(Z6:Z33, Z42:Z72)</f>
        <v>0.0645987174540492</v>
      </c>
      <c r="AA76" s="8" t="n">
        <f aca="false">STDEV(AA6:AA33, AA42:AA72)/AVERAGE(AA6:AA33, AA42:AA72)</f>
        <v>0.0721713231751291</v>
      </c>
      <c r="AB76" s="8" t="n">
        <f aca="false">STDEV(AB6:AB33, AB42:AB72)/AVERAGE(AB6:AB33, AB42:AB72)</f>
        <v>0.0811378540591081</v>
      </c>
      <c r="AC76" s="8" t="n">
        <f aca="false">STDEV(AC6:AC33, AC42:AC72)/AVERAGE(AC6:AC33, AC42:AC72)</f>
        <v>0.0882871575411476</v>
      </c>
      <c r="AD76" s="8" t="n">
        <f aca="false">STDEV(AD6:AD33, AD42:AD72)/AVERAGE(AD6:AD33, AD42:AD72)</f>
        <v>0.096709525854389</v>
      </c>
      <c r="AE76" s="8" t="n">
        <f aca="false">STDEV(AE6:AE33, AE42:AE72)/AVERAGE(AE6:AE33, AE42:AE72)</f>
        <v>0.265187445045847</v>
      </c>
      <c r="AF76" s="8" t="n">
        <f aca="false">STDEV(AF6:AF33, AF42:AF72)/AVERAGE(AF6:AF33, AF42:AF72)</f>
        <v>0.46928281720044</v>
      </c>
      <c r="AG76" s="8" t="n">
        <f aca="false">STDEV(AG6:AG33, AG42:AG72)/AVERAGE(AG6:AG33, AG42:AG72)</f>
        <v>0.978147658764158</v>
      </c>
    </row>
    <row r="77" customFormat="false" ht="12.8" hidden="false" customHeight="false" outlineLevel="0" collapsed="false">
      <c r="C77" s="4" t="s">
        <v>3</v>
      </c>
      <c r="D77" s="3" t="n">
        <f aca="false">AVERAGE(D$6:D$33, D$42:D$72)</f>
        <v>21990.961003678</v>
      </c>
      <c r="E77" s="3" t="n">
        <f aca="false">AVERAGE(E$6:E$33, E$42:E$72)</f>
        <v>14444.0742187119</v>
      </c>
      <c r="F77" s="3" t="n">
        <f aca="false">AVERAGE(F$6:F$33, F$42:F$72)</f>
        <v>9599.95928228814</v>
      </c>
      <c r="G77" s="3" t="n">
        <f aca="false">AVERAGE(G$6:G$33, G$42:G$72)</f>
        <v>6788.64587194915</v>
      </c>
      <c r="H77" s="3" t="n">
        <f aca="false">AVERAGE(H$6:H$33, H$42:H$72)</f>
        <v>4687.67545850848</v>
      </c>
      <c r="I77" s="3" t="n">
        <f aca="false">AVERAGE(I$6:I$33, I$42:I$72)</f>
        <v>3224.63639184746</v>
      </c>
      <c r="J77" s="3" t="n">
        <f aca="false">AVERAGE(J$6:J$33, J$42:J$72)</f>
        <v>2293.81090271186</v>
      </c>
      <c r="K77" s="3" t="n">
        <f aca="false">AVERAGE(K$6:K$33, K$42:K$72)</f>
        <v>1643.71108644068</v>
      </c>
      <c r="L77" s="3" t="n">
        <f aca="false">AVERAGE(L$6:L$33, L$42:L$72)</f>
        <v>1206.87068408475</v>
      </c>
      <c r="M77" s="3" t="n">
        <f aca="false">AVERAGE(M$6:M$33, M$42:M$72)</f>
        <v>919.096236966102</v>
      </c>
      <c r="N77" s="3" t="n">
        <f aca="false">AVERAGE(N$6:N$33, N$42:N$72)</f>
        <v>723.631770762712</v>
      </c>
      <c r="O77" s="3" t="n">
        <f aca="false">AVERAGE(O$6:O$33, O$42:O$72)</f>
        <v>579.729927728814</v>
      </c>
      <c r="P77" s="3" t="n">
        <f aca="false">AVERAGE(P$6:P$33, P$42:P$72)</f>
        <v>473.044432016949</v>
      </c>
      <c r="Q77" s="3" t="n">
        <f aca="false">AVERAGE(Q$6:Q$33, Q$42:Q$72)</f>
        <v>391.666358084746</v>
      </c>
      <c r="R77" s="3" t="n">
        <f aca="false">AVERAGE(R$6:R$33, R$42:R$72)</f>
        <v>329.294967932203</v>
      </c>
      <c r="S77" s="3" t="n">
        <f aca="false">AVERAGE(S$6:S$33, S$42:S$72)</f>
        <v>280.084649084746</v>
      </c>
      <c r="T77" s="3" t="n">
        <f aca="false">AVERAGE(T$6:T$33, T$42:T$72)</f>
        <v>237.091268779661</v>
      </c>
      <c r="U77" s="3" t="n">
        <f aca="false">AVERAGE(U$6:U$33, U$42:U$72)</f>
        <v>196.687666542373</v>
      </c>
      <c r="V77" s="3" t="n">
        <f aca="false">AVERAGE(V$6:V$33, V$42:V$72)</f>
        <v>162.337641525424</v>
      </c>
      <c r="W77" s="3" t="n">
        <f aca="false">AVERAGE(W$6:W$33, W$42:W$72)</f>
        <v>132.116843559322</v>
      </c>
      <c r="X77" s="3" t="n">
        <f aca="false">AVERAGE(X$6:X$33, X$42:X$72)</f>
        <v>107.661788627119</v>
      </c>
      <c r="Y77" s="3" t="n">
        <f aca="false">AVERAGE(Y$6:Y$33, Y$42:Y$72)</f>
        <v>87.0286834576271</v>
      </c>
      <c r="Z77" s="3" t="n">
        <f aca="false">AVERAGE(Z$6:Z$33, Z$42:Z$72)</f>
        <v>70.0353761016949</v>
      </c>
      <c r="AA77" s="3" t="n">
        <f aca="false">AVERAGE(AA$6:AA$33, AA$42:AA$72)</f>
        <v>56.8993520338983</v>
      </c>
      <c r="AB77" s="3" t="n">
        <f aca="false">AVERAGE(AB$6:AB$33, AB$42:AB$72)</f>
        <v>46.8377350338983</v>
      </c>
      <c r="AC77" s="3" t="n">
        <f aca="false">AVERAGE(AC$6:AC$33, AC$42:AC$72)</f>
        <v>39.1308366271186</v>
      </c>
      <c r="AD77" s="3" t="n">
        <f aca="false">AVERAGE(AD$6:AD$33, AD$42:AD$72)</f>
        <v>31.8278591864407</v>
      </c>
      <c r="AE77" s="3" t="n">
        <f aca="false">AVERAGE(AE$6:AE$33, AE$42:AE$72)</f>
        <v>4.95389045762712</v>
      </c>
      <c r="AF77" s="3" t="n">
        <f aca="false">AVERAGE(AF$6:AF$33, AF$42:AF$72)</f>
        <v>0.893324508474576</v>
      </c>
      <c r="AG77" s="3" t="n">
        <f aca="false">AVERAGE(AG$6:AG$33, AG$42:AG$72)</f>
        <v>0.100798389830508</v>
      </c>
    </row>
    <row r="78" customFormat="false" ht="12.8" hidden="false" customHeight="false" outlineLevel="0" collapsed="false">
      <c r="C78" s="6" t="s">
        <v>4</v>
      </c>
      <c r="D78" s="3" t="n">
        <f aca="false">STDEV(D$6:D$33, D$42:D$72)</f>
        <v>314.607166436894</v>
      </c>
      <c r="E78" s="3" t="n">
        <f aca="false">STDEV(E$6:E$33, E$42:E$72)</f>
        <v>183.736678314421</v>
      </c>
      <c r="F78" s="3" t="n">
        <f aca="false">STDEV(F$6:F$33, F$42:F$72)</f>
        <v>118.837378501259</v>
      </c>
      <c r="G78" s="3" t="n">
        <f aca="false">STDEV(G$6:G$33, G$42:G$72)</f>
        <v>85.926764915686</v>
      </c>
      <c r="H78" s="3" t="n">
        <f aca="false">STDEV(H$6:H$33, H$42:H$72)</f>
        <v>59.6013304475735</v>
      </c>
      <c r="I78" s="3" t="n">
        <f aca="false">STDEV(I$6:I$33, I$42:I$72)</f>
        <v>44.0750138616435</v>
      </c>
      <c r="J78" s="3" t="n">
        <f aca="false">STDEV(J$6:J$33, J$42:J$72)</f>
        <v>31.4643895798618</v>
      </c>
      <c r="K78" s="3" t="n">
        <f aca="false">STDEV(K$6:K$33, K$42:K$72)</f>
        <v>25.1943678751625</v>
      </c>
      <c r="L78" s="3" t="n">
        <f aca="false">STDEV(L$6:L$33, L$42:L$72)</f>
        <v>22.2218055092954</v>
      </c>
      <c r="M78" s="3" t="n">
        <f aca="false">STDEV(M$6:M$33, M$42:M$72)</f>
        <v>19.0367840647353</v>
      </c>
      <c r="N78" s="3" t="n">
        <f aca="false">STDEV(N$6:N$33, N$42:N$72)</f>
        <v>16.2901302796109</v>
      </c>
      <c r="O78" s="3" t="n">
        <f aca="false">STDEV(O$6:O$33, O$42:O$72)</f>
        <v>14.557092584509</v>
      </c>
      <c r="P78" s="3" t="n">
        <f aca="false">STDEV(P$6:P$33, P$42:P$72)</f>
        <v>12.786234975281</v>
      </c>
      <c r="Q78" s="3" t="n">
        <f aca="false">STDEV(Q$6:Q$33, Q$42:Q$72)</f>
        <v>11.387296881471</v>
      </c>
      <c r="R78" s="3" t="n">
        <f aca="false">STDEV(R$6:R$33, R$42:R$72)</f>
        <v>9.74773586282734</v>
      </c>
      <c r="S78" s="3" t="n">
        <f aca="false">STDEV(S$6:S$33, S$42:S$72)</f>
        <v>8.49249491421676</v>
      </c>
      <c r="T78" s="3" t="n">
        <f aca="false">STDEV(T$6:T$33, T$42:T$72)</f>
        <v>7.83770691925205</v>
      </c>
      <c r="U78" s="3" t="n">
        <f aca="false">STDEV(U$6:U$33, U$42:U$72)</f>
        <v>7.25251834159095</v>
      </c>
      <c r="V78" s="3" t="n">
        <f aca="false">STDEV(V$6:V$33, V$42:V$72)</f>
        <v>6.70589036783384</v>
      </c>
      <c r="W78" s="3" t="n">
        <f aca="false">STDEV(W$6:W$33, W$42:W$72)</f>
        <v>6.0230719818694</v>
      </c>
      <c r="X78" s="3" t="n">
        <f aca="false">STDEV(X$6:X$33, X$42:X$72)</f>
        <v>5.13095479491029</v>
      </c>
      <c r="Y78" s="3" t="n">
        <f aca="false">STDEV(Y$6:Y$33, Y$42:Y$72)</f>
        <v>5.02079127370535</v>
      </c>
      <c r="Z78" s="3" t="n">
        <f aca="false">STDEV(Z$6:Z$33, Z$42:Z$72)</f>
        <v>4.52419547258146</v>
      </c>
      <c r="AA78" s="3" t="n">
        <f aca="false">STDEV(AA$6:AA$33, AA$42:AA$72)</f>
        <v>4.10650152409391</v>
      </c>
      <c r="AB78" s="3" t="n">
        <f aca="false">STDEV(AB$6:AB$33, AB$42:AB$72)</f>
        <v>3.80031330963961</v>
      </c>
      <c r="AC78" s="3" t="n">
        <f aca="false">STDEV(AC$6:AC$33, AC$42:AC$72)</f>
        <v>3.45475033801533</v>
      </c>
      <c r="AD78" s="3" t="n">
        <f aca="false">STDEV(AD$6:AD$33, AD$42:AD$72)</f>
        <v>3.07805717088094</v>
      </c>
      <c r="AE78" s="3" t="n">
        <f aca="false">STDEV(AE$6:AE$33, AE$42:AE$72)</f>
        <v>1.31370955349514</v>
      </c>
      <c r="AF78" s="3" t="n">
        <f aca="false">STDEV(AF$6:AF$33, AF$42:AF$72)</f>
        <v>0.419221842011148</v>
      </c>
      <c r="AG78" s="3" t="n">
        <f aca="false">STDEV(AG$6:AG$33, AG$42:AG$72)</f>
        <v>0.0985957090199087</v>
      </c>
    </row>
    <row r="79" customFormat="false" ht="12.8" hidden="false" customHeight="false" outlineLevel="0" collapsed="false">
      <c r="C79" s="6" t="s">
        <v>5</v>
      </c>
      <c r="D79" s="3" t="n">
        <f aca="false">SQRT(D77+0.0004*(D77)^2)</f>
        <v>464.146428780608</v>
      </c>
      <c r="E79" s="3" t="n">
        <f aca="false">SQRT(E77+0.0004*(E77)^2)</f>
        <v>312.884301672319</v>
      </c>
      <c r="F79" s="3" t="n">
        <f aca="false">SQRT(F77+0.0004*(F77)^2)</f>
        <v>215.554277551906</v>
      </c>
      <c r="G79" s="3" t="n">
        <f aca="false">SQRT(G77+0.0004*(G77)^2)</f>
        <v>158.817288044602</v>
      </c>
      <c r="H79" s="3" t="n">
        <f aca="false">SQRT(H77+0.0004*(H77)^2)</f>
        <v>116.092187248882</v>
      </c>
      <c r="I79" s="3" t="n">
        <f aca="false">SQRT(I77+0.0004*(I77)^2)</f>
        <v>85.9299036174151</v>
      </c>
      <c r="J79" s="3" t="n">
        <f aca="false">SQRT(J77+0.0004*(J77)^2)</f>
        <v>66.3207228976871</v>
      </c>
      <c r="K79" s="3" t="n">
        <f aca="false">SQRT(K77+0.0004*(K77)^2)</f>
        <v>52.1960299325138</v>
      </c>
      <c r="L79" s="3" t="n">
        <f aca="false">SQRT(L77+0.0004*(L77)^2)</f>
        <v>42.3023099053234</v>
      </c>
      <c r="M79" s="3" t="n">
        <f aca="false">SQRT(M77+0.0004*(M77)^2)</f>
        <v>35.4540744356442</v>
      </c>
      <c r="N79" s="3" t="n">
        <f aca="false">SQRT(N77+0.0004*(N77)^2)</f>
        <v>30.5465046547978</v>
      </c>
      <c r="O79" s="3" t="n">
        <f aca="false">SQRT(O77+0.0004*(O77)^2)</f>
        <v>26.7238590658347</v>
      </c>
      <c r="P79" s="3" t="n">
        <f aca="false">SQRT(P77+0.0004*(P77)^2)</f>
        <v>23.718196514108</v>
      </c>
      <c r="Q79" s="3" t="n">
        <f aca="false">SQRT(Q77+0.0004*(Q77)^2)</f>
        <v>21.2844396803602</v>
      </c>
      <c r="R79" s="3" t="n">
        <f aca="false">SQRT(R77+0.0004*(R77)^2)</f>
        <v>19.3046377405636</v>
      </c>
      <c r="S79" s="3" t="n">
        <f aca="false">SQRT(S77+0.0004*(S77)^2)</f>
        <v>17.6483317439897</v>
      </c>
      <c r="T79" s="3" t="n">
        <f aca="false">SQRT(T77+0.0004*(T77)^2)</f>
        <v>16.1113679329932</v>
      </c>
      <c r="U79" s="3" t="n">
        <f aca="false">SQRT(U77+0.0004*(U77)^2)</f>
        <v>14.5657846273493</v>
      </c>
      <c r="V79" s="3" t="n">
        <f aca="false">SQRT(V77+0.0004*(V77)^2)</f>
        <v>13.1483476326053</v>
      </c>
      <c r="W79" s="3" t="n">
        <f aca="false">SQRT(W77+0.0004*(W77)^2)</f>
        <v>11.7940149101209</v>
      </c>
      <c r="X79" s="3" t="n">
        <f aca="false">SQRT(X77+0.0004*(X77)^2)</f>
        <v>10.5970851142791</v>
      </c>
      <c r="Y79" s="3" t="n">
        <f aca="false">SQRT(Y77+0.0004*(Y77)^2)</f>
        <v>9.48990411729087</v>
      </c>
      <c r="Z79" s="3" t="n">
        <f aca="false">SQRT(Z77+0.0004*(Z77)^2)</f>
        <v>8.4851256716667</v>
      </c>
      <c r="AA79" s="3" t="n">
        <f aca="false">SQRT(AA77+0.0004*(AA77)^2)</f>
        <v>7.62852322134824</v>
      </c>
      <c r="AB79" s="3" t="n">
        <f aca="false">SQRT(AB77+0.0004*(AB77)^2)</f>
        <v>6.90762219603393</v>
      </c>
      <c r="AC79" s="3" t="n">
        <f aca="false">SQRT(AC77+0.0004*(AC77)^2)</f>
        <v>6.30423076807741</v>
      </c>
      <c r="AD79" s="3" t="n">
        <f aca="false">SQRT(AD77+0.0004*(AD77)^2)</f>
        <v>5.67741703898854</v>
      </c>
      <c r="AE79" s="3" t="n">
        <f aca="false">SQRT(AE77+0.0004*(AE77)^2)</f>
        <v>2.2279378065587</v>
      </c>
      <c r="AF79" s="3" t="n">
        <f aca="false">SQRT(AF77+0.0004*(AF77)^2)</f>
        <v>0.945327308367611</v>
      </c>
      <c r="AG79" s="3" t="n">
        <f aca="false">SQRT(AG77+0.0004*(AG77)^2)</f>
        <v>0.317494021922721</v>
      </c>
    </row>
    <row r="80" customFormat="false" ht="12.8" hidden="false" customHeight="false" outlineLevel="0" collapsed="false">
      <c r="C80" s="4" t="s">
        <v>6</v>
      </c>
      <c r="D80" s="7" t="str">
        <f aca="false">IF(D79&gt;D78,"✅","❌")</f>
        <v>✅</v>
      </c>
      <c r="E80" s="7" t="str">
        <f aca="false">IF(E79&gt;E78,"✅","❌")</f>
        <v>✅</v>
      </c>
      <c r="F80" s="7" t="str">
        <f aca="false">IF(F79&gt;F78,"✅","❌")</f>
        <v>✅</v>
      </c>
      <c r="G80" s="7" t="str">
        <f aca="false">IF(G79&gt;G78,"✅","❌")</f>
        <v>✅</v>
      </c>
      <c r="H80" s="7" t="str">
        <f aca="false">IF(H79&gt;H78,"✅","❌")</f>
        <v>✅</v>
      </c>
      <c r="I80" s="7" t="str">
        <f aca="false">IF(I79&gt;I78,"✅","❌")</f>
        <v>✅</v>
      </c>
      <c r="J80" s="7" t="str">
        <f aca="false">IF(J79&gt;J78,"✅","❌")</f>
        <v>✅</v>
      </c>
      <c r="K80" s="7" t="str">
        <f aca="false">IF(K79&gt;K78,"✅","❌")</f>
        <v>✅</v>
      </c>
      <c r="L80" s="7" t="str">
        <f aca="false">IF(L79&gt;L78,"✅","❌")</f>
        <v>✅</v>
      </c>
      <c r="M80" s="7" t="str">
        <f aca="false">IF(M79&gt;M78,"✅","❌")</f>
        <v>✅</v>
      </c>
      <c r="N80" s="7" t="str">
        <f aca="false">IF(N79&gt;N78,"✅","❌")</f>
        <v>✅</v>
      </c>
      <c r="O80" s="7" t="str">
        <f aca="false">IF(O79&gt;O78,"✅","❌")</f>
        <v>✅</v>
      </c>
      <c r="P80" s="7" t="str">
        <f aca="false">IF(P79&gt;P78,"✅","❌")</f>
        <v>✅</v>
      </c>
      <c r="Q80" s="7" t="str">
        <f aca="false">IF(Q79&gt;Q78,"✅","❌")</f>
        <v>✅</v>
      </c>
      <c r="R80" s="7" t="str">
        <f aca="false">IF(R79&gt;R78,"✅","❌")</f>
        <v>✅</v>
      </c>
      <c r="S80" s="7" t="str">
        <f aca="false">IF(S79&gt;S78,"✅","❌")</f>
        <v>✅</v>
      </c>
      <c r="T80" s="7" t="str">
        <f aca="false">IF(T79&gt;T78,"✅","❌")</f>
        <v>✅</v>
      </c>
      <c r="U80" s="7" t="str">
        <f aca="false">IF(U79&gt;U78,"✅","❌")</f>
        <v>✅</v>
      </c>
      <c r="V80" s="7" t="str">
        <f aca="false">IF(V79&gt;V78,"✅","❌")</f>
        <v>✅</v>
      </c>
      <c r="W80" s="7" t="str">
        <f aca="false">IF(W79&gt;W78,"✅","❌")</f>
        <v>✅</v>
      </c>
      <c r="X80" s="7" t="str">
        <f aca="false">IF(X79&gt;X78,"✅","❌")</f>
        <v>✅</v>
      </c>
      <c r="Y80" s="7" t="str">
        <f aca="false">IF(Y79&gt;Y78,"✅","❌")</f>
        <v>✅</v>
      </c>
      <c r="Z80" s="7" t="str">
        <f aca="false">IF(Z79&gt;Z78,"✅","❌")</f>
        <v>✅</v>
      </c>
      <c r="AA80" s="7" t="str">
        <f aca="false">IF(AA79&gt;AA78,"✅","❌")</f>
        <v>✅</v>
      </c>
      <c r="AB80" s="7" t="str">
        <f aca="false">IF(AB79&gt;AB78,"✅","❌")</f>
        <v>✅</v>
      </c>
      <c r="AC80" s="7" t="str">
        <f aca="false">IF(AC79&gt;AC78,"✅","❌")</f>
        <v>✅</v>
      </c>
      <c r="AD80" s="7" t="str">
        <f aca="false">IF(AD79&gt;AD78,"✅","❌")</f>
        <v>✅</v>
      </c>
      <c r="AE80" s="7" t="str">
        <f aca="false">IF(AE79&gt;AE78,"✅","❌")</f>
        <v>✅</v>
      </c>
      <c r="AF80" s="7" t="str">
        <f aca="false">IF(AF79&gt;AF78,"✅","❌")</f>
        <v>✅</v>
      </c>
      <c r="AG80" s="7" t="str">
        <f aca="false">IF(AG79&gt;AG78,"✅","❌")</f>
        <v>✅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R84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68" activeCellId="0" sqref="D68"/>
    </sheetView>
  </sheetViews>
  <sheetFormatPr defaultColWidth="11.53515625" defaultRowHeight="12.8" customHeight="false" zeroHeight="false" outlineLevelRow="0" outlineLevelCol="0"/>
  <sheetData>
    <row r="4" customFormat="false" ht="12.8" hidden="false" customHeight="false" outlineLevel="0" collapsed="false">
      <c r="C4" s="0" t="n">
        <v>3216</v>
      </c>
      <c r="D4" s="9" t="s">
        <v>8</v>
      </c>
      <c r="E4" s="9" t="s">
        <v>9</v>
      </c>
      <c r="G4" s="9" t="s">
        <v>9</v>
      </c>
    </row>
    <row r="6" customFormat="false" ht="12.8" hidden="false" customHeight="false" outlineLevel="0" collapsed="false">
      <c r="C6" s="0" t="s">
        <v>10</v>
      </c>
    </row>
    <row r="7" customFormat="false" ht="12.8" hidden="false" customHeight="false" outlineLevel="0" collapsed="false">
      <c r="C7" s="0" t="s">
        <v>11</v>
      </c>
      <c r="D7" s="0" t="n">
        <v>49.8</v>
      </c>
      <c r="F7" s="0" t="s">
        <v>11</v>
      </c>
      <c r="G7" s="0" t="n">
        <v>49.8</v>
      </c>
    </row>
    <row r="8" customFormat="false" ht="12.8" hidden="false" customHeight="false" outlineLevel="0" collapsed="false">
      <c r="C8" s="0" t="s">
        <v>12</v>
      </c>
      <c r="D8" s="0" t="n">
        <v>9.96</v>
      </c>
      <c r="F8" s="0" t="s">
        <v>12</v>
      </c>
      <c r="G8" s="0" t="n">
        <v>9.96</v>
      </c>
    </row>
    <row r="10" customFormat="false" ht="12.8" hidden="false" customHeight="false" outlineLevel="0" collapsed="false">
      <c r="C10" s="0" t="s">
        <v>13</v>
      </c>
      <c r="D10" s="0" t="n">
        <v>45.2</v>
      </c>
      <c r="E10" s="0" t="n">
        <v>44.02</v>
      </c>
      <c r="F10" s="0" t="s">
        <v>13</v>
      </c>
      <c r="G10" s="10" t="n">
        <v>43.78</v>
      </c>
    </row>
    <row r="11" customFormat="false" ht="12.8" hidden="false" customHeight="false" outlineLevel="0" collapsed="false">
      <c r="C11" s="0" t="s">
        <v>14</v>
      </c>
      <c r="D11" s="0" t="n">
        <v>0.8</v>
      </c>
      <c r="E11" s="0" t="n">
        <v>0.68</v>
      </c>
      <c r="F11" s="0" t="s">
        <v>14</v>
      </c>
      <c r="G11" s="10" t="n">
        <v>0.78</v>
      </c>
    </row>
    <row r="12" customFormat="false" ht="12.8" hidden="false" customHeight="false" outlineLevel="0" collapsed="false">
      <c r="G12" s="10"/>
    </row>
    <row r="13" customFormat="false" ht="12.8" hidden="false" customHeight="false" outlineLevel="0" collapsed="false">
      <c r="C13" s="0" t="s">
        <v>15</v>
      </c>
      <c r="D13" s="0" t="n">
        <v>1.4</v>
      </c>
      <c r="F13" s="0" t="s">
        <v>15</v>
      </c>
      <c r="G13" s="10" t="n">
        <v>-1.11</v>
      </c>
    </row>
    <row r="15" customFormat="false" ht="12.8" hidden="false" customHeight="false" outlineLevel="0" collapsed="false">
      <c r="C15" s="0" t="s">
        <v>16</v>
      </c>
      <c r="D15" s="0" t="n">
        <v>1.6</v>
      </c>
    </row>
    <row r="16" customFormat="false" ht="12.8" hidden="false" customHeight="false" outlineLevel="0" collapsed="false">
      <c r="C16" s="0" t="s">
        <v>17</v>
      </c>
      <c r="D16" s="0" t="s">
        <v>18</v>
      </c>
    </row>
    <row r="17" customFormat="false" ht="12.8" hidden="false" customHeight="false" outlineLevel="0" collapsed="false">
      <c r="C17" s="0" t="s">
        <v>19</v>
      </c>
      <c r="D17" s="0" t="s">
        <v>20</v>
      </c>
    </row>
    <row r="18" customFormat="false" ht="12.8" hidden="false" customHeight="false" outlineLevel="0" collapsed="false">
      <c r="C18" s="0" t="s">
        <v>21</v>
      </c>
      <c r="D18" s="0" t="s">
        <v>22</v>
      </c>
    </row>
    <row r="19" customFormat="false" ht="12.8" hidden="false" customHeight="false" outlineLevel="0" collapsed="false">
      <c r="C19" s="0" t="s">
        <v>23</v>
      </c>
      <c r="D19" s="0" t="n">
        <v>12.07</v>
      </c>
    </row>
    <row r="20" customFormat="false" ht="12.8" hidden="false" customHeight="false" outlineLevel="0" collapsed="false">
      <c r="C20" s="0" t="s">
        <v>24</v>
      </c>
      <c r="D20" s="0" t="n">
        <v>20.17</v>
      </c>
    </row>
    <row r="21" customFormat="false" ht="12.8" hidden="false" customHeight="false" outlineLevel="0" collapsed="false">
      <c r="C21" s="0" t="s">
        <v>25</v>
      </c>
      <c r="D21" s="0" t="s">
        <v>18</v>
      </c>
    </row>
    <row r="22" customFormat="false" ht="12.8" hidden="false" customHeight="false" outlineLevel="0" collapsed="false">
      <c r="C22" s="0" t="s">
        <v>26</v>
      </c>
      <c r="D22" s="0" t="n">
        <v>12.1</v>
      </c>
    </row>
    <row r="23" customFormat="false" ht="12.8" hidden="false" customHeight="false" outlineLevel="0" collapsed="false">
      <c r="C23" s="0" t="s">
        <v>27</v>
      </c>
      <c r="D23" s="0" t="n">
        <v>1.05</v>
      </c>
    </row>
    <row r="25" customFormat="false" ht="12.8" hidden="false" customHeight="false" outlineLevel="0" collapsed="false">
      <c r="C25" s="0" t="s">
        <v>28</v>
      </c>
      <c r="D25" s="0" t="n">
        <v>1.51</v>
      </c>
    </row>
    <row r="26" customFormat="false" ht="12.8" hidden="false" customHeight="false" outlineLevel="0" collapsed="false">
      <c r="J26" s="9" t="s">
        <v>29</v>
      </c>
      <c r="K26" s="9" t="s">
        <v>30</v>
      </c>
      <c r="N26" s="0" t="s">
        <v>29</v>
      </c>
      <c r="O26" s="9" t="s">
        <v>30</v>
      </c>
      <c r="Q26" s="9" t="s">
        <v>30</v>
      </c>
      <c r="R26" s="0" t="s">
        <v>31</v>
      </c>
    </row>
    <row r="28" customFormat="false" ht="12.8" hidden="false" customHeight="false" outlineLevel="0" collapsed="false">
      <c r="J28" s="0" t="n">
        <v>2</v>
      </c>
      <c r="K28" s="0" t="n">
        <v>2.11</v>
      </c>
      <c r="L28" s="8" t="n">
        <f aca="false">K28/J28-1</f>
        <v>0.0549999999999999</v>
      </c>
    </row>
    <row r="29" customFormat="false" ht="12.8" hidden="false" customHeight="false" outlineLevel="0" collapsed="false">
      <c r="D29" s="11"/>
      <c r="J29" s="0" t="n">
        <v>3</v>
      </c>
      <c r="K29" s="0" t="n">
        <v>3.16</v>
      </c>
      <c r="L29" s="8" t="n">
        <f aca="false">K29/J29-1</f>
        <v>0.0533333333333335</v>
      </c>
      <c r="N29" s="0" t="n">
        <v>2.7</v>
      </c>
      <c r="O29" s="0" t="n">
        <f aca="false">Q29-2.51</f>
        <v>0.11</v>
      </c>
      <c r="Q29" s="0" t="n">
        <v>2.62</v>
      </c>
      <c r="R29" s="8" t="n">
        <f aca="false">Q29/N29-1</f>
        <v>-0.0296296296296297</v>
      </c>
    </row>
    <row r="30" customFormat="false" ht="24.05" hidden="false" customHeight="false" outlineLevel="0" collapsed="false">
      <c r="D30" s="11"/>
      <c r="E30" s="11" t="s">
        <v>32</v>
      </c>
      <c r="J30" s="0" t="n">
        <v>4</v>
      </c>
      <c r="K30" s="0" t="n">
        <v>4.18</v>
      </c>
      <c r="L30" s="8" t="n">
        <f aca="false">K30/J30-1</f>
        <v>0.0449999999999999</v>
      </c>
      <c r="N30" s="0" t="n">
        <v>3.7</v>
      </c>
      <c r="O30" s="0" t="n">
        <f aca="false">Q30-2.51</f>
        <v>1.11</v>
      </c>
      <c r="Q30" s="0" t="n">
        <v>3.62</v>
      </c>
      <c r="R30" s="8" t="n">
        <f aca="false">Q30/N30-1</f>
        <v>-0.0216216216216216</v>
      </c>
    </row>
    <row r="31" customFormat="false" ht="24.05" hidden="false" customHeight="false" outlineLevel="0" collapsed="false">
      <c r="E31" s="11" t="s">
        <v>33</v>
      </c>
      <c r="J31" s="0" t="n">
        <v>5</v>
      </c>
      <c r="K31" s="0" t="n">
        <v>5.19</v>
      </c>
      <c r="L31" s="8" t="n">
        <f aca="false">K31/J31-1</f>
        <v>0.038</v>
      </c>
      <c r="N31" s="0" t="n">
        <v>4.7</v>
      </c>
      <c r="O31" s="0" t="n">
        <f aca="false">Q31-2.51</f>
        <v>2.11</v>
      </c>
      <c r="Q31" s="0" t="n">
        <v>4.62</v>
      </c>
      <c r="R31" s="8" t="n">
        <f aca="false">Q31/N31-1</f>
        <v>-0.0170212765957447</v>
      </c>
    </row>
    <row r="32" customFormat="false" ht="12.8" hidden="false" customHeight="false" outlineLevel="0" collapsed="false">
      <c r="J32" s="0" t="n">
        <v>6</v>
      </c>
      <c r="K32" s="0" t="n">
        <v>6.21</v>
      </c>
      <c r="L32" s="8" t="n">
        <f aca="false">K32/J32-1</f>
        <v>0.0349999999999999</v>
      </c>
      <c r="N32" s="0" t="n">
        <v>5.7</v>
      </c>
      <c r="O32" s="0" t="n">
        <f aca="false">Q32-2.51</f>
        <v>3.11</v>
      </c>
      <c r="Q32" s="0" t="n">
        <v>5.62</v>
      </c>
      <c r="R32" s="8" t="n">
        <f aca="false">Q32/N32-1</f>
        <v>-0.0140350877192983</v>
      </c>
    </row>
    <row r="33" customFormat="false" ht="12.8" hidden="false" customHeight="false" outlineLevel="0" collapsed="false">
      <c r="J33" s="0" t="n">
        <v>7</v>
      </c>
      <c r="K33" s="0" t="n">
        <v>7.24</v>
      </c>
      <c r="L33" s="8" t="n">
        <f aca="false">K33/J33-1</f>
        <v>0.0342857142857143</v>
      </c>
      <c r="N33" s="0" t="n">
        <v>6.7</v>
      </c>
      <c r="O33" s="0" t="n">
        <f aca="false">Q33-2.51</f>
        <v>4.12</v>
      </c>
      <c r="Q33" s="0" t="n">
        <v>6.63</v>
      </c>
      <c r="R33" s="8" t="n">
        <f aca="false">Q33/N33-1</f>
        <v>-0.0104477611940299</v>
      </c>
    </row>
    <row r="34" customFormat="false" ht="12.8" hidden="false" customHeight="false" outlineLevel="0" collapsed="false">
      <c r="J34" s="0" t="n">
        <v>8</v>
      </c>
      <c r="K34" s="0" t="n">
        <v>8.26</v>
      </c>
      <c r="L34" s="8" t="n">
        <f aca="false">K34/J34-1</f>
        <v>0.0325</v>
      </c>
      <c r="N34" s="0" t="n">
        <v>7.7</v>
      </c>
      <c r="O34" s="0" t="n">
        <f aca="false">Q34-2.51</f>
        <v>5.13</v>
      </c>
      <c r="Q34" s="0" t="n">
        <v>7.64</v>
      </c>
      <c r="R34" s="8" t="n">
        <f aca="false">Q34/N34-1</f>
        <v>-0.00779220779220791</v>
      </c>
    </row>
    <row r="35" customFormat="false" ht="12.8" hidden="false" customHeight="false" outlineLevel="0" collapsed="false">
      <c r="A35" s="0" t="s">
        <v>34</v>
      </c>
      <c r="J35" s="0" t="n">
        <v>9</v>
      </c>
      <c r="K35" s="0" t="n">
        <v>9.3</v>
      </c>
      <c r="L35" s="8" t="n">
        <f aca="false">K35/J35-1</f>
        <v>0.0333333333333334</v>
      </c>
      <c r="N35" s="0" t="n">
        <v>8.7</v>
      </c>
      <c r="O35" s="0" t="n">
        <f aca="false">Q35-2.51</f>
        <v>6.14</v>
      </c>
      <c r="Q35" s="0" t="n">
        <v>8.65</v>
      </c>
      <c r="R35" s="8" t="n">
        <f aca="false">Q35/N35-1</f>
        <v>-0.00574712643678144</v>
      </c>
    </row>
    <row r="36" customFormat="false" ht="12.8" hidden="false" customHeight="false" outlineLevel="0" collapsed="false">
      <c r="J36" s="0" t="n">
        <v>10</v>
      </c>
      <c r="K36" s="0" t="n">
        <v>10.31</v>
      </c>
      <c r="L36" s="8" t="n">
        <f aca="false">K36/J36-1</f>
        <v>0.0310000000000001</v>
      </c>
      <c r="N36" s="0" t="n">
        <v>9.7</v>
      </c>
      <c r="O36" s="0" t="n">
        <f aca="false">Q36-2.51</f>
        <v>7.16</v>
      </c>
      <c r="Q36" s="0" t="n">
        <v>9.67</v>
      </c>
      <c r="R36" s="8" t="n">
        <f aca="false">Q36/N36-1</f>
        <v>-0.00309278350515463</v>
      </c>
    </row>
    <row r="37" customFormat="false" ht="12.8" hidden="false" customHeight="false" outlineLevel="0" collapsed="false">
      <c r="J37" s="0" t="n">
        <v>11</v>
      </c>
      <c r="K37" s="0" t="n">
        <v>11.33</v>
      </c>
      <c r="L37" s="8" t="n">
        <f aca="false">K37/J37-1</f>
        <v>0.03</v>
      </c>
      <c r="N37" s="0" t="n">
        <v>10.7</v>
      </c>
      <c r="O37" s="0" t="n">
        <f aca="false">Q37-2.51</f>
        <v>8.17</v>
      </c>
      <c r="Q37" s="0" t="n">
        <v>10.68</v>
      </c>
      <c r="R37" s="8" t="n">
        <f aca="false">Q37/N37-1</f>
        <v>-0.00186915887850458</v>
      </c>
    </row>
    <row r="38" customFormat="false" ht="12.8" hidden="false" customHeight="false" outlineLevel="0" collapsed="false">
      <c r="E38" s="12" t="n">
        <v>46183</v>
      </c>
      <c r="J38" s="0" t="n">
        <v>11.7</v>
      </c>
      <c r="K38" s="0" t="n">
        <v>12.07</v>
      </c>
      <c r="L38" s="8" t="n">
        <f aca="false">K38/J38-1</f>
        <v>0.0316239316239317</v>
      </c>
      <c r="N38" s="0" t="n">
        <v>11.7</v>
      </c>
      <c r="O38" s="0" t="n">
        <f aca="false">Q38-2.51</f>
        <v>9.17</v>
      </c>
      <c r="Q38" s="0" t="n">
        <v>11.68</v>
      </c>
      <c r="R38" s="8" t="n">
        <f aca="false">Q38/N38-1</f>
        <v>-0.0017094017094017</v>
      </c>
    </row>
    <row r="39" customFormat="false" ht="12.8" hidden="false" customHeight="false" outlineLevel="0" collapsed="false">
      <c r="C39" s="9" t="s">
        <v>35</v>
      </c>
      <c r="D39" s="9" t="s">
        <v>36</v>
      </c>
      <c r="E39" s="9" t="s">
        <v>37</v>
      </c>
      <c r="F39" s="0" t="s">
        <v>38</v>
      </c>
    </row>
    <row r="40" customFormat="false" ht="12.8" hidden="false" customHeight="false" outlineLevel="0" collapsed="false">
      <c r="C40" s="13" t="n">
        <v>172</v>
      </c>
      <c r="D40" s="14" t="n">
        <v>12.3</v>
      </c>
      <c r="E40" s="0" t="n">
        <v>0</v>
      </c>
      <c r="F40" s="14" t="n">
        <f aca="false">$D$40-D40-E40</f>
        <v>0</v>
      </c>
    </row>
    <row r="41" customFormat="false" ht="12.8" hidden="false" customHeight="false" outlineLevel="0" collapsed="false">
      <c r="C41" s="13"/>
      <c r="D41" s="14" t="n">
        <v>11.3</v>
      </c>
      <c r="E41" s="0" t="n">
        <v>1</v>
      </c>
      <c r="F41" s="14" t="n">
        <f aca="false">$D$40-D41-E41</f>
        <v>0</v>
      </c>
    </row>
    <row r="42" customFormat="false" ht="12.8" hidden="false" customHeight="false" outlineLevel="0" collapsed="false">
      <c r="C42" s="13" t="n">
        <v>225</v>
      </c>
      <c r="D42" s="14" t="n">
        <v>10.31</v>
      </c>
      <c r="E42" s="0" t="n">
        <v>2</v>
      </c>
      <c r="F42" s="14" t="n">
        <f aca="false">$D$40-D42-E42</f>
        <v>-0.00999999999999979</v>
      </c>
    </row>
    <row r="43" customFormat="false" ht="12.8" hidden="false" customHeight="false" outlineLevel="0" collapsed="false">
      <c r="C43" s="13" t="n">
        <v>244</v>
      </c>
      <c r="D43" s="14" t="n">
        <v>9.29</v>
      </c>
      <c r="E43" s="0" t="n">
        <v>3</v>
      </c>
      <c r="F43" s="14" t="n">
        <f aca="false">$D$40-D43-E43</f>
        <v>0.0100000000000016</v>
      </c>
    </row>
    <row r="44" customFormat="false" ht="12.8" hidden="false" customHeight="false" outlineLevel="0" collapsed="false">
      <c r="C44" s="13" t="n">
        <v>270</v>
      </c>
      <c r="D44" s="14" t="n">
        <v>8.3</v>
      </c>
      <c r="E44" s="0" t="n">
        <v>4</v>
      </c>
      <c r="F44" s="14" t="n">
        <f aca="false">$D$40-D44-E44</f>
        <v>0</v>
      </c>
    </row>
    <row r="45" customFormat="false" ht="12.8" hidden="false" customHeight="false" outlineLevel="0" collapsed="false">
      <c r="C45" s="13" t="n">
        <v>298</v>
      </c>
      <c r="D45" s="14" t="n">
        <v>7.3</v>
      </c>
      <c r="E45" s="0" t="n">
        <v>5</v>
      </c>
      <c r="F45" s="14" t="n">
        <f aca="false">$D$40-D45-E45</f>
        <v>0</v>
      </c>
    </row>
    <row r="46" customFormat="false" ht="12.8" hidden="false" customHeight="false" outlineLevel="0" collapsed="false">
      <c r="C46" s="13"/>
      <c r="D46" s="14" t="n">
        <v>6.32</v>
      </c>
      <c r="E46" s="0" t="n">
        <v>6</v>
      </c>
      <c r="F46" s="14" t="n">
        <f aca="false">$D$40-D46-E46</f>
        <v>-0.0199999999999996</v>
      </c>
    </row>
    <row r="47" customFormat="false" ht="12.8" hidden="false" customHeight="false" outlineLevel="0" collapsed="false">
      <c r="C47" s="13"/>
      <c r="D47" s="14" t="n">
        <v>5.33</v>
      </c>
      <c r="E47" s="0" t="n">
        <v>7</v>
      </c>
      <c r="F47" s="14" t="n">
        <f aca="false">$D$40-D47-E47</f>
        <v>-0.0299999999999994</v>
      </c>
    </row>
    <row r="48" customFormat="false" ht="12.8" hidden="false" customHeight="false" outlineLevel="0" collapsed="false">
      <c r="C48" s="13"/>
      <c r="D48" s="14" t="n">
        <v>4.28</v>
      </c>
      <c r="E48" s="0" t="n">
        <v>8</v>
      </c>
      <c r="F48" s="14" t="n">
        <f aca="false">$D$40-D48-E48</f>
        <v>0.0199999999999996</v>
      </c>
    </row>
    <row r="49" customFormat="false" ht="12.8" hidden="false" customHeight="false" outlineLevel="0" collapsed="false">
      <c r="C49" s="13"/>
      <c r="D49" s="14" t="n">
        <v>3.71</v>
      </c>
      <c r="E49" s="0" t="n">
        <v>9</v>
      </c>
      <c r="F49" s="14" t="n">
        <f aca="false">$D$40-D49-E49</f>
        <v>-0.41</v>
      </c>
    </row>
    <row r="50" customFormat="false" ht="12.8" hidden="false" customHeight="false" outlineLevel="0" collapsed="false">
      <c r="C50" s="13"/>
      <c r="D50" s="14"/>
      <c r="E50" s="0" t="n">
        <f aca="false">9.75</f>
        <v>9.75</v>
      </c>
      <c r="F50" s="14" t="n">
        <f aca="false">$D$40-D50-E50</f>
        <v>2.55</v>
      </c>
    </row>
    <row r="52" customFormat="false" ht="12.8" hidden="false" customHeight="false" outlineLevel="0" collapsed="false">
      <c r="A52" s="0" t="s">
        <v>39</v>
      </c>
    </row>
    <row r="54" customFormat="false" ht="12.8" hidden="false" customHeight="false" outlineLevel="0" collapsed="false">
      <c r="C54" s="9" t="s">
        <v>40</v>
      </c>
    </row>
    <row r="55" customFormat="false" ht="12.8" hidden="false" customHeight="false" outlineLevel="0" collapsed="false">
      <c r="C55" s="0" t="n">
        <f aca="false">1.3+2.51</f>
        <v>3.81</v>
      </c>
      <c r="D55" s="0" t="n">
        <v>3.81</v>
      </c>
      <c r="E55" s="0" t="n">
        <v>0</v>
      </c>
    </row>
    <row r="56" customFormat="false" ht="12.8" hidden="false" customHeight="false" outlineLevel="0" collapsed="false">
      <c r="C56" s="0" t="n">
        <v>4.81</v>
      </c>
    </row>
    <row r="57" customFormat="false" ht="12.8" hidden="false" customHeight="false" outlineLevel="0" collapsed="false">
      <c r="C57" s="0" t="n">
        <v>5.81</v>
      </c>
      <c r="D57" s="0" t="n">
        <v>5.81</v>
      </c>
    </row>
    <row r="58" customFormat="false" ht="12.8" hidden="false" customHeight="false" outlineLevel="0" collapsed="false">
      <c r="C58" s="0" t="n">
        <v>6.81</v>
      </c>
      <c r="D58" s="0" t="n">
        <v>6.79</v>
      </c>
    </row>
    <row r="59" customFormat="false" ht="12.8" hidden="false" customHeight="false" outlineLevel="0" collapsed="false">
      <c r="C59" s="0" t="n">
        <v>7.81</v>
      </c>
      <c r="D59" s="0" t="n">
        <v>7.77</v>
      </c>
    </row>
    <row r="60" customFormat="false" ht="12.8" hidden="false" customHeight="false" outlineLevel="0" collapsed="false">
      <c r="C60" s="0" t="n">
        <v>8.81</v>
      </c>
      <c r="D60" s="0" t="n">
        <v>8.75</v>
      </c>
    </row>
    <row r="61" customFormat="false" ht="12.8" hidden="false" customHeight="false" outlineLevel="0" collapsed="false">
      <c r="C61" s="0" t="n">
        <v>9.81</v>
      </c>
      <c r="D61" s="0" t="n">
        <v>9.75</v>
      </c>
    </row>
    <row r="62" customFormat="false" ht="12.8" hidden="false" customHeight="false" outlineLevel="0" collapsed="false">
      <c r="C62" s="0" t="n">
        <v>10.81</v>
      </c>
      <c r="D62" s="0" t="n">
        <v>10.73</v>
      </c>
    </row>
    <row r="63" customFormat="false" ht="12.8" hidden="false" customHeight="false" outlineLevel="0" collapsed="false">
      <c r="C63" s="0" t="n">
        <v>11.28</v>
      </c>
      <c r="D63" s="0" t="n">
        <v>11.18</v>
      </c>
    </row>
    <row r="64" customFormat="false" ht="12.8" hidden="false" customHeight="false" outlineLevel="0" collapsed="false">
      <c r="C64" s="0" t="n">
        <f aca="false">C63+1</f>
        <v>12.28</v>
      </c>
      <c r="D64" s="0" t="n">
        <v>12.17</v>
      </c>
    </row>
    <row r="65" customFormat="false" ht="12.8" hidden="false" customHeight="false" outlineLevel="0" collapsed="false">
      <c r="C65" s="0" t="n">
        <f aca="false">C64+1</f>
        <v>13.28</v>
      </c>
      <c r="D65" s="0" t="n">
        <v>13.13</v>
      </c>
    </row>
    <row r="67" customFormat="false" ht="12.8" hidden="false" customHeight="false" outlineLevel="0" collapsed="false">
      <c r="A67" s="0" t="s">
        <v>41</v>
      </c>
    </row>
    <row r="68" customFormat="false" ht="12.8" hidden="false" customHeight="false" outlineLevel="0" collapsed="false">
      <c r="A68" s="0" t="s">
        <v>42</v>
      </c>
    </row>
    <row r="70" customFormat="false" ht="12.8" hidden="false" customHeight="false" outlineLevel="0" collapsed="false">
      <c r="C70" s="0" t="s">
        <v>40</v>
      </c>
      <c r="D70" s="0" t="s">
        <v>30</v>
      </c>
      <c r="E70" s="0" t="s">
        <v>43</v>
      </c>
      <c r="F70" s="9" t="s">
        <v>44</v>
      </c>
    </row>
    <row r="71" customFormat="false" ht="12.8" hidden="false" customHeight="false" outlineLevel="0" collapsed="false">
      <c r="C71" s="0" t="n">
        <v>2.5</v>
      </c>
      <c r="D71" s="15" t="n">
        <v>2.5</v>
      </c>
      <c r="E71" s="0" t="n">
        <f aca="false">D71+($C$82-$D$82)</f>
        <v>2.68</v>
      </c>
      <c r="F71" s="5" t="n">
        <f aca="false">(E71-C71)/$C$82</f>
        <v>0.0146938775510204</v>
      </c>
    </row>
    <row r="72" customFormat="false" ht="12.8" hidden="false" customHeight="false" outlineLevel="0" collapsed="false">
      <c r="C72" s="0" t="n">
        <f aca="false">C71+1</f>
        <v>3.5</v>
      </c>
      <c r="D72" s="15" t="n">
        <v>3.46</v>
      </c>
      <c r="E72" s="0" t="n">
        <f aca="false">D72+($C$82-$D$82)</f>
        <v>3.64</v>
      </c>
      <c r="F72" s="5" t="n">
        <f aca="false">(E72-C72)/$C$82</f>
        <v>0.0114285714285714</v>
      </c>
    </row>
    <row r="73" customFormat="false" ht="12.8" hidden="false" customHeight="false" outlineLevel="0" collapsed="false">
      <c r="C73" s="0" t="n">
        <f aca="false">C72+1</f>
        <v>4.5</v>
      </c>
      <c r="D73" s="15" t="n">
        <v>4.44</v>
      </c>
      <c r="E73" s="0" t="n">
        <f aca="false">D73+($C$82-$D$82)</f>
        <v>4.62</v>
      </c>
      <c r="F73" s="5" t="n">
        <f aca="false">(E73-C73)/$C$82</f>
        <v>0.00979591836734695</v>
      </c>
    </row>
    <row r="74" customFormat="false" ht="12.8" hidden="false" customHeight="false" outlineLevel="0" collapsed="false">
      <c r="C74" s="0" t="n">
        <f aca="false">C73+1</f>
        <v>5.5</v>
      </c>
      <c r="D74" s="15" t="n">
        <v>5.42</v>
      </c>
      <c r="E74" s="0" t="n">
        <f aca="false">D74+($C$82-$D$82)</f>
        <v>5.6</v>
      </c>
      <c r="F74" s="5" t="n">
        <f aca="false">(E74-C74)/$C$82</f>
        <v>0.00816326530612242</v>
      </c>
    </row>
    <row r="75" customFormat="false" ht="12.8" hidden="false" customHeight="false" outlineLevel="0" collapsed="false">
      <c r="C75" s="0" t="n">
        <f aca="false">C74+1</f>
        <v>6.5</v>
      </c>
      <c r="D75" s="15" t="n">
        <v>6.42</v>
      </c>
      <c r="E75" s="0" t="n">
        <f aca="false">D75+($C$82-$D$82)</f>
        <v>6.6</v>
      </c>
      <c r="F75" s="5" t="n">
        <f aca="false">(E75-C75)/$C$82</f>
        <v>0.00816326530612242</v>
      </c>
    </row>
    <row r="76" customFormat="false" ht="12.8" hidden="false" customHeight="false" outlineLevel="0" collapsed="false">
      <c r="C76" s="0" t="n">
        <f aca="false">C75+1</f>
        <v>7.5</v>
      </c>
      <c r="D76" s="15" t="n">
        <v>7.4</v>
      </c>
      <c r="E76" s="0" t="n">
        <f aca="false">D76+($C$82-$D$82)</f>
        <v>7.58</v>
      </c>
      <c r="F76" s="5" t="n">
        <f aca="false">(E76-C76)/$C$82</f>
        <v>0.00653061224489797</v>
      </c>
    </row>
    <row r="77" customFormat="false" ht="12.8" hidden="false" customHeight="false" outlineLevel="0" collapsed="false">
      <c r="C77" s="0" t="n">
        <f aca="false">C76+1</f>
        <v>8.5</v>
      </c>
      <c r="D77" s="15" t="n">
        <v>8.38</v>
      </c>
      <c r="E77" s="0" t="n">
        <f aca="false">D77+($C$82-$D$82)</f>
        <v>8.56</v>
      </c>
      <c r="F77" s="5" t="n">
        <f aca="false">(E77-C77)/$C$82</f>
        <v>0.00489795918367351</v>
      </c>
    </row>
    <row r="78" customFormat="false" ht="12.8" hidden="false" customHeight="false" outlineLevel="0" collapsed="false">
      <c r="C78" s="0" t="n">
        <f aca="false">C77+1</f>
        <v>9.5</v>
      </c>
      <c r="D78" s="15" t="n">
        <v>9.36</v>
      </c>
      <c r="E78" s="0" t="n">
        <f aca="false">D78+($C$82-$D$82)</f>
        <v>9.54</v>
      </c>
      <c r="F78" s="5" t="n">
        <f aca="false">(E78-C78)/$C$82</f>
        <v>0.00326530612244891</v>
      </c>
    </row>
    <row r="79" customFormat="false" ht="12.8" hidden="false" customHeight="false" outlineLevel="0" collapsed="false">
      <c r="C79" s="0" t="n">
        <f aca="false">C78+1</f>
        <v>10.5</v>
      </c>
      <c r="D79" s="15" t="n">
        <v>10.34</v>
      </c>
      <c r="E79" s="0" t="n">
        <f aca="false">D79+($C$82-$D$82)</f>
        <v>10.52</v>
      </c>
      <c r="F79" s="5" t="n">
        <f aca="false">(E79-C79)/$C$82</f>
        <v>0.00163265306122446</v>
      </c>
    </row>
    <row r="80" customFormat="false" ht="12.8" hidden="false" customHeight="false" outlineLevel="0" collapsed="false">
      <c r="C80" s="0" t="n">
        <f aca="false">C79+1</f>
        <v>11.5</v>
      </c>
      <c r="D80" s="15" t="n">
        <v>11.34</v>
      </c>
      <c r="E80" s="0" t="n">
        <f aca="false">D80+($C$82-$D$82)</f>
        <v>11.52</v>
      </c>
      <c r="F80" s="5" t="n">
        <f aca="false">(E80-C80)/$C$82</f>
        <v>0.00163265306122446</v>
      </c>
    </row>
    <row r="81" customFormat="false" ht="12.8" hidden="false" customHeight="false" outlineLevel="0" collapsed="false">
      <c r="C81" s="0" t="n">
        <f aca="false">C80+0.25</f>
        <v>11.75</v>
      </c>
      <c r="D81" s="15" t="n">
        <v>11.58</v>
      </c>
      <c r="E81" s="0" t="n">
        <f aca="false">D81+($C$82-$D$82)</f>
        <v>11.76</v>
      </c>
      <c r="F81" s="5" t="n">
        <f aca="false">(E81-C81)/$C$82</f>
        <v>0.000816326530612228</v>
      </c>
    </row>
    <row r="82" customFormat="false" ht="12.8" hidden="false" customHeight="false" outlineLevel="0" collapsed="false">
      <c r="C82" s="10" t="n">
        <f aca="false">C81+0.5</f>
        <v>12.25</v>
      </c>
      <c r="D82" s="15" t="n">
        <v>12.07</v>
      </c>
      <c r="E82" s="10" t="n">
        <f aca="false">D82+($C$82-$D$82)</f>
        <v>12.25</v>
      </c>
      <c r="F82" s="5" t="n">
        <f aca="false">(E82-C82)/$C$82</f>
        <v>0</v>
      </c>
    </row>
    <row r="83" customFormat="false" ht="12.8" hidden="false" customHeight="false" outlineLevel="0" collapsed="false">
      <c r="D83" s="15"/>
    </row>
    <row r="84" customFormat="false" ht="12.8" hidden="false" customHeight="false" outlineLevel="0" collapsed="false">
      <c r="D84" s="1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2026-06-09T12:48:07Z</dcterms:created>
  <dc:creator/>
  <dc:description/>
  <dc:language>en-GB</dc:language>
  <cp:lastModifiedBy/>
  <dcterms:modified xsi:type="dcterms:W3CDTF">2026-06-23T15:09:22Z</dcterms:modified>
  <cp:revision>14</cp:revision>
  <dc:subject/>
  <dc:title/>
</cp:coreProperties>
</file>