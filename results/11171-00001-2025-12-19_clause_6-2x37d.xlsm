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A7EB9E4C-9914-4843-B0BC-AF07A6A6852F}" xr6:coauthVersionLast="47" xr6:coauthVersionMax="47" xr10:uidLastSave="{00000000-0000-0000-0000-000000000000}"/>
  <bookViews>
    <workbookView xWindow="-98" yWindow="-98" windowWidth="28996" windowHeight="17745" activeTab="1"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externalReferences>
    <externalReference r:id="rId8"/>
  </externalReferences>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6" i="2" l="1"/>
  <c r="C36" i="2"/>
  <c r="B36" i="2"/>
  <c r="B35" i="2"/>
  <c r="D35" i="2"/>
  <c r="G21" i="2" l="1"/>
  <c r="L21" i="2" s="1"/>
  <c r="B21" i="5" s="1"/>
  <c r="B9" i="2"/>
  <c r="B10" i="2"/>
  <c r="B11" i="2"/>
  <c r="B12" i="2"/>
  <c r="B13" i="2"/>
  <c r="B14" i="2"/>
  <c r="B15" i="2"/>
  <c r="B16" i="2"/>
  <c r="B17" i="2"/>
  <c r="B18" i="2"/>
  <c r="I18" i="2" s="1"/>
  <c r="B19" i="2"/>
  <c r="B20" i="2"/>
  <c r="B21" i="2"/>
  <c r="B22" i="2"/>
  <c r="B23" i="2"/>
  <c r="B24" i="2"/>
  <c r="B25" i="2"/>
  <c r="B26" i="2"/>
  <c r="B27" i="2"/>
  <c r="B28" i="2"/>
  <c r="B29" i="2"/>
  <c r="B30" i="2"/>
  <c r="B31" i="2"/>
  <c r="B32" i="2"/>
  <c r="B33" i="2"/>
  <c r="B34" i="2"/>
  <c r="C9" i="2"/>
  <c r="D9" i="2"/>
  <c r="E9" i="2"/>
  <c r="C10" i="2"/>
  <c r="D10" i="2"/>
  <c r="E10" i="2"/>
  <c r="C11" i="2"/>
  <c r="D11" i="2"/>
  <c r="E11" i="2"/>
  <c r="C12" i="2"/>
  <c r="D12" i="2"/>
  <c r="E12" i="2"/>
  <c r="C13" i="2"/>
  <c r="D13" i="2"/>
  <c r="E13" i="2"/>
  <c r="C14" i="2"/>
  <c r="D14" i="2"/>
  <c r="E14" i="2"/>
  <c r="C15" i="2"/>
  <c r="D15" i="2"/>
  <c r="E15" i="2"/>
  <c r="C16" i="2"/>
  <c r="D16" i="2"/>
  <c r="E16" i="2"/>
  <c r="C17" i="2"/>
  <c r="D17" i="2"/>
  <c r="E17" i="2"/>
  <c r="C18" i="2"/>
  <c r="D18" i="2"/>
  <c r="E18" i="2"/>
  <c r="C19" i="2"/>
  <c r="D19" i="2"/>
  <c r="E19" i="2"/>
  <c r="C20" i="2"/>
  <c r="D20" i="2"/>
  <c r="E20" i="2"/>
  <c r="C21" i="2"/>
  <c r="D21" i="2"/>
  <c r="E21" i="2"/>
  <c r="C22" i="2"/>
  <c r="D22" i="2"/>
  <c r="E22" i="2"/>
  <c r="C23" i="2"/>
  <c r="D23" i="2"/>
  <c r="E23" i="2"/>
  <c r="C24" i="2"/>
  <c r="D24" i="2"/>
  <c r="E24" i="2"/>
  <c r="C25" i="2"/>
  <c r="D25" i="2"/>
  <c r="E25" i="2"/>
  <c r="C26" i="2"/>
  <c r="D26" i="2"/>
  <c r="E26" i="2"/>
  <c r="C27" i="2"/>
  <c r="D27" i="2"/>
  <c r="E27" i="2"/>
  <c r="C28" i="2"/>
  <c r="D28" i="2"/>
  <c r="E28" i="2"/>
  <c r="C29" i="2"/>
  <c r="D29" i="2"/>
  <c r="E29" i="2"/>
  <c r="C30" i="2"/>
  <c r="D30" i="2"/>
  <c r="E30" i="2"/>
  <c r="C31" i="2"/>
  <c r="D31" i="2"/>
  <c r="E31" i="2"/>
  <c r="C32" i="2"/>
  <c r="D32" i="2"/>
  <c r="E32" i="2"/>
  <c r="C33" i="2"/>
  <c r="D33" i="2"/>
  <c r="E33" i="2"/>
  <c r="C34" i="2"/>
  <c r="D34" i="2"/>
  <c r="E34" i="2"/>
  <c r="C35" i="2"/>
  <c r="E35" i="2"/>
  <c r="E36" i="2"/>
  <c r="E37" i="2"/>
  <c r="C38" i="2"/>
  <c r="D38" i="2"/>
  <c r="E38" i="2"/>
  <c r="B34" i="7"/>
  <c r="A34" i="7"/>
  <c r="B33" i="7"/>
  <c r="B32" i="7"/>
  <c r="B46" i="6"/>
  <c r="O44" i="6"/>
  <c r="N44" i="6"/>
  <c r="M44" i="6"/>
  <c r="M46" i="6" s="1"/>
  <c r="H44" i="6"/>
  <c r="G44" i="6"/>
  <c r="F44" i="6"/>
  <c r="F46" i="6" s="1"/>
  <c r="D44" i="6"/>
  <c r="O42" i="6"/>
  <c r="M42" i="6"/>
  <c r="H42" i="6"/>
  <c r="F42" i="6"/>
  <c r="D42" i="6"/>
  <c r="B42" i="6"/>
  <c r="G40" i="6"/>
  <c r="A32" i="7" s="1"/>
  <c r="C40" i="6"/>
  <c r="A33" i="7" s="1"/>
  <c r="M30" i="6"/>
  <c r="F30" i="6"/>
  <c r="A30" i="6"/>
  <c r="M13" i="6"/>
  <c r="M14" i="6" s="1"/>
  <c r="M15" i="6" s="1"/>
  <c r="F13" i="6"/>
  <c r="F14" i="6" s="1"/>
  <c r="F15" i="6" s="1"/>
  <c r="A13" i="6"/>
  <c r="A14" i="6" s="1"/>
  <c r="A15" i="6" s="1"/>
  <c r="A17" i="6" s="1"/>
  <c r="A19" i="6" s="1"/>
  <c r="A21" i="6" s="1"/>
  <c r="L3" i="5"/>
  <c r="P82" i="4"/>
  <c r="O82" i="4"/>
  <c r="N82" i="4"/>
  <c r="M82" i="4"/>
  <c r="L82" i="4"/>
  <c r="K82" i="4"/>
  <c r="J82" i="4"/>
  <c r="I82" i="4"/>
  <c r="H82" i="4"/>
  <c r="G82" i="4"/>
  <c r="F82" i="4"/>
  <c r="E82" i="4"/>
  <c r="D82" i="4"/>
  <c r="C82" i="4"/>
  <c r="B82" i="4"/>
  <c r="A82" i="4"/>
  <c r="P81" i="4"/>
  <c r="O81" i="4"/>
  <c r="N81" i="4"/>
  <c r="D37" i="4" s="1"/>
  <c r="M81" i="4"/>
  <c r="C37" i="4" s="1"/>
  <c r="L81" i="4"/>
  <c r="K81" i="4"/>
  <c r="J81" i="4"/>
  <c r="I81" i="4"/>
  <c r="H81" i="4"/>
  <c r="G81" i="4"/>
  <c r="F81" i="4"/>
  <c r="E81" i="4"/>
  <c r="D81" i="4"/>
  <c r="C81" i="4"/>
  <c r="B81" i="4"/>
  <c r="A81" i="4"/>
  <c r="P80" i="4"/>
  <c r="O80" i="4"/>
  <c r="E36" i="4" s="1"/>
  <c r="N80" i="4"/>
  <c r="D36" i="4" s="1"/>
  <c r="M80" i="4"/>
  <c r="L80" i="4"/>
  <c r="K80" i="4"/>
  <c r="J80" i="4"/>
  <c r="I80" i="4"/>
  <c r="H80" i="4"/>
  <c r="G80" i="4"/>
  <c r="F80" i="4"/>
  <c r="E80" i="4"/>
  <c r="D80" i="4"/>
  <c r="C80" i="4"/>
  <c r="B80" i="4"/>
  <c r="A80" i="4"/>
  <c r="P79" i="4"/>
  <c r="O79" i="4"/>
  <c r="E35" i="4" s="1"/>
  <c r="N79" i="4"/>
  <c r="D35" i="4" s="1"/>
  <c r="M79" i="4"/>
  <c r="L79" i="4"/>
  <c r="K79" i="4"/>
  <c r="J79" i="4"/>
  <c r="I79" i="4"/>
  <c r="H79" i="4"/>
  <c r="G79" i="4"/>
  <c r="F79" i="4"/>
  <c r="E79" i="4"/>
  <c r="D79" i="4"/>
  <c r="C79" i="4"/>
  <c r="B79" i="4"/>
  <c r="A79" i="4"/>
  <c r="P78" i="4"/>
  <c r="O78" i="4"/>
  <c r="E34" i="4" s="1"/>
  <c r="N78" i="4"/>
  <c r="D34" i="4" s="1"/>
  <c r="M78" i="4"/>
  <c r="L78" i="4"/>
  <c r="K78" i="4"/>
  <c r="J78" i="4"/>
  <c r="I78" i="4"/>
  <c r="H78" i="4"/>
  <c r="G78" i="4"/>
  <c r="F78" i="4"/>
  <c r="E78" i="4"/>
  <c r="D78" i="4"/>
  <c r="C78" i="4"/>
  <c r="B78" i="4"/>
  <c r="A78" i="4"/>
  <c r="P77" i="4"/>
  <c r="O77" i="4"/>
  <c r="N77" i="4"/>
  <c r="M77" i="4"/>
  <c r="C33" i="4" s="1"/>
  <c r="L77" i="4"/>
  <c r="K77" i="4"/>
  <c r="J77" i="4"/>
  <c r="I77" i="4"/>
  <c r="H77" i="4"/>
  <c r="G77" i="4"/>
  <c r="F77" i="4"/>
  <c r="E77" i="4"/>
  <c r="D77" i="4"/>
  <c r="C77" i="4"/>
  <c r="B77" i="4"/>
  <c r="A77" i="4"/>
  <c r="P76" i="4"/>
  <c r="O76" i="4"/>
  <c r="N76" i="4"/>
  <c r="D32" i="4" s="1"/>
  <c r="M76" i="4"/>
  <c r="C32" i="4" s="1"/>
  <c r="L76" i="4"/>
  <c r="K76" i="4"/>
  <c r="J76" i="4"/>
  <c r="I76" i="4"/>
  <c r="H76" i="4"/>
  <c r="G76" i="4"/>
  <c r="F76" i="4"/>
  <c r="E76" i="4"/>
  <c r="D76" i="4"/>
  <c r="C76" i="4"/>
  <c r="B76" i="4"/>
  <c r="A76" i="4"/>
  <c r="P75" i="4"/>
  <c r="O75" i="4"/>
  <c r="N75" i="4"/>
  <c r="D31" i="4" s="1"/>
  <c r="M75" i="4"/>
  <c r="C31" i="4" s="1"/>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D29" i="4" s="1"/>
  <c r="M73" i="4"/>
  <c r="L73" i="4"/>
  <c r="K73" i="4"/>
  <c r="J73" i="4"/>
  <c r="I73" i="4"/>
  <c r="H73" i="4"/>
  <c r="G73" i="4"/>
  <c r="F73" i="4"/>
  <c r="E73" i="4"/>
  <c r="D73" i="4"/>
  <c r="C73" i="4"/>
  <c r="B73" i="4"/>
  <c r="A73" i="4"/>
  <c r="P72" i="4"/>
  <c r="O72" i="4"/>
  <c r="N72" i="4"/>
  <c r="M72" i="4"/>
  <c r="C28" i="4" s="1"/>
  <c r="L72" i="4"/>
  <c r="K72" i="4"/>
  <c r="J72" i="4"/>
  <c r="I72" i="4"/>
  <c r="H72" i="4"/>
  <c r="G72" i="4"/>
  <c r="F72" i="4"/>
  <c r="E72" i="4"/>
  <c r="D72" i="4"/>
  <c r="C72" i="4"/>
  <c r="B72" i="4"/>
  <c r="A72" i="4"/>
  <c r="P71" i="4"/>
  <c r="O71" i="4"/>
  <c r="N71" i="4"/>
  <c r="M71" i="4"/>
  <c r="C27" i="4" s="1"/>
  <c r="L71" i="4"/>
  <c r="K71" i="4"/>
  <c r="J71" i="4"/>
  <c r="I71" i="4"/>
  <c r="H71" i="4"/>
  <c r="G71" i="4"/>
  <c r="F71" i="4"/>
  <c r="E71" i="4"/>
  <c r="D71" i="4"/>
  <c r="C71" i="4"/>
  <c r="B71" i="4"/>
  <c r="A71" i="4"/>
  <c r="P70" i="4"/>
  <c r="O70" i="4"/>
  <c r="N70" i="4"/>
  <c r="M70" i="4"/>
  <c r="C26" i="4" s="1"/>
  <c r="L70" i="4"/>
  <c r="K70" i="4"/>
  <c r="J70" i="4"/>
  <c r="I70" i="4"/>
  <c r="H70" i="4"/>
  <c r="G70" i="4"/>
  <c r="F70" i="4"/>
  <c r="E70" i="4"/>
  <c r="D70" i="4"/>
  <c r="C70" i="4"/>
  <c r="B70" i="4"/>
  <c r="A70" i="4"/>
  <c r="P69" i="4"/>
  <c r="O69" i="4"/>
  <c r="N69" i="4"/>
  <c r="D25" i="4" s="1"/>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C23" i="4" s="1"/>
  <c r="L67" i="4"/>
  <c r="K67" i="4"/>
  <c r="J67" i="4"/>
  <c r="I67" i="4"/>
  <c r="H67" i="4"/>
  <c r="G67" i="4"/>
  <c r="F67" i="4"/>
  <c r="E67" i="4"/>
  <c r="D67" i="4"/>
  <c r="C67" i="4"/>
  <c r="B67" i="4"/>
  <c r="A67" i="4"/>
  <c r="P66" i="4"/>
  <c r="O66" i="4"/>
  <c r="N66" i="4"/>
  <c r="D22" i="4" s="1"/>
  <c r="M66" i="4"/>
  <c r="C22" i="4" s="1"/>
  <c r="L66" i="4"/>
  <c r="K66" i="4"/>
  <c r="J66" i="4"/>
  <c r="I66" i="4"/>
  <c r="H66" i="4"/>
  <c r="G66" i="4"/>
  <c r="F66" i="4"/>
  <c r="E66" i="4"/>
  <c r="D66" i="4"/>
  <c r="C66" i="4"/>
  <c r="B66" i="4"/>
  <c r="A66" i="4"/>
  <c r="P65" i="4"/>
  <c r="O65" i="4"/>
  <c r="N65" i="4"/>
  <c r="D21" i="4" s="1"/>
  <c r="M65" i="4"/>
  <c r="C21" i="4" s="1"/>
  <c r="L65" i="4"/>
  <c r="K65" i="4"/>
  <c r="J65" i="4"/>
  <c r="I65" i="4"/>
  <c r="H65" i="4"/>
  <c r="G65" i="4"/>
  <c r="F65" i="4"/>
  <c r="E65" i="4"/>
  <c r="D65" i="4"/>
  <c r="C65" i="4"/>
  <c r="B65" i="4"/>
  <c r="A65" i="4"/>
  <c r="P64" i="4"/>
  <c r="O64" i="4"/>
  <c r="N64" i="4"/>
  <c r="M64" i="4"/>
  <c r="C20" i="4" s="1"/>
  <c r="L64" i="4"/>
  <c r="K64" i="4"/>
  <c r="J64" i="4"/>
  <c r="I64" i="4"/>
  <c r="H64" i="4"/>
  <c r="G64" i="4"/>
  <c r="F64" i="4"/>
  <c r="E64" i="4"/>
  <c r="D64" i="4"/>
  <c r="C64" i="4"/>
  <c r="B64" i="4"/>
  <c r="A64" i="4"/>
  <c r="P63" i="4"/>
  <c r="O63" i="4"/>
  <c r="N63" i="4"/>
  <c r="D19" i="4" s="1"/>
  <c r="M63" i="4"/>
  <c r="L63" i="4"/>
  <c r="K63" i="4"/>
  <c r="J63" i="4"/>
  <c r="I63" i="4"/>
  <c r="H63" i="4"/>
  <c r="G63" i="4"/>
  <c r="F63" i="4"/>
  <c r="E63" i="4"/>
  <c r="D63" i="4"/>
  <c r="C63" i="4"/>
  <c r="B63" i="4"/>
  <c r="A63" i="4"/>
  <c r="P62" i="4"/>
  <c r="O62" i="4"/>
  <c r="N62" i="4"/>
  <c r="D18" i="4" s="1"/>
  <c r="M62" i="4"/>
  <c r="L62" i="4"/>
  <c r="K62" i="4"/>
  <c r="J62" i="4"/>
  <c r="I62" i="4"/>
  <c r="H62" i="4"/>
  <c r="G62" i="4"/>
  <c r="F62" i="4"/>
  <c r="E62" i="4"/>
  <c r="D62" i="4"/>
  <c r="C62" i="4"/>
  <c r="B62" i="4"/>
  <c r="A62" i="4"/>
  <c r="P61" i="4"/>
  <c r="O61" i="4"/>
  <c r="N61" i="4"/>
  <c r="D17" i="4" s="1"/>
  <c r="M61" i="4"/>
  <c r="L61" i="4"/>
  <c r="K61" i="4"/>
  <c r="J61" i="4"/>
  <c r="I61" i="4"/>
  <c r="H61" i="4"/>
  <c r="G61" i="4"/>
  <c r="F61" i="4"/>
  <c r="E61" i="4"/>
  <c r="D61" i="4"/>
  <c r="C61" i="4"/>
  <c r="B61" i="4"/>
  <c r="A61" i="4"/>
  <c r="P60" i="4"/>
  <c r="O60" i="4"/>
  <c r="N60" i="4"/>
  <c r="M60" i="4"/>
  <c r="C16" i="4" s="1"/>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D14" i="4" s="1"/>
  <c r="M58" i="4"/>
  <c r="C14" i="4" s="1"/>
  <c r="L58" i="4"/>
  <c r="K58" i="4"/>
  <c r="J58" i="4"/>
  <c r="I58" i="4"/>
  <c r="H58" i="4"/>
  <c r="G58" i="4"/>
  <c r="F58" i="4"/>
  <c r="E58" i="4"/>
  <c r="D58" i="4"/>
  <c r="C58" i="4"/>
  <c r="B58" i="4"/>
  <c r="A58" i="4"/>
  <c r="P57" i="4"/>
  <c r="O57" i="4"/>
  <c r="N57" i="4"/>
  <c r="M57" i="4"/>
  <c r="C13" i="4" s="1"/>
  <c r="L57" i="4"/>
  <c r="K57" i="4"/>
  <c r="J57" i="4"/>
  <c r="I57" i="4"/>
  <c r="H57" i="4"/>
  <c r="G57" i="4"/>
  <c r="F57" i="4"/>
  <c r="E57" i="4"/>
  <c r="D57" i="4"/>
  <c r="C57" i="4"/>
  <c r="B57" i="4"/>
  <c r="A57" i="4"/>
  <c r="P56" i="4"/>
  <c r="O56" i="4"/>
  <c r="N56" i="4"/>
  <c r="D12" i="4" s="1"/>
  <c r="M56" i="4"/>
  <c r="C12" i="4" s="1"/>
  <c r="L56" i="4"/>
  <c r="K56" i="4"/>
  <c r="J56" i="4"/>
  <c r="I56" i="4"/>
  <c r="H56" i="4"/>
  <c r="G56" i="4"/>
  <c r="F56" i="4"/>
  <c r="E56" i="4"/>
  <c r="D56" i="4"/>
  <c r="C56" i="4"/>
  <c r="B56" i="4"/>
  <c r="A56" i="4"/>
  <c r="P55" i="4"/>
  <c r="O55" i="4"/>
  <c r="N55" i="4"/>
  <c r="D11" i="4" s="1"/>
  <c r="M55" i="4"/>
  <c r="C11" i="4" s="1"/>
  <c r="L55" i="4"/>
  <c r="K55" i="4"/>
  <c r="J55" i="4"/>
  <c r="I55" i="4"/>
  <c r="H55" i="4"/>
  <c r="G55" i="4"/>
  <c r="F55" i="4"/>
  <c r="E55" i="4"/>
  <c r="D55" i="4"/>
  <c r="C55" i="4"/>
  <c r="B55" i="4"/>
  <c r="A55" i="4"/>
  <c r="P54" i="4"/>
  <c r="O54" i="4"/>
  <c r="N54" i="4"/>
  <c r="D10" i="4" s="1"/>
  <c r="M54" i="4"/>
  <c r="C10" i="4" s="1"/>
  <c r="L54" i="4"/>
  <c r="K54" i="4"/>
  <c r="J54" i="4"/>
  <c r="I54" i="4"/>
  <c r="H54" i="4"/>
  <c r="G54" i="4"/>
  <c r="F54" i="4"/>
  <c r="E54" i="4"/>
  <c r="D54" i="4"/>
  <c r="C54" i="4"/>
  <c r="B54" i="4"/>
  <c r="A54" i="4"/>
  <c r="P53" i="4"/>
  <c r="O53" i="4"/>
  <c r="N53" i="4"/>
  <c r="D9" i="4" s="1"/>
  <c r="M53" i="4"/>
  <c r="C9" i="4" s="1"/>
  <c r="L53" i="4"/>
  <c r="K53" i="4"/>
  <c r="J53" i="4"/>
  <c r="I53" i="4"/>
  <c r="H53" i="4"/>
  <c r="G53" i="4"/>
  <c r="F53" i="4"/>
  <c r="E53" i="4"/>
  <c r="D53" i="4"/>
  <c r="C53" i="4"/>
  <c r="B53" i="4"/>
  <c r="A53" i="4"/>
  <c r="P52" i="4"/>
  <c r="O52" i="4"/>
  <c r="N52" i="4"/>
  <c r="D8" i="4" s="1"/>
  <c r="M52" i="4"/>
  <c r="C8" i="4" s="1"/>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S38" i="4"/>
  <c r="E38" i="4"/>
  <c r="D38" i="4"/>
  <c r="C38" i="4"/>
  <c r="B38" i="4"/>
  <c r="S37" i="4"/>
  <c r="E37" i="4"/>
  <c r="B37" i="4"/>
  <c r="P36" i="4"/>
  <c r="B36" i="4"/>
  <c r="P35" i="4"/>
  <c r="B35" i="4"/>
  <c r="C34" i="4"/>
  <c r="B34" i="4"/>
  <c r="E33" i="4"/>
  <c r="D33" i="4"/>
  <c r="B33" i="4"/>
  <c r="E32" i="4"/>
  <c r="B32" i="4"/>
  <c r="E31" i="4"/>
  <c r="B31" i="4"/>
  <c r="E30" i="4"/>
  <c r="D30" i="4"/>
  <c r="C30" i="4"/>
  <c r="B30" i="4"/>
  <c r="E29" i="4"/>
  <c r="C29" i="4"/>
  <c r="B29" i="4"/>
  <c r="E28" i="4"/>
  <c r="D28" i="4"/>
  <c r="B28" i="4"/>
  <c r="E27" i="4"/>
  <c r="D27" i="4"/>
  <c r="B27" i="4"/>
  <c r="E26" i="4"/>
  <c r="D26" i="4"/>
  <c r="B26" i="4"/>
  <c r="E25" i="4"/>
  <c r="C25" i="4"/>
  <c r="B25" i="4"/>
  <c r="E24" i="4"/>
  <c r="D24" i="4"/>
  <c r="C24" i="4"/>
  <c r="B24" i="4"/>
  <c r="E23" i="4"/>
  <c r="D23" i="4"/>
  <c r="B23" i="4"/>
  <c r="E22" i="4"/>
  <c r="B22" i="4"/>
  <c r="E21" i="4"/>
  <c r="B21" i="4"/>
  <c r="E20" i="4"/>
  <c r="D20" i="4"/>
  <c r="B20" i="4"/>
  <c r="E19" i="4"/>
  <c r="C19" i="4"/>
  <c r="B19" i="4"/>
  <c r="E18" i="4"/>
  <c r="C18" i="4"/>
  <c r="B18" i="4"/>
  <c r="E17" i="4"/>
  <c r="C17" i="4"/>
  <c r="B17" i="4"/>
  <c r="E16" i="4"/>
  <c r="D16" i="4"/>
  <c r="B16" i="4"/>
  <c r="E15" i="4"/>
  <c r="D15" i="4"/>
  <c r="C15" i="4"/>
  <c r="B15" i="4"/>
  <c r="E14" i="4"/>
  <c r="B14" i="4"/>
  <c r="E13" i="4"/>
  <c r="D13" i="4"/>
  <c r="B13" i="4"/>
  <c r="E12" i="4"/>
  <c r="B12" i="4"/>
  <c r="E11" i="4"/>
  <c r="B11" i="4"/>
  <c r="E10" i="4"/>
  <c r="B10" i="4"/>
  <c r="E9" i="4"/>
  <c r="B9" i="4"/>
  <c r="E8" i="4"/>
  <c r="B8" i="4"/>
  <c r="B5" i="4"/>
  <c r="A5" i="4"/>
  <c r="B4" i="4"/>
  <c r="A4" i="4"/>
  <c r="B3" i="4"/>
  <c r="A3" i="4"/>
  <c r="A1" i="4"/>
  <c r="P82" i="3"/>
  <c r="O82" i="3"/>
  <c r="N82" i="3"/>
  <c r="M82" i="3"/>
  <c r="L82" i="3"/>
  <c r="K82" i="3"/>
  <c r="J82" i="3"/>
  <c r="E38" i="3" s="1"/>
  <c r="I82" i="3"/>
  <c r="D38" i="3" s="1"/>
  <c r="H82" i="3"/>
  <c r="C38" i="3" s="1"/>
  <c r="G82" i="3"/>
  <c r="B38" i="3" s="1"/>
  <c r="F82" i="3"/>
  <c r="E82" i="3"/>
  <c r="D82" i="3"/>
  <c r="C82" i="3"/>
  <c r="B82" i="3"/>
  <c r="A82" i="3"/>
  <c r="P81" i="3"/>
  <c r="O81" i="3"/>
  <c r="N81" i="3"/>
  <c r="M81" i="3"/>
  <c r="L81" i="3"/>
  <c r="K81" i="3"/>
  <c r="J81" i="3"/>
  <c r="E37" i="3" s="1"/>
  <c r="I81" i="3"/>
  <c r="D37" i="3" s="1"/>
  <c r="H81" i="3"/>
  <c r="C37" i="3" s="1"/>
  <c r="G81" i="3"/>
  <c r="B37" i="3" s="1"/>
  <c r="F81" i="3"/>
  <c r="E81" i="3"/>
  <c r="D81" i="3"/>
  <c r="C81" i="3"/>
  <c r="B81" i="3"/>
  <c r="A81" i="3"/>
  <c r="P80" i="3"/>
  <c r="O80" i="3"/>
  <c r="N80" i="3"/>
  <c r="M80" i="3"/>
  <c r="L80" i="3"/>
  <c r="K80" i="3"/>
  <c r="J80" i="3"/>
  <c r="E36" i="3" s="1"/>
  <c r="I80" i="3"/>
  <c r="D36" i="3" s="1"/>
  <c r="H80" i="3"/>
  <c r="C36" i="3" s="1"/>
  <c r="G80" i="3"/>
  <c r="B36" i="3" s="1"/>
  <c r="F80" i="3"/>
  <c r="E80" i="3"/>
  <c r="D80" i="3"/>
  <c r="C80" i="3"/>
  <c r="B80" i="3"/>
  <c r="A80" i="3"/>
  <c r="P79" i="3"/>
  <c r="O79" i="3"/>
  <c r="N79" i="3"/>
  <c r="M79" i="3"/>
  <c r="L79" i="3"/>
  <c r="K79" i="3"/>
  <c r="J79" i="3"/>
  <c r="E35" i="3" s="1"/>
  <c r="I79" i="3"/>
  <c r="D35" i="3" s="1"/>
  <c r="H79" i="3"/>
  <c r="C35" i="3" s="1"/>
  <c r="G79" i="3"/>
  <c r="B35" i="3" s="1"/>
  <c r="F79" i="3"/>
  <c r="E79" i="3"/>
  <c r="D79" i="3"/>
  <c r="C79" i="3"/>
  <c r="B79" i="3"/>
  <c r="A79" i="3"/>
  <c r="P78" i="3"/>
  <c r="O78" i="3"/>
  <c r="N78" i="3"/>
  <c r="M78" i="3"/>
  <c r="L78" i="3"/>
  <c r="K78" i="3"/>
  <c r="J78" i="3"/>
  <c r="E34" i="3" s="1"/>
  <c r="I78" i="3"/>
  <c r="D34" i="3" s="1"/>
  <c r="H78" i="3"/>
  <c r="C34" i="3" s="1"/>
  <c r="G78" i="3"/>
  <c r="B34" i="3" s="1"/>
  <c r="F78" i="3"/>
  <c r="E78" i="3"/>
  <c r="D78" i="3"/>
  <c r="C78" i="3"/>
  <c r="B78" i="3"/>
  <c r="A78" i="3"/>
  <c r="P77" i="3"/>
  <c r="O77" i="3"/>
  <c r="N77" i="3"/>
  <c r="M77" i="3"/>
  <c r="L77" i="3"/>
  <c r="K77" i="3"/>
  <c r="J77" i="3"/>
  <c r="E33" i="3" s="1"/>
  <c r="I77" i="3"/>
  <c r="D33" i="3" s="1"/>
  <c r="H77" i="3"/>
  <c r="C33" i="3" s="1"/>
  <c r="G77" i="3"/>
  <c r="B33" i="3" s="1"/>
  <c r="F77" i="3"/>
  <c r="E77" i="3"/>
  <c r="D77" i="3"/>
  <c r="C77" i="3"/>
  <c r="B77" i="3"/>
  <c r="A77" i="3"/>
  <c r="P76" i="3"/>
  <c r="O76" i="3"/>
  <c r="N76" i="3"/>
  <c r="M76" i="3"/>
  <c r="L76" i="3"/>
  <c r="K76" i="3"/>
  <c r="J76" i="3"/>
  <c r="E32" i="3" s="1"/>
  <c r="I76" i="3"/>
  <c r="D32" i="3" s="1"/>
  <c r="H76" i="3"/>
  <c r="C32" i="3" s="1"/>
  <c r="G76" i="3"/>
  <c r="B32" i="3" s="1"/>
  <c r="F76" i="3"/>
  <c r="E76" i="3"/>
  <c r="D76" i="3"/>
  <c r="C76" i="3"/>
  <c r="B76" i="3"/>
  <c r="A76" i="3"/>
  <c r="P75" i="3"/>
  <c r="O75" i="3"/>
  <c r="N75" i="3"/>
  <c r="M75" i="3"/>
  <c r="L75" i="3"/>
  <c r="K75" i="3"/>
  <c r="J75" i="3"/>
  <c r="E31" i="3" s="1"/>
  <c r="I75" i="3"/>
  <c r="D31" i="3" s="1"/>
  <c r="H75" i="3"/>
  <c r="C31" i="3" s="1"/>
  <c r="G75" i="3"/>
  <c r="B31" i="3" s="1"/>
  <c r="F75" i="3"/>
  <c r="E75" i="3"/>
  <c r="D75" i="3"/>
  <c r="C75" i="3"/>
  <c r="B75" i="3"/>
  <c r="A75" i="3"/>
  <c r="P74" i="3"/>
  <c r="O74" i="3"/>
  <c r="N74" i="3"/>
  <c r="M74" i="3"/>
  <c r="L74" i="3"/>
  <c r="K74" i="3"/>
  <c r="J74" i="3"/>
  <c r="E30" i="3" s="1"/>
  <c r="I74" i="3"/>
  <c r="D30" i="3" s="1"/>
  <c r="H74" i="3"/>
  <c r="C30" i="3" s="1"/>
  <c r="G74" i="3"/>
  <c r="B30" i="3" s="1"/>
  <c r="F74" i="3"/>
  <c r="E74" i="3"/>
  <c r="D74" i="3"/>
  <c r="C74" i="3"/>
  <c r="B74" i="3"/>
  <c r="A74" i="3"/>
  <c r="P73" i="3"/>
  <c r="O73" i="3"/>
  <c r="N73" i="3"/>
  <c r="M73" i="3"/>
  <c r="L73" i="3"/>
  <c r="K73" i="3"/>
  <c r="J73" i="3"/>
  <c r="E29" i="3" s="1"/>
  <c r="I73" i="3"/>
  <c r="D29" i="3" s="1"/>
  <c r="H73" i="3"/>
  <c r="C29" i="3" s="1"/>
  <c r="G73" i="3"/>
  <c r="B29" i="3" s="1"/>
  <c r="F73" i="3"/>
  <c r="E73" i="3"/>
  <c r="D73" i="3"/>
  <c r="C73" i="3"/>
  <c r="B73" i="3"/>
  <c r="A73" i="3"/>
  <c r="P72" i="3"/>
  <c r="O72" i="3"/>
  <c r="N72" i="3"/>
  <c r="M72" i="3"/>
  <c r="L72" i="3"/>
  <c r="K72" i="3"/>
  <c r="J72" i="3"/>
  <c r="E28" i="3" s="1"/>
  <c r="I72" i="3"/>
  <c r="D28" i="3" s="1"/>
  <c r="H72" i="3"/>
  <c r="C28" i="3" s="1"/>
  <c r="G72" i="3"/>
  <c r="B28" i="3" s="1"/>
  <c r="F72" i="3"/>
  <c r="E72" i="3"/>
  <c r="D72" i="3"/>
  <c r="C72" i="3"/>
  <c r="B72" i="3"/>
  <c r="A72" i="3"/>
  <c r="P71" i="3"/>
  <c r="O71" i="3"/>
  <c r="N71" i="3"/>
  <c r="M71" i="3"/>
  <c r="L71" i="3"/>
  <c r="K71" i="3"/>
  <c r="J71" i="3"/>
  <c r="E27" i="3" s="1"/>
  <c r="I71" i="3"/>
  <c r="D27" i="3" s="1"/>
  <c r="H71" i="3"/>
  <c r="C27" i="3" s="1"/>
  <c r="G71" i="3"/>
  <c r="B27" i="3" s="1"/>
  <c r="F71" i="3"/>
  <c r="E71" i="3"/>
  <c r="D71" i="3"/>
  <c r="C71" i="3"/>
  <c r="B71" i="3"/>
  <c r="A71" i="3"/>
  <c r="P70" i="3"/>
  <c r="O70" i="3"/>
  <c r="N70" i="3"/>
  <c r="M70" i="3"/>
  <c r="L70" i="3"/>
  <c r="K70" i="3"/>
  <c r="J70" i="3"/>
  <c r="E26" i="3" s="1"/>
  <c r="I70" i="3"/>
  <c r="D26" i="3" s="1"/>
  <c r="H70" i="3"/>
  <c r="C26" i="3" s="1"/>
  <c r="G70" i="3"/>
  <c r="B26" i="3" s="1"/>
  <c r="F70" i="3"/>
  <c r="E70" i="3"/>
  <c r="D70" i="3"/>
  <c r="C70" i="3"/>
  <c r="B70" i="3"/>
  <c r="A70" i="3"/>
  <c r="P69" i="3"/>
  <c r="O69" i="3"/>
  <c r="N69" i="3"/>
  <c r="M69" i="3"/>
  <c r="L69" i="3"/>
  <c r="K69" i="3"/>
  <c r="J69" i="3"/>
  <c r="E25" i="3" s="1"/>
  <c r="I69" i="3"/>
  <c r="D25" i="3" s="1"/>
  <c r="H69" i="3"/>
  <c r="C25" i="3" s="1"/>
  <c r="G69" i="3"/>
  <c r="B25" i="3" s="1"/>
  <c r="F69" i="3"/>
  <c r="E69" i="3"/>
  <c r="D69" i="3"/>
  <c r="C69" i="3"/>
  <c r="B69" i="3"/>
  <c r="A69" i="3"/>
  <c r="P68" i="3"/>
  <c r="O68" i="3"/>
  <c r="N68" i="3"/>
  <c r="M68" i="3"/>
  <c r="L68" i="3"/>
  <c r="K68" i="3"/>
  <c r="J68" i="3"/>
  <c r="E24" i="3" s="1"/>
  <c r="I68" i="3"/>
  <c r="D24" i="3" s="1"/>
  <c r="H68" i="3"/>
  <c r="C24" i="3" s="1"/>
  <c r="G68" i="3"/>
  <c r="B24" i="3" s="1"/>
  <c r="F68" i="3"/>
  <c r="E68" i="3"/>
  <c r="D68" i="3"/>
  <c r="C68" i="3"/>
  <c r="B68" i="3"/>
  <c r="A68" i="3"/>
  <c r="P67" i="3"/>
  <c r="O67" i="3"/>
  <c r="N67" i="3"/>
  <c r="M67" i="3"/>
  <c r="L67" i="3"/>
  <c r="K67" i="3"/>
  <c r="J67" i="3"/>
  <c r="E23" i="3" s="1"/>
  <c r="I67" i="3"/>
  <c r="D23" i="3" s="1"/>
  <c r="H67" i="3"/>
  <c r="C23" i="3" s="1"/>
  <c r="G67" i="3"/>
  <c r="B23" i="3" s="1"/>
  <c r="F67" i="3"/>
  <c r="E67" i="3"/>
  <c r="D67" i="3"/>
  <c r="C67" i="3"/>
  <c r="B67" i="3"/>
  <c r="A67" i="3"/>
  <c r="P66" i="3"/>
  <c r="O66" i="3"/>
  <c r="N66" i="3"/>
  <c r="M66" i="3"/>
  <c r="L66" i="3"/>
  <c r="K66" i="3"/>
  <c r="J66" i="3"/>
  <c r="E22" i="3" s="1"/>
  <c r="I66" i="3"/>
  <c r="D22" i="3" s="1"/>
  <c r="H66" i="3"/>
  <c r="C22" i="3" s="1"/>
  <c r="G66" i="3"/>
  <c r="B22" i="3" s="1"/>
  <c r="F66" i="3"/>
  <c r="E66" i="3"/>
  <c r="D66" i="3"/>
  <c r="C66" i="3"/>
  <c r="B66" i="3"/>
  <c r="A66" i="3"/>
  <c r="P65" i="3"/>
  <c r="O65" i="3"/>
  <c r="N65" i="3"/>
  <c r="M65" i="3"/>
  <c r="L65" i="3"/>
  <c r="K65" i="3"/>
  <c r="J65" i="3"/>
  <c r="E21" i="3" s="1"/>
  <c r="I65" i="3"/>
  <c r="D21" i="3" s="1"/>
  <c r="H65" i="3"/>
  <c r="C21" i="3" s="1"/>
  <c r="G65" i="3"/>
  <c r="B21" i="3" s="1"/>
  <c r="F65" i="3"/>
  <c r="E65" i="3"/>
  <c r="D65" i="3"/>
  <c r="C65" i="3"/>
  <c r="B65" i="3"/>
  <c r="A65" i="3"/>
  <c r="P64" i="3"/>
  <c r="O64" i="3"/>
  <c r="N64" i="3"/>
  <c r="M64" i="3"/>
  <c r="L64" i="3"/>
  <c r="K64" i="3"/>
  <c r="J64" i="3"/>
  <c r="E20" i="3" s="1"/>
  <c r="I64" i="3"/>
  <c r="D20" i="3" s="1"/>
  <c r="H64" i="3"/>
  <c r="C20" i="3" s="1"/>
  <c r="G64" i="3"/>
  <c r="B20" i="3" s="1"/>
  <c r="F64" i="3"/>
  <c r="E64" i="3"/>
  <c r="D64" i="3"/>
  <c r="C64" i="3"/>
  <c r="B64" i="3"/>
  <c r="A64" i="3"/>
  <c r="P63" i="3"/>
  <c r="O63" i="3"/>
  <c r="N63" i="3"/>
  <c r="M63" i="3"/>
  <c r="L63" i="3"/>
  <c r="K63" i="3"/>
  <c r="J63" i="3"/>
  <c r="E19" i="3" s="1"/>
  <c r="I63" i="3"/>
  <c r="D19" i="3" s="1"/>
  <c r="H63" i="3"/>
  <c r="C19" i="3" s="1"/>
  <c r="G63" i="3"/>
  <c r="B19" i="3" s="1"/>
  <c r="F63" i="3"/>
  <c r="E63" i="3"/>
  <c r="D63" i="3"/>
  <c r="C63" i="3"/>
  <c r="B63" i="3"/>
  <c r="A63" i="3"/>
  <c r="P62" i="3"/>
  <c r="O62" i="3"/>
  <c r="N62" i="3"/>
  <c r="M62" i="3"/>
  <c r="L62" i="3"/>
  <c r="K62" i="3"/>
  <c r="J62" i="3"/>
  <c r="E18" i="3" s="1"/>
  <c r="I62" i="3"/>
  <c r="D18" i="3" s="1"/>
  <c r="H62" i="3"/>
  <c r="C18" i="3" s="1"/>
  <c r="G62" i="3"/>
  <c r="B18" i="3" s="1"/>
  <c r="F62" i="3"/>
  <c r="E62" i="3"/>
  <c r="D62" i="3"/>
  <c r="C62" i="3"/>
  <c r="B62" i="3"/>
  <c r="A62" i="3"/>
  <c r="P61" i="3"/>
  <c r="O61" i="3"/>
  <c r="N61" i="3"/>
  <c r="M61" i="3"/>
  <c r="L61" i="3"/>
  <c r="K61" i="3"/>
  <c r="J61" i="3"/>
  <c r="E17" i="3" s="1"/>
  <c r="I61" i="3"/>
  <c r="D17" i="3" s="1"/>
  <c r="H61" i="3"/>
  <c r="C17" i="3" s="1"/>
  <c r="G61" i="3"/>
  <c r="B17" i="3" s="1"/>
  <c r="F61" i="3"/>
  <c r="E61" i="3"/>
  <c r="D61" i="3"/>
  <c r="C61" i="3"/>
  <c r="B61" i="3"/>
  <c r="A61" i="3"/>
  <c r="P60" i="3"/>
  <c r="O60" i="3"/>
  <c r="N60" i="3"/>
  <c r="M60" i="3"/>
  <c r="L60" i="3"/>
  <c r="K60" i="3"/>
  <c r="J60" i="3"/>
  <c r="E16" i="3" s="1"/>
  <c r="I60" i="3"/>
  <c r="D16" i="3" s="1"/>
  <c r="H60" i="3"/>
  <c r="C16" i="3" s="1"/>
  <c r="G60" i="3"/>
  <c r="B16" i="3" s="1"/>
  <c r="F60" i="3"/>
  <c r="E60" i="3"/>
  <c r="D60" i="3"/>
  <c r="C60" i="3"/>
  <c r="B60" i="3"/>
  <c r="A60" i="3"/>
  <c r="P59" i="3"/>
  <c r="O59" i="3"/>
  <c r="N59" i="3"/>
  <c r="M59" i="3"/>
  <c r="L59" i="3"/>
  <c r="K59" i="3"/>
  <c r="J59" i="3"/>
  <c r="E15" i="3" s="1"/>
  <c r="I59" i="3"/>
  <c r="D15" i="3" s="1"/>
  <c r="H59" i="3"/>
  <c r="C15" i="3" s="1"/>
  <c r="G59" i="3"/>
  <c r="B15" i="3" s="1"/>
  <c r="F59" i="3"/>
  <c r="E59" i="3"/>
  <c r="D59" i="3"/>
  <c r="C59" i="3"/>
  <c r="B59" i="3"/>
  <c r="A59" i="3"/>
  <c r="P58" i="3"/>
  <c r="O58" i="3"/>
  <c r="N58" i="3"/>
  <c r="M58" i="3"/>
  <c r="L58" i="3"/>
  <c r="K58" i="3"/>
  <c r="J58" i="3"/>
  <c r="E14" i="3" s="1"/>
  <c r="I58" i="3"/>
  <c r="D14" i="3" s="1"/>
  <c r="H58" i="3"/>
  <c r="C14" i="3" s="1"/>
  <c r="G58" i="3"/>
  <c r="B14" i="3" s="1"/>
  <c r="F58" i="3"/>
  <c r="E58" i="3"/>
  <c r="D58" i="3"/>
  <c r="C58" i="3"/>
  <c r="B58" i="3"/>
  <c r="A58" i="3"/>
  <c r="P57" i="3"/>
  <c r="O57" i="3"/>
  <c r="N57" i="3"/>
  <c r="M57" i="3"/>
  <c r="L57" i="3"/>
  <c r="K57" i="3"/>
  <c r="J57" i="3"/>
  <c r="E13" i="3" s="1"/>
  <c r="I57" i="3"/>
  <c r="D13" i="3" s="1"/>
  <c r="H57" i="3"/>
  <c r="C13" i="3" s="1"/>
  <c r="G57" i="3"/>
  <c r="B13" i="3" s="1"/>
  <c r="F57" i="3"/>
  <c r="E57" i="3"/>
  <c r="D57" i="3"/>
  <c r="C57" i="3"/>
  <c r="B57" i="3"/>
  <c r="A57" i="3"/>
  <c r="P56" i="3"/>
  <c r="O56" i="3"/>
  <c r="N56" i="3"/>
  <c r="M56" i="3"/>
  <c r="L56" i="3"/>
  <c r="K56" i="3"/>
  <c r="J56" i="3"/>
  <c r="E12" i="3" s="1"/>
  <c r="I56" i="3"/>
  <c r="D12" i="3" s="1"/>
  <c r="H56" i="3"/>
  <c r="C12" i="3" s="1"/>
  <c r="G56" i="3"/>
  <c r="B12" i="3" s="1"/>
  <c r="F56" i="3"/>
  <c r="E56" i="3"/>
  <c r="D56" i="3"/>
  <c r="C56" i="3"/>
  <c r="B56" i="3"/>
  <c r="A56" i="3"/>
  <c r="P55" i="3"/>
  <c r="O55" i="3"/>
  <c r="N55" i="3"/>
  <c r="M55" i="3"/>
  <c r="L55" i="3"/>
  <c r="K55" i="3"/>
  <c r="J55" i="3"/>
  <c r="E11" i="3" s="1"/>
  <c r="I55" i="3"/>
  <c r="D11" i="3" s="1"/>
  <c r="H55" i="3"/>
  <c r="C11" i="3" s="1"/>
  <c r="G55" i="3"/>
  <c r="B11" i="3" s="1"/>
  <c r="F55" i="3"/>
  <c r="E55" i="3"/>
  <c r="D55" i="3"/>
  <c r="C55" i="3"/>
  <c r="B55" i="3"/>
  <c r="A55" i="3"/>
  <c r="P54" i="3"/>
  <c r="O54" i="3"/>
  <c r="N54" i="3"/>
  <c r="M54" i="3"/>
  <c r="L54" i="3"/>
  <c r="K54" i="3"/>
  <c r="J54" i="3"/>
  <c r="E10" i="3" s="1"/>
  <c r="I54" i="3"/>
  <c r="D10" i="3" s="1"/>
  <c r="H54" i="3"/>
  <c r="C10" i="3" s="1"/>
  <c r="G54" i="3"/>
  <c r="B10" i="3" s="1"/>
  <c r="F54" i="3"/>
  <c r="E54" i="3"/>
  <c r="D54" i="3"/>
  <c r="C54" i="3"/>
  <c r="B54" i="3"/>
  <c r="A54" i="3"/>
  <c r="P53" i="3"/>
  <c r="O53" i="3"/>
  <c r="N53" i="3"/>
  <c r="M53" i="3"/>
  <c r="L53" i="3"/>
  <c r="K53" i="3"/>
  <c r="J53" i="3"/>
  <c r="E9" i="3" s="1"/>
  <c r="I53" i="3"/>
  <c r="D9" i="3" s="1"/>
  <c r="H53" i="3"/>
  <c r="C9" i="3" s="1"/>
  <c r="G53" i="3"/>
  <c r="B9" i="3" s="1"/>
  <c r="F53" i="3"/>
  <c r="E53" i="3"/>
  <c r="D53" i="3"/>
  <c r="C53" i="3"/>
  <c r="B53" i="3"/>
  <c r="A53" i="3"/>
  <c r="P52" i="3"/>
  <c r="O52" i="3"/>
  <c r="N52" i="3"/>
  <c r="M52" i="3"/>
  <c r="L52" i="3"/>
  <c r="K52" i="3"/>
  <c r="J52" i="3"/>
  <c r="E8" i="3" s="1"/>
  <c r="I52" i="3"/>
  <c r="D8" i="3" s="1"/>
  <c r="H52" i="3"/>
  <c r="C8" i="3" s="1"/>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I14" i="2"/>
  <c r="E8" i="2"/>
  <c r="D8" i="2"/>
  <c r="C8" i="2"/>
  <c r="B8" i="2"/>
  <c r="B6" i="2"/>
  <c r="D48" i="1"/>
  <c r="F33" i="5" s="1"/>
  <c r="P34" i="1"/>
  <c r="Q34" i="1" s="1"/>
  <c r="Q33" i="1"/>
  <c r="P33" i="1"/>
  <c r="P32" i="1"/>
  <c r="Q32" i="1" s="1"/>
  <c r="P31" i="1"/>
  <c r="Q31" i="1" s="1"/>
  <c r="P30" i="1"/>
  <c r="Q30" i="1" s="1"/>
  <c r="P29" i="1"/>
  <c r="Q29" i="1" s="1"/>
  <c r="P28" i="1"/>
  <c r="Q28" i="1" s="1"/>
  <c r="Q27" i="1"/>
  <c r="P27" i="1"/>
  <c r="P26" i="1"/>
  <c r="Q26" i="1" s="1"/>
  <c r="Q25" i="1"/>
  <c r="P25" i="1"/>
  <c r="P24" i="1"/>
  <c r="Q24" i="1" s="1"/>
  <c r="P23" i="1"/>
  <c r="Q23" i="1" s="1"/>
  <c r="Q22" i="1"/>
  <c r="P22" i="1"/>
  <c r="P21" i="1"/>
  <c r="Q21" i="1" s="1"/>
  <c r="P20" i="1"/>
  <c r="Q20" i="1" s="1"/>
  <c r="Q19" i="1"/>
  <c r="P19" i="1"/>
  <c r="B19" i="1"/>
  <c r="C19" i="1" s="1"/>
  <c r="Q18" i="1"/>
  <c r="P18" i="1"/>
  <c r="P17" i="1"/>
  <c r="Q17" i="1" s="1"/>
  <c r="Q16" i="1"/>
  <c r="P16" i="1"/>
  <c r="Q15" i="1"/>
  <c r="P15" i="1"/>
  <c r="P14" i="1"/>
  <c r="Q14" i="1" s="1"/>
  <c r="B14" i="1"/>
  <c r="B16" i="1" s="1"/>
  <c r="P13" i="1"/>
  <c r="Q13" i="1" s="1"/>
  <c r="P12" i="1"/>
  <c r="Q12" i="1" s="1"/>
  <c r="P11" i="1"/>
  <c r="Q11" i="1" s="1"/>
  <c r="I11" i="1"/>
  <c r="H11" i="1"/>
  <c r="G11" i="1"/>
  <c r="E3" i="2" s="1"/>
  <c r="F11" i="1"/>
  <c r="P10" i="1"/>
  <c r="Q10" i="1" s="1"/>
  <c r="P9" i="1"/>
  <c r="Q9" i="1" s="1"/>
  <c r="I9" i="1"/>
  <c r="H9" i="1"/>
  <c r="G9" i="1"/>
  <c r="F9" i="1"/>
  <c r="P8" i="1"/>
  <c r="Q8" i="1" s="1"/>
  <c r="Q7" i="1"/>
  <c r="P7" i="1"/>
  <c r="I7" i="1"/>
  <c r="H7" i="1"/>
  <c r="G7" i="1"/>
  <c r="F7" i="1"/>
  <c r="P6" i="1"/>
  <c r="Q6" i="1" s="1"/>
  <c r="Q5" i="1"/>
  <c r="P5" i="1"/>
  <c r="M23" i="4" l="1"/>
  <c r="G28" i="4"/>
  <c r="M37" i="4"/>
  <c r="G16" i="2"/>
  <c r="L16" i="2" s="1"/>
  <c r="B26" i="5" s="1"/>
  <c r="M31" i="4"/>
  <c r="M38" i="4"/>
  <c r="G8" i="4"/>
  <c r="G11" i="4"/>
  <c r="G31" i="4"/>
  <c r="P31" i="4" s="1"/>
  <c r="M24" i="4"/>
  <c r="G9" i="4"/>
  <c r="Q9" i="4" s="1"/>
  <c r="G12" i="4"/>
  <c r="O12" i="4" s="1"/>
  <c r="G25" i="4"/>
  <c r="Q25" i="4" s="1"/>
  <c r="M22" i="4"/>
  <c r="M9" i="4"/>
  <c r="G33" i="4"/>
  <c r="R33" i="4" s="1"/>
  <c r="G10" i="4"/>
  <c r="P10" i="4" s="1"/>
  <c r="G26" i="4"/>
  <c r="R26" i="4" s="1"/>
  <c r="M30" i="4"/>
  <c r="D47" i="1"/>
  <c r="F32" i="5" s="1"/>
  <c r="I38" i="2"/>
  <c r="I24" i="2"/>
  <c r="M38" i="2"/>
  <c r="G22" i="4"/>
  <c r="P22" i="4" s="1"/>
  <c r="O22" i="4"/>
  <c r="G13" i="4"/>
  <c r="H13" i="4" s="1"/>
  <c r="J13" i="4" s="1"/>
  <c r="Q11" i="4"/>
  <c r="G23" i="4"/>
  <c r="L23" i="4" s="1"/>
  <c r="D19" i="5" s="1"/>
  <c r="G30" i="4"/>
  <c r="K30" i="4" s="1"/>
  <c r="G14" i="4"/>
  <c r="S14" i="4" s="1"/>
  <c r="I25" i="2"/>
  <c r="G8" i="2"/>
  <c r="H16" i="2" s="1"/>
  <c r="J16" i="2" s="1"/>
  <c r="M36" i="2"/>
  <c r="M37" i="2"/>
  <c r="M9" i="2"/>
  <c r="S21" i="2"/>
  <c r="M19" i="2"/>
  <c r="G38" i="2"/>
  <c r="G10" i="2"/>
  <c r="R10" i="2" s="1"/>
  <c r="B52" i="1"/>
  <c r="M23" i="2"/>
  <c r="I23" i="2"/>
  <c r="G23" i="2"/>
  <c r="R23" i="2" s="1"/>
  <c r="I13" i="2"/>
  <c r="G13" i="2"/>
  <c r="Q13" i="2" s="1"/>
  <c r="G14" i="2"/>
  <c r="O14" i="2" s="1"/>
  <c r="P21" i="2"/>
  <c r="G8" i="3"/>
  <c r="M9" i="3"/>
  <c r="I9" i="3"/>
  <c r="G9" i="3"/>
  <c r="O9" i="3" s="1"/>
  <c r="M10" i="3"/>
  <c r="I10" i="3"/>
  <c r="G10" i="3"/>
  <c r="R10" i="3" s="1"/>
  <c r="M11" i="3"/>
  <c r="I11" i="3"/>
  <c r="G11" i="3"/>
  <c r="S11" i="3" s="1"/>
  <c r="M12" i="3"/>
  <c r="I12" i="3"/>
  <c r="G12" i="3"/>
  <c r="I13" i="3"/>
  <c r="G13" i="3"/>
  <c r="O13" i="3" s="1"/>
  <c r="M13" i="3"/>
  <c r="I14" i="3"/>
  <c r="G14" i="3"/>
  <c r="O14" i="3" s="1"/>
  <c r="M14" i="3"/>
  <c r="I15" i="3"/>
  <c r="G15" i="3"/>
  <c r="O15" i="3" s="1"/>
  <c r="M15" i="3"/>
  <c r="I16" i="3"/>
  <c r="G16" i="3"/>
  <c r="O16" i="3" s="1"/>
  <c r="M16" i="3"/>
  <c r="G17" i="3"/>
  <c r="O17" i="3" s="1"/>
  <c r="M17" i="3"/>
  <c r="I17" i="3"/>
  <c r="G18" i="3"/>
  <c r="O18" i="3" s="1"/>
  <c r="M18" i="3"/>
  <c r="I18" i="3"/>
  <c r="M19" i="3"/>
  <c r="I19" i="3"/>
  <c r="G19" i="3"/>
  <c r="P19" i="3" s="1"/>
  <c r="M20" i="3"/>
  <c r="I20" i="3"/>
  <c r="G20" i="3"/>
  <c r="R20" i="3" s="1"/>
  <c r="M21" i="3"/>
  <c r="I21" i="3"/>
  <c r="G21" i="3"/>
  <c r="P21" i="3" s="1"/>
  <c r="M23" i="3"/>
  <c r="I23" i="3"/>
  <c r="G23" i="3"/>
  <c r="P23" i="3" s="1"/>
  <c r="M24" i="3"/>
  <c r="I24" i="3"/>
  <c r="G24" i="3"/>
  <c r="O24" i="3" s="1"/>
  <c r="M25" i="3"/>
  <c r="I25" i="3"/>
  <c r="G25" i="3"/>
  <c r="O25" i="3" s="1"/>
  <c r="M26" i="3"/>
  <c r="I26" i="3"/>
  <c r="G26" i="3"/>
  <c r="O26" i="3" s="1"/>
  <c r="M27" i="3"/>
  <c r="I27" i="3"/>
  <c r="G27" i="3"/>
  <c r="S27" i="3" s="1"/>
  <c r="M28" i="3"/>
  <c r="I28" i="3"/>
  <c r="G28" i="3"/>
  <c r="O28" i="3" s="1"/>
  <c r="I29" i="3"/>
  <c r="G29" i="3"/>
  <c r="R29" i="3" s="1"/>
  <c r="M29" i="3"/>
  <c r="I30" i="3"/>
  <c r="G30" i="3"/>
  <c r="O30" i="3" s="1"/>
  <c r="M30" i="3"/>
  <c r="I31" i="3"/>
  <c r="G31" i="3"/>
  <c r="P31" i="3" s="1"/>
  <c r="M31" i="3"/>
  <c r="I32" i="3"/>
  <c r="G32" i="3"/>
  <c r="P32" i="3" s="1"/>
  <c r="M32" i="3"/>
  <c r="I33" i="3"/>
  <c r="G33" i="3"/>
  <c r="M33" i="3"/>
  <c r="I34" i="3"/>
  <c r="G34" i="3"/>
  <c r="P34" i="3" s="1"/>
  <c r="M34" i="3"/>
  <c r="I35" i="3"/>
  <c r="G35" i="3"/>
  <c r="M35" i="3"/>
  <c r="I36" i="3"/>
  <c r="G36" i="3"/>
  <c r="P36" i="3" s="1"/>
  <c r="M36" i="3"/>
  <c r="I37" i="3"/>
  <c r="G37" i="3"/>
  <c r="M37" i="3"/>
  <c r="I38" i="3"/>
  <c r="G38" i="3"/>
  <c r="M38" i="3"/>
  <c r="H26" i="4"/>
  <c r="J26" i="4" s="1"/>
  <c r="O26" i="4"/>
  <c r="L26" i="4"/>
  <c r="D16" i="5" s="1"/>
  <c r="M16" i="2"/>
  <c r="R21" i="2"/>
  <c r="I11" i="4"/>
  <c r="H11" i="4"/>
  <c r="J11" i="4" s="1"/>
  <c r="S11" i="4"/>
  <c r="R11" i="4"/>
  <c r="L11" i="4"/>
  <c r="D31" i="5" s="1"/>
  <c r="K11" i="4"/>
  <c r="P26" i="4"/>
  <c r="Q38" i="2"/>
  <c r="P11" i="4"/>
  <c r="Q26" i="4"/>
  <c r="I10" i="2"/>
  <c r="M18" i="2"/>
  <c r="K21" i="2"/>
  <c r="O23" i="4"/>
  <c r="K23" i="4"/>
  <c r="I23" i="4"/>
  <c r="H23" i="4"/>
  <c r="J23" i="4" s="1"/>
  <c r="R23" i="4"/>
  <c r="Q23" i="4"/>
  <c r="P23" i="4"/>
  <c r="G27" i="4"/>
  <c r="P27" i="4" s="1"/>
  <c r="M10" i="2"/>
  <c r="I16" i="2"/>
  <c r="O21" i="2"/>
  <c r="G9" i="2"/>
  <c r="S9" i="2" s="1"/>
  <c r="I9" i="2"/>
  <c r="M15" i="2"/>
  <c r="I15" i="2"/>
  <c r="G15" i="2"/>
  <c r="Q15" i="2" s="1"/>
  <c r="P16" i="2"/>
  <c r="Q21" i="2"/>
  <c r="L9" i="4"/>
  <c r="D33" i="5" s="1"/>
  <c r="K9" i="4"/>
  <c r="I9" i="4"/>
  <c r="H9" i="4"/>
  <c r="J9" i="4" s="1"/>
  <c r="P9" i="4"/>
  <c r="O9" i="4"/>
  <c r="I12" i="4"/>
  <c r="R12" i="4"/>
  <c r="L12" i="4"/>
  <c r="D30" i="5" s="1"/>
  <c r="Q31" i="4"/>
  <c r="L31" i="4"/>
  <c r="D11" i="5" s="1"/>
  <c r="I31" i="4"/>
  <c r="F22" i="6"/>
  <c r="F25" i="6" s="1"/>
  <c r="F17" i="6"/>
  <c r="F19" i="6" s="1"/>
  <c r="F21" i="6" s="1"/>
  <c r="F23" i="6" s="1"/>
  <c r="F24" i="6" s="1"/>
  <c r="M34" i="4"/>
  <c r="M35" i="4"/>
  <c r="M36" i="4"/>
  <c r="M17" i="6"/>
  <c r="M19" i="6" s="1"/>
  <c r="M21" i="6" s="1"/>
  <c r="M23" i="6" s="1"/>
  <c r="M24" i="6" s="1"/>
  <c r="M22" i="6"/>
  <c r="M13" i="2"/>
  <c r="G18" i="2"/>
  <c r="P18" i="2" s="1"/>
  <c r="G20" i="2"/>
  <c r="R20" i="2" s="1"/>
  <c r="I20" i="2"/>
  <c r="I22" i="2"/>
  <c r="G22" i="2"/>
  <c r="S22" i="2" s="1"/>
  <c r="I28" i="4"/>
  <c r="H28" i="4"/>
  <c r="J28" i="4" s="1"/>
  <c r="R28" i="4"/>
  <c r="Q28" i="4"/>
  <c r="L28" i="4"/>
  <c r="D14" i="5" s="1"/>
  <c r="K28" i="4"/>
  <c r="S26" i="4"/>
  <c r="S28" i="4"/>
  <c r="M32" i="4"/>
  <c r="S33" i="4"/>
  <c r="M33" i="4"/>
  <c r="A31" i="6"/>
  <c r="A32" i="6" s="1"/>
  <c r="M11" i="2"/>
  <c r="I11" i="2"/>
  <c r="G11" i="2"/>
  <c r="Q11" i="2" s="1"/>
  <c r="G12" i="2"/>
  <c r="P12" i="2" s="1"/>
  <c r="I17" i="2"/>
  <c r="G17" i="2"/>
  <c r="M17" i="2"/>
  <c r="R9" i="4"/>
  <c r="P28" i="4"/>
  <c r="R31" i="4"/>
  <c r="F31" i="6"/>
  <c r="F32" i="6" s="1"/>
  <c r="I12" i="2"/>
  <c r="S9" i="4"/>
  <c r="M14" i="2"/>
  <c r="M20" i="2"/>
  <c r="K25" i="4"/>
  <c r="H10" i="4"/>
  <c r="J10" i="4" s="1"/>
  <c r="O10" i="4"/>
  <c r="L10" i="4"/>
  <c r="D32" i="5" s="1"/>
  <c r="G29" i="4"/>
  <c r="O29" i="4" s="1"/>
  <c r="G32" i="4"/>
  <c r="M12" i="2"/>
  <c r="R17" i="2"/>
  <c r="I19" i="2"/>
  <c r="G19" i="2"/>
  <c r="P19" i="2" s="1"/>
  <c r="B20" i="1"/>
  <c r="M21" i="2"/>
  <c r="M22" i="2"/>
  <c r="Q10" i="4"/>
  <c r="I13" i="4"/>
  <c r="G15" i="4"/>
  <c r="R15" i="4" s="1"/>
  <c r="Q22" i="4"/>
  <c r="M25" i="4"/>
  <c r="I21" i="2"/>
  <c r="M10" i="4"/>
  <c r="G16" i="4"/>
  <c r="S16" i="4" s="1"/>
  <c r="R22" i="4"/>
  <c r="M26" i="4"/>
  <c r="G24" i="2"/>
  <c r="G25" i="2"/>
  <c r="R25" i="2" s="1"/>
  <c r="G26" i="2"/>
  <c r="M11" i="4"/>
  <c r="K13" i="4"/>
  <c r="G17" i="4"/>
  <c r="S17" i="4" s="1"/>
  <c r="S22" i="4"/>
  <c r="M27" i="4"/>
  <c r="G27" i="2"/>
  <c r="P27" i="2" s="1"/>
  <c r="G28" i="2"/>
  <c r="G29" i="2"/>
  <c r="G30" i="2"/>
  <c r="G31" i="2"/>
  <c r="G32" i="2"/>
  <c r="R32" i="2" s="1"/>
  <c r="G33" i="2"/>
  <c r="G22" i="3"/>
  <c r="Q22" i="3" s="1"/>
  <c r="O11" i="4"/>
  <c r="M12" i="4"/>
  <c r="L13" i="4"/>
  <c r="D29" i="5" s="1"/>
  <c r="G18" i="4"/>
  <c r="S23" i="4"/>
  <c r="M28" i="4"/>
  <c r="G34" i="4"/>
  <c r="O34" i="4" s="1"/>
  <c r="G35" i="4"/>
  <c r="R35" i="4" s="1"/>
  <c r="G36" i="4"/>
  <c r="R36" i="4" s="1"/>
  <c r="G37" i="4"/>
  <c r="G38" i="4"/>
  <c r="O38" i="4" s="1"/>
  <c r="I26" i="2"/>
  <c r="G34" i="2"/>
  <c r="P34" i="2" s="1"/>
  <c r="M13" i="4"/>
  <c r="G19" i="4"/>
  <c r="O19" i="4" s="1"/>
  <c r="O28" i="4"/>
  <c r="M29" i="4"/>
  <c r="I27" i="2"/>
  <c r="I28" i="2"/>
  <c r="I29" i="2"/>
  <c r="I30" i="2"/>
  <c r="I31" i="2"/>
  <c r="I32" i="2"/>
  <c r="I33" i="2"/>
  <c r="G35" i="2"/>
  <c r="O35" i="2" s="1"/>
  <c r="I22" i="3"/>
  <c r="M14" i="4"/>
  <c r="G20" i="4"/>
  <c r="I34" i="2"/>
  <c r="G36" i="2"/>
  <c r="P13" i="4"/>
  <c r="M15" i="4"/>
  <c r="G21" i="4"/>
  <c r="I35" i="2"/>
  <c r="G37" i="2"/>
  <c r="Q13" i="4"/>
  <c r="M16" i="4"/>
  <c r="M24" i="2"/>
  <c r="G18" i="5" s="1"/>
  <c r="H18" i="5" s="1"/>
  <c r="M25" i="2"/>
  <c r="M26" i="2"/>
  <c r="I36" i="2"/>
  <c r="R13" i="4"/>
  <c r="M17" i="4"/>
  <c r="H22" i="4"/>
  <c r="J22" i="4" s="1"/>
  <c r="M27" i="2"/>
  <c r="M28" i="2"/>
  <c r="M29" i="2"/>
  <c r="M30" i="2"/>
  <c r="M31" i="2"/>
  <c r="M32" i="2"/>
  <c r="M33" i="2"/>
  <c r="I37" i="2"/>
  <c r="M22" i="3"/>
  <c r="S13" i="4"/>
  <c r="M18" i="4"/>
  <c r="I22" i="4"/>
  <c r="G24" i="4"/>
  <c r="S24" i="4" s="1"/>
  <c r="M34" i="2"/>
  <c r="M19" i="4"/>
  <c r="M35" i="2"/>
  <c r="M20" i="4"/>
  <c r="K22" i="4"/>
  <c r="M21" i="4"/>
  <c r="L22" i="4"/>
  <c r="D20" i="5" s="1"/>
  <c r="I33" i="4" l="1"/>
  <c r="L33" i="4"/>
  <c r="D9" i="5" s="1"/>
  <c r="Q33" i="4"/>
  <c r="O25" i="4"/>
  <c r="P25" i="4"/>
  <c r="H25" i="4"/>
  <c r="J25" i="4" s="1"/>
  <c r="I25" i="4"/>
  <c r="P33" i="4"/>
  <c r="L25" i="4"/>
  <c r="D17" i="5" s="1"/>
  <c r="Q13" i="3"/>
  <c r="Q27" i="4"/>
  <c r="S10" i="4"/>
  <c r="Q11" i="3"/>
  <c r="K12" i="4"/>
  <c r="Q16" i="3"/>
  <c r="I10" i="4"/>
  <c r="Q12" i="4"/>
  <c r="P12" i="4"/>
  <c r="S12" i="4"/>
  <c r="O27" i="4"/>
  <c r="K10" i="4"/>
  <c r="P16" i="3"/>
  <c r="Q16" i="2"/>
  <c r="H12" i="4"/>
  <c r="J12" i="4" s="1"/>
  <c r="S16" i="2"/>
  <c r="S25" i="4"/>
  <c r="H30" i="4"/>
  <c r="J30" i="4" s="1"/>
  <c r="G33" i="5"/>
  <c r="H33" i="5" s="1"/>
  <c r="R16" i="2"/>
  <c r="S30" i="4"/>
  <c r="H31" i="4"/>
  <c r="J31" i="4" s="1"/>
  <c r="I30" i="4"/>
  <c r="H33" i="4"/>
  <c r="J33" i="4" s="1"/>
  <c r="H38" i="2"/>
  <c r="J38" i="2" s="1"/>
  <c r="L30" i="4"/>
  <c r="D12" i="5" s="1"/>
  <c r="H21" i="2"/>
  <c r="J21" i="2" s="1"/>
  <c r="G8" i="5"/>
  <c r="H8" i="5" s="1"/>
  <c r="P14" i="2"/>
  <c r="K31" i="4"/>
  <c r="O30" i="4"/>
  <c r="K33" i="4"/>
  <c r="P30" i="4"/>
  <c r="O16" i="2"/>
  <c r="O31" i="4"/>
  <c r="Q30" i="4"/>
  <c r="O33" i="4"/>
  <c r="K16" i="2"/>
  <c r="S31" i="4"/>
  <c r="R30" i="4"/>
  <c r="D46" i="1"/>
  <c r="G4" i="5"/>
  <c r="H4" i="5" s="1"/>
  <c r="L38" i="2"/>
  <c r="B4" i="5" s="1"/>
  <c r="H14" i="4"/>
  <c r="J14" i="4" s="1"/>
  <c r="I14" i="4"/>
  <c r="K14" i="4"/>
  <c r="L14" i="4"/>
  <c r="D28" i="5" s="1"/>
  <c r="O13" i="4"/>
  <c r="O14" i="4"/>
  <c r="P14" i="4"/>
  <c r="Q14" i="4"/>
  <c r="R10" i="4"/>
  <c r="R14" i="4"/>
  <c r="R25" i="4"/>
  <c r="I26" i="4"/>
  <c r="K26" i="4"/>
  <c r="S13" i="3"/>
  <c r="G9" i="5"/>
  <c r="H9" i="5" s="1"/>
  <c r="G13" i="5"/>
  <c r="H13" i="5" s="1"/>
  <c r="R13" i="3"/>
  <c r="Q21" i="3"/>
  <c r="S29" i="3"/>
  <c r="O29" i="3"/>
  <c r="O35" i="3"/>
  <c r="Q35" i="3"/>
  <c r="O34" i="3"/>
  <c r="Q34" i="3"/>
  <c r="P33" i="3"/>
  <c r="Q33" i="3"/>
  <c r="O38" i="3"/>
  <c r="S38" i="3"/>
  <c r="Q37" i="3"/>
  <c r="S37" i="3"/>
  <c r="G19" i="5"/>
  <c r="H19" i="5" s="1"/>
  <c r="Q32" i="3"/>
  <c r="S36" i="3"/>
  <c r="Q31" i="3"/>
  <c r="Q20" i="3"/>
  <c r="O33" i="3"/>
  <c r="P15" i="3"/>
  <c r="G11" i="5"/>
  <c r="H11" i="5" s="1"/>
  <c r="O20" i="3"/>
  <c r="P17" i="3"/>
  <c r="O37" i="3"/>
  <c r="S9" i="3"/>
  <c r="P35" i="3"/>
  <c r="G12" i="5"/>
  <c r="H12" i="5" s="1"/>
  <c r="O31" i="3"/>
  <c r="P20" i="3"/>
  <c r="S19" i="3"/>
  <c r="Q19" i="3"/>
  <c r="S20" i="3"/>
  <c r="R19" i="3"/>
  <c r="R30" i="3"/>
  <c r="Q30" i="3"/>
  <c r="O10" i="2"/>
  <c r="P38" i="2"/>
  <c r="R22" i="2"/>
  <c r="P38" i="3"/>
  <c r="O36" i="3"/>
  <c r="O32" i="3"/>
  <c r="O35" i="4"/>
  <c r="P30" i="3"/>
  <c r="G10" i="5"/>
  <c r="H10" i="5" s="1"/>
  <c r="R24" i="4"/>
  <c r="R16" i="4"/>
  <c r="Q15" i="3"/>
  <c r="S18" i="3"/>
  <c r="Q38" i="3"/>
  <c r="P22" i="3"/>
  <c r="R21" i="3"/>
  <c r="R28" i="3"/>
  <c r="S14" i="3"/>
  <c r="Q18" i="3"/>
  <c r="G30" i="5"/>
  <c r="H30" i="5" s="1"/>
  <c r="S35" i="4"/>
  <c r="R18" i="3"/>
  <c r="Q14" i="3"/>
  <c r="R14" i="3"/>
  <c r="G24" i="5"/>
  <c r="H24" i="5" s="1"/>
  <c r="G7" i="5"/>
  <c r="H7" i="5" s="1"/>
  <c r="G14" i="5"/>
  <c r="H14" i="5" s="1"/>
  <c r="P14" i="3"/>
  <c r="S28" i="3"/>
  <c r="O21" i="3"/>
  <c r="R15" i="3"/>
  <c r="G21" i="5"/>
  <c r="H21" i="5" s="1"/>
  <c r="S27" i="4"/>
  <c r="Q16" i="4"/>
  <c r="G5" i="5"/>
  <c r="H5" i="5" s="1"/>
  <c r="G23" i="5"/>
  <c r="H23" i="5" s="1"/>
  <c r="P28" i="2"/>
  <c r="R28" i="2"/>
  <c r="Q22" i="2"/>
  <c r="Q10" i="2"/>
  <c r="O38" i="2"/>
  <c r="P10" i="2"/>
  <c r="H10" i="2"/>
  <c r="J10" i="2" s="1"/>
  <c r="S10" i="2"/>
  <c r="L10" i="2"/>
  <c r="B32" i="5" s="1"/>
  <c r="P26" i="2"/>
  <c r="R26" i="2"/>
  <c r="P29" i="2"/>
  <c r="R29" i="2"/>
  <c r="S38" i="2"/>
  <c r="O33" i="2"/>
  <c r="R33" i="2"/>
  <c r="P31" i="2"/>
  <c r="R31" i="2"/>
  <c r="R38" i="2"/>
  <c r="O30" i="2"/>
  <c r="R30" i="2"/>
  <c r="K38" i="2"/>
  <c r="K10" i="2"/>
  <c r="Q12" i="2"/>
  <c r="G6" i="5"/>
  <c r="H6" i="5" s="1"/>
  <c r="P22" i="2"/>
  <c r="P15" i="2"/>
  <c r="O15" i="2"/>
  <c r="Q27" i="2"/>
  <c r="O31" i="2"/>
  <c r="O27" i="2"/>
  <c r="O29" i="2"/>
  <c r="P32" i="4"/>
  <c r="O32" i="4"/>
  <c r="L32" i="4"/>
  <c r="D10" i="5" s="1"/>
  <c r="K32" i="4"/>
  <c r="I32" i="4"/>
  <c r="H32" i="4"/>
  <c r="J32" i="4" s="1"/>
  <c r="L12" i="3"/>
  <c r="C30" i="5" s="1"/>
  <c r="K12" i="3"/>
  <c r="H12" i="3"/>
  <c r="J12" i="3" s="1"/>
  <c r="Q12" i="3"/>
  <c r="H29" i="4"/>
  <c r="J29" i="4" s="1"/>
  <c r="R29" i="4"/>
  <c r="Q29" i="4"/>
  <c r="P29" i="4"/>
  <c r="L29" i="4"/>
  <c r="D13" i="5" s="1"/>
  <c r="K29" i="4"/>
  <c r="I29" i="4"/>
  <c r="H20" i="2"/>
  <c r="J20" i="2" s="1"/>
  <c r="Q20" i="2"/>
  <c r="K20" i="2"/>
  <c r="P20" i="2"/>
  <c r="L20" i="2"/>
  <c r="B22" i="5" s="1"/>
  <c r="G27" i="5"/>
  <c r="H27" i="5" s="1"/>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L14" i="2"/>
  <c r="B28" i="5" s="1"/>
  <c r="H14" i="2"/>
  <c r="J14" i="2" s="1"/>
  <c r="R14" i="2"/>
  <c r="K14" i="2"/>
  <c r="S14" i="2"/>
  <c r="Q14" i="2"/>
  <c r="O23" i="2"/>
  <c r="Q21" i="4"/>
  <c r="P21" i="4"/>
  <c r="L21" i="4"/>
  <c r="D21" i="5" s="1"/>
  <c r="K21" i="4"/>
  <c r="I21" i="4"/>
  <c r="H21" i="4"/>
  <c r="J21" i="4" s="1"/>
  <c r="S21" i="4"/>
  <c r="R21" i="4"/>
  <c r="O17" i="4"/>
  <c r="L17" i="4"/>
  <c r="D25" i="5" s="1"/>
  <c r="K17" i="4"/>
  <c r="I17" i="4"/>
  <c r="H17" i="4"/>
  <c r="J17" i="4" s="1"/>
  <c r="Q32" i="4"/>
  <c r="Q19" i="4"/>
  <c r="P19" i="4"/>
  <c r="G31" i="5"/>
  <c r="H31" i="5" s="1"/>
  <c r="H18" i="2"/>
  <c r="J18" i="2" s="1"/>
  <c r="S18" i="2"/>
  <c r="L18" i="2"/>
  <c r="B24" i="5" s="1"/>
  <c r="K18" i="2"/>
  <c r="R18" i="2"/>
  <c r="O18" i="2"/>
  <c r="S17" i="3"/>
  <c r="S16" i="3"/>
  <c r="K13" i="2"/>
  <c r="R13" i="2"/>
  <c r="L13" i="2"/>
  <c r="B29" i="5" s="1"/>
  <c r="H13" i="2"/>
  <c r="J13" i="2" s="1"/>
  <c r="P37" i="2"/>
  <c r="O37" i="2"/>
  <c r="L37" i="2"/>
  <c r="B5" i="5" s="1"/>
  <c r="K37" i="2"/>
  <c r="H37" i="2"/>
  <c r="J37" i="2" s="1"/>
  <c r="S37" i="2"/>
  <c r="Q37" i="2"/>
  <c r="S18" i="4"/>
  <c r="L18" i="4"/>
  <c r="D24" i="5" s="1"/>
  <c r="K18" i="4"/>
  <c r="I18" i="4"/>
  <c r="H18" i="4"/>
  <c r="J18" i="4" s="1"/>
  <c r="S15" i="4"/>
  <c r="G29" i="5"/>
  <c r="H29" i="5" s="1"/>
  <c r="R24" i="3"/>
  <c r="Q24" i="3"/>
  <c r="P24" i="3"/>
  <c r="L24" i="3"/>
  <c r="C18" i="5" s="1"/>
  <c r="K24" i="3"/>
  <c r="H24" i="3"/>
  <c r="J24" i="3" s="1"/>
  <c r="S24" i="3"/>
  <c r="L19" i="3"/>
  <c r="C23" i="5" s="1"/>
  <c r="K19" i="3"/>
  <c r="H19" i="3"/>
  <c r="J19" i="3" s="1"/>
  <c r="L11" i="3"/>
  <c r="C31" i="5" s="1"/>
  <c r="K11" i="3"/>
  <c r="H11" i="3"/>
  <c r="J11" i="3" s="1"/>
  <c r="R11" i="3"/>
  <c r="P11" i="3"/>
  <c r="S12" i="3"/>
  <c r="R12" i="2"/>
  <c r="P12" i="3"/>
  <c r="K9" i="2"/>
  <c r="P9" i="2"/>
  <c r="O9" i="2"/>
  <c r="L9" i="2"/>
  <c r="B33" i="5" s="1"/>
  <c r="H9" i="2"/>
  <c r="J9" i="2" s="1"/>
  <c r="L28" i="3"/>
  <c r="C14" i="5" s="1"/>
  <c r="K28" i="3"/>
  <c r="H28" i="3"/>
  <c r="J28" i="3" s="1"/>
  <c r="Q28" i="3"/>
  <c r="P28" i="3"/>
  <c r="O13" i="2"/>
  <c r="Q9" i="2"/>
  <c r="Q36" i="2"/>
  <c r="P36" i="2"/>
  <c r="O36" i="2"/>
  <c r="L36" i="2"/>
  <c r="B6" i="5" s="1"/>
  <c r="K36" i="2"/>
  <c r="H36" i="2"/>
  <c r="J36" i="2" s="1"/>
  <c r="R36" i="2"/>
  <c r="S19" i="4"/>
  <c r="R19" i="4"/>
  <c r="L19" i="4"/>
  <c r="D23" i="5" s="1"/>
  <c r="K19" i="4"/>
  <c r="I19" i="4"/>
  <c r="H19" i="4"/>
  <c r="J19" i="4" s="1"/>
  <c r="S26" i="2"/>
  <c r="L26" i="2"/>
  <c r="B16" i="5" s="1"/>
  <c r="K26" i="2"/>
  <c r="H26" i="2"/>
  <c r="J26" i="2" s="1"/>
  <c r="S36" i="4"/>
  <c r="P34" i="4"/>
  <c r="Q17" i="4"/>
  <c r="H36" i="3"/>
  <c r="J36" i="3" s="1"/>
  <c r="R36" i="3"/>
  <c r="L36" i="3"/>
  <c r="C6" i="5" s="1"/>
  <c r="K36" i="3"/>
  <c r="H32" i="3"/>
  <c r="J32" i="3" s="1"/>
  <c r="S32" i="3"/>
  <c r="R32" i="3"/>
  <c r="L32" i="3"/>
  <c r="C10" i="5" s="1"/>
  <c r="K32" i="3"/>
  <c r="H15" i="3"/>
  <c r="J15" i="3" s="1"/>
  <c r="S15" i="3"/>
  <c r="L15" i="3"/>
  <c r="C27" i="5" s="1"/>
  <c r="K15" i="3"/>
  <c r="G15" i="5"/>
  <c r="H15" i="5" s="1"/>
  <c r="S25" i="2"/>
  <c r="L25" i="2"/>
  <c r="B17" i="5" s="1"/>
  <c r="K25" i="2"/>
  <c r="H25" i="2"/>
  <c r="J25" i="2" s="1"/>
  <c r="R18" i="4"/>
  <c r="M25" i="6"/>
  <c r="M31" i="6" s="1"/>
  <c r="M32" i="6" s="1"/>
  <c r="O20" i="2"/>
  <c r="I27" i="4"/>
  <c r="H27" i="4"/>
  <c r="J27" i="4" s="1"/>
  <c r="R27" i="4"/>
  <c r="L27" i="4"/>
  <c r="D15" i="5" s="1"/>
  <c r="K27" i="4"/>
  <c r="O19" i="3"/>
  <c r="O11" i="3"/>
  <c r="P25" i="2"/>
  <c r="O12" i="2"/>
  <c r="S22" i="3"/>
  <c r="R22" i="3"/>
  <c r="L22" i="3"/>
  <c r="C20" i="5" s="1"/>
  <c r="K22" i="3"/>
  <c r="H22" i="3"/>
  <c r="J22" i="3" s="1"/>
  <c r="S24" i="2"/>
  <c r="L24" i="2"/>
  <c r="B18" i="5" s="1"/>
  <c r="K24" i="2"/>
  <c r="H24" i="2"/>
  <c r="J24" i="2" s="1"/>
  <c r="R24" i="2"/>
  <c r="P30" i="2"/>
  <c r="S34" i="4"/>
  <c r="P18" i="4"/>
  <c r="O18" i="4"/>
  <c r="Q18" i="2"/>
  <c r="R17" i="4"/>
  <c r="P37" i="3"/>
  <c r="L27" i="3"/>
  <c r="C15" i="5" s="1"/>
  <c r="K27" i="3"/>
  <c r="H27" i="3"/>
  <c r="J27" i="3" s="1"/>
  <c r="R27" i="3"/>
  <c r="Q27" i="3"/>
  <c r="P27" i="3"/>
  <c r="S23" i="3"/>
  <c r="R23" i="3"/>
  <c r="Q23" i="3"/>
  <c r="L23" i="3"/>
  <c r="C19" i="5" s="1"/>
  <c r="K23" i="3"/>
  <c r="H23" i="3"/>
  <c r="J23" i="3" s="1"/>
  <c r="P10" i="3"/>
  <c r="L10" i="3"/>
  <c r="C32" i="5" s="1"/>
  <c r="K10" i="3"/>
  <c r="H10" i="3"/>
  <c r="J10" i="3" s="1"/>
  <c r="S10" i="3"/>
  <c r="Q10" i="3"/>
  <c r="R32" i="4"/>
  <c r="D45" i="1"/>
  <c r="F31" i="5"/>
  <c r="R20" i="4"/>
  <c r="Q20" i="4"/>
  <c r="L20" i="4"/>
  <c r="D22" i="5" s="1"/>
  <c r="K20" i="4"/>
  <c r="I20" i="4"/>
  <c r="H20" i="4"/>
  <c r="J20" i="4" s="1"/>
  <c r="S20" i="4"/>
  <c r="S34" i="2"/>
  <c r="R34" i="2"/>
  <c r="Q34" i="2"/>
  <c r="L34" i="2"/>
  <c r="B8" i="5" s="1"/>
  <c r="K34" i="2"/>
  <c r="H34" i="2"/>
  <c r="J34" i="2" s="1"/>
  <c r="O20" i="4"/>
  <c r="Q15" i="4"/>
  <c r="P15" i="4"/>
  <c r="O15" i="4"/>
  <c r="L15" i="4"/>
  <c r="D27" i="5" s="1"/>
  <c r="K15" i="4"/>
  <c r="I15" i="4"/>
  <c r="H15" i="4"/>
  <c r="J15" i="4" s="1"/>
  <c r="S33" i="2"/>
  <c r="Q33" i="2"/>
  <c r="L33" i="2"/>
  <c r="B9" i="5" s="1"/>
  <c r="K33" i="2"/>
  <c r="H33" i="2"/>
  <c r="J33" i="2" s="1"/>
  <c r="R37" i="2"/>
  <c r="C52" i="1"/>
  <c r="C20" i="1"/>
  <c r="B21" i="1"/>
  <c r="G22" i="5"/>
  <c r="H22" i="5" s="1"/>
  <c r="Q24" i="2"/>
  <c r="O24" i="2"/>
  <c r="Q29" i="3"/>
  <c r="H35" i="3"/>
  <c r="J35" i="3" s="1"/>
  <c r="S35" i="3"/>
  <c r="R35" i="3"/>
  <c r="L35" i="3"/>
  <c r="C7" i="5" s="1"/>
  <c r="K35" i="3"/>
  <c r="H31" i="3"/>
  <c r="J31" i="3" s="1"/>
  <c r="S31" i="3"/>
  <c r="R31" i="3"/>
  <c r="L31" i="3"/>
  <c r="C11" i="5" s="1"/>
  <c r="K31" i="3"/>
  <c r="K14" i="3"/>
  <c r="H14" i="3"/>
  <c r="J14" i="3" s="1"/>
  <c r="L14" i="3"/>
  <c r="C28" i="5" s="1"/>
  <c r="S13" i="2"/>
  <c r="L24" i="4"/>
  <c r="D18" i="5" s="1"/>
  <c r="K24" i="4"/>
  <c r="I24" i="4"/>
  <c r="H24" i="4"/>
  <c r="J24" i="4" s="1"/>
  <c r="Q24" i="4"/>
  <c r="P24" i="4"/>
  <c r="O24" i="4"/>
  <c r="R38" i="4"/>
  <c r="Q38" i="4"/>
  <c r="P38" i="4"/>
  <c r="L38" i="4"/>
  <c r="D4" i="5" s="1"/>
  <c r="K38" i="4"/>
  <c r="I38" i="4"/>
  <c r="H38" i="4"/>
  <c r="J38" i="4" s="1"/>
  <c r="S32" i="2"/>
  <c r="Q32" i="2"/>
  <c r="L32" i="2"/>
  <c r="B10" i="5" s="1"/>
  <c r="K32" i="2"/>
  <c r="H32" i="2"/>
  <c r="J32" i="2" s="1"/>
  <c r="P16" i="4"/>
  <c r="O16" i="4"/>
  <c r="L16" i="4"/>
  <c r="D26" i="5" s="1"/>
  <c r="K16" i="4"/>
  <c r="I16" i="4"/>
  <c r="H16" i="4"/>
  <c r="J16" i="4" s="1"/>
  <c r="H19" i="2"/>
  <c r="J19" i="2" s="1"/>
  <c r="R19" i="2"/>
  <c r="L19" i="2"/>
  <c r="B23" i="5" s="1"/>
  <c r="K19" i="2"/>
  <c r="S19" i="2"/>
  <c r="O19" i="2"/>
  <c r="Q19" i="2"/>
  <c r="G28" i="5"/>
  <c r="H28" i="5" s="1"/>
  <c r="P33" i="2"/>
  <c r="G32" i="5"/>
  <c r="H32" i="5" s="1"/>
  <c r="Q23" i="2"/>
  <c r="P20" i="4"/>
  <c r="O27" i="3"/>
  <c r="O23" i="3"/>
  <c r="P18" i="3"/>
  <c r="L18" i="3"/>
  <c r="C24" i="5" s="1"/>
  <c r="K18" i="3"/>
  <c r="H18" i="3"/>
  <c r="J18" i="3" s="1"/>
  <c r="O10" i="3"/>
  <c r="Q25" i="2"/>
  <c r="Q36" i="3"/>
  <c r="R9" i="2"/>
  <c r="G16" i="5"/>
  <c r="H16" i="5" s="1"/>
  <c r="R35" i="2"/>
  <c r="Q35" i="2"/>
  <c r="P35" i="2"/>
  <c r="L35" i="2"/>
  <c r="B7" i="5" s="1"/>
  <c r="K35" i="2"/>
  <c r="H35" i="2"/>
  <c r="J35" i="2" s="1"/>
  <c r="S35" i="2"/>
  <c r="R37" i="4"/>
  <c r="Q37" i="4"/>
  <c r="P37" i="4"/>
  <c r="L37" i="4"/>
  <c r="D5" i="5" s="1"/>
  <c r="K37" i="4"/>
  <c r="I37" i="4"/>
  <c r="H37" i="4"/>
  <c r="J37" i="4" s="1"/>
  <c r="S31" i="2"/>
  <c r="Q31" i="2"/>
  <c r="L31" i="2"/>
  <c r="B11" i="5" s="1"/>
  <c r="K31" i="2"/>
  <c r="H31" i="2"/>
  <c r="J31" i="2" s="1"/>
  <c r="O28" i="2"/>
  <c r="O34" i="2"/>
  <c r="S36" i="2"/>
  <c r="S20" i="2"/>
  <c r="S32" i="4"/>
  <c r="Q26" i="2"/>
  <c r="O26" i="2"/>
  <c r="R17" i="3"/>
  <c r="P26" i="3"/>
  <c r="L26" i="3"/>
  <c r="C16" i="5" s="1"/>
  <c r="K26" i="3"/>
  <c r="H26" i="3"/>
  <c r="J26" i="3" s="1"/>
  <c r="S26" i="3"/>
  <c r="R26" i="3"/>
  <c r="Q26" i="3"/>
  <c r="S21" i="3"/>
  <c r="L21" i="3"/>
  <c r="C21" i="5" s="1"/>
  <c r="K21" i="3"/>
  <c r="H21" i="3"/>
  <c r="J21" i="3" s="1"/>
  <c r="Q9" i="3"/>
  <c r="P9" i="3"/>
  <c r="L9" i="3"/>
  <c r="C33" i="5" s="1"/>
  <c r="K9" i="3"/>
  <c r="H9" i="3"/>
  <c r="J9" i="3" s="1"/>
  <c r="R9" i="3"/>
  <c r="P23" i="2"/>
  <c r="G17" i="5"/>
  <c r="H17" i="5" s="1"/>
  <c r="Q36" i="4"/>
  <c r="L36" i="4"/>
  <c r="D6" i="5" s="1"/>
  <c r="K36" i="4"/>
  <c r="I36" i="4"/>
  <c r="H36" i="4"/>
  <c r="J36" i="4" s="1"/>
  <c r="S30" i="2"/>
  <c r="Q30" i="2"/>
  <c r="L30" i="2"/>
  <c r="B12" i="5" s="1"/>
  <c r="K30" i="2"/>
  <c r="H30" i="2"/>
  <c r="J30" i="2" s="1"/>
  <c r="O25" i="2"/>
  <c r="G25" i="5"/>
  <c r="H25" i="5" s="1"/>
  <c r="S29" i="4"/>
  <c r="P24" i="2"/>
  <c r="O32" i="2"/>
  <c r="G26" i="5"/>
  <c r="H26" i="5" s="1"/>
  <c r="R12" i="3"/>
  <c r="Q35" i="4"/>
  <c r="L35" i="4"/>
  <c r="D7" i="5" s="1"/>
  <c r="K35" i="4"/>
  <c r="I35" i="4"/>
  <c r="H35" i="4"/>
  <c r="J35" i="4" s="1"/>
  <c r="S29" i="2"/>
  <c r="Q29" i="2"/>
  <c r="L29" i="2"/>
  <c r="B13" i="5" s="1"/>
  <c r="K29" i="2"/>
  <c r="H29" i="2"/>
  <c r="J29" i="2" s="1"/>
  <c r="G20" i="5"/>
  <c r="H20" i="5" s="1"/>
  <c r="K17" i="2"/>
  <c r="L17" i="2"/>
  <c r="B25" i="5" s="1"/>
  <c r="H17" i="2"/>
  <c r="J17" i="2" s="1"/>
  <c r="S17" i="2"/>
  <c r="Q17" i="2"/>
  <c r="P17" i="2"/>
  <c r="O17" i="2"/>
  <c r="O22" i="2"/>
  <c r="L22" i="2"/>
  <c r="B20" i="5" s="1"/>
  <c r="H22" i="2"/>
  <c r="J22" i="2" s="1"/>
  <c r="K22" i="2"/>
  <c r="R34" i="4"/>
  <c r="P32" i="2"/>
  <c r="P13" i="2"/>
  <c r="H38" i="3"/>
  <c r="J38" i="3" s="1"/>
  <c r="R38" i="3"/>
  <c r="L38" i="3"/>
  <c r="C4" i="5" s="1"/>
  <c r="K38" i="3"/>
  <c r="H34" i="3"/>
  <c r="J34" i="3" s="1"/>
  <c r="S34" i="3"/>
  <c r="R34" i="3"/>
  <c r="L34" i="3"/>
  <c r="C8" i="5" s="1"/>
  <c r="K34" i="3"/>
  <c r="K30" i="3"/>
  <c r="H30" i="3"/>
  <c r="J30" i="3" s="1"/>
  <c r="S30" i="3"/>
  <c r="L30" i="3"/>
  <c r="C12" i="5" s="1"/>
  <c r="L13" i="3"/>
  <c r="C29" i="5" s="1"/>
  <c r="K13" i="3"/>
  <c r="H13" i="3"/>
  <c r="J13" i="3" s="1"/>
  <c r="P13" i="3"/>
  <c r="Q34" i="4"/>
  <c r="L34" i="4"/>
  <c r="D8" i="5" s="1"/>
  <c r="K34" i="4"/>
  <c r="I34" i="4"/>
  <c r="H34" i="4"/>
  <c r="J34" i="4" s="1"/>
  <c r="S28" i="2"/>
  <c r="Q28" i="2"/>
  <c r="L28" i="2"/>
  <c r="B14" i="5" s="1"/>
  <c r="K28" i="2"/>
  <c r="H28" i="2"/>
  <c r="J28" i="2" s="1"/>
  <c r="H17" i="3"/>
  <c r="J17" i="3" s="1"/>
  <c r="Q17" i="3"/>
  <c r="L17" i="3"/>
  <c r="C25" i="5" s="1"/>
  <c r="K17" i="3"/>
  <c r="K23" i="2"/>
  <c r="H23" i="2"/>
  <c r="J23" i="2" s="1"/>
  <c r="S23" i="2"/>
  <c r="L23" i="2"/>
  <c r="B19" i="5" s="1"/>
  <c r="K11" i="2"/>
  <c r="H11" i="2"/>
  <c r="J11" i="2" s="1"/>
  <c r="P11" i="2"/>
  <c r="S11" i="2"/>
  <c r="O11" i="2"/>
  <c r="L11" i="2"/>
  <c r="B31" i="5" s="1"/>
  <c r="S27" i="2"/>
  <c r="R27" i="2"/>
  <c r="L27" i="2"/>
  <c r="B15" i="5" s="1"/>
  <c r="K27" i="2"/>
  <c r="H27" i="2"/>
  <c r="J27" i="2" s="1"/>
  <c r="O37" i="4"/>
  <c r="R11" i="2"/>
  <c r="O36" i="4"/>
  <c r="L12" i="2"/>
  <c r="B30" i="5" s="1"/>
  <c r="H12" i="2"/>
  <c r="J12" i="2" s="1"/>
  <c r="K12" i="2"/>
  <c r="S12" i="2"/>
  <c r="Q18" i="4"/>
  <c r="L15" i="2"/>
  <c r="B27" i="5" s="1"/>
  <c r="K15" i="2"/>
  <c r="R15" i="2"/>
  <c r="H15" i="2"/>
  <c r="J15" i="2" s="1"/>
  <c r="S15" i="2"/>
  <c r="O21" i="4"/>
  <c r="P17" i="4"/>
  <c r="Q25" i="3"/>
  <c r="P25" i="3"/>
  <c r="L25" i="3"/>
  <c r="C17" i="5" s="1"/>
  <c r="K25" i="3"/>
  <c r="H25" i="3"/>
  <c r="J25" i="3" s="1"/>
  <c r="S25" i="3"/>
  <c r="R25" i="3"/>
  <c r="L20" i="3"/>
  <c r="C22" i="5" s="1"/>
  <c r="K20" i="3"/>
  <c r="H20" i="3"/>
  <c r="J20" i="3" s="1"/>
  <c r="O12" i="3"/>
  <c r="E4" i="5" l="1"/>
  <c r="E26" i="5"/>
  <c r="E31" i="5"/>
  <c r="E30" i="5"/>
  <c r="E15" i="5"/>
  <c r="E20" i="5"/>
  <c r="E25" i="5"/>
  <c r="E19" i="5"/>
  <c r="E32" i="5"/>
  <c r="E13" i="5"/>
  <c r="E16" i="5"/>
  <c r="E12" i="5"/>
  <c r="E11" i="5"/>
  <c r="E10" i="5"/>
  <c r="E27" i="5"/>
  <c r="E5" i="5"/>
  <c r="C21" i="1"/>
  <c r="B22" i="1"/>
  <c r="D52" i="1"/>
  <c r="E23" i="5"/>
  <c r="E17" i="5"/>
  <c r="E6" i="5"/>
  <c r="F30" i="5"/>
  <c r="D44" i="1"/>
  <c r="E8" i="5"/>
  <c r="E29" i="5"/>
  <c r="E9" i="5"/>
  <c r="E28" i="5"/>
  <c r="E21" i="5"/>
  <c r="E7" i="5"/>
  <c r="E22" i="5"/>
  <c r="E14" i="5"/>
  <c r="E24" i="5"/>
  <c r="E18" i="5"/>
  <c r="E33" i="5"/>
  <c r="F29" i="5" l="1"/>
  <c r="D43" i="1"/>
  <c r="C22" i="1"/>
  <c r="B23" i="1"/>
  <c r="E52" i="1"/>
  <c r="B24" i="1" l="1"/>
  <c r="C23" i="1"/>
  <c r="F52" i="1"/>
  <c r="F28" i="5"/>
  <c r="D42" i="1"/>
  <c r="F27" i="5" l="1"/>
  <c r="D41" i="1"/>
  <c r="C24" i="1"/>
  <c r="B25" i="1"/>
  <c r="G52" i="1"/>
  <c r="H52" i="1" l="1"/>
  <c r="B26" i="1"/>
  <c r="C25" i="1"/>
  <c r="D40" i="1"/>
  <c r="F26" i="5"/>
  <c r="I52" i="1" l="1"/>
  <c r="B27" i="1"/>
  <c r="C26" i="1"/>
  <c r="F25" i="5"/>
  <c r="D39" i="1"/>
  <c r="F24" i="5" l="1"/>
  <c r="D38" i="1"/>
  <c r="C27" i="1"/>
  <c r="B28" i="1"/>
  <c r="J52" i="1"/>
  <c r="K52" i="1" l="1"/>
  <c r="B29" i="1"/>
  <c r="C28" i="1"/>
  <c r="F23" i="5"/>
  <c r="D37" i="1"/>
  <c r="C29" i="1" l="1"/>
  <c r="B30" i="1"/>
  <c r="L52" i="1"/>
  <c r="F22" i="5"/>
  <c r="D36" i="1"/>
  <c r="F21" i="5" l="1"/>
  <c r="D35" i="1"/>
  <c r="B31" i="1"/>
  <c r="C30" i="1"/>
  <c r="M52" i="1"/>
  <c r="F20" i="5" l="1"/>
  <c r="D34" i="1"/>
  <c r="B32" i="1"/>
  <c r="C31" i="1"/>
  <c r="N52" i="1"/>
  <c r="F19" i="5" l="1"/>
  <c r="D33" i="1"/>
  <c r="O52" i="1"/>
  <c r="B33" i="1"/>
  <c r="C32" i="1"/>
  <c r="P52" i="1" l="1"/>
  <c r="B34" i="1"/>
  <c r="C33" i="1"/>
  <c r="F18" i="5"/>
  <c r="D32" i="1"/>
  <c r="F17" i="5" l="1"/>
  <c r="D31" i="1"/>
  <c r="B35" i="1"/>
  <c r="Q52" i="1"/>
  <c r="C34" i="1"/>
  <c r="C35" i="1" l="1"/>
  <c r="R52" i="1"/>
  <c r="B36" i="1"/>
  <c r="D30" i="1"/>
  <c r="F16" i="5"/>
  <c r="F15" i="5" l="1"/>
  <c r="D29" i="1"/>
  <c r="S52" i="1"/>
  <c r="B37" i="1"/>
  <c r="C36" i="1"/>
  <c r="B38" i="1" l="1"/>
  <c r="T52" i="1"/>
  <c r="C37" i="1"/>
  <c r="F14" i="5"/>
  <c r="D28" i="1"/>
  <c r="F13" i="5" l="1"/>
  <c r="D27" i="1"/>
  <c r="U52" i="1"/>
  <c r="B39" i="1"/>
  <c r="C38" i="1"/>
  <c r="B40" i="1" l="1"/>
  <c r="C39" i="1"/>
  <c r="V52" i="1"/>
  <c r="F12" i="5"/>
  <c r="D26" i="1"/>
  <c r="D25" i="1" l="1"/>
  <c r="F11" i="5"/>
  <c r="C40" i="1"/>
  <c r="B41" i="1"/>
  <c r="W52" i="1"/>
  <c r="X52" i="1" l="1"/>
  <c r="B42" i="1"/>
  <c r="C41" i="1"/>
  <c r="F10" i="5"/>
  <c r="D24" i="1"/>
  <c r="F9" i="5" l="1"/>
  <c r="D23" i="1"/>
  <c r="Y52" i="1"/>
  <c r="C42" i="1"/>
  <c r="B43" i="1"/>
  <c r="C43" i="1" l="1"/>
  <c r="B44" i="1"/>
  <c r="Z52" i="1"/>
  <c r="D22" i="1"/>
  <c r="F8" i="5"/>
  <c r="B45" i="1" l="1"/>
  <c r="C44" i="1"/>
  <c r="AA52" i="1"/>
  <c r="F7" i="5"/>
  <c r="D21" i="1"/>
  <c r="F6" i="5" l="1"/>
  <c r="D20" i="1"/>
  <c r="B46" i="1"/>
  <c r="C45" i="1"/>
  <c r="AB52" i="1"/>
  <c r="B47" i="1" l="1"/>
  <c r="C46" i="1"/>
  <c r="AC52" i="1"/>
  <c r="F5" i="5"/>
  <c r="D19" i="1"/>
  <c r="F4" i="5" s="1"/>
  <c r="M4" i="5"/>
  <c r="M27" i="5"/>
  <c r="M11" i="5"/>
  <c r="M26" i="5"/>
  <c r="M10" i="5"/>
  <c r="M25" i="5"/>
  <c r="M9" i="5"/>
  <c r="M30" i="5"/>
  <c r="M24" i="5"/>
  <c r="M8" i="5"/>
  <c r="M23" i="5"/>
  <c r="M7" i="5"/>
  <c r="M22" i="5"/>
  <c r="M6" i="5"/>
  <c r="M21" i="5"/>
  <c r="M5" i="5"/>
  <c r="M20" i="5"/>
  <c r="M14" i="5"/>
  <c r="M19" i="5"/>
  <c r="M18" i="5"/>
  <c r="M17" i="5"/>
  <c r="M16" i="5"/>
  <c r="M15" i="5"/>
  <c r="M29" i="5"/>
  <c r="M13" i="5"/>
  <c r="M28" i="5"/>
  <c r="M12" i="5"/>
  <c r="B13" i="7" l="1"/>
  <c r="B29" i="7"/>
  <c r="B14" i="7"/>
  <c r="B30" i="7"/>
  <c r="B16" i="7"/>
  <c r="B17" i="7"/>
  <c r="B18" i="7"/>
  <c r="B19" i="7"/>
  <c r="B20" i="7"/>
  <c r="B15" i="7"/>
  <c r="B21" i="7"/>
  <c r="B6" i="7"/>
  <c r="B22" i="7"/>
  <c r="B7" i="7"/>
  <c r="B23" i="7"/>
  <c r="B8" i="7"/>
  <c r="B24" i="7"/>
  <c r="B9" i="7"/>
  <c r="B25" i="7"/>
  <c r="B31" i="7"/>
  <c r="B10" i="7"/>
  <c r="B26" i="7"/>
  <c r="B11" i="7"/>
  <c r="B27" i="7"/>
  <c r="B12" i="7"/>
  <c r="B28" i="7"/>
  <c r="B5" i="7"/>
  <c r="B48" i="1"/>
  <c r="C47" i="1"/>
  <c r="AD52" i="1"/>
  <c r="D12" i="7"/>
  <c r="D27" i="7"/>
  <c r="D13" i="7"/>
  <c r="G27" i="7"/>
  <c r="D28" i="7"/>
  <c r="D15" i="7"/>
  <c r="G28" i="7"/>
  <c r="D16" i="7"/>
  <c r="D29" i="7"/>
  <c r="D17" i="7"/>
  <c r="G29" i="7"/>
  <c r="D18" i="7"/>
  <c r="D30" i="7"/>
  <c r="D19" i="7"/>
  <c r="D31" i="7"/>
  <c r="D20" i="7"/>
  <c r="D5" i="7"/>
  <c r="D21" i="7"/>
  <c r="D32" i="7"/>
  <c r="D6" i="7"/>
  <c r="D22" i="7"/>
  <c r="D7" i="7"/>
  <c r="D33" i="7"/>
  <c r="D8" i="7"/>
  <c r="D23" i="7"/>
  <c r="D9" i="7"/>
  <c r="D24" i="7"/>
  <c r="D10" i="7"/>
  <c r="D25" i="7"/>
  <c r="D34" i="7"/>
  <c r="D14" i="7"/>
  <c r="D11" i="7"/>
  <c r="D26" i="7"/>
  <c r="AB22" i="7" l="1"/>
  <c r="AB23" i="7" s="1"/>
  <c r="M22" i="7"/>
  <c r="M23" i="7" s="1"/>
  <c r="P22" i="7"/>
  <c r="P23" i="7" s="1"/>
  <c r="AJ22" i="7"/>
  <c r="AJ23" i="7" s="1"/>
  <c r="AA22" i="7"/>
  <c r="AA23" i="7" s="1"/>
  <c r="L22" i="7"/>
  <c r="L23" i="7" s="1"/>
  <c r="Z22" i="7"/>
  <c r="Z23" i="7" s="1"/>
  <c r="K22" i="7"/>
  <c r="K23" i="7" s="1"/>
  <c r="Y22" i="7"/>
  <c r="Y23" i="7" s="1"/>
  <c r="J22" i="7"/>
  <c r="J23" i="7" s="1"/>
  <c r="AI22" i="7"/>
  <c r="AI23" i="7" s="1"/>
  <c r="I22" i="7"/>
  <c r="I23" i="7" s="1"/>
  <c r="X22" i="7"/>
  <c r="X23" i="7" s="1"/>
  <c r="H22" i="7"/>
  <c r="H23" i="7" s="1"/>
  <c r="AH22" i="7"/>
  <c r="AH23" i="7" s="1"/>
  <c r="W22" i="7"/>
  <c r="W23" i="7" s="1"/>
  <c r="G22" i="7"/>
  <c r="G23" i="7" s="1"/>
  <c r="V22" i="7"/>
  <c r="V23" i="7" s="1"/>
  <c r="AG22" i="7"/>
  <c r="AG23" i="7" s="1"/>
  <c r="U22" i="7"/>
  <c r="U23" i="7" s="1"/>
  <c r="AF22" i="7"/>
  <c r="AF23" i="7" s="1"/>
  <c r="T22" i="7"/>
  <c r="T23" i="7" s="1"/>
  <c r="S22" i="7"/>
  <c r="S23" i="7" s="1"/>
  <c r="AE22" i="7"/>
  <c r="AE23" i="7" s="1"/>
  <c r="R22" i="7"/>
  <c r="R23" i="7" s="1"/>
  <c r="Q22" i="7"/>
  <c r="Q23" i="7" s="1"/>
  <c r="AD22" i="7"/>
  <c r="AD23" i="7" s="1"/>
  <c r="O22" i="7"/>
  <c r="O23" i="7" s="1"/>
  <c r="AC22" i="7"/>
  <c r="AC23" i="7" s="1"/>
  <c r="N22" i="7"/>
  <c r="N23" i="7" s="1"/>
  <c r="C48" i="1"/>
  <c r="AE52" i="1"/>
</calcChain>
</file>

<file path=xl/sharedStrings.xml><?xml version="1.0" encoding="utf-8"?>
<sst xmlns="http://schemas.openxmlformats.org/spreadsheetml/2006/main" count="422" uniqueCount="183">
  <si>
    <t>Clause 6 - Sizing Calibration - Initial Threshold Setting</t>
  </si>
  <si>
    <t>Reference Fluid Dilution Calculator</t>
  </si>
  <si>
    <t>Expected Counts vs Size</t>
  </si>
  <si>
    <t>Dilution to</t>
  </si>
  <si>
    <t>Captured</t>
  </si>
  <si>
    <t>RM</t>
  </si>
  <si>
    <t>37D</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</si>
  <si>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</si>
  <si>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</si>
  <si>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</si>
  <si>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</si>
  <si>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</si>
  <si>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</si>
  <si>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</si>
  <si>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</si>
  <si>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</si>
  <si>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</si>
  <si>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</si>
  <si>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</si>
  <si>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</si>
  <si>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</si>
  <si>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</si>
  <si>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</si>
  <si>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</si>
  <si>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</si>
  <si>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</si>
  <si>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</si>
  <si>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11171-00009</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</si>
  <si>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</si>
  <si>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</si>
  <si>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</si>
  <si>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</si>
  <si>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</si>
  <si>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</si>
  <si>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</si>
  <si>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</si>
  <si>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</si>
  <si>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</si>
  <si>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</si>
  <si>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</si>
  <si>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</si>
  <si>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</si>
  <si>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</si>
  <si>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</si>
  <si>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</si>
  <si>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1.5x noise</t>
  </si>
  <si>
    <t>~30um</t>
  </si>
  <si>
    <t>INITIAL Thresholds to Load into Instrument</t>
  </si>
  <si>
    <t>Number</t>
  </si>
  <si>
    <t>Value</t>
  </si>
  <si>
    <t>ENSURE CALIBRATION THRESHOLDS LOADED INTO INSTRUMENT</t>
  </si>
  <si>
    <t>Data Preprocessing and Quality Assessment per ISO 11171 Clause 6.6</t>
  </si>
  <si>
    <t>BOTTLE 1</t>
  </si>
  <si>
    <t>CHECK CALIBRATION THRESHOLDS ENTERED ON PARTICLE COUNTER</t>
  </si>
  <si>
    <t>Serial #</t>
  </si>
  <si>
    <t>Dilution Ratio</t>
  </si>
  <si>
    <t>BOTTLE</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</si>
  <si>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</si>
  <si>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</si>
  <si>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</si>
  <si>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</si>
  <si>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</si>
  <si>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</si>
  <si>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</si>
  <si>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</si>
  <si>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</si>
  <si>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</si>
  <si>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</si>
  <si>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</si>
  <si>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</si>
  <si>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</si>
  <si>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</si>
  <si>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</si>
  <si>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</si>
  <si>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</si>
  <si>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</si>
  <si>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</si>
  <si>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</si>
  <si>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</si>
  <si>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</si>
  <si>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</si>
  <si>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</si>
  <si>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</si>
  <si>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</si>
  <si>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</si>
  <si>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</si>
  <si>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</si>
  <si>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</si>
  <si>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</si>
  <si>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</si>
  <si>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</si>
  <si>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</si>
  <si>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</si>
  <si>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</si>
  <si>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</si>
  <si>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</si>
  <si>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</si>
  <si>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</si>
  <si>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</si>
  <si>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</si>
  <si>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</si>
  <si>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</si>
  <si>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</si>
  <si>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</si>
  <si>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</si>
  <si>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</si>
  <si>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</si>
  <si>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</si>
  <si>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</si>
  <si>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</si>
  <si>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</si>
  <si>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</si>
  <si>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</si>
  <si>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</si>
  <si>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</si>
  <si>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</si>
  <si>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</si>
  <si>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</si>
  <si>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</si>
  <si>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</si>
  <si>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</si>
  <si>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</si>
  <si>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</si>
  <si>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</si>
  <si>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</si>
  <si>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</si>
  <si>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</si>
  <si>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</si>
  <si>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</si>
  <si>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</si>
  <si>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11171-00001</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</si>
  <si>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</si>
  <si>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</si>
  <si>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</si>
  <si>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</si>
  <si>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</si>
  <si>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</si>
  <si>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</si>
  <si>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</si>
  <si>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</si>
  <si>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</si>
  <si>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</si>
  <si>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</si>
  <si>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</si>
  <si>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</si>
  <si>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</si>
  <si>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</si>
  <si>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</si>
  <si>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</si>
  <si>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</si>
  <si>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</si>
  <si>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</si>
  <si>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</si>
  <si>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</si>
  <si>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</si>
  <si>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</si>
  <si>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</si>
  <si>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</si>
  <si>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</si>
  <si>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</si>
  <si>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</si>
  <si>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</si>
  <si>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</si>
  <si>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</si>
  <si>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</si>
  <si>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</si>
  <si>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</si>
  <si>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</si>
  <si>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</si>
  <si>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</si>
  <si>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</si>
  <si>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</si>
  <si>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</si>
  <si>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</si>
  <si>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</si>
  <si>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Thresholds to load</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</si>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</sst>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28"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sz val="12"/>
      <name val="Arial Black"/>
      <family val="2"/>
    </font>
    <font>
      <b/>
      <sz val="10"/>
      <name val="Arial Black"/>
      <family val="2"/>
    </font>
    <font>
      <b/>
      <sz val="12"/>
      <name val="Calibri"/>
      <family val="2"/>
    </font>
    <font>
      <sz val="10"/>
      <name val="Calibri"/>
      <family val="2"/>
    </font>
    <font>
      <sz val="10"/>
      <color theme="1"/>
      <name val="Arial"/>
      <family val="2"/>
      <scheme val="minor"/>
    </font>
    <font>
      <b/>
      <sz val="10"/>
      <name val="Calibri"/>
      <family val="2"/>
    </font>
    <font>
      <b/>
      <sz val="10"/>
      <name val="Arial"/>
      <family val="2"/>
    </font>
    <font>
      <sz val="10"/>
      <color rgb="FF00660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10"/>
      <color rgb="FF006600"/>
      <name val="Arial"/>
      <family val="2"/>
    </font>
    <font>
      <b/>
      <sz val="32"/>
      <color rgb="FFFC5C00"/>
      <name val="Arial"/>
      <family val="2"/>
    </font>
  </fonts>
  <fills count="10">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rgb="FFCCFFCC"/>
        <bgColor rgb="FFCCF4C6"/>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8" tint="0.79998168889431442"/>
        <bgColor rgb="FFCCFFCC"/>
      </patternFill>
    </fill>
    <fill>
      <patternFill patternType="solid">
        <fgColor theme="5" tint="0.79998168889431442"/>
        <bgColor rgb="FFC0C0C0"/>
      </patternFill>
    </fill>
    <fill>
      <patternFill patternType="solid">
        <fgColor rgb="FFC0C0C0"/>
        <bgColor rgb="FFB3B3B3"/>
      </patternFill>
    </fill>
  </fills>
  <borders count="22">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s>
  <cellStyleXfs count="5">
    <xf numFmtId="0" fontId="0" fillId="0" borderId="0"/>
    <xf numFmtId="9" fontId="3" fillId="0" borderId="0" applyFont="0" applyFill="0" applyBorder="0" applyAlignment="0" applyProtection="0"/>
    <xf numFmtId="0" fontId="12" fillId="4" borderId="0" applyBorder="0" applyAlignment="0" applyProtection="0"/>
    <xf numFmtId="0" fontId="2" fillId="2" borderId="1" applyNumberFormat="0" applyAlignment="0" applyProtection="0"/>
    <xf numFmtId="0" fontId="1" fillId="3" borderId="0" applyNumberFormat="0" applyBorder="0" applyAlignment="0" applyProtection="0"/>
  </cellStyleXfs>
  <cellXfs count="124">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5" fillId="0" borderId="0" xfId="0" applyFont="1"/>
    <xf numFmtId="0" fontId="6" fillId="0" borderId="2" xfId="0" applyFont="1" applyBorder="1" applyAlignment="1">
      <alignment horizontal="left"/>
    </xf>
    <xf numFmtId="0" fontId="0" fillId="0" borderId="3" xfId="0" applyBorder="1" applyAlignment="1">
      <alignment horizontal="right"/>
    </xf>
    <xf numFmtId="0" fontId="1" fillId="3" borderId="3" xfId="4" applyBorder="1" applyAlignment="1">
      <alignment horizontal="right"/>
    </xf>
    <xf numFmtId="0" fontId="0" fillId="0" borderId="4" xfId="0" applyBorder="1"/>
    <xf numFmtId="0" fontId="7" fillId="0" borderId="0" xfId="0" applyFont="1"/>
    <xf numFmtId="0" fontId="8" fillId="0" borderId="0" xfId="0" applyFont="1"/>
    <xf numFmtId="0" fontId="0" fillId="0" borderId="0" xfId="0" applyAlignment="1">
      <alignment horizontal="right" vertical="center"/>
    </xf>
    <xf numFmtId="0" fontId="9" fillId="3" borderId="0" xfId="4" applyFont="1"/>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164" fontId="10" fillId="0" borderId="0" xfId="0" applyNumberFormat="1" applyFont="1" applyAlignment="1">
      <alignment horizontal="left"/>
    </xf>
    <xf numFmtId="0" fontId="11" fillId="0" borderId="5" xfId="0" applyFont="1" applyBorder="1" applyAlignment="1">
      <alignment horizontal="right"/>
    </xf>
    <xf numFmtId="0" fontId="11" fillId="0" borderId="0" xfId="0" applyFont="1" applyAlignment="1">
      <alignment horizontal="right"/>
    </xf>
    <xf numFmtId="164" fontId="8" fillId="0" borderId="0" xfId="0" applyNumberFormat="1" applyFont="1" applyAlignment="1">
      <alignment horizontal="left"/>
    </xf>
    <xf numFmtId="0" fontId="0" fillId="0" borderId="5" xfId="0" applyBorder="1"/>
    <xf numFmtId="1" fontId="0" fillId="0" borderId="0" xfId="0" applyNumberFormat="1"/>
    <xf numFmtId="0" fontId="10" fillId="0" borderId="0" xfId="0" applyFont="1" applyAlignment="1">
      <alignment horizontal="left"/>
    </xf>
    <xf numFmtId="0" fontId="10" fillId="0" borderId="0" xfId="0" applyFont="1"/>
    <xf numFmtId="0" fontId="8" fillId="0" borderId="0" xfId="0" applyFont="1" applyAlignment="1">
      <alignment horizontal="left"/>
    </xf>
    <xf numFmtId="164" fontId="0" fillId="0" borderId="0" xfId="0" applyNumberFormat="1" applyAlignment="1">
      <alignment horizontal="right" vertical="center"/>
    </xf>
    <xf numFmtId="2" fontId="3" fillId="0" borderId="0" xfId="0" applyNumberFormat="1" applyFont="1"/>
    <xf numFmtId="2" fontId="9" fillId="3" borderId="0" xfId="4" applyNumberFormat="1" applyFont="1"/>
    <xf numFmtId="0" fontId="0" fillId="0" borderId="0" xfId="0" applyAlignment="1">
      <alignment horizontal="left"/>
    </xf>
    <xf numFmtId="165" fontId="12" fillId="4" borderId="0" xfId="2" applyNumberFormat="1"/>
    <xf numFmtId="0" fontId="1" fillId="3" borderId="0" xfId="4" applyAlignment="1">
      <alignment horizontal="left"/>
    </xf>
    <xf numFmtId="0" fontId="0" fillId="0" borderId="5" xfId="0" applyBorder="1" applyAlignment="1">
      <alignment horizontal="right"/>
    </xf>
    <xf numFmtId="165" fontId="0" fillId="0" borderId="0" xfId="0" applyNumberFormat="1" applyAlignment="1">
      <alignment horizontal="lef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3" fillId="0" borderId="0" xfId="0" applyFont="1" applyAlignment="1">
      <alignment horizontal="left" vertical="center"/>
    </xf>
    <xf numFmtId="0" fontId="14" fillId="0" borderId="0" xfId="0" applyFont="1"/>
    <xf numFmtId="0" fontId="11" fillId="0" borderId="10" xfId="0" applyFont="1" applyBorder="1"/>
    <xf numFmtId="0" fontId="11" fillId="0" borderId="0" xfId="0" applyFont="1"/>
    <xf numFmtId="164" fontId="11" fillId="0" borderId="11" xfId="0" applyNumberFormat="1" applyFont="1" applyBorder="1"/>
    <xf numFmtId="0" fontId="13" fillId="0" borderId="0" xfId="0" applyFont="1"/>
    <xf numFmtId="0" fontId="11" fillId="0" borderId="11" xfId="0" applyFont="1" applyBorder="1" applyAlignment="1">
      <alignment horizontal="right"/>
    </xf>
    <xf numFmtId="164" fontId="0" fillId="0" borderId="0" xfId="0" applyNumberFormat="1"/>
    <xf numFmtId="0" fontId="11" fillId="0" borderId="12" xfId="0" applyFont="1" applyBorder="1" applyAlignment="1">
      <alignment horizontal="right" wrapText="1"/>
    </xf>
    <xf numFmtId="165" fontId="0" fillId="0" borderId="0" xfId="0" applyNumberFormat="1"/>
    <xf numFmtId="166" fontId="11" fillId="0" borderId="0" xfId="0" applyNumberFormat="1" applyFont="1" applyAlignment="1">
      <alignment horizontal="right"/>
    </xf>
    <xf numFmtId="167" fontId="0" fillId="0" borderId="0" xfId="0" applyNumberFormat="1"/>
    <xf numFmtId="166" fontId="11" fillId="0" borderId="0" xfId="0" applyNumberFormat="1" applyFont="1"/>
    <xf numFmtId="1" fontId="0" fillId="0" borderId="0" xfId="0" applyNumberFormat="1" applyAlignment="1">
      <alignment horizontal="right"/>
    </xf>
    <xf numFmtId="167" fontId="0" fillId="0" borderId="0" xfId="1" applyNumberFormat="1" applyFont="1"/>
    <xf numFmtId="10" fontId="0" fillId="0" borderId="0" xfId="0" applyNumberFormat="1"/>
    <xf numFmtId="0" fontId="0" fillId="0" borderId="13" xfId="0" applyBorder="1"/>
    <xf numFmtId="0" fontId="0" fillId="0" borderId="14" xfId="0" applyBorder="1" applyAlignment="1">
      <alignment horizontal="right"/>
    </xf>
    <xf numFmtId="0" fontId="0" fillId="0" borderId="13" xfId="0" applyBorder="1" applyAlignment="1">
      <alignment horizontal="right"/>
    </xf>
    <xf numFmtId="0" fontId="0" fillId="0" borderId="14" xfId="0" applyBorder="1"/>
    <xf numFmtId="0" fontId="0" fillId="0" borderId="15" xfId="0" applyBorder="1"/>
    <xf numFmtId="0" fontId="0" fillId="0" borderId="16" xfId="0" applyBorder="1" applyAlignment="1">
      <alignment horizontal="right"/>
    </xf>
    <xf numFmtId="0" fontId="0" fillId="0" borderId="17" xfId="0" applyBorder="1" applyAlignment="1">
      <alignment horizontal="right"/>
    </xf>
    <xf numFmtId="0" fontId="0" fillId="0" borderId="18" xfId="0" applyBorder="1" applyAlignment="1">
      <alignment horizontal="right"/>
    </xf>
    <xf numFmtId="0" fontId="0" fillId="0" borderId="19" xfId="0" applyBorder="1"/>
    <xf numFmtId="0" fontId="0" fillId="0" borderId="20" xfId="0" applyBorder="1"/>
    <xf numFmtId="0" fontId="0" fillId="0" borderId="16" xfId="0" applyBorder="1"/>
    <xf numFmtId="0" fontId="0" fillId="0" borderId="17" xfId="0" applyBorder="1"/>
    <xf numFmtId="0" fontId="0" fillId="0" borderId="18" xfId="0" applyBorder="1"/>
    <xf numFmtId="0" fontId="1" fillId="3" borderId="0" xfId="4"/>
    <xf numFmtId="0" fontId="11" fillId="0" borderId="12" xfId="0" applyFont="1" applyBorder="1" applyAlignment="1">
      <alignment horizontal="right"/>
    </xf>
    <xf numFmtId="0" fontId="17" fillId="0" borderId="0" xfId="0" applyFont="1"/>
    <xf numFmtId="0" fontId="18" fillId="0" borderId="0" xfId="0" applyFont="1" applyAlignment="1">
      <alignment horizontal="right"/>
    </xf>
    <xf numFmtId="0" fontId="18" fillId="0" borderId="0" xfId="0" applyFont="1"/>
    <xf numFmtId="0" fontId="19" fillId="0" borderId="0" xfId="0" applyFont="1"/>
    <xf numFmtId="0" fontId="0" fillId="0" borderId="0" xfId="0" applyAlignment="1">
      <alignment vertical="center" wrapText="1"/>
    </xf>
    <xf numFmtId="0" fontId="0" fillId="5" borderId="21" xfId="0" applyFill="1" applyBorder="1" applyAlignment="1">
      <alignment horizontal="center" vertical="center" wrapText="1"/>
    </xf>
    <xf numFmtId="0" fontId="0" fillId="5" borderId="21" xfId="0" applyFill="1" applyBorder="1" applyAlignment="1">
      <alignment horizontal="center" wrapText="1"/>
    </xf>
    <xf numFmtId="0" fontId="11" fillId="6" borderId="21" xfId="0" applyFont="1" applyFill="1" applyBorder="1" applyAlignment="1">
      <alignment horizontal="center"/>
    </xf>
    <xf numFmtId="0" fontId="11" fillId="6" borderId="21" xfId="0" applyFont="1" applyFill="1" applyBorder="1" applyAlignment="1">
      <alignment horizontal="center" wrapText="1"/>
    </xf>
    <xf numFmtId="0" fontId="0" fillId="6" borderId="21" xfId="0" applyFill="1" applyBorder="1" applyAlignment="1">
      <alignment horizontal="center" vertical="center"/>
    </xf>
    <xf numFmtId="0" fontId="0" fillId="6" borderId="21" xfId="0" applyFill="1" applyBorder="1" applyAlignment="1">
      <alignment horizontal="center" wrapText="1"/>
    </xf>
    <xf numFmtId="0" fontId="0" fillId="6" borderId="21" xfId="0" applyFill="1" applyBorder="1" applyAlignment="1">
      <alignment horizontal="center"/>
    </xf>
    <xf numFmtId="0" fontId="21" fillId="6" borderId="21" xfId="0" applyFont="1" applyFill="1" applyBorder="1" applyAlignment="1">
      <alignment horizontal="center"/>
    </xf>
    <xf numFmtId="0" fontId="22" fillId="0" borderId="0" xfId="0" applyFont="1" applyAlignment="1">
      <alignment horizontal="right"/>
    </xf>
    <xf numFmtId="10" fontId="23" fillId="0" borderId="0" xfId="0" applyNumberFormat="1" applyFont="1" applyAlignment="1">
      <alignment horizontal="right"/>
    </xf>
    <xf numFmtId="166" fontId="0" fillId="7" borderId="12" xfId="0" applyNumberFormat="1" applyFill="1" applyBorder="1"/>
    <xf numFmtId="0" fontId="0" fillId="8" borderId="21" xfId="0" applyFill="1" applyBorder="1"/>
    <xf numFmtId="0" fontId="0" fillId="0" borderId="21" xfId="0" applyBorder="1"/>
    <xf numFmtId="1" fontId="11" fillId="0" borderId="21" xfId="0" applyNumberFormat="1" applyFont="1" applyBorder="1"/>
    <xf numFmtId="166" fontId="0" fillId="7" borderId="21" xfId="0" applyNumberFormat="1" applyFill="1" applyBorder="1"/>
    <xf numFmtId="3" fontId="0" fillId="0" borderId="0" xfId="0" applyNumberFormat="1"/>
    <xf numFmtId="0" fontId="10" fillId="0" borderId="0" xfId="0" applyFont="1" applyAlignment="1">
      <alignment horizontal="right"/>
    </xf>
    <xf numFmtId="164" fontId="10" fillId="0" borderId="0" xfId="0" applyNumberFormat="1" applyFont="1" applyAlignment="1">
      <alignment horizontal="right"/>
    </xf>
    <xf numFmtId="0" fontId="8" fillId="0" borderId="0" xfId="0" applyFont="1" applyAlignment="1">
      <alignment horizontal="right"/>
    </xf>
    <xf numFmtId="164" fontId="8"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0" fontId="0" fillId="0" borderId="14" xfId="0" applyBorder="1" applyProtection="1">
      <protection locked="0"/>
    </xf>
    <xf numFmtId="0" fontId="0" fillId="0" borderId="15" xfId="0" applyBorder="1" applyProtection="1">
      <protection locked="0"/>
    </xf>
    <xf numFmtId="0" fontId="11" fillId="0" borderId="13" xfId="0" applyFont="1" applyBorder="1" applyProtection="1">
      <protection locked="0"/>
    </xf>
    <xf numFmtId="168" fontId="0" fillId="0" borderId="19" xfId="0" applyNumberFormat="1" applyBorder="1" applyProtection="1">
      <protection locked="0"/>
    </xf>
    <xf numFmtId="0" fontId="0" fillId="0" borderId="20" xfId="0" applyBorder="1" applyProtection="1">
      <protection locked="0"/>
    </xf>
    <xf numFmtId="0" fontId="11" fillId="0" borderId="19" xfId="0" applyFont="1" applyBorder="1" applyProtection="1">
      <protection locked="0"/>
    </xf>
    <xf numFmtId="2" fontId="0" fillId="0" borderId="19" xfId="0" applyNumberFormat="1" applyBorder="1" applyProtection="1">
      <protection locked="0"/>
    </xf>
    <xf numFmtId="1" fontId="11" fillId="0" borderId="19" xfId="0" applyNumberFormat="1" applyFont="1" applyBorder="1" applyProtection="1">
      <protection locked="0"/>
    </xf>
    <xf numFmtId="1" fontId="0" fillId="0" borderId="19" xfId="0" applyNumberFormat="1" applyBorder="1" applyProtection="1">
      <protection locked="0"/>
    </xf>
    <xf numFmtId="166" fontId="0" fillId="0" borderId="19" xfId="0" applyNumberFormat="1" applyBorder="1"/>
    <xf numFmtId="0" fontId="11" fillId="0" borderId="19" xfId="0" applyFont="1" applyBorder="1"/>
    <xf numFmtId="0" fontId="24" fillId="0" borderId="13" xfId="0" applyFont="1" applyBorder="1"/>
    <xf numFmtId="0" fontId="22" fillId="0" borderId="14" xfId="0" applyFont="1" applyBorder="1"/>
    <xf numFmtId="0" fontId="24" fillId="0" borderId="15" xfId="0" applyFont="1" applyBorder="1"/>
    <xf numFmtId="0" fontId="24" fillId="0" borderId="0" xfId="0" applyFont="1"/>
    <xf numFmtId="10" fontId="22" fillId="0" borderId="0" xfId="0" applyNumberFormat="1" applyFont="1"/>
    <xf numFmtId="0" fontId="21" fillId="9" borderId="21" xfId="0" applyFont="1" applyFill="1" applyBorder="1" applyAlignment="1">
      <alignment horizontal="center"/>
    </xf>
    <xf numFmtId="0" fontId="0" fillId="9" borderId="21" xfId="0" applyFill="1" applyBorder="1" applyAlignment="1">
      <alignment wrapText="1"/>
    </xf>
    <xf numFmtId="0" fontId="21" fillId="9" borderId="21" xfId="0" applyFont="1" applyFill="1" applyBorder="1" applyAlignment="1">
      <alignment horizontal="center" vertical="center"/>
    </xf>
    <xf numFmtId="0" fontId="21" fillId="9" borderId="21" xfId="0" applyFont="1" applyFill="1" applyBorder="1" applyAlignment="1">
      <alignment horizontal="center" vertical="center" wrapText="1"/>
    </xf>
    <xf numFmtId="0" fontId="21" fillId="9" borderId="21" xfId="0" applyFont="1" applyFill="1" applyBorder="1" applyAlignment="1">
      <alignment horizontal="center" wrapText="1"/>
    </xf>
    <xf numFmtId="0" fontId="21" fillId="9" borderId="21" xfId="0" applyFont="1" applyFill="1" applyBorder="1" applyAlignment="1">
      <alignment horizontal="center"/>
    </xf>
    <xf numFmtId="1" fontId="11" fillId="0" borderId="0" xfId="0" applyNumberFormat="1" applyFont="1"/>
    <xf numFmtId="0" fontId="12" fillId="4" borderId="0" xfId="2"/>
    <xf numFmtId="0" fontId="26" fillId="4" borderId="0" xfId="2" applyFont="1"/>
    <xf numFmtId="2" fontId="0" fillId="0" borderId="0" xfId="0" applyNumberFormat="1"/>
    <xf numFmtId="0" fontId="27" fillId="0" borderId="0" xfId="0" applyFont="1" applyAlignment="1">
      <alignment vertical="center"/>
    </xf>
    <xf numFmtId="1" fontId="2" fillId="2" borderId="1" xfId="3" applyNumberFormat="1"/>
  </cellXfs>
  <cellStyles count="5">
    <cellStyle name="20% - Accent2" xfId="4" builtinId="34"/>
    <cellStyle name="Calculation" xfId="3" builtinId="22"/>
    <cellStyle name="Good" xfId="2" builtinId="26"/>
    <cellStyle name="Normal" xfId="0" builtinId="0"/>
    <cellStyle name="Percent" xfId="1" builtinId="5"/>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-2.6619648967706633E-2</c:v>
                </c:pt>
                <c:pt idx="1">
                  <c:v>2.1688041156336491E-2</c:v>
                </c:pt>
                <c:pt idx="2">
                  <c:v>3.68760711722671E-3</c:v>
                </c:pt>
                <c:pt idx="3">
                  <c:v>1.2440006941436543E-3</c:v>
                </c:pt>
                <c:pt idx="4">
                  <c:v>0</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-2.6130255278295711E-2</c:v>
                </c:pt>
                <c:pt idx="1">
                  <c:v>2.1705471905182572E-2</c:v>
                </c:pt>
                <c:pt idx="2">
                  <c:v>4.0628215478974994E-3</c:v>
                </c:pt>
                <c:pt idx="3">
                  <c:v>3.6196182521552878E-4</c:v>
                </c:pt>
                <c:pt idx="4">
                  <c:v>0</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-2.2481255005216472E-2</c:v>
                </c:pt>
                <c:pt idx="1">
                  <c:v>2.1576885285121916E-2</c:v>
                </c:pt>
                <c:pt idx="2">
                  <c:v>8.5641768358790671E-4</c:v>
                </c:pt>
                <c:pt idx="3">
                  <c:v>4.795203650664881E-5</c:v>
                </c:pt>
                <c:pt idx="4">
                  <c:v>0</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-1.9802512215662205E-2</c:v>
                </c:pt>
                <c:pt idx="1">
                  <c:v>2.1021362215643213E-2</c:v>
                </c:pt>
                <c:pt idx="2">
                  <c:v>-1.780375577748794E-3</c:v>
                </c:pt>
                <c:pt idx="3">
                  <c:v>5.6152557776756318E-4</c:v>
                </c:pt>
                <c:pt idx="4">
                  <c:v>0</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-1.8038976591676747E-2</c:v>
                </c:pt>
                <c:pt idx="1">
                  <c:v>1.9134068229142542E-2</c:v>
                </c:pt>
                <c:pt idx="2">
                  <c:v>-2.3999015135737212E-3</c:v>
                </c:pt>
                <c:pt idx="3">
                  <c:v>1.3048098761074822E-3</c:v>
                </c:pt>
                <c:pt idx="4">
                  <c:v>0</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-1.4259648419586601E-2</c:v>
                </c:pt>
                <c:pt idx="1">
                  <c:v>1.6153990168184418E-2</c:v>
                </c:pt>
                <c:pt idx="2">
                  <c:v>-3.2416029797763812E-3</c:v>
                </c:pt>
                <c:pt idx="3">
                  <c:v>1.3472612311780097E-3</c:v>
                </c:pt>
                <c:pt idx="4">
                  <c:v>0</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-1.3479710419902036E-2</c:v>
                </c:pt>
                <c:pt idx="1">
                  <c:v>1.4115231137878492E-2</c:v>
                </c:pt>
                <c:pt idx="2">
                  <c:v>-2.2383056264976275E-3</c:v>
                </c:pt>
                <c:pt idx="3">
                  <c:v>1.6027849085209489E-3</c:v>
                </c:pt>
                <c:pt idx="4">
                  <c:v>0</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-1.2466927714204878E-2</c:v>
                </c:pt>
                <c:pt idx="1">
                  <c:v>1.3058308409443997E-2</c:v>
                </c:pt>
                <c:pt idx="2">
                  <c:v>-4.3483603926931513E-3</c:v>
                </c:pt>
                <c:pt idx="3">
                  <c:v>3.7569796974539216E-3</c:v>
                </c:pt>
                <c:pt idx="4">
                  <c:v>0</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-1.2696693224476419E-2</c:v>
                </c:pt>
                <c:pt idx="1">
                  <c:v>1.3957742449227206E-2</c:v>
                </c:pt>
                <c:pt idx="2">
                  <c:v>-3.6911598783764266E-3</c:v>
                </c:pt>
                <c:pt idx="3">
                  <c:v>2.4301106536255279E-3</c:v>
                </c:pt>
                <c:pt idx="4">
                  <c:v>0</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-1.6787848008810946E-2</c:v>
                </c:pt>
                <c:pt idx="1">
                  <c:v>1.4988222836113563E-2</c:v>
                </c:pt>
                <c:pt idx="2">
                  <c:v>-6.7087185971692609E-4</c:v>
                </c:pt>
                <c:pt idx="3">
                  <c:v>2.4704970324143094E-3</c:v>
                </c:pt>
                <c:pt idx="4">
                  <c:v>0</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-1.1957193866876548E-2</c:v>
                </c:pt>
                <c:pt idx="1">
                  <c:v>1.3316000773463621E-2</c:v>
                </c:pt>
                <c:pt idx="2">
                  <c:v>-3.2428892426517031E-4</c:v>
                </c:pt>
                <c:pt idx="3">
                  <c:v>-1.034517982321348E-3</c:v>
                </c:pt>
                <c:pt idx="4">
                  <c:v>0</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-8.9722341102469461E-3</c:v>
                </c:pt>
                <c:pt idx="1">
                  <c:v>1.381792956207728E-2</c:v>
                </c:pt>
                <c:pt idx="2">
                  <c:v>1.9962907848642963E-3</c:v>
                </c:pt>
                <c:pt idx="3">
                  <c:v>-6.8419862366950746E-3</c:v>
                </c:pt>
                <c:pt idx="4">
                  <c:v>0</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-1.6270192413815332E-3</c:v>
                </c:pt>
                <c:pt idx="1">
                  <c:v>1.4907318962360527E-2</c:v>
                </c:pt>
                <c:pt idx="2">
                  <c:v>-2.211328950856295E-4</c:v>
                </c:pt>
                <c:pt idx="3">
                  <c:v>-1.3059166825893698E-2</c:v>
                </c:pt>
                <c:pt idx="4">
                  <c:v>0</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2.0169024706202521E-3</c:v>
                </c:pt>
                <c:pt idx="1">
                  <c:v>1.664242298747487E-2</c:v>
                </c:pt>
                <c:pt idx="2">
                  <c:v>-3.4911723700820074E-3</c:v>
                </c:pt>
                <c:pt idx="3">
                  <c:v>-1.516815308801267E-2</c:v>
                </c:pt>
                <c:pt idx="4">
                  <c:v>0</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8.5685236961439148E-3</c:v>
                </c:pt>
                <c:pt idx="1">
                  <c:v>1.7501548910761278E-2</c:v>
                </c:pt>
                <c:pt idx="2">
                  <c:v>-4.0902234547045557E-3</c:v>
                </c:pt>
                <c:pt idx="3">
                  <c:v>-2.1979849152200415E-2</c:v>
                </c:pt>
                <c:pt idx="4">
                  <c:v>0</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1.431967609209206E-2</c:v>
                </c:pt>
                <c:pt idx="1">
                  <c:v>1.6470006750955557E-2</c:v>
                </c:pt>
                <c:pt idx="2">
                  <c:v>-9.8117125370206226E-3</c:v>
                </c:pt>
                <c:pt idx="3">
                  <c:v>-2.0977970306026883E-2</c:v>
                </c:pt>
                <c:pt idx="4">
                  <c:v>0</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1.5391644070276822E-2</c:v>
                </c:pt>
                <c:pt idx="1">
                  <c:v>1.4590320636235443E-2</c:v>
                </c:pt>
                <c:pt idx="2">
                  <c:v>-1.5571536450454726E-2</c:v>
                </c:pt>
                <c:pt idx="3">
                  <c:v>-1.4410428256058316E-2</c:v>
                </c:pt>
                <c:pt idx="4">
                  <c:v>0</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1.1778996164689692E-2</c:v>
                </c:pt>
                <c:pt idx="1">
                  <c:v>1.3745615947707623E-2</c:v>
                </c:pt>
                <c:pt idx="2">
                  <c:v>-6.9878041678930192E-3</c:v>
                </c:pt>
                <c:pt idx="3">
                  <c:v>-1.8536807944504186E-2</c:v>
                </c:pt>
                <c:pt idx="4">
                  <c:v>0</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1.6428096917825652E-2</c:v>
                </c:pt>
                <c:pt idx="1">
                  <c:v>1.0579470164751914E-2</c:v>
                </c:pt>
                <c:pt idx="2">
                  <c:v>-7.8800650496011482E-3</c:v>
                </c:pt>
                <c:pt idx="3">
                  <c:v>-1.9127502032976973E-2</c:v>
                </c:pt>
                <c:pt idx="4">
                  <c:v>0</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2.0629681651451071E-2</c:v>
                </c:pt>
                <c:pt idx="1">
                  <c:v>1.1112607617653758E-2</c:v>
                </c:pt>
                <c:pt idx="2">
                  <c:v>-1.1424420771676935E-2</c:v>
                </c:pt>
                <c:pt idx="3">
                  <c:v>-2.0317868497428115E-2</c:v>
                </c:pt>
                <c:pt idx="4">
                  <c:v>0</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2.17169509108881E-2</c:v>
                </c:pt>
                <c:pt idx="1">
                  <c:v>1.6917609395751487E-2</c:v>
                </c:pt>
                <c:pt idx="2">
                  <c:v>-2.0147402821818594E-2</c:v>
                </c:pt>
                <c:pt idx="3">
                  <c:v>-1.8487157484820549E-2</c:v>
                </c:pt>
                <c:pt idx="4">
                  <c:v>0</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1.4719685791892978E-2</c:v>
                </c:pt>
                <c:pt idx="1">
                  <c:v>9.647938450715543E-3</c:v>
                </c:pt>
                <c:pt idx="2">
                  <c:v>-2.8422256466795748E-2</c:v>
                </c:pt>
                <c:pt idx="3">
                  <c:v>4.0546322241878929E-3</c:v>
                </c:pt>
                <c:pt idx="4">
                  <c:v>0</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1.7222436264614283E-2</c:v>
                </c:pt>
                <c:pt idx="1">
                  <c:v>2.5625550659113649E-2</c:v>
                </c:pt>
                <c:pt idx="2">
                  <c:v>-1.1974223008769935E-2</c:v>
                </c:pt>
                <c:pt idx="3">
                  <c:v>-3.0873763914958552E-2</c:v>
                </c:pt>
                <c:pt idx="4">
                  <c:v>0</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5.7966321605833038E-2</c:v>
                </c:pt>
                <c:pt idx="1">
                  <c:v>2.3285898198854404E-2</c:v>
                </c:pt>
                <c:pt idx="2">
                  <c:v>-3.0908946719218067E-2</c:v>
                </c:pt>
                <c:pt idx="3">
                  <c:v>-5.0343273085469153E-2</c:v>
                </c:pt>
                <c:pt idx="4">
                  <c:v>0</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4.9751424672521027E-2</c:v>
                </c:pt>
                <c:pt idx="1">
                  <c:v>3.2497682068165501E-2</c:v>
                </c:pt>
                <c:pt idx="2">
                  <c:v>-1.4921602961798675E-2</c:v>
                </c:pt>
                <c:pt idx="3">
                  <c:v>-6.7327503778888076E-2</c:v>
                </c:pt>
                <c:pt idx="4">
                  <c:v>0</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5.746651478616327E-2</c:v>
                </c:pt>
                <c:pt idx="1">
                  <c:v>2.3354596874631151E-2</c:v>
                </c:pt>
                <c:pt idx="2">
                  <c:v>2.7740928921591967E-2</c:v>
                </c:pt>
                <c:pt idx="3">
                  <c:v>-0.1085620405823865</c:v>
                </c:pt>
                <c:pt idx="4">
                  <c:v>0</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4.6208265114683789E-2</c:v>
                </c:pt>
                <c:pt idx="1">
                  <c:v>6.2070986278504048E-3</c:v>
                </c:pt>
                <c:pt idx="2">
                  <c:v>2.7715264267129225E-2</c:v>
                </c:pt>
                <c:pt idx="3">
                  <c:v>-8.0130628009663307E-2</c:v>
                </c:pt>
                <c:pt idx="4">
                  <c:v>0</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4.9732726779856629E-2</c:v>
                </c:pt>
                <c:pt idx="1">
                  <c:v>2.1939889828599179E-2</c:v>
                </c:pt>
                <c:pt idx="2">
                  <c:v>-2.0381386156665404E-2</c:v>
                </c:pt>
                <c:pt idx="3">
                  <c:v>-5.1291230451790182E-2</c:v>
                </c:pt>
                <c:pt idx="4">
                  <c:v>0</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0</c:v>
                </c:pt>
                <c:pt idx="1">
                  <c:v>-3.7753637144590457E-2</c:v>
                </c:pt>
                <c:pt idx="2">
                  <c:v>-3.1225397181509296E-2</c:v>
                </c:pt>
                <c:pt idx="3">
                  <c:v>6.8979034326099864E-2</c:v>
                </c:pt>
                <c:pt idx="4">
                  <c:v>0</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-3.1340434572824982E-2</c:v>
                </c:pt>
                <c:pt idx="1">
                  <c:v>6.2809357260638077E-3</c:v>
                </c:pt>
                <c:pt idx="2">
                  <c:v>7.0313688758074644E-3</c:v>
                </c:pt>
                <c:pt idx="3">
                  <c:v>1.802812997095371E-2</c:v>
                </c:pt>
                <c:pt idx="4">
                  <c:v>0</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-2.9645095267580635E-2</c:v>
                </c:pt>
                <c:pt idx="1">
                  <c:v>7.3184691630521215E-3</c:v>
                </c:pt>
                <c:pt idx="2">
                  <c:v>5.4617286476801308E-3</c:v>
                </c:pt>
                <c:pt idx="3">
                  <c:v>1.6864897456848382E-2</c:v>
                </c:pt>
                <c:pt idx="4">
                  <c:v>0</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-2.8786538875173129E-2</c:v>
                </c:pt>
                <c:pt idx="1">
                  <c:v>6.5371470894450834E-3</c:v>
                </c:pt>
                <c:pt idx="2">
                  <c:v>3.9800011370301203E-3</c:v>
                </c:pt>
                <c:pt idx="3">
                  <c:v>1.8269390648697481E-2</c:v>
                </c:pt>
                <c:pt idx="4">
                  <c:v>0</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-3.0786593212240421E-2</c:v>
                </c:pt>
                <c:pt idx="1">
                  <c:v>7.2330598794865253E-3</c:v>
                </c:pt>
                <c:pt idx="2">
                  <c:v>2.9885982928627985E-3</c:v>
                </c:pt>
                <c:pt idx="3">
                  <c:v>2.0564935039891097E-2</c:v>
                </c:pt>
                <c:pt idx="4">
                  <c:v>0</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-2.8531710970452484E-2</c:v>
                </c:pt>
                <c:pt idx="1">
                  <c:v>5.8265549091416347E-3</c:v>
                </c:pt>
                <c:pt idx="2">
                  <c:v>2.3908155852798707E-3</c:v>
                </c:pt>
                <c:pt idx="3">
                  <c:v>2.031434047603109E-2</c:v>
                </c:pt>
                <c:pt idx="4">
                  <c:v>0</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-3.0049074209549831E-2</c:v>
                </c:pt>
                <c:pt idx="1">
                  <c:v>6.0977236546375657E-3</c:v>
                </c:pt>
                <c:pt idx="2">
                  <c:v>2.2930670778393836E-3</c:v>
                </c:pt>
                <c:pt idx="3">
                  <c:v>2.1658283477073326E-2</c:v>
                </c:pt>
                <c:pt idx="4">
                  <c:v>0</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-3.0630120420784057E-2</c:v>
                </c:pt>
                <c:pt idx="1">
                  <c:v>4.6559789826448039E-3</c:v>
                </c:pt>
                <c:pt idx="2">
                  <c:v>3.7629418741533804E-3</c:v>
                </c:pt>
                <c:pt idx="3">
                  <c:v>2.221119956398554E-2</c:v>
                </c:pt>
                <c:pt idx="4">
                  <c:v>0</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-2.9664915060080732E-2</c:v>
                </c:pt>
                <c:pt idx="1">
                  <c:v>1.5745392269470582E-3</c:v>
                </c:pt>
                <c:pt idx="2">
                  <c:v>3.1764329794630175E-3</c:v>
                </c:pt>
                <c:pt idx="3">
                  <c:v>2.4913942853670656E-2</c:v>
                </c:pt>
                <c:pt idx="4">
                  <c:v>0</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-3.1277344935154439E-2</c:v>
                </c:pt>
                <c:pt idx="1">
                  <c:v>3.2495914261796432E-3</c:v>
                </c:pt>
                <c:pt idx="2">
                  <c:v>5.7349191504421082E-3</c:v>
                </c:pt>
                <c:pt idx="3">
                  <c:v>2.2292834358532687E-2</c:v>
                </c:pt>
                <c:pt idx="4">
                  <c:v>0</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-3.2059016675741403E-2</c:v>
                </c:pt>
                <c:pt idx="1">
                  <c:v>2.9757798732090723E-3</c:v>
                </c:pt>
                <c:pt idx="2">
                  <c:v>7.1654602462407624E-3</c:v>
                </c:pt>
                <c:pt idx="3">
                  <c:v>2.1917776556291901E-2</c:v>
                </c:pt>
                <c:pt idx="4">
                  <c:v>0</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-2.9986838694057272E-2</c:v>
                </c:pt>
                <c:pt idx="1">
                  <c:v>2.3376364308884678E-3</c:v>
                </c:pt>
                <c:pt idx="2">
                  <c:v>6.007604096709418E-3</c:v>
                </c:pt>
                <c:pt idx="3">
                  <c:v>2.1641598166459497E-2</c:v>
                </c:pt>
                <c:pt idx="4">
                  <c:v>0</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-2.2236245124423126E-2</c:v>
                </c:pt>
                <c:pt idx="1">
                  <c:v>-7.0272139705451764E-4</c:v>
                </c:pt>
                <c:pt idx="2">
                  <c:v>5.2458878298411449E-5</c:v>
                </c:pt>
                <c:pt idx="3">
                  <c:v>2.2886507643179232E-2</c:v>
                </c:pt>
                <c:pt idx="4">
                  <c:v>0</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-1.3149090544682385E-2</c:v>
                </c:pt>
                <c:pt idx="1">
                  <c:v>-2.5752666650983302E-3</c:v>
                </c:pt>
                <c:pt idx="2">
                  <c:v>-3.8639713978039225E-3</c:v>
                </c:pt>
                <c:pt idx="3">
                  <c:v>1.9588328607584859E-2</c:v>
                </c:pt>
                <c:pt idx="4">
                  <c:v>0</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-7.5881205671451957E-3</c:v>
                </c:pt>
                <c:pt idx="1">
                  <c:v>-5.4182676328244916E-3</c:v>
                </c:pt>
                <c:pt idx="2">
                  <c:v>-6.1150508333170928E-3</c:v>
                </c:pt>
                <c:pt idx="3">
                  <c:v>1.9121439033287224E-2</c:v>
                </c:pt>
                <c:pt idx="4">
                  <c:v>0</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-7.1711764681177126E-3</c:v>
                </c:pt>
                <c:pt idx="1">
                  <c:v>5.900702621937759E-3</c:v>
                </c:pt>
                <c:pt idx="2">
                  <c:v>-8.542295685230239E-3</c:v>
                </c:pt>
                <c:pt idx="3">
                  <c:v>9.8127695314100816E-3</c:v>
                </c:pt>
                <c:pt idx="4">
                  <c:v>0</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-3.1342892817592949E-3</c:v>
                </c:pt>
                <c:pt idx="1">
                  <c:v>4.1436120432898349E-3</c:v>
                </c:pt>
                <c:pt idx="2">
                  <c:v>-6.1103898183566541E-3</c:v>
                </c:pt>
                <c:pt idx="3">
                  <c:v>5.101067056825892E-3</c:v>
                </c:pt>
                <c:pt idx="4">
                  <c:v>0</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-1.4625204776956835E-3</c:v>
                </c:pt>
                <c:pt idx="1">
                  <c:v>1.3136274118300317E-2</c:v>
                </c:pt>
                <c:pt idx="2">
                  <c:v>-1.3250499340949795E-2</c:v>
                </c:pt>
                <c:pt idx="3">
                  <c:v>1.5767457003450502E-3</c:v>
                </c:pt>
                <c:pt idx="4">
                  <c:v>0</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-6.583261335477153E-3</c:v>
                </c:pt>
                <c:pt idx="1">
                  <c:v>2.1248186320670603E-2</c:v>
                </c:pt>
                <c:pt idx="2">
                  <c:v>-1.5900480632267677E-2</c:v>
                </c:pt>
                <c:pt idx="3">
                  <c:v>1.2355556470744489E-3</c:v>
                </c:pt>
                <c:pt idx="4">
                  <c:v>0</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-1.996378282586031E-4</c:v>
                </c:pt>
                <c:pt idx="1">
                  <c:v>3.9929406231586917E-2</c:v>
                </c:pt>
                <c:pt idx="2">
                  <c:v>-1.8313847153795249E-2</c:v>
                </c:pt>
                <c:pt idx="3">
                  <c:v>-2.1415921249532954E-2</c:v>
                </c:pt>
                <c:pt idx="4">
                  <c:v>0</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-2.5511587080362386E-4</c:v>
                </c:pt>
                <c:pt idx="1">
                  <c:v>3.3857409568780694E-2</c:v>
                </c:pt>
                <c:pt idx="2">
                  <c:v>-2.4614969993608571E-2</c:v>
                </c:pt>
                <c:pt idx="3">
                  <c:v>-8.9873237043686105E-3</c:v>
                </c:pt>
                <c:pt idx="4">
                  <c:v>0</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1.5385641076398837E-2</c:v>
                </c:pt>
                <c:pt idx="1">
                  <c:v>3.2213733370398456E-2</c:v>
                </c:pt>
                <c:pt idx="2">
                  <c:v>-4.9158489730543153E-2</c:v>
                </c:pt>
                <c:pt idx="3">
                  <c:v>1.559115283746193E-3</c:v>
                </c:pt>
                <c:pt idx="4">
                  <c:v>0</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3.5491519116164216E-2</c:v>
                </c:pt>
                <c:pt idx="1">
                  <c:v>3.5498453132542629E-2</c:v>
                </c:pt>
                <c:pt idx="2">
                  <c:v>-6.1358922189541198E-2</c:v>
                </c:pt>
                <c:pt idx="3">
                  <c:v>-9.6310500591655357E-3</c:v>
                </c:pt>
                <c:pt idx="4">
                  <c:v>0</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2.4694848042442485E-2</c:v>
                </c:pt>
                <c:pt idx="1">
                  <c:v>4.1443572893414604E-2</c:v>
                </c:pt>
                <c:pt idx="2">
                  <c:v>-6.7593379154117339E-2</c:v>
                </c:pt>
                <c:pt idx="3">
                  <c:v>1.4549582182605825E-3</c:v>
                </c:pt>
                <c:pt idx="4">
                  <c:v>0</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7.7935387453398342E-4</c:v>
                </c:pt>
                <c:pt idx="1">
                  <c:v>5.1877533300204393E-2</c:v>
                </c:pt>
                <c:pt idx="2">
                  <c:v>-5.4819410479427844E-2</c:v>
                </c:pt>
                <c:pt idx="3">
                  <c:v>2.1625233046898007E-3</c:v>
                </c:pt>
                <c:pt idx="4">
                  <c:v>0</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1.8994590125644084E-2</c:v>
                </c:pt>
                <c:pt idx="1">
                  <c:v>5.7941345740637473E-2</c:v>
                </c:pt>
                <c:pt idx="2">
                  <c:v>-3.5832216748891144E-2</c:v>
                </c:pt>
                <c:pt idx="3">
                  <c:v>-4.1103719117390525E-2</c:v>
                </c:pt>
                <c:pt idx="4">
                  <c:v>0</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-4.0394453181587853E-2</c:v>
                </c:pt>
                <c:pt idx="1">
                  <c:v>9.7237218118134017E-2</c:v>
                </c:pt>
                <c:pt idx="2">
                  <c:v>-1.0184869817103537E-2</c:v>
                </c:pt>
                <c:pt idx="3">
                  <c:v>-4.6657895119442294E-2</c:v>
                </c:pt>
                <c:pt idx="4">
                  <c:v>0</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-8.0094186604644069E-2</c:v>
                </c:pt>
                <c:pt idx="1">
                  <c:v>0.11099609448080527</c:v>
                </c:pt>
                <c:pt idx="2">
                  <c:v>4.2219581074769419E-3</c:v>
                </c:pt>
                <c:pt idx="3">
                  <c:v>-3.5123865983638369E-2</c:v>
                </c:pt>
                <c:pt idx="4">
                  <c:v>0</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-0.10667545977595072</c:v>
                </c:pt>
                <c:pt idx="1">
                  <c:v>0.17247280738247239</c:v>
                </c:pt>
                <c:pt idx="2">
                  <c:v>-3.3179533484510859E-3</c:v>
                </c:pt>
                <c:pt idx="3">
                  <c:v>-6.2479394258070364E-2</c:v>
                </c:pt>
                <c:pt idx="4">
                  <c:v>0</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-0.13748046985344331</c:v>
                </c:pt>
                <c:pt idx="1">
                  <c:v>0.15376410794796125</c:v>
                </c:pt>
                <c:pt idx="2">
                  <c:v>6.1155522735310441E-2</c:v>
                </c:pt>
                <c:pt idx="3">
                  <c:v>-7.7439160829828158E-2</c:v>
                </c:pt>
                <c:pt idx="4">
                  <c:v>0</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-0.19555060412110492</c:v>
                </c:pt>
                <c:pt idx="1">
                  <c:v>0.27010715799560225</c:v>
                </c:pt>
                <c:pt idx="2">
                  <c:v>4.8155444536890357E-2</c:v>
                </c:pt>
                <c:pt idx="3">
                  <c:v>-0.12271199841138802</c:v>
                </c:pt>
                <c:pt idx="4">
                  <c:v>0</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-2.6619648967706633E-2</c:v>
                </c:pt>
                <c:pt idx="1">
                  <c:v>2.1688041156336491E-2</c:v>
                </c:pt>
                <c:pt idx="2">
                  <c:v>3.68760711722671E-3</c:v>
                </c:pt>
                <c:pt idx="3">
                  <c:v>1.2440006941436543E-3</c:v>
                </c:pt>
                <c:pt idx="4">
                  <c:v>0</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-2.6130255278295711E-2</c:v>
                </c:pt>
                <c:pt idx="1">
                  <c:v>2.1705471905182572E-2</c:v>
                </c:pt>
                <c:pt idx="2">
                  <c:v>4.0628215478974994E-3</c:v>
                </c:pt>
                <c:pt idx="3">
                  <c:v>3.6196182521552878E-4</c:v>
                </c:pt>
                <c:pt idx="4">
                  <c:v>0</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-2.2481255005216472E-2</c:v>
                </c:pt>
                <c:pt idx="1">
                  <c:v>2.1576885285121916E-2</c:v>
                </c:pt>
                <c:pt idx="2">
                  <c:v>8.5641768358790671E-4</c:v>
                </c:pt>
                <c:pt idx="3">
                  <c:v>4.795203650664881E-5</c:v>
                </c:pt>
                <c:pt idx="4">
                  <c:v>0</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-1.9802512215662205E-2</c:v>
                </c:pt>
                <c:pt idx="1">
                  <c:v>2.1021362215643213E-2</c:v>
                </c:pt>
                <c:pt idx="2">
                  <c:v>-1.780375577748794E-3</c:v>
                </c:pt>
                <c:pt idx="3">
                  <c:v>5.6152557776756318E-4</c:v>
                </c:pt>
                <c:pt idx="4">
                  <c:v>0</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-1.8038976591676747E-2</c:v>
                </c:pt>
                <c:pt idx="1">
                  <c:v>1.9134068229142542E-2</c:v>
                </c:pt>
                <c:pt idx="2">
                  <c:v>-2.3999015135737212E-3</c:v>
                </c:pt>
                <c:pt idx="3">
                  <c:v>1.3048098761074822E-3</c:v>
                </c:pt>
                <c:pt idx="4">
                  <c:v>0</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-1.4259648419586601E-2</c:v>
                </c:pt>
                <c:pt idx="1">
                  <c:v>1.6153990168184418E-2</c:v>
                </c:pt>
                <c:pt idx="2">
                  <c:v>-3.2416029797763812E-3</c:v>
                </c:pt>
                <c:pt idx="3">
                  <c:v>1.3472612311780097E-3</c:v>
                </c:pt>
                <c:pt idx="4">
                  <c:v>0</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-1.3479710419902036E-2</c:v>
                </c:pt>
                <c:pt idx="1">
                  <c:v>1.4115231137878492E-2</c:v>
                </c:pt>
                <c:pt idx="2">
                  <c:v>-2.2383056264976275E-3</c:v>
                </c:pt>
                <c:pt idx="3">
                  <c:v>1.6027849085209489E-3</c:v>
                </c:pt>
                <c:pt idx="4">
                  <c:v>0</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-1.2466927714204878E-2</c:v>
                </c:pt>
                <c:pt idx="1">
                  <c:v>1.3058308409443997E-2</c:v>
                </c:pt>
                <c:pt idx="2">
                  <c:v>-4.3483603926931513E-3</c:v>
                </c:pt>
                <c:pt idx="3">
                  <c:v>3.7569796974539216E-3</c:v>
                </c:pt>
                <c:pt idx="4">
                  <c:v>0</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-1.2696693224476419E-2</c:v>
                </c:pt>
                <c:pt idx="1">
                  <c:v>1.3957742449227206E-2</c:v>
                </c:pt>
                <c:pt idx="2">
                  <c:v>-3.6911598783764266E-3</c:v>
                </c:pt>
                <c:pt idx="3">
                  <c:v>2.4301106536255279E-3</c:v>
                </c:pt>
                <c:pt idx="4">
                  <c:v>0</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-1.6787848008810946E-2</c:v>
                </c:pt>
                <c:pt idx="1">
                  <c:v>1.4988222836113563E-2</c:v>
                </c:pt>
                <c:pt idx="2">
                  <c:v>-6.7087185971692609E-4</c:v>
                </c:pt>
                <c:pt idx="3">
                  <c:v>2.4704970324143094E-3</c:v>
                </c:pt>
                <c:pt idx="4">
                  <c:v>0</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-1.1957193866876548E-2</c:v>
                </c:pt>
                <c:pt idx="1">
                  <c:v>1.3316000773463621E-2</c:v>
                </c:pt>
                <c:pt idx="2">
                  <c:v>-3.2428892426517031E-4</c:v>
                </c:pt>
                <c:pt idx="3">
                  <c:v>-1.034517982321348E-3</c:v>
                </c:pt>
                <c:pt idx="4">
                  <c:v>0</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-8.9722341102469461E-3</c:v>
                </c:pt>
                <c:pt idx="1">
                  <c:v>1.381792956207728E-2</c:v>
                </c:pt>
                <c:pt idx="2">
                  <c:v>1.9962907848642963E-3</c:v>
                </c:pt>
                <c:pt idx="3">
                  <c:v>-6.8419862366950746E-3</c:v>
                </c:pt>
                <c:pt idx="4">
                  <c:v>0</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-1.6270192413815332E-3</c:v>
                </c:pt>
                <c:pt idx="1">
                  <c:v>1.4907318962360527E-2</c:v>
                </c:pt>
                <c:pt idx="2">
                  <c:v>-2.211328950856295E-4</c:v>
                </c:pt>
                <c:pt idx="3">
                  <c:v>-1.3059166825893698E-2</c:v>
                </c:pt>
                <c:pt idx="4">
                  <c:v>0</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2.0169024706202521E-3</c:v>
                </c:pt>
                <c:pt idx="1">
                  <c:v>1.664242298747487E-2</c:v>
                </c:pt>
                <c:pt idx="2">
                  <c:v>-3.4911723700820074E-3</c:v>
                </c:pt>
                <c:pt idx="3">
                  <c:v>-1.516815308801267E-2</c:v>
                </c:pt>
                <c:pt idx="4">
                  <c:v>0</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8.5685236961439148E-3</c:v>
                </c:pt>
                <c:pt idx="1">
                  <c:v>1.7501548910761278E-2</c:v>
                </c:pt>
                <c:pt idx="2">
                  <c:v>-4.0902234547045557E-3</c:v>
                </c:pt>
                <c:pt idx="3">
                  <c:v>-2.1979849152200415E-2</c:v>
                </c:pt>
                <c:pt idx="4">
                  <c:v>0</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1.431967609209206E-2</c:v>
                </c:pt>
                <c:pt idx="1">
                  <c:v>1.6470006750955557E-2</c:v>
                </c:pt>
                <c:pt idx="2">
                  <c:v>-9.8117125370206226E-3</c:v>
                </c:pt>
                <c:pt idx="3">
                  <c:v>-2.0977970306026883E-2</c:v>
                </c:pt>
                <c:pt idx="4">
                  <c:v>0</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1.5391644070276822E-2</c:v>
                </c:pt>
                <c:pt idx="1">
                  <c:v>1.4590320636235443E-2</c:v>
                </c:pt>
                <c:pt idx="2">
                  <c:v>-1.5571536450454726E-2</c:v>
                </c:pt>
                <c:pt idx="3">
                  <c:v>-1.4410428256058316E-2</c:v>
                </c:pt>
                <c:pt idx="4">
                  <c:v>0</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1.1778996164689692E-2</c:v>
                </c:pt>
                <c:pt idx="1">
                  <c:v>1.3745615947707623E-2</c:v>
                </c:pt>
                <c:pt idx="2">
                  <c:v>-6.9878041678930192E-3</c:v>
                </c:pt>
                <c:pt idx="3">
                  <c:v>-1.8536807944504186E-2</c:v>
                </c:pt>
                <c:pt idx="4">
                  <c:v>0</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1.6428096917825652E-2</c:v>
                </c:pt>
                <c:pt idx="1">
                  <c:v>1.0579470164751914E-2</c:v>
                </c:pt>
                <c:pt idx="2">
                  <c:v>-7.8800650496011482E-3</c:v>
                </c:pt>
                <c:pt idx="3">
                  <c:v>-1.9127502032976973E-2</c:v>
                </c:pt>
                <c:pt idx="4">
                  <c:v>0</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2.0629681651451071E-2</c:v>
                </c:pt>
                <c:pt idx="1">
                  <c:v>1.1112607617653758E-2</c:v>
                </c:pt>
                <c:pt idx="2">
                  <c:v>-1.1424420771676935E-2</c:v>
                </c:pt>
                <c:pt idx="3">
                  <c:v>-2.0317868497428115E-2</c:v>
                </c:pt>
                <c:pt idx="4">
                  <c:v>0</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2.17169509108881E-2</c:v>
                </c:pt>
                <c:pt idx="1">
                  <c:v>1.6917609395751487E-2</c:v>
                </c:pt>
                <c:pt idx="2">
                  <c:v>-2.0147402821818594E-2</c:v>
                </c:pt>
                <c:pt idx="3">
                  <c:v>-1.8487157484820549E-2</c:v>
                </c:pt>
                <c:pt idx="4">
                  <c:v>0</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1.4719685791892978E-2</c:v>
                </c:pt>
                <c:pt idx="1">
                  <c:v>9.647938450715543E-3</c:v>
                </c:pt>
                <c:pt idx="2">
                  <c:v>-2.8422256466795748E-2</c:v>
                </c:pt>
                <c:pt idx="3">
                  <c:v>4.0546322241878929E-3</c:v>
                </c:pt>
                <c:pt idx="4">
                  <c:v>0</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1.7222436264614283E-2</c:v>
                </c:pt>
                <c:pt idx="1">
                  <c:v>2.5625550659113649E-2</c:v>
                </c:pt>
                <c:pt idx="2">
                  <c:v>-1.1974223008769935E-2</c:v>
                </c:pt>
                <c:pt idx="3">
                  <c:v>-3.0873763914958552E-2</c:v>
                </c:pt>
                <c:pt idx="4">
                  <c:v>0</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5.7966321605833038E-2</c:v>
                </c:pt>
                <c:pt idx="1">
                  <c:v>2.3285898198854404E-2</c:v>
                </c:pt>
                <c:pt idx="2">
                  <c:v>-3.0908946719218067E-2</c:v>
                </c:pt>
                <c:pt idx="3">
                  <c:v>-5.0343273085469153E-2</c:v>
                </c:pt>
                <c:pt idx="4">
                  <c:v>0</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4.9751424672521027E-2</c:v>
                </c:pt>
                <c:pt idx="1">
                  <c:v>3.2497682068165501E-2</c:v>
                </c:pt>
                <c:pt idx="2">
                  <c:v>-1.4921602961798675E-2</c:v>
                </c:pt>
                <c:pt idx="3">
                  <c:v>-6.7327503778888076E-2</c:v>
                </c:pt>
                <c:pt idx="4">
                  <c:v>0</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5.746651478616327E-2</c:v>
                </c:pt>
                <c:pt idx="1">
                  <c:v>2.3354596874631151E-2</c:v>
                </c:pt>
                <c:pt idx="2">
                  <c:v>2.7740928921591967E-2</c:v>
                </c:pt>
                <c:pt idx="3">
                  <c:v>-0.1085620405823865</c:v>
                </c:pt>
                <c:pt idx="4">
                  <c:v>0</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4.8377392405974495E-2</c:v>
                </c:pt>
                <c:pt idx="1">
                  <c:v>0</c:v>
                </c:pt>
                <c:pt idx="2">
                  <c:v>2.9846049600920743E-2</c:v>
                </c:pt>
                <c:pt idx="3">
                  <c:v>-7.8223442006895461E-2</c:v>
                </c:pt>
                <c:pt idx="4">
                  <c:v>0</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5.7466291423620586E-2</c:v>
                </c:pt>
                <c:pt idx="1">
                  <c:v>0</c:v>
                </c:pt>
                <c:pt idx="2">
                  <c:v>-1.3164364449024024E-2</c:v>
                </c:pt>
                <c:pt idx="3">
                  <c:v>-4.4301926974596229E-2</c:v>
                </c:pt>
                <c:pt idx="4">
                  <c:v>0</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-4.616695546978411E-3</c:v>
                </c:pt>
                <c:pt idx="1">
                  <c:v>-2.3087415466982564E-2</c:v>
                </c:pt>
                <c:pt idx="2">
                  <c:v>1.4763876750009342E-2</c:v>
                </c:pt>
                <c:pt idx="3">
                  <c:v>1.29402342639513E-2</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0.11287131318220589</c:v>
                </c:pt>
                <c:pt idx="1">
                  <c:v>-7.3956974004687481E-2</c:v>
                </c:pt>
                <c:pt idx="2">
                  <c:v>-6.7674351047406933E-2</c:v>
                </c:pt>
                <c:pt idx="3">
                  <c:v>2.8760011869888968E-2</c:v>
                </c:pt>
                <c:pt idx="4">
                  <c:v>0</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137.91718750725488</c:v>
                </c:pt>
                <c:pt idx="1">
                  <c:v>231.46729281154623</c:v>
                </c:pt>
                <c:pt idx="2">
                  <c:v>365.25225134404798</c:v>
                </c:pt>
                <c:pt idx="3">
                  <c:v>516.78902904271172</c:v>
                </c:pt>
                <c:pt idx="4">
                  <c:v>707.6450505276116</c:v>
                </c:pt>
                <c:pt idx="5">
                  <c:v>922.37382450508824</c:v>
                </c:pt>
                <c:pt idx="6">
                  <c:v>1149.0188014778182</c:v>
                </c:pt>
                <c:pt idx="7">
                  <c:v>1397.2475496872164</c:v>
                </c:pt>
                <c:pt idx="8">
                  <c:v>1669.1157216595275</c:v>
                </c:pt>
                <c:pt idx="9">
                  <c:v>1950.6134516065745</c:v>
                </c:pt>
                <c:pt idx="10">
                  <c:v>2239.9828153139442</c:v>
                </c:pt>
                <c:pt idx="11">
                  <c:v>2556.1327951275161</c:v>
                </c:pt>
                <c:pt idx="12">
                  <c:v>2878.0068145959649</c:v>
                </c:pt>
                <c:pt idx="13">
                  <c:v>3196.357548119287</c:v>
                </c:pt>
                <c:pt idx="14">
                  <c:v>3519.5918428724431</c:v>
                </c:pt>
                <c:pt idx="15">
                  <c:v>3871.0429482522518</c:v>
                </c:pt>
                <c:pt idx="16">
                  <c:v>4265.0601148202377</c:v>
                </c:pt>
                <c:pt idx="17">
                  <c:v>4725.2930984415525</c:v>
                </c:pt>
                <c:pt idx="18">
                  <c:v>5242.7087721479329</c:v>
                </c:pt>
                <c:pt idx="19">
                  <c:v>5813.0997620671569</c:v>
                </c:pt>
                <c:pt idx="20">
                  <c:v>6417.97654948337</c:v>
                </c:pt>
                <c:pt idx="21">
                  <c:v>7077.1764116827653</c:v>
                </c:pt>
                <c:pt idx="22">
                  <c:v>7817.5343097151417</c:v>
                </c:pt>
                <c:pt idx="23">
                  <c:v>8560.6816080834651</c:v>
                </c:pt>
                <c:pt idx="24">
                  <c:v>9325.2376046317877</c:v>
                </c:pt>
                <c:pt idx="25">
                  <c:v>10044.426790547723</c:v>
                </c:pt>
                <c:pt idx="26">
                  <c:v>10847.201434462597</c:v>
                </c:pt>
                <c:pt idx="27">
                  <c:v>10029.053547135205</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20383</xdr:rowOff>
    </xdr:from>
    <xdr:to>
      <xdr:col>29</xdr:col>
      <xdr:colOff>555225</xdr:colOff>
      <xdr:row>77</xdr:row>
      <xdr:rowOff>97179</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mp\projects\PR0118%20-%20ISO%2011171%20Calibrations\__master__ISO11171-calibration-worksheet.xlsm" TargetMode="External"/><Relationship Id="rId1" Type="http://schemas.openxmlformats.org/officeDocument/2006/relationships/externalLinkPath" Target="__master__ISO11171-calibration-work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SO 11171_2020 Summary"/>
      <sheetName val="Annex A"/>
      <sheetName val="A - B1"/>
      <sheetName val="A - B2"/>
      <sheetName val="A - B3"/>
      <sheetName val="A - B4"/>
      <sheetName val="A - B5"/>
      <sheetName val="Annex B"/>
      <sheetName val="Clause 6"/>
      <sheetName val="6 - B1"/>
      <sheetName val="6 - B2"/>
      <sheetName val="6 - B3"/>
      <sheetName val="6 - Thresholds"/>
      <sheetName val="6 - Spheres"/>
      <sheetName val="6 - Curve"/>
      <sheetName val="Annex C"/>
      <sheetName val="C - B1"/>
      <sheetName val="C -B2"/>
      <sheetName val="C - B3"/>
      <sheetName val="C - B4"/>
      <sheetName val="C - B5"/>
      <sheetName val="D1"/>
      <sheetName val="Annex D"/>
      <sheetName val="E - B1"/>
      <sheetName val="E - B2"/>
      <sheetName val="E - B3"/>
      <sheetName val="Annex 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9">
          <cell r="A9" t="str">
            <v>count_4</v>
          </cell>
          <cell r="O9">
            <v>2.430771760394923E-2</v>
          </cell>
          <cell r="P9">
            <v>-3.6321832977500801E-2</v>
          </cell>
          <cell r="Q9">
            <v>1.5150489898519082E-2</v>
          </cell>
          <cell r="R9">
            <v>-1.6301037262087426E-2</v>
          </cell>
          <cell r="S9">
            <v>1.3164662737119803E-2</v>
          </cell>
        </row>
        <row r="10">
          <cell r="A10" t="str">
            <v>count_5</v>
          </cell>
          <cell r="O10">
            <v>2.3174902688744003E-2</v>
          </cell>
          <cell r="P10">
            <v>-3.470506351639302E-2</v>
          </cell>
          <cell r="Q10">
            <v>1.7757780208313312E-2</v>
          </cell>
          <cell r="R10">
            <v>-1.7398561895008768E-2</v>
          </cell>
          <cell r="S10">
            <v>1.1170942514344251E-2</v>
          </cell>
        </row>
        <row r="11">
          <cell r="A11" t="str">
            <v>count_6</v>
          </cell>
          <cell r="O11">
            <v>2.2360610181896501E-2</v>
          </cell>
          <cell r="P11">
            <v>-3.2023873430224392E-2</v>
          </cell>
          <cell r="Q11">
            <v>1.8664576300954305E-2</v>
          </cell>
          <cell r="R11">
            <v>-1.8373777485373055E-2</v>
          </cell>
          <cell r="S11">
            <v>9.372464432745975E-3</v>
          </cell>
        </row>
        <row r="12">
          <cell r="A12" t="str">
            <v>count_7</v>
          </cell>
          <cell r="O12">
            <v>2.3462655395180665E-2</v>
          </cell>
          <cell r="P12">
            <v>-3.0624584037989955E-2</v>
          </cell>
          <cell r="Q12">
            <v>1.9789952788564102E-2</v>
          </cell>
          <cell r="R12">
            <v>-2.1109137370581177E-2</v>
          </cell>
          <cell r="S12">
            <v>8.4811132248265864E-3</v>
          </cell>
        </row>
        <row r="13">
          <cell r="A13" t="str">
            <v>count_8</v>
          </cell>
          <cell r="O13">
            <v>2.7817053552598336E-2</v>
          </cell>
          <cell r="P13">
            <v>-3.055554579057207E-2</v>
          </cell>
          <cell r="Q13">
            <v>2.0016387515724876E-2</v>
          </cell>
          <cell r="R13">
            <v>-2.3733914024111957E-2</v>
          </cell>
          <cell r="S13">
            <v>6.4560187463607033E-3</v>
          </cell>
        </row>
        <row r="14">
          <cell r="A14" t="str">
            <v>count_9</v>
          </cell>
          <cell r="O14">
            <v>3.3149109862779191E-2</v>
          </cell>
          <cell r="P14">
            <v>-2.9615764192839955E-2</v>
          </cell>
          <cell r="Q14">
            <v>1.8161960714699887E-2</v>
          </cell>
          <cell r="R14">
            <v>-2.4304473029065687E-2</v>
          </cell>
          <cell r="S14">
            <v>2.6091666444265638E-3</v>
          </cell>
        </row>
        <row r="15">
          <cell r="A15" t="str">
            <v>count_10</v>
          </cell>
          <cell r="O15">
            <v>3.4562480885776958E-2</v>
          </cell>
          <cell r="P15">
            <v>-2.8775277719689907E-2</v>
          </cell>
          <cell r="Q15">
            <v>1.8598132471272733E-2</v>
          </cell>
          <cell r="R15">
            <v>-2.8747461225613224E-2</v>
          </cell>
          <cell r="S15">
            <v>4.3621255882526633E-3</v>
          </cell>
        </row>
        <row r="16">
          <cell r="A16" t="str">
            <v>count_11</v>
          </cell>
          <cell r="O16">
            <v>3.2589814752104207E-2</v>
          </cell>
          <cell r="P16">
            <v>-2.7598488834949642E-2</v>
          </cell>
          <cell r="Q16">
            <v>2.0463376462292349E-2</v>
          </cell>
          <cell r="R16">
            <v>-3.0648580509767598E-2</v>
          </cell>
          <cell r="S16">
            <v>5.1938781303213499E-3</v>
          </cell>
        </row>
        <row r="17">
          <cell r="A17" t="str">
            <v>count_12</v>
          </cell>
          <cell r="O17">
            <v>3.3090748092144517E-2</v>
          </cell>
          <cell r="P17">
            <v>-2.3203608644016827E-2</v>
          </cell>
          <cell r="Q17">
            <v>1.88174017843874E-2</v>
          </cell>
          <cell r="R17">
            <v>-2.844648054413923E-2</v>
          </cell>
          <cell r="S17">
            <v>-2.580606883763048E-4</v>
          </cell>
        </row>
        <row r="18">
          <cell r="A18" t="str">
            <v>count_13</v>
          </cell>
          <cell r="O18">
            <v>3.2354931561754396E-2</v>
          </cell>
          <cell r="P18">
            <v>-2.3730232822995356E-2</v>
          </cell>
          <cell r="Q18">
            <v>1.8972736934759427E-2</v>
          </cell>
          <cell r="R18">
            <v>-2.703314963764325E-2</v>
          </cell>
          <cell r="S18">
            <v>-5.642860358749946E-4</v>
          </cell>
        </row>
        <row r="19">
          <cell r="A19" t="str">
            <v>count_14</v>
          </cell>
          <cell r="O19">
            <v>3.6469594134881378E-2</v>
          </cell>
          <cell r="P19">
            <v>-2.3342170291153264E-2</v>
          </cell>
          <cell r="Q19">
            <v>2.266651797826813E-2</v>
          </cell>
          <cell r="R19">
            <v>-3.0061760296479445E-2</v>
          </cell>
          <cell r="S19">
            <v>-5.7321815255170216E-3</v>
          </cell>
        </row>
        <row r="20">
          <cell r="A20" t="str">
            <v>count_15</v>
          </cell>
          <cell r="O20">
            <v>3.5259838811041E-2</v>
          </cell>
          <cell r="P20">
            <v>-1.8672659900931587E-2</v>
          </cell>
          <cell r="Q20">
            <v>2.3357054075515249E-2</v>
          </cell>
          <cell r="R20">
            <v>-3.4274992476320154E-2</v>
          </cell>
          <cell r="S20">
            <v>-5.6692405093049514E-3</v>
          </cell>
        </row>
        <row r="21">
          <cell r="A21" t="str">
            <v>count_16</v>
          </cell>
          <cell r="O21">
            <v>4.1522283970150786E-2</v>
          </cell>
          <cell r="P21">
            <v>-1.9543346026896002E-2</v>
          </cell>
          <cell r="Q21">
            <v>2.4456277194093046E-2</v>
          </cell>
          <cell r="R21">
            <v>-4.2201035960783617E-2</v>
          </cell>
          <cell r="S21">
            <v>-4.2341791765645453E-3</v>
          </cell>
        </row>
        <row r="22">
          <cell r="A22" t="str">
            <v>count_17</v>
          </cell>
          <cell r="O22">
            <v>4.8369485515691535E-2</v>
          </cell>
          <cell r="P22">
            <v>-1.4802788025925828E-2</v>
          </cell>
          <cell r="Q22">
            <v>2.4890155788251267E-2</v>
          </cell>
          <cell r="R22">
            <v>-5.0095471565326788E-2</v>
          </cell>
          <cell r="S22">
            <v>-8.3613817126904078E-3</v>
          </cell>
        </row>
        <row r="23">
          <cell r="A23" t="str">
            <v>count_18</v>
          </cell>
          <cell r="O23">
            <v>4.6251960575206086E-2</v>
          </cell>
          <cell r="P23">
            <v>-1.2361780397154409E-2</v>
          </cell>
          <cell r="Q23">
            <v>3.3149702257311953E-2</v>
          </cell>
          <cell r="R23">
            <v>-5.7300640841792094E-2</v>
          </cell>
          <cell r="S23">
            <v>-9.7392415935713128E-3</v>
          </cell>
        </row>
        <row r="24">
          <cell r="A24" t="str">
            <v>count_19</v>
          </cell>
          <cell r="O24">
            <v>4.0765336647701211E-2</v>
          </cell>
          <cell r="P24">
            <v>-1.0828337823116541E-2</v>
          </cell>
          <cell r="Q24">
            <v>3.7861287163275525E-2</v>
          </cell>
          <cell r="R24">
            <v>-6.2713821805585379E-2</v>
          </cell>
          <cell r="S24">
            <v>-5.0844641822753722E-3</v>
          </cell>
        </row>
        <row r="25">
          <cell r="A25" t="str">
            <v>count_20</v>
          </cell>
          <cell r="O25">
            <v>2.9335682001234265E-2</v>
          </cell>
          <cell r="P25">
            <v>-2.2900587734426159E-2</v>
          </cell>
          <cell r="Q25">
            <v>2.0095535370318496E-2</v>
          </cell>
          <cell r="R25">
            <v>0</v>
          </cell>
          <cell r="S25">
            <v>-2.6530629637126379E-2</v>
          </cell>
        </row>
        <row r="26">
          <cell r="A26" t="str">
            <v>count_21</v>
          </cell>
          <cell r="O26">
            <v>3.6188843048516883E-2</v>
          </cell>
          <cell r="P26">
            <v>-1.7078266286324806E-2</v>
          </cell>
          <cell r="Q26">
            <v>1.0796114783419242E-2</v>
          </cell>
          <cell r="R26">
            <v>0</v>
          </cell>
          <cell r="S26">
            <v>-2.9906691545611652E-2</v>
          </cell>
        </row>
        <row r="27">
          <cell r="A27" t="str">
            <v>count_22</v>
          </cell>
          <cell r="O27">
            <v>3.7477297910006424E-2</v>
          </cell>
          <cell r="P27">
            <v>1.0178459517957927E-2</v>
          </cell>
          <cell r="Q27">
            <v>3.7559219801313493E-2</v>
          </cell>
          <cell r="R27">
            <v>-6.6393026559643187E-2</v>
          </cell>
          <cell r="S27">
            <v>-1.8821950669635212E-2</v>
          </cell>
        </row>
        <row r="28">
          <cell r="A28" t="str">
            <v>count_23</v>
          </cell>
          <cell r="O28">
            <v>1.8846278832275631E-2</v>
          </cell>
          <cell r="P28">
            <v>1.0728657715374679E-2</v>
          </cell>
          <cell r="Q28">
            <v>1.8064005182772958E-2</v>
          </cell>
          <cell r="R28">
            <v>0</v>
          </cell>
          <cell r="S28">
            <v>-4.7638941730423823E-2</v>
          </cell>
        </row>
        <row r="29">
          <cell r="A29" t="str">
            <v>count_24</v>
          </cell>
          <cell r="O29">
            <v>1.7259291103703722E-2</v>
          </cell>
          <cell r="P29">
            <v>1.8309320100538651E-2</v>
          </cell>
          <cell r="Q29">
            <v>1.1834716064054618E-2</v>
          </cell>
          <cell r="R29">
            <v>0</v>
          </cell>
          <cell r="S29">
            <v>-4.7403327268296991E-2</v>
          </cell>
        </row>
        <row r="30">
          <cell r="A30" t="str">
            <v>count_25</v>
          </cell>
          <cell r="O30">
            <v>5.8552919150947069E-3</v>
          </cell>
          <cell r="P30">
            <v>3.6184408051077588E-2</v>
          </cell>
          <cell r="Q30">
            <v>8.9684544595511895E-3</v>
          </cell>
          <cell r="R30">
            <v>0</v>
          </cell>
          <cell r="S30">
            <v>-5.1008154425723484E-2</v>
          </cell>
        </row>
        <row r="31">
          <cell r="A31" t="str">
            <v>count_26</v>
          </cell>
          <cell r="O31">
            <v>-1.6658460836172617E-2</v>
          </cell>
          <cell r="P31">
            <v>5.4401284977155351E-2</v>
          </cell>
          <cell r="Q31">
            <v>1.4233347675261632E-2</v>
          </cell>
          <cell r="R31">
            <v>0</v>
          </cell>
          <cell r="S31">
            <v>-5.1976171816244587E-2</v>
          </cell>
        </row>
        <row r="32">
          <cell r="A32" t="str">
            <v>count_27</v>
          </cell>
          <cell r="O32">
            <v>-5.0667683491863458E-2</v>
          </cell>
          <cell r="P32">
            <v>6.2913285559954124E-2</v>
          </cell>
          <cell r="Q32">
            <v>4.1738353916529247E-2</v>
          </cell>
          <cell r="R32">
            <v>0</v>
          </cell>
          <cell r="S32">
            <v>-5.3983955984619691E-2</v>
          </cell>
        </row>
        <row r="33">
          <cell r="A33" t="str">
            <v>count_28</v>
          </cell>
          <cell r="O33">
            <v>-0.10295668269646541</v>
          </cell>
          <cell r="P33">
            <v>8.2781097905316736E-2</v>
          </cell>
          <cell r="Q33">
            <v>8.5522170688136612E-2</v>
          </cell>
          <cell r="R33">
            <v>0</v>
          </cell>
          <cell r="S33">
            <v>-6.5346585896988163E-2</v>
          </cell>
        </row>
        <row r="34">
          <cell r="A34" t="str">
            <v>count_29</v>
          </cell>
          <cell r="O34">
            <v>-0.11661357732705935</v>
          </cell>
          <cell r="P34">
            <v>0.11150599235366188</v>
          </cell>
          <cell r="Q34">
            <v>0.14107628981657538</v>
          </cell>
          <cell r="R34">
            <v>-0.13316555831218579</v>
          </cell>
          <cell r="S34">
            <v>-2.8031465309914516E-3</v>
          </cell>
        </row>
        <row r="35">
          <cell r="A35" t="str">
            <v>count_30</v>
          </cell>
          <cell r="O35">
            <v>-9.9456048147043452E-2</v>
          </cell>
          <cell r="P35">
            <v>0.13262055919419491</v>
          </cell>
          <cell r="Q35">
            <v>0.16337197986719265</v>
          </cell>
          <cell r="R35">
            <v>-0.17136085262100775</v>
          </cell>
          <cell r="S35">
            <v>-2.5175638293336355E-2</v>
          </cell>
        </row>
        <row r="36">
          <cell r="A36" t="str">
            <v>count_38</v>
          </cell>
          <cell r="O36">
            <v>-9.3404861074768308E-2</v>
          </cell>
          <cell r="P36">
            <v>4.391795285938227E-2</v>
          </cell>
          <cell r="Q36">
            <v>0.22447876743042938</v>
          </cell>
          <cell r="R36">
            <v>-0.17042985567893298</v>
          </cell>
          <cell r="S36">
            <v>-4.5620035361108036E-3</v>
          </cell>
        </row>
        <row r="37">
          <cell r="A37" t="str">
            <v>count_50</v>
          </cell>
          <cell r="O37">
            <v>-1.7238962240370137E-2</v>
          </cell>
          <cell r="P37">
            <v>9.4191208595549636E-2</v>
          </cell>
          <cell r="Q37">
            <v>0.29095491081299585</v>
          </cell>
          <cell r="R37">
            <v>-0.29594133451259097</v>
          </cell>
          <cell r="S37">
            <v>-7.1965822655584377E-2</v>
          </cell>
        </row>
        <row r="38">
          <cell r="A38" t="str">
            <v>count_70</v>
          </cell>
          <cell r="O38">
            <v>-3.8547791250682639E-2</v>
          </cell>
          <cell r="P38">
            <v>0.14110265294906243</v>
          </cell>
          <cell r="Q38">
            <v>0.31647920834879395</v>
          </cell>
          <cell r="R38">
            <v>-0.24575940317621814</v>
          </cell>
          <cell r="S38">
            <v>-0.17327466687095494</v>
          </cell>
        </row>
      </sheetData>
      <sheetData sheetId="10">
        <row r="7">
          <cell r="O7" t="str">
            <v>Portion 1</v>
          </cell>
          <cell r="P7" t="str">
            <v>Portion 2</v>
          </cell>
          <cell r="Q7" t="str">
            <v>Portion 3</v>
          </cell>
          <cell r="R7" t="str">
            <v>Portion 4</v>
          </cell>
          <cell r="S7" t="str">
            <v>Portion 5</v>
          </cell>
        </row>
        <row r="9">
          <cell r="O9">
            <v>1.8105292660596017E-2</v>
          </cell>
          <cell r="P9">
            <v>1.908596323493339E-2</v>
          </cell>
          <cell r="Q9">
            <v>6.7203604139955964E-3</v>
          </cell>
          <cell r="R9">
            <v>-1.8839009904001114E-2</v>
          </cell>
          <cell r="S9">
            <v>-2.5072606405523667E-2</v>
          </cell>
        </row>
        <row r="10">
          <cell r="O10">
            <v>1.6944986408353069E-2</v>
          </cell>
          <cell r="P10">
            <v>1.6880804399434624E-2</v>
          </cell>
          <cell r="Q10">
            <v>4.3681428225588181E-3</v>
          </cell>
          <cell r="R10">
            <v>-1.6243645934901574E-2</v>
          </cell>
          <cell r="S10">
            <v>-2.1950287695444493E-2</v>
          </cell>
        </row>
        <row r="11">
          <cell r="O11">
            <v>1.586614682596732E-2</v>
          </cell>
          <cell r="P11">
            <v>1.6715032548522801E-2</v>
          </cell>
          <cell r="Q11">
            <v>2.1801131385077444E-3</v>
          </cell>
          <cell r="R11">
            <v>-1.5792351456558218E-2</v>
          </cell>
          <cell r="S11">
            <v>-1.8968941056439426E-2</v>
          </cell>
        </row>
        <row r="12">
          <cell r="O12">
            <v>1.3285396622761958E-2</v>
          </cell>
          <cell r="P12">
            <v>1.7958341188619942E-2</v>
          </cell>
          <cell r="Q12">
            <v>2.4253056552427932E-3</v>
          </cell>
          <cell r="R12">
            <v>-1.6583930370133393E-2</v>
          </cell>
          <cell r="S12">
            <v>-1.70851130964913E-2</v>
          </cell>
        </row>
        <row r="13">
          <cell r="O13">
            <v>1.0051900049565354E-2</v>
          </cell>
          <cell r="P13">
            <v>1.7447824948316537E-2</v>
          </cell>
          <cell r="Q13">
            <v>2.8428790950059124E-3</v>
          </cell>
          <cell r="R13">
            <v>-1.4999842502304461E-2</v>
          </cell>
          <cell r="S13">
            <v>-1.5342761590584009E-2</v>
          </cell>
        </row>
        <row r="14">
          <cell r="O14">
            <v>6.8353905615221588E-3</v>
          </cell>
          <cell r="P14">
            <v>1.5374002731487701E-2</v>
          </cell>
          <cell r="Q14">
            <v>4.1848523710736885E-3</v>
          </cell>
          <cell r="R14">
            <v>-1.3028105307265392E-2</v>
          </cell>
          <cell r="S14">
            <v>-1.3366140356818268E-2</v>
          </cell>
        </row>
        <row r="15">
          <cell r="O15">
            <v>4.1187514902727429E-3</v>
          </cell>
          <cell r="P15">
            <v>1.5201833332098458E-2</v>
          </cell>
          <cell r="Q15">
            <v>9.0386226140970471E-4</v>
          </cell>
          <cell r="R15">
            <v>-1.0807611921530014E-2</v>
          </cell>
          <cell r="S15">
            <v>-9.4168351622506696E-3</v>
          </cell>
        </row>
        <row r="16">
          <cell r="O16">
            <v>2.2920809513349294E-3</v>
          </cell>
          <cell r="P16">
            <v>1.5145923300873276E-2</v>
          </cell>
          <cell r="Q16">
            <v>-1.0943576690813916E-3</v>
          </cell>
          <cell r="R16">
            <v>-8.1942893788433668E-3</v>
          </cell>
          <cell r="S16">
            <v>-8.1493572042836693E-3</v>
          </cell>
        </row>
        <row r="17">
          <cell r="O17">
            <v>8.0253750486658504E-4</v>
          </cell>
          <cell r="P17">
            <v>1.5743233065627082E-2</v>
          </cell>
          <cell r="Q17">
            <v>-4.4511943249381236E-4</v>
          </cell>
          <cell r="R17">
            <v>-9.260078984378306E-3</v>
          </cell>
          <cell r="S17">
            <v>-6.8405721536213271E-3</v>
          </cell>
        </row>
        <row r="18">
          <cell r="O18">
            <v>1.4886020632784991E-3</v>
          </cell>
          <cell r="P18">
            <v>1.3375986292599062E-2</v>
          </cell>
          <cell r="Q18">
            <v>-2.1538562662606342E-3</v>
          </cell>
          <cell r="R18">
            <v>-5.0445529481144558E-3</v>
          </cell>
          <cell r="S18">
            <v>-7.6661791415024716E-3</v>
          </cell>
        </row>
        <row r="19">
          <cell r="O19">
            <v>-2.3165425863294065E-3</v>
          </cell>
          <cell r="P19">
            <v>1.2608073520417484E-2</v>
          </cell>
          <cell r="Q19">
            <v>-1.023259905814311E-3</v>
          </cell>
          <cell r="R19">
            <v>-5.4136391633469172E-3</v>
          </cell>
          <cell r="S19">
            <v>-3.8546318649268496E-3</v>
          </cell>
        </row>
        <row r="20">
          <cell r="O20">
            <v>-1.0454885033231665E-2</v>
          </cell>
          <cell r="P20">
            <v>1.6872181254329766E-2</v>
          </cell>
          <cell r="Q20">
            <v>2.6563176468874516E-4</v>
          </cell>
          <cell r="R20">
            <v>-2.9678669757489118E-3</v>
          </cell>
          <cell r="S20">
            <v>-3.7150610100382675E-3</v>
          </cell>
        </row>
        <row r="21">
          <cell r="O21">
            <v>-1.2394297202243609E-2</v>
          </cell>
          <cell r="P21">
            <v>1.8287502616003204E-2</v>
          </cell>
          <cell r="Q21">
            <v>-1.9336136416268079E-3</v>
          </cell>
          <cell r="R21">
            <v>-8.8098549865744946E-4</v>
          </cell>
          <cell r="S21">
            <v>-3.0786062734747821E-3</v>
          </cell>
        </row>
        <row r="22">
          <cell r="O22">
            <v>-1.6634690932442742E-2</v>
          </cell>
          <cell r="P22">
            <v>1.3576911395607238E-2</v>
          </cell>
          <cell r="Q22">
            <v>7.5065254301349693E-3</v>
          </cell>
          <cell r="R22">
            <v>-4.0710611862626589E-3</v>
          </cell>
          <cell r="S22">
            <v>-3.7768470703658519E-4</v>
          </cell>
        </row>
        <row r="23">
          <cell r="O23">
            <v>-1.7219959802159956E-2</v>
          </cell>
          <cell r="P23">
            <v>5.7340523566828949E-3</v>
          </cell>
          <cell r="Q23">
            <v>1.2635244999550377E-2</v>
          </cell>
          <cell r="R23">
            <v>-5.9904936302206391E-3</v>
          </cell>
          <cell r="S23">
            <v>4.841156076148101E-3</v>
          </cell>
        </row>
        <row r="24">
          <cell r="O24">
            <v>-1.7024196702023597E-2</v>
          </cell>
          <cell r="P24">
            <v>-2.4415928262473408E-3</v>
          </cell>
          <cell r="Q24">
            <v>1.0584021231029972E-2</v>
          </cell>
          <cell r="R24">
            <v>7.19354091861657E-3</v>
          </cell>
          <cell r="S24">
            <v>1.688227378623397E-3</v>
          </cell>
        </row>
        <row r="25">
          <cell r="O25">
            <v>-6.9990198104096235E-3</v>
          </cell>
          <cell r="P25">
            <v>-3.1563753572834141E-3</v>
          </cell>
          <cell r="Q25">
            <v>-7.9125985188047698E-3</v>
          </cell>
          <cell r="R25">
            <v>1.1808487648543364E-2</v>
          </cell>
          <cell r="S25">
            <v>6.2595060379539991E-3</v>
          </cell>
        </row>
        <row r="26">
          <cell r="O26">
            <v>-1.7338755536511208E-4</v>
          </cell>
          <cell r="P26">
            <v>4.7749413502455873E-3</v>
          </cell>
          <cell r="Q26">
            <v>-2.8408964355901345E-2</v>
          </cell>
          <cell r="R26">
            <v>2.0817831899837547E-2</v>
          </cell>
          <cell r="S26">
            <v>2.989578661182879E-3</v>
          </cell>
        </row>
        <row r="27">
          <cell r="O27">
            <v>-1.4345011850861011E-2</v>
          </cell>
          <cell r="P27">
            <v>3.5396019710132398E-2</v>
          </cell>
          <cell r="Q27">
            <v>-4.744602279443022E-2</v>
          </cell>
          <cell r="R27">
            <v>3.1201084513586164E-2</v>
          </cell>
          <cell r="S27">
            <v>-4.8060695784272189E-3</v>
          </cell>
        </row>
        <row r="28">
          <cell r="O28">
            <v>-1.1710857716927481E-2</v>
          </cell>
          <cell r="P28">
            <v>2.0695632816559506E-2</v>
          </cell>
          <cell r="Q28">
            <v>-4.6909715553835163E-2</v>
          </cell>
          <cell r="R28">
            <v>3.4990551536271397E-2</v>
          </cell>
          <cell r="S28">
            <v>2.9343889179318516E-3</v>
          </cell>
        </row>
        <row r="29">
          <cell r="O29">
            <v>-1.7600322664786616E-2</v>
          </cell>
          <cell r="P29">
            <v>2.6350506482521352E-2</v>
          </cell>
          <cell r="Q29">
            <v>-3.6988238303755638E-2</v>
          </cell>
          <cell r="R29">
            <v>3.5587613133241991E-2</v>
          </cell>
          <cell r="S29">
            <v>-7.3495586472215324E-3</v>
          </cell>
        </row>
        <row r="30">
          <cell r="O30">
            <v>-3.0391801627839499E-2</v>
          </cell>
          <cell r="P30">
            <v>3.1182573108073486E-2</v>
          </cell>
          <cell r="Q30">
            <v>-5.0098121808907936E-2</v>
          </cell>
          <cell r="R30">
            <v>4.1908287230433938E-2</v>
          </cell>
          <cell r="S30">
            <v>7.3990630982394556E-3</v>
          </cell>
        </row>
        <row r="31">
          <cell r="O31">
            <v>-4.660781329975705E-2</v>
          </cell>
          <cell r="P31">
            <v>1.7990801555890279E-2</v>
          </cell>
          <cell r="Q31">
            <v>-4.5460428104340811E-2</v>
          </cell>
          <cell r="R31">
            <v>5.2174493963059287E-2</v>
          </cell>
          <cell r="S31">
            <v>2.1902945885148739E-2</v>
          </cell>
        </row>
        <row r="32">
          <cell r="O32">
            <v>-7.7088092853442314E-3</v>
          </cell>
          <cell r="P32">
            <v>-1.1674714874518877E-3</v>
          </cell>
          <cell r="Q32">
            <v>0</v>
          </cell>
          <cell r="R32">
            <v>2.8369919795295351E-2</v>
          </cell>
          <cell r="S32">
            <v>-1.9493639022498899E-2</v>
          </cell>
        </row>
        <row r="33">
          <cell r="O33">
            <v>9.1004420161620025E-3</v>
          </cell>
          <cell r="P33">
            <v>6.3284969333934349E-3</v>
          </cell>
          <cell r="Q33">
            <v>0</v>
          </cell>
          <cell r="R33">
            <v>-1.7913357817468056E-2</v>
          </cell>
          <cell r="S33">
            <v>2.4844188679127299E-3</v>
          </cell>
        </row>
        <row r="34">
          <cell r="O34">
            <v>-2.7837941233216368E-2</v>
          </cell>
          <cell r="P34">
            <v>5.6112680008090887E-2</v>
          </cell>
          <cell r="Q34">
            <v>0</v>
          </cell>
          <cell r="R34">
            <v>-2.3586341180868442E-2</v>
          </cell>
          <cell r="S34">
            <v>-4.6883975940064104E-3</v>
          </cell>
        </row>
        <row r="35">
          <cell r="O35">
            <v>2.5858600066146487E-3</v>
          </cell>
          <cell r="P35">
            <v>3.3140685832982353E-2</v>
          </cell>
          <cell r="Q35">
            <v>0</v>
          </cell>
          <cell r="R35">
            <v>1.9961228837346523E-2</v>
          </cell>
          <cell r="S35">
            <v>-5.568777467694408E-2</v>
          </cell>
        </row>
        <row r="36">
          <cell r="O36">
            <v>1.94500209316808E-2</v>
          </cell>
          <cell r="P36">
            <v>-8.1732929018634159E-3</v>
          </cell>
          <cell r="Q36">
            <v>-2.4472860246343764E-2</v>
          </cell>
          <cell r="R36">
            <v>1.3196132216527046E-2</v>
          </cell>
          <cell r="S36">
            <v>0</v>
          </cell>
        </row>
        <row r="37">
          <cell r="O37">
            <v>5.6357626649409909E-2</v>
          </cell>
          <cell r="P37">
            <v>-5.2536528768298285E-2</v>
          </cell>
          <cell r="Q37">
            <v>-6.8030052408909358E-2</v>
          </cell>
          <cell r="R37">
            <v>6.4208954527797069E-2</v>
          </cell>
          <cell r="S37">
            <v>0</v>
          </cell>
        </row>
        <row r="38">
          <cell r="O38">
            <v>5.2540430270140437E-3</v>
          </cell>
          <cell r="P38">
            <v>-3.5188220188552721E-2</v>
          </cell>
          <cell r="Q38">
            <v>1.4468449841348763E-2</v>
          </cell>
          <cell r="R38">
            <v>1.5465727320189693E-2</v>
          </cell>
          <cell r="S38">
            <v>0</v>
          </cell>
        </row>
      </sheetData>
      <sheetData sheetId="11">
        <row r="7">
          <cell r="O7" t="str">
            <v>Portion 1</v>
          </cell>
          <cell r="P7" t="str">
            <v>Portion 2</v>
          </cell>
          <cell r="Q7" t="str">
            <v>Portion 3</v>
          </cell>
          <cell r="R7" t="str">
            <v>Portion 4</v>
          </cell>
          <cell r="S7" t="str">
            <v>Portion 5</v>
          </cell>
        </row>
        <row r="9">
          <cell r="O9">
            <v>2.2715333874257615E-2</v>
          </cell>
          <cell r="P9">
            <v>-1.4421674387704475E-2</v>
          </cell>
          <cell r="Q9">
            <v>-2.0366284027877324E-2</v>
          </cell>
          <cell r="R9">
            <v>1.0770025606097411E-2</v>
          </cell>
          <cell r="S9">
            <v>1.302598935226662E-3</v>
          </cell>
        </row>
        <row r="10">
          <cell r="O10">
            <v>2.2841999757513332E-2</v>
          </cell>
          <cell r="P10">
            <v>-1.5815481617653004E-2</v>
          </cell>
          <cell r="Q10">
            <v>-1.9148224130438707E-2</v>
          </cell>
          <cell r="R10">
            <v>9.6148456094415913E-3</v>
          </cell>
          <cell r="S10">
            <v>2.5068603811371215E-3</v>
          </cell>
        </row>
        <row r="11">
          <cell r="O11">
            <v>2.5556246932558757E-2</v>
          </cell>
          <cell r="P11">
            <v>-1.8672917257228638E-2</v>
          </cell>
          <cell r="Q11">
            <v>-1.8862502660014213E-2</v>
          </cell>
          <cell r="R11">
            <v>8.9906440317815139E-3</v>
          </cell>
          <cell r="S11">
            <v>2.9885289529016923E-3</v>
          </cell>
        </row>
        <row r="12">
          <cell r="O12">
            <v>2.3378143467813972E-2</v>
          </cell>
          <cell r="P12">
            <v>-1.9653830098060099E-2</v>
          </cell>
          <cell r="Q12">
            <v>-1.441948672614346E-2</v>
          </cell>
          <cell r="R12">
            <v>6.9731486684274646E-3</v>
          </cell>
          <cell r="S12">
            <v>3.7220246879619001E-3</v>
          </cell>
        </row>
        <row r="13">
          <cell r="O13">
            <v>2.1419683976102499E-2</v>
          </cell>
          <cell r="P13">
            <v>-1.9319704247245051E-2</v>
          </cell>
          <cell r="Q13">
            <v>-1.3389245252994231E-2</v>
          </cell>
          <cell r="R13">
            <v>5.7947907671105359E-3</v>
          </cell>
          <cell r="S13">
            <v>5.4944747570269126E-3</v>
          </cell>
        </row>
        <row r="14">
          <cell r="O14">
            <v>1.9832541517795566E-2</v>
          </cell>
          <cell r="P14">
            <v>-2.1236073648113085E-2</v>
          </cell>
          <cell r="Q14">
            <v>-1.2033001976144986E-2</v>
          </cell>
          <cell r="R14">
            <v>5.2794074077053832E-3</v>
          </cell>
          <cell r="S14">
            <v>8.1571266987570112E-3</v>
          </cell>
        </row>
        <row r="15">
          <cell r="O15">
            <v>1.9826099486014215E-2</v>
          </cell>
          <cell r="P15">
            <v>-1.9369299870449108E-2</v>
          </cell>
          <cell r="Q15">
            <v>-1.3605583722956061E-2</v>
          </cell>
          <cell r="R15">
            <v>4.8111082077852974E-3</v>
          </cell>
          <cell r="S15">
            <v>8.3376758996058786E-3</v>
          </cell>
        </row>
        <row r="16">
          <cell r="O16">
            <v>2.094525562866556E-2</v>
          </cell>
          <cell r="P16">
            <v>-2.0263832517988245E-2</v>
          </cell>
          <cell r="Q16">
            <v>-1.3640640848134877E-2</v>
          </cell>
          <cell r="R16">
            <v>3.2733765546866245E-3</v>
          </cell>
          <cell r="S16">
            <v>9.6858411827707158E-3</v>
          </cell>
        </row>
        <row r="17">
          <cell r="O17">
            <v>1.9140997013173955E-2</v>
          </cell>
          <cell r="P17">
            <v>-2.0794613134184514E-2</v>
          </cell>
          <cell r="Q17">
            <v>-1.2744472396769568E-2</v>
          </cell>
          <cell r="R17">
            <v>5.0177484555342655E-3</v>
          </cell>
          <cell r="S17">
            <v>9.3803400622469724E-3</v>
          </cell>
        </row>
        <row r="18">
          <cell r="O18">
            <v>1.9397678735883828E-2</v>
          </cell>
          <cell r="P18">
            <v>-1.6377395342135892E-2</v>
          </cell>
          <cell r="Q18">
            <v>-1.4080126289194972E-2</v>
          </cell>
          <cell r="R18">
            <v>3.2886494586386039E-3</v>
          </cell>
          <cell r="S18">
            <v>7.7711934368089874E-3</v>
          </cell>
        </row>
        <row r="19">
          <cell r="O19">
            <v>1.7120497728770223E-2</v>
          </cell>
          <cell r="P19">
            <v>-1.3831736145676121E-2</v>
          </cell>
          <cell r="Q19">
            <v>-1.5489546396999287E-2</v>
          </cell>
          <cell r="R19">
            <v>6.7030377289045706E-3</v>
          </cell>
          <cell r="S19">
            <v>5.4977470850003929E-3</v>
          </cell>
        </row>
        <row r="20">
          <cell r="O20">
            <v>2.5567022405727835E-2</v>
          </cell>
          <cell r="P20">
            <v>-1.112375434753643E-2</v>
          </cell>
          <cell r="Q20">
            <v>-2.6344207315376678E-2</v>
          </cell>
          <cell r="R20">
            <v>5.5698584586494349E-3</v>
          </cell>
          <cell r="S20">
            <v>6.3310807985352824E-3</v>
          </cell>
        </row>
        <row r="21">
          <cell r="O21">
            <v>2.6108492379092629E-2</v>
          </cell>
          <cell r="P21">
            <v>-1.2262634171592235E-2</v>
          </cell>
          <cell r="Q21">
            <v>-2.1929732144136405E-2</v>
          </cell>
          <cell r="R21">
            <v>2.0301678971208492E-3</v>
          </cell>
          <cell r="S21">
            <v>6.0537060395142728E-3</v>
          </cell>
        </row>
        <row r="22">
          <cell r="O22">
            <v>1.9442596588149286E-2</v>
          </cell>
          <cell r="P22">
            <v>1.1246429756726073E-3</v>
          </cell>
          <cell r="Q22">
            <v>-2.0612094301250106E-2</v>
          </cell>
          <cell r="R22">
            <v>1.9007068955083639E-3</v>
          </cell>
          <cell r="S22">
            <v>-1.8558521580805953E-3</v>
          </cell>
        </row>
        <row r="23">
          <cell r="O23">
            <v>1.8946420759978766E-2</v>
          </cell>
          <cell r="P23">
            <v>5.8030471703047759E-3</v>
          </cell>
          <cell r="Q23">
            <v>-1.8930065260072459E-2</v>
          </cell>
          <cell r="R23">
            <v>-6.4681297609614496E-4</v>
          </cell>
          <cell r="S23">
            <v>-5.1725896941148264E-3</v>
          </cell>
        </row>
        <row r="24">
          <cell r="O24">
            <v>-5.9812733630115744E-4</v>
          </cell>
          <cell r="P24">
            <v>1.2535847277045153E-2</v>
          </cell>
          <cell r="Q24">
            <v>-6.6937244809298635E-3</v>
          </cell>
          <cell r="R24">
            <v>-4.4987714908372167E-3</v>
          </cell>
          <cell r="S24">
            <v>-7.4522396897769294E-4</v>
          </cell>
        </row>
        <row r="25">
          <cell r="O25">
            <v>-5.5340599633774135E-3</v>
          </cell>
          <cell r="P25">
            <v>5.1560996278441351E-3</v>
          </cell>
          <cell r="Q25">
            <v>1.8053434217524256E-4</v>
          </cell>
          <cell r="R25">
            <v>-6.1014822557289294E-3</v>
          </cell>
          <cell r="S25">
            <v>6.2989082490869652E-3</v>
          </cell>
        </row>
        <row r="26">
          <cell r="O26">
            <v>1.0845648125757279E-2</v>
          </cell>
          <cell r="P26">
            <v>8.620370461294824E-3</v>
          </cell>
          <cell r="Q26">
            <v>-1.8332084486740285E-2</v>
          </cell>
          <cell r="R26">
            <v>-8.0398412400628505E-4</v>
          </cell>
          <cell r="S26">
            <v>-3.2994997630586553E-4</v>
          </cell>
        </row>
        <row r="27">
          <cell r="O27">
            <v>4.2132154989822368E-3</v>
          </cell>
          <cell r="P27">
            <v>1.0225027669623854E-2</v>
          </cell>
          <cell r="Q27">
            <v>-1.653608093766723E-2</v>
          </cell>
          <cell r="R27">
            <v>5.6776335930943667E-3</v>
          </cell>
          <cell r="S27">
            <v>-3.5797958240332273E-3</v>
          </cell>
        </row>
        <row r="28">
          <cell r="O28">
            <v>1.1593976013494212E-2</v>
          </cell>
          <cell r="P28">
            <v>2.2557189156280355E-3</v>
          </cell>
          <cell r="Q28">
            <v>-1.2665071203185163E-2</v>
          </cell>
          <cell r="R28">
            <v>7.1021254948895329E-3</v>
          </cell>
          <cell r="S28">
            <v>-8.2867492208266169E-3</v>
          </cell>
        </row>
        <row r="29">
          <cell r="O29">
            <v>4.3026842010546629E-2</v>
          </cell>
          <cell r="P29">
            <v>2.4971267892316185E-2</v>
          </cell>
          <cell r="Q29">
            <v>-4.5405226392939313E-2</v>
          </cell>
          <cell r="R29">
            <v>-1.518588614964167E-2</v>
          </cell>
          <cell r="S29">
            <v>-7.4069973602814976E-3</v>
          </cell>
        </row>
        <row r="30">
          <cell r="O30">
            <v>5.1374673484001043E-2</v>
          </cell>
          <cell r="P30">
            <v>5.1693724804947827E-2</v>
          </cell>
          <cell r="Q30">
            <v>-5.4499765999021177E-2</v>
          </cell>
          <cell r="R30">
            <v>-1.2249804511267004E-2</v>
          </cell>
          <cell r="S30">
            <v>-3.6318827778660134E-2</v>
          </cell>
        </row>
        <row r="31">
          <cell r="O31">
            <v>8.6876497451450874E-2</v>
          </cell>
          <cell r="P31">
            <v>5.1060787591574508E-2</v>
          </cell>
          <cell r="Q31">
            <v>-9.7168110267542573E-2</v>
          </cell>
          <cell r="R31">
            <v>-7.0226163644614426E-3</v>
          </cell>
          <cell r="S31">
            <v>-3.3746558411022143E-2</v>
          </cell>
        </row>
        <row r="32">
          <cell r="O32">
            <v>3.8365651775033038E-2</v>
          </cell>
          <cell r="P32">
            <v>0.1127502214194247</v>
          </cell>
          <cell r="Q32">
            <v>-0.14200370606493362</v>
          </cell>
          <cell r="R32">
            <v>-1.9549849916198792E-2</v>
          </cell>
          <cell r="S32">
            <v>1.0437682786675229E-2</v>
          </cell>
        </row>
        <row r="33">
          <cell r="O33">
            <v>5.3123870313576571E-2</v>
          </cell>
          <cell r="P33">
            <v>0.17644283881225076</v>
          </cell>
          <cell r="Q33">
            <v>-0.14510302633385863</v>
          </cell>
          <cell r="R33">
            <v>-4.5380602921089808E-2</v>
          </cell>
          <cell r="S33">
            <v>-3.908307987087789E-2</v>
          </cell>
        </row>
        <row r="34">
          <cell r="O34">
            <v>5.9094104091484523E-2</v>
          </cell>
          <cell r="P34">
            <v>0.12992369408438109</v>
          </cell>
          <cell r="Q34">
            <v>-0.17829679347998806</v>
          </cell>
          <cell r="R34">
            <v>8.3729219349282236E-3</v>
          </cell>
          <cell r="S34">
            <v>-1.9093926630806002E-2</v>
          </cell>
        </row>
        <row r="35">
          <cell r="O35">
            <v>0.12524819300417644</v>
          </cell>
          <cell r="P35">
            <v>0</v>
          </cell>
          <cell r="Q35">
            <v>-0.10625466261559569</v>
          </cell>
          <cell r="R35">
            <v>5.1761183629636331E-2</v>
          </cell>
          <cell r="S35">
            <v>-7.0754714018217313E-2</v>
          </cell>
        </row>
        <row r="36">
          <cell r="O36">
            <v>0.10978259841073745</v>
          </cell>
          <cell r="P36">
            <v>0</v>
          </cell>
          <cell r="Q36">
            <v>-7.7334690328754063E-2</v>
          </cell>
          <cell r="R36">
            <v>7.3328339414432619E-2</v>
          </cell>
          <cell r="S36">
            <v>-0.10577624749641612</v>
          </cell>
        </row>
        <row r="37">
          <cell r="O37">
            <v>-3.2310918739182348E-2</v>
          </cell>
          <cell r="P37">
            <v>0.10977564277080565</v>
          </cell>
          <cell r="Q37">
            <v>-4.8182328854409984E-2</v>
          </cell>
          <cell r="R37">
            <v>-2.9282395177213538E-2</v>
          </cell>
          <cell r="S37">
            <v>0</v>
          </cell>
        </row>
        <row r="38">
          <cell r="O38">
            <v>-1.4928969614786514E-2</v>
          </cell>
          <cell r="P38">
            <v>7.9500451335133837E-2</v>
          </cell>
          <cell r="Q38">
            <v>2.9920196042243496E-2</v>
          </cell>
          <cell r="R38">
            <v>-9.4491677762590709E-2</v>
          </cell>
          <cell r="S38">
            <v>0</v>
          </cell>
        </row>
      </sheetData>
      <sheetData sheetId="12"/>
      <sheetData sheetId="13" refreshError="1"/>
      <sheetData sheetId="14">
        <row r="5">
          <cell r="C5">
            <v>4</v>
          </cell>
          <cell r="D5">
            <v>55.824297191719552</v>
          </cell>
        </row>
        <row r="6">
          <cell r="C6">
            <v>5</v>
          </cell>
          <cell r="D6">
            <v>93.819165044772774</v>
          </cell>
        </row>
        <row r="7">
          <cell r="C7">
            <v>6</v>
          </cell>
          <cell r="D7">
            <v>145.93366328224386</v>
          </cell>
        </row>
        <row r="8">
          <cell r="C8">
            <v>7</v>
          </cell>
          <cell r="D8">
            <v>202.96007381382276</v>
          </cell>
        </row>
        <row r="9">
          <cell r="C9">
            <v>8</v>
          </cell>
          <cell r="D9">
            <v>274.02556560248922</v>
          </cell>
        </row>
        <row r="10">
          <cell r="C10">
            <v>9</v>
          </cell>
          <cell r="D10">
            <v>354.72525507709457</v>
          </cell>
        </row>
        <row r="11">
          <cell r="C11">
            <v>10</v>
          </cell>
          <cell r="D11">
            <v>439.16365330378312</v>
          </cell>
        </row>
        <row r="12">
          <cell r="C12">
            <v>11</v>
          </cell>
          <cell r="D12">
            <v>533.40086228697442</v>
          </cell>
        </row>
        <row r="13">
          <cell r="C13">
            <v>12</v>
          </cell>
          <cell r="D13">
            <v>636.84341796362787</v>
          </cell>
        </row>
        <row r="14">
          <cell r="C14">
            <v>13</v>
          </cell>
          <cell r="D14">
            <v>742.4535962221895</v>
          </cell>
        </row>
        <row r="15">
          <cell r="C15">
            <v>14</v>
          </cell>
          <cell r="D15">
            <v>846.52898028792617</v>
          </cell>
        </row>
        <row r="16">
          <cell r="C16">
            <v>15</v>
          </cell>
          <cell r="D16">
            <v>958.16301083952055</v>
          </cell>
        </row>
        <row r="17">
          <cell r="C17">
            <v>16</v>
          </cell>
          <cell r="D17">
            <v>1079.8099373992954</v>
          </cell>
        </row>
        <row r="18">
          <cell r="C18">
            <v>17</v>
          </cell>
          <cell r="D18">
            <v>1198.8945291294419</v>
          </cell>
        </row>
        <row r="19">
          <cell r="C19">
            <v>18</v>
          </cell>
          <cell r="D19">
            <v>1319.4997665049989</v>
          </cell>
        </row>
        <row r="20">
          <cell r="C20">
            <v>19</v>
          </cell>
          <cell r="D20">
            <v>1450.8755093121931</v>
          </cell>
        </row>
        <row r="21">
          <cell r="C21">
            <v>20</v>
          </cell>
          <cell r="D21">
            <v>1599.4503386671131</v>
          </cell>
        </row>
        <row r="22">
          <cell r="C22">
            <v>21</v>
          </cell>
          <cell r="D22">
            <v>1771.7580624098962</v>
          </cell>
        </row>
        <row r="23">
          <cell r="C23">
            <v>22</v>
          </cell>
          <cell r="D23">
            <v>1965.000734120249</v>
          </cell>
        </row>
        <row r="24">
          <cell r="C24">
            <v>23</v>
          </cell>
          <cell r="D24">
            <v>2182.0701332973917</v>
          </cell>
        </row>
        <row r="25">
          <cell r="C25">
            <v>24</v>
          </cell>
          <cell r="D25">
            <v>2427.4616684326684</v>
          </cell>
        </row>
        <row r="26">
          <cell r="C26">
            <v>25</v>
          </cell>
          <cell r="D26">
            <v>2693.0727135542766</v>
          </cell>
        </row>
        <row r="27">
          <cell r="C27">
            <v>26</v>
          </cell>
          <cell r="D27">
            <v>2973.606607704412</v>
          </cell>
        </row>
        <row r="28">
          <cell r="C28">
            <v>27</v>
          </cell>
          <cell r="D28">
            <v>3253.0025662206435</v>
          </cell>
        </row>
        <row r="29">
          <cell r="C29">
            <v>28</v>
          </cell>
          <cell r="D29">
            <v>3541.794787040978</v>
          </cell>
        </row>
        <row r="30">
          <cell r="C30">
            <v>29</v>
          </cell>
          <cell r="D30">
            <v>3839.4268055058355</v>
          </cell>
        </row>
        <row r="31">
          <cell r="C31">
            <v>30</v>
          </cell>
          <cell r="D31">
            <v>4200.0031012857889</v>
          </cell>
        </row>
        <row r="32">
          <cell r="C32">
            <v>38</v>
          </cell>
          <cell r="D32">
            <v>9383.1992798272131</v>
          </cell>
        </row>
        <row r="33">
          <cell r="C33">
            <v>50</v>
          </cell>
          <cell r="D33">
            <v>15895.418171796442</v>
          </cell>
        </row>
        <row r="34">
          <cell r="C34">
            <v>70</v>
          </cell>
          <cell r="D34">
            <v>24999.999999999996</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topLeftCell="B1" zoomScale="70" zoomScaleNormal="70" workbookViewId="0">
      <selection activeCell="B52" sqref="B52:AE52"/>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8.399999999999999" x14ac:dyDescent="0.7">
      <c r="D2" s="4" t="s">
        <v>1</v>
      </c>
      <c r="L2" s="5" t="s">
        <v>2</v>
      </c>
      <c r="M2" s="6"/>
      <c r="N2" s="6"/>
      <c r="O2" s="6"/>
      <c r="P2" s="6" t="s">
        <v>3</v>
      </c>
      <c r="Q2" s="7">
        <v>0.89</v>
      </c>
      <c r="R2" s="8" t="s">
        <v>4</v>
      </c>
    </row>
    <row r="3" spans="1:1024" ht="15.75" x14ac:dyDescent="0.5">
      <c r="A3" s="9" t="s">
        <v>5</v>
      </c>
      <c r="B3" s="10" t="s">
        <v>6</v>
      </c>
      <c r="C3" s="10"/>
      <c r="E3" s="11" t="s">
        <v>7</v>
      </c>
      <c r="F3" s="12">
        <v>1</v>
      </c>
      <c r="G3" s="13"/>
      <c r="H3" s="13"/>
      <c r="L3" s="14" t="s">
        <v>8</v>
      </c>
      <c r="M3" s="15"/>
      <c r="N3" s="15"/>
      <c r="O3" s="15"/>
      <c r="P3" s="12">
        <v>1</v>
      </c>
      <c r="Q3" s="12">
        <v>90</v>
      </c>
      <c r="R3" s="16" t="s">
        <v>9</v>
      </c>
    </row>
    <row r="4" spans="1:1024" ht="13.15" x14ac:dyDescent="0.4">
      <c r="A4" s="10" t="s">
        <v>10</v>
      </c>
      <c r="B4" s="17">
        <v>46010</v>
      </c>
      <c r="C4" s="10"/>
      <c r="E4" s="11" t="s">
        <v>11</v>
      </c>
      <c r="F4" s="13">
        <v>0.86799999999999999</v>
      </c>
      <c r="G4" s="13"/>
      <c r="H4" s="13"/>
      <c r="L4" s="18" t="s">
        <v>12</v>
      </c>
      <c r="M4" s="19" t="s">
        <v>13</v>
      </c>
      <c r="N4" s="19" t="s">
        <v>14</v>
      </c>
      <c r="O4" s="19" t="s">
        <v>15</v>
      </c>
      <c r="P4" s="19" t="s">
        <v>16</v>
      </c>
      <c r="Q4" s="19" t="s">
        <v>17</v>
      </c>
      <c r="R4" s="16"/>
    </row>
    <row r="5" spans="1:1024" ht="13.15" x14ac:dyDescent="0.4">
      <c r="A5" s="10" t="s">
        <v>18</v>
      </c>
      <c r="B5" s="20" t="s">
        <v>19</v>
      </c>
      <c r="C5" s="10"/>
      <c r="L5" s="21">
        <v>1.5</v>
      </c>
      <c r="M5" s="22">
        <v>67392.070000000007</v>
      </c>
      <c r="N5" s="22"/>
      <c r="O5" s="22">
        <v>67392.070000000007</v>
      </c>
      <c r="P5" s="22">
        <f>O5*P$3</f>
        <v>67392.070000000007</v>
      </c>
      <c r="Q5" s="22">
        <f>P5*Q$2*Q$3</f>
        <v>5398104.807000001</v>
      </c>
      <c r="R5" s="16"/>
    </row>
    <row r="6" spans="1:1024" ht="13.15" x14ac:dyDescent="0.4">
      <c r="A6" s="10" t="s">
        <v>20</v>
      </c>
      <c r="B6" s="23" t="s">
        <v>129</v>
      </c>
      <c r="C6" s="24"/>
      <c r="E6" s="15" t="s">
        <v>21</v>
      </c>
      <c r="F6" s="19" t="s">
        <v>22</v>
      </c>
      <c r="G6" s="19" t="s">
        <v>23</v>
      </c>
      <c r="H6" s="19" t="s">
        <v>24</v>
      </c>
      <c r="I6" s="19" t="s">
        <v>25</v>
      </c>
      <c r="L6" s="21">
        <v>2</v>
      </c>
      <c r="M6" s="22">
        <v>41165</v>
      </c>
      <c r="N6" s="22"/>
      <c r="O6" s="22">
        <v>41165</v>
      </c>
      <c r="P6" s="22">
        <f t="shared" ref="P6:P34" si="0">O6*P$3</f>
        <v>41165</v>
      </c>
      <c r="Q6" s="22">
        <f t="shared" ref="Q6:Q34" si="1">P6*Q$2*Q$3</f>
        <v>3297316.5</v>
      </c>
      <c r="R6" s="16"/>
    </row>
    <row r="7" spans="1:1024" ht="13.15" x14ac:dyDescent="0.4">
      <c r="A7" s="10" t="s">
        <v>26</v>
      </c>
      <c r="B7" s="25" t="s">
        <v>130</v>
      </c>
      <c r="C7" s="10"/>
      <c r="E7" s="11" t="s">
        <v>28</v>
      </c>
      <c r="F7" s="13">
        <f>$F3*$F4*100</f>
        <v>86.8</v>
      </c>
      <c r="G7" s="13">
        <f>$F3*$F4*100</f>
        <v>86.8</v>
      </c>
      <c r="H7" s="13">
        <f>$F3*$F4*100</f>
        <v>86.8</v>
      </c>
      <c r="I7" s="13">
        <f>$F3*$F4*100</f>
        <v>86.8</v>
      </c>
      <c r="L7" s="21">
        <v>3</v>
      </c>
      <c r="M7" s="22">
        <v>17975.47</v>
      </c>
      <c r="N7" s="22">
        <v>17634.099999999999</v>
      </c>
      <c r="O7" s="22">
        <v>17975.47</v>
      </c>
      <c r="P7" s="22">
        <f t="shared" si="0"/>
        <v>17975.47</v>
      </c>
      <c r="Q7" s="22">
        <f t="shared" si="1"/>
        <v>1439835.1470000001</v>
      </c>
      <c r="R7" s="16"/>
    </row>
    <row r="8" spans="1:1024" ht="13.15" x14ac:dyDescent="0.4">
      <c r="A8" s="10" t="s">
        <v>29</v>
      </c>
      <c r="B8" s="23" t="s">
        <v>129</v>
      </c>
      <c r="C8" s="10"/>
      <c r="E8" s="11" t="s">
        <v>30</v>
      </c>
      <c r="F8" s="12">
        <v>26.08</v>
      </c>
      <c r="G8" s="12">
        <v>26.08</v>
      </c>
      <c r="H8" s="12">
        <v>26.11</v>
      </c>
      <c r="I8" s="12">
        <v>26.16</v>
      </c>
      <c r="L8" s="21">
        <v>4</v>
      </c>
      <c r="M8" s="22">
        <v>10898.56</v>
      </c>
      <c r="N8" s="22">
        <v>10750.3</v>
      </c>
      <c r="O8" s="22">
        <v>10898.56</v>
      </c>
      <c r="P8" s="22">
        <f t="shared" si="0"/>
        <v>10898.56</v>
      </c>
      <c r="Q8" s="22">
        <f t="shared" si="1"/>
        <v>872974.65599999996</v>
      </c>
      <c r="R8" s="16"/>
    </row>
    <row r="9" spans="1:1024" ht="13.15" x14ac:dyDescent="0.4">
      <c r="A9" s="10" t="s">
        <v>31</v>
      </c>
      <c r="B9" s="25" t="s">
        <v>130</v>
      </c>
      <c r="C9" s="10"/>
      <c r="E9" s="26" t="s">
        <v>32</v>
      </c>
      <c r="F9" s="27">
        <f>(1/$F$3-1)*F8</f>
        <v>0</v>
      </c>
      <c r="G9" s="27">
        <f>(1/$F$3-1)*G8</f>
        <v>0</v>
      </c>
      <c r="H9" s="27">
        <f>(1/$F$3-1)*H8</f>
        <v>0</v>
      </c>
      <c r="I9" s="27">
        <f>(1/$F$3-1)*I8</f>
        <v>0</v>
      </c>
      <c r="L9" s="21">
        <v>5</v>
      </c>
      <c r="M9" s="22">
        <v>6986.32</v>
      </c>
      <c r="N9" s="22">
        <v>7121.1</v>
      </c>
      <c r="O9" s="22">
        <v>6986.32</v>
      </c>
      <c r="P9" s="22">
        <f t="shared" si="0"/>
        <v>6986.32</v>
      </c>
      <c r="Q9" s="22">
        <f t="shared" si="1"/>
        <v>559604.23199999996</v>
      </c>
      <c r="R9" s="16"/>
    </row>
    <row r="10" spans="1:1024" ht="13.15" x14ac:dyDescent="0.4">
      <c r="A10" s="24" t="s">
        <v>33</v>
      </c>
      <c r="B10" s="25" t="s">
        <v>34</v>
      </c>
      <c r="C10" s="10"/>
      <c r="E10" s="11" t="s">
        <v>35</v>
      </c>
      <c r="F10" s="28">
        <v>61</v>
      </c>
      <c r="G10" s="28">
        <v>61.18</v>
      </c>
      <c r="H10" s="28">
        <v>61.2</v>
      </c>
      <c r="I10" s="28">
        <v>61.09</v>
      </c>
      <c r="L10" s="21">
        <v>6</v>
      </c>
      <c r="M10" s="22">
        <v>4679.6499999999996</v>
      </c>
      <c r="N10" s="22">
        <v>4729.1000000000004</v>
      </c>
      <c r="O10" s="22">
        <v>4679.6499999999996</v>
      </c>
      <c r="P10" s="22">
        <f t="shared" si="0"/>
        <v>4679.6499999999996</v>
      </c>
      <c r="Q10" s="22">
        <f t="shared" si="1"/>
        <v>374839.96500000003</v>
      </c>
      <c r="R10" s="16"/>
    </row>
    <row r="11" spans="1:1024" x14ac:dyDescent="0.35">
      <c r="B11" s="29"/>
      <c r="E11" s="11" t="s">
        <v>36</v>
      </c>
      <c r="F11" s="30">
        <f>IF($F3=1, 1, F8/(F8+F10))</f>
        <v>1</v>
      </c>
      <c r="G11" s="30">
        <f>IF($F3=1, 1, G8/(G8+G10))</f>
        <v>1</v>
      </c>
      <c r="H11" s="30">
        <f>IF($F3=1, 1, H8/(H8+H10))</f>
        <v>1</v>
      </c>
      <c r="I11" s="30">
        <f>IF($F3=1, 1, I8/(I8+I10))</f>
        <v>1</v>
      </c>
      <c r="L11" s="21">
        <v>7</v>
      </c>
      <c r="M11" s="22">
        <v>3163.23</v>
      </c>
      <c r="N11" s="22">
        <v>3199.3</v>
      </c>
      <c r="O11" s="22">
        <v>3163.23</v>
      </c>
      <c r="P11" s="22">
        <f t="shared" si="0"/>
        <v>3163.23</v>
      </c>
      <c r="Q11" s="22">
        <f t="shared" si="1"/>
        <v>253374.723</v>
      </c>
      <c r="R11" s="16"/>
    </row>
    <row r="12" spans="1:1024" ht="13.9" x14ac:dyDescent="0.4">
      <c r="A12" s="10" t="s">
        <v>37</v>
      </c>
      <c r="B12" s="31">
        <v>80</v>
      </c>
      <c r="C12" s="10"/>
      <c r="L12" s="21">
        <v>8</v>
      </c>
      <c r="M12" s="22">
        <v>2175.4699999999998</v>
      </c>
      <c r="N12" s="22">
        <v>2280.6</v>
      </c>
      <c r="O12" s="22">
        <v>2175.4699999999998</v>
      </c>
      <c r="P12" s="22">
        <f t="shared" si="0"/>
        <v>2175.4699999999998</v>
      </c>
      <c r="Q12" s="22">
        <f t="shared" si="1"/>
        <v>174255.147</v>
      </c>
      <c r="R12" s="16"/>
    </row>
    <row r="13" spans="1:1024" hidden="1" x14ac:dyDescent="0.35">
      <c r="B13" s="29"/>
      <c r="L13" s="32">
        <v>9</v>
      </c>
      <c r="M13" s="22">
        <v>1512.11</v>
      </c>
      <c r="N13" s="22">
        <v>1615</v>
      </c>
      <c r="O13" s="22">
        <v>1512.11</v>
      </c>
      <c r="P13" s="22">
        <f t="shared" si="0"/>
        <v>1512.11</v>
      </c>
      <c r="Q13" s="22">
        <f t="shared" si="1"/>
        <v>121120.01099999998</v>
      </c>
      <c r="R13" s="16"/>
    </row>
    <row r="14" spans="1:1024" x14ac:dyDescent="0.35">
      <c r="A14" t="s">
        <v>38</v>
      </c>
      <c r="B14" s="29">
        <f>B12*1.5</f>
        <v>120</v>
      </c>
      <c r="L14" s="21">
        <v>10</v>
      </c>
      <c r="M14" s="22">
        <v>1079.78</v>
      </c>
      <c r="N14" s="22">
        <v>1130.5</v>
      </c>
      <c r="O14" s="22">
        <v>1079.78</v>
      </c>
      <c r="P14" s="22">
        <f t="shared" si="0"/>
        <v>1079.78</v>
      </c>
      <c r="Q14" s="22">
        <f t="shared" si="1"/>
        <v>86490.377999999997</v>
      </c>
      <c r="R14" s="16"/>
    </row>
    <row r="15" spans="1:1024" ht="13.5" x14ac:dyDescent="0.35">
      <c r="A15" t="s">
        <v>39</v>
      </c>
      <c r="B15" s="31">
        <v>16000</v>
      </c>
      <c r="L15" s="21">
        <v>11</v>
      </c>
      <c r="M15" s="22">
        <v>786.62</v>
      </c>
      <c r="N15" s="22">
        <v>816.2</v>
      </c>
      <c r="O15" s="22">
        <v>786.62</v>
      </c>
      <c r="P15" s="22">
        <f t="shared" si="0"/>
        <v>786.62</v>
      </c>
      <c r="Q15" s="22">
        <f t="shared" si="1"/>
        <v>63008.262000000002</v>
      </c>
      <c r="R15" s="16"/>
    </row>
    <row r="16" spans="1:1024" x14ac:dyDescent="0.35">
      <c r="A16" t="s">
        <v>40</v>
      </c>
      <c r="B16" s="33">
        <f>10^((LOG(B15)-LOG(B14))/(30-1))</f>
        <v>1.1837874992800483</v>
      </c>
      <c r="L16" s="21">
        <v>12</v>
      </c>
      <c r="M16" s="22">
        <v>586.05999999999995</v>
      </c>
      <c r="N16" s="22">
        <v>618.6</v>
      </c>
      <c r="O16" s="22">
        <v>586.05999999999995</v>
      </c>
      <c r="P16" s="22">
        <f t="shared" si="0"/>
        <v>586.05999999999995</v>
      </c>
      <c r="Q16" s="22">
        <f t="shared" si="1"/>
        <v>46943.405999999995</v>
      </c>
      <c r="R16" s="16"/>
    </row>
    <row r="17" spans="1:18" x14ac:dyDescent="0.35">
      <c r="L17" s="21">
        <v>13</v>
      </c>
      <c r="M17" s="22">
        <v>449.93</v>
      </c>
      <c r="N17" s="22">
        <v>481.9</v>
      </c>
      <c r="O17" s="22">
        <v>449.93</v>
      </c>
      <c r="P17" s="22">
        <f t="shared" si="0"/>
        <v>449.93</v>
      </c>
      <c r="Q17" s="22">
        <f t="shared" si="1"/>
        <v>36039.393000000004</v>
      </c>
      <c r="R17" s="16"/>
    </row>
    <row r="18" spans="1:18" x14ac:dyDescent="0.35">
      <c r="A18" s="15" t="s">
        <v>41</v>
      </c>
      <c r="B18" s="15" t="s">
        <v>42</v>
      </c>
      <c r="C18" s="15" t="s">
        <v>43</v>
      </c>
      <c r="D18" s="15" t="s">
        <v>44</v>
      </c>
      <c r="L18" s="21">
        <v>14</v>
      </c>
      <c r="M18" s="22">
        <v>352.62</v>
      </c>
      <c r="N18" s="22">
        <v>384.7</v>
      </c>
      <c r="O18" s="22">
        <v>352.62</v>
      </c>
      <c r="P18" s="22">
        <f t="shared" si="0"/>
        <v>352.62</v>
      </c>
      <c r="Q18" s="22">
        <f t="shared" si="1"/>
        <v>28244.861999999997</v>
      </c>
      <c r="R18" s="16"/>
    </row>
    <row r="19" spans="1:18" x14ac:dyDescent="0.35">
      <c r="A19">
        <v>4</v>
      </c>
      <c r="B19" s="34">
        <f>B12*1.5</f>
        <v>120</v>
      </c>
      <c r="C19" s="22">
        <f t="shared" ref="C19:C48" si="2">INT($B19+0.5)</f>
        <v>120</v>
      </c>
      <c r="D19" s="22">
        <f t="shared" ref="D19:D47" si="3">D20*B$16</f>
        <v>16000.000000000053</v>
      </c>
      <c r="E19" s="15" t="s">
        <v>45</v>
      </c>
      <c r="L19" s="21">
        <v>15</v>
      </c>
      <c r="M19" s="22">
        <v>282.04000000000002</v>
      </c>
      <c r="N19" s="22">
        <v>314.60000000000002</v>
      </c>
      <c r="O19" s="22">
        <v>282.04000000000002</v>
      </c>
      <c r="P19" s="22">
        <f t="shared" si="0"/>
        <v>282.04000000000002</v>
      </c>
      <c r="Q19" s="22">
        <f t="shared" si="1"/>
        <v>22591.404000000002</v>
      </c>
      <c r="R19" s="16"/>
    </row>
    <row r="20" spans="1:18" x14ac:dyDescent="0.35">
      <c r="A20">
        <v>5</v>
      </c>
      <c r="B20" s="34">
        <f t="shared" ref="B20:B48" si="4">B19*B$16</f>
        <v>142.05449991360581</v>
      </c>
      <c r="C20" s="22">
        <f t="shared" si="2"/>
        <v>142</v>
      </c>
      <c r="D20" s="22">
        <f t="shared" si="3"/>
        <v>13515.939313205179</v>
      </c>
      <c r="L20" s="21">
        <v>16</v>
      </c>
      <c r="M20" s="22">
        <v>229.42</v>
      </c>
      <c r="N20" s="22">
        <v>261.8</v>
      </c>
      <c r="O20" s="22">
        <v>229.42</v>
      </c>
      <c r="P20" s="22">
        <f t="shared" si="0"/>
        <v>229.42</v>
      </c>
      <c r="Q20" s="22">
        <f t="shared" si="1"/>
        <v>18376.541999999998</v>
      </c>
      <c r="R20" s="16"/>
    </row>
    <row r="21" spans="1:18" x14ac:dyDescent="0.35">
      <c r="A21">
        <v>6</v>
      </c>
      <c r="B21" s="34">
        <f t="shared" si="4"/>
        <v>168.16234121420527</v>
      </c>
      <c r="C21" s="22">
        <f t="shared" si="2"/>
        <v>168</v>
      </c>
      <c r="D21" s="22">
        <f t="shared" si="3"/>
        <v>11417.538469890293</v>
      </c>
      <c r="L21" s="21">
        <v>17</v>
      </c>
      <c r="M21" s="22">
        <v>186.1</v>
      </c>
      <c r="N21" s="22">
        <v>221.2</v>
      </c>
      <c r="O21" s="22">
        <v>186.1</v>
      </c>
      <c r="P21" s="22">
        <f t="shared" si="0"/>
        <v>186.1</v>
      </c>
      <c r="Q21" s="22">
        <f t="shared" si="1"/>
        <v>14906.609999999999</v>
      </c>
      <c r="R21" s="16"/>
    </row>
    <row r="22" spans="1:18" x14ac:dyDescent="0.35">
      <c r="A22">
        <v>7</v>
      </c>
      <c r="B22" s="34">
        <f t="shared" si="4"/>
        <v>199.06847737904226</v>
      </c>
      <c r="C22" s="22">
        <f t="shared" si="2"/>
        <v>199</v>
      </c>
      <c r="D22" s="22">
        <f t="shared" si="3"/>
        <v>9644.9223165763869</v>
      </c>
      <c r="L22" s="21">
        <v>18</v>
      </c>
      <c r="M22" s="22">
        <v>153.87</v>
      </c>
      <c r="N22" s="22">
        <v>188.7</v>
      </c>
      <c r="O22" s="22">
        <v>153.87</v>
      </c>
      <c r="P22" s="22">
        <f t="shared" si="0"/>
        <v>153.87</v>
      </c>
      <c r="Q22" s="22">
        <f t="shared" si="1"/>
        <v>12324.986999999999</v>
      </c>
      <c r="R22" s="16"/>
    </row>
    <row r="23" spans="1:18" x14ac:dyDescent="0.35">
      <c r="A23">
        <v>8</v>
      </c>
      <c r="B23" s="34">
        <f t="shared" si="4"/>
        <v>235.6547750220233</v>
      </c>
      <c r="C23" s="22">
        <f t="shared" si="2"/>
        <v>236</v>
      </c>
      <c r="D23" s="22">
        <f t="shared" si="3"/>
        <v>8147.5115444640205</v>
      </c>
      <c r="L23" s="21">
        <v>19</v>
      </c>
      <c r="M23" s="22">
        <v>128.62</v>
      </c>
      <c r="N23" s="22">
        <v>161</v>
      </c>
      <c r="O23" s="22">
        <v>128.62</v>
      </c>
      <c r="P23" s="22">
        <f t="shared" si="0"/>
        <v>128.62</v>
      </c>
      <c r="Q23" s="22">
        <f t="shared" si="1"/>
        <v>10302.462</v>
      </c>
      <c r="R23" s="16"/>
    </row>
    <row r="24" spans="1:18" x14ac:dyDescent="0.35">
      <c r="A24">
        <v>9</v>
      </c>
      <c r="B24" s="34">
        <f t="shared" si="4"/>
        <v>278.96517681672339</v>
      </c>
      <c r="C24" s="22">
        <f t="shared" si="2"/>
        <v>279</v>
      </c>
      <c r="D24" s="22">
        <f t="shared" si="3"/>
        <v>6882.5794742883709</v>
      </c>
      <c r="L24" s="21">
        <v>20</v>
      </c>
      <c r="M24" s="22">
        <v>107.35</v>
      </c>
      <c r="N24" s="22">
        <v>136.4</v>
      </c>
      <c r="O24" s="22">
        <v>107.35</v>
      </c>
      <c r="P24" s="22">
        <f t="shared" si="0"/>
        <v>107.35</v>
      </c>
      <c r="Q24" s="22">
        <f t="shared" si="1"/>
        <v>8598.7350000000006</v>
      </c>
      <c r="R24" s="16"/>
    </row>
    <row r="25" spans="1:18" x14ac:dyDescent="0.35">
      <c r="A25">
        <v>10</v>
      </c>
      <c r="B25" s="34">
        <f t="shared" si="4"/>
        <v>330.2354890500855</v>
      </c>
      <c r="C25" s="22">
        <f t="shared" si="2"/>
        <v>330</v>
      </c>
      <c r="D25" s="22">
        <f t="shared" si="3"/>
        <v>5814.0329057995577</v>
      </c>
      <c r="E25" s="34"/>
      <c r="F25" s="34"/>
      <c r="L25" s="21">
        <v>21</v>
      </c>
      <c r="M25" s="22">
        <v>88.64</v>
      </c>
      <c r="N25" s="22">
        <v>114.4</v>
      </c>
      <c r="O25" s="22">
        <v>88.64</v>
      </c>
      <c r="P25" s="22">
        <f t="shared" si="0"/>
        <v>88.64</v>
      </c>
      <c r="Q25" s="22">
        <f t="shared" si="1"/>
        <v>7100.0640000000003</v>
      </c>
      <c r="R25" s="16"/>
    </row>
    <row r="26" spans="1:18" x14ac:dyDescent="0.35">
      <c r="A26">
        <v>11</v>
      </c>
      <c r="B26" s="34">
        <f t="shared" si="4"/>
        <v>390.92864375612453</v>
      </c>
      <c r="C26" s="22">
        <f t="shared" si="2"/>
        <v>391</v>
      </c>
      <c r="D26" s="22">
        <f t="shared" si="3"/>
        <v>4911.3822449852833</v>
      </c>
      <c r="E26" s="34"/>
      <c r="F26" s="34"/>
      <c r="L26" s="21">
        <v>22</v>
      </c>
      <c r="M26" s="22">
        <v>75.56</v>
      </c>
      <c r="N26" s="22">
        <v>95.3</v>
      </c>
      <c r="O26" s="22">
        <v>75.56</v>
      </c>
      <c r="P26" s="22">
        <f t="shared" si="0"/>
        <v>75.56</v>
      </c>
      <c r="Q26" s="22">
        <f t="shared" si="1"/>
        <v>6052.3560000000007</v>
      </c>
      <c r="R26" s="16"/>
    </row>
    <row r="27" spans="1:18" x14ac:dyDescent="0.35">
      <c r="A27">
        <v>12</v>
      </c>
      <c r="B27" s="34">
        <f t="shared" si="4"/>
        <v>462.77644158900353</v>
      </c>
      <c r="C27" s="22">
        <f t="shared" si="2"/>
        <v>463</v>
      </c>
      <c r="D27" s="22">
        <f t="shared" si="3"/>
        <v>4148.8715229483923</v>
      </c>
      <c r="E27" s="34"/>
      <c r="F27" s="34"/>
      <c r="L27" s="21">
        <v>23</v>
      </c>
      <c r="M27" s="22">
        <v>61.94</v>
      </c>
      <c r="N27" s="22">
        <v>79</v>
      </c>
      <c r="O27" s="22">
        <v>61.94</v>
      </c>
      <c r="P27" s="22">
        <f t="shared" si="0"/>
        <v>61.94</v>
      </c>
      <c r="Q27" s="22">
        <f t="shared" si="1"/>
        <v>4961.3939999999993</v>
      </c>
      <c r="R27" s="16"/>
    </row>
    <row r="28" spans="1:18" x14ac:dyDescent="0.35">
      <c r="A28">
        <v>13</v>
      </c>
      <c r="B28" s="34">
        <f t="shared" si="4"/>
        <v>547.82896651436579</v>
      </c>
      <c r="C28" s="22">
        <f t="shared" si="2"/>
        <v>548</v>
      </c>
      <c r="D28" s="22">
        <f t="shared" si="3"/>
        <v>3504.7434826534645</v>
      </c>
      <c r="E28" s="34"/>
      <c r="F28" s="34"/>
      <c r="L28" s="21">
        <v>24</v>
      </c>
      <c r="M28" s="22">
        <v>50.86</v>
      </c>
      <c r="N28" s="22">
        <v>65.3</v>
      </c>
      <c r="O28" s="22">
        <v>50.86</v>
      </c>
      <c r="P28" s="22">
        <f t="shared" si="0"/>
        <v>50.86</v>
      </c>
      <c r="Q28" s="22">
        <f t="shared" si="1"/>
        <v>4073.886</v>
      </c>
      <c r="R28" s="16"/>
    </row>
    <row r="29" spans="1:18" x14ac:dyDescent="0.35">
      <c r="A29">
        <v>14</v>
      </c>
      <c r="B29" s="34">
        <f t="shared" si="4"/>
        <v>648.51308230321445</v>
      </c>
      <c r="C29" s="22">
        <f t="shared" si="2"/>
        <v>649</v>
      </c>
      <c r="D29" s="22">
        <f t="shared" si="3"/>
        <v>2960.618763743465</v>
      </c>
      <c r="E29" s="34"/>
      <c r="F29" s="34"/>
      <c r="L29" s="21">
        <v>25</v>
      </c>
      <c r="M29" s="22">
        <v>41.61</v>
      </c>
      <c r="N29" s="22">
        <v>53.8</v>
      </c>
      <c r="O29" s="22">
        <v>41.61</v>
      </c>
      <c r="P29" s="22">
        <f t="shared" si="0"/>
        <v>41.61</v>
      </c>
      <c r="Q29" s="22">
        <f t="shared" si="1"/>
        <v>3332.9609999999998</v>
      </c>
      <c r="R29" s="16"/>
    </row>
    <row r="30" spans="1:18" x14ac:dyDescent="0.35">
      <c r="A30">
        <v>15</v>
      </c>
      <c r="B30" s="34">
        <f t="shared" si="4"/>
        <v>767.70167995011843</v>
      </c>
      <c r="C30" s="22">
        <f t="shared" si="2"/>
        <v>768</v>
      </c>
      <c r="D30" s="22">
        <f t="shared" si="3"/>
        <v>2500.9714712683176</v>
      </c>
      <c r="E30" s="34"/>
      <c r="F30" s="34"/>
      <c r="L30" s="21">
        <v>26</v>
      </c>
      <c r="M30" s="22">
        <v>33.44</v>
      </c>
      <c r="N30" s="22">
        <v>44.6</v>
      </c>
      <c r="O30" s="22">
        <v>33.44</v>
      </c>
      <c r="P30" s="22">
        <f t="shared" si="0"/>
        <v>33.44</v>
      </c>
      <c r="Q30" s="22">
        <f t="shared" si="1"/>
        <v>2678.5439999999999</v>
      </c>
      <c r="R30" s="16"/>
    </row>
    <row r="31" spans="1:18" x14ac:dyDescent="0.35">
      <c r="A31">
        <v>16</v>
      </c>
      <c r="B31" s="34">
        <f t="shared" si="4"/>
        <v>908.79565190124276</v>
      </c>
      <c r="C31" s="22">
        <f t="shared" si="2"/>
        <v>909</v>
      </c>
      <c r="D31" s="22">
        <f t="shared" si="3"/>
        <v>2112.6861643574962</v>
      </c>
      <c r="E31" s="34"/>
      <c r="F31" s="34"/>
      <c r="L31" s="21">
        <v>27</v>
      </c>
      <c r="M31" s="22">
        <v>26.08</v>
      </c>
      <c r="N31" s="22">
        <v>37</v>
      </c>
      <c r="O31" s="22">
        <v>26.08</v>
      </c>
      <c r="P31" s="22">
        <f t="shared" si="0"/>
        <v>26.08</v>
      </c>
      <c r="Q31" s="22">
        <f t="shared" si="1"/>
        <v>2089.0079999999998</v>
      </c>
      <c r="R31" s="16"/>
    </row>
    <row r="32" spans="1:18" x14ac:dyDescent="0.35">
      <c r="A32">
        <v>17</v>
      </c>
      <c r="B32" s="34">
        <f t="shared" si="4"/>
        <v>1075.8209321207535</v>
      </c>
      <c r="C32" s="22">
        <f t="shared" si="2"/>
        <v>1076</v>
      </c>
      <c r="D32" s="22">
        <f t="shared" si="3"/>
        <v>1784.683624081503</v>
      </c>
      <c r="E32" s="34"/>
      <c r="F32" s="34"/>
      <c r="L32" s="21">
        <v>28</v>
      </c>
      <c r="M32" s="22">
        <v>20.41</v>
      </c>
      <c r="N32" s="22">
        <v>30.7</v>
      </c>
      <c r="O32" s="22">
        <v>20.41</v>
      </c>
      <c r="P32" s="22">
        <f t="shared" si="0"/>
        <v>20.41</v>
      </c>
      <c r="Q32" s="22">
        <f t="shared" si="1"/>
        <v>1634.8409999999999</v>
      </c>
      <c r="R32" s="16"/>
    </row>
    <row r="33" spans="1:18" x14ac:dyDescent="0.35">
      <c r="A33">
        <v>18</v>
      </c>
      <c r="B33" s="34">
        <f t="shared" si="4"/>
        <v>1273.5433709083575</v>
      </c>
      <c r="C33" s="22">
        <f t="shared" si="2"/>
        <v>1274</v>
      </c>
      <c r="D33" s="22">
        <f t="shared" si="3"/>
        <v>1507.6047222722875</v>
      </c>
      <c r="E33" s="34"/>
      <c r="F33" s="34"/>
      <c r="L33" s="21">
        <v>29</v>
      </c>
      <c r="M33" s="22">
        <v>16.39</v>
      </c>
      <c r="N33" s="22">
        <v>25.2</v>
      </c>
      <c r="O33" s="22">
        <v>16.39</v>
      </c>
      <c r="P33" s="22">
        <f t="shared" si="0"/>
        <v>16.39</v>
      </c>
      <c r="Q33" s="22">
        <f t="shared" si="1"/>
        <v>1312.8390000000002</v>
      </c>
      <c r="R33" s="16"/>
    </row>
    <row r="34" spans="1:18" ht="13.15" thickBot="1" x14ac:dyDescent="0.4">
      <c r="A34">
        <v>19</v>
      </c>
      <c r="B34" s="34">
        <f t="shared" si="4"/>
        <v>1507.6047222722875</v>
      </c>
      <c r="C34" s="22">
        <f t="shared" si="2"/>
        <v>1508</v>
      </c>
      <c r="D34" s="22">
        <f t="shared" si="3"/>
        <v>1273.5433709083575</v>
      </c>
      <c r="E34" s="34"/>
      <c r="F34" s="34"/>
      <c r="L34" s="35">
        <v>30</v>
      </c>
      <c r="M34" s="36">
        <v>13.94</v>
      </c>
      <c r="N34" s="36">
        <v>20.100000000000001</v>
      </c>
      <c r="O34" s="36">
        <v>13.94</v>
      </c>
      <c r="P34" s="36">
        <f t="shared" si="0"/>
        <v>13.94</v>
      </c>
      <c r="Q34" s="36">
        <f t="shared" si="1"/>
        <v>1116.5939999999998</v>
      </c>
      <c r="R34" s="37"/>
    </row>
    <row r="35" spans="1:18" x14ac:dyDescent="0.35">
      <c r="A35">
        <v>20</v>
      </c>
      <c r="B35" s="34">
        <f t="shared" si="4"/>
        <v>1784.683624081503</v>
      </c>
      <c r="C35" s="22">
        <f t="shared" si="2"/>
        <v>1785</v>
      </c>
      <c r="D35" s="22">
        <f t="shared" si="3"/>
        <v>1075.8209321207535</v>
      </c>
      <c r="E35" s="34"/>
      <c r="F35" s="34"/>
    </row>
    <row r="36" spans="1:18" x14ac:dyDescent="0.35">
      <c r="A36">
        <v>21</v>
      </c>
      <c r="B36" s="34">
        <f t="shared" si="4"/>
        <v>2112.6861643574962</v>
      </c>
      <c r="C36" s="22">
        <f t="shared" si="2"/>
        <v>2113</v>
      </c>
      <c r="D36" s="22">
        <f t="shared" si="3"/>
        <v>908.79565190124276</v>
      </c>
      <c r="E36" s="34"/>
      <c r="F36" s="34"/>
    </row>
    <row r="37" spans="1:18" x14ac:dyDescent="0.35">
      <c r="A37">
        <v>22</v>
      </c>
      <c r="B37" s="34">
        <f t="shared" si="4"/>
        <v>2500.9714712683176</v>
      </c>
      <c r="C37" s="22">
        <f t="shared" si="2"/>
        <v>2501</v>
      </c>
      <c r="D37" s="22">
        <f t="shared" si="3"/>
        <v>767.70167995011843</v>
      </c>
      <c r="E37" s="34"/>
      <c r="F37" s="34"/>
    </row>
    <row r="38" spans="1:18" x14ac:dyDescent="0.35">
      <c r="A38">
        <v>23</v>
      </c>
      <c r="B38" s="34">
        <f t="shared" si="4"/>
        <v>2960.618763743465</v>
      </c>
      <c r="C38" s="22">
        <f t="shared" si="2"/>
        <v>2961</v>
      </c>
      <c r="D38" s="22">
        <f t="shared" si="3"/>
        <v>648.51308230321445</v>
      </c>
      <c r="E38" s="34"/>
      <c r="F38" s="34"/>
    </row>
    <row r="39" spans="1:18" x14ac:dyDescent="0.35">
      <c r="A39">
        <v>24</v>
      </c>
      <c r="B39" s="34">
        <f t="shared" si="4"/>
        <v>3504.7434826534645</v>
      </c>
      <c r="C39" s="22">
        <f t="shared" si="2"/>
        <v>3505</v>
      </c>
      <c r="D39" s="22">
        <f t="shared" si="3"/>
        <v>547.82896651436579</v>
      </c>
    </row>
    <row r="40" spans="1:18" x14ac:dyDescent="0.35">
      <c r="A40">
        <v>25</v>
      </c>
      <c r="B40" s="34">
        <f t="shared" si="4"/>
        <v>4148.8715229483923</v>
      </c>
      <c r="C40" s="22">
        <f t="shared" si="2"/>
        <v>4149</v>
      </c>
      <c r="D40" s="22">
        <f t="shared" si="3"/>
        <v>462.77644158900353</v>
      </c>
    </row>
    <row r="41" spans="1:18" x14ac:dyDescent="0.35">
      <c r="A41">
        <v>26</v>
      </c>
      <c r="B41" s="34">
        <f t="shared" si="4"/>
        <v>4911.3822449852833</v>
      </c>
      <c r="C41" s="22">
        <f t="shared" si="2"/>
        <v>4911</v>
      </c>
      <c r="D41" s="22">
        <f t="shared" si="3"/>
        <v>390.92864375612453</v>
      </c>
    </row>
    <row r="42" spans="1:18" x14ac:dyDescent="0.35">
      <c r="A42">
        <v>27</v>
      </c>
      <c r="B42" s="34">
        <f t="shared" si="4"/>
        <v>5814.0329057995577</v>
      </c>
      <c r="C42" s="22">
        <f t="shared" si="2"/>
        <v>5814</v>
      </c>
      <c r="D42" s="22">
        <f t="shared" si="3"/>
        <v>330.2354890500855</v>
      </c>
    </row>
    <row r="43" spans="1:18" x14ac:dyDescent="0.35">
      <c r="A43">
        <v>28</v>
      </c>
      <c r="B43" s="34">
        <f t="shared" si="4"/>
        <v>6882.5794742883709</v>
      </c>
      <c r="C43" s="22">
        <f t="shared" si="2"/>
        <v>6883</v>
      </c>
      <c r="D43" s="22">
        <f t="shared" si="3"/>
        <v>278.96517681672339</v>
      </c>
    </row>
    <row r="44" spans="1:18" x14ac:dyDescent="0.35">
      <c r="A44">
        <v>29</v>
      </c>
      <c r="B44" s="34">
        <f t="shared" si="4"/>
        <v>8147.5115444640205</v>
      </c>
      <c r="C44" s="22">
        <f t="shared" si="2"/>
        <v>8148</v>
      </c>
      <c r="D44" s="22">
        <f t="shared" si="3"/>
        <v>235.6547750220233</v>
      </c>
    </row>
    <row r="45" spans="1:18" x14ac:dyDescent="0.35">
      <c r="A45">
        <v>30</v>
      </c>
      <c r="B45" s="34">
        <f t="shared" si="4"/>
        <v>9644.9223165763869</v>
      </c>
      <c r="C45" s="22">
        <f t="shared" si="2"/>
        <v>9645</v>
      </c>
      <c r="D45" s="22">
        <f t="shared" si="3"/>
        <v>199.06847737904226</v>
      </c>
    </row>
    <row r="46" spans="1:18" x14ac:dyDescent="0.35">
      <c r="A46">
        <v>38</v>
      </c>
      <c r="B46" s="34">
        <f t="shared" si="4"/>
        <v>11417.538469890293</v>
      </c>
      <c r="C46" s="22">
        <f t="shared" si="2"/>
        <v>11418</v>
      </c>
      <c r="D46" s="22">
        <f t="shared" si="3"/>
        <v>168.16234121420527</v>
      </c>
    </row>
    <row r="47" spans="1:18" x14ac:dyDescent="0.35">
      <c r="A47">
        <v>50</v>
      </c>
      <c r="B47" s="34">
        <f t="shared" si="4"/>
        <v>13515.939313205179</v>
      </c>
      <c r="C47" s="22">
        <f t="shared" si="2"/>
        <v>13516</v>
      </c>
      <c r="D47" s="22">
        <f t="shared" si="3"/>
        <v>142.05449991360581</v>
      </c>
    </row>
    <row r="48" spans="1:18" x14ac:dyDescent="0.35">
      <c r="A48">
        <v>70</v>
      </c>
      <c r="B48" s="34">
        <f t="shared" si="4"/>
        <v>16000.000000000053</v>
      </c>
      <c r="C48" s="22">
        <f t="shared" si="2"/>
        <v>16000</v>
      </c>
      <c r="D48" s="22">
        <f>$B$12*1.5</f>
        <v>120</v>
      </c>
      <c r="E48" s="15" t="s">
        <v>46</v>
      </c>
    </row>
    <row r="49" spans="1:31" x14ac:dyDescent="0.35">
      <c r="C49" s="15"/>
      <c r="E49" s="34"/>
      <c r="F49" s="22"/>
      <c r="G49" s="22"/>
    </row>
    <row r="50" spans="1:31" ht="13.15" x14ac:dyDescent="0.4">
      <c r="B50" s="19" t="s">
        <v>47</v>
      </c>
      <c r="E50" s="22"/>
    </row>
    <row r="51" spans="1:31" x14ac:dyDescent="0.35">
      <c r="A51" s="15" t="s">
        <v>48</v>
      </c>
      <c r="B51" s="22">
        <v>4</v>
      </c>
      <c r="C51" s="22">
        <v>5</v>
      </c>
      <c r="D51" s="22">
        <v>6</v>
      </c>
      <c r="E51" s="22">
        <v>7</v>
      </c>
      <c r="F51" s="22">
        <v>8</v>
      </c>
      <c r="G51" s="22">
        <v>9</v>
      </c>
      <c r="H51" s="22">
        <v>10</v>
      </c>
      <c r="I51" s="22">
        <v>11</v>
      </c>
      <c r="J51" s="22">
        <v>12</v>
      </c>
      <c r="K51" s="22">
        <v>13</v>
      </c>
      <c r="L51" s="22">
        <v>14</v>
      </c>
      <c r="M51" s="22">
        <v>15</v>
      </c>
      <c r="N51" s="22">
        <v>16</v>
      </c>
      <c r="O51" s="22">
        <v>17</v>
      </c>
      <c r="P51" s="22">
        <v>18</v>
      </c>
      <c r="Q51" s="22">
        <v>19</v>
      </c>
      <c r="R51" s="22">
        <v>20</v>
      </c>
      <c r="S51" s="22">
        <v>21</v>
      </c>
      <c r="T51" s="22">
        <v>22</v>
      </c>
      <c r="U51" s="22">
        <v>23</v>
      </c>
      <c r="V51" s="22">
        <v>24</v>
      </c>
      <c r="W51" s="22">
        <v>25</v>
      </c>
      <c r="X51" s="22">
        <v>26</v>
      </c>
      <c r="Y51" s="22">
        <v>27</v>
      </c>
      <c r="Z51" s="22">
        <v>28</v>
      </c>
      <c r="AA51" s="22">
        <v>29</v>
      </c>
      <c r="AB51" s="22">
        <v>30</v>
      </c>
      <c r="AC51" s="22">
        <v>38</v>
      </c>
      <c r="AD51" s="22">
        <v>50</v>
      </c>
      <c r="AE51" s="22">
        <v>70</v>
      </c>
    </row>
    <row r="52" spans="1:31" ht="13.9" x14ac:dyDescent="0.4">
      <c r="A52" s="15" t="s">
        <v>49</v>
      </c>
      <c r="B52" s="123">
        <f>INT($B19+0.5)</f>
        <v>120</v>
      </c>
      <c r="C52" s="123">
        <f>INT($B20+0.5)</f>
        <v>142</v>
      </c>
      <c r="D52" s="123">
        <f>INT($B21+0.5)</f>
        <v>168</v>
      </c>
      <c r="E52" s="123">
        <f>INT($B22+0.5)</f>
        <v>199</v>
      </c>
      <c r="F52" s="123">
        <f>INT($B23+0.5)</f>
        <v>236</v>
      </c>
      <c r="G52" s="123">
        <f>INT($B24+0.5)</f>
        <v>279</v>
      </c>
      <c r="H52" s="123">
        <f>INT($B25+0.5)</f>
        <v>330</v>
      </c>
      <c r="I52" s="123">
        <f>INT($B26+0.5)</f>
        <v>391</v>
      </c>
      <c r="J52" s="123">
        <f>INT($B27+0.5)</f>
        <v>463</v>
      </c>
      <c r="K52" s="123">
        <f>INT($B28+0.5)</f>
        <v>548</v>
      </c>
      <c r="L52" s="123">
        <f>INT($B29+0.5)</f>
        <v>649</v>
      </c>
      <c r="M52" s="123">
        <f>INT($B30+0.5)</f>
        <v>768</v>
      </c>
      <c r="N52" s="123">
        <f>INT($B31+0.5)</f>
        <v>909</v>
      </c>
      <c r="O52" s="123">
        <f>INT($B32+0.5)</f>
        <v>1076</v>
      </c>
      <c r="P52" s="123">
        <f>INT($B33+0.5)</f>
        <v>1274</v>
      </c>
      <c r="Q52" s="123">
        <f>INT($B34+0.5)</f>
        <v>1508</v>
      </c>
      <c r="R52" s="123">
        <f>INT($B35+0.5)</f>
        <v>1785</v>
      </c>
      <c r="S52" s="123">
        <f>INT($B36+0.5)</f>
        <v>2113</v>
      </c>
      <c r="T52" s="123">
        <f>INT($B37+0.5)</f>
        <v>2501</v>
      </c>
      <c r="U52" s="123">
        <f>INT($B38+0.5)</f>
        <v>2961</v>
      </c>
      <c r="V52" s="123">
        <f>INT($B39+0.5)</f>
        <v>3505</v>
      </c>
      <c r="W52" s="123">
        <f>INT($B40+0.5)</f>
        <v>4149</v>
      </c>
      <c r="X52" s="123">
        <f>INT($B41+0.5)</f>
        <v>4911</v>
      </c>
      <c r="Y52" s="123">
        <f>INT($B42+0.5)</f>
        <v>5814</v>
      </c>
      <c r="Z52" s="123">
        <f>INT($B43+0.5)</f>
        <v>6883</v>
      </c>
      <c r="AA52" s="123">
        <f>INT($B44+0.5)</f>
        <v>8148</v>
      </c>
      <c r="AB52" s="123">
        <f>INT($B45+0.5)</f>
        <v>9645</v>
      </c>
      <c r="AC52" s="123">
        <f>INT($B46+0.5)</f>
        <v>11418</v>
      </c>
      <c r="AD52" s="123">
        <f>INT($B47+0.5)</f>
        <v>13516</v>
      </c>
      <c r="AE52" s="123">
        <f>INT($B48+0.5)</f>
        <v>16000</v>
      </c>
    </row>
    <row r="54" spans="1:31" ht="36.4" x14ac:dyDescent="0.35">
      <c r="B54" s="1" t="s">
        <v>50</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tabSelected="1" zoomScale="70" zoomScaleNormal="70" workbookViewId="0"/>
  </sheetViews>
  <sheetFormatPr defaultColWidth="11.53125" defaultRowHeight="12.75" x14ac:dyDescent="0.35"/>
  <cols>
    <col min="12" max="12" width="12.3984375" customWidth="1"/>
  </cols>
  <sheetData>
    <row r="1" spans="1:49" x14ac:dyDescent="0.35">
      <c r="A1" t="s">
        <v>51</v>
      </c>
    </row>
    <row r="2" spans="1:49" ht="40.15" x14ac:dyDescent="0.4">
      <c r="A2" s="38" t="s">
        <v>52</v>
      </c>
      <c r="B2" s="38"/>
      <c r="C2" s="38"/>
      <c r="D2" s="38"/>
      <c r="E2" s="38"/>
      <c r="H2" s="39" t="s">
        <v>53</v>
      </c>
    </row>
    <row r="3" spans="1:49" ht="13.15" x14ac:dyDescent="0.4">
      <c r="A3" t="s">
        <v>54</v>
      </c>
      <c r="B3" s="40" t="s">
        <v>27</v>
      </c>
      <c r="D3" t="s">
        <v>55</v>
      </c>
      <c r="E3" s="41">
        <f>'Clause 6'!$G$11</f>
        <v>1</v>
      </c>
    </row>
    <row r="4" spans="1:49" ht="18.100000000000001" customHeight="1" x14ac:dyDescent="1.05">
      <c r="A4" s="41" t="s">
        <v>10</v>
      </c>
      <c r="B4" s="42">
        <v>46009</v>
      </c>
      <c r="O4" s="43"/>
    </row>
    <row r="5" spans="1:49" ht="13.15" x14ac:dyDescent="0.4">
      <c r="A5" s="41" t="s">
        <v>5</v>
      </c>
      <c r="B5" s="44" t="s">
        <v>6</v>
      </c>
      <c r="O5" s="45"/>
    </row>
    <row r="6" spans="1:49" ht="13.15" x14ac:dyDescent="0.4">
      <c r="A6" t="s">
        <v>56</v>
      </c>
      <c r="B6" s="46" t="str">
        <f ca="1">RIGHT(CELL("filename"),1)</f>
        <v>1</v>
      </c>
      <c r="C6" s="41"/>
      <c r="D6" s="41"/>
      <c r="E6" s="41"/>
      <c r="F6" s="41"/>
    </row>
    <row r="7" spans="1:49" ht="14.65" x14ac:dyDescent="0.5">
      <c r="B7" s="19" t="s">
        <v>57</v>
      </c>
      <c r="C7" s="19" t="s">
        <v>58</v>
      </c>
      <c r="D7" s="19" t="s">
        <v>59</v>
      </c>
      <c r="E7" s="19" t="s">
        <v>60</v>
      </c>
      <c r="F7" s="19" t="s">
        <v>61</v>
      </c>
      <c r="G7" s="19" t="s">
        <v>62</v>
      </c>
      <c r="H7" s="19" t="s">
        <v>63</v>
      </c>
      <c r="I7" s="19" t="s">
        <v>64</v>
      </c>
      <c r="J7" s="19" t="s">
        <v>65</v>
      </c>
      <c r="K7" s="19" t="s">
        <v>66</v>
      </c>
      <c r="L7" s="19" t="s">
        <v>67</v>
      </c>
      <c r="M7" s="19" t="s">
        <v>68</v>
      </c>
      <c r="O7" s="19" t="s">
        <v>57</v>
      </c>
      <c r="P7" s="19" t="s">
        <v>58</v>
      </c>
      <c r="Q7" s="19" t="s">
        <v>59</v>
      </c>
      <c r="R7" s="19" t="s">
        <v>60</v>
      </c>
      <c r="S7" s="19" t="s">
        <v>61</v>
      </c>
    </row>
    <row r="8" spans="1:49" ht="13.15" x14ac:dyDescent="0.4">
      <c r="A8" s="15" t="s">
        <v>69</v>
      </c>
      <c r="B8" s="47">
        <f>B52</f>
        <v>9.4152699999999996</v>
      </c>
      <c r="C8" s="47">
        <f>C52</f>
        <v>10.157598</v>
      </c>
      <c r="D8" s="47">
        <f>D52</f>
        <v>10.089149000000001</v>
      </c>
      <c r="E8" s="47">
        <f>E52</f>
        <v>10.185060999999999</v>
      </c>
      <c r="F8" s="47"/>
      <c r="G8" s="48">
        <f>AVERAGE(B$8:F$8)*5</f>
        <v>49.808847499999999</v>
      </c>
      <c r="I8" s="49"/>
      <c r="K8" s="49"/>
    </row>
    <row r="9" spans="1:49" ht="13.15" x14ac:dyDescent="0.4">
      <c r="A9" s="15" t="s">
        <v>70</v>
      </c>
      <c r="B9" s="22">
        <f>B53</f>
        <v>11605.083984000001</v>
      </c>
      <c r="C9" s="22">
        <f t="shared" ref="C9:F9" si="0">C53</f>
        <v>12181.030273</v>
      </c>
      <c r="D9" s="22">
        <f t="shared" si="0"/>
        <v>11966.420898</v>
      </c>
      <c r="E9" s="22">
        <f t="shared" si="0"/>
        <v>11937.287109000001</v>
      </c>
      <c r="F9" s="22"/>
      <c r="G9" s="50">
        <f t="shared" ref="G9:G38" si="1">AVERAGE(B9:F9)</f>
        <v>11922.455566000001</v>
      </c>
      <c r="H9" s="51">
        <f t="shared" ref="H9:H38" si="2">G9*G$8</f>
        <v>593843.77111242025</v>
      </c>
      <c r="I9" s="49">
        <f t="shared" ref="I9:I38" si="3">STDEVP(B9:F9)/AVERAGE(B9:F9)</f>
        <v>1.7278041153013516E-2</v>
      </c>
      <c r="J9" s="49">
        <f t="shared" ref="J9:J38" si="4">IF(H9&gt;$A$43, $C$43, IF(H9&gt;$A$44, $C$44, IF(H9&gt;$A$45,$C$45,IF(H9&gt;$A$46,$C$46, IF(H9&gt;$A$47,$C$47,IF(H9&gt;$A$48,$C$48,$C$49))))))/100</f>
        <v>0.11</v>
      </c>
      <c r="K9" s="49">
        <f t="shared" ref="K9:K38" si="5">(MAX(B9:F9)-MIN(B9:F9))/G9</f>
        <v>4.8307690124042985E-2</v>
      </c>
      <c r="L9" s="22">
        <f>G9/'Clause 6'!$G$11</f>
        <v>11922.455566000001</v>
      </c>
      <c r="M9">
        <f t="shared" ref="M9:M38" si="6">COUNTA(B9:F9)</f>
        <v>4</v>
      </c>
      <c r="O9" s="52">
        <f>IF(ISNUMBER(B9), (B9/$G9-1), 0)</f>
        <v>-2.6619648967706633E-2</v>
      </c>
      <c r="P9" s="52">
        <f t="shared" ref="P9:S38" si="7">IF(ISNUMBER(C9), (C9/$G9-1), 0)</f>
        <v>2.1688041156336491E-2</v>
      </c>
      <c r="Q9" s="52">
        <f t="shared" si="7"/>
        <v>3.68760711722671E-3</v>
      </c>
      <c r="R9" s="52">
        <f t="shared" si="7"/>
        <v>1.2440006941436543E-3</v>
      </c>
      <c r="S9" s="52">
        <f t="shared" si="7"/>
        <v>0</v>
      </c>
    </row>
    <row r="10" spans="1:49" ht="13.15" x14ac:dyDescent="0.4">
      <c r="A10" s="15" t="s">
        <v>71</v>
      </c>
      <c r="B10" s="22">
        <f t="shared" ref="B10:F38" si="8">B54</f>
        <v>10102.630859000001</v>
      </c>
      <c r="C10" s="22">
        <f t="shared" si="8"/>
        <v>10598.864258</v>
      </c>
      <c r="D10" s="22">
        <f t="shared" si="8"/>
        <v>10415.844727</v>
      </c>
      <c r="E10" s="22">
        <f t="shared" si="8"/>
        <v>10377.453125</v>
      </c>
      <c r="F10" s="22"/>
      <c r="G10" s="50">
        <f t="shared" si="1"/>
        <v>10373.69824225</v>
      </c>
      <c r="H10" s="51">
        <f t="shared" si="2"/>
        <v>516701.95375924831</v>
      </c>
      <c r="I10" s="49">
        <f t="shared" si="3"/>
        <v>1.7106689384773884E-2</v>
      </c>
      <c r="J10" s="49">
        <f t="shared" si="4"/>
        <v>0.11</v>
      </c>
      <c r="K10" s="49">
        <f t="shared" si="5"/>
        <v>4.7835727183478241E-2</v>
      </c>
      <c r="L10" s="22">
        <f>G10/'Clause 6'!$G$11</f>
        <v>10373.69824225</v>
      </c>
      <c r="M10">
        <f t="shared" si="6"/>
        <v>4</v>
      </c>
      <c r="O10" s="52">
        <f t="shared" ref="O10:O38" si="9">IF(ISNUMBER(B10), (B10/$G10-1), 0)</f>
        <v>-2.6130255278295711E-2</v>
      </c>
      <c r="P10" s="52">
        <f t="shared" si="7"/>
        <v>2.1705471905182572E-2</v>
      </c>
      <c r="Q10" s="52">
        <f t="shared" si="7"/>
        <v>4.0628215478974994E-3</v>
      </c>
      <c r="R10" s="52">
        <f t="shared" si="7"/>
        <v>3.6196182521552878E-4</v>
      </c>
      <c r="S10" s="52">
        <f t="shared" si="7"/>
        <v>0</v>
      </c>
    </row>
    <row r="11" spans="1:49" ht="13.15" x14ac:dyDescent="0.4">
      <c r="A11" s="15" t="s">
        <v>72</v>
      </c>
      <c r="B11" s="22">
        <f t="shared" si="8"/>
        <v>8843.9316409999992</v>
      </c>
      <c r="C11" s="22">
        <f t="shared" si="8"/>
        <v>9242.5400389999995</v>
      </c>
      <c r="D11" s="22">
        <f t="shared" si="8"/>
        <v>9055.0751949999994</v>
      </c>
      <c r="E11" s="22">
        <f t="shared" si="8"/>
        <v>9047.7607420000004</v>
      </c>
      <c r="F11" s="22"/>
      <c r="G11" s="50">
        <f t="shared" si="1"/>
        <v>9047.3269042499996</v>
      </c>
      <c r="H11" s="51">
        <f t="shared" si="2"/>
        <v>450636.92605643533</v>
      </c>
      <c r="I11" s="49">
        <f t="shared" si="3"/>
        <v>1.5586087994293604E-2</v>
      </c>
      <c r="J11" s="49">
        <f t="shared" si="4"/>
        <v>0.11</v>
      </c>
      <c r="K11" s="49">
        <f t="shared" si="5"/>
        <v>4.4058140290338492E-2</v>
      </c>
      <c r="L11" s="22">
        <f>G11/'Clause 6'!$G$11</f>
        <v>9047.3269042499996</v>
      </c>
      <c r="M11">
        <f t="shared" si="6"/>
        <v>4</v>
      </c>
      <c r="O11" s="52">
        <f t="shared" si="9"/>
        <v>-2.2481255005216472E-2</v>
      </c>
      <c r="P11" s="52">
        <f t="shared" si="7"/>
        <v>2.1576885285121916E-2</v>
      </c>
      <c r="Q11" s="52">
        <f t="shared" si="7"/>
        <v>8.5641768358790671E-4</v>
      </c>
      <c r="R11" s="52">
        <f t="shared" si="7"/>
        <v>4.795203650664881E-5</v>
      </c>
      <c r="S11" s="52">
        <f t="shared" si="7"/>
        <v>0</v>
      </c>
    </row>
    <row r="12" spans="1:49" ht="13.15" x14ac:dyDescent="0.4">
      <c r="A12" s="15" t="s">
        <v>73</v>
      </c>
      <c r="B12" s="22">
        <f t="shared" si="8"/>
        <v>7728.8276370000003</v>
      </c>
      <c r="C12" s="22">
        <f t="shared" si="8"/>
        <v>8050.7226559999999</v>
      </c>
      <c r="D12" s="22">
        <f t="shared" si="8"/>
        <v>7870.9316410000001</v>
      </c>
      <c r="E12" s="22">
        <f t="shared" si="8"/>
        <v>7889.3974609999996</v>
      </c>
      <c r="F12" s="22"/>
      <c r="G12" s="50">
        <f t="shared" si="1"/>
        <v>7884.96984875</v>
      </c>
      <c r="H12" s="51">
        <f t="shared" si="2"/>
        <v>392741.26073848683</v>
      </c>
      <c r="I12" s="49">
        <f t="shared" si="3"/>
        <v>1.4469987971876964E-2</v>
      </c>
      <c r="J12" s="49">
        <f t="shared" si="4"/>
        <v>0.11</v>
      </c>
      <c r="K12" s="49">
        <f t="shared" si="5"/>
        <v>4.082387443130546E-2</v>
      </c>
      <c r="L12" s="22">
        <f>G12/'Clause 6'!$G$11</f>
        <v>7884.96984875</v>
      </c>
      <c r="M12">
        <f t="shared" si="6"/>
        <v>4</v>
      </c>
      <c r="O12" s="52">
        <f t="shared" si="9"/>
        <v>-1.9802512215662205E-2</v>
      </c>
      <c r="P12" s="52">
        <f t="shared" si="7"/>
        <v>2.1021362215643213E-2</v>
      </c>
      <c r="Q12" s="52">
        <f t="shared" si="7"/>
        <v>-1.780375577748794E-3</v>
      </c>
      <c r="R12" s="52">
        <f t="shared" si="7"/>
        <v>5.6152557776756318E-4</v>
      </c>
      <c r="S12" s="52">
        <f t="shared" si="7"/>
        <v>0</v>
      </c>
    </row>
    <row r="13" spans="1:49" ht="13.15" x14ac:dyDescent="0.4">
      <c r="A13" s="15" t="s">
        <v>74</v>
      </c>
      <c r="B13" s="22">
        <f t="shared" si="8"/>
        <v>6712.5</v>
      </c>
      <c r="C13" s="22">
        <f t="shared" si="8"/>
        <v>6966.6079099999997</v>
      </c>
      <c r="D13" s="22">
        <f t="shared" si="8"/>
        <v>6819.4057620000003</v>
      </c>
      <c r="E13" s="22">
        <f t="shared" si="8"/>
        <v>6844.7304690000001</v>
      </c>
      <c r="F13" s="22"/>
      <c r="G13" s="50">
        <f t="shared" si="1"/>
        <v>6835.8110352500007</v>
      </c>
      <c r="H13" s="51">
        <f t="shared" si="2"/>
        <v>340483.86939358438</v>
      </c>
      <c r="I13" s="49">
        <f t="shared" si="3"/>
        <v>1.3219108324317743E-2</v>
      </c>
      <c r="J13" s="49">
        <f t="shared" si="4"/>
        <v>0.11</v>
      </c>
      <c r="K13" s="49">
        <f t="shared" si="5"/>
        <v>3.7173044820819338E-2</v>
      </c>
      <c r="L13" s="22">
        <f>G13/'Clause 6'!$G$11</f>
        <v>6835.8110352500007</v>
      </c>
      <c r="M13">
        <f t="shared" si="6"/>
        <v>4</v>
      </c>
      <c r="O13" s="52">
        <f t="shared" si="9"/>
        <v>-1.8038976591676747E-2</v>
      </c>
      <c r="P13" s="52">
        <f t="shared" si="7"/>
        <v>1.9134068229142542E-2</v>
      </c>
      <c r="Q13" s="52">
        <f t="shared" si="7"/>
        <v>-2.3999015135737212E-3</v>
      </c>
      <c r="R13" s="52">
        <f t="shared" si="7"/>
        <v>1.3048098761074822E-3</v>
      </c>
      <c r="S13" s="52">
        <f t="shared" si="7"/>
        <v>0</v>
      </c>
    </row>
    <row r="14" spans="1:49" ht="13.15" x14ac:dyDescent="0.4">
      <c r="A14" s="15" t="s">
        <v>75</v>
      </c>
      <c r="B14" s="22">
        <f t="shared" si="8"/>
        <v>5831.0595700000003</v>
      </c>
      <c r="C14" s="22">
        <f t="shared" si="8"/>
        <v>6010.96875</v>
      </c>
      <c r="D14" s="22">
        <f t="shared" si="8"/>
        <v>5896.2358400000003</v>
      </c>
      <c r="E14" s="22">
        <f t="shared" si="8"/>
        <v>5923.3808589999999</v>
      </c>
      <c r="F14" s="22"/>
      <c r="G14" s="50">
        <f t="shared" si="1"/>
        <v>5915.4112547500008</v>
      </c>
      <c r="H14" s="51">
        <f t="shared" si="2"/>
        <v>294639.81708762643</v>
      </c>
      <c r="I14" s="49">
        <f t="shared" si="3"/>
        <v>1.0915723454122825E-2</v>
      </c>
      <c r="J14" s="49">
        <f t="shared" si="4"/>
        <v>0.11</v>
      </c>
      <c r="K14" s="49">
        <f t="shared" si="5"/>
        <v>3.0413638587771026E-2</v>
      </c>
      <c r="L14" s="22">
        <f>G14/'Clause 6'!$G$11</f>
        <v>5915.4112547500008</v>
      </c>
      <c r="M14">
        <f t="shared" si="6"/>
        <v>4</v>
      </c>
      <c r="O14" s="52">
        <f t="shared" si="9"/>
        <v>-1.4259648419586601E-2</v>
      </c>
      <c r="P14" s="52">
        <f t="shared" si="7"/>
        <v>1.6153990168184418E-2</v>
      </c>
      <c r="Q14" s="52">
        <f t="shared" si="7"/>
        <v>-3.2416029797763812E-3</v>
      </c>
      <c r="R14" s="52">
        <f t="shared" si="7"/>
        <v>1.3472612311780097E-3</v>
      </c>
      <c r="S14" s="52">
        <f t="shared" si="7"/>
        <v>0</v>
      </c>
    </row>
    <row r="15" spans="1:49" ht="13.15" x14ac:dyDescent="0.4">
      <c r="A15" s="15" t="s">
        <v>76</v>
      </c>
      <c r="B15" s="22">
        <f t="shared" si="8"/>
        <v>5012.3896480000003</v>
      </c>
      <c r="C15" s="22">
        <f t="shared" si="8"/>
        <v>5152.5961909999996</v>
      </c>
      <c r="D15" s="22">
        <f t="shared" si="8"/>
        <v>5069.5058589999999</v>
      </c>
      <c r="E15" s="22">
        <f t="shared" si="8"/>
        <v>5089.0219729999999</v>
      </c>
      <c r="F15" s="22"/>
      <c r="G15" s="50">
        <f t="shared" si="1"/>
        <v>5080.8784177500002</v>
      </c>
      <c r="H15" s="51">
        <f t="shared" si="2"/>
        <v>253072.69827575106</v>
      </c>
      <c r="I15" s="49">
        <f t="shared" si="3"/>
        <v>9.8554715085167541E-3</v>
      </c>
      <c r="J15" s="49">
        <f t="shared" si="4"/>
        <v>0.11</v>
      </c>
      <c r="K15" s="49">
        <f t="shared" si="5"/>
        <v>2.7594941557780465E-2</v>
      </c>
      <c r="L15" s="22">
        <f>G15/'Clause 6'!$G$11</f>
        <v>5080.8784177500002</v>
      </c>
      <c r="M15">
        <f t="shared" si="6"/>
        <v>4</v>
      </c>
      <c r="O15" s="52">
        <f t="shared" si="9"/>
        <v>-1.3479710419902036E-2</v>
      </c>
      <c r="P15" s="52">
        <f t="shared" si="7"/>
        <v>1.4115231137878492E-2</v>
      </c>
      <c r="Q15" s="52">
        <f t="shared" si="7"/>
        <v>-2.2383056264976275E-3</v>
      </c>
      <c r="R15" s="52">
        <f t="shared" si="7"/>
        <v>1.6027849085209489E-3</v>
      </c>
      <c r="S15" s="52">
        <f t="shared" si="7"/>
        <v>0</v>
      </c>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row>
    <row r="16" spans="1:49" ht="13.15" x14ac:dyDescent="0.4">
      <c r="A16" s="15" t="s">
        <v>77</v>
      </c>
      <c r="B16" s="22">
        <f t="shared" si="8"/>
        <v>4265.1992190000001</v>
      </c>
      <c r="C16" s="22">
        <f t="shared" si="8"/>
        <v>4375.4438479999999</v>
      </c>
      <c r="D16" s="22">
        <f t="shared" si="8"/>
        <v>4300.263672</v>
      </c>
      <c r="E16" s="22">
        <f t="shared" si="8"/>
        <v>4335.2709960000002</v>
      </c>
      <c r="F16" s="22"/>
      <c r="G16" s="50">
        <f t="shared" si="1"/>
        <v>4319.0444337500003</v>
      </c>
      <c r="H16" s="51">
        <f t="shared" si="2"/>
        <v>215126.62554637762</v>
      </c>
      <c r="I16" s="49">
        <f t="shared" si="3"/>
        <v>9.4732101172093006E-3</v>
      </c>
      <c r="J16" s="49">
        <f t="shared" si="4"/>
        <v>0.11</v>
      </c>
      <c r="K16" s="49">
        <f t="shared" si="5"/>
        <v>2.5525236123648806E-2</v>
      </c>
      <c r="L16" s="22">
        <f>G16/'Clause 6'!$G$11</f>
        <v>4319.0444337500003</v>
      </c>
      <c r="M16">
        <f t="shared" si="6"/>
        <v>4</v>
      </c>
      <c r="O16" s="52">
        <f t="shared" si="9"/>
        <v>-1.2466927714204878E-2</v>
      </c>
      <c r="P16" s="52">
        <f t="shared" si="7"/>
        <v>1.3058308409443997E-2</v>
      </c>
      <c r="Q16" s="52">
        <f t="shared" si="7"/>
        <v>-4.3483603926931513E-3</v>
      </c>
      <c r="R16" s="52">
        <f t="shared" si="7"/>
        <v>3.7569796974539216E-3</v>
      </c>
      <c r="S16" s="52">
        <f t="shared" si="7"/>
        <v>0</v>
      </c>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row>
    <row r="17" spans="1:49" ht="13.15" x14ac:dyDescent="0.4">
      <c r="A17" s="15" t="s">
        <v>78</v>
      </c>
      <c r="B17" s="22">
        <f t="shared" si="8"/>
        <v>3582.6906739999999</v>
      </c>
      <c r="C17" s="22">
        <f t="shared" si="8"/>
        <v>3679.4133299999999</v>
      </c>
      <c r="D17" s="22">
        <f t="shared" si="8"/>
        <v>3615.3696289999998</v>
      </c>
      <c r="E17" s="22">
        <f t="shared" si="8"/>
        <v>3637.5822750000002</v>
      </c>
      <c r="F17" s="22"/>
      <c r="G17" s="50">
        <f t="shared" si="1"/>
        <v>3628.7639770000001</v>
      </c>
      <c r="H17" s="51">
        <f t="shared" si="2"/>
        <v>180744.55154388651</v>
      </c>
      <c r="I17" s="49">
        <f t="shared" si="3"/>
        <v>9.6896167642485792E-3</v>
      </c>
      <c r="J17" s="49">
        <f t="shared" si="4"/>
        <v>0.11</v>
      </c>
      <c r="K17" s="49">
        <f t="shared" si="5"/>
        <v>2.6654435673703757E-2</v>
      </c>
      <c r="L17" s="22">
        <f>G17/'Clause 6'!$G$11</f>
        <v>3628.7639770000001</v>
      </c>
      <c r="M17">
        <f t="shared" si="6"/>
        <v>4</v>
      </c>
      <c r="O17" s="52">
        <f t="shared" si="9"/>
        <v>-1.2696693224476419E-2</v>
      </c>
      <c r="P17" s="52">
        <f t="shared" si="7"/>
        <v>1.3957742449227206E-2</v>
      </c>
      <c r="Q17" s="52">
        <f t="shared" si="7"/>
        <v>-3.6911598783764266E-3</v>
      </c>
      <c r="R17" s="52">
        <f t="shared" si="7"/>
        <v>2.4301106536255279E-3</v>
      </c>
      <c r="S17" s="52">
        <f t="shared" si="7"/>
        <v>0</v>
      </c>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row>
    <row r="18" spans="1:49" ht="13.15" x14ac:dyDescent="0.4">
      <c r="A18" s="15" t="s">
        <v>79</v>
      </c>
      <c r="B18" s="22">
        <f t="shared" si="8"/>
        <v>2960.9348140000002</v>
      </c>
      <c r="C18" s="22">
        <f t="shared" si="8"/>
        <v>3056.6281739999999</v>
      </c>
      <c r="D18" s="22">
        <f t="shared" si="8"/>
        <v>3009.4709469999998</v>
      </c>
      <c r="E18" s="22">
        <f t="shared" si="8"/>
        <v>3018.9311520000001</v>
      </c>
      <c r="F18" s="22"/>
      <c r="G18" s="50">
        <f t="shared" si="1"/>
        <v>3011.4912717500001</v>
      </c>
      <c r="H18" s="51">
        <f t="shared" si="2"/>
        <v>149998.9095021768</v>
      </c>
      <c r="I18" s="49">
        <f t="shared" si="3"/>
        <v>1.1325105840468572E-2</v>
      </c>
      <c r="J18" s="49">
        <f t="shared" si="4"/>
        <v>0.11</v>
      </c>
      <c r="K18" s="49">
        <f t="shared" si="5"/>
        <v>3.1776070844924488E-2</v>
      </c>
      <c r="L18" s="22">
        <f>G18/'Clause 6'!$G$11</f>
        <v>3011.4912717500001</v>
      </c>
      <c r="M18">
        <f t="shared" si="6"/>
        <v>4</v>
      </c>
      <c r="O18" s="52">
        <f t="shared" si="9"/>
        <v>-1.6787848008810946E-2</v>
      </c>
      <c r="P18" s="52">
        <f t="shared" si="7"/>
        <v>1.4988222836113563E-2</v>
      </c>
      <c r="Q18" s="52">
        <f t="shared" si="7"/>
        <v>-6.7087185971692609E-4</v>
      </c>
      <c r="R18" s="52">
        <f t="shared" si="7"/>
        <v>2.4704970324143094E-3</v>
      </c>
      <c r="S18" s="52">
        <f t="shared" si="7"/>
        <v>0</v>
      </c>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row>
    <row r="19" spans="1:49" ht="13.15" x14ac:dyDescent="0.4">
      <c r="A19" s="15" t="s">
        <v>80</v>
      </c>
      <c r="B19" s="22">
        <f t="shared" si="8"/>
        <v>2429.7763669999999</v>
      </c>
      <c r="C19" s="22">
        <f t="shared" si="8"/>
        <v>2491.9277339999999</v>
      </c>
      <c r="D19" s="22">
        <f t="shared" si="8"/>
        <v>2458.383789</v>
      </c>
      <c r="E19" s="22">
        <f t="shared" si="8"/>
        <v>2456.6372070000002</v>
      </c>
      <c r="F19" s="22"/>
      <c r="G19" s="50">
        <f t="shared" si="1"/>
        <v>2459.1812742499997</v>
      </c>
      <c r="H19" s="51">
        <f t="shared" si="2"/>
        <v>122488.9850639739</v>
      </c>
      <c r="I19" s="49">
        <f t="shared" si="3"/>
        <v>8.9647330207193072E-3</v>
      </c>
      <c r="J19" s="49">
        <f t="shared" si="4"/>
        <v>0.11</v>
      </c>
      <c r="K19" s="49">
        <f t="shared" si="5"/>
        <v>2.5273194640340144E-2</v>
      </c>
      <c r="L19" s="22">
        <f>G19/'Clause 6'!$G$11</f>
        <v>2459.1812742499997</v>
      </c>
      <c r="M19">
        <f t="shared" si="6"/>
        <v>4</v>
      </c>
      <c r="O19" s="52">
        <f t="shared" si="9"/>
        <v>-1.1957193866876548E-2</v>
      </c>
      <c r="P19" s="52">
        <f t="shared" si="7"/>
        <v>1.3316000773463621E-2</v>
      </c>
      <c r="Q19" s="52">
        <f t="shared" si="7"/>
        <v>-3.2428892426517031E-4</v>
      </c>
      <c r="R19" s="52">
        <f t="shared" si="7"/>
        <v>-1.034517982321348E-3</v>
      </c>
      <c r="S19" s="52">
        <f t="shared" si="7"/>
        <v>0</v>
      </c>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row>
    <row r="20" spans="1:49" ht="13.15" x14ac:dyDescent="0.4">
      <c r="A20" s="15" t="s">
        <v>81</v>
      </c>
      <c r="B20" s="22">
        <f t="shared" si="8"/>
        <v>1954.059814</v>
      </c>
      <c r="C20" s="22">
        <f t="shared" si="8"/>
        <v>1998.9963379999999</v>
      </c>
      <c r="D20" s="22">
        <f t="shared" si="8"/>
        <v>1975.6870120000001</v>
      </c>
      <c r="E20" s="22">
        <f t="shared" si="8"/>
        <v>1958.2601320000001</v>
      </c>
      <c r="F20" s="22"/>
      <c r="G20" s="50">
        <f t="shared" si="1"/>
        <v>1971.7508240000002</v>
      </c>
      <c r="H20" s="51">
        <f t="shared" si="2"/>
        <v>98210.636100615346</v>
      </c>
      <c r="I20" s="49">
        <f t="shared" si="3"/>
        <v>8.9754403077573885E-3</v>
      </c>
      <c r="J20" s="49">
        <f t="shared" si="4"/>
        <v>0.11</v>
      </c>
      <c r="K20" s="49">
        <f t="shared" si="5"/>
        <v>2.2790163672324126E-2</v>
      </c>
      <c r="L20" s="22">
        <f>G20/'Clause 6'!$G$11</f>
        <v>1971.7508240000002</v>
      </c>
      <c r="M20">
        <f t="shared" si="6"/>
        <v>4</v>
      </c>
      <c r="O20" s="52">
        <f t="shared" si="9"/>
        <v>-8.9722341102469461E-3</v>
      </c>
      <c r="P20" s="52">
        <f t="shared" si="7"/>
        <v>1.381792956207728E-2</v>
      </c>
      <c r="Q20" s="52">
        <f t="shared" si="7"/>
        <v>1.9962907848642963E-3</v>
      </c>
      <c r="R20" s="52">
        <f t="shared" si="7"/>
        <v>-6.8419862366950746E-3</v>
      </c>
      <c r="S20" s="52">
        <f t="shared" si="7"/>
        <v>0</v>
      </c>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row>
    <row r="21" spans="1:49" ht="13.15" x14ac:dyDescent="0.4">
      <c r="A21" s="15" t="s">
        <v>82</v>
      </c>
      <c r="B21" s="22">
        <f t="shared" si="8"/>
        <v>1546.317871</v>
      </c>
      <c r="C21" s="22">
        <f t="shared" si="8"/>
        <v>1571.92688</v>
      </c>
      <c r="D21" s="22">
        <f t="shared" si="8"/>
        <v>1548.495361</v>
      </c>
      <c r="E21" s="22">
        <f t="shared" si="8"/>
        <v>1528.611328</v>
      </c>
      <c r="F21" s="22"/>
      <c r="G21" s="50">
        <f t="shared" si="1"/>
        <v>1548.8378600000001</v>
      </c>
      <c r="H21" s="51">
        <f t="shared" si="2"/>
        <v>77145.828770966356</v>
      </c>
      <c r="I21" s="49">
        <f t="shared" si="3"/>
        <v>9.943164589319509E-3</v>
      </c>
      <c r="J21" s="49">
        <f t="shared" si="4"/>
        <v>0.11</v>
      </c>
      <c r="K21" s="49">
        <f t="shared" si="5"/>
        <v>2.7966485788254183E-2</v>
      </c>
      <c r="L21" s="22">
        <f>G21/'Clause 6'!$G$11</f>
        <v>1548.8378600000001</v>
      </c>
      <c r="M21">
        <f t="shared" si="6"/>
        <v>4</v>
      </c>
      <c r="O21" s="52">
        <f t="shared" si="9"/>
        <v>-1.6270192413815332E-3</v>
      </c>
      <c r="P21" s="52">
        <f t="shared" si="7"/>
        <v>1.4907318962360527E-2</v>
      </c>
      <c r="Q21" s="52">
        <f t="shared" si="7"/>
        <v>-2.211328950856295E-4</v>
      </c>
      <c r="R21" s="52">
        <f t="shared" si="7"/>
        <v>-1.3059166825893698E-2</v>
      </c>
      <c r="S21" s="52">
        <f t="shared" si="7"/>
        <v>0</v>
      </c>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row>
    <row r="22" spans="1:49" ht="13.15" x14ac:dyDescent="0.4">
      <c r="A22" s="15" t="s">
        <v>83</v>
      </c>
      <c r="B22" s="22">
        <f t="shared" si="8"/>
        <v>1201.4525149999999</v>
      </c>
      <c r="C22" s="22">
        <f t="shared" si="8"/>
        <v>1218.989014</v>
      </c>
      <c r="D22" s="22">
        <f t="shared" si="8"/>
        <v>1194.8481449999999</v>
      </c>
      <c r="E22" s="22">
        <f t="shared" si="8"/>
        <v>1180.8470460000001</v>
      </c>
      <c r="F22" s="22"/>
      <c r="G22" s="50">
        <f t="shared" si="1"/>
        <v>1199.0341799999999</v>
      </c>
      <c r="H22" s="51">
        <f t="shared" si="2"/>
        <v>59722.510618907545</v>
      </c>
      <c r="I22" s="49">
        <f t="shared" si="3"/>
        <v>1.1437867929481446E-2</v>
      </c>
      <c r="J22" s="49">
        <f t="shared" si="4"/>
        <v>0.11</v>
      </c>
      <c r="K22" s="49">
        <f t="shared" si="5"/>
        <v>3.1810576075487616E-2</v>
      </c>
      <c r="L22" s="22">
        <f>G22/'Clause 6'!$G$11</f>
        <v>1199.0341799999999</v>
      </c>
      <c r="M22">
        <f t="shared" si="6"/>
        <v>4</v>
      </c>
      <c r="O22" s="52">
        <f t="shared" si="9"/>
        <v>2.0169024706202521E-3</v>
      </c>
      <c r="P22" s="52">
        <f t="shared" si="7"/>
        <v>1.664242298747487E-2</v>
      </c>
      <c r="Q22" s="52">
        <f t="shared" si="7"/>
        <v>-3.4911723700820074E-3</v>
      </c>
      <c r="R22" s="52">
        <f t="shared" si="7"/>
        <v>-1.516815308801267E-2</v>
      </c>
      <c r="S22" s="52">
        <f t="shared" si="7"/>
        <v>0</v>
      </c>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ht="13.15" x14ac:dyDescent="0.4">
      <c r="A23" s="15" t="s">
        <v>84</v>
      </c>
      <c r="B23" s="22">
        <f t="shared" si="8"/>
        <v>919.14520300000004</v>
      </c>
      <c r="C23" s="22">
        <f t="shared" si="8"/>
        <v>927.28619400000002</v>
      </c>
      <c r="D23" s="22">
        <f t="shared" si="8"/>
        <v>907.60882600000002</v>
      </c>
      <c r="E23" s="22">
        <f t="shared" si="8"/>
        <v>891.30535899999995</v>
      </c>
      <c r="F23" s="22"/>
      <c r="G23" s="50">
        <f t="shared" si="1"/>
        <v>911.33639549999998</v>
      </c>
      <c r="H23" s="51">
        <f t="shared" si="2"/>
        <v>45392.615544659187</v>
      </c>
      <c r="I23" s="49">
        <f t="shared" si="3"/>
        <v>1.4828751711371753E-2</v>
      </c>
      <c r="J23" s="49">
        <f t="shared" si="4"/>
        <v>0.11</v>
      </c>
      <c r="K23" s="49">
        <f t="shared" si="5"/>
        <v>3.948139806296156E-2</v>
      </c>
      <c r="L23" s="22">
        <f>G23/'Clause 6'!$G$11</f>
        <v>911.33639549999998</v>
      </c>
      <c r="M23">
        <f t="shared" si="6"/>
        <v>4</v>
      </c>
      <c r="O23" s="52">
        <f t="shared" si="9"/>
        <v>8.5685236961439148E-3</v>
      </c>
      <c r="P23" s="52">
        <f t="shared" si="7"/>
        <v>1.7501548910761278E-2</v>
      </c>
      <c r="Q23" s="52">
        <f t="shared" si="7"/>
        <v>-4.0902234547045557E-3</v>
      </c>
      <c r="R23" s="52">
        <f t="shared" si="7"/>
        <v>-2.1979849152200415E-2</v>
      </c>
      <c r="S23" s="52">
        <f t="shared" si="7"/>
        <v>0</v>
      </c>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row>
    <row r="24" spans="1:49" ht="13.15" x14ac:dyDescent="0.4">
      <c r="A24" s="15" t="s">
        <v>85</v>
      </c>
      <c r="B24" s="22">
        <f t="shared" si="8"/>
        <v>703.00695800000005</v>
      </c>
      <c r="C24" s="22">
        <f t="shared" si="8"/>
        <v>704.49731399999996</v>
      </c>
      <c r="D24" s="22">
        <f t="shared" si="8"/>
        <v>686.28192100000001</v>
      </c>
      <c r="E24" s="22">
        <f t="shared" si="8"/>
        <v>678.54278599999998</v>
      </c>
      <c r="F24" s="22"/>
      <c r="G24" s="50">
        <f t="shared" si="1"/>
        <v>693.08224474999997</v>
      </c>
      <c r="H24" s="51">
        <f t="shared" si="2"/>
        <v>34521.627833710423</v>
      </c>
      <c r="I24" s="49">
        <f t="shared" si="3"/>
        <v>1.5911153217386797E-2</v>
      </c>
      <c r="J24" s="49">
        <f t="shared" si="4"/>
        <v>0.11</v>
      </c>
      <c r="K24" s="49">
        <f t="shared" si="5"/>
        <v>3.7447977056982579E-2</v>
      </c>
      <c r="L24" s="22">
        <f>G24/'Clause 6'!$G$11</f>
        <v>693.08224474999997</v>
      </c>
      <c r="M24">
        <f t="shared" si="6"/>
        <v>4</v>
      </c>
      <c r="O24" s="52">
        <f t="shared" si="9"/>
        <v>1.431967609209206E-2</v>
      </c>
      <c r="P24" s="52">
        <f t="shared" si="7"/>
        <v>1.6470006750955557E-2</v>
      </c>
      <c r="Q24" s="52">
        <f t="shared" si="7"/>
        <v>-9.8117125370206226E-3</v>
      </c>
      <c r="R24" s="52">
        <f t="shared" si="7"/>
        <v>-2.0977970306026883E-2</v>
      </c>
      <c r="S24" s="52">
        <f t="shared" si="7"/>
        <v>0</v>
      </c>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row>
    <row r="25" spans="1:49" ht="13.15" x14ac:dyDescent="0.4">
      <c r="A25" s="15" t="s">
        <v>86</v>
      </c>
      <c r="B25" s="22">
        <f t="shared" si="8"/>
        <v>535.19445800000005</v>
      </c>
      <c r="C25" s="22">
        <f t="shared" si="8"/>
        <v>534.77209500000004</v>
      </c>
      <c r="D25" s="22">
        <f t="shared" si="8"/>
        <v>518.87432899999999</v>
      </c>
      <c r="E25" s="22">
        <f t="shared" si="8"/>
        <v>519.48632799999996</v>
      </c>
      <c r="F25" s="22"/>
      <c r="G25" s="50">
        <f t="shared" si="1"/>
        <v>527.08180250000009</v>
      </c>
      <c r="H25" s="51">
        <f t="shared" si="2"/>
        <v>26253.337120747623</v>
      </c>
      <c r="I25" s="49">
        <f t="shared" si="3"/>
        <v>1.4999277927662792E-2</v>
      </c>
      <c r="J25" s="49">
        <f t="shared" si="4"/>
        <v>0.11</v>
      </c>
      <c r="K25" s="49">
        <f t="shared" si="5"/>
        <v>3.0963180520731527E-2</v>
      </c>
      <c r="L25" s="22">
        <f>G25/'Clause 6'!$G$11</f>
        <v>527.08180250000009</v>
      </c>
      <c r="M25">
        <f t="shared" si="6"/>
        <v>4</v>
      </c>
      <c r="O25" s="52">
        <f t="shared" si="9"/>
        <v>1.5391644070276822E-2</v>
      </c>
      <c r="P25" s="52">
        <f t="shared" si="7"/>
        <v>1.4590320636235443E-2</v>
      </c>
      <c r="Q25" s="52">
        <f t="shared" si="7"/>
        <v>-1.5571536450454726E-2</v>
      </c>
      <c r="R25" s="52">
        <f t="shared" si="7"/>
        <v>-1.4410428256058316E-2</v>
      </c>
      <c r="S25" s="52">
        <f t="shared" si="7"/>
        <v>0</v>
      </c>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row>
    <row r="26" spans="1:49" ht="13.15" x14ac:dyDescent="0.4">
      <c r="A26" s="15" t="s">
        <v>87</v>
      </c>
      <c r="B26" s="22">
        <f t="shared" si="8"/>
        <v>406.78601099999997</v>
      </c>
      <c r="C26" s="22">
        <f t="shared" si="8"/>
        <v>407.57669099999998</v>
      </c>
      <c r="D26" s="22">
        <f t="shared" si="8"/>
        <v>399.240814</v>
      </c>
      <c r="E26" s="22">
        <f t="shared" si="8"/>
        <v>394.597534</v>
      </c>
      <c r="F26" s="22"/>
      <c r="G26" s="50">
        <f t="shared" si="1"/>
        <v>402.05026249999997</v>
      </c>
      <c r="H26" s="51">
        <f t="shared" si="2"/>
        <v>20025.660212197468</v>
      </c>
      <c r="I26" s="49">
        <f t="shared" si="3"/>
        <v>1.3417613091473298E-2</v>
      </c>
      <c r="J26" s="49">
        <f t="shared" si="4"/>
        <v>0.11</v>
      </c>
      <c r="K26" s="49">
        <f t="shared" si="5"/>
        <v>3.2282423892211705E-2</v>
      </c>
      <c r="L26" s="22">
        <f>G26/'Clause 6'!$G$11</f>
        <v>402.05026249999997</v>
      </c>
      <c r="M26">
        <f t="shared" si="6"/>
        <v>4</v>
      </c>
      <c r="O26" s="52">
        <f t="shared" si="9"/>
        <v>1.1778996164689692E-2</v>
      </c>
      <c r="P26" s="52">
        <f t="shared" si="7"/>
        <v>1.3745615947707623E-2</v>
      </c>
      <c r="Q26" s="52">
        <f t="shared" si="7"/>
        <v>-6.9878041678930192E-3</v>
      </c>
      <c r="R26" s="52">
        <f t="shared" si="7"/>
        <v>-1.8536807944504186E-2</v>
      </c>
      <c r="S26" s="52">
        <f t="shared" si="7"/>
        <v>0</v>
      </c>
    </row>
    <row r="27" spans="1:49" ht="13.15" x14ac:dyDescent="0.4">
      <c r="A27" s="15" t="s">
        <v>88</v>
      </c>
      <c r="B27" s="22">
        <f t="shared" si="8"/>
        <v>314.382904</v>
      </c>
      <c r="C27" s="22">
        <f t="shared" si="8"/>
        <v>312.573914</v>
      </c>
      <c r="D27" s="22">
        <f t="shared" si="8"/>
        <v>306.864349</v>
      </c>
      <c r="E27" s="22">
        <f t="shared" si="8"/>
        <v>303.38549799999998</v>
      </c>
      <c r="F27" s="22"/>
      <c r="G27" s="50">
        <f t="shared" si="1"/>
        <v>309.30166625000004</v>
      </c>
      <c r="H27" s="51">
        <f t="shared" si="2"/>
        <v>15405.959525742148</v>
      </c>
      <c r="I27" s="49">
        <f t="shared" si="3"/>
        <v>1.4228179051760596E-2</v>
      </c>
      <c r="J27" s="49">
        <f t="shared" si="4"/>
        <v>0.11</v>
      </c>
      <c r="K27" s="49">
        <f t="shared" si="5"/>
        <v>3.5555598950802646E-2</v>
      </c>
      <c r="L27" s="22">
        <f>G27/'Clause 6'!$G$11</f>
        <v>309.30166625000004</v>
      </c>
      <c r="M27">
        <f t="shared" si="6"/>
        <v>4</v>
      </c>
      <c r="O27" s="52">
        <f t="shared" si="9"/>
        <v>1.6428096917825652E-2</v>
      </c>
      <c r="P27" s="52">
        <f t="shared" si="7"/>
        <v>1.0579470164751914E-2</v>
      </c>
      <c r="Q27" s="52">
        <f t="shared" si="7"/>
        <v>-7.8800650496011482E-3</v>
      </c>
      <c r="R27" s="52">
        <f t="shared" si="7"/>
        <v>-1.9127502032976973E-2</v>
      </c>
      <c r="S27" s="52">
        <f t="shared" si="7"/>
        <v>0</v>
      </c>
    </row>
    <row r="28" spans="1:49" ht="13.15" x14ac:dyDescent="0.4">
      <c r="A28" s="15" t="s">
        <v>89</v>
      </c>
      <c r="B28" s="22">
        <f t="shared" si="8"/>
        <v>240.88528400000001</v>
      </c>
      <c r="C28" s="22">
        <f t="shared" si="8"/>
        <v>238.63909899999999</v>
      </c>
      <c r="D28" s="22">
        <f t="shared" si="8"/>
        <v>233.31999200000001</v>
      </c>
      <c r="E28" s="22">
        <f t="shared" si="8"/>
        <v>231.22099299999999</v>
      </c>
      <c r="F28" s="22"/>
      <c r="G28" s="50">
        <f t="shared" si="1"/>
        <v>236.01634200000001</v>
      </c>
      <c r="H28" s="51">
        <f t="shared" si="2"/>
        <v>11755.701986185844</v>
      </c>
      <c r="I28" s="49">
        <f t="shared" si="3"/>
        <v>1.652579032415135E-2</v>
      </c>
      <c r="J28" s="49">
        <f t="shared" si="4"/>
        <v>0.11</v>
      </c>
      <c r="K28" s="49">
        <f t="shared" si="5"/>
        <v>4.0947550148879179E-2</v>
      </c>
      <c r="L28" s="22">
        <f>G28/'Clause 6'!$G$11</f>
        <v>236.01634200000001</v>
      </c>
      <c r="M28">
        <f t="shared" si="6"/>
        <v>4</v>
      </c>
      <c r="O28" s="52">
        <f t="shared" si="9"/>
        <v>2.0629681651451071E-2</v>
      </c>
      <c r="P28" s="52">
        <f t="shared" si="7"/>
        <v>1.1112607617653758E-2</v>
      </c>
      <c r="Q28" s="52">
        <f t="shared" si="7"/>
        <v>-1.1424420771676935E-2</v>
      </c>
      <c r="R28" s="52">
        <f t="shared" si="7"/>
        <v>-2.0317868497428115E-2</v>
      </c>
      <c r="S28" s="52">
        <f t="shared" si="7"/>
        <v>0</v>
      </c>
    </row>
    <row r="29" spans="1:49" ht="13.15" x14ac:dyDescent="0.4">
      <c r="A29" s="15" t="s">
        <v>90</v>
      </c>
      <c r="B29" s="22">
        <f t="shared" si="8"/>
        <v>184.275116</v>
      </c>
      <c r="C29" s="22">
        <f t="shared" si="8"/>
        <v>183.409515</v>
      </c>
      <c r="D29" s="22">
        <f t="shared" si="8"/>
        <v>176.72453300000001</v>
      </c>
      <c r="E29" s="22">
        <f t="shared" si="8"/>
        <v>177.02397199999999</v>
      </c>
      <c r="F29" s="22"/>
      <c r="G29" s="50">
        <f t="shared" si="1"/>
        <v>180.35828399999997</v>
      </c>
      <c r="H29" s="51">
        <f t="shared" si="2"/>
        <v>8983.4382631176886</v>
      </c>
      <c r="I29" s="49">
        <f t="shared" si="3"/>
        <v>1.9400543142308723E-2</v>
      </c>
      <c r="J29" s="49">
        <f t="shared" si="4"/>
        <v>0.113</v>
      </c>
      <c r="K29" s="49">
        <f t="shared" si="5"/>
        <v>4.1864353732706784E-2</v>
      </c>
      <c r="L29" s="22">
        <f>G29/'Clause 6'!$G$11</f>
        <v>180.35828399999997</v>
      </c>
      <c r="M29">
        <f t="shared" si="6"/>
        <v>4</v>
      </c>
      <c r="O29" s="52">
        <f t="shared" si="9"/>
        <v>2.17169509108881E-2</v>
      </c>
      <c r="P29" s="52">
        <f t="shared" si="7"/>
        <v>1.6917609395751487E-2</v>
      </c>
      <c r="Q29" s="52">
        <f t="shared" si="7"/>
        <v>-2.0147402821818594E-2</v>
      </c>
      <c r="R29" s="52">
        <f t="shared" si="7"/>
        <v>-1.8487157484820549E-2</v>
      </c>
      <c r="S29" s="52">
        <f t="shared" si="7"/>
        <v>0</v>
      </c>
    </row>
    <row r="30" spans="1:49" ht="13.15" x14ac:dyDescent="0.4">
      <c r="A30" s="15" t="s">
        <v>91</v>
      </c>
      <c r="B30" s="22">
        <f t="shared" si="8"/>
        <v>138.817047</v>
      </c>
      <c r="C30" s="22">
        <f t="shared" si="8"/>
        <v>138.12321499999999</v>
      </c>
      <c r="D30" s="22">
        <f t="shared" si="8"/>
        <v>132.915085</v>
      </c>
      <c r="E30" s="22">
        <f t="shared" si="8"/>
        <v>137.35803200000001</v>
      </c>
      <c r="F30" s="22"/>
      <c r="G30" s="50">
        <f t="shared" si="1"/>
        <v>136.80334474999998</v>
      </c>
      <c r="H30" s="51">
        <f t="shared" si="2"/>
        <v>6814.0169361426742</v>
      </c>
      <c r="I30" s="49">
        <f t="shared" si="3"/>
        <v>1.6837581264084425E-2</v>
      </c>
      <c r="J30" s="49">
        <f t="shared" si="4"/>
        <v>0.113</v>
      </c>
      <c r="K30" s="49">
        <f t="shared" si="5"/>
        <v>4.3141942258688809E-2</v>
      </c>
      <c r="L30" s="22">
        <f>G30/'Clause 6'!$G$11</f>
        <v>136.80334474999998</v>
      </c>
      <c r="M30">
        <f t="shared" si="6"/>
        <v>4</v>
      </c>
      <c r="O30" s="52">
        <f t="shared" si="9"/>
        <v>1.4719685791892978E-2</v>
      </c>
      <c r="P30" s="52">
        <f t="shared" si="7"/>
        <v>9.647938450715543E-3</v>
      </c>
      <c r="Q30" s="52">
        <f t="shared" si="7"/>
        <v>-2.8422256466795748E-2</v>
      </c>
      <c r="R30" s="52">
        <f t="shared" si="7"/>
        <v>4.0546322241878929E-3</v>
      </c>
      <c r="S30" s="52">
        <f t="shared" si="7"/>
        <v>0</v>
      </c>
    </row>
    <row r="31" spans="1:49" ht="13.15" x14ac:dyDescent="0.4">
      <c r="A31" s="15" t="s">
        <v>92</v>
      </c>
      <c r="B31" s="22">
        <f t="shared" si="8"/>
        <v>104.086235</v>
      </c>
      <c r="C31" s="22">
        <f t="shared" si="8"/>
        <v>104.94607499999999</v>
      </c>
      <c r="D31" s="22">
        <f t="shared" si="8"/>
        <v>101.09871699999999</v>
      </c>
      <c r="E31" s="22">
        <f t="shared" si="8"/>
        <v>99.164840999999996</v>
      </c>
      <c r="F31" s="22"/>
      <c r="G31" s="50">
        <f t="shared" si="1"/>
        <v>102.32396700000001</v>
      </c>
      <c r="H31" s="51">
        <f t="shared" si="2"/>
        <v>5096.6388678980329</v>
      </c>
      <c r="I31" s="49">
        <f t="shared" si="3"/>
        <v>2.2637648245852859E-2</v>
      </c>
      <c r="J31" s="49">
        <f t="shared" si="4"/>
        <v>0.113</v>
      </c>
      <c r="K31" s="49">
        <f t="shared" si="5"/>
        <v>5.649931457407234E-2</v>
      </c>
      <c r="L31" s="22">
        <f>G31/'Clause 6'!$G$11</f>
        <v>102.32396700000001</v>
      </c>
      <c r="M31">
        <f t="shared" si="6"/>
        <v>4</v>
      </c>
      <c r="O31" s="52">
        <f t="shared" si="9"/>
        <v>1.7222436264614283E-2</v>
      </c>
      <c r="P31" s="52">
        <f t="shared" si="7"/>
        <v>2.5625550659113649E-2</v>
      </c>
      <c r="Q31" s="52">
        <f t="shared" si="7"/>
        <v>-1.1974223008769935E-2</v>
      </c>
      <c r="R31" s="52">
        <f t="shared" si="7"/>
        <v>-3.0873763914958552E-2</v>
      </c>
      <c r="S31" s="52">
        <f t="shared" si="7"/>
        <v>0</v>
      </c>
    </row>
    <row r="32" spans="1:49" ht="13.15" x14ac:dyDescent="0.4">
      <c r="A32" s="15" t="s">
        <v>93</v>
      </c>
      <c r="B32" s="22">
        <f t="shared" si="8"/>
        <v>80.613731000000001</v>
      </c>
      <c r="C32" s="22">
        <f t="shared" si="8"/>
        <v>77.971191000000005</v>
      </c>
      <c r="D32" s="22">
        <f t="shared" si="8"/>
        <v>73.841712999999999</v>
      </c>
      <c r="E32" s="22">
        <f t="shared" si="8"/>
        <v>72.360878</v>
      </c>
      <c r="F32" s="22"/>
      <c r="G32" s="50">
        <f t="shared" si="1"/>
        <v>76.196878249999997</v>
      </c>
      <c r="H32" s="51">
        <f t="shared" si="2"/>
        <v>3795.2786887303168</v>
      </c>
      <c r="I32" s="49">
        <f t="shared" si="3"/>
        <v>4.2988764891794311E-2</v>
      </c>
      <c r="J32" s="49">
        <f t="shared" si="4"/>
        <v>0.11900000000000001</v>
      </c>
      <c r="K32" s="49">
        <f t="shared" si="5"/>
        <v>0.10830959469130223</v>
      </c>
      <c r="L32" s="22">
        <f>G32/'Clause 6'!$G$11</f>
        <v>76.196878249999997</v>
      </c>
      <c r="M32">
        <f t="shared" si="6"/>
        <v>4</v>
      </c>
      <c r="O32" s="52">
        <f t="shared" si="9"/>
        <v>5.7966321605833038E-2</v>
      </c>
      <c r="P32" s="52">
        <f t="shared" si="7"/>
        <v>2.3285898198854404E-2</v>
      </c>
      <c r="Q32" s="52">
        <f t="shared" si="7"/>
        <v>-3.0908946719218067E-2</v>
      </c>
      <c r="R32" s="52">
        <f t="shared" si="7"/>
        <v>-5.0343273085469153E-2</v>
      </c>
      <c r="S32" s="52">
        <f t="shared" si="7"/>
        <v>0</v>
      </c>
    </row>
    <row r="33" spans="1:19" ht="13.15" x14ac:dyDescent="0.4">
      <c r="A33" s="15" t="s">
        <v>94</v>
      </c>
      <c r="B33" s="22">
        <f t="shared" si="8"/>
        <v>57.353642000000001</v>
      </c>
      <c r="C33" s="22">
        <f t="shared" si="8"/>
        <v>56.410975999999998</v>
      </c>
      <c r="D33" s="22">
        <f t="shared" si="8"/>
        <v>53.820202000000002</v>
      </c>
      <c r="E33" s="22">
        <f t="shared" si="8"/>
        <v>50.956982000000004</v>
      </c>
      <c r="F33" s="22"/>
      <c r="G33" s="50">
        <f t="shared" si="1"/>
        <v>54.635450500000005</v>
      </c>
      <c r="H33" s="51">
        <f t="shared" si="2"/>
        <v>2721.3288220482991</v>
      </c>
      <c r="I33" s="49">
        <f t="shared" si="3"/>
        <v>4.5516344857630071E-2</v>
      </c>
      <c r="J33" s="49">
        <f t="shared" si="4"/>
        <v>0.11900000000000001</v>
      </c>
      <c r="K33" s="49">
        <f t="shared" si="5"/>
        <v>0.11707892845140898</v>
      </c>
      <c r="L33" s="22">
        <f>G33/'Clause 6'!$G$11</f>
        <v>54.635450500000005</v>
      </c>
      <c r="M33">
        <f t="shared" si="6"/>
        <v>4</v>
      </c>
      <c r="O33" s="52">
        <f t="shared" si="9"/>
        <v>4.9751424672521027E-2</v>
      </c>
      <c r="P33" s="52">
        <f t="shared" si="7"/>
        <v>3.2497682068165501E-2</v>
      </c>
      <c r="Q33" s="52">
        <f t="shared" si="7"/>
        <v>-1.4921602961798675E-2</v>
      </c>
      <c r="R33" s="52">
        <f t="shared" si="7"/>
        <v>-6.7327503778888076E-2</v>
      </c>
      <c r="S33" s="52">
        <f t="shared" si="7"/>
        <v>0</v>
      </c>
    </row>
    <row r="34" spans="1:19" ht="13.15" x14ac:dyDescent="0.4">
      <c r="A34" s="15" t="s">
        <v>95</v>
      </c>
      <c r="B34" s="22">
        <f t="shared" si="8"/>
        <v>40.997230999999999</v>
      </c>
      <c r="C34" s="22">
        <f t="shared" si="8"/>
        <v>39.674736000000003</v>
      </c>
      <c r="D34" s="22">
        <f t="shared" si="8"/>
        <v>39.844791000000001</v>
      </c>
      <c r="E34" s="22">
        <f t="shared" si="8"/>
        <v>34.560420999999998</v>
      </c>
      <c r="F34" s="22"/>
      <c r="G34" s="50">
        <f t="shared" si="1"/>
        <v>38.76929475</v>
      </c>
      <c r="H34" s="51">
        <f t="shared" si="2"/>
        <v>1931.0538898853006</v>
      </c>
      <c r="I34" s="49">
        <f t="shared" si="3"/>
        <v>6.4037319801990081E-2</v>
      </c>
      <c r="J34" s="49">
        <f t="shared" si="4"/>
        <v>0.13400000000000001</v>
      </c>
      <c r="K34" s="49">
        <f t="shared" si="5"/>
        <v>0.16602855536854977</v>
      </c>
      <c r="L34" s="22">
        <f>G34/'Clause 6'!$G$11</f>
        <v>38.76929475</v>
      </c>
      <c r="M34">
        <f t="shared" si="6"/>
        <v>4</v>
      </c>
      <c r="O34" s="52">
        <f t="shared" si="9"/>
        <v>5.746651478616327E-2</v>
      </c>
      <c r="P34" s="52">
        <f t="shared" si="7"/>
        <v>2.3354596874631151E-2</v>
      </c>
      <c r="Q34" s="52">
        <f t="shared" si="7"/>
        <v>2.7740928921591967E-2</v>
      </c>
      <c r="R34" s="52">
        <f t="shared" si="7"/>
        <v>-0.1085620405823865</v>
      </c>
      <c r="S34" s="52">
        <f t="shared" si="7"/>
        <v>0</v>
      </c>
    </row>
    <row r="35" spans="1:19" ht="13.15" x14ac:dyDescent="0.4">
      <c r="A35" s="15" t="s">
        <v>96</v>
      </c>
      <c r="B35" s="22">
        <f t="shared" si="8"/>
        <v>28.251978000000001</v>
      </c>
      <c r="C35" s="22">
        <f t="shared" si="8"/>
        <v>27.171779999999998</v>
      </c>
      <c r="D35" s="22">
        <f t="shared" si="8"/>
        <v>27.752590000000001</v>
      </c>
      <c r="E35" s="22">
        <f t="shared" si="8"/>
        <v>24.840302000000001</v>
      </c>
      <c r="F35" s="22"/>
      <c r="G35" s="50">
        <f t="shared" si="1"/>
        <v>27.0041625</v>
      </c>
      <c r="H35" s="51">
        <f t="shared" si="2"/>
        <v>1345.0462118277187</v>
      </c>
      <c r="I35" s="49">
        <f t="shared" si="3"/>
        <v>4.8380743216967552E-2</v>
      </c>
      <c r="J35" s="49">
        <f t="shared" si="4"/>
        <v>0.13400000000000001</v>
      </c>
      <c r="K35" s="49">
        <f t="shared" si="5"/>
        <v>0.12633889312434704</v>
      </c>
      <c r="L35" s="22">
        <f>G35/'Clause 6'!$G$11</f>
        <v>27.0041625</v>
      </c>
      <c r="M35">
        <f t="shared" si="6"/>
        <v>4</v>
      </c>
      <c r="O35" s="52">
        <f t="shared" si="9"/>
        <v>4.6208265114683789E-2</v>
      </c>
      <c r="P35" s="52">
        <f t="shared" si="7"/>
        <v>6.2070986278504048E-3</v>
      </c>
      <c r="Q35" s="52">
        <f t="shared" si="7"/>
        <v>2.7715264267129225E-2</v>
      </c>
      <c r="R35" s="52">
        <f t="shared" si="7"/>
        <v>-8.0130628009663307E-2</v>
      </c>
      <c r="S35" s="52">
        <f t="shared" si="7"/>
        <v>0</v>
      </c>
    </row>
    <row r="36" spans="1:19" ht="13.15" x14ac:dyDescent="0.4">
      <c r="A36" s="15" t="s">
        <v>97</v>
      </c>
      <c r="B36" s="22">
        <f t="shared" si="8"/>
        <v>19.011669000000001</v>
      </c>
      <c r="C36" s="22">
        <f t="shared" si="8"/>
        <v>18.508313999999999</v>
      </c>
      <c r="D36" s="22">
        <f t="shared" si="8"/>
        <v>17.741834999999998</v>
      </c>
      <c r="E36" s="22">
        <f t="shared" si="8"/>
        <v>17.182027999999999</v>
      </c>
      <c r="F36" s="22"/>
      <c r="G36" s="50">
        <f t="shared" si="1"/>
        <v>18.110961499999998</v>
      </c>
      <c r="H36" s="51">
        <f t="shared" si="2"/>
        <v>902.08611943187111</v>
      </c>
      <c r="I36" s="49">
        <f t="shared" si="3"/>
        <v>3.8732719055007934E-2</v>
      </c>
      <c r="J36" s="49">
        <f t="shared" si="4"/>
        <v>0.156</v>
      </c>
      <c r="K36" s="49">
        <f t="shared" si="5"/>
        <v>0.10102395723164684</v>
      </c>
      <c r="L36" s="22">
        <f>G36/'Clause 6'!$G$11</f>
        <v>18.110961499999998</v>
      </c>
      <c r="M36">
        <f t="shared" si="6"/>
        <v>4</v>
      </c>
      <c r="O36" s="52">
        <f t="shared" si="9"/>
        <v>4.9732726779856629E-2</v>
      </c>
      <c r="P36" s="52">
        <f t="shared" si="7"/>
        <v>2.1939889828599179E-2</v>
      </c>
      <c r="Q36" s="52">
        <f t="shared" si="7"/>
        <v>-2.0381386156665404E-2</v>
      </c>
      <c r="R36" s="52">
        <f t="shared" si="7"/>
        <v>-5.1291230451790182E-2</v>
      </c>
      <c r="S36" s="52">
        <f t="shared" si="7"/>
        <v>0</v>
      </c>
    </row>
    <row r="37" spans="1:19" ht="13.15" x14ac:dyDescent="0.4">
      <c r="A37" s="15" t="s">
        <v>98</v>
      </c>
      <c r="B37" s="22"/>
      <c r="C37" s="22"/>
      <c r="D37" s="22"/>
      <c r="E37" s="22">
        <f t="shared" si="8"/>
        <v>12.861974999999999</v>
      </c>
      <c r="F37" s="22"/>
      <c r="G37" s="50">
        <f t="shared" si="1"/>
        <v>12.861974999999999</v>
      </c>
      <c r="H37" s="51">
        <f t="shared" si="2"/>
        <v>640.64015132381246</v>
      </c>
      <c r="I37" s="49">
        <f t="shared" si="3"/>
        <v>0</v>
      </c>
      <c r="J37" s="49">
        <f t="shared" si="4"/>
        <v>0.156</v>
      </c>
      <c r="K37" s="49">
        <f t="shared" si="5"/>
        <v>0</v>
      </c>
      <c r="L37" s="22">
        <f>G37/'Clause 6'!$G$11</f>
        <v>12.861974999999999</v>
      </c>
      <c r="M37">
        <f t="shared" si="6"/>
        <v>1</v>
      </c>
      <c r="O37" s="52">
        <f t="shared" si="9"/>
        <v>0</v>
      </c>
      <c r="P37" s="52">
        <f t="shared" si="7"/>
        <v>0</v>
      </c>
      <c r="Q37" s="52">
        <f t="shared" si="7"/>
        <v>0</v>
      </c>
      <c r="R37" s="52">
        <f t="shared" si="7"/>
        <v>0</v>
      </c>
      <c r="S37" s="52">
        <f t="shared" si="7"/>
        <v>0</v>
      </c>
    </row>
    <row r="38" spans="1:19" ht="13.15" x14ac:dyDescent="0.4">
      <c r="A38" s="15" t="s">
        <v>99</v>
      </c>
      <c r="B38" s="22"/>
      <c r="C38" s="22">
        <f t="shared" si="8"/>
        <v>7.7774299999999998</v>
      </c>
      <c r="D38" s="22">
        <f t="shared" si="8"/>
        <v>7.8301949999999998</v>
      </c>
      <c r="E38" s="22">
        <f t="shared" si="8"/>
        <v>8.6401050000000001</v>
      </c>
      <c r="F38" s="22"/>
      <c r="G38" s="50">
        <f t="shared" si="1"/>
        <v>8.0825766666666663</v>
      </c>
      <c r="H38" s="51">
        <f t="shared" si="2"/>
        <v>402.5838285970583</v>
      </c>
      <c r="I38" s="49">
        <f t="shared" si="3"/>
        <v>4.8848301653689974E-2</v>
      </c>
      <c r="J38" s="49">
        <f t="shared" si="4"/>
        <v>0.193</v>
      </c>
      <c r="K38" s="49">
        <f t="shared" si="5"/>
        <v>0.10673267147069029</v>
      </c>
      <c r="L38" s="22">
        <f>G38/'Clause 6'!$G$11</f>
        <v>8.0825766666666663</v>
      </c>
      <c r="M38">
        <f t="shared" si="6"/>
        <v>3</v>
      </c>
      <c r="O38" s="52">
        <f t="shared" si="9"/>
        <v>0</v>
      </c>
      <c r="P38" s="52">
        <f t="shared" si="7"/>
        <v>-3.7753637144590457E-2</v>
      </c>
      <c r="Q38" s="52">
        <f t="shared" si="7"/>
        <v>-3.1225397181509296E-2</v>
      </c>
      <c r="R38" s="52">
        <f t="shared" si="7"/>
        <v>6.8979034326099864E-2</v>
      </c>
      <c r="S38" s="52">
        <f t="shared" si="7"/>
        <v>0</v>
      </c>
    </row>
    <row r="40" spans="1:19" x14ac:dyDescent="0.35">
      <c r="A40" t="s">
        <v>100</v>
      </c>
    </row>
    <row r="41" spans="1:19" ht="15" x14ac:dyDescent="0.5">
      <c r="A41" s="54"/>
      <c r="B41" s="55" t="s">
        <v>101</v>
      </c>
      <c r="C41" s="54"/>
      <c r="D41" s="56" t="s">
        <v>102</v>
      </c>
      <c r="E41" s="57"/>
      <c r="F41" s="57"/>
      <c r="G41" s="57"/>
      <c r="H41" s="58"/>
    </row>
    <row r="42" spans="1:19" ht="15" x14ac:dyDescent="0.5">
      <c r="A42" s="59" t="s">
        <v>103</v>
      </c>
      <c r="B42" s="60" t="s">
        <v>104</v>
      </c>
      <c r="C42" s="59" t="s">
        <v>105</v>
      </c>
      <c r="D42" s="59" t="s">
        <v>106</v>
      </c>
      <c r="E42" s="60" t="s">
        <v>107</v>
      </c>
      <c r="F42" s="60" t="s">
        <v>108</v>
      </c>
      <c r="G42" s="60" t="s">
        <v>109</v>
      </c>
      <c r="H42" s="61" t="s">
        <v>110</v>
      </c>
    </row>
    <row r="43" spans="1:19" x14ac:dyDescent="0.35">
      <c r="A43" s="62">
        <v>10000</v>
      </c>
      <c r="C43" s="62">
        <v>11</v>
      </c>
      <c r="D43" s="62">
        <v>7.8</v>
      </c>
      <c r="E43">
        <v>5.3</v>
      </c>
      <c r="F43">
        <v>4</v>
      </c>
      <c r="G43">
        <v>2.7</v>
      </c>
      <c r="H43" s="63">
        <v>1.8</v>
      </c>
    </row>
    <row r="44" spans="1:19" x14ac:dyDescent="0.35">
      <c r="A44" s="62">
        <v>5000</v>
      </c>
      <c r="B44">
        <v>10000</v>
      </c>
      <c r="C44" s="62">
        <v>11.3</v>
      </c>
      <c r="D44" s="62">
        <v>7.8</v>
      </c>
      <c r="E44">
        <v>5.3</v>
      </c>
      <c r="F44">
        <v>4</v>
      </c>
      <c r="G44">
        <v>2.7</v>
      </c>
      <c r="H44" s="63">
        <v>1.9</v>
      </c>
    </row>
    <row r="45" spans="1:19" x14ac:dyDescent="0.35">
      <c r="A45" s="62">
        <v>2000</v>
      </c>
      <c r="B45">
        <v>5000</v>
      </c>
      <c r="C45" s="62">
        <v>11.9</v>
      </c>
      <c r="D45" s="62">
        <v>7.9</v>
      </c>
      <c r="E45">
        <v>5.4</v>
      </c>
      <c r="F45">
        <v>4.0999999999999996</v>
      </c>
      <c r="G45">
        <v>2.9</v>
      </c>
      <c r="H45" s="63">
        <v>2.1</v>
      </c>
    </row>
    <row r="46" spans="1:19" x14ac:dyDescent="0.35">
      <c r="A46" s="62">
        <v>1000</v>
      </c>
      <c r="B46">
        <v>2000</v>
      </c>
      <c r="C46" s="62">
        <v>13.4</v>
      </c>
      <c r="D46" s="62">
        <v>8</v>
      </c>
      <c r="E46">
        <v>5.6</v>
      </c>
      <c r="F46">
        <v>4.3</v>
      </c>
      <c r="G46">
        <v>3.1</v>
      </c>
      <c r="H46" s="63">
        <v>2.4</v>
      </c>
    </row>
    <row r="47" spans="1:19" x14ac:dyDescent="0.35">
      <c r="A47" s="62">
        <v>500</v>
      </c>
      <c r="B47">
        <v>1000</v>
      </c>
      <c r="C47" s="62">
        <v>15.6</v>
      </c>
      <c r="D47" s="62">
        <v>8.1999999999999993</v>
      </c>
      <c r="E47">
        <v>5.9</v>
      </c>
      <c r="F47">
        <v>4.7</v>
      </c>
      <c r="G47">
        <v>3.6</v>
      </c>
      <c r="H47" s="63">
        <v>2.9</v>
      </c>
    </row>
    <row r="48" spans="1:19" x14ac:dyDescent="0.35">
      <c r="A48" s="62">
        <v>200</v>
      </c>
      <c r="B48">
        <v>500</v>
      </c>
      <c r="C48" s="62">
        <v>19.3</v>
      </c>
      <c r="D48" s="62">
        <v>8.9</v>
      </c>
      <c r="E48">
        <v>6.8</v>
      </c>
      <c r="F48">
        <v>5.7</v>
      </c>
      <c r="G48">
        <v>4.7</v>
      </c>
      <c r="H48" s="63">
        <v>4.0999999999999996</v>
      </c>
    </row>
    <row r="49" spans="1:16" x14ac:dyDescent="0.35">
      <c r="A49" s="64">
        <v>100</v>
      </c>
      <c r="B49" s="65">
        <v>200</v>
      </c>
      <c r="C49" s="64">
        <v>27.5</v>
      </c>
      <c r="D49" s="64">
        <v>10</v>
      </c>
      <c r="E49" s="65">
        <v>8</v>
      </c>
      <c r="F49" s="65">
        <v>7</v>
      </c>
      <c r="G49" s="65">
        <v>6.1</v>
      </c>
      <c r="H49" s="66">
        <v>5.5</v>
      </c>
    </row>
    <row r="51" spans="1:16" ht="13.15" x14ac:dyDescent="0.4">
      <c r="B51" s="19" t="s">
        <v>57</v>
      </c>
      <c r="C51" s="19" t="s">
        <v>58</v>
      </c>
      <c r="D51" s="19" t="s">
        <v>59</v>
      </c>
      <c r="E51" s="19" t="s">
        <v>60</v>
      </c>
      <c r="F51" s="19" t="s">
        <v>61</v>
      </c>
      <c r="G51" s="19" t="s">
        <v>57</v>
      </c>
      <c r="H51" s="19" t="s">
        <v>58</v>
      </c>
      <c r="I51" s="19" t="s">
        <v>59</v>
      </c>
      <c r="J51" s="19" t="s">
        <v>60</v>
      </c>
      <c r="K51" s="19" t="s">
        <v>61</v>
      </c>
      <c r="L51" s="19" t="s">
        <v>57</v>
      </c>
      <c r="M51" s="19" t="s">
        <v>58</v>
      </c>
      <c r="N51" s="19" t="s">
        <v>59</v>
      </c>
      <c r="O51" s="19" t="s">
        <v>60</v>
      </c>
      <c r="P51" s="19" t="s">
        <v>61</v>
      </c>
    </row>
    <row r="52" spans="1:16" ht="13.9" x14ac:dyDescent="0.4">
      <c r="A52" s="19" t="s">
        <v>111</v>
      </c>
      <c r="B52" s="67">
        <v>9.4152699999999996</v>
      </c>
      <c r="C52" s="67">
        <v>10.157598</v>
      </c>
      <c r="D52" s="67">
        <v>10.089149000000001</v>
      </c>
      <c r="E52" s="67">
        <v>10.185060999999999</v>
      </c>
      <c r="F52" s="67">
        <v>10.201724</v>
      </c>
      <c r="G52" s="67">
        <v>9.4074550000000006</v>
      </c>
      <c r="H52" s="67">
        <v>10.178953999999999</v>
      </c>
      <c r="I52" s="67">
        <v>10.128242999999999</v>
      </c>
      <c r="J52" s="67">
        <v>10.183923999999999</v>
      </c>
      <c r="K52" s="67">
        <v>10.246387</v>
      </c>
      <c r="L52" s="67">
        <v>9.4152699999999996</v>
      </c>
      <c r="M52" s="67">
        <v>10.157598</v>
      </c>
      <c r="N52" s="67">
        <v>10.089149000000001</v>
      </c>
      <c r="O52" s="67">
        <v>10.185060999999999</v>
      </c>
      <c r="P52" s="67">
        <v>10.201724</v>
      </c>
    </row>
    <row r="53" spans="1:16" ht="13.9" x14ac:dyDescent="0.4">
      <c r="A53" s="41">
        <v>4</v>
      </c>
      <c r="B53" s="67">
        <v>11605.083984000001</v>
      </c>
      <c r="C53" s="67">
        <v>12181.030273</v>
      </c>
      <c r="D53" s="67">
        <v>11966.420898</v>
      </c>
      <c r="E53" s="67">
        <v>11937.287109000001</v>
      </c>
      <c r="F53" s="67">
        <v>11577.749023</v>
      </c>
      <c r="G53" s="67">
        <v>11308.371094</v>
      </c>
      <c r="H53" s="67">
        <v>11747.572265999999</v>
      </c>
      <c r="I53" s="67">
        <v>11756.333008</v>
      </c>
      <c r="J53" s="67">
        <v>11884.711914</v>
      </c>
      <c r="K53" s="67">
        <v>11761.122069999999</v>
      </c>
      <c r="L53" s="67">
        <v>11605.083984000001</v>
      </c>
      <c r="M53" s="67">
        <v>12181.030273</v>
      </c>
      <c r="N53" s="67">
        <v>11966.420898</v>
      </c>
      <c r="O53" s="67">
        <v>11937.287109000001</v>
      </c>
      <c r="P53" s="67">
        <v>11577.749023</v>
      </c>
    </row>
    <row r="54" spans="1:16" ht="13.9" x14ac:dyDescent="0.4">
      <c r="A54" s="41">
        <v>5</v>
      </c>
      <c r="B54" s="67">
        <v>10102.630859000001</v>
      </c>
      <c r="C54" s="67">
        <v>10598.864258</v>
      </c>
      <c r="D54" s="67">
        <v>10415.844727</v>
      </c>
      <c r="E54" s="67">
        <v>10377.453125</v>
      </c>
      <c r="F54" s="67">
        <v>10094.175781</v>
      </c>
      <c r="G54" s="67">
        <v>9871.9570309999999</v>
      </c>
      <c r="H54" s="67">
        <v>10248.007812</v>
      </c>
      <c r="I54" s="67">
        <v>10229.118164</v>
      </c>
      <c r="J54" s="67">
        <v>10345.128906</v>
      </c>
      <c r="K54" s="67">
        <v>10246.929688</v>
      </c>
      <c r="L54" s="67">
        <v>10102.630859000001</v>
      </c>
      <c r="M54" s="67">
        <v>10598.864258</v>
      </c>
      <c r="N54" s="67">
        <v>10415.844727</v>
      </c>
      <c r="O54" s="67">
        <v>10377.453125</v>
      </c>
      <c r="P54" s="67">
        <v>10094.175781</v>
      </c>
    </row>
    <row r="55" spans="1:16" ht="13.9" x14ac:dyDescent="0.4">
      <c r="A55" s="41">
        <v>6</v>
      </c>
      <c r="B55" s="67">
        <v>8843.9316409999992</v>
      </c>
      <c r="C55" s="67">
        <v>9242.5400389999995</v>
      </c>
      <c r="D55" s="67">
        <v>9055.0751949999994</v>
      </c>
      <c r="E55" s="67">
        <v>9047.7607420000004</v>
      </c>
      <c r="F55" s="67">
        <v>8822.1367190000001</v>
      </c>
      <c r="G55" s="67">
        <v>8621.2470699999994</v>
      </c>
      <c r="H55" s="67">
        <v>8934.8076170000004</v>
      </c>
      <c r="I55" s="67">
        <v>8912.1083980000003</v>
      </c>
      <c r="J55" s="67">
        <v>9038.9521480000003</v>
      </c>
      <c r="K55" s="67">
        <v>8926.8544920000004</v>
      </c>
      <c r="L55" s="67">
        <v>8843.9316409999992</v>
      </c>
      <c r="M55" s="67">
        <v>9242.5400389999995</v>
      </c>
      <c r="N55" s="67">
        <v>9055.0751949999994</v>
      </c>
      <c r="O55" s="67">
        <v>9047.7607420000004</v>
      </c>
      <c r="P55" s="67">
        <v>8822.1367190000001</v>
      </c>
    </row>
    <row r="56" spans="1:16" ht="13.9" x14ac:dyDescent="0.4">
      <c r="A56" s="41">
        <v>7</v>
      </c>
      <c r="B56" s="67">
        <v>7728.8276370000003</v>
      </c>
      <c r="C56" s="67">
        <v>8050.7226559999999</v>
      </c>
      <c r="D56" s="67">
        <v>7870.9316410000001</v>
      </c>
      <c r="E56" s="67">
        <v>7889.3974609999996</v>
      </c>
      <c r="F56" s="67">
        <v>7683.8974609999996</v>
      </c>
      <c r="G56" s="67">
        <v>7490.6547849999997</v>
      </c>
      <c r="H56" s="67">
        <v>7784.4931640000004</v>
      </c>
      <c r="I56" s="67">
        <v>7751.689453</v>
      </c>
      <c r="J56" s="67">
        <v>7887.5297849999997</v>
      </c>
      <c r="K56" s="67">
        <v>7776.9853519999997</v>
      </c>
      <c r="L56" s="67">
        <v>7728.8276370000003</v>
      </c>
      <c r="M56" s="67">
        <v>8050.7226559999999</v>
      </c>
      <c r="N56" s="67">
        <v>7870.9316410000001</v>
      </c>
      <c r="O56" s="67">
        <v>7889.3974609999996</v>
      </c>
      <c r="P56" s="67">
        <v>7683.8974609999996</v>
      </c>
    </row>
    <row r="57" spans="1:16" ht="13.9" x14ac:dyDescent="0.4">
      <c r="A57" s="41">
        <v>8</v>
      </c>
      <c r="B57" s="67">
        <v>6712.5</v>
      </c>
      <c r="C57" s="67">
        <v>6966.6079099999997</v>
      </c>
      <c r="D57" s="67">
        <v>6819.4057620000003</v>
      </c>
      <c r="E57" s="67">
        <v>6844.7304690000001</v>
      </c>
      <c r="F57" s="67">
        <v>6671.7153319999998</v>
      </c>
      <c r="G57" s="67">
        <v>6521.4233400000003</v>
      </c>
      <c r="H57" s="67">
        <v>6752.0688479999999</v>
      </c>
      <c r="I57" s="67">
        <v>6729.0048829999996</v>
      </c>
      <c r="J57" s="67">
        <v>6849.3247069999998</v>
      </c>
      <c r="K57" s="67">
        <v>6745.6953119999998</v>
      </c>
      <c r="L57" s="67">
        <v>6712.5</v>
      </c>
      <c r="M57" s="67">
        <v>6966.6079099999997</v>
      </c>
      <c r="N57" s="67">
        <v>6819.4057620000003</v>
      </c>
      <c r="O57" s="67">
        <v>6844.7304690000001</v>
      </c>
      <c r="P57" s="67">
        <v>6671.7153319999998</v>
      </c>
    </row>
    <row r="58" spans="1:16" ht="13.9" x14ac:dyDescent="0.4">
      <c r="A58" s="41">
        <v>9</v>
      </c>
      <c r="B58" s="67">
        <v>5831.0595700000003</v>
      </c>
      <c r="C58" s="67">
        <v>6010.96875</v>
      </c>
      <c r="D58" s="67">
        <v>5896.2358400000003</v>
      </c>
      <c r="E58" s="67">
        <v>5923.3808589999999</v>
      </c>
      <c r="F58" s="67">
        <v>5768.142578</v>
      </c>
      <c r="G58" s="67">
        <v>5642.8647460000002</v>
      </c>
      <c r="H58" s="67">
        <v>5853.1552730000003</v>
      </c>
      <c r="I58" s="67">
        <v>5831.0209960000002</v>
      </c>
      <c r="J58" s="67">
        <v>5943.6816410000001</v>
      </c>
      <c r="K58" s="67">
        <v>5848.1103519999997</v>
      </c>
      <c r="L58" s="67">
        <v>5831.0595700000003</v>
      </c>
      <c r="M58" s="67">
        <v>6010.96875</v>
      </c>
      <c r="N58" s="67">
        <v>5896.2358400000003</v>
      </c>
      <c r="O58" s="67">
        <v>5923.3808589999999</v>
      </c>
      <c r="P58" s="67">
        <v>5768.142578</v>
      </c>
    </row>
    <row r="59" spans="1:16" ht="13.9" x14ac:dyDescent="0.4">
      <c r="A59" s="41">
        <v>10</v>
      </c>
      <c r="B59" s="67">
        <v>5012.3896480000003</v>
      </c>
      <c r="C59" s="67">
        <v>5152.5961909999996</v>
      </c>
      <c r="D59" s="67">
        <v>5069.5058589999999</v>
      </c>
      <c r="E59" s="67">
        <v>5089.0219729999999</v>
      </c>
      <c r="F59" s="67">
        <v>4950.0458980000003</v>
      </c>
      <c r="G59" s="67">
        <v>4847.5380859999996</v>
      </c>
      <c r="H59" s="67">
        <v>5023.9936520000001</v>
      </c>
      <c r="I59" s="67">
        <v>5019.5278319999998</v>
      </c>
      <c r="J59" s="67">
        <v>5111.7822269999997</v>
      </c>
      <c r="K59" s="67">
        <v>5031.3344729999999</v>
      </c>
      <c r="L59" s="67">
        <v>5012.3896480000003</v>
      </c>
      <c r="M59" s="67">
        <v>5152.5961909999996</v>
      </c>
      <c r="N59" s="67">
        <v>5069.5058589999999</v>
      </c>
      <c r="O59" s="67">
        <v>5089.0219729999999</v>
      </c>
      <c r="P59" s="67">
        <v>4950.0458980000003</v>
      </c>
    </row>
    <row r="60" spans="1:16" ht="13.9" x14ac:dyDescent="0.4">
      <c r="A60" s="41">
        <v>11</v>
      </c>
      <c r="B60" s="67">
        <v>4265.1992190000001</v>
      </c>
      <c r="C60" s="67">
        <v>4375.4438479999999</v>
      </c>
      <c r="D60" s="67">
        <v>4300.263672</v>
      </c>
      <c r="E60" s="67">
        <v>4335.2709960000002</v>
      </c>
      <c r="F60" s="67">
        <v>4200.7607420000004</v>
      </c>
      <c r="G60" s="67">
        <v>4126.6206050000001</v>
      </c>
      <c r="H60" s="67">
        <v>4259.4750979999999</v>
      </c>
      <c r="I60" s="67">
        <v>4266.2875979999999</v>
      </c>
      <c r="J60" s="67">
        <v>4358.732422</v>
      </c>
      <c r="K60" s="67">
        <v>4284.4370120000003</v>
      </c>
      <c r="L60" s="67">
        <v>4265.1992190000001</v>
      </c>
      <c r="M60" s="67">
        <v>4375.4438479999999</v>
      </c>
      <c r="N60" s="67">
        <v>4300.263672</v>
      </c>
      <c r="O60" s="67">
        <v>4335.2709960000002</v>
      </c>
      <c r="P60" s="67">
        <v>4200.7607420000004</v>
      </c>
    </row>
    <row r="61" spans="1:16" ht="13.9" x14ac:dyDescent="0.4">
      <c r="A61" s="41">
        <v>12</v>
      </c>
      <c r="B61" s="67">
        <v>3582.6906739999999</v>
      </c>
      <c r="C61" s="67">
        <v>3679.4133299999999</v>
      </c>
      <c r="D61" s="67">
        <v>3615.3696289999998</v>
      </c>
      <c r="E61" s="67">
        <v>3637.5822750000002</v>
      </c>
      <c r="F61" s="67">
        <v>3531.0698240000002</v>
      </c>
      <c r="G61" s="67">
        <v>3467.3562010000001</v>
      </c>
      <c r="H61" s="67">
        <v>3590.938721</v>
      </c>
      <c r="I61" s="67">
        <v>3599.8344729999999</v>
      </c>
      <c r="J61" s="67">
        <v>3659.1003420000002</v>
      </c>
      <c r="K61" s="67">
        <v>3596.1945799999999</v>
      </c>
      <c r="L61" s="67">
        <v>3582.6906739999999</v>
      </c>
      <c r="M61" s="67">
        <v>3679.4133299999999</v>
      </c>
      <c r="N61" s="67">
        <v>3615.3696289999998</v>
      </c>
      <c r="O61" s="67">
        <v>3637.5822750000002</v>
      </c>
      <c r="P61" s="67">
        <v>3531.0698240000002</v>
      </c>
    </row>
    <row r="62" spans="1:16" ht="13.9" x14ac:dyDescent="0.4">
      <c r="A62" s="41">
        <v>13</v>
      </c>
      <c r="B62" s="67">
        <v>2960.9348140000002</v>
      </c>
      <c r="C62" s="67">
        <v>3056.6281739999999</v>
      </c>
      <c r="D62" s="67">
        <v>3009.4709469999998</v>
      </c>
      <c r="E62" s="67">
        <v>3018.9311520000001</v>
      </c>
      <c r="F62" s="67">
        <v>2916.4677729999999</v>
      </c>
      <c r="G62" s="67">
        <v>2871.2333979999999</v>
      </c>
      <c r="H62" s="67">
        <v>2975.158203</v>
      </c>
      <c r="I62" s="67">
        <v>2987.586182</v>
      </c>
      <c r="J62" s="67">
        <v>3031.3464359999998</v>
      </c>
      <c r="K62" s="67">
        <v>2977.9279790000001</v>
      </c>
      <c r="L62" s="67">
        <v>2960.9348140000002</v>
      </c>
      <c r="M62" s="67">
        <v>3056.6281739999999</v>
      </c>
      <c r="N62" s="67">
        <v>3009.4709469999998</v>
      </c>
      <c r="O62" s="67">
        <v>3018.9311520000001</v>
      </c>
      <c r="P62" s="67">
        <v>2916.4677729999999</v>
      </c>
    </row>
    <row r="63" spans="1:16" ht="13.9" x14ac:dyDescent="0.4">
      <c r="A63" s="41">
        <v>14</v>
      </c>
      <c r="B63" s="67">
        <v>2429.7763669999999</v>
      </c>
      <c r="C63" s="67">
        <v>2491.9277339999999</v>
      </c>
      <c r="D63" s="67">
        <v>2458.383789</v>
      </c>
      <c r="E63" s="67">
        <v>2456.6372070000002</v>
      </c>
      <c r="F63" s="67">
        <v>2362.0517580000001</v>
      </c>
      <c r="G63" s="67">
        <v>2343.5668949999999</v>
      </c>
      <c r="H63" s="67">
        <v>2421.6633299999999</v>
      </c>
      <c r="I63" s="67">
        <v>2430.530029</v>
      </c>
      <c r="J63" s="67">
        <v>2468.3020019999999</v>
      </c>
      <c r="K63" s="67">
        <v>2410.8010250000002</v>
      </c>
      <c r="L63" s="67">
        <v>2429.7763669999999</v>
      </c>
      <c r="M63" s="67">
        <v>2491.9277339999999</v>
      </c>
      <c r="N63" s="67">
        <v>2458.383789</v>
      </c>
      <c r="O63" s="67">
        <v>2456.6372070000002</v>
      </c>
      <c r="P63" s="67">
        <v>2362.0517580000001</v>
      </c>
    </row>
    <row r="64" spans="1:16" ht="13.9" x14ac:dyDescent="0.4">
      <c r="A64" s="41">
        <v>15</v>
      </c>
      <c r="B64" s="67">
        <v>1954.059814</v>
      </c>
      <c r="C64" s="67">
        <v>1998.9963379999999</v>
      </c>
      <c r="D64" s="67">
        <v>1975.6870120000001</v>
      </c>
      <c r="E64" s="67">
        <v>1958.2601320000001</v>
      </c>
      <c r="F64" s="67">
        <v>1877.623779</v>
      </c>
      <c r="G64" s="67">
        <v>1886.1635739999999</v>
      </c>
      <c r="H64" s="67">
        <v>1927.7030030000001</v>
      </c>
      <c r="I64" s="67">
        <v>1929.1597899999999</v>
      </c>
      <c r="J64" s="67">
        <v>1973.2080080000001</v>
      </c>
      <c r="K64" s="67">
        <v>1921.9458010000001</v>
      </c>
      <c r="L64" s="67">
        <v>1954.059814</v>
      </c>
      <c r="M64" s="67">
        <v>1998.9963379999999</v>
      </c>
      <c r="N64" s="67">
        <v>1975.6870120000001</v>
      </c>
      <c r="O64" s="67">
        <v>1958.2601320000001</v>
      </c>
      <c r="P64" s="67">
        <v>1877.623779</v>
      </c>
    </row>
    <row r="65" spans="1:16" ht="13.9" x14ac:dyDescent="0.4">
      <c r="A65" s="41">
        <v>16</v>
      </c>
      <c r="B65" s="67">
        <v>1546.317871</v>
      </c>
      <c r="C65" s="67">
        <v>1571.92688</v>
      </c>
      <c r="D65" s="67">
        <v>1548.495361</v>
      </c>
      <c r="E65" s="67">
        <v>1528.611328</v>
      </c>
      <c r="F65" s="67">
        <v>1466.1247559999999</v>
      </c>
      <c r="G65" s="67">
        <v>1488.8192140000001</v>
      </c>
      <c r="H65" s="67">
        <v>1504.7714840000001</v>
      </c>
      <c r="I65" s="67">
        <v>1502.8272710000001</v>
      </c>
      <c r="J65" s="67">
        <v>1538.20874</v>
      </c>
      <c r="K65" s="67">
        <v>1494.5756839999999</v>
      </c>
      <c r="L65" s="67">
        <v>1546.317871</v>
      </c>
      <c r="M65" s="67">
        <v>1571.92688</v>
      </c>
      <c r="N65" s="67">
        <v>1548.495361</v>
      </c>
      <c r="O65" s="67">
        <v>1528.611328</v>
      </c>
      <c r="P65" s="67">
        <v>1466.1247559999999</v>
      </c>
    </row>
    <row r="66" spans="1:16" ht="13.9" x14ac:dyDescent="0.4">
      <c r="A66" s="41">
        <v>17</v>
      </c>
      <c r="B66" s="67">
        <v>1201.4525149999999</v>
      </c>
      <c r="C66" s="67">
        <v>1218.989014</v>
      </c>
      <c r="D66" s="67">
        <v>1194.8481449999999</v>
      </c>
      <c r="E66" s="67">
        <v>1180.8470460000001</v>
      </c>
      <c r="F66" s="67">
        <v>1124.3198239999999</v>
      </c>
      <c r="G66" s="67">
        <v>1156.5295410000001</v>
      </c>
      <c r="H66" s="67">
        <v>1159.0582280000001</v>
      </c>
      <c r="I66" s="67">
        <v>1158.246216</v>
      </c>
      <c r="J66" s="67">
        <v>1187.6561280000001</v>
      </c>
      <c r="K66" s="67">
        <v>1157.871582</v>
      </c>
      <c r="L66" s="67">
        <v>1201.4525149999999</v>
      </c>
      <c r="M66" s="67">
        <v>1218.989014</v>
      </c>
      <c r="N66" s="67">
        <v>1194.8481449999999</v>
      </c>
      <c r="O66" s="67">
        <v>1180.8470460000001</v>
      </c>
      <c r="P66" s="67">
        <v>1124.3198239999999</v>
      </c>
    </row>
    <row r="67" spans="1:16" ht="13.9" x14ac:dyDescent="0.4">
      <c r="A67" s="41">
        <v>18</v>
      </c>
      <c r="B67" s="67">
        <v>919.14520300000004</v>
      </c>
      <c r="C67" s="67">
        <v>927.28619400000002</v>
      </c>
      <c r="D67" s="67">
        <v>907.60882600000002</v>
      </c>
      <c r="E67" s="67">
        <v>891.30535899999995</v>
      </c>
      <c r="F67" s="67">
        <v>860.73687700000005</v>
      </c>
      <c r="G67" s="67">
        <v>885.68054199999995</v>
      </c>
      <c r="H67" s="67">
        <v>897.34167500000001</v>
      </c>
      <c r="I67" s="67">
        <v>884.45739700000001</v>
      </c>
      <c r="J67" s="67">
        <v>900.83154300000001</v>
      </c>
      <c r="K67" s="67">
        <v>885.09252900000001</v>
      </c>
      <c r="L67" s="67">
        <v>919.14520300000004</v>
      </c>
      <c r="M67" s="67">
        <v>927.28619400000002</v>
      </c>
      <c r="N67" s="67">
        <v>907.60882600000002</v>
      </c>
      <c r="O67" s="67">
        <v>891.30535899999995</v>
      </c>
      <c r="P67" s="67">
        <v>860.73687700000005</v>
      </c>
    </row>
    <row r="68" spans="1:16" ht="13.9" x14ac:dyDescent="0.4">
      <c r="A68" s="41">
        <v>19</v>
      </c>
      <c r="B68" s="67">
        <v>703.00695800000005</v>
      </c>
      <c r="C68" s="67">
        <v>704.49731399999996</v>
      </c>
      <c r="D68" s="67">
        <v>686.28192100000001</v>
      </c>
      <c r="E68" s="67">
        <v>678.54278599999998</v>
      </c>
      <c r="F68" s="67">
        <v>644.79296899999997</v>
      </c>
      <c r="G68" s="67">
        <v>676.272156</v>
      </c>
      <c r="H68" s="67">
        <v>681.209473</v>
      </c>
      <c r="I68" s="67">
        <v>674.25317399999994</v>
      </c>
      <c r="J68" s="67">
        <v>681.85900900000001</v>
      </c>
      <c r="K68" s="67">
        <v>673.31054700000004</v>
      </c>
      <c r="L68" s="67">
        <v>703.00695800000005</v>
      </c>
      <c r="M68" s="67">
        <v>704.49731399999996</v>
      </c>
      <c r="N68" s="67">
        <v>686.28192100000001</v>
      </c>
      <c r="O68" s="67">
        <v>678.54278599999998</v>
      </c>
      <c r="P68" s="67">
        <v>644.79296899999997</v>
      </c>
    </row>
    <row r="69" spans="1:16" ht="13.9" x14ac:dyDescent="0.4">
      <c r="A69" s="41">
        <v>20</v>
      </c>
      <c r="B69" s="67">
        <v>535.19445800000005</v>
      </c>
      <c r="C69" s="67">
        <v>534.77209500000004</v>
      </c>
      <c r="D69" s="67">
        <v>518.87432899999999</v>
      </c>
      <c r="E69" s="67">
        <v>519.48632799999996</v>
      </c>
      <c r="F69" s="67">
        <v>486.97650099999998</v>
      </c>
      <c r="G69" s="67">
        <v>513.95404099999996</v>
      </c>
      <c r="H69" s="67">
        <v>521.46813999999995</v>
      </c>
      <c r="I69" s="67">
        <v>507.88668799999999</v>
      </c>
      <c r="J69" s="67">
        <v>515.518372</v>
      </c>
      <c r="K69" s="67">
        <v>509.74066199999999</v>
      </c>
      <c r="L69" s="67">
        <v>535.19445800000005</v>
      </c>
      <c r="M69" s="67">
        <v>534.77209500000004</v>
      </c>
      <c r="N69" s="67">
        <v>518.87432899999999</v>
      </c>
      <c r="O69" s="67">
        <v>519.48632799999996</v>
      </c>
      <c r="P69" s="67">
        <v>486.97650099999998</v>
      </c>
    </row>
    <row r="70" spans="1:16" ht="13.9" x14ac:dyDescent="0.4">
      <c r="A70" s="41">
        <v>21</v>
      </c>
      <c r="B70" s="67">
        <v>406.78601099999997</v>
      </c>
      <c r="C70" s="67">
        <v>407.57669099999998</v>
      </c>
      <c r="D70" s="67">
        <v>399.240814</v>
      </c>
      <c r="E70" s="67">
        <v>394.597534</v>
      </c>
      <c r="F70" s="67">
        <v>367.87899800000002</v>
      </c>
      <c r="G70" s="67">
        <v>389.90353399999998</v>
      </c>
      <c r="H70" s="67">
        <v>400.82702599999999</v>
      </c>
      <c r="I70" s="67">
        <v>386.24664300000001</v>
      </c>
      <c r="J70" s="67">
        <v>392.97232100000002</v>
      </c>
      <c r="K70" s="67">
        <v>386.282532</v>
      </c>
      <c r="L70" s="67">
        <v>406.78601099999997</v>
      </c>
      <c r="M70" s="67">
        <v>407.57669099999998</v>
      </c>
      <c r="N70" s="67">
        <v>399.240814</v>
      </c>
      <c r="O70" s="67">
        <v>394.597534</v>
      </c>
      <c r="P70" s="67">
        <v>367.87899800000002</v>
      </c>
    </row>
    <row r="71" spans="1:16" ht="13.9" x14ac:dyDescent="0.4">
      <c r="A71" s="41">
        <v>22</v>
      </c>
      <c r="B71" s="67">
        <v>314.382904</v>
      </c>
      <c r="C71" s="67">
        <v>312.573914</v>
      </c>
      <c r="D71" s="67">
        <v>306.864349</v>
      </c>
      <c r="E71" s="67">
        <v>303.38549799999998</v>
      </c>
      <c r="F71" s="67">
        <v>280.05068999999997</v>
      </c>
      <c r="G71" s="67">
        <v>303.37640399999998</v>
      </c>
      <c r="H71" s="67">
        <v>315.55304000000001</v>
      </c>
      <c r="I71" s="67">
        <v>297.87988300000001</v>
      </c>
      <c r="J71" s="67">
        <v>296.93859900000001</v>
      </c>
      <c r="K71" s="67">
        <v>293.37170400000002</v>
      </c>
      <c r="L71" s="67">
        <v>314.382904</v>
      </c>
      <c r="M71" s="67">
        <v>312.573914</v>
      </c>
      <c r="N71" s="67">
        <v>306.864349</v>
      </c>
      <c r="O71" s="67">
        <v>303.38549799999998</v>
      </c>
      <c r="P71" s="67">
        <v>280.05068999999997</v>
      </c>
    </row>
    <row r="72" spans="1:16" ht="13.9" x14ac:dyDescent="0.4">
      <c r="A72" s="41">
        <v>23</v>
      </c>
      <c r="B72" s="67">
        <v>240.88528400000001</v>
      </c>
      <c r="C72" s="67">
        <v>238.63909899999999</v>
      </c>
      <c r="D72" s="67">
        <v>233.31999200000001</v>
      </c>
      <c r="E72" s="67">
        <v>231.22099299999999</v>
      </c>
      <c r="F72" s="67">
        <v>214.473557</v>
      </c>
      <c r="G72" s="67">
        <v>234.17596399999999</v>
      </c>
      <c r="H72" s="67">
        <v>242.166336</v>
      </c>
      <c r="I72" s="67">
        <v>228.47001599999999</v>
      </c>
      <c r="J72" s="67">
        <v>232.13056900000001</v>
      </c>
      <c r="K72" s="67">
        <v>225.44532799999999</v>
      </c>
      <c r="L72" s="67">
        <v>240.88528400000001</v>
      </c>
      <c r="M72" s="67">
        <v>238.63909899999999</v>
      </c>
      <c r="N72" s="67">
        <v>233.31999200000001</v>
      </c>
      <c r="O72" s="67">
        <v>231.22099299999999</v>
      </c>
      <c r="P72" s="67">
        <v>214.473557</v>
      </c>
    </row>
    <row r="73" spans="1:16" ht="13.9" x14ac:dyDescent="0.4">
      <c r="A73" s="41">
        <v>24</v>
      </c>
      <c r="B73" s="67">
        <v>184.275116</v>
      </c>
      <c r="C73" s="67">
        <v>183.409515</v>
      </c>
      <c r="D73" s="67">
        <v>176.72453300000001</v>
      </c>
      <c r="E73" s="67">
        <v>177.02397199999999</v>
      </c>
      <c r="F73" s="67">
        <v>159.48284899999999</v>
      </c>
      <c r="G73" s="67">
        <v>181.87702899999999</v>
      </c>
      <c r="H73" s="67">
        <v>184.89129600000001</v>
      </c>
      <c r="I73" s="67">
        <v>170.315811</v>
      </c>
      <c r="J73" s="67">
        <v>179.400406</v>
      </c>
      <c r="K73" s="67">
        <v>171.377487</v>
      </c>
      <c r="L73" s="67">
        <v>184.275116</v>
      </c>
      <c r="M73" s="67">
        <v>183.409515</v>
      </c>
      <c r="N73" s="67">
        <v>176.72453300000001</v>
      </c>
      <c r="O73" s="67">
        <v>177.02397199999999</v>
      </c>
      <c r="P73" s="67">
        <v>159.48284899999999</v>
      </c>
    </row>
    <row r="74" spans="1:16" ht="13.9" x14ac:dyDescent="0.4">
      <c r="A74" s="41">
        <v>25</v>
      </c>
      <c r="B74" s="67">
        <v>138.817047</v>
      </c>
      <c r="C74" s="67">
        <v>138.12321499999999</v>
      </c>
      <c r="D74" s="67">
        <v>132.915085</v>
      </c>
      <c r="E74" s="67">
        <v>137.35803200000001</v>
      </c>
      <c r="F74" s="67">
        <v>118.705429</v>
      </c>
      <c r="G74" s="67">
        <v>141.27093500000001</v>
      </c>
      <c r="H74" s="67">
        <v>141.27188100000001</v>
      </c>
      <c r="I74" s="67">
        <v>128.057739</v>
      </c>
      <c r="J74" s="67">
        <v>135.114914</v>
      </c>
      <c r="K74" s="67">
        <v>126.48361199999999</v>
      </c>
      <c r="L74" s="67">
        <v>138.817047</v>
      </c>
      <c r="M74" s="67">
        <v>138.12321499999999</v>
      </c>
      <c r="N74" s="67">
        <v>132.915085</v>
      </c>
      <c r="O74" s="67">
        <v>137.35803200000001</v>
      </c>
      <c r="P74" s="67">
        <v>118.705429</v>
      </c>
    </row>
    <row r="75" spans="1:16" ht="13.9" x14ac:dyDescent="0.4">
      <c r="A75" s="41">
        <v>26</v>
      </c>
      <c r="B75" s="67">
        <v>104.086235</v>
      </c>
      <c r="C75" s="67">
        <v>104.94607499999999</v>
      </c>
      <c r="D75" s="67">
        <v>101.09871699999999</v>
      </c>
      <c r="E75" s="67">
        <v>99.164840999999996</v>
      </c>
      <c r="F75" s="67">
        <v>86.455978000000002</v>
      </c>
      <c r="G75" s="67">
        <v>104.491592</v>
      </c>
      <c r="H75" s="67">
        <v>106.199516</v>
      </c>
      <c r="I75" s="67">
        <v>95.080650000000006</v>
      </c>
      <c r="J75" s="67">
        <v>102.121742</v>
      </c>
      <c r="K75" s="67">
        <v>94.179542999999995</v>
      </c>
      <c r="L75" s="67">
        <v>104.086235</v>
      </c>
      <c r="M75" s="67">
        <v>104.94607499999999</v>
      </c>
      <c r="N75" s="67">
        <v>101.09871699999999</v>
      </c>
      <c r="O75" s="67">
        <v>99.164840999999996</v>
      </c>
      <c r="P75" s="67">
        <v>86.455978000000002</v>
      </c>
    </row>
    <row r="76" spans="1:16" ht="13.9" x14ac:dyDescent="0.4">
      <c r="A76" s="41">
        <v>27</v>
      </c>
      <c r="B76" s="67">
        <v>80.613731000000001</v>
      </c>
      <c r="C76" s="67">
        <v>77.971191000000005</v>
      </c>
      <c r="D76" s="67">
        <v>73.841712999999999</v>
      </c>
      <c r="E76" s="67">
        <v>72.360878</v>
      </c>
      <c r="F76" s="67">
        <v>63.028561000000003</v>
      </c>
      <c r="G76" s="67">
        <v>75.897246999999993</v>
      </c>
      <c r="H76" s="67">
        <v>79.772437999999994</v>
      </c>
      <c r="I76" s="67">
        <v>71.68074</v>
      </c>
      <c r="J76" s="67">
        <v>76.002144000000001</v>
      </c>
      <c r="K76" s="67">
        <v>68.023978999999997</v>
      </c>
      <c r="L76" s="67">
        <v>80.613731000000001</v>
      </c>
      <c r="M76" s="67">
        <v>77.971191000000005</v>
      </c>
      <c r="N76" s="67">
        <v>73.841712999999999</v>
      </c>
      <c r="O76" s="67">
        <v>72.360878</v>
      </c>
      <c r="P76" s="67">
        <v>63.028561000000003</v>
      </c>
    </row>
    <row r="77" spans="1:16" ht="13.9" x14ac:dyDescent="0.4">
      <c r="A77" s="41">
        <v>28</v>
      </c>
      <c r="B77" s="67">
        <v>57.353642000000001</v>
      </c>
      <c r="C77" s="67">
        <v>56.410975999999998</v>
      </c>
      <c r="D77" s="67">
        <v>53.820202000000002</v>
      </c>
      <c r="E77" s="67">
        <v>50.956982000000004</v>
      </c>
      <c r="F77" s="67">
        <v>44.894371</v>
      </c>
      <c r="G77" s="67">
        <v>56.869788999999997</v>
      </c>
      <c r="H77" s="67">
        <v>59.043396000000001</v>
      </c>
      <c r="I77" s="67">
        <v>53.809921000000003</v>
      </c>
      <c r="J77" s="67">
        <v>53.515720000000002</v>
      </c>
      <c r="K77" s="67">
        <v>49.285666999999997</v>
      </c>
      <c r="L77" s="67">
        <v>57.353642000000001</v>
      </c>
      <c r="M77" s="67">
        <v>56.410975999999998</v>
      </c>
      <c r="N77" s="67">
        <v>53.820202000000002</v>
      </c>
      <c r="O77" s="67">
        <v>50.956982000000004</v>
      </c>
      <c r="P77" s="67">
        <v>44.894371</v>
      </c>
    </row>
    <row r="78" spans="1:16" ht="13.9" x14ac:dyDescent="0.4">
      <c r="A78" s="41">
        <v>29</v>
      </c>
      <c r="B78" s="67">
        <v>40.997230999999999</v>
      </c>
      <c r="C78" s="67">
        <v>39.674736000000003</v>
      </c>
      <c r="D78" s="67">
        <v>39.844791000000001</v>
      </c>
      <c r="E78" s="67">
        <v>34.560420999999998</v>
      </c>
      <c r="F78" s="67">
        <v>32.445495999999999</v>
      </c>
      <c r="G78" s="67">
        <v>39.436805999999997</v>
      </c>
      <c r="H78" s="67">
        <v>45.093040000000002</v>
      </c>
      <c r="I78" s="67">
        <v>40.678325999999998</v>
      </c>
      <c r="J78" s="67">
        <v>39.179397999999999</v>
      </c>
      <c r="K78" s="67">
        <v>36.403075999999999</v>
      </c>
      <c r="L78" s="67">
        <v>40.997230999999999</v>
      </c>
      <c r="M78" s="67">
        <v>39.674736000000003</v>
      </c>
      <c r="N78" s="67">
        <v>39.844791000000001</v>
      </c>
      <c r="O78" s="67">
        <v>34.560420999999998</v>
      </c>
      <c r="P78" s="67">
        <v>32.445495999999999</v>
      </c>
    </row>
    <row r="79" spans="1:16" ht="13.9" x14ac:dyDescent="0.4">
      <c r="A79" s="41">
        <v>30</v>
      </c>
      <c r="B79" s="67">
        <v>28.251978000000001</v>
      </c>
      <c r="C79" s="67">
        <v>27.171779999999998</v>
      </c>
      <c r="D79" s="67">
        <v>27.752590000000001</v>
      </c>
      <c r="E79" s="67">
        <v>24.840302000000001</v>
      </c>
      <c r="F79" s="67">
        <v>21.663005999999999</v>
      </c>
      <c r="G79" s="67">
        <v>26.680965</v>
      </c>
      <c r="H79" s="67">
        <v>32.223351000000001</v>
      </c>
      <c r="I79" s="67">
        <v>29.126472</v>
      </c>
      <c r="J79" s="67">
        <v>27.985285000000001</v>
      </c>
      <c r="K79" s="67">
        <v>25.179608999999999</v>
      </c>
      <c r="L79" s="67">
        <v>28.251978000000001</v>
      </c>
      <c r="M79" s="67">
        <v>27.171779999999998</v>
      </c>
      <c r="N79" s="67">
        <v>27.752590000000001</v>
      </c>
      <c r="O79" s="67">
        <v>24.840302000000001</v>
      </c>
      <c r="P79" s="67">
        <v>21.663005999999999</v>
      </c>
    </row>
    <row r="80" spans="1:16" ht="13.9" x14ac:dyDescent="0.4">
      <c r="A80" s="41">
        <v>38</v>
      </c>
      <c r="B80" s="67">
        <v>19.011669000000001</v>
      </c>
      <c r="C80" s="67">
        <v>18.508313999999999</v>
      </c>
      <c r="D80" s="67">
        <v>17.741834999999998</v>
      </c>
      <c r="E80" s="67">
        <v>17.182027999999999</v>
      </c>
      <c r="F80" s="67">
        <v>14.507351999999999</v>
      </c>
      <c r="G80" s="67">
        <v>17.964476000000001</v>
      </c>
      <c r="H80" s="67">
        <v>23.578060000000001</v>
      </c>
      <c r="I80" s="67">
        <v>20.042963</v>
      </c>
      <c r="J80" s="67">
        <v>18.853245000000001</v>
      </c>
      <c r="K80" s="67">
        <v>17.469574000000001</v>
      </c>
      <c r="L80" s="67">
        <v>19.011669000000001</v>
      </c>
      <c r="M80" s="67">
        <v>18.508313999999999</v>
      </c>
      <c r="N80" s="67">
        <v>17.741834999999998</v>
      </c>
      <c r="O80" s="67">
        <v>17.182027999999999</v>
      </c>
      <c r="P80" s="67">
        <v>14.507351999999999</v>
      </c>
    </row>
    <row r="81" spans="1:32" ht="13.9" x14ac:dyDescent="0.4">
      <c r="A81" s="41">
        <v>50</v>
      </c>
      <c r="B81" s="67">
        <v>12.639042999999999</v>
      </c>
      <c r="C81" s="67">
        <v>12.404508</v>
      </c>
      <c r="D81" s="67">
        <v>12.885130999999999</v>
      </c>
      <c r="E81" s="67">
        <v>12.861974999999999</v>
      </c>
      <c r="F81" s="67">
        <v>8.5279699999999998</v>
      </c>
      <c r="G81" s="67">
        <v>12.118048999999999</v>
      </c>
      <c r="H81" s="67">
        <v>16.209917000000001</v>
      </c>
      <c r="I81" s="67">
        <v>14.908804</v>
      </c>
      <c r="J81" s="67">
        <v>12.961605</v>
      </c>
      <c r="K81" s="67">
        <v>11.516254999999999</v>
      </c>
      <c r="L81" s="67">
        <v>12.639042999999999</v>
      </c>
      <c r="M81" s="67">
        <v>12.404508</v>
      </c>
      <c r="N81" s="67">
        <v>12.885130999999999</v>
      </c>
      <c r="O81" s="67">
        <v>12.861974999999999</v>
      </c>
      <c r="P81" s="67">
        <v>8.5279699999999998</v>
      </c>
    </row>
    <row r="82" spans="1:32" ht="13.9" x14ac:dyDescent="0.4">
      <c r="A82" s="41">
        <v>70</v>
      </c>
      <c r="B82" s="67">
        <v>9.3465190000000007</v>
      </c>
      <c r="C82" s="67">
        <v>7.7774299999999998</v>
      </c>
      <c r="D82" s="67">
        <v>7.8301949999999998</v>
      </c>
      <c r="E82" s="67">
        <v>8.6401050000000001</v>
      </c>
      <c r="F82" s="67">
        <v>4.7050869999999998</v>
      </c>
      <c r="G82" s="67">
        <v>7.6535039999999999</v>
      </c>
      <c r="H82" s="67">
        <v>12.083755999999999</v>
      </c>
      <c r="I82" s="67">
        <v>9.9721150000000005</v>
      </c>
      <c r="J82" s="67">
        <v>8.3464880000000008</v>
      </c>
      <c r="K82" s="67">
        <v>7.6124400000000003</v>
      </c>
      <c r="L82" s="67">
        <v>9.3465190000000007</v>
      </c>
      <c r="M82" s="67">
        <v>7.7774299999999998</v>
      </c>
      <c r="N82" s="67">
        <v>7.8301949999999998</v>
      </c>
      <c r="O82" s="67">
        <v>8.6401050000000001</v>
      </c>
      <c r="P82" s="67">
        <v>4.7050869999999998</v>
      </c>
    </row>
    <row r="85" spans="1:32" ht="13.15" x14ac:dyDescent="0.4">
      <c r="B85" s="41" t="s">
        <v>112</v>
      </c>
    </row>
    <row r="86" spans="1:32" ht="13.5" x14ac:dyDescent="0.35">
      <c r="A86">
        <v>1</v>
      </c>
      <c r="B86" s="67">
        <v>9.4152699999999996</v>
      </c>
      <c r="C86" s="67">
        <v>11605.083984000001</v>
      </c>
      <c r="D86" s="67">
        <v>10102.630859000001</v>
      </c>
      <c r="E86" s="67">
        <v>8843.9316409999992</v>
      </c>
      <c r="F86" s="67">
        <v>7728.8276370000003</v>
      </c>
      <c r="G86" s="67">
        <v>6712.5</v>
      </c>
      <c r="H86" s="67">
        <v>5831.0595700000003</v>
      </c>
      <c r="I86" s="67">
        <v>5012.3896480000003</v>
      </c>
      <c r="J86" s="67">
        <v>4265.1992190000001</v>
      </c>
      <c r="K86" s="67">
        <v>3582.6906739999999</v>
      </c>
      <c r="L86" s="67">
        <v>2960.9348140000002</v>
      </c>
      <c r="M86" s="67">
        <v>2429.7763669999999</v>
      </c>
      <c r="N86" s="67">
        <v>1954.059814</v>
      </c>
      <c r="O86" s="67">
        <v>1546.317871</v>
      </c>
      <c r="P86" s="67">
        <v>1201.4525149999999</v>
      </c>
      <c r="Q86" s="67">
        <v>919.14520300000004</v>
      </c>
      <c r="R86" s="67">
        <v>703.00695800000005</v>
      </c>
      <c r="S86" s="67">
        <v>535.19445800000005</v>
      </c>
      <c r="T86" s="67">
        <v>406.78601099999997</v>
      </c>
      <c r="U86" s="67">
        <v>314.382904</v>
      </c>
      <c r="V86" s="67">
        <v>240.88528400000001</v>
      </c>
      <c r="W86" s="67">
        <v>184.275116</v>
      </c>
      <c r="X86" s="67">
        <v>138.817047</v>
      </c>
      <c r="Y86" s="67">
        <v>104.086235</v>
      </c>
      <c r="Z86" s="67">
        <v>80.613731000000001</v>
      </c>
      <c r="AA86" s="67">
        <v>57.353642000000001</v>
      </c>
      <c r="AB86" s="67">
        <v>40.997230999999999</v>
      </c>
      <c r="AC86" s="67">
        <v>28.251978000000001</v>
      </c>
      <c r="AD86" s="67">
        <v>19.011669000000001</v>
      </c>
      <c r="AE86" s="67">
        <v>12.639042999999999</v>
      </c>
      <c r="AF86" s="67">
        <v>9.3465190000000007</v>
      </c>
    </row>
    <row r="87" spans="1:32" ht="13.5" x14ac:dyDescent="0.35">
      <c r="A87">
        <v>2</v>
      </c>
      <c r="B87" s="67">
        <v>10.157598</v>
      </c>
      <c r="C87" s="67">
        <v>12181.030273</v>
      </c>
      <c r="D87" s="67">
        <v>10598.864258</v>
      </c>
      <c r="E87" s="67">
        <v>9242.5400389999995</v>
      </c>
      <c r="F87" s="67">
        <v>8050.7226559999999</v>
      </c>
      <c r="G87" s="67">
        <v>6966.6079099999997</v>
      </c>
      <c r="H87" s="67">
        <v>6010.96875</v>
      </c>
      <c r="I87" s="67">
        <v>5152.5961909999996</v>
      </c>
      <c r="J87" s="67">
        <v>4375.4438479999999</v>
      </c>
      <c r="K87" s="67">
        <v>3679.4133299999999</v>
      </c>
      <c r="L87" s="67">
        <v>3056.6281739999999</v>
      </c>
      <c r="M87" s="67">
        <v>2491.9277339999999</v>
      </c>
      <c r="N87" s="67">
        <v>1998.9963379999999</v>
      </c>
      <c r="O87" s="67">
        <v>1571.92688</v>
      </c>
      <c r="P87" s="67">
        <v>1218.989014</v>
      </c>
      <c r="Q87" s="67">
        <v>927.28619400000002</v>
      </c>
      <c r="R87" s="67">
        <v>704.49731399999996</v>
      </c>
      <c r="S87" s="67">
        <v>534.77209500000004</v>
      </c>
      <c r="T87" s="67">
        <v>407.57669099999998</v>
      </c>
      <c r="U87" s="67">
        <v>312.573914</v>
      </c>
      <c r="V87" s="67">
        <v>238.63909899999999</v>
      </c>
      <c r="W87" s="67">
        <v>183.409515</v>
      </c>
      <c r="X87" s="67">
        <v>138.12321499999999</v>
      </c>
      <c r="Y87" s="67">
        <v>104.94607499999999</v>
      </c>
      <c r="Z87" s="67">
        <v>77.971191000000005</v>
      </c>
      <c r="AA87" s="67">
        <v>56.410975999999998</v>
      </c>
      <c r="AB87" s="67">
        <v>39.674736000000003</v>
      </c>
      <c r="AC87" s="67">
        <v>27.171779999999998</v>
      </c>
      <c r="AD87" s="67">
        <v>18.508313999999999</v>
      </c>
      <c r="AE87" s="67">
        <v>12.404508</v>
      </c>
      <c r="AF87" s="67">
        <v>7.7774299999999998</v>
      </c>
    </row>
    <row r="88" spans="1:32" ht="13.5" x14ac:dyDescent="0.35">
      <c r="A88">
        <v>3</v>
      </c>
      <c r="B88" s="67">
        <v>10.089149000000001</v>
      </c>
      <c r="C88" s="67">
        <v>11966.420898</v>
      </c>
      <c r="D88" s="67">
        <v>10415.844727</v>
      </c>
      <c r="E88" s="67">
        <v>9055.0751949999994</v>
      </c>
      <c r="F88" s="67">
        <v>7870.9316410000001</v>
      </c>
      <c r="G88" s="67">
        <v>6819.4057620000003</v>
      </c>
      <c r="H88" s="67">
        <v>5896.2358400000003</v>
      </c>
      <c r="I88" s="67">
        <v>5069.5058589999999</v>
      </c>
      <c r="J88" s="67">
        <v>4300.263672</v>
      </c>
      <c r="K88" s="67">
        <v>3615.3696289999998</v>
      </c>
      <c r="L88" s="67">
        <v>3009.4709469999998</v>
      </c>
      <c r="M88" s="67">
        <v>2458.383789</v>
      </c>
      <c r="N88" s="67">
        <v>1975.6870120000001</v>
      </c>
      <c r="O88" s="67">
        <v>1548.495361</v>
      </c>
      <c r="P88" s="67">
        <v>1194.8481449999999</v>
      </c>
      <c r="Q88" s="67">
        <v>907.60882600000002</v>
      </c>
      <c r="R88" s="67">
        <v>686.28192100000001</v>
      </c>
      <c r="S88" s="67">
        <v>518.87432899999999</v>
      </c>
      <c r="T88" s="67">
        <v>399.240814</v>
      </c>
      <c r="U88" s="67">
        <v>306.864349</v>
      </c>
      <c r="V88" s="67">
        <v>233.31999200000001</v>
      </c>
      <c r="W88" s="67">
        <v>176.72453300000001</v>
      </c>
      <c r="X88" s="67">
        <v>132.915085</v>
      </c>
      <c r="Y88" s="67">
        <v>101.09871699999999</v>
      </c>
      <c r="Z88" s="67">
        <v>73.841712999999999</v>
      </c>
      <c r="AA88" s="67">
        <v>53.820202000000002</v>
      </c>
      <c r="AB88" s="67">
        <v>39.844791000000001</v>
      </c>
      <c r="AC88" s="67">
        <v>27.752590000000001</v>
      </c>
      <c r="AD88" s="67">
        <v>17.741834999999998</v>
      </c>
      <c r="AE88" s="67">
        <v>12.885130999999999</v>
      </c>
      <c r="AF88" s="67">
        <v>7.8301949999999998</v>
      </c>
    </row>
    <row r="89" spans="1:32" ht="13.5" x14ac:dyDescent="0.35">
      <c r="A89">
        <v>4</v>
      </c>
      <c r="B89" s="67">
        <v>10.185060999999999</v>
      </c>
      <c r="C89" s="67">
        <v>11937.287109000001</v>
      </c>
      <c r="D89" s="67">
        <v>10377.453125</v>
      </c>
      <c r="E89" s="67">
        <v>9047.7607420000004</v>
      </c>
      <c r="F89" s="67">
        <v>7889.3974609999996</v>
      </c>
      <c r="G89" s="67">
        <v>6844.7304690000001</v>
      </c>
      <c r="H89" s="67">
        <v>5923.3808589999999</v>
      </c>
      <c r="I89" s="67">
        <v>5089.0219729999999</v>
      </c>
      <c r="J89" s="67">
        <v>4335.2709960000002</v>
      </c>
      <c r="K89" s="67">
        <v>3637.5822750000002</v>
      </c>
      <c r="L89" s="67">
        <v>3018.9311520000001</v>
      </c>
      <c r="M89" s="67">
        <v>2456.6372070000002</v>
      </c>
      <c r="N89" s="67">
        <v>1958.2601320000001</v>
      </c>
      <c r="O89" s="67">
        <v>1528.611328</v>
      </c>
      <c r="P89" s="67">
        <v>1180.8470460000001</v>
      </c>
      <c r="Q89" s="67">
        <v>891.30535899999995</v>
      </c>
      <c r="R89" s="67">
        <v>678.54278599999998</v>
      </c>
      <c r="S89" s="67">
        <v>519.48632799999996</v>
      </c>
      <c r="T89" s="67">
        <v>394.597534</v>
      </c>
      <c r="U89" s="67">
        <v>303.38549799999998</v>
      </c>
      <c r="V89" s="67">
        <v>231.22099299999999</v>
      </c>
      <c r="W89" s="67">
        <v>177.02397199999999</v>
      </c>
      <c r="X89" s="67">
        <v>137.35803200000001</v>
      </c>
      <c r="Y89" s="67">
        <v>99.164840999999996</v>
      </c>
      <c r="Z89" s="67">
        <v>72.360878</v>
      </c>
      <c r="AA89" s="67">
        <v>50.956982000000004</v>
      </c>
      <c r="AB89" s="67">
        <v>34.560420999999998</v>
      </c>
      <c r="AC89" s="67">
        <v>24.840302000000001</v>
      </c>
      <c r="AD89" s="67">
        <v>17.182027999999999</v>
      </c>
      <c r="AE89" s="67">
        <v>12.861974999999999</v>
      </c>
      <c r="AF89" s="67">
        <v>8.6401050000000001</v>
      </c>
    </row>
    <row r="90" spans="1:32" ht="13.5" x14ac:dyDescent="0.35">
      <c r="A90">
        <v>5</v>
      </c>
      <c r="B90" s="67">
        <v>10.201724</v>
      </c>
      <c r="C90" s="67">
        <v>11577.749023</v>
      </c>
      <c r="D90" s="67">
        <v>10094.175781</v>
      </c>
      <c r="E90" s="67">
        <v>8822.1367190000001</v>
      </c>
      <c r="F90" s="67">
        <v>7683.8974609999996</v>
      </c>
      <c r="G90" s="67">
        <v>6671.7153319999998</v>
      </c>
      <c r="H90" s="67">
        <v>5768.142578</v>
      </c>
      <c r="I90" s="67">
        <v>4950.0458980000003</v>
      </c>
      <c r="J90" s="67">
        <v>4200.7607420000004</v>
      </c>
      <c r="K90" s="67">
        <v>3531.0698240000002</v>
      </c>
      <c r="L90" s="67">
        <v>2916.4677729999999</v>
      </c>
      <c r="M90" s="67">
        <v>2362.0517580000001</v>
      </c>
      <c r="N90" s="67">
        <v>1877.623779</v>
      </c>
      <c r="O90" s="67">
        <v>1466.1247559999999</v>
      </c>
      <c r="P90" s="67">
        <v>1124.3198239999999</v>
      </c>
      <c r="Q90" s="67">
        <v>860.73687700000005</v>
      </c>
      <c r="R90" s="67">
        <v>644.79296899999997</v>
      </c>
      <c r="S90" s="67">
        <v>486.97650099999998</v>
      </c>
      <c r="T90" s="67">
        <v>367.87899800000002</v>
      </c>
      <c r="U90" s="67">
        <v>280.05068999999997</v>
      </c>
      <c r="V90" s="67">
        <v>214.473557</v>
      </c>
      <c r="W90" s="67">
        <v>159.48284899999999</v>
      </c>
      <c r="X90" s="67">
        <v>118.705429</v>
      </c>
      <c r="Y90" s="67">
        <v>86.455978000000002</v>
      </c>
      <c r="Z90" s="67">
        <v>63.028561000000003</v>
      </c>
      <c r="AA90" s="67">
        <v>44.894371</v>
      </c>
      <c r="AB90" s="67">
        <v>32.445495999999999</v>
      </c>
      <c r="AC90" s="67">
        <v>21.663005999999999</v>
      </c>
      <c r="AD90" s="67">
        <v>14.507351999999999</v>
      </c>
      <c r="AE90" s="67">
        <v>8.5279699999999998</v>
      </c>
      <c r="AF90" s="67">
        <v>4.7050869999999998</v>
      </c>
    </row>
    <row r="91" spans="1:32" ht="13.5" x14ac:dyDescent="0.35">
      <c r="A91">
        <v>1</v>
      </c>
      <c r="B91" s="67">
        <v>9.4074550000000006</v>
      </c>
      <c r="C91" s="67">
        <v>11308.371094</v>
      </c>
      <c r="D91" s="67">
        <v>9871.9570309999999</v>
      </c>
      <c r="E91" s="67">
        <v>8621.2470699999994</v>
      </c>
      <c r="F91" s="67">
        <v>7490.6547849999997</v>
      </c>
      <c r="G91" s="67">
        <v>6521.4233400000003</v>
      </c>
      <c r="H91" s="67">
        <v>5642.8647460000002</v>
      </c>
      <c r="I91" s="67">
        <v>4847.5380859999996</v>
      </c>
      <c r="J91" s="67">
        <v>4126.6206050000001</v>
      </c>
      <c r="K91" s="67">
        <v>3467.3562010000001</v>
      </c>
      <c r="L91" s="67">
        <v>2871.2333979999999</v>
      </c>
      <c r="M91" s="67">
        <v>2343.5668949999999</v>
      </c>
      <c r="N91" s="67">
        <v>1886.1635739999999</v>
      </c>
      <c r="O91" s="67">
        <v>1488.8192140000001</v>
      </c>
      <c r="P91" s="67">
        <v>1156.5295410000001</v>
      </c>
      <c r="Q91" s="67">
        <v>885.68054199999995</v>
      </c>
      <c r="R91" s="67">
        <v>676.272156</v>
      </c>
      <c r="S91" s="67">
        <v>513.95404099999996</v>
      </c>
      <c r="T91" s="67">
        <v>389.90353399999998</v>
      </c>
      <c r="U91" s="67">
        <v>303.37640399999998</v>
      </c>
      <c r="V91" s="67">
        <v>234.17596399999999</v>
      </c>
      <c r="W91" s="67">
        <v>181.87702899999999</v>
      </c>
      <c r="X91" s="67">
        <v>141.27093500000001</v>
      </c>
      <c r="Y91" s="67">
        <v>104.491592</v>
      </c>
      <c r="Z91" s="67">
        <v>75.897246999999993</v>
      </c>
      <c r="AA91" s="67">
        <v>56.869788999999997</v>
      </c>
      <c r="AB91" s="67">
        <v>39.436805999999997</v>
      </c>
      <c r="AC91" s="67">
        <v>26.680965</v>
      </c>
      <c r="AD91" s="67">
        <v>17.964476000000001</v>
      </c>
      <c r="AE91" s="67">
        <v>12.118048999999999</v>
      </c>
      <c r="AF91" s="67">
        <v>7.6535039999999999</v>
      </c>
    </row>
    <row r="92" spans="1:32" ht="13.5" x14ac:dyDescent="0.35">
      <c r="A92">
        <v>2</v>
      </c>
      <c r="B92" s="67">
        <v>10.178953999999999</v>
      </c>
      <c r="C92" s="67">
        <v>11747.572265999999</v>
      </c>
      <c r="D92" s="67">
        <v>10248.007812</v>
      </c>
      <c r="E92" s="67">
        <v>8934.8076170000004</v>
      </c>
      <c r="F92" s="67">
        <v>7784.4931640000004</v>
      </c>
      <c r="G92" s="67">
        <v>6752.0688479999999</v>
      </c>
      <c r="H92" s="67">
        <v>5853.1552730000003</v>
      </c>
      <c r="I92" s="67">
        <v>5023.9936520000001</v>
      </c>
      <c r="J92" s="67">
        <v>4259.4750979999999</v>
      </c>
      <c r="K92" s="67">
        <v>3590.938721</v>
      </c>
      <c r="L92" s="67">
        <v>2975.158203</v>
      </c>
      <c r="M92" s="67">
        <v>2421.6633299999999</v>
      </c>
      <c r="N92" s="67">
        <v>1927.7030030000001</v>
      </c>
      <c r="O92" s="67">
        <v>1504.7714840000001</v>
      </c>
      <c r="P92" s="67">
        <v>1159.0582280000001</v>
      </c>
      <c r="Q92" s="67">
        <v>897.34167500000001</v>
      </c>
      <c r="R92" s="67">
        <v>681.209473</v>
      </c>
      <c r="S92" s="67">
        <v>521.46813999999995</v>
      </c>
      <c r="T92" s="67">
        <v>400.82702599999999</v>
      </c>
      <c r="U92" s="67">
        <v>315.55304000000001</v>
      </c>
      <c r="V92" s="67">
        <v>242.166336</v>
      </c>
      <c r="W92" s="67">
        <v>184.89129600000001</v>
      </c>
      <c r="X92" s="67">
        <v>141.27188100000001</v>
      </c>
      <c r="Y92" s="67">
        <v>106.199516</v>
      </c>
      <c r="Z92" s="67">
        <v>79.772437999999994</v>
      </c>
      <c r="AA92" s="67">
        <v>59.043396000000001</v>
      </c>
      <c r="AB92" s="67">
        <v>45.093040000000002</v>
      </c>
      <c r="AC92" s="67">
        <v>32.223351000000001</v>
      </c>
      <c r="AD92" s="67">
        <v>23.578060000000001</v>
      </c>
      <c r="AE92" s="67">
        <v>16.209917000000001</v>
      </c>
      <c r="AF92" s="67">
        <v>12.083755999999999</v>
      </c>
    </row>
    <row r="93" spans="1:32" ht="13.5" x14ac:dyDescent="0.35">
      <c r="A93">
        <v>3</v>
      </c>
      <c r="B93" s="67">
        <v>10.128242999999999</v>
      </c>
      <c r="C93" s="67">
        <v>11756.333008</v>
      </c>
      <c r="D93" s="67">
        <v>10229.118164</v>
      </c>
      <c r="E93" s="67">
        <v>8912.1083980000003</v>
      </c>
      <c r="F93" s="67">
        <v>7751.689453</v>
      </c>
      <c r="G93" s="67">
        <v>6729.0048829999996</v>
      </c>
      <c r="H93" s="67">
        <v>5831.0209960000002</v>
      </c>
      <c r="I93" s="67">
        <v>5019.5278319999998</v>
      </c>
      <c r="J93" s="67">
        <v>4266.2875979999999</v>
      </c>
      <c r="K93" s="67">
        <v>3599.8344729999999</v>
      </c>
      <c r="L93" s="67">
        <v>2987.586182</v>
      </c>
      <c r="M93" s="67">
        <v>2430.530029</v>
      </c>
      <c r="N93" s="67">
        <v>1929.1597899999999</v>
      </c>
      <c r="O93" s="67">
        <v>1502.8272710000001</v>
      </c>
      <c r="P93" s="67">
        <v>1158.246216</v>
      </c>
      <c r="Q93" s="67">
        <v>884.45739700000001</v>
      </c>
      <c r="R93" s="67">
        <v>674.25317399999994</v>
      </c>
      <c r="S93" s="67">
        <v>507.88668799999999</v>
      </c>
      <c r="T93" s="67">
        <v>386.24664300000001</v>
      </c>
      <c r="U93" s="67">
        <v>297.87988300000001</v>
      </c>
      <c r="V93" s="67">
        <v>228.47001599999999</v>
      </c>
      <c r="W93" s="67">
        <v>170.315811</v>
      </c>
      <c r="X93" s="67">
        <v>128.057739</v>
      </c>
      <c r="Y93" s="67">
        <v>95.080650000000006</v>
      </c>
      <c r="Z93" s="67">
        <v>71.68074</v>
      </c>
      <c r="AA93" s="67">
        <v>53.809921000000003</v>
      </c>
      <c r="AB93" s="67">
        <v>40.678325999999998</v>
      </c>
      <c r="AC93" s="67">
        <v>29.126472</v>
      </c>
      <c r="AD93" s="67">
        <v>20.042963</v>
      </c>
      <c r="AE93" s="67">
        <v>14.908804</v>
      </c>
      <c r="AF93" s="67">
        <v>9.9721150000000005</v>
      </c>
    </row>
    <row r="94" spans="1:32" ht="13.5" x14ac:dyDescent="0.35">
      <c r="A94">
        <v>4</v>
      </c>
      <c r="B94" s="67">
        <v>10.183923999999999</v>
      </c>
      <c r="C94" s="67">
        <v>11884.711914</v>
      </c>
      <c r="D94" s="67">
        <v>10345.128906</v>
      </c>
      <c r="E94" s="67">
        <v>9038.9521480000003</v>
      </c>
      <c r="F94" s="67">
        <v>7887.5297849999997</v>
      </c>
      <c r="G94" s="67">
        <v>6849.3247069999998</v>
      </c>
      <c r="H94" s="67">
        <v>5943.6816410000001</v>
      </c>
      <c r="I94" s="67">
        <v>5111.7822269999997</v>
      </c>
      <c r="J94" s="67">
        <v>4358.732422</v>
      </c>
      <c r="K94" s="67">
        <v>3659.1003420000002</v>
      </c>
      <c r="L94" s="67">
        <v>3031.3464359999998</v>
      </c>
      <c r="M94" s="67">
        <v>2468.3020019999999</v>
      </c>
      <c r="N94" s="67">
        <v>1973.2080080000001</v>
      </c>
      <c r="O94" s="67">
        <v>1538.20874</v>
      </c>
      <c r="P94" s="67">
        <v>1187.6561280000001</v>
      </c>
      <c r="Q94" s="67">
        <v>900.83154300000001</v>
      </c>
      <c r="R94" s="67">
        <v>681.85900900000001</v>
      </c>
      <c r="S94" s="67">
        <v>515.518372</v>
      </c>
      <c r="T94" s="67">
        <v>392.97232100000002</v>
      </c>
      <c r="U94" s="67">
        <v>296.93859900000001</v>
      </c>
      <c r="V94" s="67">
        <v>232.13056900000001</v>
      </c>
      <c r="W94" s="67">
        <v>179.400406</v>
      </c>
      <c r="X94" s="67">
        <v>135.114914</v>
      </c>
      <c r="Y94" s="67">
        <v>102.121742</v>
      </c>
      <c r="Z94" s="67">
        <v>76.002144000000001</v>
      </c>
      <c r="AA94" s="67">
        <v>53.515720000000002</v>
      </c>
      <c r="AB94" s="67">
        <v>39.179397999999999</v>
      </c>
      <c r="AC94" s="67">
        <v>27.985285000000001</v>
      </c>
      <c r="AD94" s="67">
        <v>18.853245000000001</v>
      </c>
      <c r="AE94" s="67">
        <v>12.961605</v>
      </c>
      <c r="AF94" s="67">
        <v>8.3464880000000008</v>
      </c>
    </row>
    <row r="95" spans="1:32" ht="13.5" x14ac:dyDescent="0.35">
      <c r="A95">
        <v>5</v>
      </c>
      <c r="B95" s="67">
        <v>10.246387</v>
      </c>
      <c r="C95" s="67">
        <v>11761.122069999999</v>
      </c>
      <c r="D95" s="67">
        <v>10246.929688</v>
      </c>
      <c r="E95" s="67">
        <v>8926.8544920000004</v>
      </c>
      <c r="F95" s="67">
        <v>7776.9853519999997</v>
      </c>
      <c r="G95" s="67">
        <v>6745.6953119999998</v>
      </c>
      <c r="H95" s="67">
        <v>5848.1103519999997</v>
      </c>
      <c r="I95" s="67">
        <v>5031.3344729999999</v>
      </c>
      <c r="J95" s="67">
        <v>4284.4370120000003</v>
      </c>
      <c r="K95" s="67">
        <v>3596.1945799999999</v>
      </c>
      <c r="L95" s="67">
        <v>2977.9279790000001</v>
      </c>
      <c r="M95" s="67">
        <v>2410.8010250000002</v>
      </c>
      <c r="N95" s="67">
        <v>1921.9458010000001</v>
      </c>
      <c r="O95" s="67">
        <v>1494.5756839999999</v>
      </c>
      <c r="P95" s="67">
        <v>1157.871582</v>
      </c>
      <c r="Q95" s="67">
        <v>885.09252900000001</v>
      </c>
      <c r="R95" s="67">
        <v>673.31054700000004</v>
      </c>
      <c r="S95" s="67">
        <v>509.74066199999999</v>
      </c>
      <c r="T95" s="67">
        <v>386.282532</v>
      </c>
      <c r="U95" s="67">
        <v>293.37170400000002</v>
      </c>
      <c r="V95" s="67">
        <v>225.44532799999999</v>
      </c>
      <c r="W95" s="67">
        <v>171.377487</v>
      </c>
      <c r="X95" s="67">
        <v>126.48361199999999</v>
      </c>
      <c r="Y95" s="67">
        <v>94.179542999999995</v>
      </c>
      <c r="Z95" s="67">
        <v>68.023978999999997</v>
      </c>
      <c r="AA95" s="67">
        <v>49.285666999999997</v>
      </c>
      <c r="AB95" s="67">
        <v>36.403075999999999</v>
      </c>
      <c r="AC95" s="67">
        <v>25.179608999999999</v>
      </c>
      <c r="AD95" s="67">
        <v>17.469574000000001</v>
      </c>
      <c r="AE95" s="67">
        <v>11.516254999999999</v>
      </c>
      <c r="AF95" s="67">
        <v>7.6124400000000003</v>
      </c>
    </row>
    <row r="96" spans="1:32" ht="13.5" x14ac:dyDescent="0.35">
      <c r="A96">
        <v>1</v>
      </c>
      <c r="B96" s="67">
        <v>9.4152699999999996</v>
      </c>
      <c r="C96" s="67">
        <v>11605.083984000001</v>
      </c>
      <c r="D96" s="67">
        <v>10102.630859000001</v>
      </c>
      <c r="E96" s="67">
        <v>8843.9316409999992</v>
      </c>
      <c r="F96" s="67">
        <v>7728.8276370000003</v>
      </c>
      <c r="G96" s="67">
        <v>6712.5</v>
      </c>
      <c r="H96" s="67">
        <v>5831.0595700000003</v>
      </c>
      <c r="I96" s="67">
        <v>5012.3896480000003</v>
      </c>
      <c r="J96" s="67">
        <v>4265.1992190000001</v>
      </c>
      <c r="K96" s="67">
        <v>3582.6906739999999</v>
      </c>
      <c r="L96" s="67">
        <v>2960.9348140000002</v>
      </c>
      <c r="M96" s="67">
        <v>2429.7763669999999</v>
      </c>
      <c r="N96" s="67">
        <v>1954.059814</v>
      </c>
      <c r="O96" s="67">
        <v>1546.317871</v>
      </c>
      <c r="P96" s="67">
        <v>1201.4525149999999</v>
      </c>
      <c r="Q96" s="67">
        <v>919.14520300000004</v>
      </c>
      <c r="R96" s="67">
        <v>703.00695800000005</v>
      </c>
      <c r="S96" s="67">
        <v>535.19445800000005</v>
      </c>
      <c r="T96" s="67">
        <v>406.78601099999997</v>
      </c>
      <c r="U96" s="67">
        <v>314.382904</v>
      </c>
      <c r="V96" s="67">
        <v>240.88528400000001</v>
      </c>
      <c r="W96" s="67">
        <v>184.275116</v>
      </c>
      <c r="X96" s="67">
        <v>138.817047</v>
      </c>
      <c r="Y96" s="67">
        <v>104.086235</v>
      </c>
      <c r="Z96" s="67">
        <v>80.613731000000001</v>
      </c>
      <c r="AA96" s="67">
        <v>57.353642000000001</v>
      </c>
      <c r="AB96" s="67">
        <v>40.997230999999999</v>
      </c>
      <c r="AC96" s="67">
        <v>28.251978000000001</v>
      </c>
      <c r="AD96" s="67">
        <v>19.011669000000001</v>
      </c>
      <c r="AE96" s="67">
        <v>12.639042999999999</v>
      </c>
      <c r="AF96" s="67">
        <v>9.3465190000000007</v>
      </c>
    </row>
    <row r="97" spans="1:32" ht="13.5" x14ac:dyDescent="0.35">
      <c r="A97">
        <v>2</v>
      </c>
      <c r="B97" s="67">
        <v>10.157598</v>
      </c>
      <c r="C97" s="67">
        <v>12181.030273</v>
      </c>
      <c r="D97" s="67">
        <v>10598.864258</v>
      </c>
      <c r="E97" s="67">
        <v>9242.5400389999995</v>
      </c>
      <c r="F97" s="67">
        <v>8050.7226559999999</v>
      </c>
      <c r="G97" s="67">
        <v>6966.6079099999997</v>
      </c>
      <c r="H97" s="67">
        <v>6010.96875</v>
      </c>
      <c r="I97" s="67">
        <v>5152.5961909999996</v>
      </c>
      <c r="J97" s="67">
        <v>4375.4438479999999</v>
      </c>
      <c r="K97" s="67">
        <v>3679.4133299999999</v>
      </c>
      <c r="L97" s="67">
        <v>3056.6281739999999</v>
      </c>
      <c r="M97" s="67">
        <v>2491.9277339999999</v>
      </c>
      <c r="N97" s="67">
        <v>1998.9963379999999</v>
      </c>
      <c r="O97" s="67">
        <v>1571.92688</v>
      </c>
      <c r="P97" s="67">
        <v>1218.989014</v>
      </c>
      <c r="Q97" s="67">
        <v>927.28619400000002</v>
      </c>
      <c r="R97" s="67">
        <v>704.49731399999996</v>
      </c>
      <c r="S97" s="67">
        <v>534.77209500000004</v>
      </c>
      <c r="T97" s="67">
        <v>407.57669099999998</v>
      </c>
      <c r="U97" s="67">
        <v>312.573914</v>
      </c>
      <c r="V97" s="67">
        <v>238.63909899999999</v>
      </c>
      <c r="W97" s="67">
        <v>183.409515</v>
      </c>
      <c r="X97" s="67">
        <v>138.12321499999999</v>
      </c>
      <c r="Y97" s="67">
        <v>104.94607499999999</v>
      </c>
      <c r="Z97" s="67">
        <v>77.971191000000005</v>
      </c>
      <c r="AA97" s="67">
        <v>56.410975999999998</v>
      </c>
      <c r="AB97" s="67">
        <v>39.674736000000003</v>
      </c>
      <c r="AC97" s="67">
        <v>27.171779999999998</v>
      </c>
      <c r="AD97" s="67">
        <v>18.508313999999999</v>
      </c>
      <c r="AE97" s="67">
        <v>12.404508</v>
      </c>
      <c r="AF97" s="67">
        <v>7.7774299999999998</v>
      </c>
    </row>
    <row r="98" spans="1:32" ht="13.5" x14ac:dyDescent="0.35">
      <c r="A98">
        <v>3</v>
      </c>
      <c r="B98" s="67">
        <v>10.089149000000001</v>
      </c>
      <c r="C98" s="67">
        <v>11966.420898</v>
      </c>
      <c r="D98" s="67">
        <v>10415.844727</v>
      </c>
      <c r="E98" s="67">
        <v>9055.0751949999994</v>
      </c>
      <c r="F98" s="67">
        <v>7870.9316410000001</v>
      </c>
      <c r="G98" s="67">
        <v>6819.4057620000003</v>
      </c>
      <c r="H98" s="67">
        <v>5896.2358400000003</v>
      </c>
      <c r="I98" s="67">
        <v>5069.5058589999999</v>
      </c>
      <c r="J98" s="67">
        <v>4300.263672</v>
      </c>
      <c r="K98" s="67">
        <v>3615.3696289999998</v>
      </c>
      <c r="L98" s="67">
        <v>3009.4709469999998</v>
      </c>
      <c r="M98" s="67">
        <v>2458.383789</v>
      </c>
      <c r="N98" s="67">
        <v>1975.6870120000001</v>
      </c>
      <c r="O98" s="67">
        <v>1548.495361</v>
      </c>
      <c r="P98" s="67">
        <v>1194.8481449999999</v>
      </c>
      <c r="Q98" s="67">
        <v>907.60882600000002</v>
      </c>
      <c r="R98" s="67">
        <v>686.28192100000001</v>
      </c>
      <c r="S98" s="67">
        <v>518.87432899999999</v>
      </c>
      <c r="T98" s="67">
        <v>399.240814</v>
      </c>
      <c r="U98" s="67">
        <v>306.864349</v>
      </c>
      <c r="V98" s="67">
        <v>233.31999200000001</v>
      </c>
      <c r="W98" s="67">
        <v>176.72453300000001</v>
      </c>
      <c r="X98" s="67">
        <v>132.915085</v>
      </c>
      <c r="Y98" s="67">
        <v>101.09871699999999</v>
      </c>
      <c r="Z98" s="67">
        <v>73.841712999999999</v>
      </c>
      <c r="AA98" s="67">
        <v>53.820202000000002</v>
      </c>
      <c r="AB98" s="67">
        <v>39.844791000000001</v>
      </c>
      <c r="AC98" s="67">
        <v>27.752590000000001</v>
      </c>
      <c r="AD98" s="67">
        <v>17.741834999999998</v>
      </c>
      <c r="AE98" s="67">
        <v>12.885130999999999</v>
      </c>
      <c r="AF98" s="67">
        <v>7.8301949999999998</v>
      </c>
    </row>
    <row r="99" spans="1:32" ht="13.5" x14ac:dyDescent="0.35">
      <c r="A99">
        <v>4</v>
      </c>
      <c r="B99" s="67">
        <v>10.185060999999999</v>
      </c>
      <c r="C99" s="67">
        <v>11937.287109000001</v>
      </c>
      <c r="D99" s="67">
        <v>10377.453125</v>
      </c>
      <c r="E99" s="67">
        <v>9047.7607420000004</v>
      </c>
      <c r="F99" s="67">
        <v>7889.3974609999996</v>
      </c>
      <c r="G99" s="67">
        <v>6844.7304690000001</v>
      </c>
      <c r="H99" s="67">
        <v>5923.3808589999999</v>
      </c>
      <c r="I99" s="67">
        <v>5089.0219729999999</v>
      </c>
      <c r="J99" s="67">
        <v>4335.2709960000002</v>
      </c>
      <c r="K99" s="67">
        <v>3637.5822750000002</v>
      </c>
      <c r="L99" s="67">
        <v>3018.9311520000001</v>
      </c>
      <c r="M99" s="67">
        <v>2456.6372070000002</v>
      </c>
      <c r="N99" s="67">
        <v>1958.2601320000001</v>
      </c>
      <c r="O99" s="67">
        <v>1528.611328</v>
      </c>
      <c r="P99" s="67">
        <v>1180.8470460000001</v>
      </c>
      <c r="Q99" s="67">
        <v>891.30535899999995</v>
      </c>
      <c r="R99" s="67">
        <v>678.54278599999998</v>
      </c>
      <c r="S99" s="67">
        <v>519.48632799999996</v>
      </c>
      <c r="T99" s="67">
        <v>394.597534</v>
      </c>
      <c r="U99" s="67">
        <v>303.38549799999998</v>
      </c>
      <c r="V99" s="67">
        <v>231.22099299999999</v>
      </c>
      <c r="W99" s="67">
        <v>177.02397199999999</v>
      </c>
      <c r="X99" s="67">
        <v>137.35803200000001</v>
      </c>
      <c r="Y99" s="67">
        <v>99.164840999999996</v>
      </c>
      <c r="Z99" s="67">
        <v>72.360878</v>
      </c>
      <c r="AA99" s="67">
        <v>50.956982000000004</v>
      </c>
      <c r="AB99" s="67">
        <v>34.560420999999998</v>
      </c>
      <c r="AC99" s="67">
        <v>24.840302000000001</v>
      </c>
      <c r="AD99" s="67">
        <v>17.182027999999999</v>
      </c>
      <c r="AE99" s="67">
        <v>12.861974999999999</v>
      </c>
      <c r="AF99" s="67">
        <v>8.6401050000000001</v>
      </c>
    </row>
    <row r="100" spans="1:32" ht="13.5" x14ac:dyDescent="0.35">
      <c r="A100">
        <v>5</v>
      </c>
      <c r="B100" s="67">
        <v>10.201724</v>
      </c>
      <c r="C100" s="67">
        <v>11577.749023</v>
      </c>
      <c r="D100" s="67">
        <v>10094.175781</v>
      </c>
      <c r="E100" s="67">
        <v>8822.1367190000001</v>
      </c>
      <c r="F100" s="67">
        <v>7683.8974609999996</v>
      </c>
      <c r="G100" s="67">
        <v>6671.7153319999998</v>
      </c>
      <c r="H100" s="67">
        <v>5768.142578</v>
      </c>
      <c r="I100" s="67">
        <v>4950.0458980000003</v>
      </c>
      <c r="J100" s="67">
        <v>4200.7607420000004</v>
      </c>
      <c r="K100" s="67">
        <v>3531.0698240000002</v>
      </c>
      <c r="L100" s="67">
        <v>2916.4677729999999</v>
      </c>
      <c r="M100" s="67">
        <v>2362.0517580000001</v>
      </c>
      <c r="N100" s="67">
        <v>1877.623779</v>
      </c>
      <c r="O100" s="67">
        <v>1466.1247559999999</v>
      </c>
      <c r="P100" s="67">
        <v>1124.3198239999999</v>
      </c>
      <c r="Q100" s="67">
        <v>860.73687700000005</v>
      </c>
      <c r="R100" s="67">
        <v>644.79296899999997</v>
      </c>
      <c r="S100" s="67">
        <v>486.97650099999998</v>
      </c>
      <c r="T100" s="67">
        <v>367.87899800000002</v>
      </c>
      <c r="U100" s="67">
        <v>280.05068999999997</v>
      </c>
      <c r="V100" s="67">
        <v>214.473557</v>
      </c>
      <c r="W100" s="67">
        <v>159.48284899999999</v>
      </c>
      <c r="X100" s="67">
        <v>118.705429</v>
      </c>
      <c r="Y100" s="67">
        <v>86.455978000000002</v>
      </c>
      <c r="Z100" s="67">
        <v>63.028561000000003</v>
      </c>
      <c r="AA100" s="67">
        <v>44.894371</v>
      </c>
      <c r="AB100" s="67">
        <v>32.445495999999999</v>
      </c>
      <c r="AC100" s="67">
        <v>21.663005999999999</v>
      </c>
      <c r="AD100" s="67">
        <v>14.507351999999999</v>
      </c>
      <c r="AE100" s="67">
        <v>8.5279699999999998</v>
      </c>
      <c r="AF100" s="67">
        <v>4.7050869999999998</v>
      </c>
    </row>
    <row r="101" spans="1:32" x14ac:dyDescent="0.35">
      <c r="B101">
        <v>9.4074550000000006</v>
      </c>
      <c r="C101">
        <v>11308.371094</v>
      </c>
      <c r="D101">
        <v>9871.9570309999999</v>
      </c>
      <c r="E101">
        <v>8621.2470699999994</v>
      </c>
      <c r="F101">
        <v>7490.6547849999997</v>
      </c>
      <c r="G101">
        <v>6521.4233400000003</v>
      </c>
      <c r="H101">
        <v>5642.8647460000002</v>
      </c>
      <c r="I101">
        <v>4847.5380859999996</v>
      </c>
      <c r="J101">
        <v>4126.6206050000001</v>
      </c>
      <c r="K101">
        <v>3467.3562010000001</v>
      </c>
      <c r="L101">
        <v>2871.2333979999999</v>
      </c>
      <c r="M101">
        <v>2343.5668949999999</v>
      </c>
      <c r="N101">
        <v>1886.1635739999999</v>
      </c>
      <c r="O101">
        <v>1488.8192140000001</v>
      </c>
      <c r="P101">
        <v>1156.5295410000001</v>
      </c>
      <c r="Q101">
        <v>885.68054199999995</v>
      </c>
      <c r="R101">
        <v>676.272156</v>
      </c>
      <c r="S101">
        <v>513.95404099999996</v>
      </c>
      <c r="T101">
        <v>389.90353399999998</v>
      </c>
      <c r="U101">
        <v>303.37640399999998</v>
      </c>
      <c r="V101">
        <v>234.17596399999999</v>
      </c>
      <c r="W101">
        <v>181.87702899999999</v>
      </c>
      <c r="X101">
        <v>141.27093500000001</v>
      </c>
      <c r="Y101">
        <v>104.491592</v>
      </c>
      <c r="Z101">
        <v>75.897246999999993</v>
      </c>
      <c r="AA101">
        <v>56.869788999999997</v>
      </c>
      <c r="AB101">
        <v>39.436805999999997</v>
      </c>
      <c r="AC101">
        <v>26.680965</v>
      </c>
      <c r="AD101">
        <v>17.964476000000001</v>
      </c>
      <c r="AE101">
        <v>12.118048999999999</v>
      </c>
      <c r="AF101">
        <v>7.6535039999999999</v>
      </c>
    </row>
    <row r="102" spans="1:32" x14ac:dyDescent="0.35">
      <c r="B102">
        <v>10.178953999999999</v>
      </c>
      <c r="C102">
        <v>11747.572265999999</v>
      </c>
      <c r="D102">
        <v>10248.007812</v>
      </c>
      <c r="E102">
        <v>8934.8076170000004</v>
      </c>
      <c r="F102">
        <v>7784.4931640000004</v>
      </c>
      <c r="G102">
        <v>6752.0688479999999</v>
      </c>
      <c r="H102">
        <v>5853.1552730000003</v>
      </c>
      <c r="I102">
        <v>5023.9936520000001</v>
      </c>
      <c r="J102">
        <v>4259.4750979999999</v>
      </c>
      <c r="K102">
        <v>3590.938721</v>
      </c>
      <c r="L102">
        <v>2975.158203</v>
      </c>
      <c r="M102">
        <v>2421.6633299999999</v>
      </c>
      <c r="N102">
        <v>1927.7030030000001</v>
      </c>
      <c r="O102">
        <v>1504.7714840000001</v>
      </c>
      <c r="P102">
        <v>1159.0582280000001</v>
      </c>
      <c r="Q102">
        <v>897.34167500000001</v>
      </c>
      <c r="R102">
        <v>681.209473</v>
      </c>
      <c r="S102">
        <v>521.46813999999995</v>
      </c>
      <c r="T102">
        <v>400.82702599999999</v>
      </c>
      <c r="U102">
        <v>315.55304000000001</v>
      </c>
      <c r="V102">
        <v>242.166336</v>
      </c>
      <c r="W102">
        <v>184.89129600000001</v>
      </c>
      <c r="X102">
        <v>141.27188100000001</v>
      </c>
      <c r="Y102">
        <v>106.199516</v>
      </c>
      <c r="Z102">
        <v>79.772437999999994</v>
      </c>
      <c r="AA102">
        <v>59.043396000000001</v>
      </c>
      <c r="AB102">
        <v>45.093040000000002</v>
      </c>
      <c r="AC102">
        <v>32.223351000000001</v>
      </c>
      <c r="AD102">
        <v>23.578060000000001</v>
      </c>
      <c r="AE102">
        <v>16.209917000000001</v>
      </c>
      <c r="AF102">
        <v>12.083755999999999</v>
      </c>
    </row>
    <row r="103" spans="1:32" x14ac:dyDescent="0.35">
      <c r="B103">
        <v>10.128242999999999</v>
      </c>
      <c r="C103">
        <v>11756.333008</v>
      </c>
      <c r="D103">
        <v>10229.118164</v>
      </c>
      <c r="E103">
        <v>8912.1083980000003</v>
      </c>
      <c r="F103">
        <v>7751.689453</v>
      </c>
      <c r="G103">
        <v>6729.0048829999996</v>
      </c>
      <c r="H103">
        <v>5831.0209960000002</v>
      </c>
      <c r="I103">
        <v>5019.5278319999998</v>
      </c>
      <c r="J103">
        <v>4266.2875979999999</v>
      </c>
      <c r="K103">
        <v>3599.8344729999999</v>
      </c>
      <c r="L103">
        <v>2987.586182</v>
      </c>
      <c r="M103">
        <v>2430.530029</v>
      </c>
      <c r="N103">
        <v>1929.1597899999999</v>
      </c>
      <c r="O103">
        <v>1502.8272710000001</v>
      </c>
      <c r="P103">
        <v>1158.246216</v>
      </c>
      <c r="Q103">
        <v>884.45739700000001</v>
      </c>
      <c r="R103">
        <v>674.25317399999994</v>
      </c>
      <c r="S103">
        <v>507.88668799999999</v>
      </c>
      <c r="T103">
        <v>386.24664300000001</v>
      </c>
      <c r="U103">
        <v>297.87988300000001</v>
      </c>
      <c r="V103">
        <v>228.47001599999999</v>
      </c>
      <c r="W103">
        <v>170.315811</v>
      </c>
      <c r="X103">
        <v>128.057739</v>
      </c>
      <c r="Y103">
        <v>95.080650000000006</v>
      </c>
      <c r="Z103">
        <v>71.68074</v>
      </c>
      <c r="AA103">
        <v>53.809921000000003</v>
      </c>
      <c r="AB103">
        <v>40.678325999999998</v>
      </c>
      <c r="AC103">
        <v>29.126472</v>
      </c>
      <c r="AD103">
        <v>20.042963</v>
      </c>
      <c r="AE103">
        <v>14.908804</v>
      </c>
      <c r="AF103">
        <v>9.9721150000000005</v>
      </c>
    </row>
    <row r="104" spans="1:32" x14ac:dyDescent="0.35">
      <c r="B104">
        <v>10.183923999999999</v>
      </c>
      <c r="C104">
        <v>11884.711914</v>
      </c>
      <c r="D104">
        <v>10345.128906</v>
      </c>
      <c r="E104">
        <v>9038.9521480000003</v>
      </c>
      <c r="F104">
        <v>7887.5297849999997</v>
      </c>
      <c r="G104">
        <v>6849.3247069999998</v>
      </c>
      <c r="H104">
        <v>5943.6816410000001</v>
      </c>
      <c r="I104">
        <v>5111.7822269999997</v>
      </c>
      <c r="J104">
        <v>4358.732422</v>
      </c>
      <c r="K104">
        <v>3659.1003420000002</v>
      </c>
      <c r="L104">
        <v>3031.3464359999998</v>
      </c>
      <c r="M104">
        <v>2468.3020019999999</v>
      </c>
      <c r="N104">
        <v>1973.2080080000001</v>
      </c>
      <c r="O104">
        <v>1538.20874</v>
      </c>
      <c r="P104">
        <v>1187.6561280000001</v>
      </c>
      <c r="Q104">
        <v>900.83154300000001</v>
      </c>
      <c r="R104">
        <v>681.85900900000001</v>
      </c>
      <c r="S104">
        <v>515.518372</v>
      </c>
      <c r="T104">
        <v>392.97232100000002</v>
      </c>
      <c r="U104">
        <v>296.93859900000001</v>
      </c>
      <c r="V104">
        <v>232.13056900000001</v>
      </c>
      <c r="W104">
        <v>179.400406</v>
      </c>
      <c r="X104">
        <v>135.114914</v>
      </c>
      <c r="Y104">
        <v>102.121742</v>
      </c>
      <c r="Z104">
        <v>76.002144000000001</v>
      </c>
      <c r="AA104">
        <v>53.515720000000002</v>
      </c>
      <c r="AB104">
        <v>39.179397999999999</v>
      </c>
      <c r="AC104">
        <v>27.985285000000001</v>
      </c>
      <c r="AD104">
        <v>18.853245000000001</v>
      </c>
      <c r="AE104">
        <v>12.961605</v>
      </c>
      <c r="AF104">
        <v>8.3464880000000008</v>
      </c>
    </row>
    <row r="105" spans="1:32" x14ac:dyDescent="0.35">
      <c r="B105">
        <v>10.246387</v>
      </c>
      <c r="C105">
        <v>11761.122069999999</v>
      </c>
      <c r="D105">
        <v>10246.929688</v>
      </c>
      <c r="E105">
        <v>8926.8544920000004</v>
      </c>
      <c r="F105">
        <v>7776.9853519999997</v>
      </c>
      <c r="G105">
        <v>6745.6953119999998</v>
      </c>
      <c r="H105">
        <v>5848.1103519999997</v>
      </c>
      <c r="I105">
        <v>5031.3344729999999</v>
      </c>
      <c r="J105">
        <v>4284.4370120000003</v>
      </c>
      <c r="K105">
        <v>3596.1945799999999</v>
      </c>
      <c r="L105">
        <v>2977.9279790000001</v>
      </c>
      <c r="M105">
        <v>2410.8010250000002</v>
      </c>
      <c r="N105">
        <v>1921.9458010000001</v>
      </c>
      <c r="O105">
        <v>1494.5756839999999</v>
      </c>
      <c r="P105">
        <v>1157.871582</v>
      </c>
      <c r="Q105">
        <v>885.09252900000001</v>
      </c>
      <c r="R105">
        <v>673.31054700000004</v>
      </c>
      <c r="S105">
        <v>509.74066199999999</v>
      </c>
      <c r="T105">
        <v>386.282532</v>
      </c>
      <c r="U105">
        <v>293.37170400000002</v>
      </c>
      <c r="V105">
        <v>225.44532799999999</v>
      </c>
      <c r="W105">
        <v>171.377487</v>
      </c>
      <c r="X105">
        <v>126.48361199999999</v>
      </c>
      <c r="Y105">
        <v>94.179542999999995</v>
      </c>
      <c r="Z105">
        <v>68.023978999999997</v>
      </c>
      <c r="AA105">
        <v>49.285666999999997</v>
      </c>
      <c r="AB105">
        <v>36.403075999999999</v>
      </c>
      <c r="AC105">
        <v>25.179608999999999</v>
      </c>
      <c r="AD105">
        <v>17.469574000000001</v>
      </c>
      <c r="AE105">
        <v>11.516254999999999</v>
      </c>
      <c r="AF105">
        <v>7.6124400000000003</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F8" sqref="F8:F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43" t="s">
        <v>113</v>
      </c>
      <c r="O2" s="43"/>
    </row>
    <row r="3" spans="1:49" ht="13.15" x14ac:dyDescent="0.4">
      <c r="A3" t="str">
        <f>'6 - B1'!$A$3</f>
        <v>Serial #</v>
      </c>
      <c r="B3" s="40" t="str">
        <f>'6 - B1'!$B$3</f>
        <v>11171-00009</v>
      </c>
    </row>
    <row r="4" spans="1:49" ht="19.149999999999999" customHeight="1" x14ac:dyDescent="1.05">
      <c r="A4" s="41" t="str">
        <f>'6 - B1'!$A$4</f>
        <v>Date</v>
      </c>
      <c r="B4" s="42">
        <f>'6 - B1'!$B$4</f>
        <v>46009</v>
      </c>
      <c r="O4" s="43"/>
    </row>
    <row r="5" spans="1:49" ht="13.15" x14ac:dyDescent="0.4">
      <c r="A5" s="41" t="str">
        <f>'6 - B1'!$A$5</f>
        <v>RM</v>
      </c>
      <c r="B5" s="68" t="str">
        <f>'6 - B1'!$B$5</f>
        <v>37D</v>
      </c>
      <c r="O5" s="45"/>
    </row>
    <row r="6" spans="1:49" ht="13.15" x14ac:dyDescent="0.4">
      <c r="B6" s="41"/>
      <c r="C6" s="41"/>
      <c r="D6" s="41"/>
      <c r="E6" s="41"/>
      <c r="F6" s="41"/>
    </row>
    <row r="7" spans="1:49" ht="14.65" x14ac:dyDescent="0.5">
      <c r="B7" s="19" t="s">
        <v>57</v>
      </c>
      <c r="C7" s="19" t="s">
        <v>58</v>
      </c>
      <c r="D7" s="19" t="s">
        <v>59</v>
      </c>
      <c r="E7" s="19" t="s">
        <v>60</v>
      </c>
      <c r="F7" s="19" t="s">
        <v>61</v>
      </c>
      <c r="G7" s="19" t="s">
        <v>62</v>
      </c>
      <c r="H7" s="19" t="s">
        <v>63</v>
      </c>
      <c r="I7" s="19" t="s">
        <v>64</v>
      </c>
      <c r="J7" s="19" t="s">
        <v>65</v>
      </c>
      <c r="K7" s="19" t="s">
        <v>66</v>
      </c>
      <c r="L7" s="19" t="s">
        <v>67</v>
      </c>
      <c r="M7" s="19" t="s">
        <v>68</v>
      </c>
      <c r="O7" s="19" t="s">
        <v>57</v>
      </c>
      <c r="P7" s="19" t="s">
        <v>58</v>
      </c>
      <c r="Q7" s="19" t="s">
        <v>59</v>
      </c>
      <c r="R7" s="19" t="s">
        <v>60</v>
      </c>
      <c r="S7" s="19" t="s">
        <v>61</v>
      </c>
    </row>
    <row r="8" spans="1:49" ht="13.15" x14ac:dyDescent="0.4">
      <c r="A8" s="15" t="s">
        <v>69</v>
      </c>
      <c r="B8" s="47">
        <f>G52</f>
        <v>9.4074550000000006</v>
      </c>
      <c r="C8" s="47">
        <f>H52</f>
        <v>10.178953999999999</v>
      </c>
      <c r="D8" s="47">
        <f>I52</f>
        <v>10.128242999999999</v>
      </c>
      <c r="E8" s="47">
        <f>J52</f>
        <v>10.183923999999999</v>
      </c>
      <c r="F8" s="47"/>
      <c r="G8" s="48">
        <f>AVERAGE(B$8:F$8)*5</f>
        <v>49.873219999999996</v>
      </c>
      <c r="I8" s="49"/>
      <c r="K8" s="49"/>
    </row>
    <row r="9" spans="1:49" ht="13.15" x14ac:dyDescent="0.4">
      <c r="A9" s="15" t="s">
        <v>70</v>
      </c>
      <c r="B9" s="22">
        <f>G53</f>
        <v>11308.371094</v>
      </c>
      <c r="C9" s="22">
        <f t="shared" ref="C9:F24" si="0">H53</f>
        <v>11747.572265999999</v>
      </c>
      <c r="D9" s="22">
        <f t="shared" si="0"/>
        <v>11756.333008</v>
      </c>
      <c r="E9" s="22">
        <f t="shared" si="0"/>
        <v>11884.711914</v>
      </c>
      <c r="F9" s="22"/>
      <c r="G9" s="50">
        <f t="shared" ref="G9:G38" si="1">AVERAGE(B9:F9)</f>
        <v>11674.2470705</v>
      </c>
      <c r="H9" s="51">
        <f t="shared" ref="H9:H38" si="2">G9*G$8</f>
        <v>582232.29248140194</v>
      </c>
      <c r="I9" s="49">
        <f t="shared" ref="I9:I38" si="3">STDEVP(B9:F9)/AVERAGE(B9:F9)</f>
        <v>1.868238884167216E-2</v>
      </c>
      <c r="J9" s="49">
        <f t="shared" ref="J9:J38" si="4">IF(H9&gt;$A$43, $C$43, IF(H9&gt;$A$44, $C$44, IF(H9&gt;$A$45,$C$45,IF(H9&gt;$A$46,$C$46, IF(H9&gt;$A$47,$C$47,IF(H9&gt;$A$48,$C$48,$C$49))))))/100</f>
        <v>0.11</v>
      </c>
      <c r="K9" s="49">
        <f t="shared" ref="K9:K38" si="5">(MAX(B9:F9)-MIN(B9:F9))/G9</f>
        <v>4.9368564543778769E-2</v>
      </c>
      <c r="L9" s="22">
        <f>G9/'Clause 6'!$H$11</f>
        <v>11674.2470705</v>
      </c>
      <c r="M9">
        <f t="shared" ref="M9:M38" si="6">COUNTA(B9:F9)</f>
        <v>4</v>
      </c>
      <c r="O9" s="52">
        <f>IF(ISNUMBER(B9), (B9/$G9-1), 0)</f>
        <v>-3.1340434572824982E-2</v>
      </c>
      <c r="P9" s="52">
        <f t="shared" ref="P9:S38" si="7">IF(ISNUMBER(C9), (C9/$G9-1), 0)</f>
        <v>6.2809357260638077E-3</v>
      </c>
      <c r="Q9" s="52">
        <f t="shared" si="7"/>
        <v>7.0313688758074644E-3</v>
      </c>
      <c r="R9" s="52">
        <f t="shared" si="7"/>
        <v>1.802812997095371E-2</v>
      </c>
      <c r="S9" s="52">
        <f t="shared" si="7"/>
        <v>0</v>
      </c>
    </row>
    <row r="10" spans="1:49" ht="13.15" x14ac:dyDescent="0.4">
      <c r="A10" s="15" t="s">
        <v>71</v>
      </c>
      <c r="B10" s="22">
        <f t="shared" ref="B10:B38" si="8">G54</f>
        <v>9871.9570309999999</v>
      </c>
      <c r="C10" s="22">
        <f t="shared" si="0"/>
        <v>10248.007812</v>
      </c>
      <c r="D10" s="22">
        <f t="shared" si="0"/>
        <v>10229.118164</v>
      </c>
      <c r="E10" s="22">
        <f t="shared" si="0"/>
        <v>10345.128906</v>
      </c>
      <c r="F10" s="22"/>
      <c r="G10" s="50">
        <f t="shared" si="1"/>
        <v>10173.55297825</v>
      </c>
      <c r="H10" s="51">
        <f t="shared" si="2"/>
        <v>507387.84586591739</v>
      </c>
      <c r="I10" s="49">
        <f t="shared" si="3"/>
        <v>1.7653943683815919E-2</v>
      </c>
      <c r="J10" s="49">
        <f t="shared" si="4"/>
        <v>0.11</v>
      </c>
      <c r="K10" s="49">
        <f t="shared" si="5"/>
        <v>4.6509992724428954E-2</v>
      </c>
      <c r="L10" s="22">
        <f>G10/'Clause 6'!$H$11</f>
        <v>10173.55297825</v>
      </c>
      <c r="M10">
        <f t="shared" si="6"/>
        <v>4</v>
      </c>
      <c r="O10" s="52">
        <f t="shared" ref="O10:O38" si="9">IF(ISNUMBER(B10), (B10/$G10-1), 0)</f>
        <v>-2.9645095267580635E-2</v>
      </c>
      <c r="P10" s="52">
        <f t="shared" si="7"/>
        <v>7.3184691630521215E-3</v>
      </c>
      <c r="Q10" s="52">
        <f t="shared" si="7"/>
        <v>5.4617286476801308E-3</v>
      </c>
      <c r="R10" s="52">
        <f t="shared" si="7"/>
        <v>1.6864897456848382E-2</v>
      </c>
      <c r="S10" s="52">
        <f t="shared" si="7"/>
        <v>0</v>
      </c>
    </row>
    <row r="11" spans="1:49" ht="13.15" x14ac:dyDescent="0.4">
      <c r="A11" s="15" t="s">
        <v>72</v>
      </c>
      <c r="B11" s="22">
        <f t="shared" si="8"/>
        <v>8621.2470699999994</v>
      </c>
      <c r="C11" s="22">
        <f t="shared" si="0"/>
        <v>8934.8076170000004</v>
      </c>
      <c r="D11" s="22">
        <f t="shared" si="0"/>
        <v>8912.1083980000003</v>
      </c>
      <c r="E11" s="22">
        <f t="shared" si="0"/>
        <v>9038.9521480000003</v>
      </c>
      <c r="F11" s="22"/>
      <c r="G11" s="50">
        <f t="shared" si="1"/>
        <v>8876.778808250001</v>
      </c>
      <c r="H11" s="51">
        <f t="shared" si="2"/>
        <v>442713.5423951901</v>
      </c>
      <c r="I11" s="49">
        <f t="shared" si="3"/>
        <v>1.7471477872566851E-2</v>
      </c>
      <c r="J11" s="49">
        <f t="shared" si="4"/>
        <v>0.11</v>
      </c>
      <c r="K11" s="49">
        <f t="shared" si="5"/>
        <v>4.7055929523870686E-2</v>
      </c>
      <c r="L11" s="22">
        <f>G11/'Clause 6'!$H$11</f>
        <v>8876.778808250001</v>
      </c>
      <c r="M11">
        <f t="shared" si="6"/>
        <v>4</v>
      </c>
      <c r="O11" s="52">
        <f t="shared" si="9"/>
        <v>-2.8786538875173129E-2</v>
      </c>
      <c r="P11" s="52">
        <f t="shared" si="7"/>
        <v>6.5371470894450834E-3</v>
      </c>
      <c r="Q11" s="52">
        <f t="shared" si="7"/>
        <v>3.9800011370301203E-3</v>
      </c>
      <c r="R11" s="52">
        <f t="shared" si="7"/>
        <v>1.8269390648697481E-2</v>
      </c>
      <c r="S11" s="52">
        <f t="shared" si="7"/>
        <v>0</v>
      </c>
    </row>
    <row r="12" spans="1:49" ht="13.15" x14ac:dyDescent="0.4">
      <c r="A12" s="15" t="s">
        <v>73</v>
      </c>
      <c r="B12" s="22">
        <f t="shared" si="8"/>
        <v>7490.6547849999997</v>
      </c>
      <c r="C12" s="22">
        <f t="shared" si="0"/>
        <v>7784.4931640000004</v>
      </c>
      <c r="D12" s="22">
        <f t="shared" si="0"/>
        <v>7751.689453</v>
      </c>
      <c r="E12" s="22">
        <f t="shared" si="0"/>
        <v>7887.5297849999997</v>
      </c>
      <c r="F12" s="22"/>
      <c r="G12" s="50">
        <f t="shared" si="1"/>
        <v>7728.59179675</v>
      </c>
      <c r="H12" s="51">
        <f t="shared" si="2"/>
        <v>385449.758969508</v>
      </c>
      <c r="I12" s="49">
        <f t="shared" si="3"/>
        <v>1.892075414582654E-2</v>
      </c>
      <c r="J12" s="49">
        <f t="shared" si="4"/>
        <v>0.11</v>
      </c>
      <c r="K12" s="49">
        <f t="shared" si="5"/>
        <v>5.135152825213158E-2</v>
      </c>
      <c r="L12" s="22">
        <f>G12/'Clause 6'!$H$11</f>
        <v>7728.59179675</v>
      </c>
      <c r="M12">
        <f t="shared" si="6"/>
        <v>4</v>
      </c>
      <c r="O12" s="52">
        <f t="shared" si="9"/>
        <v>-3.0786593212240421E-2</v>
      </c>
      <c r="P12" s="52">
        <f t="shared" si="7"/>
        <v>7.2330598794865253E-3</v>
      </c>
      <c r="Q12" s="52">
        <f t="shared" si="7"/>
        <v>2.9885982928627985E-3</v>
      </c>
      <c r="R12" s="52">
        <f t="shared" si="7"/>
        <v>2.0564935039891097E-2</v>
      </c>
      <c r="S12" s="52">
        <f t="shared" si="7"/>
        <v>0</v>
      </c>
    </row>
    <row r="13" spans="1:49" ht="13.15" x14ac:dyDescent="0.4">
      <c r="A13" s="15" t="s">
        <v>74</v>
      </c>
      <c r="B13" s="22">
        <f t="shared" si="8"/>
        <v>6521.4233400000003</v>
      </c>
      <c r="C13" s="22">
        <f t="shared" si="0"/>
        <v>6752.0688479999999</v>
      </c>
      <c r="D13" s="22">
        <f t="shared" si="0"/>
        <v>6729.0048829999996</v>
      </c>
      <c r="E13" s="22">
        <f t="shared" si="0"/>
        <v>6849.3247069999998</v>
      </c>
      <c r="F13" s="22"/>
      <c r="G13" s="50">
        <f t="shared" si="1"/>
        <v>6712.9554444999994</v>
      </c>
      <c r="H13" s="51">
        <f t="shared" si="2"/>
        <v>334796.70373374625</v>
      </c>
      <c r="I13" s="49">
        <f t="shared" si="3"/>
        <v>1.7793226949808852E-2</v>
      </c>
      <c r="J13" s="49">
        <f t="shared" si="4"/>
        <v>0.11</v>
      </c>
      <c r="K13" s="49">
        <f t="shared" si="5"/>
        <v>4.884605144648365E-2</v>
      </c>
      <c r="L13" s="22">
        <f>G13/'Clause 6'!$H$11</f>
        <v>6712.9554444999994</v>
      </c>
      <c r="M13">
        <f t="shared" si="6"/>
        <v>4</v>
      </c>
      <c r="O13" s="52">
        <f t="shared" si="9"/>
        <v>-2.8531710970452484E-2</v>
      </c>
      <c r="P13" s="52">
        <f t="shared" si="7"/>
        <v>5.8265549091416347E-3</v>
      </c>
      <c r="Q13" s="52">
        <f t="shared" si="7"/>
        <v>2.3908155852798707E-3</v>
      </c>
      <c r="R13" s="52">
        <f t="shared" si="7"/>
        <v>2.031434047603109E-2</v>
      </c>
      <c r="S13" s="52">
        <f t="shared" si="7"/>
        <v>0</v>
      </c>
    </row>
    <row r="14" spans="1:49" ht="13.15" x14ac:dyDescent="0.4">
      <c r="A14" s="15" t="s">
        <v>75</v>
      </c>
      <c r="B14" s="22">
        <f t="shared" si="8"/>
        <v>5642.8647460000002</v>
      </c>
      <c r="C14" s="22">
        <f t="shared" si="0"/>
        <v>5853.1552730000003</v>
      </c>
      <c r="D14" s="22">
        <f t="shared" si="0"/>
        <v>5831.0209960000002</v>
      </c>
      <c r="E14" s="22">
        <f t="shared" si="0"/>
        <v>5943.6816410000001</v>
      </c>
      <c r="F14" s="22"/>
      <c r="G14" s="50">
        <f t="shared" si="1"/>
        <v>5817.6806639999995</v>
      </c>
      <c r="H14" s="51">
        <f t="shared" si="2"/>
        <v>290146.46764541802</v>
      </c>
      <c r="I14" s="49">
        <f t="shared" si="3"/>
        <v>1.8804710144110861E-2</v>
      </c>
      <c r="J14" s="49">
        <f t="shared" si="4"/>
        <v>0.11</v>
      </c>
      <c r="K14" s="49">
        <f t="shared" si="5"/>
        <v>5.1707357686623268E-2</v>
      </c>
      <c r="L14" s="22">
        <f>G14/'Clause 6'!$H$11</f>
        <v>5817.6806639999995</v>
      </c>
      <c r="M14">
        <f t="shared" si="6"/>
        <v>4</v>
      </c>
      <c r="O14" s="52">
        <f t="shared" si="9"/>
        <v>-3.0049074209549831E-2</v>
      </c>
      <c r="P14" s="52">
        <f t="shared" si="7"/>
        <v>6.0977236546375657E-3</v>
      </c>
      <c r="Q14" s="52">
        <f t="shared" si="7"/>
        <v>2.2930670778393836E-3</v>
      </c>
      <c r="R14" s="52">
        <f t="shared" si="7"/>
        <v>2.1658283477073326E-2</v>
      </c>
      <c r="S14" s="52">
        <f t="shared" si="7"/>
        <v>0</v>
      </c>
    </row>
    <row r="15" spans="1:49" ht="13.15" x14ac:dyDescent="0.4">
      <c r="A15" s="15" t="s">
        <v>76</v>
      </c>
      <c r="B15" s="22">
        <f t="shared" si="8"/>
        <v>4847.5380859999996</v>
      </c>
      <c r="C15" s="22">
        <f t="shared" si="0"/>
        <v>5023.9936520000001</v>
      </c>
      <c r="D15" s="22">
        <f t="shared" si="0"/>
        <v>5019.5278319999998</v>
      </c>
      <c r="E15" s="22">
        <f t="shared" si="0"/>
        <v>5111.7822269999997</v>
      </c>
      <c r="F15" s="22"/>
      <c r="G15" s="50">
        <f t="shared" si="1"/>
        <v>5000.7104492500002</v>
      </c>
      <c r="H15" s="51">
        <f t="shared" si="2"/>
        <v>249401.53239174408</v>
      </c>
      <c r="I15" s="49">
        <f t="shared" si="3"/>
        <v>1.9153195130956677E-2</v>
      </c>
      <c r="J15" s="49">
        <f t="shared" si="4"/>
        <v>0.11</v>
      </c>
      <c r="K15" s="49">
        <f t="shared" si="5"/>
        <v>5.2841319984769583E-2</v>
      </c>
      <c r="L15" s="22">
        <f>G15/'Clause 6'!$H$11</f>
        <v>5000.7104492500002</v>
      </c>
      <c r="M15">
        <f t="shared" si="6"/>
        <v>4</v>
      </c>
      <c r="O15" s="52">
        <f t="shared" si="9"/>
        <v>-3.0630120420784057E-2</v>
      </c>
      <c r="P15" s="52">
        <f t="shared" si="7"/>
        <v>4.6559789826448039E-3</v>
      </c>
      <c r="Q15" s="52">
        <f t="shared" si="7"/>
        <v>3.7629418741533804E-3</v>
      </c>
      <c r="R15" s="52">
        <f t="shared" si="7"/>
        <v>2.221119956398554E-2</v>
      </c>
      <c r="S15" s="52">
        <f t="shared" si="7"/>
        <v>0</v>
      </c>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row>
    <row r="16" spans="1:49" ht="13.15" x14ac:dyDescent="0.4">
      <c r="A16" s="15" t="s">
        <v>77</v>
      </c>
      <c r="B16" s="22">
        <f t="shared" si="8"/>
        <v>4126.6206050000001</v>
      </c>
      <c r="C16" s="22">
        <f t="shared" si="0"/>
        <v>4259.4750979999999</v>
      </c>
      <c r="D16" s="22">
        <f t="shared" si="0"/>
        <v>4266.2875979999999</v>
      </c>
      <c r="E16" s="22">
        <f t="shared" si="0"/>
        <v>4358.732422</v>
      </c>
      <c r="F16" s="22"/>
      <c r="G16" s="50">
        <f t="shared" si="1"/>
        <v>4252.7789307499997</v>
      </c>
      <c r="H16" s="51">
        <f t="shared" si="2"/>
        <v>212099.77922465949</v>
      </c>
      <c r="I16" s="49">
        <f t="shared" si="3"/>
        <v>1.9450453942568988E-2</v>
      </c>
      <c r="J16" s="49">
        <f t="shared" si="4"/>
        <v>0.11</v>
      </c>
      <c r="K16" s="49">
        <f t="shared" si="5"/>
        <v>5.457885791375143E-2</v>
      </c>
      <c r="L16" s="22">
        <f>G16/'Clause 6'!$H$11</f>
        <v>4252.7789307499997</v>
      </c>
      <c r="M16">
        <f t="shared" si="6"/>
        <v>4</v>
      </c>
      <c r="O16" s="52">
        <f t="shared" si="9"/>
        <v>-2.9664915060080732E-2</v>
      </c>
      <c r="P16" s="52">
        <f t="shared" si="7"/>
        <v>1.5745392269470582E-3</v>
      </c>
      <c r="Q16" s="52">
        <f t="shared" si="7"/>
        <v>3.1764329794630175E-3</v>
      </c>
      <c r="R16" s="52">
        <f t="shared" si="7"/>
        <v>2.4913942853670656E-2</v>
      </c>
      <c r="S16" s="52">
        <f t="shared" si="7"/>
        <v>0</v>
      </c>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row>
    <row r="17" spans="1:49" ht="13.15" x14ac:dyDescent="0.4">
      <c r="A17" s="15" t="s">
        <v>78</v>
      </c>
      <c r="B17" s="22">
        <f t="shared" si="8"/>
        <v>3467.3562010000001</v>
      </c>
      <c r="C17" s="22">
        <f t="shared" si="0"/>
        <v>3590.938721</v>
      </c>
      <c r="D17" s="22">
        <f t="shared" si="0"/>
        <v>3599.8344729999999</v>
      </c>
      <c r="E17" s="22">
        <f t="shared" si="0"/>
        <v>3659.1003420000002</v>
      </c>
      <c r="F17" s="22"/>
      <c r="G17" s="50">
        <f t="shared" si="1"/>
        <v>3579.3074342499999</v>
      </c>
      <c r="H17" s="51">
        <f t="shared" si="2"/>
        <v>178511.58711598578</v>
      </c>
      <c r="I17" s="49">
        <f t="shared" si="3"/>
        <v>1.948519894707788E-2</v>
      </c>
      <c r="J17" s="49">
        <f t="shared" si="4"/>
        <v>0.11</v>
      </c>
      <c r="K17" s="49">
        <f t="shared" si="5"/>
        <v>5.3570179293687237E-2</v>
      </c>
      <c r="L17" s="22">
        <f>G17/'Clause 6'!$H$11</f>
        <v>3579.3074342499999</v>
      </c>
      <c r="M17">
        <f t="shared" si="6"/>
        <v>4</v>
      </c>
      <c r="O17" s="52">
        <f t="shared" si="9"/>
        <v>-3.1277344935154439E-2</v>
      </c>
      <c r="P17" s="52">
        <f t="shared" si="7"/>
        <v>3.2495914261796432E-3</v>
      </c>
      <c r="Q17" s="52">
        <f t="shared" si="7"/>
        <v>5.7349191504421082E-3</v>
      </c>
      <c r="R17" s="52">
        <f t="shared" si="7"/>
        <v>2.2292834358532687E-2</v>
      </c>
      <c r="S17" s="52">
        <f t="shared" si="7"/>
        <v>0</v>
      </c>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row>
    <row r="18" spans="1:49" ht="13.15" x14ac:dyDescent="0.4">
      <c r="A18" s="15" t="s">
        <v>79</v>
      </c>
      <c r="B18" s="22">
        <f t="shared" si="8"/>
        <v>2871.2333979999999</v>
      </c>
      <c r="C18" s="22">
        <f t="shared" si="0"/>
        <v>2975.158203</v>
      </c>
      <c r="D18" s="22">
        <f t="shared" si="0"/>
        <v>2987.586182</v>
      </c>
      <c r="E18" s="22">
        <f t="shared" si="0"/>
        <v>3031.3464359999998</v>
      </c>
      <c r="F18" s="22"/>
      <c r="G18" s="50">
        <f t="shared" si="1"/>
        <v>2966.3310547499996</v>
      </c>
      <c r="H18" s="51">
        <f t="shared" si="2"/>
        <v>147940.48128637875</v>
      </c>
      <c r="I18" s="49">
        <f t="shared" si="3"/>
        <v>1.9801316659386923E-2</v>
      </c>
      <c r="J18" s="49">
        <f t="shared" si="4"/>
        <v>0.11</v>
      </c>
      <c r="K18" s="49">
        <f t="shared" si="5"/>
        <v>5.3976793232033297E-2</v>
      </c>
      <c r="L18" s="22">
        <f>G18/'Clause 6'!$H$11</f>
        <v>2966.3310547499996</v>
      </c>
      <c r="M18">
        <f t="shared" si="6"/>
        <v>4</v>
      </c>
      <c r="O18" s="52">
        <f t="shared" si="9"/>
        <v>-3.2059016675741403E-2</v>
      </c>
      <c r="P18" s="52">
        <f t="shared" si="7"/>
        <v>2.9757798732090723E-3</v>
      </c>
      <c r="Q18" s="52">
        <f t="shared" si="7"/>
        <v>7.1654602462407624E-3</v>
      </c>
      <c r="R18" s="52">
        <f t="shared" si="7"/>
        <v>2.1917776556291901E-2</v>
      </c>
      <c r="S18" s="52">
        <f t="shared" si="7"/>
        <v>0</v>
      </c>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row>
    <row r="19" spans="1:49" ht="13.15" x14ac:dyDescent="0.4">
      <c r="A19" s="15" t="s">
        <v>80</v>
      </c>
      <c r="B19" s="22">
        <f t="shared" si="8"/>
        <v>2343.5668949999999</v>
      </c>
      <c r="C19" s="22">
        <f t="shared" si="0"/>
        <v>2421.6633299999999</v>
      </c>
      <c r="D19" s="22">
        <f t="shared" si="0"/>
        <v>2430.530029</v>
      </c>
      <c r="E19" s="22">
        <f t="shared" si="0"/>
        <v>2468.3020019999999</v>
      </c>
      <c r="F19" s="22"/>
      <c r="G19" s="50">
        <f t="shared" si="1"/>
        <v>2416.0155639999998</v>
      </c>
      <c r="H19" s="51">
        <f t="shared" si="2"/>
        <v>120494.47574679606</v>
      </c>
      <c r="I19" s="49">
        <f t="shared" si="3"/>
        <v>1.8769157660426153E-2</v>
      </c>
      <c r="J19" s="49">
        <f t="shared" si="4"/>
        <v>0.11</v>
      </c>
      <c r="K19" s="49">
        <f t="shared" si="5"/>
        <v>5.1628436860516838E-2</v>
      </c>
      <c r="L19" s="22">
        <f>G19/'Clause 6'!$H$11</f>
        <v>2416.0155639999998</v>
      </c>
      <c r="M19">
        <f t="shared" si="6"/>
        <v>4</v>
      </c>
      <c r="O19" s="52">
        <f t="shared" si="9"/>
        <v>-2.9986838694057272E-2</v>
      </c>
      <c r="P19" s="52">
        <f t="shared" si="7"/>
        <v>2.3376364308884678E-3</v>
      </c>
      <c r="Q19" s="52">
        <f t="shared" si="7"/>
        <v>6.007604096709418E-3</v>
      </c>
      <c r="R19" s="52">
        <f t="shared" si="7"/>
        <v>2.1641598166459497E-2</v>
      </c>
      <c r="S19" s="52">
        <f t="shared" si="7"/>
        <v>0</v>
      </c>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row>
    <row r="20" spans="1:49" ht="13.15" x14ac:dyDescent="0.4">
      <c r="A20" s="15" t="s">
        <v>81</v>
      </c>
      <c r="B20" s="22">
        <f t="shared" si="8"/>
        <v>1886.1635739999999</v>
      </c>
      <c r="C20" s="22">
        <f t="shared" si="0"/>
        <v>1927.7030030000001</v>
      </c>
      <c r="D20" s="22">
        <f t="shared" si="0"/>
        <v>1929.1597899999999</v>
      </c>
      <c r="E20" s="22">
        <f t="shared" si="0"/>
        <v>1973.2080080000001</v>
      </c>
      <c r="F20" s="22"/>
      <c r="G20" s="50">
        <f t="shared" si="1"/>
        <v>1929.05859375</v>
      </c>
      <c r="H20" s="51">
        <f t="shared" si="2"/>
        <v>96208.363638984374</v>
      </c>
      <c r="I20" s="49">
        <f t="shared" si="3"/>
        <v>1.5958848631954375E-2</v>
      </c>
      <c r="J20" s="49">
        <f t="shared" si="4"/>
        <v>0.11</v>
      </c>
      <c r="K20" s="49">
        <f t="shared" si="5"/>
        <v>4.512275276760247E-2</v>
      </c>
      <c r="L20" s="22">
        <f>G20/'Clause 6'!$H$11</f>
        <v>1929.05859375</v>
      </c>
      <c r="M20">
        <f t="shared" si="6"/>
        <v>4</v>
      </c>
      <c r="O20" s="52">
        <f t="shared" si="9"/>
        <v>-2.2236245124423126E-2</v>
      </c>
      <c r="P20" s="52">
        <f t="shared" si="7"/>
        <v>-7.0272139705451764E-4</v>
      </c>
      <c r="Q20" s="52">
        <f t="shared" si="7"/>
        <v>5.2458878298411449E-5</v>
      </c>
      <c r="R20" s="52">
        <f t="shared" si="7"/>
        <v>2.2886507643179232E-2</v>
      </c>
      <c r="S20" s="52">
        <f t="shared" si="7"/>
        <v>0</v>
      </c>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row>
    <row r="21" spans="1:49" ht="13.15" x14ac:dyDescent="0.4">
      <c r="A21" s="15" t="s">
        <v>82</v>
      </c>
      <c r="B21" s="22">
        <f t="shared" si="8"/>
        <v>1488.8192140000001</v>
      </c>
      <c r="C21" s="22">
        <f t="shared" si="0"/>
        <v>1504.7714840000001</v>
      </c>
      <c r="D21" s="22">
        <f t="shared" si="0"/>
        <v>1502.8272710000001</v>
      </c>
      <c r="E21" s="22">
        <f t="shared" si="0"/>
        <v>1538.20874</v>
      </c>
      <c r="F21" s="22"/>
      <c r="G21" s="50">
        <f t="shared" si="1"/>
        <v>1508.65667725</v>
      </c>
      <c r="H21" s="51">
        <f t="shared" si="2"/>
        <v>75241.566368958243</v>
      </c>
      <c r="I21" s="49">
        <f t="shared" si="3"/>
        <v>1.202251505665926E-2</v>
      </c>
      <c r="J21" s="49">
        <f t="shared" si="4"/>
        <v>0.11</v>
      </c>
      <c r="K21" s="49">
        <f t="shared" si="5"/>
        <v>3.2737419152267189E-2</v>
      </c>
      <c r="L21" s="22">
        <f>G21/'Clause 6'!$H$11</f>
        <v>1508.65667725</v>
      </c>
      <c r="M21">
        <f t="shared" si="6"/>
        <v>4</v>
      </c>
      <c r="O21" s="52">
        <f t="shared" si="9"/>
        <v>-1.3149090544682385E-2</v>
      </c>
      <c r="P21" s="52">
        <f t="shared" si="7"/>
        <v>-2.5752666650983302E-3</v>
      </c>
      <c r="Q21" s="52">
        <f t="shared" si="7"/>
        <v>-3.8639713978039225E-3</v>
      </c>
      <c r="R21" s="52">
        <f t="shared" si="7"/>
        <v>1.9588328607584859E-2</v>
      </c>
      <c r="S21" s="52">
        <f t="shared" si="7"/>
        <v>0</v>
      </c>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row>
    <row r="22" spans="1:49" ht="13.15" x14ac:dyDescent="0.4">
      <c r="A22" s="15" t="s">
        <v>83</v>
      </c>
      <c r="B22" s="22">
        <f t="shared" si="8"/>
        <v>1156.5295410000001</v>
      </c>
      <c r="C22" s="22">
        <f t="shared" si="0"/>
        <v>1159.0582280000001</v>
      </c>
      <c r="D22" s="22">
        <f t="shared" si="0"/>
        <v>1158.246216</v>
      </c>
      <c r="E22" s="22">
        <f t="shared" si="0"/>
        <v>1187.6561280000001</v>
      </c>
      <c r="F22" s="22"/>
      <c r="G22" s="50">
        <f t="shared" si="1"/>
        <v>1165.37252825</v>
      </c>
      <c r="H22" s="51">
        <f t="shared" si="2"/>
        <v>58120.880483368455</v>
      </c>
      <c r="I22" s="49">
        <f t="shared" si="3"/>
        <v>1.1067525415378728E-2</v>
      </c>
      <c r="J22" s="49">
        <f t="shared" si="4"/>
        <v>0.11</v>
      </c>
      <c r="K22" s="49">
        <f t="shared" si="5"/>
        <v>2.6709559600432406E-2</v>
      </c>
      <c r="L22" s="22">
        <f>G22/'Clause 6'!$H$11</f>
        <v>1165.37252825</v>
      </c>
      <c r="M22">
        <f t="shared" si="6"/>
        <v>4</v>
      </c>
      <c r="O22" s="52">
        <f t="shared" si="9"/>
        <v>-7.5881205671451957E-3</v>
      </c>
      <c r="P22" s="52">
        <f t="shared" si="7"/>
        <v>-5.4182676328244916E-3</v>
      </c>
      <c r="Q22" s="52">
        <f t="shared" si="7"/>
        <v>-6.1150508333170928E-3</v>
      </c>
      <c r="R22" s="52">
        <f t="shared" si="7"/>
        <v>1.9121439033287224E-2</v>
      </c>
      <c r="S22" s="52">
        <f t="shared" si="7"/>
        <v>0</v>
      </c>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ht="13.15" x14ac:dyDescent="0.4">
      <c r="A23" s="15" t="s">
        <v>84</v>
      </c>
      <c r="B23" s="22">
        <f t="shared" si="8"/>
        <v>885.68054199999995</v>
      </c>
      <c r="C23" s="22">
        <f t="shared" si="0"/>
        <v>897.34167500000001</v>
      </c>
      <c r="D23" s="22">
        <f t="shared" si="0"/>
        <v>884.45739700000001</v>
      </c>
      <c r="E23" s="22">
        <f t="shared" si="0"/>
        <v>900.83154300000001</v>
      </c>
      <c r="F23" s="22"/>
      <c r="G23" s="50">
        <f t="shared" si="1"/>
        <v>892.07778925000002</v>
      </c>
      <c r="H23" s="51">
        <f t="shared" si="2"/>
        <v>44490.791840378886</v>
      </c>
      <c r="I23" s="49">
        <f t="shared" si="3"/>
        <v>7.9922669628194505E-3</v>
      </c>
      <c r="J23" s="49">
        <f t="shared" si="4"/>
        <v>0.11</v>
      </c>
      <c r="K23" s="49">
        <f t="shared" si="5"/>
        <v>1.8355065216640237E-2</v>
      </c>
      <c r="L23" s="22">
        <f>G23/'Clause 6'!$H$11</f>
        <v>892.07778925000002</v>
      </c>
      <c r="M23">
        <f t="shared" si="6"/>
        <v>4</v>
      </c>
      <c r="O23" s="52">
        <f t="shared" si="9"/>
        <v>-7.1711764681177126E-3</v>
      </c>
      <c r="P23" s="52">
        <f t="shared" si="7"/>
        <v>5.900702621937759E-3</v>
      </c>
      <c r="Q23" s="52">
        <f t="shared" si="7"/>
        <v>-8.542295685230239E-3</v>
      </c>
      <c r="R23" s="52">
        <f t="shared" si="7"/>
        <v>9.8127695314100816E-3</v>
      </c>
      <c r="S23" s="52">
        <f t="shared" si="7"/>
        <v>0</v>
      </c>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row>
    <row r="24" spans="1:49" ht="13.15" x14ac:dyDescent="0.4">
      <c r="A24" s="15" t="s">
        <v>85</v>
      </c>
      <c r="B24" s="22">
        <f t="shared" si="8"/>
        <v>676.272156</v>
      </c>
      <c r="C24" s="22">
        <f t="shared" si="0"/>
        <v>681.209473</v>
      </c>
      <c r="D24" s="22">
        <f t="shared" si="0"/>
        <v>674.25317399999994</v>
      </c>
      <c r="E24" s="22">
        <f t="shared" si="0"/>
        <v>681.85900900000001</v>
      </c>
      <c r="F24" s="22"/>
      <c r="G24" s="50">
        <f t="shared" si="1"/>
        <v>678.39845300000002</v>
      </c>
      <c r="H24" s="51">
        <f t="shared" si="2"/>
        <v>33833.915294128659</v>
      </c>
      <c r="I24" s="49">
        <f t="shared" si="3"/>
        <v>4.7526581751047275E-3</v>
      </c>
      <c r="J24" s="49">
        <f t="shared" si="4"/>
        <v>0.11</v>
      </c>
      <c r="K24" s="49">
        <f t="shared" si="5"/>
        <v>1.121145687518257E-2</v>
      </c>
      <c r="L24" s="22">
        <f>G24/'Clause 6'!$H$11</f>
        <v>678.39845300000002</v>
      </c>
      <c r="M24">
        <f t="shared" si="6"/>
        <v>4</v>
      </c>
      <c r="O24" s="52">
        <f t="shared" si="9"/>
        <v>-3.1342892817592949E-3</v>
      </c>
      <c r="P24" s="52">
        <f t="shared" si="7"/>
        <v>4.1436120432898349E-3</v>
      </c>
      <c r="Q24" s="52">
        <f t="shared" si="7"/>
        <v>-6.1103898183566541E-3</v>
      </c>
      <c r="R24" s="52">
        <f t="shared" si="7"/>
        <v>5.101067056825892E-3</v>
      </c>
      <c r="S24" s="52">
        <f t="shared" si="7"/>
        <v>0</v>
      </c>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row>
    <row r="25" spans="1:49" ht="13.15" x14ac:dyDescent="0.4">
      <c r="A25" s="15" t="s">
        <v>86</v>
      </c>
      <c r="B25" s="22">
        <f t="shared" si="8"/>
        <v>513.95404099999996</v>
      </c>
      <c r="C25" s="22">
        <f t="shared" ref="C25:C38" si="10">H69</f>
        <v>521.46813999999995</v>
      </c>
      <c r="D25" s="22">
        <f t="shared" ref="D25:D38" si="11">I69</f>
        <v>507.88668799999999</v>
      </c>
      <c r="E25" s="22">
        <f t="shared" ref="E25:E38" si="12">J69</f>
        <v>515.518372</v>
      </c>
      <c r="F25" s="22"/>
      <c r="G25" s="50">
        <f t="shared" si="1"/>
        <v>514.70681024999999</v>
      </c>
      <c r="H25" s="51">
        <f t="shared" si="2"/>
        <v>25670.085983096502</v>
      </c>
      <c r="I25" s="49">
        <f t="shared" si="3"/>
        <v>9.390986684673662E-3</v>
      </c>
      <c r="J25" s="49">
        <f t="shared" si="4"/>
        <v>0.11</v>
      </c>
      <c r="K25" s="49">
        <f t="shared" si="5"/>
        <v>2.638677345925006E-2</v>
      </c>
      <c r="L25" s="22">
        <f>G25/'Clause 6'!$H$11</f>
        <v>514.70681024999999</v>
      </c>
      <c r="M25">
        <f t="shared" si="6"/>
        <v>4</v>
      </c>
      <c r="O25" s="52">
        <f t="shared" si="9"/>
        <v>-1.4625204776956835E-3</v>
      </c>
      <c r="P25" s="52">
        <f t="shared" si="7"/>
        <v>1.3136274118300317E-2</v>
      </c>
      <c r="Q25" s="52">
        <f t="shared" si="7"/>
        <v>-1.3250499340949795E-2</v>
      </c>
      <c r="R25" s="52">
        <f t="shared" si="7"/>
        <v>1.5767457003450502E-3</v>
      </c>
      <c r="S25" s="52">
        <f t="shared" si="7"/>
        <v>0</v>
      </c>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row>
    <row r="26" spans="1:49" ht="13.15" x14ac:dyDescent="0.4">
      <c r="A26" s="15" t="s">
        <v>87</v>
      </c>
      <c r="B26" s="22">
        <f t="shared" si="8"/>
        <v>389.90353399999998</v>
      </c>
      <c r="C26" s="22">
        <f t="shared" si="10"/>
        <v>400.82702599999999</v>
      </c>
      <c r="D26" s="22">
        <f t="shared" si="11"/>
        <v>386.24664300000001</v>
      </c>
      <c r="E26" s="22">
        <f t="shared" si="12"/>
        <v>392.97232100000002</v>
      </c>
      <c r="F26" s="22"/>
      <c r="G26" s="50">
        <f t="shared" si="1"/>
        <v>392.48738099999997</v>
      </c>
      <c r="H26" s="51">
        <f t="shared" si="2"/>
        <v>19574.609499836817</v>
      </c>
      <c r="I26" s="49">
        <f t="shared" si="3"/>
        <v>1.3685545603146937E-2</v>
      </c>
      <c r="J26" s="49">
        <f t="shared" si="4"/>
        <v>0.11</v>
      </c>
      <c r="K26" s="49">
        <f t="shared" si="5"/>
        <v>3.7148666952938253E-2</v>
      </c>
      <c r="L26" s="22">
        <f>G26/'Clause 6'!$H$11</f>
        <v>392.48738099999997</v>
      </c>
      <c r="M26">
        <f t="shared" si="6"/>
        <v>4</v>
      </c>
      <c r="O26" s="52">
        <f t="shared" si="9"/>
        <v>-6.583261335477153E-3</v>
      </c>
      <c r="P26" s="52">
        <f t="shared" si="7"/>
        <v>2.1248186320670603E-2</v>
      </c>
      <c r="Q26" s="52">
        <f t="shared" si="7"/>
        <v>-1.5900480632267677E-2</v>
      </c>
      <c r="R26" s="52">
        <f t="shared" si="7"/>
        <v>1.2355556470744489E-3</v>
      </c>
      <c r="S26" s="52">
        <f t="shared" si="7"/>
        <v>0</v>
      </c>
    </row>
    <row r="27" spans="1:49" ht="13.15" x14ac:dyDescent="0.4">
      <c r="A27" s="15" t="s">
        <v>88</v>
      </c>
      <c r="B27" s="22">
        <f t="shared" si="8"/>
        <v>303.37640399999998</v>
      </c>
      <c r="C27" s="22">
        <f t="shared" si="10"/>
        <v>315.55304000000001</v>
      </c>
      <c r="D27" s="22">
        <f t="shared" si="11"/>
        <v>297.87988300000001</v>
      </c>
      <c r="E27" s="22">
        <f t="shared" si="12"/>
        <v>296.93859900000001</v>
      </c>
      <c r="F27" s="22"/>
      <c r="G27" s="50">
        <f t="shared" si="1"/>
        <v>303.4369815</v>
      </c>
      <c r="H27" s="51">
        <f t="shared" si="2"/>
        <v>15133.379334485429</v>
      </c>
      <c r="I27" s="49">
        <f t="shared" si="3"/>
        <v>2.4435813971547642E-2</v>
      </c>
      <c r="J27" s="49">
        <f t="shared" si="4"/>
        <v>0.11</v>
      </c>
      <c r="K27" s="49">
        <f t="shared" si="5"/>
        <v>6.134532748111983E-2</v>
      </c>
      <c r="L27" s="22">
        <f>G27/'Clause 6'!$H$11</f>
        <v>303.4369815</v>
      </c>
      <c r="M27">
        <f t="shared" si="6"/>
        <v>4</v>
      </c>
      <c r="O27" s="52">
        <f t="shared" si="9"/>
        <v>-1.996378282586031E-4</v>
      </c>
      <c r="P27" s="52">
        <f t="shared" si="7"/>
        <v>3.9929406231586917E-2</v>
      </c>
      <c r="Q27" s="52">
        <f t="shared" si="7"/>
        <v>-1.8313847153795249E-2</v>
      </c>
      <c r="R27" s="52">
        <f t="shared" si="7"/>
        <v>-2.1415921249532954E-2</v>
      </c>
      <c r="S27" s="52">
        <f t="shared" si="7"/>
        <v>0</v>
      </c>
    </row>
    <row r="28" spans="1:49" ht="13.15" x14ac:dyDescent="0.4">
      <c r="A28" s="15" t="s">
        <v>89</v>
      </c>
      <c r="B28" s="22">
        <f t="shared" si="8"/>
        <v>234.17596399999999</v>
      </c>
      <c r="C28" s="22">
        <f t="shared" si="10"/>
        <v>242.166336</v>
      </c>
      <c r="D28" s="22">
        <f t="shared" si="11"/>
        <v>228.47001599999999</v>
      </c>
      <c r="E28" s="22">
        <f t="shared" si="12"/>
        <v>232.13056900000001</v>
      </c>
      <c r="F28" s="22"/>
      <c r="G28" s="50">
        <f t="shared" si="1"/>
        <v>234.23572125000001</v>
      </c>
      <c r="H28" s="51">
        <f t="shared" si="2"/>
        <v>11682.089657759925</v>
      </c>
      <c r="I28" s="49">
        <f t="shared" si="3"/>
        <v>2.1407113315257239E-2</v>
      </c>
      <c r="J28" s="49">
        <f t="shared" si="4"/>
        <v>0.11</v>
      </c>
      <c r="K28" s="49">
        <f t="shared" si="5"/>
        <v>5.8472379562389286E-2</v>
      </c>
      <c r="L28" s="22">
        <f>G28/'Clause 6'!$H$11</f>
        <v>234.23572125000001</v>
      </c>
      <c r="M28">
        <f t="shared" si="6"/>
        <v>4</v>
      </c>
      <c r="O28" s="52">
        <f t="shared" si="9"/>
        <v>-2.5511587080362386E-4</v>
      </c>
      <c r="P28" s="52">
        <f t="shared" si="7"/>
        <v>3.3857409568780694E-2</v>
      </c>
      <c r="Q28" s="52">
        <f t="shared" si="7"/>
        <v>-2.4614969993608571E-2</v>
      </c>
      <c r="R28" s="52">
        <f t="shared" si="7"/>
        <v>-8.9873237043686105E-3</v>
      </c>
      <c r="S28" s="52">
        <f t="shared" si="7"/>
        <v>0</v>
      </c>
    </row>
    <row r="29" spans="1:49" ht="13.15" x14ac:dyDescent="0.4">
      <c r="A29" s="15" t="s">
        <v>90</v>
      </c>
      <c r="B29" s="22">
        <f t="shared" si="8"/>
        <v>181.87702899999999</v>
      </c>
      <c r="C29" s="22">
        <f t="shared" si="10"/>
        <v>184.89129600000001</v>
      </c>
      <c r="D29" s="22">
        <f t="shared" si="11"/>
        <v>170.315811</v>
      </c>
      <c r="E29" s="22">
        <f t="shared" si="12"/>
        <v>179.400406</v>
      </c>
      <c r="F29" s="22"/>
      <c r="G29" s="50">
        <f t="shared" si="1"/>
        <v>179.12113549999998</v>
      </c>
      <c r="H29" s="51">
        <f t="shared" si="2"/>
        <v>8933.347797441309</v>
      </c>
      <c r="I29" s="49">
        <f t="shared" si="3"/>
        <v>3.0386800267743042E-2</v>
      </c>
      <c r="J29" s="49">
        <f t="shared" si="4"/>
        <v>0.113</v>
      </c>
      <c r="K29" s="49">
        <f t="shared" si="5"/>
        <v>8.1372223100941748E-2</v>
      </c>
      <c r="L29" s="22">
        <f>G29/'Clause 6'!$H$11</f>
        <v>179.12113549999998</v>
      </c>
      <c r="M29">
        <f t="shared" si="6"/>
        <v>4</v>
      </c>
      <c r="O29" s="52">
        <f t="shared" si="9"/>
        <v>1.5385641076398837E-2</v>
      </c>
      <c r="P29" s="52">
        <f t="shared" si="7"/>
        <v>3.2213733370398456E-2</v>
      </c>
      <c r="Q29" s="52">
        <f t="shared" si="7"/>
        <v>-4.9158489730543153E-2</v>
      </c>
      <c r="R29" s="52">
        <f t="shared" si="7"/>
        <v>1.559115283746193E-3</v>
      </c>
      <c r="S29" s="52">
        <f t="shared" si="7"/>
        <v>0</v>
      </c>
    </row>
    <row r="30" spans="1:49" ht="13.15" x14ac:dyDescent="0.4">
      <c r="A30" s="15" t="s">
        <v>91</v>
      </c>
      <c r="B30" s="22">
        <f t="shared" si="8"/>
        <v>141.27093500000001</v>
      </c>
      <c r="C30" s="22">
        <f t="shared" si="10"/>
        <v>141.27188100000001</v>
      </c>
      <c r="D30" s="22">
        <f t="shared" si="11"/>
        <v>128.057739</v>
      </c>
      <c r="E30" s="22">
        <f t="shared" si="12"/>
        <v>135.114914</v>
      </c>
      <c r="F30" s="22"/>
      <c r="G30" s="50">
        <f t="shared" si="1"/>
        <v>136.42886725</v>
      </c>
      <c r="H30" s="51">
        <f t="shared" si="2"/>
        <v>6804.1469107100447</v>
      </c>
      <c r="I30" s="49">
        <f t="shared" si="3"/>
        <v>3.9929508391290988E-2</v>
      </c>
      <c r="J30" s="49">
        <f t="shared" si="4"/>
        <v>0.113</v>
      </c>
      <c r="K30" s="49">
        <f t="shared" si="5"/>
        <v>9.6857375322083897E-2</v>
      </c>
      <c r="L30" s="22">
        <f>G30/'Clause 6'!$H$11</f>
        <v>136.42886725</v>
      </c>
      <c r="M30">
        <f t="shared" si="6"/>
        <v>4</v>
      </c>
      <c r="O30" s="52">
        <f t="shared" si="9"/>
        <v>3.5491519116164216E-2</v>
      </c>
      <c r="P30" s="52">
        <f t="shared" si="7"/>
        <v>3.5498453132542629E-2</v>
      </c>
      <c r="Q30" s="52">
        <f t="shared" si="7"/>
        <v>-6.1358922189541198E-2</v>
      </c>
      <c r="R30" s="52">
        <f t="shared" si="7"/>
        <v>-9.6310500591655357E-3</v>
      </c>
      <c r="S30" s="52">
        <f t="shared" si="7"/>
        <v>0</v>
      </c>
    </row>
    <row r="31" spans="1:49" ht="13.15" x14ac:dyDescent="0.4">
      <c r="A31" s="15" t="s">
        <v>92</v>
      </c>
      <c r="B31" s="22">
        <f t="shared" si="8"/>
        <v>104.491592</v>
      </c>
      <c r="C31" s="22">
        <f t="shared" si="10"/>
        <v>106.199516</v>
      </c>
      <c r="D31" s="22">
        <f t="shared" si="11"/>
        <v>95.080650000000006</v>
      </c>
      <c r="E31" s="22">
        <f t="shared" si="12"/>
        <v>102.121742</v>
      </c>
      <c r="F31" s="22"/>
      <c r="G31" s="50">
        <f t="shared" si="1"/>
        <v>101.97337499999999</v>
      </c>
      <c r="H31" s="51">
        <f t="shared" si="2"/>
        <v>5085.7405655174989</v>
      </c>
      <c r="I31" s="49">
        <f t="shared" si="3"/>
        <v>4.1528264660650842E-2</v>
      </c>
      <c r="J31" s="49">
        <f t="shared" si="4"/>
        <v>0.113</v>
      </c>
      <c r="K31" s="49">
        <f t="shared" si="5"/>
        <v>0.109036952047532</v>
      </c>
      <c r="L31" s="22">
        <f>G31/'Clause 6'!$H$11</f>
        <v>101.97337499999999</v>
      </c>
      <c r="M31">
        <f t="shared" si="6"/>
        <v>4</v>
      </c>
      <c r="O31" s="52">
        <f t="shared" si="9"/>
        <v>2.4694848042442485E-2</v>
      </c>
      <c r="P31" s="52">
        <f t="shared" si="7"/>
        <v>4.1443572893414604E-2</v>
      </c>
      <c r="Q31" s="52">
        <f t="shared" si="7"/>
        <v>-6.7593379154117339E-2</v>
      </c>
      <c r="R31" s="52">
        <f t="shared" si="7"/>
        <v>1.4549582182605825E-3</v>
      </c>
      <c r="S31" s="52">
        <f t="shared" si="7"/>
        <v>0</v>
      </c>
    </row>
    <row r="32" spans="1:49" ht="13.15" x14ac:dyDescent="0.4">
      <c r="A32" s="15" t="s">
        <v>93</v>
      </c>
      <c r="B32" s="22">
        <f t="shared" si="8"/>
        <v>75.897246999999993</v>
      </c>
      <c r="C32" s="22">
        <f t="shared" si="10"/>
        <v>79.772437999999994</v>
      </c>
      <c r="D32" s="22">
        <f t="shared" si="11"/>
        <v>71.68074</v>
      </c>
      <c r="E32" s="22">
        <f t="shared" si="12"/>
        <v>76.002144000000001</v>
      </c>
      <c r="F32" s="22"/>
      <c r="G32" s="50">
        <f t="shared" si="1"/>
        <v>75.83814224999999</v>
      </c>
      <c r="H32" s="51">
        <f t="shared" si="2"/>
        <v>3782.2923528255442</v>
      </c>
      <c r="I32" s="49">
        <f t="shared" si="3"/>
        <v>3.7754900761791471E-2</v>
      </c>
      <c r="J32" s="49">
        <f t="shared" si="4"/>
        <v>0.11900000000000001</v>
      </c>
      <c r="K32" s="49">
        <f t="shared" si="5"/>
        <v>0.10669694377963214</v>
      </c>
      <c r="L32" s="22">
        <f>G32/'Clause 6'!$H$11</f>
        <v>75.83814224999999</v>
      </c>
      <c r="M32">
        <f t="shared" si="6"/>
        <v>4</v>
      </c>
      <c r="O32" s="52">
        <f t="shared" si="9"/>
        <v>7.7935387453398342E-4</v>
      </c>
      <c r="P32" s="52">
        <f t="shared" si="7"/>
        <v>5.1877533300204393E-2</v>
      </c>
      <c r="Q32" s="52">
        <f t="shared" si="7"/>
        <v>-5.4819410479427844E-2</v>
      </c>
      <c r="R32" s="52">
        <f t="shared" si="7"/>
        <v>2.1625233046898007E-3</v>
      </c>
      <c r="S32" s="52">
        <f t="shared" si="7"/>
        <v>0</v>
      </c>
    </row>
    <row r="33" spans="1:19" ht="13.15" x14ac:dyDescent="0.4">
      <c r="A33" s="15" t="s">
        <v>94</v>
      </c>
      <c r="B33" s="22">
        <f t="shared" si="8"/>
        <v>56.869788999999997</v>
      </c>
      <c r="C33" s="22">
        <f t="shared" si="10"/>
        <v>59.043396000000001</v>
      </c>
      <c r="D33" s="22">
        <f t="shared" si="11"/>
        <v>53.809921000000003</v>
      </c>
      <c r="E33" s="22">
        <f t="shared" si="12"/>
        <v>53.515720000000002</v>
      </c>
      <c r="F33" s="22"/>
      <c r="G33" s="50">
        <f t="shared" si="1"/>
        <v>55.809706500000004</v>
      </c>
      <c r="H33" s="51">
        <f t="shared" si="2"/>
        <v>2783.4097704099299</v>
      </c>
      <c r="I33" s="49">
        <f t="shared" si="3"/>
        <v>4.0900664672771953E-2</v>
      </c>
      <c r="J33" s="49">
        <f t="shared" si="4"/>
        <v>0.11900000000000001</v>
      </c>
      <c r="K33" s="49">
        <f t="shared" si="5"/>
        <v>9.9045064858027859E-2</v>
      </c>
      <c r="L33" s="22">
        <f>G33/'Clause 6'!$H$11</f>
        <v>55.809706500000004</v>
      </c>
      <c r="M33">
        <f t="shared" si="6"/>
        <v>4</v>
      </c>
      <c r="O33" s="52">
        <f t="shared" si="9"/>
        <v>1.8994590125644084E-2</v>
      </c>
      <c r="P33" s="52">
        <f t="shared" si="7"/>
        <v>5.7941345740637473E-2</v>
      </c>
      <c r="Q33" s="52">
        <f t="shared" si="7"/>
        <v>-3.5832216748891144E-2</v>
      </c>
      <c r="R33" s="52">
        <f t="shared" si="7"/>
        <v>-4.1103719117390525E-2</v>
      </c>
      <c r="S33" s="52">
        <f t="shared" si="7"/>
        <v>0</v>
      </c>
    </row>
    <row r="34" spans="1:19" ht="13.15" x14ac:dyDescent="0.4">
      <c r="A34" s="15" t="s">
        <v>95</v>
      </c>
      <c r="B34" s="22">
        <f t="shared" si="8"/>
        <v>39.436805999999997</v>
      </c>
      <c r="C34" s="22">
        <f t="shared" si="10"/>
        <v>45.093040000000002</v>
      </c>
      <c r="D34" s="22">
        <f t="shared" si="11"/>
        <v>40.678325999999998</v>
      </c>
      <c r="E34" s="22">
        <f t="shared" si="12"/>
        <v>39.179397999999999</v>
      </c>
      <c r="F34" s="22"/>
      <c r="G34" s="50">
        <f t="shared" si="1"/>
        <v>41.096892499999996</v>
      </c>
      <c r="H34" s="51">
        <f t="shared" si="2"/>
        <v>2049.6343609688497</v>
      </c>
      <c r="I34" s="49">
        <f t="shared" si="3"/>
        <v>5.7808907586463905E-2</v>
      </c>
      <c r="J34" s="49">
        <f t="shared" si="4"/>
        <v>0.11900000000000001</v>
      </c>
      <c r="K34" s="49">
        <f t="shared" si="5"/>
        <v>0.14389511323757639</v>
      </c>
      <c r="L34" s="22">
        <f>G34/'Clause 6'!$H$11</f>
        <v>41.096892499999996</v>
      </c>
      <c r="M34">
        <f t="shared" si="6"/>
        <v>4</v>
      </c>
      <c r="O34" s="52">
        <f t="shared" si="9"/>
        <v>-4.0394453181587853E-2</v>
      </c>
      <c r="P34" s="52">
        <f t="shared" si="7"/>
        <v>9.7237218118134017E-2</v>
      </c>
      <c r="Q34" s="52">
        <f t="shared" si="7"/>
        <v>-1.0184869817103537E-2</v>
      </c>
      <c r="R34" s="52">
        <f t="shared" si="7"/>
        <v>-4.6657895119442294E-2</v>
      </c>
      <c r="S34" s="52">
        <f t="shared" si="7"/>
        <v>0</v>
      </c>
    </row>
    <row r="35" spans="1:19" ht="13.15" x14ac:dyDescent="0.4">
      <c r="A35" s="15" t="s">
        <v>96</v>
      </c>
      <c r="B35" s="22">
        <f t="shared" si="8"/>
        <v>26.680965</v>
      </c>
      <c r="C35" s="22">
        <f t="shared" si="10"/>
        <v>32.223351000000001</v>
      </c>
      <c r="D35" s="22">
        <f t="shared" si="11"/>
        <v>29.126472</v>
      </c>
      <c r="E35" s="22">
        <f t="shared" si="12"/>
        <v>27.985285000000001</v>
      </c>
      <c r="F35" s="22"/>
      <c r="G35" s="50">
        <f t="shared" si="1"/>
        <v>29.004018250000001</v>
      </c>
      <c r="H35" s="51">
        <f t="shared" si="2"/>
        <v>1446.523783066265</v>
      </c>
      <c r="I35" s="49">
        <f t="shared" si="3"/>
        <v>7.068720289017888E-2</v>
      </c>
      <c r="J35" s="49">
        <f t="shared" si="4"/>
        <v>0.13400000000000001</v>
      </c>
      <c r="K35" s="49">
        <f t="shared" si="5"/>
        <v>0.19109028108544926</v>
      </c>
      <c r="L35" s="22">
        <f>G35/'Clause 6'!$H$11</f>
        <v>29.004018250000001</v>
      </c>
      <c r="M35">
        <f t="shared" si="6"/>
        <v>4</v>
      </c>
      <c r="O35" s="52">
        <f t="shared" si="9"/>
        <v>-8.0094186604644069E-2</v>
      </c>
      <c r="P35" s="52">
        <f t="shared" si="7"/>
        <v>0.11099609448080527</v>
      </c>
      <c r="Q35" s="52">
        <f t="shared" si="7"/>
        <v>4.2219581074769419E-3</v>
      </c>
      <c r="R35" s="52">
        <f t="shared" si="7"/>
        <v>-3.5123865983638369E-2</v>
      </c>
      <c r="S35" s="52">
        <f t="shared" si="7"/>
        <v>0</v>
      </c>
    </row>
    <row r="36" spans="1:19" ht="13.15" x14ac:dyDescent="0.4">
      <c r="A36" s="15" t="s">
        <v>97</v>
      </c>
      <c r="B36" s="22">
        <f t="shared" si="8"/>
        <v>17.964476000000001</v>
      </c>
      <c r="C36" s="22">
        <f t="shared" si="10"/>
        <v>23.578060000000001</v>
      </c>
      <c r="D36" s="22">
        <f t="shared" si="11"/>
        <v>20.042963</v>
      </c>
      <c r="E36" s="22">
        <f t="shared" si="12"/>
        <v>18.853245000000001</v>
      </c>
      <c r="F36" s="22"/>
      <c r="G36" s="50">
        <f t="shared" si="1"/>
        <v>20.109686</v>
      </c>
      <c r="H36" s="51">
        <f t="shared" si="2"/>
        <v>1002.9347940089199</v>
      </c>
      <c r="I36" s="49">
        <f t="shared" si="3"/>
        <v>0.10611456842262444</v>
      </c>
      <c r="J36" s="49">
        <f t="shared" si="4"/>
        <v>0.13400000000000001</v>
      </c>
      <c r="K36" s="49">
        <f t="shared" si="5"/>
        <v>0.27914826715842306</v>
      </c>
      <c r="L36" s="22">
        <f>G36/'Clause 6'!$H$11</f>
        <v>20.109686</v>
      </c>
      <c r="M36">
        <f t="shared" si="6"/>
        <v>4</v>
      </c>
      <c r="O36" s="52">
        <f t="shared" si="9"/>
        <v>-0.10667545977595072</v>
      </c>
      <c r="P36" s="52">
        <f t="shared" si="7"/>
        <v>0.17247280738247239</v>
      </c>
      <c r="Q36" s="52">
        <f t="shared" si="7"/>
        <v>-3.3179533484510859E-3</v>
      </c>
      <c r="R36" s="52">
        <f t="shared" si="7"/>
        <v>-6.2479394258070364E-2</v>
      </c>
      <c r="S36" s="52">
        <f t="shared" si="7"/>
        <v>0</v>
      </c>
    </row>
    <row r="37" spans="1:19" ht="13.15" x14ac:dyDescent="0.4">
      <c r="A37" s="15" t="s">
        <v>98</v>
      </c>
      <c r="B37" s="22">
        <f t="shared" si="8"/>
        <v>12.118048999999999</v>
      </c>
      <c r="C37" s="22">
        <f t="shared" si="10"/>
        <v>16.209917000000001</v>
      </c>
      <c r="D37" s="22">
        <f t="shared" si="11"/>
        <v>14.908804</v>
      </c>
      <c r="E37" s="22">
        <f t="shared" si="12"/>
        <v>12.961605</v>
      </c>
      <c r="F37" s="22"/>
      <c r="G37" s="50">
        <f t="shared" si="1"/>
        <v>14.04959375</v>
      </c>
      <c r="H37" s="51">
        <f t="shared" si="2"/>
        <v>700.69848000437491</v>
      </c>
      <c r="I37" s="49">
        <f t="shared" si="3"/>
        <v>0.11432530567990278</v>
      </c>
      <c r="J37" s="49">
        <f t="shared" si="4"/>
        <v>0.156</v>
      </c>
      <c r="K37" s="49">
        <f t="shared" si="5"/>
        <v>0.2912445778014045</v>
      </c>
      <c r="L37" s="22">
        <f>G37/'Clause 6'!$H$11</f>
        <v>14.04959375</v>
      </c>
      <c r="M37">
        <f t="shared" si="6"/>
        <v>4</v>
      </c>
      <c r="O37" s="52">
        <f t="shared" si="9"/>
        <v>-0.13748046985344331</v>
      </c>
      <c r="P37" s="52">
        <f t="shared" si="7"/>
        <v>0.15376410794796125</v>
      </c>
      <c r="Q37" s="52">
        <f t="shared" si="7"/>
        <v>6.1155522735310441E-2</v>
      </c>
      <c r="R37" s="52">
        <f t="shared" si="7"/>
        <v>-7.7439160829828158E-2</v>
      </c>
      <c r="S37" s="52">
        <f t="shared" si="7"/>
        <v>0</v>
      </c>
    </row>
    <row r="38" spans="1:19" ht="13.15" x14ac:dyDescent="0.4">
      <c r="A38" s="15" t="s">
        <v>99</v>
      </c>
      <c r="B38" s="22">
        <f t="shared" si="8"/>
        <v>7.6535039999999999</v>
      </c>
      <c r="C38" s="22">
        <f t="shared" si="10"/>
        <v>12.083755999999999</v>
      </c>
      <c r="D38" s="22">
        <f t="shared" si="11"/>
        <v>9.9721150000000005</v>
      </c>
      <c r="E38" s="22">
        <f t="shared" si="12"/>
        <v>8.3464880000000008</v>
      </c>
      <c r="F38" s="22"/>
      <c r="G38" s="50">
        <f t="shared" si="1"/>
        <v>9.5139657500000006</v>
      </c>
      <c r="H38" s="51">
        <f t="shared" si="2"/>
        <v>474.49210692221499</v>
      </c>
      <c r="I38" s="49">
        <f t="shared" si="3"/>
        <v>0.17928684904731004</v>
      </c>
      <c r="J38" s="49">
        <f t="shared" si="4"/>
        <v>0.193</v>
      </c>
      <c r="K38" s="49">
        <f t="shared" si="5"/>
        <v>0.46565776211670712</v>
      </c>
      <c r="L38" s="22">
        <f>G38/'Clause 6'!$H$11</f>
        <v>9.5139657500000006</v>
      </c>
      <c r="M38">
        <f t="shared" si="6"/>
        <v>4</v>
      </c>
      <c r="O38" s="52">
        <f t="shared" si="9"/>
        <v>-0.19555060412110492</v>
      </c>
      <c r="P38" s="52">
        <f t="shared" si="7"/>
        <v>0.27010715799560225</v>
      </c>
      <c r="Q38" s="52">
        <f t="shared" si="7"/>
        <v>4.8155444536890357E-2</v>
      </c>
      <c r="R38" s="52">
        <f t="shared" si="7"/>
        <v>-0.12271199841138802</v>
      </c>
      <c r="S38" s="52">
        <f t="shared" si="7"/>
        <v>0</v>
      </c>
    </row>
    <row r="40" spans="1:19" x14ac:dyDescent="0.35">
      <c r="A40" t="s">
        <v>100</v>
      </c>
    </row>
    <row r="41" spans="1:19" ht="15" x14ac:dyDescent="0.5">
      <c r="A41" s="54"/>
      <c r="B41" s="55" t="s">
        <v>101</v>
      </c>
      <c r="C41" s="54"/>
      <c r="D41" s="56" t="s">
        <v>102</v>
      </c>
      <c r="E41" s="57"/>
      <c r="F41" s="57"/>
      <c r="G41" s="57"/>
      <c r="H41" s="58"/>
    </row>
    <row r="42" spans="1:19" ht="15" x14ac:dyDescent="0.5">
      <c r="A42" s="59" t="s">
        <v>103</v>
      </c>
      <c r="B42" s="60" t="s">
        <v>104</v>
      </c>
      <c r="C42" s="59" t="s">
        <v>105</v>
      </c>
      <c r="D42" s="59" t="s">
        <v>106</v>
      </c>
      <c r="E42" s="60" t="s">
        <v>107</v>
      </c>
      <c r="F42" s="60" t="s">
        <v>108</v>
      </c>
      <c r="G42" s="60" t="s">
        <v>109</v>
      </c>
      <c r="H42" s="61" t="s">
        <v>110</v>
      </c>
    </row>
    <row r="43" spans="1:19" x14ac:dyDescent="0.35">
      <c r="A43" s="62">
        <v>10000</v>
      </c>
      <c r="C43" s="62">
        <v>11</v>
      </c>
      <c r="D43" s="62">
        <v>7.8</v>
      </c>
      <c r="E43">
        <v>5.3</v>
      </c>
      <c r="F43">
        <v>4</v>
      </c>
      <c r="G43">
        <v>2.7</v>
      </c>
      <c r="H43" s="63">
        <v>1.8</v>
      </c>
    </row>
    <row r="44" spans="1:19" x14ac:dyDescent="0.35">
      <c r="A44" s="62">
        <v>5000</v>
      </c>
      <c r="B44">
        <v>10000</v>
      </c>
      <c r="C44" s="62">
        <v>11.3</v>
      </c>
      <c r="D44" s="62">
        <v>7.8</v>
      </c>
      <c r="E44">
        <v>5.3</v>
      </c>
      <c r="F44">
        <v>4</v>
      </c>
      <c r="G44">
        <v>2.7</v>
      </c>
      <c r="H44" s="63">
        <v>1.9</v>
      </c>
    </row>
    <row r="45" spans="1:19" x14ac:dyDescent="0.35">
      <c r="A45" s="62">
        <v>2000</v>
      </c>
      <c r="B45">
        <v>5000</v>
      </c>
      <c r="C45" s="62">
        <v>11.9</v>
      </c>
      <c r="D45" s="62">
        <v>7.9</v>
      </c>
      <c r="E45">
        <v>5.4</v>
      </c>
      <c r="F45">
        <v>4.0999999999999996</v>
      </c>
      <c r="G45">
        <v>2.9</v>
      </c>
      <c r="H45" s="63">
        <v>2.1</v>
      </c>
    </row>
    <row r="46" spans="1:19" x14ac:dyDescent="0.35">
      <c r="A46" s="62">
        <v>1000</v>
      </c>
      <c r="B46">
        <v>2000</v>
      </c>
      <c r="C46" s="62">
        <v>13.4</v>
      </c>
      <c r="D46" s="62">
        <v>8</v>
      </c>
      <c r="E46">
        <v>5.6</v>
      </c>
      <c r="F46">
        <v>4.3</v>
      </c>
      <c r="G46">
        <v>3.1</v>
      </c>
      <c r="H46" s="63">
        <v>2.4</v>
      </c>
    </row>
    <row r="47" spans="1:19" x14ac:dyDescent="0.35">
      <c r="A47" s="62">
        <v>500</v>
      </c>
      <c r="B47">
        <v>1000</v>
      </c>
      <c r="C47" s="62">
        <v>15.6</v>
      </c>
      <c r="D47" s="62">
        <v>8.1999999999999993</v>
      </c>
      <c r="E47">
        <v>5.9</v>
      </c>
      <c r="F47">
        <v>4.7</v>
      </c>
      <c r="G47">
        <v>3.6</v>
      </c>
      <c r="H47" s="63">
        <v>2.9</v>
      </c>
    </row>
    <row r="48" spans="1:19" x14ac:dyDescent="0.35">
      <c r="A48" s="62">
        <v>200</v>
      </c>
      <c r="B48">
        <v>500</v>
      </c>
      <c r="C48" s="62">
        <v>19.3</v>
      </c>
      <c r="D48" s="62">
        <v>8.9</v>
      </c>
      <c r="E48">
        <v>6.8</v>
      </c>
      <c r="F48">
        <v>5.7</v>
      </c>
      <c r="G48">
        <v>4.7</v>
      </c>
      <c r="H48" s="63">
        <v>4.0999999999999996</v>
      </c>
    </row>
    <row r="49" spans="1:16" x14ac:dyDescent="0.35">
      <c r="A49" s="64">
        <v>100</v>
      </c>
      <c r="B49" s="65">
        <v>200</v>
      </c>
      <c r="C49" s="64">
        <v>27.5</v>
      </c>
      <c r="D49" s="64">
        <v>10</v>
      </c>
      <c r="E49" s="65">
        <v>8</v>
      </c>
      <c r="F49" s="65">
        <v>7</v>
      </c>
      <c r="G49" s="65">
        <v>6.1</v>
      </c>
      <c r="H49" s="66">
        <v>5.5</v>
      </c>
    </row>
    <row r="51" spans="1:16" x14ac:dyDescent="0.35">
      <c r="A51" s="69">
        <f>'6 - B1'!A51</f>
        <v>0</v>
      </c>
      <c r="B51" s="70" t="str">
        <f>'6 - B1'!B51</f>
        <v>Portion 1</v>
      </c>
      <c r="C51" s="70" t="str">
        <f>'6 - B1'!C51</f>
        <v>Portion 2</v>
      </c>
      <c r="D51" s="70" t="str">
        <f>'6 - B1'!D51</f>
        <v>Portion 3</v>
      </c>
      <c r="E51" s="70" t="str">
        <f>'6 - B1'!E51</f>
        <v>Portion 4</v>
      </c>
      <c r="F51" s="70" t="str">
        <f>'6 - B1'!F51</f>
        <v>Portion 5</v>
      </c>
      <c r="G51" s="70" t="str">
        <f>'6 - B1'!G51</f>
        <v>Portion 1</v>
      </c>
      <c r="H51" s="70" t="str">
        <f>'6 - B1'!H51</f>
        <v>Portion 2</v>
      </c>
      <c r="I51" s="70" t="str">
        <f>'6 - B1'!I51</f>
        <v>Portion 3</v>
      </c>
      <c r="J51" s="70" t="str">
        <f>'6 - B1'!J51</f>
        <v>Portion 4</v>
      </c>
      <c r="K51" s="70" t="str">
        <f>'6 - B1'!K51</f>
        <v>Portion 5</v>
      </c>
      <c r="L51" s="70" t="str">
        <f>'6 - B1'!L51</f>
        <v>Portion 1</v>
      </c>
      <c r="M51" s="70" t="str">
        <f>'6 - B1'!M51</f>
        <v>Portion 2</v>
      </c>
      <c r="N51" s="70" t="str">
        <f>'6 - B1'!N51</f>
        <v>Portion 3</v>
      </c>
      <c r="O51" s="70" t="str">
        <f>'6 - B1'!O51</f>
        <v>Portion 4</v>
      </c>
      <c r="P51" s="70" t="str">
        <f>'6 - B1'!P51</f>
        <v>Portion 5</v>
      </c>
    </row>
    <row r="52" spans="1:16" x14ac:dyDescent="0.35">
      <c r="A52" s="71" t="str">
        <f>'6 - B1'!A52</f>
        <v>NAME\mL</v>
      </c>
      <c r="B52" s="69">
        <f>'6 - B1'!B52</f>
        <v>9.4152699999999996</v>
      </c>
      <c r="C52" s="69">
        <f>'6 - B1'!C52</f>
        <v>10.157598</v>
      </c>
      <c r="D52" s="69">
        <f>'6 - B1'!D52</f>
        <v>10.089149000000001</v>
      </c>
      <c r="E52" s="69">
        <f>'6 - B1'!E52</f>
        <v>10.185060999999999</v>
      </c>
      <c r="F52" s="69">
        <f>'6 - B1'!F52</f>
        <v>10.201724</v>
      </c>
      <c r="G52" s="69">
        <f>'6 - B1'!G52</f>
        <v>9.4074550000000006</v>
      </c>
      <c r="H52" s="69">
        <f>'6 - B1'!H52</f>
        <v>10.178953999999999</v>
      </c>
      <c r="I52" s="69">
        <f>'6 - B1'!I52</f>
        <v>10.128242999999999</v>
      </c>
      <c r="J52" s="69">
        <f>'6 - B1'!J52</f>
        <v>10.183923999999999</v>
      </c>
      <c r="K52" s="69">
        <f>'6 - B1'!K52</f>
        <v>10.246387</v>
      </c>
      <c r="L52" s="69">
        <f>'6 - B1'!L52</f>
        <v>9.4152699999999996</v>
      </c>
      <c r="M52" s="69">
        <f>'6 - B1'!M52</f>
        <v>10.157598</v>
      </c>
      <c r="N52" s="69">
        <f>'6 - B1'!N52</f>
        <v>10.089149000000001</v>
      </c>
      <c r="O52" s="69">
        <f>'6 - B1'!O52</f>
        <v>10.185060999999999</v>
      </c>
      <c r="P52" s="69">
        <f>'6 - B1'!P52</f>
        <v>10.201724</v>
      </c>
    </row>
    <row r="53" spans="1:16" x14ac:dyDescent="0.35">
      <c r="A53" s="71">
        <f>'6 - B1'!A53</f>
        <v>4</v>
      </c>
      <c r="B53" s="69">
        <f>'6 - B1'!B53</f>
        <v>11605.083984000001</v>
      </c>
      <c r="C53" s="69">
        <f>'6 - B1'!C53</f>
        <v>12181.030273</v>
      </c>
      <c r="D53" s="69">
        <f>'6 - B1'!D53</f>
        <v>11966.420898</v>
      </c>
      <c r="E53" s="69">
        <f>'6 - B1'!E53</f>
        <v>11937.287109000001</v>
      </c>
      <c r="F53" s="69">
        <f>'6 - B1'!F53</f>
        <v>11577.749023</v>
      </c>
      <c r="G53" s="69">
        <f>'6 - B1'!G53</f>
        <v>11308.371094</v>
      </c>
      <c r="H53" s="69">
        <f>'6 - B1'!H53</f>
        <v>11747.572265999999</v>
      </c>
      <c r="I53" s="69">
        <f>'6 - B1'!I53</f>
        <v>11756.333008</v>
      </c>
      <c r="J53" s="69">
        <f>'6 - B1'!J53</f>
        <v>11884.711914</v>
      </c>
      <c r="K53" s="69">
        <f>'6 - B1'!K53</f>
        <v>11761.122069999999</v>
      </c>
      <c r="L53" s="69">
        <f>'6 - B1'!L53</f>
        <v>11605.083984000001</v>
      </c>
      <c r="M53" s="69">
        <f>'6 - B1'!M53</f>
        <v>12181.030273</v>
      </c>
      <c r="N53" s="69">
        <f>'6 - B1'!N53</f>
        <v>11966.420898</v>
      </c>
      <c r="O53" s="69">
        <f>'6 - B1'!O53</f>
        <v>11937.287109000001</v>
      </c>
      <c r="P53" s="69">
        <f>'6 - B1'!P53</f>
        <v>11577.749023</v>
      </c>
    </row>
    <row r="54" spans="1:16" x14ac:dyDescent="0.35">
      <c r="A54" s="71">
        <f>'6 - B1'!A54</f>
        <v>5</v>
      </c>
      <c r="B54" s="69">
        <f>'6 - B1'!B54</f>
        <v>10102.630859000001</v>
      </c>
      <c r="C54" s="69">
        <f>'6 - B1'!C54</f>
        <v>10598.864258</v>
      </c>
      <c r="D54" s="69">
        <f>'6 - B1'!D54</f>
        <v>10415.844727</v>
      </c>
      <c r="E54" s="69">
        <f>'6 - B1'!E54</f>
        <v>10377.453125</v>
      </c>
      <c r="F54" s="69">
        <f>'6 - B1'!F54</f>
        <v>10094.175781</v>
      </c>
      <c r="G54" s="69">
        <f>'6 - B1'!G54</f>
        <v>9871.9570309999999</v>
      </c>
      <c r="H54" s="69">
        <f>'6 - B1'!H54</f>
        <v>10248.007812</v>
      </c>
      <c r="I54" s="69">
        <f>'6 - B1'!I54</f>
        <v>10229.118164</v>
      </c>
      <c r="J54" s="69">
        <f>'6 - B1'!J54</f>
        <v>10345.128906</v>
      </c>
      <c r="K54" s="69">
        <f>'6 - B1'!K54</f>
        <v>10246.929688</v>
      </c>
      <c r="L54" s="69">
        <f>'6 - B1'!L54</f>
        <v>10102.630859000001</v>
      </c>
      <c r="M54" s="69">
        <f>'6 - B1'!M54</f>
        <v>10598.864258</v>
      </c>
      <c r="N54" s="69">
        <f>'6 - B1'!N54</f>
        <v>10415.844727</v>
      </c>
      <c r="O54" s="69">
        <f>'6 - B1'!O54</f>
        <v>10377.453125</v>
      </c>
      <c r="P54" s="69">
        <f>'6 - B1'!P54</f>
        <v>10094.175781</v>
      </c>
    </row>
    <row r="55" spans="1:16" x14ac:dyDescent="0.35">
      <c r="A55" s="71">
        <f>'6 - B1'!A55</f>
        <v>6</v>
      </c>
      <c r="B55" s="69">
        <f>'6 - B1'!B55</f>
        <v>8843.9316409999992</v>
      </c>
      <c r="C55" s="69">
        <f>'6 - B1'!C55</f>
        <v>9242.5400389999995</v>
      </c>
      <c r="D55" s="69">
        <f>'6 - B1'!D55</f>
        <v>9055.0751949999994</v>
      </c>
      <c r="E55" s="69">
        <f>'6 - B1'!E55</f>
        <v>9047.7607420000004</v>
      </c>
      <c r="F55" s="69">
        <f>'6 - B1'!F55</f>
        <v>8822.1367190000001</v>
      </c>
      <c r="G55" s="69">
        <f>'6 - B1'!G55</f>
        <v>8621.2470699999994</v>
      </c>
      <c r="H55" s="69">
        <f>'6 - B1'!H55</f>
        <v>8934.8076170000004</v>
      </c>
      <c r="I55" s="69">
        <f>'6 - B1'!I55</f>
        <v>8912.1083980000003</v>
      </c>
      <c r="J55" s="69">
        <f>'6 - B1'!J55</f>
        <v>9038.9521480000003</v>
      </c>
      <c r="K55" s="69">
        <f>'6 - B1'!K55</f>
        <v>8926.8544920000004</v>
      </c>
      <c r="L55" s="69">
        <f>'6 - B1'!L55</f>
        <v>8843.9316409999992</v>
      </c>
      <c r="M55" s="69">
        <f>'6 - B1'!M55</f>
        <v>9242.5400389999995</v>
      </c>
      <c r="N55" s="69">
        <f>'6 - B1'!N55</f>
        <v>9055.0751949999994</v>
      </c>
      <c r="O55" s="69">
        <f>'6 - B1'!O55</f>
        <v>9047.7607420000004</v>
      </c>
      <c r="P55" s="69">
        <f>'6 - B1'!P55</f>
        <v>8822.1367190000001</v>
      </c>
    </row>
    <row r="56" spans="1:16" x14ac:dyDescent="0.35">
      <c r="A56" s="71">
        <f>'6 - B1'!A56</f>
        <v>7</v>
      </c>
      <c r="B56" s="69">
        <f>'6 - B1'!B56</f>
        <v>7728.8276370000003</v>
      </c>
      <c r="C56" s="69">
        <f>'6 - B1'!C56</f>
        <v>8050.7226559999999</v>
      </c>
      <c r="D56" s="69">
        <f>'6 - B1'!D56</f>
        <v>7870.9316410000001</v>
      </c>
      <c r="E56" s="69">
        <f>'6 - B1'!E56</f>
        <v>7889.3974609999996</v>
      </c>
      <c r="F56" s="69">
        <f>'6 - B1'!F56</f>
        <v>7683.8974609999996</v>
      </c>
      <c r="G56" s="69">
        <f>'6 - B1'!G56</f>
        <v>7490.6547849999997</v>
      </c>
      <c r="H56" s="69">
        <f>'6 - B1'!H56</f>
        <v>7784.4931640000004</v>
      </c>
      <c r="I56" s="69">
        <f>'6 - B1'!I56</f>
        <v>7751.689453</v>
      </c>
      <c r="J56" s="69">
        <f>'6 - B1'!J56</f>
        <v>7887.5297849999997</v>
      </c>
      <c r="K56" s="69">
        <f>'6 - B1'!K56</f>
        <v>7776.9853519999997</v>
      </c>
      <c r="L56" s="69">
        <f>'6 - B1'!L56</f>
        <v>7728.8276370000003</v>
      </c>
      <c r="M56" s="69">
        <f>'6 - B1'!M56</f>
        <v>8050.7226559999999</v>
      </c>
      <c r="N56" s="69">
        <f>'6 - B1'!N56</f>
        <v>7870.9316410000001</v>
      </c>
      <c r="O56" s="69">
        <f>'6 - B1'!O56</f>
        <v>7889.3974609999996</v>
      </c>
      <c r="P56" s="69">
        <f>'6 - B1'!P56</f>
        <v>7683.8974609999996</v>
      </c>
    </row>
    <row r="57" spans="1:16" x14ac:dyDescent="0.35">
      <c r="A57" s="71">
        <f>'6 - B1'!A57</f>
        <v>8</v>
      </c>
      <c r="B57" s="69">
        <f>'6 - B1'!B57</f>
        <v>6712.5</v>
      </c>
      <c r="C57" s="69">
        <f>'6 - B1'!C57</f>
        <v>6966.6079099999997</v>
      </c>
      <c r="D57" s="69">
        <f>'6 - B1'!D57</f>
        <v>6819.4057620000003</v>
      </c>
      <c r="E57" s="69">
        <f>'6 - B1'!E57</f>
        <v>6844.7304690000001</v>
      </c>
      <c r="F57" s="69">
        <f>'6 - B1'!F57</f>
        <v>6671.7153319999998</v>
      </c>
      <c r="G57" s="69">
        <f>'6 - B1'!G57</f>
        <v>6521.4233400000003</v>
      </c>
      <c r="H57" s="69">
        <f>'6 - B1'!H57</f>
        <v>6752.0688479999999</v>
      </c>
      <c r="I57" s="69">
        <f>'6 - B1'!I57</f>
        <v>6729.0048829999996</v>
      </c>
      <c r="J57" s="69">
        <f>'6 - B1'!J57</f>
        <v>6849.3247069999998</v>
      </c>
      <c r="K57" s="69">
        <f>'6 - B1'!K57</f>
        <v>6745.6953119999998</v>
      </c>
      <c r="L57" s="69">
        <f>'6 - B1'!L57</f>
        <v>6712.5</v>
      </c>
      <c r="M57" s="69">
        <f>'6 - B1'!M57</f>
        <v>6966.6079099999997</v>
      </c>
      <c r="N57" s="69">
        <f>'6 - B1'!N57</f>
        <v>6819.4057620000003</v>
      </c>
      <c r="O57" s="69">
        <f>'6 - B1'!O57</f>
        <v>6844.7304690000001</v>
      </c>
      <c r="P57" s="69">
        <f>'6 - B1'!P57</f>
        <v>6671.7153319999998</v>
      </c>
    </row>
    <row r="58" spans="1:16" x14ac:dyDescent="0.35">
      <c r="A58" s="71">
        <f>'6 - B1'!A58</f>
        <v>9</v>
      </c>
      <c r="B58" s="69">
        <f>'6 - B1'!B58</f>
        <v>5831.0595700000003</v>
      </c>
      <c r="C58" s="69">
        <f>'6 - B1'!C58</f>
        <v>6010.96875</v>
      </c>
      <c r="D58" s="69">
        <f>'6 - B1'!D58</f>
        <v>5896.2358400000003</v>
      </c>
      <c r="E58" s="69">
        <f>'6 - B1'!E58</f>
        <v>5923.3808589999999</v>
      </c>
      <c r="F58" s="69">
        <f>'6 - B1'!F58</f>
        <v>5768.142578</v>
      </c>
      <c r="G58" s="69">
        <f>'6 - B1'!G58</f>
        <v>5642.8647460000002</v>
      </c>
      <c r="H58" s="69">
        <f>'6 - B1'!H58</f>
        <v>5853.1552730000003</v>
      </c>
      <c r="I58" s="69">
        <f>'6 - B1'!I58</f>
        <v>5831.0209960000002</v>
      </c>
      <c r="J58" s="69">
        <f>'6 - B1'!J58</f>
        <v>5943.6816410000001</v>
      </c>
      <c r="K58" s="69">
        <f>'6 - B1'!K58</f>
        <v>5848.1103519999997</v>
      </c>
      <c r="L58" s="69">
        <f>'6 - B1'!L58</f>
        <v>5831.0595700000003</v>
      </c>
      <c r="M58" s="69">
        <f>'6 - B1'!M58</f>
        <v>6010.96875</v>
      </c>
      <c r="N58" s="69">
        <f>'6 - B1'!N58</f>
        <v>5896.2358400000003</v>
      </c>
      <c r="O58" s="69">
        <f>'6 - B1'!O58</f>
        <v>5923.3808589999999</v>
      </c>
      <c r="P58" s="69">
        <f>'6 - B1'!P58</f>
        <v>5768.142578</v>
      </c>
    </row>
    <row r="59" spans="1:16" x14ac:dyDescent="0.35">
      <c r="A59" s="71">
        <f>'6 - B1'!A59</f>
        <v>10</v>
      </c>
      <c r="B59" s="69">
        <f>'6 - B1'!B59</f>
        <v>5012.3896480000003</v>
      </c>
      <c r="C59" s="69">
        <f>'6 - B1'!C59</f>
        <v>5152.5961909999996</v>
      </c>
      <c r="D59" s="69">
        <f>'6 - B1'!D59</f>
        <v>5069.5058589999999</v>
      </c>
      <c r="E59" s="69">
        <f>'6 - B1'!E59</f>
        <v>5089.0219729999999</v>
      </c>
      <c r="F59" s="69">
        <f>'6 - B1'!F59</f>
        <v>4950.0458980000003</v>
      </c>
      <c r="G59" s="69">
        <f>'6 - B1'!G59</f>
        <v>4847.5380859999996</v>
      </c>
      <c r="H59" s="69">
        <f>'6 - B1'!H59</f>
        <v>5023.9936520000001</v>
      </c>
      <c r="I59" s="69">
        <f>'6 - B1'!I59</f>
        <v>5019.5278319999998</v>
      </c>
      <c r="J59" s="69">
        <f>'6 - B1'!J59</f>
        <v>5111.7822269999997</v>
      </c>
      <c r="K59" s="69">
        <f>'6 - B1'!K59</f>
        <v>5031.3344729999999</v>
      </c>
      <c r="L59" s="69">
        <f>'6 - B1'!L59</f>
        <v>5012.3896480000003</v>
      </c>
      <c r="M59" s="69">
        <f>'6 - B1'!M59</f>
        <v>5152.5961909999996</v>
      </c>
      <c r="N59" s="69">
        <f>'6 - B1'!N59</f>
        <v>5069.5058589999999</v>
      </c>
      <c r="O59" s="69">
        <f>'6 - B1'!O59</f>
        <v>5089.0219729999999</v>
      </c>
      <c r="P59" s="69">
        <f>'6 - B1'!P59</f>
        <v>4950.0458980000003</v>
      </c>
    </row>
    <row r="60" spans="1:16" x14ac:dyDescent="0.35">
      <c r="A60" s="71">
        <f>'6 - B1'!A60</f>
        <v>11</v>
      </c>
      <c r="B60" s="69">
        <f>'6 - B1'!B60</f>
        <v>4265.1992190000001</v>
      </c>
      <c r="C60" s="69">
        <f>'6 - B1'!C60</f>
        <v>4375.4438479999999</v>
      </c>
      <c r="D60" s="69">
        <f>'6 - B1'!D60</f>
        <v>4300.263672</v>
      </c>
      <c r="E60" s="69">
        <f>'6 - B1'!E60</f>
        <v>4335.2709960000002</v>
      </c>
      <c r="F60" s="69">
        <f>'6 - B1'!F60</f>
        <v>4200.7607420000004</v>
      </c>
      <c r="G60" s="69">
        <f>'6 - B1'!G60</f>
        <v>4126.6206050000001</v>
      </c>
      <c r="H60" s="69">
        <f>'6 - B1'!H60</f>
        <v>4259.4750979999999</v>
      </c>
      <c r="I60" s="69">
        <f>'6 - B1'!I60</f>
        <v>4266.2875979999999</v>
      </c>
      <c r="J60" s="69">
        <f>'6 - B1'!J60</f>
        <v>4358.732422</v>
      </c>
      <c r="K60" s="69">
        <f>'6 - B1'!K60</f>
        <v>4284.4370120000003</v>
      </c>
      <c r="L60" s="69">
        <f>'6 - B1'!L60</f>
        <v>4265.1992190000001</v>
      </c>
      <c r="M60" s="69">
        <f>'6 - B1'!M60</f>
        <v>4375.4438479999999</v>
      </c>
      <c r="N60" s="69">
        <f>'6 - B1'!N60</f>
        <v>4300.263672</v>
      </c>
      <c r="O60" s="69">
        <f>'6 - B1'!O60</f>
        <v>4335.2709960000002</v>
      </c>
      <c r="P60" s="69">
        <f>'6 - B1'!P60</f>
        <v>4200.7607420000004</v>
      </c>
    </row>
    <row r="61" spans="1:16" x14ac:dyDescent="0.35">
      <c r="A61" s="71">
        <f>'6 - B1'!A61</f>
        <v>12</v>
      </c>
      <c r="B61" s="69">
        <f>'6 - B1'!B61</f>
        <v>3582.6906739999999</v>
      </c>
      <c r="C61" s="69">
        <f>'6 - B1'!C61</f>
        <v>3679.4133299999999</v>
      </c>
      <c r="D61" s="69">
        <f>'6 - B1'!D61</f>
        <v>3615.3696289999998</v>
      </c>
      <c r="E61" s="69">
        <f>'6 - B1'!E61</f>
        <v>3637.5822750000002</v>
      </c>
      <c r="F61" s="69">
        <f>'6 - B1'!F61</f>
        <v>3531.0698240000002</v>
      </c>
      <c r="G61" s="69">
        <f>'6 - B1'!G61</f>
        <v>3467.3562010000001</v>
      </c>
      <c r="H61" s="69">
        <f>'6 - B1'!H61</f>
        <v>3590.938721</v>
      </c>
      <c r="I61" s="69">
        <f>'6 - B1'!I61</f>
        <v>3599.8344729999999</v>
      </c>
      <c r="J61" s="69">
        <f>'6 - B1'!J61</f>
        <v>3659.1003420000002</v>
      </c>
      <c r="K61" s="69">
        <f>'6 - B1'!K61</f>
        <v>3596.1945799999999</v>
      </c>
      <c r="L61" s="69">
        <f>'6 - B1'!L61</f>
        <v>3582.6906739999999</v>
      </c>
      <c r="M61" s="69">
        <f>'6 - B1'!M61</f>
        <v>3679.4133299999999</v>
      </c>
      <c r="N61" s="69">
        <f>'6 - B1'!N61</f>
        <v>3615.3696289999998</v>
      </c>
      <c r="O61" s="69">
        <f>'6 - B1'!O61</f>
        <v>3637.5822750000002</v>
      </c>
      <c r="P61" s="69">
        <f>'6 - B1'!P61</f>
        <v>3531.0698240000002</v>
      </c>
    </row>
    <row r="62" spans="1:16" x14ac:dyDescent="0.35">
      <c r="A62" s="71">
        <f>'6 - B1'!A62</f>
        <v>13</v>
      </c>
      <c r="B62" s="69">
        <f>'6 - B1'!B62</f>
        <v>2960.9348140000002</v>
      </c>
      <c r="C62" s="69">
        <f>'6 - B1'!C62</f>
        <v>3056.6281739999999</v>
      </c>
      <c r="D62" s="69">
        <f>'6 - B1'!D62</f>
        <v>3009.4709469999998</v>
      </c>
      <c r="E62" s="69">
        <f>'6 - B1'!E62</f>
        <v>3018.9311520000001</v>
      </c>
      <c r="F62" s="69">
        <f>'6 - B1'!F62</f>
        <v>2916.4677729999999</v>
      </c>
      <c r="G62" s="69">
        <f>'6 - B1'!G62</f>
        <v>2871.2333979999999</v>
      </c>
      <c r="H62" s="69">
        <f>'6 - B1'!H62</f>
        <v>2975.158203</v>
      </c>
      <c r="I62" s="69">
        <f>'6 - B1'!I62</f>
        <v>2987.586182</v>
      </c>
      <c r="J62" s="69">
        <f>'6 - B1'!J62</f>
        <v>3031.3464359999998</v>
      </c>
      <c r="K62" s="69">
        <f>'6 - B1'!K62</f>
        <v>2977.9279790000001</v>
      </c>
      <c r="L62" s="69">
        <f>'6 - B1'!L62</f>
        <v>2960.9348140000002</v>
      </c>
      <c r="M62" s="69">
        <f>'6 - B1'!M62</f>
        <v>3056.6281739999999</v>
      </c>
      <c r="N62" s="69">
        <f>'6 - B1'!N62</f>
        <v>3009.4709469999998</v>
      </c>
      <c r="O62" s="69">
        <f>'6 - B1'!O62</f>
        <v>3018.9311520000001</v>
      </c>
      <c r="P62" s="69">
        <f>'6 - B1'!P62</f>
        <v>2916.4677729999999</v>
      </c>
    </row>
    <row r="63" spans="1:16" x14ac:dyDescent="0.35">
      <c r="A63" s="71">
        <f>'6 - B1'!A63</f>
        <v>14</v>
      </c>
      <c r="B63" s="69">
        <f>'6 - B1'!B63</f>
        <v>2429.7763669999999</v>
      </c>
      <c r="C63" s="69">
        <f>'6 - B1'!C63</f>
        <v>2491.9277339999999</v>
      </c>
      <c r="D63" s="69">
        <f>'6 - B1'!D63</f>
        <v>2458.383789</v>
      </c>
      <c r="E63" s="69">
        <f>'6 - B1'!E63</f>
        <v>2456.6372070000002</v>
      </c>
      <c r="F63" s="69">
        <f>'6 - B1'!F63</f>
        <v>2362.0517580000001</v>
      </c>
      <c r="G63" s="69">
        <f>'6 - B1'!G63</f>
        <v>2343.5668949999999</v>
      </c>
      <c r="H63" s="69">
        <f>'6 - B1'!H63</f>
        <v>2421.6633299999999</v>
      </c>
      <c r="I63" s="69">
        <f>'6 - B1'!I63</f>
        <v>2430.530029</v>
      </c>
      <c r="J63" s="69">
        <f>'6 - B1'!J63</f>
        <v>2468.3020019999999</v>
      </c>
      <c r="K63" s="69">
        <f>'6 - B1'!K63</f>
        <v>2410.8010250000002</v>
      </c>
      <c r="L63" s="69">
        <f>'6 - B1'!L63</f>
        <v>2429.7763669999999</v>
      </c>
      <c r="M63" s="69">
        <f>'6 - B1'!M63</f>
        <v>2491.9277339999999</v>
      </c>
      <c r="N63" s="69">
        <f>'6 - B1'!N63</f>
        <v>2458.383789</v>
      </c>
      <c r="O63" s="69">
        <f>'6 - B1'!O63</f>
        <v>2456.6372070000002</v>
      </c>
      <c r="P63" s="69">
        <f>'6 - B1'!P63</f>
        <v>2362.0517580000001</v>
      </c>
    </row>
    <row r="64" spans="1:16" x14ac:dyDescent="0.35">
      <c r="A64" s="71">
        <f>'6 - B1'!A64</f>
        <v>15</v>
      </c>
      <c r="B64" s="69">
        <f>'6 - B1'!B64</f>
        <v>1954.059814</v>
      </c>
      <c r="C64" s="69">
        <f>'6 - B1'!C64</f>
        <v>1998.9963379999999</v>
      </c>
      <c r="D64" s="69">
        <f>'6 - B1'!D64</f>
        <v>1975.6870120000001</v>
      </c>
      <c r="E64" s="69">
        <f>'6 - B1'!E64</f>
        <v>1958.2601320000001</v>
      </c>
      <c r="F64" s="69">
        <f>'6 - B1'!F64</f>
        <v>1877.623779</v>
      </c>
      <c r="G64" s="69">
        <f>'6 - B1'!G64</f>
        <v>1886.1635739999999</v>
      </c>
      <c r="H64" s="69">
        <f>'6 - B1'!H64</f>
        <v>1927.7030030000001</v>
      </c>
      <c r="I64" s="69">
        <f>'6 - B1'!I64</f>
        <v>1929.1597899999999</v>
      </c>
      <c r="J64" s="69">
        <f>'6 - B1'!J64</f>
        <v>1973.2080080000001</v>
      </c>
      <c r="K64" s="69">
        <f>'6 - B1'!K64</f>
        <v>1921.9458010000001</v>
      </c>
      <c r="L64" s="69">
        <f>'6 - B1'!L64</f>
        <v>1954.059814</v>
      </c>
      <c r="M64" s="69">
        <f>'6 - B1'!M64</f>
        <v>1998.9963379999999</v>
      </c>
      <c r="N64" s="69">
        <f>'6 - B1'!N64</f>
        <v>1975.6870120000001</v>
      </c>
      <c r="O64" s="69">
        <f>'6 - B1'!O64</f>
        <v>1958.2601320000001</v>
      </c>
      <c r="P64" s="69">
        <f>'6 - B1'!P64</f>
        <v>1877.623779</v>
      </c>
    </row>
    <row r="65" spans="1:16" x14ac:dyDescent="0.35">
      <c r="A65" s="71">
        <f>'6 - B1'!A65</f>
        <v>16</v>
      </c>
      <c r="B65" s="69">
        <f>'6 - B1'!B65</f>
        <v>1546.317871</v>
      </c>
      <c r="C65" s="69">
        <f>'6 - B1'!C65</f>
        <v>1571.92688</v>
      </c>
      <c r="D65" s="69">
        <f>'6 - B1'!D65</f>
        <v>1548.495361</v>
      </c>
      <c r="E65" s="69">
        <f>'6 - B1'!E65</f>
        <v>1528.611328</v>
      </c>
      <c r="F65" s="69">
        <f>'6 - B1'!F65</f>
        <v>1466.1247559999999</v>
      </c>
      <c r="G65" s="69">
        <f>'6 - B1'!G65</f>
        <v>1488.8192140000001</v>
      </c>
      <c r="H65" s="69">
        <f>'6 - B1'!H65</f>
        <v>1504.7714840000001</v>
      </c>
      <c r="I65" s="69">
        <f>'6 - B1'!I65</f>
        <v>1502.8272710000001</v>
      </c>
      <c r="J65" s="69">
        <f>'6 - B1'!J65</f>
        <v>1538.20874</v>
      </c>
      <c r="K65" s="69">
        <f>'6 - B1'!K65</f>
        <v>1494.5756839999999</v>
      </c>
      <c r="L65" s="69">
        <f>'6 - B1'!L65</f>
        <v>1546.317871</v>
      </c>
      <c r="M65" s="69">
        <f>'6 - B1'!M65</f>
        <v>1571.92688</v>
      </c>
      <c r="N65" s="69">
        <f>'6 - B1'!N65</f>
        <v>1548.495361</v>
      </c>
      <c r="O65" s="69">
        <f>'6 - B1'!O65</f>
        <v>1528.611328</v>
      </c>
      <c r="P65" s="69">
        <f>'6 - B1'!P65</f>
        <v>1466.1247559999999</v>
      </c>
    </row>
    <row r="66" spans="1:16" x14ac:dyDescent="0.35">
      <c r="A66" s="71">
        <f>'6 - B1'!A66</f>
        <v>17</v>
      </c>
      <c r="B66" s="69">
        <f>'6 - B1'!B66</f>
        <v>1201.4525149999999</v>
      </c>
      <c r="C66" s="69">
        <f>'6 - B1'!C66</f>
        <v>1218.989014</v>
      </c>
      <c r="D66" s="69">
        <f>'6 - B1'!D66</f>
        <v>1194.8481449999999</v>
      </c>
      <c r="E66" s="69">
        <f>'6 - B1'!E66</f>
        <v>1180.8470460000001</v>
      </c>
      <c r="F66" s="69">
        <f>'6 - B1'!F66</f>
        <v>1124.3198239999999</v>
      </c>
      <c r="G66" s="69">
        <f>'6 - B1'!G66</f>
        <v>1156.5295410000001</v>
      </c>
      <c r="H66" s="69">
        <f>'6 - B1'!H66</f>
        <v>1159.0582280000001</v>
      </c>
      <c r="I66" s="69">
        <f>'6 - B1'!I66</f>
        <v>1158.246216</v>
      </c>
      <c r="J66" s="69">
        <f>'6 - B1'!J66</f>
        <v>1187.6561280000001</v>
      </c>
      <c r="K66" s="69">
        <f>'6 - B1'!K66</f>
        <v>1157.871582</v>
      </c>
      <c r="L66" s="69">
        <f>'6 - B1'!L66</f>
        <v>1201.4525149999999</v>
      </c>
      <c r="M66" s="69">
        <f>'6 - B1'!M66</f>
        <v>1218.989014</v>
      </c>
      <c r="N66" s="69">
        <f>'6 - B1'!N66</f>
        <v>1194.8481449999999</v>
      </c>
      <c r="O66" s="69">
        <f>'6 - B1'!O66</f>
        <v>1180.8470460000001</v>
      </c>
      <c r="P66" s="69">
        <f>'6 - B1'!P66</f>
        <v>1124.3198239999999</v>
      </c>
    </row>
    <row r="67" spans="1:16" x14ac:dyDescent="0.35">
      <c r="A67" s="71">
        <f>'6 - B1'!A67</f>
        <v>18</v>
      </c>
      <c r="B67" s="69">
        <f>'6 - B1'!B67</f>
        <v>919.14520300000004</v>
      </c>
      <c r="C67" s="69">
        <f>'6 - B1'!C67</f>
        <v>927.28619400000002</v>
      </c>
      <c r="D67" s="69">
        <f>'6 - B1'!D67</f>
        <v>907.60882600000002</v>
      </c>
      <c r="E67" s="69">
        <f>'6 - B1'!E67</f>
        <v>891.30535899999995</v>
      </c>
      <c r="F67" s="69">
        <f>'6 - B1'!F67</f>
        <v>860.73687700000005</v>
      </c>
      <c r="G67" s="69">
        <f>'6 - B1'!G67</f>
        <v>885.68054199999995</v>
      </c>
      <c r="H67" s="69">
        <f>'6 - B1'!H67</f>
        <v>897.34167500000001</v>
      </c>
      <c r="I67" s="69">
        <f>'6 - B1'!I67</f>
        <v>884.45739700000001</v>
      </c>
      <c r="J67" s="69">
        <f>'6 - B1'!J67</f>
        <v>900.83154300000001</v>
      </c>
      <c r="K67" s="69">
        <f>'6 - B1'!K67</f>
        <v>885.09252900000001</v>
      </c>
      <c r="L67" s="69">
        <f>'6 - B1'!L67</f>
        <v>919.14520300000004</v>
      </c>
      <c r="M67" s="69">
        <f>'6 - B1'!M67</f>
        <v>927.28619400000002</v>
      </c>
      <c r="N67" s="69">
        <f>'6 - B1'!N67</f>
        <v>907.60882600000002</v>
      </c>
      <c r="O67" s="69">
        <f>'6 - B1'!O67</f>
        <v>891.30535899999995</v>
      </c>
      <c r="P67" s="69">
        <f>'6 - B1'!P67</f>
        <v>860.73687700000005</v>
      </c>
    </row>
    <row r="68" spans="1:16" x14ac:dyDescent="0.35">
      <c r="A68" s="71">
        <f>'6 - B1'!A68</f>
        <v>19</v>
      </c>
      <c r="B68" s="69">
        <f>'6 - B1'!B68</f>
        <v>703.00695800000005</v>
      </c>
      <c r="C68" s="69">
        <f>'6 - B1'!C68</f>
        <v>704.49731399999996</v>
      </c>
      <c r="D68" s="69">
        <f>'6 - B1'!D68</f>
        <v>686.28192100000001</v>
      </c>
      <c r="E68" s="69">
        <f>'6 - B1'!E68</f>
        <v>678.54278599999998</v>
      </c>
      <c r="F68" s="69">
        <f>'6 - B1'!F68</f>
        <v>644.79296899999997</v>
      </c>
      <c r="G68" s="69">
        <f>'6 - B1'!G68</f>
        <v>676.272156</v>
      </c>
      <c r="H68" s="69">
        <f>'6 - B1'!H68</f>
        <v>681.209473</v>
      </c>
      <c r="I68" s="69">
        <f>'6 - B1'!I68</f>
        <v>674.25317399999994</v>
      </c>
      <c r="J68" s="69">
        <f>'6 - B1'!J68</f>
        <v>681.85900900000001</v>
      </c>
      <c r="K68" s="69">
        <f>'6 - B1'!K68</f>
        <v>673.31054700000004</v>
      </c>
      <c r="L68" s="69">
        <f>'6 - B1'!L68</f>
        <v>703.00695800000005</v>
      </c>
      <c r="M68" s="69">
        <f>'6 - B1'!M68</f>
        <v>704.49731399999996</v>
      </c>
      <c r="N68" s="69">
        <f>'6 - B1'!N68</f>
        <v>686.28192100000001</v>
      </c>
      <c r="O68" s="69">
        <f>'6 - B1'!O68</f>
        <v>678.54278599999998</v>
      </c>
      <c r="P68" s="69">
        <f>'6 - B1'!P68</f>
        <v>644.79296899999997</v>
      </c>
    </row>
    <row r="69" spans="1:16" x14ac:dyDescent="0.35">
      <c r="A69" s="71">
        <f>'6 - B1'!A69</f>
        <v>20</v>
      </c>
      <c r="B69" s="69">
        <f>'6 - B1'!B69</f>
        <v>535.19445800000005</v>
      </c>
      <c r="C69" s="69">
        <f>'6 - B1'!C69</f>
        <v>534.77209500000004</v>
      </c>
      <c r="D69" s="69">
        <f>'6 - B1'!D69</f>
        <v>518.87432899999999</v>
      </c>
      <c r="E69" s="69">
        <f>'6 - B1'!E69</f>
        <v>519.48632799999996</v>
      </c>
      <c r="F69" s="69">
        <f>'6 - B1'!F69</f>
        <v>486.97650099999998</v>
      </c>
      <c r="G69" s="69">
        <f>'6 - B1'!G69</f>
        <v>513.95404099999996</v>
      </c>
      <c r="H69" s="69">
        <f>'6 - B1'!H69</f>
        <v>521.46813999999995</v>
      </c>
      <c r="I69" s="69">
        <f>'6 - B1'!I69</f>
        <v>507.88668799999999</v>
      </c>
      <c r="J69" s="69">
        <f>'6 - B1'!J69</f>
        <v>515.518372</v>
      </c>
      <c r="K69" s="69">
        <f>'6 - B1'!K69</f>
        <v>509.74066199999999</v>
      </c>
      <c r="L69" s="69">
        <f>'6 - B1'!L69</f>
        <v>535.19445800000005</v>
      </c>
      <c r="M69" s="69">
        <f>'6 - B1'!M69</f>
        <v>534.77209500000004</v>
      </c>
      <c r="N69" s="69">
        <f>'6 - B1'!N69</f>
        <v>518.87432899999999</v>
      </c>
      <c r="O69" s="69">
        <f>'6 - B1'!O69</f>
        <v>519.48632799999996</v>
      </c>
      <c r="P69" s="69">
        <f>'6 - B1'!P69</f>
        <v>486.97650099999998</v>
      </c>
    </row>
    <row r="70" spans="1:16" x14ac:dyDescent="0.35">
      <c r="A70" s="71">
        <f>'6 - B1'!A70</f>
        <v>21</v>
      </c>
      <c r="B70" s="69">
        <f>'6 - B1'!B70</f>
        <v>406.78601099999997</v>
      </c>
      <c r="C70" s="69">
        <f>'6 - B1'!C70</f>
        <v>407.57669099999998</v>
      </c>
      <c r="D70" s="69">
        <f>'6 - B1'!D70</f>
        <v>399.240814</v>
      </c>
      <c r="E70" s="69">
        <f>'6 - B1'!E70</f>
        <v>394.597534</v>
      </c>
      <c r="F70" s="69">
        <f>'6 - B1'!F70</f>
        <v>367.87899800000002</v>
      </c>
      <c r="G70" s="69">
        <f>'6 - B1'!G70</f>
        <v>389.90353399999998</v>
      </c>
      <c r="H70" s="69">
        <f>'6 - B1'!H70</f>
        <v>400.82702599999999</v>
      </c>
      <c r="I70" s="69">
        <f>'6 - B1'!I70</f>
        <v>386.24664300000001</v>
      </c>
      <c r="J70" s="69">
        <f>'6 - B1'!J70</f>
        <v>392.97232100000002</v>
      </c>
      <c r="K70" s="69">
        <f>'6 - B1'!K70</f>
        <v>386.282532</v>
      </c>
      <c r="L70" s="69">
        <f>'6 - B1'!L70</f>
        <v>406.78601099999997</v>
      </c>
      <c r="M70" s="69">
        <f>'6 - B1'!M70</f>
        <v>407.57669099999998</v>
      </c>
      <c r="N70" s="69">
        <f>'6 - B1'!N70</f>
        <v>399.240814</v>
      </c>
      <c r="O70" s="69">
        <f>'6 - B1'!O70</f>
        <v>394.597534</v>
      </c>
      <c r="P70" s="69">
        <f>'6 - B1'!P70</f>
        <v>367.87899800000002</v>
      </c>
    </row>
    <row r="71" spans="1:16" x14ac:dyDescent="0.35">
      <c r="A71" s="71">
        <f>'6 - B1'!A71</f>
        <v>22</v>
      </c>
      <c r="B71" s="69">
        <f>'6 - B1'!B71</f>
        <v>314.382904</v>
      </c>
      <c r="C71" s="69">
        <f>'6 - B1'!C71</f>
        <v>312.573914</v>
      </c>
      <c r="D71" s="69">
        <f>'6 - B1'!D71</f>
        <v>306.864349</v>
      </c>
      <c r="E71" s="69">
        <f>'6 - B1'!E71</f>
        <v>303.38549799999998</v>
      </c>
      <c r="F71" s="69">
        <f>'6 - B1'!F71</f>
        <v>280.05068999999997</v>
      </c>
      <c r="G71" s="69">
        <f>'6 - B1'!G71</f>
        <v>303.37640399999998</v>
      </c>
      <c r="H71" s="69">
        <f>'6 - B1'!H71</f>
        <v>315.55304000000001</v>
      </c>
      <c r="I71" s="69">
        <f>'6 - B1'!I71</f>
        <v>297.87988300000001</v>
      </c>
      <c r="J71" s="69">
        <f>'6 - B1'!J71</f>
        <v>296.93859900000001</v>
      </c>
      <c r="K71" s="69">
        <f>'6 - B1'!K71</f>
        <v>293.37170400000002</v>
      </c>
      <c r="L71" s="69">
        <f>'6 - B1'!L71</f>
        <v>314.382904</v>
      </c>
      <c r="M71" s="69">
        <f>'6 - B1'!M71</f>
        <v>312.573914</v>
      </c>
      <c r="N71" s="69">
        <f>'6 - B1'!N71</f>
        <v>306.864349</v>
      </c>
      <c r="O71" s="69">
        <f>'6 - B1'!O71</f>
        <v>303.38549799999998</v>
      </c>
      <c r="P71" s="69">
        <f>'6 - B1'!P71</f>
        <v>280.05068999999997</v>
      </c>
    </row>
    <row r="72" spans="1:16" x14ac:dyDescent="0.35">
      <c r="A72" s="71">
        <f>'6 - B1'!A72</f>
        <v>23</v>
      </c>
      <c r="B72" s="69">
        <f>'6 - B1'!B72</f>
        <v>240.88528400000001</v>
      </c>
      <c r="C72" s="69">
        <f>'6 - B1'!C72</f>
        <v>238.63909899999999</v>
      </c>
      <c r="D72" s="69">
        <f>'6 - B1'!D72</f>
        <v>233.31999200000001</v>
      </c>
      <c r="E72" s="69">
        <f>'6 - B1'!E72</f>
        <v>231.22099299999999</v>
      </c>
      <c r="F72" s="69">
        <f>'6 - B1'!F72</f>
        <v>214.473557</v>
      </c>
      <c r="G72" s="69">
        <f>'6 - B1'!G72</f>
        <v>234.17596399999999</v>
      </c>
      <c r="H72" s="69">
        <f>'6 - B1'!H72</f>
        <v>242.166336</v>
      </c>
      <c r="I72" s="69">
        <f>'6 - B1'!I72</f>
        <v>228.47001599999999</v>
      </c>
      <c r="J72" s="69">
        <f>'6 - B1'!J72</f>
        <v>232.13056900000001</v>
      </c>
      <c r="K72" s="69">
        <f>'6 - B1'!K72</f>
        <v>225.44532799999999</v>
      </c>
      <c r="L72" s="69">
        <f>'6 - B1'!L72</f>
        <v>240.88528400000001</v>
      </c>
      <c r="M72" s="69">
        <f>'6 - B1'!M72</f>
        <v>238.63909899999999</v>
      </c>
      <c r="N72" s="69">
        <f>'6 - B1'!N72</f>
        <v>233.31999200000001</v>
      </c>
      <c r="O72" s="69">
        <f>'6 - B1'!O72</f>
        <v>231.22099299999999</v>
      </c>
      <c r="P72" s="69">
        <f>'6 - B1'!P72</f>
        <v>214.473557</v>
      </c>
    </row>
    <row r="73" spans="1:16" x14ac:dyDescent="0.35">
      <c r="A73" s="71">
        <f>'6 - B1'!A73</f>
        <v>24</v>
      </c>
      <c r="B73" s="69">
        <f>'6 - B1'!B73</f>
        <v>184.275116</v>
      </c>
      <c r="C73" s="69">
        <f>'6 - B1'!C73</f>
        <v>183.409515</v>
      </c>
      <c r="D73" s="69">
        <f>'6 - B1'!D73</f>
        <v>176.72453300000001</v>
      </c>
      <c r="E73" s="69">
        <f>'6 - B1'!E73</f>
        <v>177.02397199999999</v>
      </c>
      <c r="F73" s="69">
        <f>'6 - B1'!F73</f>
        <v>159.48284899999999</v>
      </c>
      <c r="G73" s="69">
        <f>'6 - B1'!G73</f>
        <v>181.87702899999999</v>
      </c>
      <c r="H73" s="69">
        <f>'6 - B1'!H73</f>
        <v>184.89129600000001</v>
      </c>
      <c r="I73" s="69">
        <f>'6 - B1'!I73</f>
        <v>170.315811</v>
      </c>
      <c r="J73" s="69">
        <f>'6 - B1'!J73</f>
        <v>179.400406</v>
      </c>
      <c r="K73" s="69">
        <f>'6 - B1'!K73</f>
        <v>171.377487</v>
      </c>
      <c r="L73" s="69">
        <f>'6 - B1'!L73</f>
        <v>184.275116</v>
      </c>
      <c r="M73" s="69">
        <f>'6 - B1'!M73</f>
        <v>183.409515</v>
      </c>
      <c r="N73" s="69">
        <f>'6 - B1'!N73</f>
        <v>176.72453300000001</v>
      </c>
      <c r="O73" s="69">
        <f>'6 - B1'!O73</f>
        <v>177.02397199999999</v>
      </c>
      <c r="P73" s="69">
        <f>'6 - B1'!P73</f>
        <v>159.48284899999999</v>
      </c>
    </row>
    <row r="74" spans="1:16" x14ac:dyDescent="0.35">
      <c r="A74" s="71">
        <f>'6 - B1'!A74</f>
        <v>25</v>
      </c>
      <c r="B74" s="69">
        <f>'6 - B1'!B74</f>
        <v>138.817047</v>
      </c>
      <c r="C74" s="69">
        <f>'6 - B1'!C74</f>
        <v>138.12321499999999</v>
      </c>
      <c r="D74" s="69">
        <f>'6 - B1'!D74</f>
        <v>132.915085</v>
      </c>
      <c r="E74" s="69">
        <f>'6 - B1'!E74</f>
        <v>137.35803200000001</v>
      </c>
      <c r="F74" s="69">
        <f>'6 - B1'!F74</f>
        <v>118.705429</v>
      </c>
      <c r="G74" s="69">
        <f>'6 - B1'!G74</f>
        <v>141.27093500000001</v>
      </c>
      <c r="H74" s="69">
        <f>'6 - B1'!H74</f>
        <v>141.27188100000001</v>
      </c>
      <c r="I74" s="69">
        <f>'6 - B1'!I74</f>
        <v>128.057739</v>
      </c>
      <c r="J74" s="69">
        <f>'6 - B1'!J74</f>
        <v>135.114914</v>
      </c>
      <c r="K74" s="69">
        <f>'6 - B1'!K74</f>
        <v>126.48361199999999</v>
      </c>
      <c r="L74" s="69">
        <f>'6 - B1'!L74</f>
        <v>138.817047</v>
      </c>
      <c r="M74" s="69">
        <f>'6 - B1'!M74</f>
        <v>138.12321499999999</v>
      </c>
      <c r="N74" s="69">
        <f>'6 - B1'!N74</f>
        <v>132.915085</v>
      </c>
      <c r="O74" s="69">
        <f>'6 - B1'!O74</f>
        <v>137.35803200000001</v>
      </c>
      <c r="P74" s="69">
        <f>'6 - B1'!P74</f>
        <v>118.705429</v>
      </c>
    </row>
    <row r="75" spans="1:16" x14ac:dyDescent="0.35">
      <c r="A75" s="71">
        <f>'6 - B1'!A75</f>
        <v>26</v>
      </c>
      <c r="B75" s="69">
        <f>'6 - B1'!B75</f>
        <v>104.086235</v>
      </c>
      <c r="C75" s="69">
        <f>'6 - B1'!C75</f>
        <v>104.94607499999999</v>
      </c>
      <c r="D75" s="69">
        <f>'6 - B1'!D75</f>
        <v>101.09871699999999</v>
      </c>
      <c r="E75" s="69">
        <f>'6 - B1'!E75</f>
        <v>99.164840999999996</v>
      </c>
      <c r="F75" s="69">
        <f>'6 - B1'!F75</f>
        <v>86.455978000000002</v>
      </c>
      <c r="G75" s="69">
        <f>'6 - B1'!G75</f>
        <v>104.491592</v>
      </c>
      <c r="H75" s="69">
        <f>'6 - B1'!H75</f>
        <v>106.199516</v>
      </c>
      <c r="I75" s="69">
        <f>'6 - B1'!I75</f>
        <v>95.080650000000006</v>
      </c>
      <c r="J75" s="69">
        <f>'6 - B1'!J75</f>
        <v>102.121742</v>
      </c>
      <c r="K75" s="69">
        <f>'6 - B1'!K75</f>
        <v>94.179542999999995</v>
      </c>
      <c r="L75" s="69">
        <f>'6 - B1'!L75</f>
        <v>104.086235</v>
      </c>
      <c r="M75" s="69">
        <f>'6 - B1'!M75</f>
        <v>104.94607499999999</v>
      </c>
      <c r="N75" s="69">
        <f>'6 - B1'!N75</f>
        <v>101.09871699999999</v>
      </c>
      <c r="O75" s="69">
        <f>'6 - B1'!O75</f>
        <v>99.164840999999996</v>
      </c>
      <c r="P75" s="69">
        <f>'6 - B1'!P75</f>
        <v>86.455978000000002</v>
      </c>
    </row>
    <row r="76" spans="1:16" x14ac:dyDescent="0.35">
      <c r="A76" s="71">
        <f>'6 - B1'!A76</f>
        <v>27</v>
      </c>
      <c r="B76" s="69">
        <f>'6 - B1'!B76</f>
        <v>80.613731000000001</v>
      </c>
      <c r="C76" s="69">
        <f>'6 - B1'!C76</f>
        <v>77.971191000000005</v>
      </c>
      <c r="D76" s="69">
        <f>'6 - B1'!D76</f>
        <v>73.841712999999999</v>
      </c>
      <c r="E76" s="69">
        <f>'6 - B1'!E76</f>
        <v>72.360878</v>
      </c>
      <c r="F76" s="69">
        <f>'6 - B1'!F76</f>
        <v>63.028561000000003</v>
      </c>
      <c r="G76" s="69">
        <f>'6 - B1'!G76</f>
        <v>75.897246999999993</v>
      </c>
      <c r="H76" s="69">
        <f>'6 - B1'!H76</f>
        <v>79.772437999999994</v>
      </c>
      <c r="I76" s="69">
        <f>'6 - B1'!I76</f>
        <v>71.68074</v>
      </c>
      <c r="J76" s="69">
        <f>'6 - B1'!J76</f>
        <v>76.002144000000001</v>
      </c>
      <c r="K76" s="69">
        <f>'6 - B1'!K76</f>
        <v>68.023978999999997</v>
      </c>
      <c r="L76" s="69">
        <f>'6 - B1'!L76</f>
        <v>80.613731000000001</v>
      </c>
      <c r="M76" s="69">
        <f>'6 - B1'!M76</f>
        <v>77.971191000000005</v>
      </c>
      <c r="N76" s="69">
        <f>'6 - B1'!N76</f>
        <v>73.841712999999999</v>
      </c>
      <c r="O76" s="69">
        <f>'6 - B1'!O76</f>
        <v>72.360878</v>
      </c>
      <c r="P76" s="69">
        <f>'6 - B1'!P76</f>
        <v>63.028561000000003</v>
      </c>
    </row>
    <row r="77" spans="1:16" x14ac:dyDescent="0.35">
      <c r="A77" s="71">
        <f>'6 - B1'!A77</f>
        <v>28</v>
      </c>
      <c r="B77" s="69">
        <f>'6 - B1'!B77</f>
        <v>57.353642000000001</v>
      </c>
      <c r="C77" s="69">
        <f>'6 - B1'!C77</f>
        <v>56.410975999999998</v>
      </c>
      <c r="D77" s="69">
        <f>'6 - B1'!D77</f>
        <v>53.820202000000002</v>
      </c>
      <c r="E77" s="69">
        <f>'6 - B1'!E77</f>
        <v>50.956982000000004</v>
      </c>
      <c r="F77" s="69">
        <f>'6 - B1'!F77</f>
        <v>44.894371</v>
      </c>
      <c r="G77" s="69">
        <f>'6 - B1'!G77</f>
        <v>56.869788999999997</v>
      </c>
      <c r="H77" s="69">
        <f>'6 - B1'!H77</f>
        <v>59.043396000000001</v>
      </c>
      <c r="I77" s="69">
        <f>'6 - B1'!I77</f>
        <v>53.809921000000003</v>
      </c>
      <c r="J77" s="69">
        <f>'6 - B1'!J77</f>
        <v>53.515720000000002</v>
      </c>
      <c r="K77" s="69">
        <f>'6 - B1'!K77</f>
        <v>49.285666999999997</v>
      </c>
      <c r="L77" s="69">
        <f>'6 - B1'!L77</f>
        <v>57.353642000000001</v>
      </c>
      <c r="M77" s="69">
        <f>'6 - B1'!M77</f>
        <v>56.410975999999998</v>
      </c>
      <c r="N77" s="69">
        <f>'6 - B1'!N77</f>
        <v>53.820202000000002</v>
      </c>
      <c r="O77" s="69">
        <f>'6 - B1'!O77</f>
        <v>50.956982000000004</v>
      </c>
      <c r="P77" s="69">
        <f>'6 - B1'!P77</f>
        <v>44.894371</v>
      </c>
    </row>
    <row r="78" spans="1:16" x14ac:dyDescent="0.35">
      <c r="A78" s="71">
        <f>'6 - B1'!A78</f>
        <v>29</v>
      </c>
      <c r="B78" s="69">
        <f>'6 - B1'!B78</f>
        <v>40.997230999999999</v>
      </c>
      <c r="C78" s="69">
        <f>'6 - B1'!C78</f>
        <v>39.674736000000003</v>
      </c>
      <c r="D78" s="69">
        <f>'6 - B1'!D78</f>
        <v>39.844791000000001</v>
      </c>
      <c r="E78" s="69">
        <f>'6 - B1'!E78</f>
        <v>34.560420999999998</v>
      </c>
      <c r="F78" s="69">
        <f>'6 - B1'!F78</f>
        <v>32.445495999999999</v>
      </c>
      <c r="G78" s="69">
        <f>'6 - B1'!G78</f>
        <v>39.436805999999997</v>
      </c>
      <c r="H78" s="69">
        <f>'6 - B1'!H78</f>
        <v>45.093040000000002</v>
      </c>
      <c r="I78" s="69">
        <f>'6 - B1'!I78</f>
        <v>40.678325999999998</v>
      </c>
      <c r="J78" s="69">
        <f>'6 - B1'!J78</f>
        <v>39.179397999999999</v>
      </c>
      <c r="K78" s="69">
        <f>'6 - B1'!K78</f>
        <v>36.403075999999999</v>
      </c>
      <c r="L78" s="69">
        <f>'6 - B1'!L78</f>
        <v>40.997230999999999</v>
      </c>
      <c r="M78" s="69">
        <f>'6 - B1'!M78</f>
        <v>39.674736000000003</v>
      </c>
      <c r="N78" s="69">
        <f>'6 - B1'!N78</f>
        <v>39.844791000000001</v>
      </c>
      <c r="O78" s="69">
        <f>'6 - B1'!O78</f>
        <v>34.560420999999998</v>
      </c>
      <c r="P78" s="69">
        <f>'6 - B1'!P78</f>
        <v>32.445495999999999</v>
      </c>
    </row>
    <row r="79" spans="1:16" x14ac:dyDescent="0.35">
      <c r="A79" s="71">
        <f>'6 - B1'!A79</f>
        <v>30</v>
      </c>
      <c r="B79" s="69">
        <f>'6 - B1'!B79</f>
        <v>28.251978000000001</v>
      </c>
      <c r="C79" s="69">
        <f>'6 - B1'!C79</f>
        <v>27.171779999999998</v>
      </c>
      <c r="D79" s="69">
        <f>'6 - B1'!D79</f>
        <v>27.752590000000001</v>
      </c>
      <c r="E79" s="69">
        <f>'6 - B1'!E79</f>
        <v>24.840302000000001</v>
      </c>
      <c r="F79" s="69">
        <f>'6 - B1'!F79</f>
        <v>21.663005999999999</v>
      </c>
      <c r="G79" s="69">
        <f>'6 - B1'!G79</f>
        <v>26.680965</v>
      </c>
      <c r="H79" s="69">
        <f>'6 - B1'!H79</f>
        <v>32.223351000000001</v>
      </c>
      <c r="I79" s="69">
        <f>'6 - B1'!I79</f>
        <v>29.126472</v>
      </c>
      <c r="J79" s="69">
        <f>'6 - B1'!J79</f>
        <v>27.985285000000001</v>
      </c>
      <c r="K79" s="69">
        <f>'6 - B1'!K79</f>
        <v>25.179608999999999</v>
      </c>
      <c r="L79" s="69">
        <f>'6 - B1'!L79</f>
        <v>28.251978000000001</v>
      </c>
      <c r="M79" s="69">
        <f>'6 - B1'!M79</f>
        <v>27.171779999999998</v>
      </c>
      <c r="N79" s="69">
        <f>'6 - B1'!N79</f>
        <v>27.752590000000001</v>
      </c>
      <c r="O79" s="69">
        <f>'6 - B1'!O79</f>
        <v>24.840302000000001</v>
      </c>
      <c r="P79" s="69">
        <f>'6 - B1'!P79</f>
        <v>21.663005999999999</v>
      </c>
    </row>
    <row r="80" spans="1:16" x14ac:dyDescent="0.35">
      <c r="A80" s="71">
        <f>'6 - B1'!A80</f>
        <v>38</v>
      </c>
      <c r="B80" s="69">
        <f>'6 - B1'!B80</f>
        <v>19.011669000000001</v>
      </c>
      <c r="C80" s="69">
        <f>'6 - B1'!C80</f>
        <v>18.508313999999999</v>
      </c>
      <c r="D80" s="69">
        <f>'6 - B1'!D80</f>
        <v>17.741834999999998</v>
      </c>
      <c r="E80" s="69">
        <f>'6 - B1'!E80</f>
        <v>17.182027999999999</v>
      </c>
      <c r="F80" s="69">
        <f>'6 - B1'!F80</f>
        <v>14.507351999999999</v>
      </c>
      <c r="G80" s="69">
        <f>'6 - B1'!G80</f>
        <v>17.964476000000001</v>
      </c>
      <c r="H80" s="69">
        <f>'6 - B1'!H80</f>
        <v>23.578060000000001</v>
      </c>
      <c r="I80" s="69">
        <f>'6 - B1'!I80</f>
        <v>20.042963</v>
      </c>
      <c r="J80" s="69">
        <f>'6 - B1'!J80</f>
        <v>18.853245000000001</v>
      </c>
      <c r="K80" s="69">
        <f>'6 - B1'!K80</f>
        <v>17.469574000000001</v>
      </c>
      <c r="L80" s="69">
        <f>'6 - B1'!L80</f>
        <v>19.011669000000001</v>
      </c>
      <c r="M80" s="69">
        <f>'6 - B1'!M80</f>
        <v>18.508313999999999</v>
      </c>
      <c r="N80" s="69">
        <f>'6 - B1'!N80</f>
        <v>17.741834999999998</v>
      </c>
      <c r="O80" s="69">
        <f>'6 - B1'!O80</f>
        <v>17.182027999999999</v>
      </c>
      <c r="P80" s="69">
        <f>'6 - B1'!P80</f>
        <v>14.507351999999999</v>
      </c>
    </row>
    <row r="81" spans="1:16" x14ac:dyDescent="0.35">
      <c r="A81" s="71">
        <f>'6 - B1'!A81</f>
        <v>50</v>
      </c>
      <c r="B81" s="69">
        <f>'6 - B1'!B81</f>
        <v>12.639042999999999</v>
      </c>
      <c r="C81" s="69">
        <f>'6 - B1'!C81</f>
        <v>12.404508</v>
      </c>
      <c r="D81" s="69">
        <f>'6 - B1'!D81</f>
        <v>12.885130999999999</v>
      </c>
      <c r="E81" s="69">
        <f>'6 - B1'!E81</f>
        <v>12.861974999999999</v>
      </c>
      <c r="F81" s="69">
        <f>'6 - B1'!F81</f>
        <v>8.5279699999999998</v>
      </c>
      <c r="G81" s="69">
        <f>'6 - B1'!G81</f>
        <v>12.118048999999999</v>
      </c>
      <c r="H81" s="69">
        <f>'6 - B1'!H81</f>
        <v>16.209917000000001</v>
      </c>
      <c r="I81" s="69">
        <f>'6 - B1'!I81</f>
        <v>14.908804</v>
      </c>
      <c r="J81" s="69">
        <f>'6 - B1'!J81</f>
        <v>12.961605</v>
      </c>
      <c r="K81" s="69">
        <f>'6 - B1'!K81</f>
        <v>11.516254999999999</v>
      </c>
      <c r="L81" s="69">
        <f>'6 - B1'!L81</f>
        <v>12.639042999999999</v>
      </c>
      <c r="M81" s="69">
        <f>'6 - B1'!M81</f>
        <v>12.404508</v>
      </c>
      <c r="N81" s="69">
        <f>'6 - B1'!N81</f>
        <v>12.885130999999999</v>
      </c>
      <c r="O81" s="69">
        <f>'6 - B1'!O81</f>
        <v>12.861974999999999</v>
      </c>
      <c r="P81" s="69">
        <f>'6 - B1'!P81</f>
        <v>8.5279699999999998</v>
      </c>
    </row>
    <row r="82" spans="1:16" x14ac:dyDescent="0.35">
      <c r="A82" s="71">
        <f>'6 - B1'!A82</f>
        <v>70</v>
      </c>
      <c r="B82" s="69">
        <f>'6 - B1'!B82</f>
        <v>9.3465190000000007</v>
      </c>
      <c r="C82" s="69">
        <f>'6 - B1'!C82</f>
        <v>7.7774299999999998</v>
      </c>
      <c r="D82" s="69">
        <f>'6 - B1'!D82</f>
        <v>7.8301949999999998</v>
      </c>
      <c r="E82" s="69">
        <f>'6 - B1'!E82</f>
        <v>8.6401050000000001</v>
      </c>
      <c r="F82" s="69">
        <f>'6 - B1'!F82</f>
        <v>4.7050869999999998</v>
      </c>
      <c r="G82" s="69">
        <f>'6 - B1'!G82</f>
        <v>7.6535039999999999</v>
      </c>
      <c r="H82" s="69">
        <f>'6 - B1'!H82</f>
        <v>12.083755999999999</v>
      </c>
      <c r="I82" s="69">
        <f>'6 - B1'!I82</f>
        <v>9.9721150000000005</v>
      </c>
      <c r="J82" s="69">
        <f>'6 - B1'!J82</f>
        <v>8.3464880000000008</v>
      </c>
      <c r="K82" s="69">
        <f>'6 - B1'!K82</f>
        <v>7.6124400000000003</v>
      </c>
      <c r="L82" s="69">
        <f>'6 - B1'!L82</f>
        <v>9.3465190000000007</v>
      </c>
      <c r="M82" s="69">
        <f>'6 - B1'!M82</f>
        <v>7.7774299999999998</v>
      </c>
      <c r="N82" s="69">
        <f>'6 - B1'!N82</f>
        <v>7.8301949999999998</v>
      </c>
      <c r="O82" s="69">
        <f>'6 - B1'!O82</f>
        <v>8.6401050000000001</v>
      </c>
      <c r="P82" s="69">
        <f>'6 - B1'!P82</f>
        <v>4.7050869999999998</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F8" sqref="F8:F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43" t="s">
        <v>114</v>
      </c>
      <c r="O2" s="43"/>
    </row>
    <row r="3" spans="1:49" ht="13.15" x14ac:dyDescent="0.4">
      <c r="A3" t="str">
        <f>'6 - B1'!$A$3</f>
        <v>Serial #</v>
      </c>
      <c r="B3" s="40" t="str">
        <f>'6 - B1'!$B$3</f>
        <v>11171-00009</v>
      </c>
    </row>
    <row r="4" spans="1:49" ht="17.100000000000001" customHeight="1" x14ac:dyDescent="1.05">
      <c r="A4" s="41" t="str">
        <f>'6 - B1'!$A$4</f>
        <v>Date</v>
      </c>
      <c r="B4" s="42">
        <f>'6 - B1'!$B$4</f>
        <v>46009</v>
      </c>
      <c r="O4" s="43"/>
    </row>
    <row r="5" spans="1:49" ht="13.15" x14ac:dyDescent="0.4">
      <c r="A5" s="41" t="str">
        <f>'6 - B1'!$A$5</f>
        <v>RM</v>
      </c>
      <c r="B5" s="68" t="str">
        <f>'6 - B1'!$B$5</f>
        <v>37D</v>
      </c>
    </row>
    <row r="6" spans="1:49" ht="13.15" x14ac:dyDescent="0.4">
      <c r="B6" s="41"/>
      <c r="C6" s="41"/>
      <c r="D6" s="41"/>
      <c r="E6" s="41"/>
      <c r="F6" s="41"/>
    </row>
    <row r="7" spans="1:49" ht="14.65" x14ac:dyDescent="0.5">
      <c r="B7" s="19" t="s">
        <v>57</v>
      </c>
      <c r="C7" s="19" t="s">
        <v>58</v>
      </c>
      <c r="D7" s="19" t="s">
        <v>59</v>
      </c>
      <c r="E7" s="19" t="s">
        <v>60</v>
      </c>
      <c r="F7" s="19" t="s">
        <v>61</v>
      </c>
      <c r="G7" s="19" t="s">
        <v>62</v>
      </c>
      <c r="H7" s="19" t="s">
        <v>63</v>
      </c>
      <c r="I7" s="19" t="s">
        <v>64</v>
      </c>
      <c r="J7" s="19" t="s">
        <v>65</v>
      </c>
      <c r="K7" s="19" t="s">
        <v>66</v>
      </c>
      <c r="L7" s="19" t="s">
        <v>67</v>
      </c>
      <c r="M7" s="19" t="s">
        <v>68</v>
      </c>
      <c r="O7" s="19" t="s">
        <v>57</v>
      </c>
      <c r="P7" s="19" t="s">
        <v>58</v>
      </c>
      <c r="Q7" s="19" t="s">
        <v>59</v>
      </c>
      <c r="R7" s="19" t="s">
        <v>60</v>
      </c>
      <c r="S7" s="19" t="s">
        <v>61</v>
      </c>
    </row>
    <row r="8" spans="1:49" ht="13.15" x14ac:dyDescent="0.4">
      <c r="A8" s="15" t="s">
        <v>69</v>
      </c>
      <c r="B8" s="47">
        <f>L52</f>
        <v>9.4152699999999996</v>
      </c>
      <c r="C8" s="47">
        <f>M52</f>
        <v>10.157598</v>
      </c>
      <c r="D8" s="47">
        <f>N52</f>
        <v>10.089149000000001</v>
      </c>
      <c r="E8" s="47">
        <f>O52</f>
        <v>10.185060999999999</v>
      </c>
      <c r="F8" s="47"/>
      <c r="G8" s="48">
        <f>AVERAGE(B$8:F$8)*5</f>
        <v>49.808847499999999</v>
      </c>
      <c r="I8" s="49"/>
      <c r="K8" s="49"/>
    </row>
    <row r="9" spans="1:49" x14ac:dyDescent="0.35">
      <c r="A9" s="15" t="s">
        <v>70</v>
      </c>
      <c r="B9" s="22">
        <f>L53</f>
        <v>11605.083984000001</v>
      </c>
      <c r="C9" s="22">
        <f t="shared" ref="C9:F9" si="0">M53</f>
        <v>12181.030273</v>
      </c>
      <c r="D9" s="22">
        <f t="shared" si="0"/>
        <v>11966.420898</v>
      </c>
      <c r="E9" s="22">
        <f t="shared" si="0"/>
        <v>11937.287109000001</v>
      </c>
      <c r="F9" s="22"/>
      <c r="G9" s="34">
        <f t="shared" ref="G9:G38" si="1">AVERAGE(B9:F9)</f>
        <v>11922.455566000001</v>
      </c>
      <c r="H9" s="51">
        <f t="shared" ref="H9:H38" si="2">G9*G$8</f>
        <v>593843.77111242025</v>
      </c>
      <c r="I9" s="49">
        <f t="shared" ref="I9:I38" si="3">STDEVP(B9:F9)/G9</f>
        <v>1.7278041153013516E-2</v>
      </c>
      <c r="J9" s="49">
        <f t="shared" ref="J9:J38" si="4">IF(H9&gt;$A$43, $C$43, IF(H9&gt;$A$44, $C$44, IF(H9&gt;$A$45,$C$45,IF(H9&gt;$A$46,$C$46, IF(H9&gt;$A$47,$C$47,IF(H9&gt;$A$48,$C$48,$C$49))))))/100</f>
        <v>0.11</v>
      </c>
      <c r="K9" s="49">
        <f t="shared" ref="K9:K38" si="5">(MAX(B9:F9)-MIN(B9:F9))/G9</f>
        <v>4.8307690124042985E-2</v>
      </c>
      <c r="L9" s="22">
        <f>G9/'Clause 6'!$I$11</f>
        <v>11922.455566000001</v>
      </c>
      <c r="M9">
        <f t="shared" ref="M9:M38" si="6">COUNTA(B9:F9)</f>
        <v>4</v>
      </c>
      <c r="O9" s="52">
        <f>IF(ISNUMBER(B9), (B9/$G9-1), 0)</f>
        <v>-2.6619648967706633E-2</v>
      </c>
      <c r="P9" s="52">
        <f t="shared" ref="P9:S38" si="7">IF(ISNUMBER(C9), (C9/$G9-1), 0)</f>
        <v>2.1688041156336491E-2</v>
      </c>
      <c r="Q9" s="52">
        <f t="shared" si="7"/>
        <v>3.68760711722671E-3</v>
      </c>
      <c r="R9" s="52">
        <f t="shared" si="7"/>
        <v>1.2440006941436543E-3</v>
      </c>
      <c r="S9" s="52">
        <f t="shared" si="7"/>
        <v>0</v>
      </c>
    </row>
    <row r="10" spans="1:49" x14ac:dyDescent="0.35">
      <c r="A10" s="15" t="s">
        <v>71</v>
      </c>
      <c r="B10" s="22">
        <f t="shared" ref="B10:F25" si="8">L54</f>
        <v>10102.630859000001</v>
      </c>
      <c r="C10" s="22">
        <f t="shared" si="8"/>
        <v>10598.864258</v>
      </c>
      <c r="D10" s="22">
        <f t="shared" si="8"/>
        <v>10415.844727</v>
      </c>
      <c r="E10" s="22">
        <f t="shared" si="8"/>
        <v>10377.453125</v>
      </c>
      <c r="F10" s="22"/>
      <c r="G10" s="34">
        <f t="shared" si="1"/>
        <v>10373.69824225</v>
      </c>
      <c r="H10" s="51">
        <f t="shared" si="2"/>
        <v>516701.95375924831</v>
      </c>
      <c r="I10" s="49">
        <f t="shared" si="3"/>
        <v>1.7106689384773884E-2</v>
      </c>
      <c r="J10" s="49">
        <f t="shared" si="4"/>
        <v>0.11</v>
      </c>
      <c r="K10" s="49">
        <f t="shared" si="5"/>
        <v>4.7835727183478241E-2</v>
      </c>
      <c r="L10" s="22">
        <f>G10/'Clause 6'!$I$11</f>
        <v>10373.69824225</v>
      </c>
      <c r="M10">
        <f t="shared" si="6"/>
        <v>4</v>
      </c>
      <c r="O10" s="52">
        <f t="shared" ref="O10:O38" si="9">IF(ISNUMBER(B10), (B10/$G10-1), 0)</f>
        <v>-2.6130255278295711E-2</v>
      </c>
      <c r="P10" s="52">
        <f t="shared" si="7"/>
        <v>2.1705471905182572E-2</v>
      </c>
      <c r="Q10" s="52">
        <f t="shared" si="7"/>
        <v>4.0628215478974994E-3</v>
      </c>
      <c r="R10" s="52">
        <f t="shared" si="7"/>
        <v>3.6196182521552878E-4</v>
      </c>
      <c r="S10" s="52">
        <f t="shared" si="7"/>
        <v>0</v>
      </c>
    </row>
    <row r="11" spans="1:49" x14ac:dyDescent="0.35">
      <c r="A11" s="15" t="s">
        <v>72</v>
      </c>
      <c r="B11" s="22">
        <f t="shared" si="8"/>
        <v>8843.9316409999992</v>
      </c>
      <c r="C11" s="22">
        <f t="shared" si="8"/>
        <v>9242.5400389999995</v>
      </c>
      <c r="D11" s="22">
        <f t="shared" si="8"/>
        <v>9055.0751949999994</v>
      </c>
      <c r="E11" s="22">
        <f t="shared" si="8"/>
        <v>9047.7607420000004</v>
      </c>
      <c r="F11" s="22"/>
      <c r="G11" s="34">
        <f t="shared" si="1"/>
        <v>9047.3269042499996</v>
      </c>
      <c r="H11" s="51">
        <f t="shared" si="2"/>
        <v>450636.92605643533</v>
      </c>
      <c r="I11" s="49">
        <f t="shared" si="3"/>
        <v>1.5586087994293604E-2</v>
      </c>
      <c r="J11" s="49">
        <f t="shared" si="4"/>
        <v>0.11</v>
      </c>
      <c r="K11" s="49">
        <f t="shared" si="5"/>
        <v>4.4058140290338492E-2</v>
      </c>
      <c r="L11" s="22">
        <f>G11/'Clause 6'!$I$11</f>
        <v>9047.3269042499996</v>
      </c>
      <c r="M11">
        <f t="shared" si="6"/>
        <v>4</v>
      </c>
      <c r="O11" s="52">
        <f t="shared" si="9"/>
        <v>-2.2481255005216472E-2</v>
      </c>
      <c r="P11" s="52">
        <f t="shared" si="7"/>
        <v>2.1576885285121916E-2</v>
      </c>
      <c r="Q11" s="52">
        <f t="shared" si="7"/>
        <v>8.5641768358790671E-4</v>
      </c>
      <c r="R11" s="52">
        <f t="shared" si="7"/>
        <v>4.795203650664881E-5</v>
      </c>
      <c r="S11" s="52">
        <f t="shared" si="7"/>
        <v>0</v>
      </c>
    </row>
    <row r="12" spans="1:49" x14ac:dyDescent="0.35">
      <c r="A12" s="15" t="s">
        <v>73</v>
      </c>
      <c r="B12" s="22">
        <f t="shared" si="8"/>
        <v>7728.8276370000003</v>
      </c>
      <c r="C12" s="22">
        <f t="shared" si="8"/>
        <v>8050.7226559999999</v>
      </c>
      <c r="D12" s="22">
        <f t="shared" si="8"/>
        <v>7870.9316410000001</v>
      </c>
      <c r="E12" s="22">
        <f t="shared" si="8"/>
        <v>7889.3974609999996</v>
      </c>
      <c r="F12" s="22"/>
      <c r="G12" s="34">
        <f t="shared" si="1"/>
        <v>7884.96984875</v>
      </c>
      <c r="H12" s="51">
        <f t="shared" si="2"/>
        <v>392741.26073848683</v>
      </c>
      <c r="I12" s="49">
        <f t="shared" si="3"/>
        <v>1.4469987971876964E-2</v>
      </c>
      <c r="J12" s="49">
        <f t="shared" si="4"/>
        <v>0.11</v>
      </c>
      <c r="K12" s="49">
        <f t="shared" si="5"/>
        <v>4.082387443130546E-2</v>
      </c>
      <c r="L12" s="22">
        <f>G12/'Clause 6'!$I$11</f>
        <v>7884.96984875</v>
      </c>
      <c r="M12">
        <f t="shared" si="6"/>
        <v>4</v>
      </c>
      <c r="O12" s="52">
        <f t="shared" si="9"/>
        <v>-1.9802512215662205E-2</v>
      </c>
      <c r="P12" s="52">
        <f t="shared" si="7"/>
        <v>2.1021362215643213E-2</v>
      </c>
      <c r="Q12" s="52">
        <f t="shared" si="7"/>
        <v>-1.780375577748794E-3</v>
      </c>
      <c r="R12" s="52">
        <f t="shared" si="7"/>
        <v>5.6152557776756318E-4</v>
      </c>
      <c r="S12" s="52">
        <f t="shared" si="7"/>
        <v>0</v>
      </c>
    </row>
    <row r="13" spans="1:49" x14ac:dyDescent="0.35">
      <c r="A13" s="15" t="s">
        <v>74</v>
      </c>
      <c r="B13" s="22">
        <f t="shared" si="8"/>
        <v>6712.5</v>
      </c>
      <c r="C13" s="22">
        <f t="shared" si="8"/>
        <v>6966.6079099999997</v>
      </c>
      <c r="D13" s="22">
        <f t="shared" si="8"/>
        <v>6819.4057620000003</v>
      </c>
      <c r="E13" s="22">
        <f t="shared" si="8"/>
        <v>6844.7304690000001</v>
      </c>
      <c r="F13" s="22"/>
      <c r="G13" s="34">
        <f t="shared" si="1"/>
        <v>6835.8110352500007</v>
      </c>
      <c r="H13" s="51">
        <f t="shared" si="2"/>
        <v>340483.86939358438</v>
      </c>
      <c r="I13" s="49">
        <f t="shared" si="3"/>
        <v>1.3219108324317743E-2</v>
      </c>
      <c r="J13" s="49">
        <f t="shared" si="4"/>
        <v>0.11</v>
      </c>
      <c r="K13" s="49">
        <f t="shared" si="5"/>
        <v>3.7173044820819338E-2</v>
      </c>
      <c r="L13" s="22">
        <f>G13/'Clause 6'!$I$11</f>
        <v>6835.8110352500007</v>
      </c>
      <c r="M13">
        <f t="shared" si="6"/>
        <v>4</v>
      </c>
      <c r="O13" s="52">
        <f t="shared" si="9"/>
        <v>-1.8038976591676747E-2</v>
      </c>
      <c r="P13" s="52">
        <f t="shared" si="7"/>
        <v>1.9134068229142542E-2</v>
      </c>
      <c r="Q13" s="52">
        <f t="shared" si="7"/>
        <v>-2.3999015135737212E-3</v>
      </c>
      <c r="R13" s="52">
        <f t="shared" si="7"/>
        <v>1.3048098761074822E-3</v>
      </c>
      <c r="S13" s="52">
        <f t="shared" si="7"/>
        <v>0</v>
      </c>
    </row>
    <row r="14" spans="1:49" x14ac:dyDescent="0.35">
      <c r="A14" s="15" t="s">
        <v>75</v>
      </c>
      <c r="B14" s="22">
        <f t="shared" si="8"/>
        <v>5831.0595700000003</v>
      </c>
      <c r="C14" s="22">
        <f t="shared" si="8"/>
        <v>6010.96875</v>
      </c>
      <c r="D14" s="22">
        <f t="shared" si="8"/>
        <v>5896.2358400000003</v>
      </c>
      <c r="E14" s="22">
        <f t="shared" si="8"/>
        <v>5923.3808589999999</v>
      </c>
      <c r="F14" s="22"/>
      <c r="G14" s="34">
        <f t="shared" si="1"/>
        <v>5915.4112547500008</v>
      </c>
      <c r="H14" s="51">
        <f t="shared" si="2"/>
        <v>294639.81708762643</v>
      </c>
      <c r="I14" s="49">
        <f t="shared" si="3"/>
        <v>1.0915723454122825E-2</v>
      </c>
      <c r="J14" s="49">
        <f t="shared" si="4"/>
        <v>0.11</v>
      </c>
      <c r="K14" s="49">
        <f t="shared" si="5"/>
        <v>3.0413638587771026E-2</v>
      </c>
      <c r="L14" s="22">
        <f>G14/'Clause 6'!$I$11</f>
        <v>5915.4112547500008</v>
      </c>
      <c r="M14">
        <f t="shared" si="6"/>
        <v>4</v>
      </c>
      <c r="O14" s="52">
        <f t="shared" si="9"/>
        <v>-1.4259648419586601E-2</v>
      </c>
      <c r="P14" s="52">
        <f t="shared" si="7"/>
        <v>1.6153990168184418E-2</v>
      </c>
      <c r="Q14" s="52">
        <f t="shared" si="7"/>
        <v>-3.2416029797763812E-3</v>
      </c>
      <c r="R14" s="52">
        <f t="shared" si="7"/>
        <v>1.3472612311780097E-3</v>
      </c>
      <c r="S14" s="52">
        <f t="shared" si="7"/>
        <v>0</v>
      </c>
    </row>
    <row r="15" spans="1:49" x14ac:dyDescent="0.35">
      <c r="A15" s="15" t="s">
        <v>76</v>
      </c>
      <c r="B15" s="22">
        <f t="shared" si="8"/>
        <v>5012.3896480000003</v>
      </c>
      <c r="C15" s="22">
        <f t="shared" si="8"/>
        <v>5152.5961909999996</v>
      </c>
      <c r="D15" s="22">
        <f t="shared" si="8"/>
        <v>5069.5058589999999</v>
      </c>
      <c r="E15" s="22">
        <f t="shared" si="8"/>
        <v>5089.0219729999999</v>
      </c>
      <c r="F15" s="22"/>
      <c r="G15" s="34">
        <f t="shared" si="1"/>
        <v>5080.8784177500002</v>
      </c>
      <c r="H15" s="51">
        <f t="shared" si="2"/>
        <v>253072.69827575106</v>
      </c>
      <c r="I15" s="49">
        <f t="shared" si="3"/>
        <v>9.8554715085167541E-3</v>
      </c>
      <c r="J15" s="49">
        <f t="shared" si="4"/>
        <v>0.11</v>
      </c>
      <c r="K15" s="49">
        <f t="shared" si="5"/>
        <v>2.7594941557780465E-2</v>
      </c>
      <c r="L15" s="22">
        <f>G15/'Clause 6'!$I$11</f>
        <v>5080.8784177500002</v>
      </c>
      <c r="M15">
        <f t="shared" si="6"/>
        <v>4</v>
      </c>
      <c r="O15" s="52">
        <f t="shared" si="9"/>
        <v>-1.3479710419902036E-2</v>
      </c>
      <c r="P15" s="52">
        <f t="shared" si="7"/>
        <v>1.4115231137878492E-2</v>
      </c>
      <c r="Q15" s="52">
        <f t="shared" si="7"/>
        <v>-2.2383056264976275E-3</v>
      </c>
      <c r="R15" s="52">
        <f t="shared" si="7"/>
        <v>1.6027849085209489E-3</v>
      </c>
      <c r="S15" s="52">
        <f t="shared" si="7"/>
        <v>0</v>
      </c>
      <c r="T15" s="15"/>
      <c r="U15" s="15"/>
      <c r="V15" s="15"/>
      <c r="W15" s="15"/>
      <c r="X15" s="15"/>
      <c r="Y15" s="15"/>
      <c r="Z15" s="15"/>
      <c r="AA15" s="15"/>
      <c r="AB15" s="15"/>
      <c r="AC15" s="15"/>
      <c r="AD15" s="15"/>
      <c r="AE15" s="15"/>
      <c r="AF15" s="15"/>
      <c r="AG15" s="15"/>
      <c r="AH15" s="15"/>
      <c r="AI15" s="15"/>
      <c r="AJ15" s="15"/>
      <c r="AK15" s="15"/>
      <c r="AL15" s="15"/>
      <c r="AM15" s="15"/>
      <c r="AN15" s="15"/>
      <c r="AO15" s="15"/>
      <c r="AP15" s="15"/>
      <c r="AQ15" s="15"/>
      <c r="AR15" s="15"/>
      <c r="AS15" s="15"/>
      <c r="AT15" s="15"/>
      <c r="AU15" s="15"/>
      <c r="AV15" s="15"/>
      <c r="AW15" s="15"/>
    </row>
    <row r="16" spans="1:49" x14ac:dyDescent="0.35">
      <c r="A16" s="15" t="s">
        <v>77</v>
      </c>
      <c r="B16" s="22">
        <f t="shared" si="8"/>
        <v>4265.1992190000001</v>
      </c>
      <c r="C16" s="22">
        <f t="shared" si="8"/>
        <v>4375.4438479999999</v>
      </c>
      <c r="D16" s="22">
        <f t="shared" si="8"/>
        <v>4300.263672</v>
      </c>
      <c r="E16" s="22">
        <f t="shared" si="8"/>
        <v>4335.2709960000002</v>
      </c>
      <c r="F16" s="22"/>
      <c r="G16" s="34">
        <f t="shared" si="1"/>
        <v>4319.0444337500003</v>
      </c>
      <c r="H16" s="51">
        <f t="shared" si="2"/>
        <v>215126.62554637762</v>
      </c>
      <c r="I16" s="49">
        <f t="shared" si="3"/>
        <v>9.4732101172093006E-3</v>
      </c>
      <c r="J16" s="49">
        <f t="shared" si="4"/>
        <v>0.11</v>
      </c>
      <c r="K16" s="49">
        <f t="shared" si="5"/>
        <v>2.5525236123648806E-2</v>
      </c>
      <c r="L16" s="22">
        <f>G16/'Clause 6'!$I$11</f>
        <v>4319.0444337500003</v>
      </c>
      <c r="M16">
        <f t="shared" si="6"/>
        <v>4</v>
      </c>
      <c r="O16" s="52">
        <f t="shared" si="9"/>
        <v>-1.2466927714204878E-2</v>
      </c>
      <c r="P16" s="52">
        <f t="shared" si="7"/>
        <v>1.3058308409443997E-2</v>
      </c>
      <c r="Q16" s="52">
        <f t="shared" si="7"/>
        <v>-4.3483603926931513E-3</v>
      </c>
      <c r="R16" s="52">
        <f t="shared" si="7"/>
        <v>3.7569796974539216E-3</v>
      </c>
      <c r="S16" s="52">
        <f t="shared" si="7"/>
        <v>0</v>
      </c>
      <c r="T16" s="15"/>
      <c r="U16" s="15"/>
      <c r="V16" s="15"/>
      <c r="W16" s="15"/>
      <c r="X16" s="15"/>
      <c r="Y16" s="15"/>
      <c r="Z16" s="15"/>
      <c r="AA16" s="15"/>
      <c r="AB16" s="15"/>
      <c r="AC16" s="15"/>
      <c r="AD16" s="15"/>
      <c r="AE16" s="15"/>
      <c r="AF16" s="15"/>
      <c r="AG16" s="15"/>
      <c r="AH16" s="15"/>
      <c r="AI16" s="15"/>
      <c r="AJ16" s="15"/>
      <c r="AK16" s="15"/>
      <c r="AL16" s="15"/>
      <c r="AM16" s="15"/>
      <c r="AN16" s="15"/>
      <c r="AO16" s="15"/>
      <c r="AP16" s="15"/>
      <c r="AQ16" s="15"/>
      <c r="AR16" s="15"/>
      <c r="AS16" s="15"/>
      <c r="AT16" s="15"/>
      <c r="AU16" s="15"/>
      <c r="AV16" s="15"/>
      <c r="AW16" s="15"/>
    </row>
    <row r="17" spans="1:49" x14ac:dyDescent="0.35">
      <c r="A17" s="15" t="s">
        <v>78</v>
      </c>
      <c r="B17" s="22">
        <f t="shared" si="8"/>
        <v>3582.6906739999999</v>
      </c>
      <c r="C17" s="22">
        <f t="shared" si="8"/>
        <v>3679.4133299999999</v>
      </c>
      <c r="D17" s="22">
        <f t="shared" si="8"/>
        <v>3615.3696289999998</v>
      </c>
      <c r="E17" s="22">
        <f t="shared" si="8"/>
        <v>3637.5822750000002</v>
      </c>
      <c r="F17" s="22"/>
      <c r="G17" s="34">
        <f t="shared" si="1"/>
        <v>3628.7639770000001</v>
      </c>
      <c r="H17" s="51">
        <f t="shared" si="2"/>
        <v>180744.55154388651</v>
      </c>
      <c r="I17" s="49">
        <f t="shared" si="3"/>
        <v>9.6896167642485792E-3</v>
      </c>
      <c r="J17" s="49">
        <f t="shared" si="4"/>
        <v>0.11</v>
      </c>
      <c r="K17" s="49">
        <f t="shared" si="5"/>
        <v>2.6654435673703757E-2</v>
      </c>
      <c r="L17" s="22">
        <f>G17/'Clause 6'!$I$11</f>
        <v>3628.7639770000001</v>
      </c>
      <c r="M17">
        <f t="shared" si="6"/>
        <v>4</v>
      </c>
      <c r="O17" s="52">
        <f t="shared" si="9"/>
        <v>-1.2696693224476419E-2</v>
      </c>
      <c r="P17" s="52">
        <f t="shared" si="7"/>
        <v>1.3957742449227206E-2</v>
      </c>
      <c r="Q17" s="52">
        <f t="shared" si="7"/>
        <v>-3.6911598783764266E-3</v>
      </c>
      <c r="R17" s="52">
        <f t="shared" si="7"/>
        <v>2.4301106536255279E-3</v>
      </c>
      <c r="S17" s="52">
        <f t="shared" si="7"/>
        <v>0</v>
      </c>
      <c r="T17" s="15"/>
      <c r="U17" s="15"/>
      <c r="V17" s="15"/>
      <c r="W17" s="15"/>
      <c r="X17" s="15"/>
      <c r="Y17" s="15"/>
      <c r="Z17" s="15"/>
      <c r="AA17" s="15"/>
      <c r="AB17" s="15"/>
      <c r="AC17" s="15"/>
      <c r="AD17" s="15"/>
      <c r="AE17" s="15"/>
      <c r="AF17" s="15"/>
      <c r="AG17" s="15"/>
      <c r="AH17" s="15"/>
      <c r="AI17" s="15"/>
      <c r="AJ17" s="15"/>
      <c r="AK17" s="15"/>
      <c r="AL17" s="15"/>
      <c r="AM17" s="15"/>
      <c r="AN17" s="15"/>
      <c r="AO17" s="15"/>
      <c r="AP17" s="15"/>
      <c r="AQ17" s="15"/>
      <c r="AR17" s="15"/>
      <c r="AS17" s="15"/>
      <c r="AT17" s="15"/>
      <c r="AU17" s="15"/>
      <c r="AV17" s="15"/>
      <c r="AW17" s="15"/>
    </row>
    <row r="18" spans="1:49" x14ac:dyDescent="0.35">
      <c r="A18" s="15" t="s">
        <v>79</v>
      </c>
      <c r="B18" s="22">
        <f t="shared" si="8"/>
        <v>2960.9348140000002</v>
      </c>
      <c r="C18" s="22">
        <f t="shared" si="8"/>
        <v>3056.6281739999999</v>
      </c>
      <c r="D18" s="22">
        <f t="shared" si="8"/>
        <v>3009.4709469999998</v>
      </c>
      <c r="E18" s="22">
        <f t="shared" si="8"/>
        <v>3018.9311520000001</v>
      </c>
      <c r="F18" s="22"/>
      <c r="G18" s="34">
        <f t="shared" si="1"/>
        <v>3011.4912717500001</v>
      </c>
      <c r="H18" s="51">
        <f t="shared" si="2"/>
        <v>149998.9095021768</v>
      </c>
      <c r="I18" s="49">
        <f t="shared" si="3"/>
        <v>1.1325105840468572E-2</v>
      </c>
      <c r="J18" s="49">
        <f t="shared" si="4"/>
        <v>0.11</v>
      </c>
      <c r="K18" s="49">
        <f t="shared" si="5"/>
        <v>3.1776070844924488E-2</v>
      </c>
      <c r="L18" s="22">
        <f>G18/'Clause 6'!$I$11</f>
        <v>3011.4912717500001</v>
      </c>
      <c r="M18">
        <f t="shared" si="6"/>
        <v>4</v>
      </c>
      <c r="O18" s="52">
        <f t="shared" si="9"/>
        <v>-1.6787848008810946E-2</v>
      </c>
      <c r="P18" s="52">
        <f t="shared" si="7"/>
        <v>1.4988222836113563E-2</v>
      </c>
      <c r="Q18" s="52">
        <f t="shared" si="7"/>
        <v>-6.7087185971692609E-4</v>
      </c>
      <c r="R18" s="52">
        <f t="shared" si="7"/>
        <v>2.4704970324143094E-3</v>
      </c>
      <c r="S18" s="52">
        <f t="shared" si="7"/>
        <v>0</v>
      </c>
      <c r="T18" s="15"/>
      <c r="U18" s="15"/>
      <c r="V18" s="15"/>
      <c r="W18" s="15"/>
      <c r="X18" s="15"/>
      <c r="Y18" s="15"/>
      <c r="Z18" s="15"/>
      <c r="AA18" s="15"/>
      <c r="AB18" s="15"/>
      <c r="AC18" s="15"/>
      <c r="AD18" s="15"/>
      <c r="AE18" s="15"/>
      <c r="AF18" s="15"/>
      <c r="AG18" s="15"/>
      <c r="AH18" s="15"/>
      <c r="AI18" s="15"/>
      <c r="AJ18" s="15"/>
      <c r="AK18" s="15"/>
      <c r="AL18" s="15"/>
      <c r="AM18" s="15"/>
      <c r="AN18" s="15"/>
      <c r="AO18" s="15"/>
      <c r="AP18" s="15"/>
      <c r="AQ18" s="15"/>
      <c r="AR18" s="15"/>
      <c r="AS18" s="15"/>
      <c r="AT18" s="15"/>
      <c r="AU18" s="15"/>
      <c r="AV18" s="15"/>
      <c r="AW18" s="15"/>
    </row>
    <row r="19" spans="1:49" x14ac:dyDescent="0.35">
      <c r="A19" s="15" t="s">
        <v>80</v>
      </c>
      <c r="B19" s="22">
        <f t="shared" si="8"/>
        <v>2429.7763669999999</v>
      </c>
      <c r="C19" s="22">
        <f t="shared" si="8"/>
        <v>2491.9277339999999</v>
      </c>
      <c r="D19" s="22">
        <f t="shared" si="8"/>
        <v>2458.383789</v>
      </c>
      <c r="E19" s="22">
        <f t="shared" si="8"/>
        <v>2456.6372070000002</v>
      </c>
      <c r="F19" s="22"/>
      <c r="G19" s="34">
        <f t="shared" si="1"/>
        <v>2459.1812742499997</v>
      </c>
      <c r="H19" s="51">
        <f t="shared" si="2"/>
        <v>122488.9850639739</v>
      </c>
      <c r="I19" s="49">
        <f t="shared" si="3"/>
        <v>8.9647330207193072E-3</v>
      </c>
      <c r="J19" s="49">
        <f t="shared" si="4"/>
        <v>0.11</v>
      </c>
      <c r="K19" s="49">
        <f t="shared" si="5"/>
        <v>2.5273194640340144E-2</v>
      </c>
      <c r="L19" s="22">
        <f>G19/'Clause 6'!$I$11</f>
        <v>2459.1812742499997</v>
      </c>
      <c r="M19">
        <f t="shared" si="6"/>
        <v>4</v>
      </c>
      <c r="O19" s="52">
        <f t="shared" si="9"/>
        <v>-1.1957193866876548E-2</v>
      </c>
      <c r="P19" s="52">
        <f t="shared" si="7"/>
        <v>1.3316000773463621E-2</v>
      </c>
      <c r="Q19" s="52">
        <f t="shared" si="7"/>
        <v>-3.2428892426517031E-4</v>
      </c>
      <c r="R19" s="52">
        <f t="shared" si="7"/>
        <v>-1.034517982321348E-3</v>
      </c>
      <c r="S19" s="52">
        <f t="shared" si="7"/>
        <v>0</v>
      </c>
      <c r="T19" s="15"/>
      <c r="U19" s="15"/>
      <c r="V19" s="15"/>
      <c r="W19" s="15"/>
      <c r="X19" s="15"/>
      <c r="Y19" s="15"/>
      <c r="Z19" s="15"/>
      <c r="AA19" s="15"/>
      <c r="AB19" s="15"/>
      <c r="AC19" s="15"/>
      <c r="AD19" s="15"/>
      <c r="AE19" s="15"/>
      <c r="AF19" s="15"/>
      <c r="AG19" s="15"/>
      <c r="AH19" s="15"/>
      <c r="AI19" s="15"/>
      <c r="AJ19" s="15"/>
      <c r="AK19" s="15"/>
      <c r="AL19" s="15"/>
      <c r="AM19" s="15"/>
      <c r="AN19" s="15"/>
      <c r="AO19" s="15"/>
      <c r="AP19" s="15"/>
      <c r="AQ19" s="15"/>
      <c r="AR19" s="15"/>
      <c r="AS19" s="15"/>
      <c r="AT19" s="15"/>
      <c r="AU19" s="15"/>
      <c r="AV19" s="15"/>
      <c r="AW19" s="15"/>
    </row>
    <row r="20" spans="1:49" x14ac:dyDescent="0.35">
      <c r="A20" s="15" t="s">
        <v>81</v>
      </c>
      <c r="B20" s="22">
        <f t="shared" si="8"/>
        <v>1954.059814</v>
      </c>
      <c r="C20" s="22">
        <f t="shared" si="8"/>
        <v>1998.9963379999999</v>
      </c>
      <c r="D20" s="22">
        <f t="shared" si="8"/>
        <v>1975.6870120000001</v>
      </c>
      <c r="E20" s="22">
        <f t="shared" si="8"/>
        <v>1958.2601320000001</v>
      </c>
      <c r="F20" s="22"/>
      <c r="G20" s="34">
        <f t="shared" si="1"/>
        <v>1971.7508240000002</v>
      </c>
      <c r="H20" s="51">
        <f t="shared" si="2"/>
        <v>98210.636100615346</v>
      </c>
      <c r="I20" s="49">
        <f t="shared" si="3"/>
        <v>8.9754403077573885E-3</v>
      </c>
      <c r="J20" s="49">
        <f t="shared" si="4"/>
        <v>0.11</v>
      </c>
      <c r="K20" s="49">
        <f t="shared" si="5"/>
        <v>2.2790163672324126E-2</v>
      </c>
      <c r="L20" s="22">
        <f>G20/'Clause 6'!$I$11</f>
        <v>1971.7508240000002</v>
      </c>
      <c r="M20">
        <f t="shared" si="6"/>
        <v>4</v>
      </c>
      <c r="O20" s="52">
        <f t="shared" si="9"/>
        <v>-8.9722341102469461E-3</v>
      </c>
      <c r="P20" s="52">
        <f t="shared" si="7"/>
        <v>1.381792956207728E-2</v>
      </c>
      <c r="Q20" s="52">
        <f t="shared" si="7"/>
        <v>1.9962907848642963E-3</v>
      </c>
      <c r="R20" s="52">
        <f t="shared" si="7"/>
        <v>-6.8419862366950746E-3</v>
      </c>
      <c r="S20" s="52">
        <f t="shared" si="7"/>
        <v>0</v>
      </c>
      <c r="T20" s="15"/>
      <c r="U20" s="15"/>
      <c r="V20" s="15"/>
      <c r="W20" s="15"/>
      <c r="X20" s="15"/>
      <c r="Y20" s="15"/>
      <c r="Z20" s="15"/>
      <c r="AA20" s="15"/>
      <c r="AB20" s="15"/>
      <c r="AC20" s="15"/>
      <c r="AD20" s="15"/>
      <c r="AE20" s="15"/>
      <c r="AF20" s="15"/>
      <c r="AG20" s="15"/>
      <c r="AH20" s="15"/>
      <c r="AI20" s="15"/>
      <c r="AJ20" s="15"/>
      <c r="AK20" s="15"/>
      <c r="AL20" s="15"/>
      <c r="AM20" s="15"/>
      <c r="AN20" s="15"/>
      <c r="AO20" s="15"/>
      <c r="AP20" s="15"/>
      <c r="AQ20" s="15"/>
      <c r="AR20" s="15"/>
      <c r="AS20" s="15"/>
      <c r="AT20" s="15"/>
      <c r="AU20" s="15"/>
      <c r="AV20" s="15"/>
      <c r="AW20" s="15"/>
    </row>
    <row r="21" spans="1:49" x14ac:dyDescent="0.35">
      <c r="A21" s="15" t="s">
        <v>82</v>
      </c>
      <c r="B21" s="22">
        <f t="shared" si="8"/>
        <v>1546.317871</v>
      </c>
      <c r="C21" s="22">
        <f t="shared" si="8"/>
        <v>1571.92688</v>
      </c>
      <c r="D21" s="22">
        <f t="shared" si="8"/>
        <v>1548.495361</v>
      </c>
      <c r="E21" s="22">
        <f t="shared" si="8"/>
        <v>1528.611328</v>
      </c>
      <c r="F21" s="22"/>
      <c r="G21" s="34">
        <f t="shared" si="1"/>
        <v>1548.8378600000001</v>
      </c>
      <c r="H21" s="51">
        <f t="shared" si="2"/>
        <v>77145.828770966356</v>
      </c>
      <c r="I21" s="49">
        <f t="shared" si="3"/>
        <v>9.943164589319509E-3</v>
      </c>
      <c r="J21" s="49">
        <f t="shared" si="4"/>
        <v>0.11</v>
      </c>
      <c r="K21" s="49">
        <f t="shared" si="5"/>
        <v>2.7966485788254183E-2</v>
      </c>
      <c r="L21" s="22">
        <f>G21/'Clause 6'!$I$11</f>
        <v>1548.8378600000001</v>
      </c>
      <c r="M21">
        <f t="shared" si="6"/>
        <v>4</v>
      </c>
      <c r="O21" s="52">
        <f t="shared" si="9"/>
        <v>-1.6270192413815332E-3</v>
      </c>
      <c r="P21" s="52">
        <f t="shared" si="7"/>
        <v>1.4907318962360527E-2</v>
      </c>
      <c r="Q21" s="52">
        <f t="shared" si="7"/>
        <v>-2.211328950856295E-4</v>
      </c>
      <c r="R21" s="52">
        <f t="shared" si="7"/>
        <v>-1.3059166825893698E-2</v>
      </c>
      <c r="S21" s="52">
        <f t="shared" si="7"/>
        <v>0</v>
      </c>
      <c r="T21" s="15"/>
      <c r="U21" s="15"/>
      <c r="V21" s="15"/>
      <c r="W21" s="15"/>
      <c r="X21" s="15"/>
      <c r="Y21" s="15"/>
      <c r="Z21" s="15"/>
      <c r="AA21" s="15"/>
      <c r="AB21" s="15"/>
      <c r="AC21" s="15"/>
      <c r="AD21" s="15"/>
      <c r="AE21" s="15"/>
      <c r="AF21" s="15"/>
      <c r="AG21" s="15"/>
      <c r="AH21" s="15"/>
      <c r="AI21" s="15"/>
      <c r="AJ21" s="15"/>
      <c r="AK21" s="15"/>
      <c r="AL21" s="15"/>
      <c r="AM21" s="15"/>
      <c r="AN21" s="15"/>
      <c r="AO21" s="15"/>
      <c r="AP21" s="15"/>
      <c r="AQ21" s="15"/>
      <c r="AR21" s="15"/>
      <c r="AS21" s="15"/>
      <c r="AT21" s="15"/>
      <c r="AU21" s="15"/>
      <c r="AV21" s="15"/>
      <c r="AW21" s="15"/>
    </row>
    <row r="22" spans="1:49" x14ac:dyDescent="0.35">
      <c r="A22" s="15" t="s">
        <v>83</v>
      </c>
      <c r="B22" s="22">
        <f t="shared" si="8"/>
        <v>1201.4525149999999</v>
      </c>
      <c r="C22" s="22">
        <f t="shared" si="8"/>
        <v>1218.989014</v>
      </c>
      <c r="D22" s="22">
        <f t="shared" si="8"/>
        <v>1194.8481449999999</v>
      </c>
      <c r="E22" s="22">
        <f t="shared" si="8"/>
        <v>1180.8470460000001</v>
      </c>
      <c r="F22" s="22"/>
      <c r="G22" s="34">
        <f t="shared" si="1"/>
        <v>1199.0341799999999</v>
      </c>
      <c r="H22" s="51">
        <f t="shared" si="2"/>
        <v>59722.510618907545</v>
      </c>
      <c r="I22" s="49">
        <f t="shared" si="3"/>
        <v>1.1437867929481446E-2</v>
      </c>
      <c r="J22" s="49">
        <f t="shared" si="4"/>
        <v>0.11</v>
      </c>
      <c r="K22" s="49">
        <f t="shared" si="5"/>
        <v>3.1810576075487616E-2</v>
      </c>
      <c r="L22" s="22">
        <f>G22/'Clause 6'!$I$11</f>
        <v>1199.0341799999999</v>
      </c>
      <c r="M22">
        <f t="shared" si="6"/>
        <v>4</v>
      </c>
      <c r="O22" s="52">
        <f t="shared" si="9"/>
        <v>2.0169024706202521E-3</v>
      </c>
      <c r="P22" s="52">
        <f t="shared" si="7"/>
        <v>1.664242298747487E-2</v>
      </c>
      <c r="Q22" s="52">
        <f t="shared" si="7"/>
        <v>-3.4911723700820074E-3</v>
      </c>
      <c r="R22" s="52">
        <f t="shared" si="7"/>
        <v>-1.516815308801267E-2</v>
      </c>
      <c r="S22" s="52">
        <f t="shared" si="7"/>
        <v>0</v>
      </c>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row>
    <row r="23" spans="1:49" x14ac:dyDescent="0.35">
      <c r="A23" s="15" t="s">
        <v>84</v>
      </c>
      <c r="B23" s="22">
        <f t="shared" si="8"/>
        <v>919.14520300000004</v>
      </c>
      <c r="C23" s="22">
        <f t="shared" si="8"/>
        <v>927.28619400000002</v>
      </c>
      <c r="D23" s="22">
        <f t="shared" si="8"/>
        <v>907.60882600000002</v>
      </c>
      <c r="E23" s="22">
        <f t="shared" si="8"/>
        <v>891.30535899999995</v>
      </c>
      <c r="F23" s="22"/>
      <c r="G23" s="34">
        <f t="shared" si="1"/>
        <v>911.33639549999998</v>
      </c>
      <c r="H23" s="51">
        <f t="shared" si="2"/>
        <v>45392.615544659187</v>
      </c>
      <c r="I23" s="49">
        <f t="shared" si="3"/>
        <v>1.4828751711371753E-2</v>
      </c>
      <c r="J23" s="49">
        <f t="shared" si="4"/>
        <v>0.11</v>
      </c>
      <c r="K23" s="49">
        <f t="shared" si="5"/>
        <v>3.948139806296156E-2</v>
      </c>
      <c r="L23" s="22">
        <f>G23/'Clause 6'!$I$11</f>
        <v>911.33639549999998</v>
      </c>
      <c r="M23">
        <f t="shared" si="6"/>
        <v>4</v>
      </c>
      <c r="O23" s="52">
        <f t="shared" si="9"/>
        <v>8.5685236961439148E-3</v>
      </c>
      <c r="P23" s="52">
        <f t="shared" si="7"/>
        <v>1.7501548910761278E-2</v>
      </c>
      <c r="Q23" s="52">
        <f t="shared" si="7"/>
        <v>-4.0902234547045557E-3</v>
      </c>
      <c r="R23" s="52">
        <f t="shared" si="7"/>
        <v>-2.1979849152200415E-2</v>
      </c>
      <c r="S23" s="52">
        <f t="shared" si="7"/>
        <v>0</v>
      </c>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row>
    <row r="24" spans="1:49" x14ac:dyDescent="0.35">
      <c r="A24" s="15" t="s">
        <v>85</v>
      </c>
      <c r="B24" s="22">
        <f t="shared" si="8"/>
        <v>703.00695800000005</v>
      </c>
      <c r="C24" s="22">
        <f t="shared" si="8"/>
        <v>704.49731399999996</v>
      </c>
      <c r="D24" s="22">
        <f t="shared" si="8"/>
        <v>686.28192100000001</v>
      </c>
      <c r="E24" s="22">
        <f t="shared" si="8"/>
        <v>678.54278599999998</v>
      </c>
      <c r="F24" s="22"/>
      <c r="G24" s="34">
        <f t="shared" si="1"/>
        <v>693.08224474999997</v>
      </c>
      <c r="H24" s="51">
        <f t="shared" si="2"/>
        <v>34521.627833710423</v>
      </c>
      <c r="I24" s="49">
        <f t="shared" si="3"/>
        <v>1.5911153217386797E-2</v>
      </c>
      <c r="J24" s="49">
        <f t="shared" si="4"/>
        <v>0.11</v>
      </c>
      <c r="K24" s="49">
        <f t="shared" si="5"/>
        <v>3.7447977056982579E-2</v>
      </c>
      <c r="L24" s="22">
        <f>G24/'Clause 6'!$I$11</f>
        <v>693.08224474999997</v>
      </c>
      <c r="M24">
        <f t="shared" si="6"/>
        <v>4</v>
      </c>
      <c r="O24" s="52">
        <f t="shared" si="9"/>
        <v>1.431967609209206E-2</v>
      </c>
      <c r="P24" s="52">
        <f t="shared" si="7"/>
        <v>1.6470006750955557E-2</v>
      </c>
      <c r="Q24" s="52">
        <f t="shared" si="7"/>
        <v>-9.8117125370206226E-3</v>
      </c>
      <c r="R24" s="52">
        <f t="shared" si="7"/>
        <v>-2.0977970306026883E-2</v>
      </c>
      <c r="S24" s="52">
        <f t="shared" si="7"/>
        <v>0</v>
      </c>
      <c r="T24" s="49"/>
      <c r="U24" s="49"/>
      <c r="V24" s="49"/>
      <c r="W24" s="49"/>
      <c r="X24" s="49"/>
      <c r="Y24" s="49"/>
      <c r="Z24" s="49"/>
      <c r="AA24" s="49"/>
      <c r="AB24" s="49"/>
      <c r="AC24" s="49"/>
      <c r="AD24" s="49"/>
      <c r="AE24" s="49"/>
      <c r="AF24" s="49"/>
      <c r="AG24" s="49"/>
      <c r="AH24" s="49"/>
      <c r="AI24" s="49"/>
      <c r="AJ24" s="49"/>
      <c r="AK24" s="49"/>
      <c r="AL24" s="49"/>
      <c r="AM24" s="49"/>
      <c r="AN24" s="49"/>
      <c r="AO24" s="49"/>
      <c r="AP24" s="49"/>
      <c r="AQ24" s="49"/>
      <c r="AR24" s="49"/>
      <c r="AS24" s="49"/>
      <c r="AT24" s="49"/>
      <c r="AU24" s="49"/>
      <c r="AV24" s="49"/>
      <c r="AW24" s="49"/>
    </row>
    <row r="25" spans="1:49" x14ac:dyDescent="0.35">
      <c r="A25" s="15" t="s">
        <v>86</v>
      </c>
      <c r="B25" s="22">
        <f t="shared" si="8"/>
        <v>535.19445800000005</v>
      </c>
      <c r="C25" s="22">
        <f t="shared" si="8"/>
        <v>534.77209500000004</v>
      </c>
      <c r="D25" s="22">
        <f t="shared" si="8"/>
        <v>518.87432899999999</v>
      </c>
      <c r="E25" s="22">
        <f t="shared" si="8"/>
        <v>519.48632799999996</v>
      </c>
      <c r="F25" s="22"/>
      <c r="G25" s="34">
        <f t="shared" si="1"/>
        <v>527.08180250000009</v>
      </c>
      <c r="H25" s="51">
        <f t="shared" si="2"/>
        <v>26253.337120747623</v>
      </c>
      <c r="I25" s="49">
        <f t="shared" si="3"/>
        <v>1.4999277927662792E-2</v>
      </c>
      <c r="J25" s="49">
        <f t="shared" si="4"/>
        <v>0.11</v>
      </c>
      <c r="K25" s="49">
        <f t="shared" si="5"/>
        <v>3.0963180520731527E-2</v>
      </c>
      <c r="L25" s="22">
        <f>G25/'Clause 6'!$I$11</f>
        <v>527.08180250000009</v>
      </c>
      <c r="M25">
        <f t="shared" si="6"/>
        <v>4</v>
      </c>
      <c r="O25" s="52">
        <f t="shared" si="9"/>
        <v>1.5391644070276822E-2</v>
      </c>
      <c r="P25" s="52">
        <f t="shared" si="7"/>
        <v>1.4590320636235443E-2</v>
      </c>
      <c r="Q25" s="52">
        <f t="shared" si="7"/>
        <v>-1.5571536450454726E-2</v>
      </c>
      <c r="R25" s="52">
        <f t="shared" si="7"/>
        <v>-1.4410428256058316E-2</v>
      </c>
      <c r="S25" s="52">
        <f t="shared" si="7"/>
        <v>0</v>
      </c>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row>
    <row r="26" spans="1:49" x14ac:dyDescent="0.35">
      <c r="A26" s="15" t="s">
        <v>87</v>
      </c>
      <c r="B26" s="22">
        <f t="shared" ref="B26:F38" si="10">L70</f>
        <v>406.78601099999997</v>
      </c>
      <c r="C26" s="22">
        <f t="shared" si="10"/>
        <v>407.57669099999998</v>
      </c>
      <c r="D26" s="22">
        <f t="shared" si="10"/>
        <v>399.240814</v>
      </c>
      <c r="E26" s="22">
        <f t="shared" si="10"/>
        <v>394.597534</v>
      </c>
      <c r="F26" s="22"/>
      <c r="G26" s="34">
        <f t="shared" si="1"/>
        <v>402.05026249999997</v>
      </c>
      <c r="H26" s="51">
        <f t="shared" si="2"/>
        <v>20025.660212197468</v>
      </c>
      <c r="I26" s="49">
        <f t="shared" si="3"/>
        <v>1.3417613091473298E-2</v>
      </c>
      <c r="J26" s="49">
        <f t="shared" si="4"/>
        <v>0.11</v>
      </c>
      <c r="K26" s="49">
        <f t="shared" si="5"/>
        <v>3.2282423892211705E-2</v>
      </c>
      <c r="L26" s="22">
        <f>G26/'Clause 6'!$I$11</f>
        <v>402.05026249999997</v>
      </c>
      <c r="M26">
        <f t="shared" si="6"/>
        <v>4</v>
      </c>
      <c r="O26" s="52">
        <f t="shared" si="9"/>
        <v>1.1778996164689692E-2</v>
      </c>
      <c r="P26" s="52">
        <f t="shared" si="7"/>
        <v>1.3745615947707623E-2</v>
      </c>
      <c r="Q26" s="52">
        <f t="shared" si="7"/>
        <v>-6.9878041678930192E-3</v>
      </c>
      <c r="R26" s="52">
        <f t="shared" si="7"/>
        <v>-1.8536807944504186E-2</v>
      </c>
      <c r="S26" s="52">
        <f t="shared" si="7"/>
        <v>0</v>
      </c>
    </row>
    <row r="27" spans="1:49" x14ac:dyDescent="0.35">
      <c r="A27" s="15" t="s">
        <v>88</v>
      </c>
      <c r="B27" s="22">
        <f t="shared" si="10"/>
        <v>314.382904</v>
      </c>
      <c r="C27" s="22">
        <f t="shared" si="10"/>
        <v>312.573914</v>
      </c>
      <c r="D27" s="22">
        <f t="shared" si="10"/>
        <v>306.864349</v>
      </c>
      <c r="E27" s="22">
        <f t="shared" si="10"/>
        <v>303.38549799999998</v>
      </c>
      <c r="F27" s="22"/>
      <c r="G27" s="34">
        <f t="shared" si="1"/>
        <v>309.30166625000004</v>
      </c>
      <c r="H27" s="51">
        <f t="shared" si="2"/>
        <v>15405.959525742148</v>
      </c>
      <c r="I27" s="49">
        <f t="shared" si="3"/>
        <v>1.4228179051760596E-2</v>
      </c>
      <c r="J27" s="49">
        <f t="shared" si="4"/>
        <v>0.11</v>
      </c>
      <c r="K27" s="49">
        <f t="shared" si="5"/>
        <v>3.5555598950802646E-2</v>
      </c>
      <c r="L27" s="22">
        <f>G27/'Clause 6'!$I$11</f>
        <v>309.30166625000004</v>
      </c>
      <c r="M27">
        <f t="shared" si="6"/>
        <v>4</v>
      </c>
      <c r="O27" s="52">
        <f t="shared" si="9"/>
        <v>1.6428096917825652E-2</v>
      </c>
      <c r="P27" s="52">
        <f t="shared" si="7"/>
        <v>1.0579470164751914E-2</v>
      </c>
      <c r="Q27" s="52">
        <f t="shared" si="7"/>
        <v>-7.8800650496011482E-3</v>
      </c>
      <c r="R27" s="52">
        <f t="shared" si="7"/>
        <v>-1.9127502032976973E-2</v>
      </c>
      <c r="S27" s="52">
        <f t="shared" si="7"/>
        <v>0</v>
      </c>
    </row>
    <row r="28" spans="1:49" x14ac:dyDescent="0.35">
      <c r="A28" s="15" t="s">
        <v>89</v>
      </c>
      <c r="B28" s="22">
        <f t="shared" si="10"/>
        <v>240.88528400000001</v>
      </c>
      <c r="C28" s="22">
        <f t="shared" si="10"/>
        <v>238.63909899999999</v>
      </c>
      <c r="D28" s="22">
        <f t="shared" si="10"/>
        <v>233.31999200000001</v>
      </c>
      <c r="E28" s="22">
        <f t="shared" si="10"/>
        <v>231.22099299999999</v>
      </c>
      <c r="F28" s="22"/>
      <c r="G28" s="34">
        <f t="shared" si="1"/>
        <v>236.01634200000001</v>
      </c>
      <c r="H28" s="51">
        <f t="shared" si="2"/>
        <v>11755.701986185844</v>
      </c>
      <c r="I28" s="49">
        <f t="shared" si="3"/>
        <v>1.652579032415135E-2</v>
      </c>
      <c r="J28" s="49">
        <f t="shared" si="4"/>
        <v>0.11</v>
      </c>
      <c r="K28" s="49">
        <f t="shared" si="5"/>
        <v>4.0947550148879179E-2</v>
      </c>
      <c r="L28" s="22">
        <f>G28/'Clause 6'!$I$11</f>
        <v>236.01634200000001</v>
      </c>
      <c r="M28">
        <f t="shared" si="6"/>
        <v>4</v>
      </c>
      <c r="O28" s="52">
        <f t="shared" si="9"/>
        <v>2.0629681651451071E-2</v>
      </c>
      <c r="P28" s="52">
        <f t="shared" si="7"/>
        <v>1.1112607617653758E-2</v>
      </c>
      <c r="Q28" s="52">
        <f t="shared" si="7"/>
        <v>-1.1424420771676935E-2</v>
      </c>
      <c r="R28" s="52">
        <f t="shared" si="7"/>
        <v>-2.0317868497428115E-2</v>
      </c>
      <c r="S28" s="52">
        <f t="shared" si="7"/>
        <v>0</v>
      </c>
    </row>
    <row r="29" spans="1:49" x14ac:dyDescent="0.35">
      <c r="A29" s="15" t="s">
        <v>90</v>
      </c>
      <c r="B29" s="22">
        <f t="shared" si="10"/>
        <v>184.275116</v>
      </c>
      <c r="C29" s="22">
        <f t="shared" si="10"/>
        <v>183.409515</v>
      </c>
      <c r="D29" s="22">
        <f t="shared" si="10"/>
        <v>176.72453300000001</v>
      </c>
      <c r="E29" s="22">
        <f t="shared" si="10"/>
        <v>177.02397199999999</v>
      </c>
      <c r="F29" s="22"/>
      <c r="G29" s="34">
        <f t="shared" si="1"/>
        <v>180.35828399999997</v>
      </c>
      <c r="H29" s="51">
        <f t="shared" si="2"/>
        <v>8983.4382631176886</v>
      </c>
      <c r="I29" s="49">
        <f t="shared" si="3"/>
        <v>1.9400543142308723E-2</v>
      </c>
      <c r="J29" s="49">
        <f t="shared" si="4"/>
        <v>0.113</v>
      </c>
      <c r="K29" s="49">
        <f t="shared" si="5"/>
        <v>4.1864353732706784E-2</v>
      </c>
      <c r="L29" s="22">
        <f>G29/'Clause 6'!$I$11</f>
        <v>180.35828399999997</v>
      </c>
      <c r="M29">
        <f t="shared" si="6"/>
        <v>4</v>
      </c>
      <c r="O29" s="52">
        <f t="shared" si="9"/>
        <v>2.17169509108881E-2</v>
      </c>
      <c r="P29" s="52">
        <f t="shared" si="7"/>
        <v>1.6917609395751487E-2</v>
      </c>
      <c r="Q29" s="52">
        <f t="shared" si="7"/>
        <v>-2.0147402821818594E-2</v>
      </c>
      <c r="R29" s="52">
        <f t="shared" si="7"/>
        <v>-1.8487157484820549E-2</v>
      </c>
      <c r="S29" s="52">
        <f t="shared" si="7"/>
        <v>0</v>
      </c>
    </row>
    <row r="30" spans="1:49" x14ac:dyDescent="0.35">
      <c r="A30" s="15" t="s">
        <v>91</v>
      </c>
      <c r="B30" s="22">
        <f t="shared" si="10"/>
        <v>138.817047</v>
      </c>
      <c r="C30" s="22">
        <f t="shared" si="10"/>
        <v>138.12321499999999</v>
      </c>
      <c r="D30" s="22">
        <f t="shared" si="10"/>
        <v>132.915085</v>
      </c>
      <c r="E30" s="22">
        <f t="shared" si="10"/>
        <v>137.35803200000001</v>
      </c>
      <c r="F30" s="22"/>
      <c r="G30" s="34">
        <f t="shared" si="1"/>
        <v>136.80334474999998</v>
      </c>
      <c r="H30" s="51">
        <f t="shared" si="2"/>
        <v>6814.0169361426742</v>
      </c>
      <c r="I30" s="49">
        <f t="shared" si="3"/>
        <v>1.6837581264084425E-2</v>
      </c>
      <c r="J30" s="49">
        <f t="shared" si="4"/>
        <v>0.113</v>
      </c>
      <c r="K30" s="49">
        <f t="shared" si="5"/>
        <v>4.3141942258688809E-2</v>
      </c>
      <c r="L30" s="22">
        <f>G30/'Clause 6'!$I$11</f>
        <v>136.80334474999998</v>
      </c>
      <c r="M30">
        <f t="shared" si="6"/>
        <v>4</v>
      </c>
      <c r="O30" s="52">
        <f t="shared" si="9"/>
        <v>1.4719685791892978E-2</v>
      </c>
      <c r="P30" s="52">
        <f t="shared" si="7"/>
        <v>9.647938450715543E-3</v>
      </c>
      <c r="Q30" s="52">
        <f t="shared" si="7"/>
        <v>-2.8422256466795748E-2</v>
      </c>
      <c r="R30" s="52">
        <f t="shared" si="7"/>
        <v>4.0546322241878929E-3</v>
      </c>
      <c r="S30" s="52">
        <f t="shared" si="7"/>
        <v>0</v>
      </c>
    </row>
    <row r="31" spans="1:49" x14ac:dyDescent="0.35">
      <c r="A31" s="15" t="s">
        <v>92</v>
      </c>
      <c r="B31" s="22">
        <f t="shared" si="10"/>
        <v>104.086235</v>
      </c>
      <c r="C31" s="22">
        <f t="shared" si="10"/>
        <v>104.94607499999999</v>
      </c>
      <c r="D31" s="22">
        <f t="shared" si="10"/>
        <v>101.09871699999999</v>
      </c>
      <c r="E31" s="22">
        <f t="shared" si="10"/>
        <v>99.164840999999996</v>
      </c>
      <c r="F31" s="22"/>
      <c r="G31" s="34">
        <f t="shared" si="1"/>
        <v>102.32396700000001</v>
      </c>
      <c r="H31" s="51">
        <f t="shared" si="2"/>
        <v>5096.6388678980329</v>
      </c>
      <c r="I31" s="49">
        <f t="shared" si="3"/>
        <v>2.2637648245852859E-2</v>
      </c>
      <c r="J31" s="49">
        <f t="shared" si="4"/>
        <v>0.113</v>
      </c>
      <c r="K31" s="49">
        <f t="shared" si="5"/>
        <v>5.649931457407234E-2</v>
      </c>
      <c r="L31" s="22">
        <f>G31/'Clause 6'!$I$11</f>
        <v>102.32396700000001</v>
      </c>
      <c r="M31">
        <f t="shared" si="6"/>
        <v>4</v>
      </c>
      <c r="O31" s="52">
        <f t="shared" si="9"/>
        <v>1.7222436264614283E-2</v>
      </c>
      <c r="P31" s="52">
        <f t="shared" si="7"/>
        <v>2.5625550659113649E-2</v>
      </c>
      <c r="Q31" s="52">
        <f t="shared" si="7"/>
        <v>-1.1974223008769935E-2</v>
      </c>
      <c r="R31" s="52">
        <f t="shared" si="7"/>
        <v>-3.0873763914958552E-2</v>
      </c>
      <c r="S31" s="52">
        <f t="shared" si="7"/>
        <v>0</v>
      </c>
    </row>
    <row r="32" spans="1:49" x14ac:dyDescent="0.35">
      <c r="A32" s="15" t="s">
        <v>93</v>
      </c>
      <c r="B32" s="22">
        <f t="shared" si="10"/>
        <v>80.613731000000001</v>
      </c>
      <c r="C32" s="22">
        <f t="shared" si="10"/>
        <v>77.971191000000005</v>
      </c>
      <c r="D32" s="22">
        <f t="shared" si="10"/>
        <v>73.841712999999999</v>
      </c>
      <c r="E32" s="22">
        <f t="shared" si="10"/>
        <v>72.360878</v>
      </c>
      <c r="F32" s="22"/>
      <c r="G32" s="34">
        <f t="shared" si="1"/>
        <v>76.196878249999997</v>
      </c>
      <c r="H32" s="51">
        <f t="shared" si="2"/>
        <v>3795.2786887303168</v>
      </c>
      <c r="I32" s="49">
        <f t="shared" si="3"/>
        <v>4.2988764891794311E-2</v>
      </c>
      <c r="J32" s="49">
        <f t="shared" si="4"/>
        <v>0.11900000000000001</v>
      </c>
      <c r="K32" s="49">
        <f t="shared" si="5"/>
        <v>0.10830959469130223</v>
      </c>
      <c r="L32" s="22">
        <f>G32/'Clause 6'!$I$11</f>
        <v>76.196878249999997</v>
      </c>
      <c r="M32">
        <f t="shared" si="6"/>
        <v>4</v>
      </c>
      <c r="O32" s="52">
        <f t="shared" si="9"/>
        <v>5.7966321605833038E-2</v>
      </c>
      <c r="P32" s="52">
        <f t="shared" si="7"/>
        <v>2.3285898198854404E-2</v>
      </c>
      <c r="Q32" s="52">
        <f t="shared" si="7"/>
        <v>-3.0908946719218067E-2</v>
      </c>
      <c r="R32" s="52">
        <f t="shared" si="7"/>
        <v>-5.0343273085469153E-2</v>
      </c>
      <c r="S32" s="52">
        <f t="shared" si="7"/>
        <v>0</v>
      </c>
    </row>
    <row r="33" spans="1:19" x14ac:dyDescent="0.35">
      <c r="A33" s="15" t="s">
        <v>94</v>
      </c>
      <c r="B33" s="22">
        <f t="shared" si="10"/>
        <v>57.353642000000001</v>
      </c>
      <c r="C33" s="22">
        <f t="shared" si="10"/>
        <v>56.410975999999998</v>
      </c>
      <c r="D33" s="22">
        <f t="shared" si="10"/>
        <v>53.820202000000002</v>
      </c>
      <c r="E33" s="22">
        <f t="shared" si="10"/>
        <v>50.956982000000004</v>
      </c>
      <c r="F33" s="22"/>
      <c r="G33" s="34">
        <f t="shared" si="1"/>
        <v>54.635450500000005</v>
      </c>
      <c r="H33" s="51">
        <f t="shared" si="2"/>
        <v>2721.3288220482991</v>
      </c>
      <c r="I33" s="49">
        <f t="shared" si="3"/>
        <v>4.5516344857630071E-2</v>
      </c>
      <c r="J33" s="49">
        <f t="shared" si="4"/>
        <v>0.11900000000000001</v>
      </c>
      <c r="K33" s="49">
        <f t="shared" si="5"/>
        <v>0.11707892845140898</v>
      </c>
      <c r="L33" s="22">
        <f>G33/'Clause 6'!$I$11</f>
        <v>54.635450500000005</v>
      </c>
      <c r="M33">
        <f t="shared" si="6"/>
        <v>4</v>
      </c>
      <c r="O33" s="52">
        <f t="shared" si="9"/>
        <v>4.9751424672521027E-2</v>
      </c>
      <c r="P33" s="52">
        <f t="shared" si="7"/>
        <v>3.2497682068165501E-2</v>
      </c>
      <c r="Q33" s="52">
        <f t="shared" si="7"/>
        <v>-1.4921602961798675E-2</v>
      </c>
      <c r="R33" s="52">
        <f t="shared" si="7"/>
        <v>-6.7327503778888076E-2</v>
      </c>
      <c r="S33" s="52">
        <f t="shared" si="7"/>
        <v>0</v>
      </c>
    </row>
    <row r="34" spans="1:19" x14ac:dyDescent="0.35">
      <c r="A34" s="15" t="s">
        <v>95</v>
      </c>
      <c r="B34" s="22">
        <f t="shared" si="10"/>
        <v>40.997230999999999</v>
      </c>
      <c r="C34" s="22">
        <f t="shared" si="10"/>
        <v>39.674736000000003</v>
      </c>
      <c r="D34" s="22">
        <f t="shared" si="10"/>
        <v>39.844791000000001</v>
      </c>
      <c r="E34" s="22">
        <f t="shared" si="10"/>
        <v>34.560420999999998</v>
      </c>
      <c r="F34" s="22"/>
      <c r="G34" s="34">
        <f t="shared" si="1"/>
        <v>38.76929475</v>
      </c>
      <c r="H34" s="51">
        <f t="shared" si="2"/>
        <v>1931.0538898853006</v>
      </c>
      <c r="I34" s="49">
        <f t="shared" si="3"/>
        <v>6.4037319801990081E-2</v>
      </c>
      <c r="J34" s="49">
        <f t="shared" si="4"/>
        <v>0.13400000000000001</v>
      </c>
      <c r="K34" s="49">
        <f t="shared" si="5"/>
        <v>0.16602855536854977</v>
      </c>
      <c r="L34" s="22">
        <f>G34/'Clause 6'!$I$11</f>
        <v>38.76929475</v>
      </c>
      <c r="M34">
        <f t="shared" si="6"/>
        <v>4</v>
      </c>
      <c r="O34" s="52">
        <f t="shared" si="9"/>
        <v>5.746651478616327E-2</v>
      </c>
      <c r="P34" s="52">
        <f t="shared" si="7"/>
        <v>2.3354596874631151E-2</v>
      </c>
      <c r="Q34" s="52">
        <f t="shared" si="7"/>
        <v>2.7740928921591967E-2</v>
      </c>
      <c r="R34" s="52">
        <f t="shared" si="7"/>
        <v>-0.1085620405823865</v>
      </c>
      <c r="S34" s="52">
        <f t="shared" si="7"/>
        <v>0</v>
      </c>
    </row>
    <row r="35" spans="1:19" x14ac:dyDescent="0.35">
      <c r="A35" s="15" t="s">
        <v>96</v>
      </c>
      <c r="B35" s="22">
        <f t="shared" si="10"/>
        <v>28.251978000000001</v>
      </c>
      <c r="C35" s="22"/>
      <c r="D35" s="22">
        <f t="shared" si="10"/>
        <v>27.752590000000001</v>
      </c>
      <c r="E35" s="22">
        <f t="shared" si="10"/>
        <v>24.840302000000001</v>
      </c>
      <c r="F35" s="22"/>
      <c r="G35" s="34">
        <f t="shared" si="1"/>
        <v>26.948290000000004</v>
      </c>
      <c r="H35" s="51">
        <f t="shared" si="2"/>
        <v>1342.2632669957752</v>
      </c>
      <c r="I35" s="49">
        <f t="shared" si="3"/>
        <v>5.5827310079650687E-2</v>
      </c>
      <c r="J35" s="49">
        <f t="shared" si="4"/>
        <v>0.13400000000000001</v>
      </c>
      <c r="K35" s="49">
        <f t="shared" si="5"/>
        <v>0.12660083441286996</v>
      </c>
      <c r="L35" s="22">
        <f>G35/'Clause 6'!$I$11</f>
        <v>26.948290000000004</v>
      </c>
      <c r="M35">
        <f t="shared" si="6"/>
        <v>3</v>
      </c>
      <c r="O35" s="52">
        <f t="shared" si="9"/>
        <v>4.8377392405974495E-2</v>
      </c>
      <c r="P35" s="52">
        <f t="shared" si="7"/>
        <v>0</v>
      </c>
      <c r="Q35" s="52">
        <f t="shared" si="7"/>
        <v>2.9846049600920743E-2</v>
      </c>
      <c r="R35" s="52">
        <f t="shared" si="7"/>
        <v>-7.8223442006895461E-2</v>
      </c>
      <c r="S35" s="52">
        <f t="shared" si="7"/>
        <v>0</v>
      </c>
    </row>
    <row r="36" spans="1:19" x14ac:dyDescent="0.35">
      <c r="A36" s="15" t="s">
        <v>97</v>
      </c>
      <c r="B36" s="22">
        <f t="shared" si="10"/>
        <v>19.011669000000001</v>
      </c>
      <c r="C36" s="22"/>
      <c r="D36" s="22">
        <f t="shared" si="10"/>
        <v>17.741834999999998</v>
      </c>
      <c r="E36" s="22">
        <f t="shared" si="10"/>
        <v>17.182027999999999</v>
      </c>
      <c r="F36" s="22"/>
      <c r="G36" s="34">
        <f t="shared" si="1"/>
        <v>17.978510666666665</v>
      </c>
      <c r="H36" s="51">
        <f t="shared" si="2"/>
        <v>895.48889607312321</v>
      </c>
      <c r="I36" s="49">
        <f t="shared" si="3"/>
        <v>4.2576738073716827E-2</v>
      </c>
      <c r="J36" s="49">
        <f t="shared" si="4"/>
        <v>0.156</v>
      </c>
      <c r="K36" s="49">
        <f t="shared" si="5"/>
        <v>0.10176821839821673</v>
      </c>
      <c r="L36" s="22">
        <f>G36/'Clause 6'!$I$11</f>
        <v>17.978510666666665</v>
      </c>
      <c r="M36">
        <f t="shared" si="6"/>
        <v>3</v>
      </c>
      <c r="O36" s="52">
        <f t="shared" si="9"/>
        <v>5.7466291423620586E-2</v>
      </c>
      <c r="P36" s="52">
        <f t="shared" si="7"/>
        <v>0</v>
      </c>
      <c r="Q36" s="52">
        <f t="shared" si="7"/>
        <v>-1.3164364449024024E-2</v>
      </c>
      <c r="R36" s="52">
        <f t="shared" si="7"/>
        <v>-4.4301926974596229E-2</v>
      </c>
      <c r="S36" s="52">
        <f t="shared" si="7"/>
        <v>0</v>
      </c>
    </row>
    <row r="37" spans="1:19" x14ac:dyDescent="0.35">
      <c r="A37" s="15" t="s">
        <v>98</v>
      </c>
      <c r="B37" s="22">
        <f t="shared" si="10"/>
        <v>12.639042999999999</v>
      </c>
      <c r="C37" s="22">
        <f t="shared" si="10"/>
        <v>12.404508</v>
      </c>
      <c r="D37" s="22">
        <f t="shared" si="10"/>
        <v>12.885130999999999</v>
      </c>
      <c r="E37" s="22">
        <f t="shared" si="10"/>
        <v>12.861974999999999</v>
      </c>
      <c r="F37" s="22"/>
      <c r="G37" s="34">
        <f t="shared" si="1"/>
        <v>12.697664250000001</v>
      </c>
      <c r="H37" s="51">
        <f t="shared" si="2"/>
        <v>632.45602223445189</v>
      </c>
      <c r="I37" s="49">
        <f t="shared" si="3"/>
        <v>1.5327788084178635E-2</v>
      </c>
      <c r="J37" s="49">
        <f t="shared" si="4"/>
        <v>0.156</v>
      </c>
      <c r="K37" s="49">
        <f t="shared" si="5"/>
        <v>3.785129221699176E-2</v>
      </c>
      <c r="L37" s="22">
        <f>G37/'Clause 6'!$I$11</f>
        <v>12.697664250000001</v>
      </c>
      <c r="M37">
        <f t="shared" si="6"/>
        <v>4</v>
      </c>
      <c r="O37" s="52">
        <f t="shared" si="9"/>
        <v>-4.616695546978411E-3</v>
      </c>
      <c r="P37" s="52">
        <f t="shared" si="7"/>
        <v>-2.3087415466982564E-2</v>
      </c>
      <c r="Q37" s="52">
        <f t="shared" si="7"/>
        <v>1.4763876750009342E-2</v>
      </c>
      <c r="R37" s="52">
        <f t="shared" si="7"/>
        <v>1.29402342639513E-2</v>
      </c>
      <c r="S37" s="52">
        <f t="shared" si="7"/>
        <v>0</v>
      </c>
    </row>
    <row r="38" spans="1:19" x14ac:dyDescent="0.35">
      <c r="A38" s="15" t="s">
        <v>99</v>
      </c>
      <c r="B38" s="22">
        <f t="shared" si="10"/>
        <v>9.3465190000000007</v>
      </c>
      <c r="C38" s="22">
        <f t="shared" si="10"/>
        <v>7.7774299999999998</v>
      </c>
      <c r="D38" s="22">
        <f t="shared" si="10"/>
        <v>7.8301949999999998</v>
      </c>
      <c r="E38" s="22">
        <f t="shared" si="10"/>
        <v>8.6401050000000001</v>
      </c>
      <c r="F38" s="22"/>
      <c r="G38" s="34">
        <f t="shared" si="1"/>
        <v>8.3985622499999995</v>
      </c>
      <c r="H38" s="51">
        <f t="shared" si="2"/>
        <v>418.32270632950684</v>
      </c>
      <c r="I38" s="49">
        <f t="shared" si="3"/>
        <v>7.6838342342624474E-2</v>
      </c>
      <c r="J38" s="49">
        <f t="shared" si="4"/>
        <v>0.193</v>
      </c>
      <c r="K38" s="49">
        <f t="shared" si="5"/>
        <v>0.18682828718689332</v>
      </c>
      <c r="L38" s="22">
        <f>G38/'Clause 6'!$I$11</f>
        <v>8.3985622499999995</v>
      </c>
      <c r="M38">
        <f t="shared" si="6"/>
        <v>4</v>
      </c>
      <c r="O38" s="52">
        <f t="shared" si="9"/>
        <v>0.11287131318220589</v>
      </c>
      <c r="P38" s="52">
        <f t="shared" si="7"/>
        <v>-7.3956974004687481E-2</v>
      </c>
      <c r="Q38" s="52">
        <f t="shared" si="7"/>
        <v>-6.7674351047406933E-2</v>
      </c>
      <c r="R38" s="52">
        <f t="shared" si="7"/>
        <v>2.8760011869888968E-2</v>
      </c>
      <c r="S38" s="52">
        <f t="shared" si="7"/>
        <v>0</v>
      </c>
    </row>
    <row r="40" spans="1:19" x14ac:dyDescent="0.35">
      <c r="A40" t="s">
        <v>100</v>
      </c>
    </row>
    <row r="41" spans="1:19" ht="15" x14ac:dyDescent="0.5">
      <c r="A41" s="54"/>
      <c r="B41" s="55" t="s">
        <v>101</v>
      </c>
      <c r="C41" s="54"/>
      <c r="D41" s="56" t="s">
        <v>102</v>
      </c>
      <c r="E41" s="57"/>
      <c r="F41" s="57"/>
      <c r="G41" s="57"/>
      <c r="H41" s="58"/>
    </row>
    <row r="42" spans="1:19" ht="15" x14ac:dyDescent="0.5">
      <c r="A42" s="59" t="s">
        <v>103</v>
      </c>
      <c r="B42" s="60" t="s">
        <v>104</v>
      </c>
      <c r="C42" s="59" t="s">
        <v>105</v>
      </c>
      <c r="D42" s="59" t="s">
        <v>106</v>
      </c>
      <c r="E42" s="60" t="s">
        <v>107</v>
      </c>
      <c r="F42" s="60" t="s">
        <v>108</v>
      </c>
      <c r="G42" s="60" t="s">
        <v>109</v>
      </c>
      <c r="H42" s="61" t="s">
        <v>110</v>
      </c>
    </row>
    <row r="43" spans="1:19" x14ac:dyDescent="0.35">
      <c r="A43" s="62">
        <v>10000</v>
      </c>
      <c r="C43" s="62">
        <v>11</v>
      </c>
      <c r="D43" s="62">
        <v>7.8</v>
      </c>
      <c r="E43">
        <v>5.3</v>
      </c>
      <c r="F43">
        <v>4</v>
      </c>
      <c r="G43">
        <v>2.7</v>
      </c>
      <c r="H43" s="63">
        <v>1.8</v>
      </c>
    </row>
    <row r="44" spans="1:19" x14ac:dyDescent="0.35">
      <c r="A44" s="62">
        <v>5000</v>
      </c>
      <c r="B44">
        <v>10000</v>
      </c>
      <c r="C44" s="62">
        <v>11.3</v>
      </c>
      <c r="D44" s="62">
        <v>7.8</v>
      </c>
      <c r="E44">
        <v>5.3</v>
      </c>
      <c r="F44">
        <v>4</v>
      </c>
      <c r="G44">
        <v>2.7</v>
      </c>
      <c r="H44" s="63">
        <v>1.9</v>
      </c>
    </row>
    <row r="45" spans="1:19" x14ac:dyDescent="0.35">
      <c r="A45" s="62">
        <v>2000</v>
      </c>
      <c r="B45">
        <v>5000</v>
      </c>
      <c r="C45" s="62">
        <v>11.9</v>
      </c>
      <c r="D45" s="62">
        <v>7.9</v>
      </c>
      <c r="E45">
        <v>5.4</v>
      </c>
      <c r="F45">
        <v>4.0999999999999996</v>
      </c>
      <c r="G45">
        <v>2.9</v>
      </c>
      <c r="H45" s="63">
        <v>2.1</v>
      </c>
    </row>
    <row r="46" spans="1:19" x14ac:dyDescent="0.35">
      <c r="A46" s="62">
        <v>1000</v>
      </c>
      <c r="B46">
        <v>2000</v>
      </c>
      <c r="C46" s="62">
        <v>13.4</v>
      </c>
      <c r="D46" s="62">
        <v>8</v>
      </c>
      <c r="E46">
        <v>5.6</v>
      </c>
      <c r="F46">
        <v>4.3</v>
      </c>
      <c r="G46">
        <v>3.1</v>
      </c>
      <c r="H46" s="63">
        <v>2.4</v>
      </c>
    </row>
    <row r="47" spans="1:19" x14ac:dyDescent="0.35">
      <c r="A47" s="62">
        <v>500</v>
      </c>
      <c r="B47">
        <v>1000</v>
      </c>
      <c r="C47" s="62">
        <v>15.6</v>
      </c>
      <c r="D47" s="62">
        <v>8.1999999999999993</v>
      </c>
      <c r="E47">
        <v>5.9</v>
      </c>
      <c r="F47">
        <v>4.7</v>
      </c>
      <c r="G47">
        <v>3.6</v>
      </c>
      <c r="H47" s="63">
        <v>2.9</v>
      </c>
    </row>
    <row r="48" spans="1:19" x14ac:dyDescent="0.35">
      <c r="A48" s="62">
        <v>200</v>
      </c>
      <c r="B48">
        <v>500</v>
      </c>
      <c r="C48" s="62">
        <v>19.3</v>
      </c>
      <c r="D48" s="62">
        <v>8.9</v>
      </c>
      <c r="E48">
        <v>6.8</v>
      </c>
      <c r="F48">
        <v>5.7</v>
      </c>
      <c r="G48">
        <v>4.7</v>
      </c>
      <c r="H48" s="63">
        <v>4.0999999999999996</v>
      </c>
    </row>
    <row r="49" spans="1:16" x14ac:dyDescent="0.35">
      <c r="A49" s="64">
        <v>100</v>
      </c>
      <c r="B49" s="65">
        <v>200</v>
      </c>
      <c r="C49" s="64">
        <v>27.5</v>
      </c>
      <c r="D49" s="64">
        <v>10</v>
      </c>
      <c r="E49" s="65">
        <v>8</v>
      </c>
      <c r="F49" s="65">
        <v>7</v>
      </c>
      <c r="G49" s="65">
        <v>6.1</v>
      </c>
      <c r="H49" s="66">
        <v>5.5</v>
      </c>
    </row>
    <row r="51" spans="1:16" x14ac:dyDescent="0.35">
      <c r="A51" s="69">
        <f>'6 - B1'!A51</f>
        <v>0</v>
      </c>
      <c r="B51" s="70" t="str">
        <f>'6 - B1'!B51</f>
        <v>Portion 1</v>
      </c>
      <c r="C51" s="70" t="str">
        <f>'6 - B1'!C51</f>
        <v>Portion 2</v>
      </c>
      <c r="D51" s="70" t="str">
        <f>'6 - B1'!D51</f>
        <v>Portion 3</v>
      </c>
      <c r="E51" s="70" t="str">
        <f>'6 - B1'!E51</f>
        <v>Portion 4</v>
      </c>
      <c r="F51" s="70" t="str">
        <f>'6 - B1'!F51</f>
        <v>Portion 5</v>
      </c>
      <c r="G51" s="70" t="str">
        <f>'6 - B1'!G51</f>
        <v>Portion 1</v>
      </c>
      <c r="H51" s="70" t="str">
        <f>'6 - B1'!H51</f>
        <v>Portion 2</v>
      </c>
      <c r="I51" s="70" t="str">
        <f>'6 - B1'!I51</f>
        <v>Portion 3</v>
      </c>
      <c r="J51" s="70" t="str">
        <f>'6 - B1'!J51</f>
        <v>Portion 4</v>
      </c>
      <c r="K51" s="70" t="str">
        <f>'6 - B1'!K51</f>
        <v>Portion 5</v>
      </c>
      <c r="L51" s="70" t="str">
        <f>'6 - B1'!L51</f>
        <v>Portion 1</v>
      </c>
      <c r="M51" s="70" t="str">
        <f>'6 - B1'!M51</f>
        <v>Portion 2</v>
      </c>
      <c r="N51" s="70" t="str">
        <f>'6 - B1'!N51</f>
        <v>Portion 3</v>
      </c>
      <c r="O51" s="70" t="str">
        <f>'6 - B1'!O51</f>
        <v>Portion 4</v>
      </c>
      <c r="P51" s="70" t="str">
        <f>'6 - B1'!P51</f>
        <v>Portion 5</v>
      </c>
    </row>
    <row r="52" spans="1:16" x14ac:dyDescent="0.35">
      <c r="A52" s="69" t="str">
        <f>'6 - B1'!A52</f>
        <v>NAME\mL</v>
      </c>
      <c r="B52" s="69">
        <f>'6 - B1'!B52</f>
        <v>9.4152699999999996</v>
      </c>
      <c r="C52" s="69">
        <f>'6 - B1'!C52</f>
        <v>10.157598</v>
      </c>
      <c r="D52" s="69">
        <f>'6 - B1'!D52</f>
        <v>10.089149000000001</v>
      </c>
      <c r="E52" s="69">
        <f>'6 - B1'!E52</f>
        <v>10.185060999999999</v>
      </c>
      <c r="F52" s="69">
        <f>'6 - B1'!F52</f>
        <v>10.201724</v>
      </c>
      <c r="G52" s="69">
        <f>'6 - B1'!G52</f>
        <v>9.4074550000000006</v>
      </c>
      <c r="H52" s="69">
        <f>'6 - B1'!H52</f>
        <v>10.178953999999999</v>
      </c>
      <c r="I52" s="69">
        <f>'6 - B1'!I52</f>
        <v>10.128242999999999</v>
      </c>
      <c r="J52" s="69">
        <f>'6 - B1'!J52</f>
        <v>10.183923999999999</v>
      </c>
      <c r="K52" s="69">
        <f>'6 - B1'!K52</f>
        <v>10.246387</v>
      </c>
      <c r="L52" s="69">
        <f>'6 - B1'!L52</f>
        <v>9.4152699999999996</v>
      </c>
      <c r="M52" s="69">
        <f>'6 - B1'!M52</f>
        <v>10.157598</v>
      </c>
      <c r="N52" s="69">
        <f>'6 - B1'!N52</f>
        <v>10.089149000000001</v>
      </c>
      <c r="O52" s="69">
        <f>'6 - B1'!O52</f>
        <v>10.185060999999999</v>
      </c>
      <c r="P52" s="69">
        <f>'6 - B1'!P52</f>
        <v>10.201724</v>
      </c>
    </row>
    <row r="53" spans="1:16" x14ac:dyDescent="0.35">
      <c r="A53" s="69">
        <f>'6 - B1'!A53</f>
        <v>4</v>
      </c>
      <c r="B53" s="69">
        <f>'6 - B1'!B53</f>
        <v>11605.083984000001</v>
      </c>
      <c r="C53" s="69">
        <f>'6 - B1'!C53</f>
        <v>12181.030273</v>
      </c>
      <c r="D53" s="69">
        <f>'6 - B1'!D53</f>
        <v>11966.420898</v>
      </c>
      <c r="E53" s="69">
        <f>'6 - B1'!E53</f>
        <v>11937.287109000001</v>
      </c>
      <c r="F53" s="69">
        <f>'6 - B1'!F53</f>
        <v>11577.749023</v>
      </c>
      <c r="G53" s="69">
        <f>'6 - B1'!G53</f>
        <v>11308.371094</v>
      </c>
      <c r="H53" s="69">
        <f>'6 - B1'!H53</f>
        <v>11747.572265999999</v>
      </c>
      <c r="I53" s="69">
        <f>'6 - B1'!I53</f>
        <v>11756.333008</v>
      </c>
      <c r="J53" s="69">
        <f>'6 - B1'!J53</f>
        <v>11884.711914</v>
      </c>
      <c r="K53" s="69">
        <f>'6 - B1'!K53</f>
        <v>11761.122069999999</v>
      </c>
      <c r="L53" s="69">
        <f>'6 - B1'!L53</f>
        <v>11605.083984000001</v>
      </c>
      <c r="M53" s="69">
        <f>'6 - B1'!M53</f>
        <v>12181.030273</v>
      </c>
      <c r="N53" s="69">
        <f>'6 - B1'!N53</f>
        <v>11966.420898</v>
      </c>
      <c r="O53" s="69">
        <f>'6 - B1'!O53</f>
        <v>11937.287109000001</v>
      </c>
      <c r="P53" s="69">
        <f>'6 - B1'!P53</f>
        <v>11577.749023</v>
      </c>
    </row>
    <row r="54" spans="1:16" x14ac:dyDescent="0.35">
      <c r="A54" s="69">
        <f>'6 - B1'!A54</f>
        <v>5</v>
      </c>
      <c r="B54" s="69">
        <f>'6 - B1'!B54</f>
        <v>10102.630859000001</v>
      </c>
      <c r="C54" s="69">
        <f>'6 - B1'!C54</f>
        <v>10598.864258</v>
      </c>
      <c r="D54" s="69">
        <f>'6 - B1'!D54</f>
        <v>10415.844727</v>
      </c>
      <c r="E54" s="69">
        <f>'6 - B1'!E54</f>
        <v>10377.453125</v>
      </c>
      <c r="F54" s="69">
        <f>'6 - B1'!F54</f>
        <v>10094.175781</v>
      </c>
      <c r="G54" s="69">
        <f>'6 - B1'!G54</f>
        <v>9871.9570309999999</v>
      </c>
      <c r="H54" s="69">
        <f>'6 - B1'!H54</f>
        <v>10248.007812</v>
      </c>
      <c r="I54" s="69">
        <f>'6 - B1'!I54</f>
        <v>10229.118164</v>
      </c>
      <c r="J54" s="69">
        <f>'6 - B1'!J54</f>
        <v>10345.128906</v>
      </c>
      <c r="K54" s="69">
        <f>'6 - B1'!K54</f>
        <v>10246.929688</v>
      </c>
      <c r="L54" s="69">
        <f>'6 - B1'!L54</f>
        <v>10102.630859000001</v>
      </c>
      <c r="M54" s="69">
        <f>'6 - B1'!M54</f>
        <v>10598.864258</v>
      </c>
      <c r="N54" s="69">
        <f>'6 - B1'!N54</f>
        <v>10415.844727</v>
      </c>
      <c r="O54" s="69">
        <f>'6 - B1'!O54</f>
        <v>10377.453125</v>
      </c>
      <c r="P54" s="69">
        <f>'6 - B1'!P54</f>
        <v>10094.175781</v>
      </c>
    </row>
    <row r="55" spans="1:16" x14ac:dyDescent="0.35">
      <c r="A55" s="69">
        <f>'6 - B1'!A55</f>
        <v>6</v>
      </c>
      <c r="B55" s="69">
        <f>'6 - B1'!B55</f>
        <v>8843.9316409999992</v>
      </c>
      <c r="C55" s="69">
        <f>'6 - B1'!C55</f>
        <v>9242.5400389999995</v>
      </c>
      <c r="D55" s="69">
        <f>'6 - B1'!D55</f>
        <v>9055.0751949999994</v>
      </c>
      <c r="E55" s="69">
        <f>'6 - B1'!E55</f>
        <v>9047.7607420000004</v>
      </c>
      <c r="F55" s="69">
        <f>'6 - B1'!F55</f>
        <v>8822.1367190000001</v>
      </c>
      <c r="G55" s="69">
        <f>'6 - B1'!G55</f>
        <v>8621.2470699999994</v>
      </c>
      <c r="H55" s="69">
        <f>'6 - B1'!H55</f>
        <v>8934.8076170000004</v>
      </c>
      <c r="I55" s="69">
        <f>'6 - B1'!I55</f>
        <v>8912.1083980000003</v>
      </c>
      <c r="J55" s="69">
        <f>'6 - B1'!J55</f>
        <v>9038.9521480000003</v>
      </c>
      <c r="K55" s="69">
        <f>'6 - B1'!K55</f>
        <v>8926.8544920000004</v>
      </c>
      <c r="L55" s="69">
        <f>'6 - B1'!L55</f>
        <v>8843.9316409999992</v>
      </c>
      <c r="M55" s="69">
        <f>'6 - B1'!M55</f>
        <v>9242.5400389999995</v>
      </c>
      <c r="N55" s="69">
        <f>'6 - B1'!N55</f>
        <v>9055.0751949999994</v>
      </c>
      <c r="O55" s="69">
        <f>'6 - B1'!O55</f>
        <v>9047.7607420000004</v>
      </c>
      <c r="P55" s="69">
        <f>'6 - B1'!P55</f>
        <v>8822.1367190000001</v>
      </c>
    </row>
    <row r="56" spans="1:16" x14ac:dyDescent="0.35">
      <c r="A56" s="69">
        <f>'6 - B1'!A56</f>
        <v>7</v>
      </c>
      <c r="B56" s="69">
        <f>'6 - B1'!B56</f>
        <v>7728.8276370000003</v>
      </c>
      <c r="C56" s="69">
        <f>'6 - B1'!C56</f>
        <v>8050.7226559999999</v>
      </c>
      <c r="D56" s="69">
        <f>'6 - B1'!D56</f>
        <v>7870.9316410000001</v>
      </c>
      <c r="E56" s="69">
        <f>'6 - B1'!E56</f>
        <v>7889.3974609999996</v>
      </c>
      <c r="F56" s="69">
        <f>'6 - B1'!F56</f>
        <v>7683.8974609999996</v>
      </c>
      <c r="G56" s="69">
        <f>'6 - B1'!G56</f>
        <v>7490.6547849999997</v>
      </c>
      <c r="H56" s="69">
        <f>'6 - B1'!H56</f>
        <v>7784.4931640000004</v>
      </c>
      <c r="I56" s="69">
        <f>'6 - B1'!I56</f>
        <v>7751.689453</v>
      </c>
      <c r="J56" s="69">
        <f>'6 - B1'!J56</f>
        <v>7887.5297849999997</v>
      </c>
      <c r="K56" s="69">
        <f>'6 - B1'!K56</f>
        <v>7776.9853519999997</v>
      </c>
      <c r="L56" s="69">
        <f>'6 - B1'!L56</f>
        <v>7728.8276370000003</v>
      </c>
      <c r="M56" s="69">
        <f>'6 - B1'!M56</f>
        <v>8050.7226559999999</v>
      </c>
      <c r="N56" s="69">
        <f>'6 - B1'!N56</f>
        <v>7870.9316410000001</v>
      </c>
      <c r="O56" s="69">
        <f>'6 - B1'!O56</f>
        <v>7889.3974609999996</v>
      </c>
      <c r="P56" s="69">
        <f>'6 - B1'!P56</f>
        <v>7683.8974609999996</v>
      </c>
    </row>
    <row r="57" spans="1:16" x14ac:dyDescent="0.35">
      <c r="A57" s="69">
        <f>'6 - B1'!A57</f>
        <v>8</v>
      </c>
      <c r="B57" s="69">
        <f>'6 - B1'!B57</f>
        <v>6712.5</v>
      </c>
      <c r="C57" s="69">
        <f>'6 - B1'!C57</f>
        <v>6966.6079099999997</v>
      </c>
      <c r="D57" s="69">
        <f>'6 - B1'!D57</f>
        <v>6819.4057620000003</v>
      </c>
      <c r="E57" s="69">
        <f>'6 - B1'!E57</f>
        <v>6844.7304690000001</v>
      </c>
      <c r="F57" s="69">
        <f>'6 - B1'!F57</f>
        <v>6671.7153319999998</v>
      </c>
      <c r="G57" s="69">
        <f>'6 - B1'!G57</f>
        <v>6521.4233400000003</v>
      </c>
      <c r="H57" s="69">
        <f>'6 - B1'!H57</f>
        <v>6752.0688479999999</v>
      </c>
      <c r="I57" s="69">
        <f>'6 - B1'!I57</f>
        <v>6729.0048829999996</v>
      </c>
      <c r="J57" s="69">
        <f>'6 - B1'!J57</f>
        <v>6849.3247069999998</v>
      </c>
      <c r="K57" s="69">
        <f>'6 - B1'!K57</f>
        <v>6745.6953119999998</v>
      </c>
      <c r="L57" s="69">
        <f>'6 - B1'!L57</f>
        <v>6712.5</v>
      </c>
      <c r="M57" s="69">
        <f>'6 - B1'!M57</f>
        <v>6966.6079099999997</v>
      </c>
      <c r="N57" s="69">
        <f>'6 - B1'!N57</f>
        <v>6819.4057620000003</v>
      </c>
      <c r="O57" s="69">
        <f>'6 - B1'!O57</f>
        <v>6844.7304690000001</v>
      </c>
      <c r="P57" s="69">
        <f>'6 - B1'!P57</f>
        <v>6671.7153319999998</v>
      </c>
    </row>
    <row r="58" spans="1:16" x14ac:dyDescent="0.35">
      <c r="A58" s="69">
        <f>'6 - B1'!A58</f>
        <v>9</v>
      </c>
      <c r="B58" s="69">
        <f>'6 - B1'!B58</f>
        <v>5831.0595700000003</v>
      </c>
      <c r="C58" s="69">
        <f>'6 - B1'!C58</f>
        <v>6010.96875</v>
      </c>
      <c r="D58" s="69">
        <f>'6 - B1'!D58</f>
        <v>5896.2358400000003</v>
      </c>
      <c r="E58" s="69">
        <f>'6 - B1'!E58</f>
        <v>5923.3808589999999</v>
      </c>
      <c r="F58" s="69">
        <f>'6 - B1'!F58</f>
        <v>5768.142578</v>
      </c>
      <c r="G58" s="69">
        <f>'6 - B1'!G58</f>
        <v>5642.8647460000002</v>
      </c>
      <c r="H58" s="69">
        <f>'6 - B1'!H58</f>
        <v>5853.1552730000003</v>
      </c>
      <c r="I58" s="69">
        <f>'6 - B1'!I58</f>
        <v>5831.0209960000002</v>
      </c>
      <c r="J58" s="69">
        <f>'6 - B1'!J58</f>
        <v>5943.6816410000001</v>
      </c>
      <c r="K58" s="69">
        <f>'6 - B1'!K58</f>
        <v>5848.1103519999997</v>
      </c>
      <c r="L58" s="69">
        <f>'6 - B1'!L58</f>
        <v>5831.0595700000003</v>
      </c>
      <c r="M58" s="69">
        <f>'6 - B1'!M58</f>
        <v>6010.96875</v>
      </c>
      <c r="N58" s="69">
        <f>'6 - B1'!N58</f>
        <v>5896.2358400000003</v>
      </c>
      <c r="O58" s="69">
        <f>'6 - B1'!O58</f>
        <v>5923.3808589999999</v>
      </c>
      <c r="P58" s="69">
        <f>'6 - B1'!P58</f>
        <v>5768.142578</v>
      </c>
    </row>
    <row r="59" spans="1:16" x14ac:dyDescent="0.35">
      <c r="A59" s="69">
        <f>'6 - B1'!A59</f>
        <v>10</v>
      </c>
      <c r="B59" s="69">
        <f>'6 - B1'!B59</f>
        <v>5012.3896480000003</v>
      </c>
      <c r="C59" s="69">
        <f>'6 - B1'!C59</f>
        <v>5152.5961909999996</v>
      </c>
      <c r="D59" s="69">
        <f>'6 - B1'!D59</f>
        <v>5069.5058589999999</v>
      </c>
      <c r="E59" s="69">
        <f>'6 - B1'!E59</f>
        <v>5089.0219729999999</v>
      </c>
      <c r="F59" s="69">
        <f>'6 - B1'!F59</f>
        <v>4950.0458980000003</v>
      </c>
      <c r="G59" s="69">
        <f>'6 - B1'!G59</f>
        <v>4847.5380859999996</v>
      </c>
      <c r="H59" s="69">
        <f>'6 - B1'!H59</f>
        <v>5023.9936520000001</v>
      </c>
      <c r="I59" s="69">
        <f>'6 - B1'!I59</f>
        <v>5019.5278319999998</v>
      </c>
      <c r="J59" s="69">
        <f>'6 - B1'!J59</f>
        <v>5111.7822269999997</v>
      </c>
      <c r="K59" s="69">
        <f>'6 - B1'!K59</f>
        <v>5031.3344729999999</v>
      </c>
      <c r="L59" s="69">
        <f>'6 - B1'!L59</f>
        <v>5012.3896480000003</v>
      </c>
      <c r="M59" s="69">
        <f>'6 - B1'!M59</f>
        <v>5152.5961909999996</v>
      </c>
      <c r="N59" s="69">
        <f>'6 - B1'!N59</f>
        <v>5069.5058589999999</v>
      </c>
      <c r="O59" s="69">
        <f>'6 - B1'!O59</f>
        <v>5089.0219729999999</v>
      </c>
      <c r="P59" s="69">
        <f>'6 - B1'!P59</f>
        <v>4950.0458980000003</v>
      </c>
    </row>
    <row r="60" spans="1:16" x14ac:dyDescent="0.35">
      <c r="A60" s="69">
        <f>'6 - B1'!A60</f>
        <v>11</v>
      </c>
      <c r="B60" s="69">
        <f>'6 - B1'!B60</f>
        <v>4265.1992190000001</v>
      </c>
      <c r="C60" s="69">
        <f>'6 - B1'!C60</f>
        <v>4375.4438479999999</v>
      </c>
      <c r="D60" s="69">
        <f>'6 - B1'!D60</f>
        <v>4300.263672</v>
      </c>
      <c r="E60" s="69">
        <f>'6 - B1'!E60</f>
        <v>4335.2709960000002</v>
      </c>
      <c r="F60" s="69">
        <f>'6 - B1'!F60</f>
        <v>4200.7607420000004</v>
      </c>
      <c r="G60" s="69">
        <f>'6 - B1'!G60</f>
        <v>4126.6206050000001</v>
      </c>
      <c r="H60" s="69">
        <f>'6 - B1'!H60</f>
        <v>4259.4750979999999</v>
      </c>
      <c r="I60" s="69">
        <f>'6 - B1'!I60</f>
        <v>4266.2875979999999</v>
      </c>
      <c r="J60" s="69">
        <f>'6 - B1'!J60</f>
        <v>4358.732422</v>
      </c>
      <c r="K60" s="69">
        <f>'6 - B1'!K60</f>
        <v>4284.4370120000003</v>
      </c>
      <c r="L60" s="69">
        <f>'6 - B1'!L60</f>
        <v>4265.1992190000001</v>
      </c>
      <c r="M60" s="69">
        <f>'6 - B1'!M60</f>
        <v>4375.4438479999999</v>
      </c>
      <c r="N60" s="69">
        <f>'6 - B1'!N60</f>
        <v>4300.263672</v>
      </c>
      <c r="O60" s="69">
        <f>'6 - B1'!O60</f>
        <v>4335.2709960000002</v>
      </c>
      <c r="P60" s="69">
        <f>'6 - B1'!P60</f>
        <v>4200.7607420000004</v>
      </c>
    </row>
    <row r="61" spans="1:16" x14ac:dyDescent="0.35">
      <c r="A61" s="69">
        <f>'6 - B1'!A61</f>
        <v>12</v>
      </c>
      <c r="B61" s="69">
        <f>'6 - B1'!B61</f>
        <v>3582.6906739999999</v>
      </c>
      <c r="C61" s="69">
        <f>'6 - B1'!C61</f>
        <v>3679.4133299999999</v>
      </c>
      <c r="D61" s="69">
        <f>'6 - B1'!D61</f>
        <v>3615.3696289999998</v>
      </c>
      <c r="E61" s="69">
        <f>'6 - B1'!E61</f>
        <v>3637.5822750000002</v>
      </c>
      <c r="F61" s="69">
        <f>'6 - B1'!F61</f>
        <v>3531.0698240000002</v>
      </c>
      <c r="G61" s="69">
        <f>'6 - B1'!G61</f>
        <v>3467.3562010000001</v>
      </c>
      <c r="H61" s="69">
        <f>'6 - B1'!H61</f>
        <v>3590.938721</v>
      </c>
      <c r="I61" s="69">
        <f>'6 - B1'!I61</f>
        <v>3599.8344729999999</v>
      </c>
      <c r="J61" s="69">
        <f>'6 - B1'!J61</f>
        <v>3659.1003420000002</v>
      </c>
      <c r="K61" s="69">
        <f>'6 - B1'!K61</f>
        <v>3596.1945799999999</v>
      </c>
      <c r="L61" s="69">
        <f>'6 - B1'!L61</f>
        <v>3582.6906739999999</v>
      </c>
      <c r="M61" s="69">
        <f>'6 - B1'!M61</f>
        <v>3679.4133299999999</v>
      </c>
      <c r="N61" s="69">
        <f>'6 - B1'!N61</f>
        <v>3615.3696289999998</v>
      </c>
      <c r="O61" s="69">
        <f>'6 - B1'!O61</f>
        <v>3637.5822750000002</v>
      </c>
      <c r="P61" s="69">
        <f>'6 - B1'!P61</f>
        <v>3531.0698240000002</v>
      </c>
    </row>
    <row r="62" spans="1:16" x14ac:dyDescent="0.35">
      <c r="A62" s="69">
        <f>'6 - B1'!A62</f>
        <v>13</v>
      </c>
      <c r="B62" s="69">
        <f>'6 - B1'!B62</f>
        <v>2960.9348140000002</v>
      </c>
      <c r="C62" s="69">
        <f>'6 - B1'!C62</f>
        <v>3056.6281739999999</v>
      </c>
      <c r="D62" s="69">
        <f>'6 - B1'!D62</f>
        <v>3009.4709469999998</v>
      </c>
      <c r="E62" s="69">
        <f>'6 - B1'!E62</f>
        <v>3018.9311520000001</v>
      </c>
      <c r="F62" s="69">
        <f>'6 - B1'!F62</f>
        <v>2916.4677729999999</v>
      </c>
      <c r="G62" s="69">
        <f>'6 - B1'!G62</f>
        <v>2871.2333979999999</v>
      </c>
      <c r="H62" s="69">
        <f>'6 - B1'!H62</f>
        <v>2975.158203</v>
      </c>
      <c r="I62" s="69">
        <f>'6 - B1'!I62</f>
        <v>2987.586182</v>
      </c>
      <c r="J62" s="69">
        <f>'6 - B1'!J62</f>
        <v>3031.3464359999998</v>
      </c>
      <c r="K62" s="69">
        <f>'6 - B1'!K62</f>
        <v>2977.9279790000001</v>
      </c>
      <c r="L62" s="69">
        <f>'6 - B1'!L62</f>
        <v>2960.9348140000002</v>
      </c>
      <c r="M62" s="69">
        <f>'6 - B1'!M62</f>
        <v>3056.6281739999999</v>
      </c>
      <c r="N62" s="69">
        <f>'6 - B1'!N62</f>
        <v>3009.4709469999998</v>
      </c>
      <c r="O62" s="69">
        <f>'6 - B1'!O62</f>
        <v>3018.9311520000001</v>
      </c>
      <c r="P62" s="69">
        <f>'6 - B1'!P62</f>
        <v>2916.4677729999999</v>
      </c>
    </row>
    <row r="63" spans="1:16" x14ac:dyDescent="0.35">
      <c r="A63" s="69">
        <f>'6 - B1'!A63</f>
        <v>14</v>
      </c>
      <c r="B63" s="69">
        <f>'6 - B1'!B63</f>
        <v>2429.7763669999999</v>
      </c>
      <c r="C63" s="69">
        <f>'6 - B1'!C63</f>
        <v>2491.9277339999999</v>
      </c>
      <c r="D63" s="69">
        <f>'6 - B1'!D63</f>
        <v>2458.383789</v>
      </c>
      <c r="E63" s="69">
        <f>'6 - B1'!E63</f>
        <v>2456.6372070000002</v>
      </c>
      <c r="F63" s="69">
        <f>'6 - B1'!F63</f>
        <v>2362.0517580000001</v>
      </c>
      <c r="G63" s="69">
        <f>'6 - B1'!G63</f>
        <v>2343.5668949999999</v>
      </c>
      <c r="H63" s="69">
        <f>'6 - B1'!H63</f>
        <v>2421.6633299999999</v>
      </c>
      <c r="I63" s="69">
        <f>'6 - B1'!I63</f>
        <v>2430.530029</v>
      </c>
      <c r="J63" s="69">
        <f>'6 - B1'!J63</f>
        <v>2468.3020019999999</v>
      </c>
      <c r="K63" s="69">
        <f>'6 - B1'!K63</f>
        <v>2410.8010250000002</v>
      </c>
      <c r="L63" s="69">
        <f>'6 - B1'!L63</f>
        <v>2429.7763669999999</v>
      </c>
      <c r="M63" s="69">
        <f>'6 - B1'!M63</f>
        <v>2491.9277339999999</v>
      </c>
      <c r="N63" s="69">
        <f>'6 - B1'!N63</f>
        <v>2458.383789</v>
      </c>
      <c r="O63" s="69">
        <f>'6 - B1'!O63</f>
        <v>2456.6372070000002</v>
      </c>
      <c r="P63" s="69">
        <f>'6 - B1'!P63</f>
        <v>2362.0517580000001</v>
      </c>
    </row>
    <row r="64" spans="1:16" x14ac:dyDescent="0.35">
      <c r="A64" s="69">
        <f>'6 - B1'!A64</f>
        <v>15</v>
      </c>
      <c r="B64" s="69">
        <f>'6 - B1'!B64</f>
        <v>1954.059814</v>
      </c>
      <c r="C64" s="69">
        <f>'6 - B1'!C64</f>
        <v>1998.9963379999999</v>
      </c>
      <c r="D64" s="69">
        <f>'6 - B1'!D64</f>
        <v>1975.6870120000001</v>
      </c>
      <c r="E64" s="69">
        <f>'6 - B1'!E64</f>
        <v>1958.2601320000001</v>
      </c>
      <c r="F64" s="69">
        <f>'6 - B1'!F64</f>
        <v>1877.623779</v>
      </c>
      <c r="G64" s="69">
        <f>'6 - B1'!G64</f>
        <v>1886.1635739999999</v>
      </c>
      <c r="H64" s="69">
        <f>'6 - B1'!H64</f>
        <v>1927.7030030000001</v>
      </c>
      <c r="I64" s="69">
        <f>'6 - B1'!I64</f>
        <v>1929.1597899999999</v>
      </c>
      <c r="J64" s="69">
        <f>'6 - B1'!J64</f>
        <v>1973.2080080000001</v>
      </c>
      <c r="K64" s="69">
        <f>'6 - B1'!K64</f>
        <v>1921.9458010000001</v>
      </c>
      <c r="L64" s="69">
        <f>'6 - B1'!L64</f>
        <v>1954.059814</v>
      </c>
      <c r="M64" s="69">
        <f>'6 - B1'!M64</f>
        <v>1998.9963379999999</v>
      </c>
      <c r="N64" s="69">
        <f>'6 - B1'!N64</f>
        <v>1975.6870120000001</v>
      </c>
      <c r="O64" s="69">
        <f>'6 - B1'!O64</f>
        <v>1958.2601320000001</v>
      </c>
      <c r="P64" s="69">
        <f>'6 - B1'!P64</f>
        <v>1877.623779</v>
      </c>
    </row>
    <row r="65" spans="1:16" x14ac:dyDescent="0.35">
      <c r="A65" s="69">
        <f>'6 - B1'!A65</f>
        <v>16</v>
      </c>
      <c r="B65" s="69">
        <f>'6 - B1'!B65</f>
        <v>1546.317871</v>
      </c>
      <c r="C65" s="69">
        <f>'6 - B1'!C65</f>
        <v>1571.92688</v>
      </c>
      <c r="D65" s="69">
        <f>'6 - B1'!D65</f>
        <v>1548.495361</v>
      </c>
      <c r="E65" s="69">
        <f>'6 - B1'!E65</f>
        <v>1528.611328</v>
      </c>
      <c r="F65" s="69">
        <f>'6 - B1'!F65</f>
        <v>1466.1247559999999</v>
      </c>
      <c r="G65" s="69">
        <f>'6 - B1'!G65</f>
        <v>1488.8192140000001</v>
      </c>
      <c r="H65" s="69">
        <f>'6 - B1'!H65</f>
        <v>1504.7714840000001</v>
      </c>
      <c r="I65" s="69">
        <f>'6 - B1'!I65</f>
        <v>1502.8272710000001</v>
      </c>
      <c r="J65" s="69">
        <f>'6 - B1'!J65</f>
        <v>1538.20874</v>
      </c>
      <c r="K65" s="69">
        <f>'6 - B1'!K65</f>
        <v>1494.5756839999999</v>
      </c>
      <c r="L65" s="69">
        <f>'6 - B1'!L65</f>
        <v>1546.317871</v>
      </c>
      <c r="M65" s="69">
        <f>'6 - B1'!M65</f>
        <v>1571.92688</v>
      </c>
      <c r="N65" s="69">
        <f>'6 - B1'!N65</f>
        <v>1548.495361</v>
      </c>
      <c r="O65" s="69">
        <f>'6 - B1'!O65</f>
        <v>1528.611328</v>
      </c>
      <c r="P65" s="69">
        <f>'6 - B1'!P65</f>
        <v>1466.1247559999999</v>
      </c>
    </row>
    <row r="66" spans="1:16" x14ac:dyDescent="0.35">
      <c r="A66" s="69">
        <f>'6 - B1'!A66</f>
        <v>17</v>
      </c>
      <c r="B66" s="69">
        <f>'6 - B1'!B66</f>
        <v>1201.4525149999999</v>
      </c>
      <c r="C66" s="69">
        <f>'6 - B1'!C66</f>
        <v>1218.989014</v>
      </c>
      <c r="D66" s="69">
        <f>'6 - B1'!D66</f>
        <v>1194.8481449999999</v>
      </c>
      <c r="E66" s="69">
        <f>'6 - B1'!E66</f>
        <v>1180.8470460000001</v>
      </c>
      <c r="F66" s="69">
        <f>'6 - B1'!F66</f>
        <v>1124.3198239999999</v>
      </c>
      <c r="G66" s="69">
        <f>'6 - B1'!G66</f>
        <v>1156.5295410000001</v>
      </c>
      <c r="H66" s="69">
        <f>'6 - B1'!H66</f>
        <v>1159.0582280000001</v>
      </c>
      <c r="I66" s="69">
        <f>'6 - B1'!I66</f>
        <v>1158.246216</v>
      </c>
      <c r="J66" s="69">
        <f>'6 - B1'!J66</f>
        <v>1187.6561280000001</v>
      </c>
      <c r="K66" s="69">
        <f>'6 - B1'!K66</f>
        <v>1157.871582</v>
      </c>
      <c r="L66" s="69">
        <f>'6 - B1'!L66</f>
        <v>1201.4525149999999</v>
      </c>
      <c r="M66" s="69">
        <f>'6 - B1'!M66</f>
        <v>1218.989014</v>
      </c>
      <c r="N66" s="69">
        <f>'6 - B1'!N66</f>
        <v>1194.8481449999999</v>
      </c>
      <c r="O66" s="69">
        <f>'6 - B1'!O66</f>
        <v>1180.8470460000001</v>
      </c>
      <c r="P66" s="69">
        <f>'6 - B1'!P66</f>
        <v>1124.3198239999999</v>
      </c>
    </row>
    <row r="67" spans="1:16" x14ac:dyDescent="0.35">
      <c r="A67" s="69">
        <f>'6 - B1'!A67</f>
        <v>18</v>
      </c>
      <c r="B67" s="69">
        <f>'6 - B1'!B67</f>
        <v>919.14520300000004</v>
      </c>
      <c r="C67" s="69">
        <f>'6 - B1'!C67</f>
        <v>927.28619400000002</v>
      </c>
      <c r="D67" s="69">
        <f>'6 - B1'!D67</f>
        <v>907.60882600000002</v>
      </c>
      <c r="E67" s="69">
        <f>'6 - B1'!E67</f>
        <v>891.30535899999995</v>
      </c>
      <c r="F67" s="69">
        <f>'6 - B1'!F67</f>
        <v>860.73687700000005</v>
      </c>
      <c r="G67" s="69">
        <f>'6 - B1'!G67</f>
        <v>885.68054199999995</v>
      </c>
      <c r="H67" s="69">
        <f>'6 - B1'!H67</f>
        <v>897.34167500000001</v>
      </c>
      <c r="I67" s="69">
        <f>'6 - B1'!I67</f>
        <v>884.45739700000001</v>
      </c>
      <c r="J67" s="69">
        <f>'6 - B1'!J67</f>
        <v>900.83154300000001</v>
      </c>
      <c r="K67" s="69">
        <f>'6 - B1'!K67</f>
        <v>885.09252900000001</v>
      </c>
      <c r="L67" s="69">
        <f>'6 - B1'!L67</f>
        <v>919.14520300000004</v>
      </c>
      <c r="M67" s="69">
        <f>'6 - B1'!M67</f>
        <v>927.28619400000002</v>
      </c>
      <c r="N67" s="69">
        <f>'6 - B1'!N67</f>
        <v>907.60882600000002</v>
      </c>
      <c r="O67" s="69">
        <f>'6 - B1'!O67</f>
        <v>891.30535899999995</v>
      </c>
      <c r="P67" s="69">
        <f>'6 - B1'!P67</f>
        <v>860.73687700000005</v>
      </c>
    </row>
    <row r="68" spans="1:16" x14ac:dyDescent="0.35">
      <c r="A68" s="69">
        <f>'6 - B1'!A68</f>
        <v>19</v>
      </c>
      <c r="B68" s="69">
        <f>'6 - B1'!B68</f>
        <v>703.00695800000005</v>
      </c>
      <c r="C68" s="69">
        <f>'6 - B1'!C68</f>
        <v>704.49731399999996</v>
      </c>
      <c r="D68" s="69">
        <f>'6 - B1'!D68</f>
        <v>686.28192100000001</v>
      </c>
      <c r="E68" s="69">
        <f>'6 - B1'!E68</f>
        <v>678.54278599999998</v>
      </c>
      <c r="F68" s="69">
        <f>'6 - B1'!F68</f>
        <v>644.79296899999997</v>
      </c>
      <c r="G68" s="69">
        <f>'6 - B1'!G68</f>
        <v>676.272156</v>
      </c>
      <c r="H68" s="69">
        <f>'6 - B1'!H68</f>
        <v>681.209473</v>
      </c>
      <c r="I68" s="69">
        <f>'6 - B1'!I68</f>
        <v>674.25317399999994</v>
      </c>
      <c r="J68" s="69">
        <f>'6 - B1'!J68</f>
        <v>681.85900900000001</v>
      </c>
      <c r="K68" s="69">
        <f>'6 - B1'!K68</f>
        <v>673.31054700000004</v>
      </c>
      <c r="L68" s="69">
        <f>'6 - B1'!L68</f>
        <v>703.00695800000005</v>
      </c>
      <c r="M68" s="69">
        <f>'6 - B1'!M68</f>
        <v>704.49731399999996</v>
      </c>
      <c r="N68" s="69">
        <f>'6 - B1'!N68</f>
        <v>686.28192100000001</v>
      </c>
      <c r="O68" s="69">
        <f>'6 - B1'!O68</f>
        <v>678.54278599999998</v>
      </c>
      <c r="P68" s="69">
        <f>'6 - B1'!P68</f>
        <v>644.79296899999997</v>
      </c>
    </row>
    <row r="69" spans="1:16" x14ac:dyDescent="0.35">
      <c r="A69" s="69">
        <f>'6 - B1'!A69</f>
        <v>20</v>
      </c>
      <c r="B69" s="69">
        <f>'6 - B1'!B69</f>
        <v>535.19445800000005</v>
      </c>
      <c r="C69" s="69">
        <f>'6 - B1'!C69</f>
        <v>534.77209500000004</v>
      </c>
      <c r="D69" s="69">
        <f>'6 - B1'!D69</f>
        <v>518.87432899999999</v>
      </c>
      <c r="E69" s="69">
        <f>'6 - B1'!E69</f>
        <v>519.48632799999996</v>
      </c>
      <c r="F69" s="69">
        <f>'6 - B1'!F69</f>
        <v>486.97650099999998</v>
      </c>
      <c r="G69" s="69">
        <f>'6 - B1'!G69</f>
        <v>513.95404099999996</v>
      </c>
      <c r="H69" s="69">
        <f>'6 - B1'!H69</f>
        <v>521.46813999999995</v>
      </c>
      <c r="I69" s="69">
        <f>'6 - B1'!I69</f>
        <v>507.88668799999999</v>
      </c>
      <c r="J69" s="69">
        <f>'6 - B1'!J69</f>
        <v>515.518372</v>
      </c>
      <c r="K69" s="69">
        <f>'6 - B1'!K69</f>
        <v>509.74066199999999</v>
      </c>
      <c r="L69" s="69">
        <f>'6 - B1'!L69</f>
        <v>535.19445800000005</v>
      </c>
      <c r="M69" s="69">
        <f>'6 - B1'!M69</f>
        <v>534.77209500000004</v>
      </c>
      <c r="N69" s="69">
        <f>'6 - B1'!N69</f>
        <v>518.87432899999999</v>
      </c>
      <c r="O69" s="69">
        <f>'6 - B1'!O69</f>
        <v>519.48632799999996</v>
      </c>
      <c r="P69" s="69">
        <f>'6 - B1'!P69</f>
        <v>486.97650099999998</v>
      </c>
    </row>
    <row r="70" spans="1:16" x14ac:dyDescent="0.35">
      <c r="A70" s="69">
        <f>'6 - B1'!A70</f>
        <v>21</v>
      </c>
      <c r="B70" s="69">
        <f>'6 - B1'!B70</f>
        <v>406.78601099999997</v>
      </c>
      <c r="C70" s="69">
        <f>'6 - B1'!C70</f>
        <v>407.57669099999998</v>
      </c>
      <c r="D70" s="69">
        <f>'6 - B1'!D70</f>
        <v>399.240814</v>
      </c>
      <c r="E70" s="69">
        <f>'6 - B1'!E70</f>
        <v>394.597534</v>
      </c>
      <c r="F70" s="69">
        <f>'6 - B1'!F70</f>
        <v>367.87899800000002</v>
      </c>
      <c r="G70" s="69">
        <f>'6 - B1'!G70</f>
        <v>389.90353399999998</v>
      </c>
      <c r="H70" s="69">
        <f>'6 - B1'!H70</f>
        <v>400.82702599999999</v>
      </c>
      <c r="I70" s="69">
        <f>'6 - B1'!I70</f>
        <v>386.24664300000001</v>
      </c>
      <c r="J70" s="69">
        <f>'6 - B1'!J70</f>
        <v>392.97232100000002</v>
      </c>
      <c r="K70" s="69">
        <f>'6 - B1'!K70</f>
        <v>386.282532</v>
      </c>
      <c r="L70" s="69">
        <f>'6 - B1'!L70</f>
        <v>406.78601099999997</v>
      </c>
      <c r="M70" s="69">
        <f>'6 - B1'!M70</f>
        <v>407.57669099999998</v>
      </c>
      <c r="N70" s="69">
        <f>'6 - B1'!N70</f>
        <v>399.240814</v>
      </c>
      <c r="O70" s="69">
        <f>'6 - B1'!O70</f>
        <v>394.597534</v>
      </c>
      <c r="P70" s="69">
        <f>'6 - B1'!P70</f>
        <v>367.87899800000002</v>
      </c>
    </row>
    <row r="71" spans="1:16" x14ac:dyDescent="0.35">
      <c r="A71" s="69">
        <f>'6 - B1'!A71</f>
        <v>22</v>
      </c>
      <c r="B71" s="69">
        <f>'6 - B1'!B71</f>
        <v>314.382904</v>
      </c>
      <c r="C71" s="69">
        <f>'6 - B1'!C71</f>
        <v>312.573914</v>
      </c>
      <c r="D71" s="69">
        <f>'6 - B1'!D71</f>
        <v>306.864349</v>
      </c>
      <c r="E71" s="69">
        <f>'6 - B1'!E71</f>
        <v>303.38549799999998</v>
      </c>
      <c r="F71" s="69">
        <f>'6 - B1'!F71</f>
        <v>280.05068999999997</v>
      </c>
      <c r="G71" s="69">
        <f>'6 - B1'!G71</f>
        <v>303.37640399999998</v>
      </c>
      <c r="H71" s="69">
        <f>'6 - B1'!H71</f>
        <v>315.55304000000001</v>
      </c>
      <c r="I71" s="69">
        <f>'6 - B1'!I71</f>
        <v>297.87988300000001</v>
      </c>
      <c r="J71" s="69">
        <f>'6 - B1'!J71</f>
        <v>296.93859900000001</v>
      </c>
      <c r="K71" s="69">
        <f>'6 - B1'!K71</f>
        <v>293.37170400000002</v>
      </c>
      <c r="L71" s="69">
        <f>'6 - B1'!L71</f>
        <v>314.382904</v>
      </c>
      <c r="M71" s="69">
        <f>'6 - B1'!M71</f>
        <v>312.573914</v>
      </c>
      <c r="N71" s="69">
        <f>'6 - B1'!N71</f>
        <v>306.864349</v>
      </c>
      <c r="O71" s="69">
        <f>'6 - B1'!O71</f>
        <v>303.38549799999998</v>
      </c>
      <c r="P71" s="69">
        <f>'6 - B1'!P71</f>
        <v>280.05068999999997</v>
      </c>
    </row>
    <row r="72" spans="1:16" x14ac:dyDescent="0.35">
      <c r="A72" s="69">
        <f>'6 - B1'!A72</f>
        <v>23</v>
      </c>
      <c r="B72" s="69">
        <f>'6 - B1'!B72</f>
        <v>240.88528400000001</v>
      </c>
      <c r="C72" s="69">
        <f>'6 - B1'!C72</f>
        <v>238.63909899999999</v>
      </c>
      <c r="D72" s="69">
        <f>'6 - B1'!D72</f>
        <v>233.31999200000001</v>
      </c>
      <c r="E72" s="69">
        <f>'6 - B1'!E72</f>
        <v>231.22099299999999</v>
      </c>
      <c r="F72" s="69">
        <f>'6 - B1'!F72</f>
        <v>214.473557</v>
      </c>
      <c r="G72" s="69">
        <f>'6 - B1'!G72</f>
        <v>234.17596399999999</v>
      </c>
      <c r="H72" s="69">
        <f>'6 - B1'!H72</f>
        <v>242.166336</v>
      </c>
      <c r="I72" s="69">
        <f>'6 - B1'!I72</f>
        <v>228.47001599999999</v>
      </c>
      <c r="J72" s="69">
        <f>'6 - B1'!J72</f>
        <v>232.13056900000001</v>
      </c>
      <c r="K72" s="69">
        <f>'6 - B1'!K72</f>
        <v>225.44532799999999</v>
      </c>
      <c r="L72" s="69">
        <f>'6 - B1'!L72</f>
        <v>240.88528400000001</v>
      </c>
      <c r="M72" s="69">
        <f>'6 - B1'!M72</f>
        <v>238.63909899999999</v>
      </c>
      <c r="N72" s="69">
        <f>'6 - B1'!N72</f>
        <v>233.31999200000001</v>
      </c>
      <c r="O72" s="69">
        <f>'6 - B1'!O72</f>
        <v>231.22099299999999</v>
      </c>
      <c r="P72" s="69">
        <f>'6 - B1'!P72</f>
        <v>214.473557</v>
      </c>
    </row>
    <row r="73" spans="1:16" x14ac:dyDescent="0.35">
      <c r="A73" s="69">
        <f>'6 - B1'!A73</f>
        <v>24</v>
      </c>
      <c r="B73" s="69">
        <f>'6 - B1'!B73</f>
        <v>184.275116</v>
      </c>
      <c r="C73" s="69">
        <f>'6 - B1'!C73</f>
        <v>183.409515</v>
      </c>
      <c r="D73" s="69">
        <f>'6 - B1'!D73</f>
        <v>176.72453300000001</v>
      </c>
      <c r="E73" s="69">
        <f>'6 - B1'!E73</f>
        <v>177.02397199999999</v>
      </c>
      <c r="F73" s="69">
        <f>'6 - B1'!F73</f>
        <v>159.48284899999999</v>
      </c>
      <c r="G73" s="69">
        <f>'6 - B1'!G73</f>
        <v>181.87702899999999</v>
      </c>
      <c r="H73" s="69">
        <f>'6 - B1'!H73</f>
        <v>184.89129600000001</v>
      </c>
      <c r="I73" s="69">
        <f>'6 - B1'!I73</f>
        <v>170.315811</v>
      </c>
      <c r="J73" s="69">
        <f>'6 - B1'!J73</f>
        <v>179.400406</v>
      </c>
      <c r="K73" s="69">
        <f>'6 - B1'!K73</f>
        <v>171.377487</v>
      </c>
      <c r="L73" s="69">
        <f>'6 - B1'!L73</f>
        <v>184.275116</v>
      </c>
      <c r="M73" s="69">
        <f>'6 - B1'!M73</f>
        <v>183.409515</v>
      </c>
      <c r="N73" s="69">
        <f>'6 - B1'!N73</f>
        <v>176.72453300000001</v>
      </c>
      <c r="O73" s="69">
        <f>'6 - B1'!O73</f>
        <v>177.02397199999999</v>
      </c>
      <c r="P73" s="69">
        <f>'6 - B1'!P73</f>
        <v>159.48284899999999</v>
      </c>
    </row>
    <row r="74" spans="1:16" x14ac:dyDescent="0.35">
      <c r="A74" s="69">
        <f>'6 - B1'!A74</f>
        <v>25</v>
      </c>
      <c r="B74" s="69">
        <f>'6 - B1'!B74</f>
        <v>138.817047</v>
      </c>
      <c r="C74" s="69">
        <f>'6 - B1'!C74</f>
        <v>138.12321499999999</v>
      </c>
      <c r="D74" s="69">
        <f>'6 - B1'!D74</f>
        <v>132.915085</v>
      </c>
      <c r="E74" s="69">
        <f>'6 - B1'!E74</f>
        <v>137.35803200000001</v>
      </c>
      <c r="F74" s="69">
        <f>'6 - B1'!F74</f>
        <v>118.705429</v>
      </c>
      <c r="G74" s="69">
        <f>'6 - B1'!G74</f>
        <v>141.27093500000001</v>
      </c>
      <c r="H74" s="69">
        <f>'6 - B1'!H74</f>
        <v>141.27188100000001</v>
      </c>
      <c r="I74" s="69">
        <f>'6 - B1'!I74</f>
        <v>128.057739</v>
      </c>
      <c r="J74" s="69">
        <f>'6 - B1'!J74</f>
        <v>135.114914</v>
      </c>
      <c r="K74" s="69">
        <f>'6 - B1'!K74</f>
        <v>126.48361199999999</v>
      </c>
      <c r="L74" s="69">
        <f>'6 - B1'!L74</f>
        <v>138.817047</v>
      </c>
      <c r="M74" s="69">
        <f>'6 - B1'!M74</f>
        <v>138.12321499999999</v>
      </c>
      <c r="N74" s="69">
        <f>'6 - B1'!N74</f>
        <v>132.915085</v>
      </c>
      <c r="O74" s="69">
        <f>'6 - B1'!O74</f>
        <v>137.35803200000001</v>
      </c>
      <c r="P74" s="69">
        <f>'6 - B1'!P74</f>
        <v>118.705429</v>
      </c>
    </row>
    <row r="75" spans="1:16" x14ac:dyDescent="0.35">
      <c r="A75" s="69">
        <f>'6 - B1'!A75</f>
        <v>26</v>
      </c>
      <c r="B75" s="69">
        <f>'6 - B1'!B75</f>
        <v>104.086235</v>
      </c>
      <c r="C75" s="69">
        <f>'6 - B1'!C75</f>
        <v>104.94607499999999</v>
      </c>
      <c r="D75" s="69">
        <f>'6 - B1'!D75</f>
        <v>101.09871699999999</v>
      </c>
      <c r="E75" s="69">
        <f>'6 - B1'!E75</f>
        <v>99.164840999999996</v>
      </c>
      <c r="F75" s="69">
        <f>'6 - B1'!F75</f>
        <v>86.455978000000002</v>
      </c>
      <c r="G75" s="69">
        <f>'6 - B1'!G75</f>
        <v>104.491592</v>
      </c>
      <c r="H75" s="69">
        <f>'6 - B1'!H75</f>
        <v>106.199516</v>
      </c>
      <c r="I75" s="69">
        <f>'6 - B1'!I75</f>
        <v>95.080650000000006</v>
      </c>
      <c r="J75" s="69">
        <f>'6 - B1'!J75</f>
        <v>102.121742</v>
      </c>
      <c r="K75" s="69">
        <f>'6 - B1'!K75</f>
        <v>94.179542999999995</v>
      </c>
      <c r="L75" s="69">
        <f>'6 - B1'!L75</f>
        <v>104.086235</v>
      </c>
      <c r="M75" s="69">
        <f>'6 - B1'!M75</f>
        <v>104.94607499999999</v>
      </c>
      <c r="N75" s="69">
        <f>'6 - B1'!N75</f>
        <v>101.09871699999999</v>
      </c>
      <c r="O75" s="69">
        <f>'6 - B1'!O75</f>
        <v>99.164840999999996</v>
      </c>
      <c r="P75" s="69">
        <f>'6 - B1'!P75</f>
        <v>86.455978000000002</v>
      </c>
    </row>
    <row r="76" spans="1:16" x14ac:dyDescent="0.35">
      <c r="A76" s="69">
        <f>'6 - B1'!A76</f>
        <v>27</v>
      </c>
      <c r="B76" s="69">
        <f>'6 - B1'!B76</f>
        <v>80.613731000000001</v>
      </c>
      <c r="C76" s="69">
        <f>'6 - B1'!C76</f>
        <v>77.971191000000005</v>
      </c>
      <c r="D76" s="69">
        <f>'6 - B1'!D76</f>
        <v>73.841712999999999</v>
      </c>
      <c r="E76" s="69">
        <f>'6 - B1'!E76</f>
        <v>72.360878</v>
      </c>
      <c r="F76" s="69">
        <f>'6 - B1'!F76</f>
        <v>63.028561000000003</v>
      </c>
      <c r="G76" s="69">
        <f>'6 - B1'!G76</f>
        <v>75.897246999999993</v>
      </c>
      <c r="H76" s="69">
        <f>'6 - B1'!H76</f>
        <v>79.772437999999994</v>
      </c>
      <c r="I76" s="69">
        <f>'6 - B1'!I76</f>
        <v>71.68074</v>
      </c>
      <c r="J76" s="69">
        <f>'6 - B1'!J76</f>
        <v>76.002144000000001</v>
      </c>
      <c r="K76" s="69">
        <f>'6 - B1'!K76</f>
        <v>68.023978999999997</v>
      </c>
      <c r="L76" s="69">
        <f>'6 - B1'!L76</f>
        <v>80.613731000000001</v>
      </c>
      <c r="M76" s="69">
        <f>'6 - B1'!M76</f>
        <v>77.971191000000005</v>
      </c>
      <c r="N76" s="69">
        <f>'6 - B1'!N76</f>
        <v>73.841712999999999</v>
      </c>
      <c r="O76" s="69">
        <f>'6 - B1'!O76</f>
        <v>72.360878</v>
      </c>
      <c r="P76" s="69">
        <f>'6 - B1'!P76</f>
        <v>63.028561000000003</v>
      </c>
    </row>
    <row r="77" spans="1:16" x14ac:dyDescent="0.35">
      <c r="A77" s="69">
        <f>'6 - B1'!A77</f>
        <v>28</v>
      </c>
      <c r="B77" s="69">
        <f>'6 - B1'!B77</f>
        <v>57.353642000000001</v>
      </c>
      <c r="C77" s="69">
        <f>'6 - B1'!C77</f>
        <v>56.410975999999998</v>
      </c>
      <c r="D77" s="69">
        <f>'6 - B1'!D77</f>
        <v>53.820202000000002</v>
      </c>
      <c r="E77" s="69">
        <f>'6 - B1'!E77</f>
        <v>50.956982000000004</v>
      </c>
      <c r="F77" s="69">
        <f>'6 - B1'!F77</f>
        <v>44.894371</v>
      </c>
      <c r="G77" s="69">
        <f>'6 - B1'!G77</f>
        <v>56.869788999999997</v>
      </c>
      <c r="H77" s="69">
        <f>'6 - B1'!H77</f>
        <v>59.043396000000001</v>
      </c>
      <c r="I77" s="69">
        <f>'6 - B1'!I77</f>
        <v>53.809921000000003</v>
      </c>
      <c r="J77" s="69">
        <f>'6 - B1'!J77</f>
        <v>53.515720000000002</v>
      </c>
      <c r="K77" s="69">
        <f>'6 - B1'!K77</f>
        <v>49.285666999999997</v>
      </c>
      <c r="L77" s="69">
        <f>'6 - B1'!L77</f>
        <v>57.353642000000001</v>
      </c>
      <c r="M77" s="69">
        <f>'6 - B1'!M77</f>
        <v>56.410975999999998</v>
      </c>
      <c r="N77" s="69">
        <f>'6 - B1'!N77</f>
        <v>53.820202000000002</v>
      </c>
      <c r="O77" s="69">
        <f>'6 - B1'!O77</f>
        <v>50.956982000000004</v>
      </c>
      <c r="P77" s="69">
        <f>'6 - B1'!P77</f>
        <v>44.894371</v>
      </c>
    </row>
    <row r="78" spans="1:16" x14ac:dyDescent="0.35">
      <c r="A78" s="69">
        <f>'6 - B1'!A78</f>
        <v>29</v>
      </c>
      <c r="B78" s="69">
        <f>'6 - B1'!B78</f>
        <v>40.997230999999999</v>
      </c>
      <c r="C78" s="69">
        <f>'6 - B1'!C78</f>
        <v>39.674736000000003</v>
      </c>
      <c r="D78" s="69">
        <f>'6 - B1'!D78</f>
        <v>39.844791000000001</v>
      </c>
      <c r="E78" s="69">
        <f>'6 - B1'!E78</f>
        <v>34.560420999999998</v>
      </c>
      <c r="F78" s="69">
        <f>'6 - B1'!F78</f>
        <v>32.445495999999999</v>
      </c>
      <c r="G78" s="69">
        <f>'6 - B1'!G78</f>
        <v>39.436805999999997</v>
      </c>
      <c r="H78" s="69">
        <f>'6 - B1'!H78</f>
        <v>45.093040000000002</v>
      </c>
      <c r="I78" s="69">
        <f>'6 - B1'!I78</f>
        <v>40.678325999999998</v>
      </c>
      <c r="J78" s="69">
        <f>'6 - B1'!J78</f>
        <v>39.179397999999999</v>
      </c>
      <c r="K78" s="69">
        <f>'6 - B1'!K78</f>
        <v>36.403075999999999</v>
      </c>
      <c r="L78" s="69">
        <f>'6 - B1'!L78</f>
        <v>40.997230999999999</v>
      </c>
      <c r="M78" s="69">
        <f>'6 - B1'!M78</f>
        <v>39.674736000000003</v>
      </c>
      <c r="N78" s="69">
        <f>'6 - B1'!N78</f>
        <v>39.844791000000001</v>
      </c>
      <c r="O78" s="69">
        <f>'6 - B1'!O78</f>
        <v>34.560420999999998</v>
      </c>
      <c r="P78" s="69">
        <f>'6 - B1'!P78</f>
        <v>32.445495999999999</v>
      </c>
    </row>
    <row r="79" spans="1:16" x14ac:dyDescent="0.35">
      <c r="A79" s="69">
        <f>'6 - B1'!A79</f>
        <v>30</v>
      </c>
      <c r="B79" s="69">
        <f>'6 - B1'!B79</f>
        <v>28.251978000000001</v>
      </c>
      <c r="C79" s="69">
        <f>'6 - B1'!C79</f>
        <v>27.171779999999998</v>
      </c>
      <c r="D79" s="69">
        <f>'6 - B1'!D79</f>
        <v>27.752590000000001</v>
      </c>
      <c r="E79" s="69">
        <f>'6 - B1'!E79</f>
        <v>24.840302000000001</v>
      </c>
      <c r="F79" s="69">
        <f>'6 - B1'!F79</f>
        <v>21.663005999999999</v>
      </c>
      <c r="G79" s="69">
        <f>'6 - B1'!G79</f>
        <v>26.680965</v>
      </c>
      <c r="H79" s="69">
        <f>'6 - B1'!H79</f>
        <v>32.223351000000001</v>
      </c>
      <c r="I79" s="69">
        <f>'6 - B1'!I79</f>
        <v>29.126472</v>
      </c>
      <c r="J79" s="69">
        <f>'6 - B1'!J79</f>
        <v>27.985285000000001</v>
      </c>
      <c r="K79" s="69">
        <f>'6 - B1'!K79</f>
        <v>25.179608999999999</v>
      </c>
      <c r="L79" s="69">
        <f>'6 - B1'!L79</f>
        <v>28.251978000000001</v>
      </c>
      <c r="M79" s="69">
        <f>'6 - B1'!M79</f>
        <v>27.171779999999998</v>
      </c>
      <c r="N79" s="69">
        <f>'6 - B1'!N79</f>
        <v>27.752590000000001</v>
      </c>
      <c r="O79" s="69">
        <f>'6 - B1'!O79</f>
        <v>24.840302000000001</v>
      </c>
      <c r="P79" s="69">
        <f>'6 - B1'!P79</f>
        <v>21.663005999999999</v>
      </c>
    </row>
    <row r="80" spans="1:16" x14ac:dyDescent="0.35">
      <c r="A80" s="69">
        <f>'6 - B1'!A80</f>
        <v>38</v>
      </c>
      <c r="B80" s="69">
        <f>'6 - B1'!B80</f>
        <v>19.011669000000001</v>
      </c>
      <c r="C80" s="69">
        <f>'6 - B1'!C80</f>
        <v>18.508313999999999</v>
      </c>
      <c r="D80" s="69">
        <f>'6 - B1'!D80</f>
        <v>17.741834999999998</v>
      </c>
      <c r="E80" s="69">
        <f>'6 - B1'!E80</f>
        <v>17.182027999999999</v>
      </c>
      <c r="F80" s="69">
        <f>'6 - B1'!F80</f>
        <v>14.507351999999999</v>
      </c>
      <c r="G80" s="69">
        <f>'6 - B1'!G80</f>
        <v>17.964476000000001</v>
      </c>
      <c r="H80" s="69">
        <f>'6 - B1'!H80</f>
        <v>23.578060000000001</v>
      </c>
      <c r="I80" s="69">
        <f>'6 - B1'!I80</f>
        <v>20.042963</v>
      </c>
      <c r="J80" s="69">
        <f>'6 - B1'!J80</f>
        <v>18.853245000000001</v>
      </c>
      <c r="K80" s="69">
        <f>'6 - B1'!K80</f>
        <v>17.469574000000001</v>
      </c>
      <c r="L80" s="69">
        <f>'6 - B1'!L80</f>
        <v>19.011669000000001</v>
      </c>
      <c r="M80" s="69">
        <f>'6 - B1'!M80</f>
        <v>18.508313999999999</v>
      </c>
      <c r="N80" s="69">
        <f>'6 - B1'!N80</f>
        <v>17.741834999999998</v>
      </c>
      <c r="O80" s="69">
        <f>'6 - B1'!O80</f>
        <v>17.182027999999999</v>
      </c>
      <c r="P80" s="69">
        <f>'6 - B1'!P80</f>
        <v>14.507351999999999</v>
      </c>
    </row>
    <row r="81" spans="1:16" x14ac:dyDescent="0.35">
      <c r="A81" s="69">
        <f>'6 - B1'!A81</f>
        <v>50</v>
      </c>
      <c r="B81" s="69">
        <f>'6 - B1'!B81</f>
        <v>12.639042999999999</v>
      </c>
      <c r="C81" s="69">
        <f>'6 - B1'!C81</f>
        <v>12.404508</v>
      </c>
      <c r="D81" s="69">
        <f>'6 - B1'!D81</f>
        <v>12.885130999999999</v>
      </c>
      <c r="E81" s="69">
        <f>'6 - B1'!E81</f>
        <v>12.861974999999999</v>
      </c>
      <c r="F81" s="69">
        <f>'6 - B1'!F81</f>
        <v>8.5279699999999998</v>
      </c>
      <c r="G81" s="69">
        <f>'6 - B1'!G81</f>
        <v>12.118048999999999</v>
      </c>
      <c r="H81" s="69">
        <f>'6 - B1'!H81</f>
        <v>16.209917000000001</v>
      </c>
      <c r="I81" s="69">
        <f>'6 - B1'!I81</f>
        <v>14.908804</v>
      </c>
      <c r="J81" s="69">
        <f>'6 - B1'!J81</f>
        <v>12.961605</v>
      </c>
      <c r="K81" s="69">
        <f>'6 - B1'!K81</f>
        <v>11.516254999999999</v>
      </c>
      <c r="L81" s="69">
        <f>'6 - B1'!L81</f>
        <v>12.639042999999999</v>
      </c>
      <c r="M81" s="69">
        <f>'6 - B1'!M81</f>
        <v>12.404508</v>
      </c>
      <c r="N81" s="69">
        <f>'6 - B1'!N81</f>
        <v>12.885130999999999</v>
      </c>
      <c r="O81" s="69">
        <f>'6 - B1'!O81</f>
        <v>12.861974999999999</v>
      </c>
      <c r="P81" s="69">
        <f>'6 - B1'!P81</f>
        <v>8.5279699999999998</v>
      </c>
    </row>
    <row r="82" spans="1:16" x14ac:dyDescent="0.35">
      <c r="A82" s="69">
        <f>'6 - B1'!A82</f>
        <v>70</v>
      </c>
      <c r="B82" s="69">
        <f>'6 - B1'!B82</f>
        <v>9.3465190000000007</v>
      </c>
      <c r="C82" s="69">
        <f>'6 - B1'!C82</f>
        <v>7.7774299999999998</v>
      </c>
      <c r="D82" s="69">
        <f>'6 - B1'!D82</f>
        <v>7.8301949999999998</v>
      </c>
      <c r="E82" s="69">
        <f>'6 - B1'!E82</f>
        <v>8.6401050000000001</v>
      </c>
      <c r="F82" s="69">
        <f>'6 - B1'!F82</f>
        <v>4.7050869999999998</v>
      </c>
      <c r="G82" s="69">
        <f>'6 - B1'!G82</f>
        <v>7.6535039999999999</v>
      </c>
      <c r="H82" s="69">
        <f>'6 - B1'!H82</f>
        <v>12.083755999999999</v>
      </c>
      <c r="I82" s="69">
        <f>'6 - B1'!I82</f>
        <v>9.9721150000000005</v>
      </c>
      <c r="J82" s="69">
        <f>'6 - B1'!J82</f>
        <v>8.3464880000000008</v>
      </c>
      <c r="K82" s="69">
        <f>'6 - B1'!K82</f>
        <v>7.6124400000000003</v>
      </c>
      <c r="L82" s="69">
        <f>'6 - B1'!L82</f>
        <v>9.3465190000000007</v>
      </c>
      <c r="M82" s="69">
        <f>'6 - B1'!M82</f>
        <v>7.7774299999999998</v>
      </c>
      <c r="N82" s="69">
        <f>'6 - B1'!N82</f>
        <v>7.8301949999999998</v>
      </c>
      <c r="O82" s="69">
        <f>'6 - B1'!O82</f>
        <v>8.6401050000000001</v>
      </c>
      <c r="P82" s="69">
        <f>'6 - B1'!P82</f>
        <v>4.7050869999999998</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128"/>
  <sheetViews>
    <sheetView topLeftCell="I5" zoomScale="70" zoomScaleNormal="70" workbookViewId="0">
      <selection activeCell="M5" sqref="M5"/>
    </sheetView>
  </sheetViews>
  <sheetFormatPr defaultColWidth="11.53125" defaultRowHeight="12.75" x14ac:dyDescent="0.35"/>
  <cols>
    <col min="11" max="11" width="27.6640625" customWidth="1"/>
    <col min="12" max="12" width="15.3984375" customWidth="1"/>
  </cols>
  <sheetData>
    <row r="1" spans="1:16" ht="37.25" customHeight="1" x14ac:dyDescent="0.7">
      <c r="B1" s="72"/>
      <c r="K1" s="73"/>
      <c r="L1" s="73"/>
      <c r="M1" s="73"/>
      <c r="N1" s="73"/>
      <c r="O1" s="73"/>
    </row>
    <row r="2" spans="1:16" ht="52.15" x14ac:dyDescent="0.5">
      <c r="B2" s="74" t="s">
        <v>115</v>
      </c>
      <c r="C2" s="74" t="s">
        <v>116</v>
      </c>
      <c r="D2" s="74" t="s">
        <v>117</v>
      </c>
      <c r="E2" s="74" t="s">
        <v>118</v>
      </c>
      <c r="F2" s="75" t="s">
        <v>119</v>
      </c>
      <c r="G2" s="76" t="s">
        <v>68</v>
      </c>
      <c r="H2" s="77" t="s">
        <v>120</v>
      </c>
      <c r="K2" s="78" t="s">
        <v>121</v>
      </c>
      <c r="L2" s="79" t="s">
        <v>122</v>
      </c>
      <c r="M2" s="79" t="s">
        <v>123</v>
      </c>
      <c r="O2" s="15"/>
      <c r="P2" s="15"/>
    </row>
    <row r="3" spans="1:16" ht="26.25" x14ac:dyDescent="0.45">
      <c r="B3" s="75" t="s">
        <v>124</v>
      </c>
      <c r="C3" s="75" t="s">
        <v>124</v>
      </c>
      <c r="D3" s="75" t="s">
        <v>124</v>
      </c>
      <c r="E3" s="75" t="s">
        <v>124</v>
      </c>
      <c r="F3" s="75"/>
      <c r="G3" s="80" t="s">
        <v>125</v>
      </c>
      <c r="H3" s="80" t="s">
        <v>126</v>
      </c>
      <c r="K3" s="81" t="s">
        <v>127</v>
      </c>
      <c r="L3" s="79" t="str">
        <f>"/ml"</f>
        <v>/ml</v>
      </c>
      <c r="M3" s="79"/>
      <c r="O3" s="82"/>
      <c r="P3" s="83"/>
    </row>
    <row r="4" spans="1:16" ht="13.15" x14ac:dyDescent="0.4">
      <c r="A4">
        <v>30</v>
      </c>
      <c r="B4" s="34">
        <f>'6 - B1'!$L38</f>
        <v>8.0825766666666663</v>
      </c>
      <c r="C4" s="34">
        <f>'6 - B2'!$L38</f>
        <v>9.5139657500000006</v>
      </c>
      <c r="D4" s="34">
        <f>'6 - B3'!$L38</f>
        <v>8.3985622499999995</v>
      </c>
      <c r="E4" s="84">
        <f t="shared" ref="E4:E33" si="0">AVERAGE(B4:D4)</f>
        <v>8.6650348888888882</v>
      </c>
      <c r="F4" s="22">
        <f>'Clause 6'!D19</f>
        <v>16000.000000000053</v>
      </c>
      <c r="G4">
        <f>'6 - B1'!$M38+'6 - B2'!$M38+'6 - B3'!$M38</f>
        <v>11</v>
      </c>
      <c r="H4" s="34">
        <f>STDEVP('6 - B1'!$B38:F38,'6 - B2'!B38:F38,'6 - B3'!B38:F38)/SQRT(G4)</f>
        <v>0.38489240166412797</v>
      </c>
      <c r="K4" s="85">
        <v>4</v>
      </c>
      <c r="L4" s="86">
        <v>10563.4</v>
      </c>
      <c r="M4" s="87">
        <f>CubicSpline(L4,$E$4:$E$33,$F$4:$F$33)</f>
        <v>137.91718750725491</v>
      </c>
    </row>
    <row r="5" spans="1:16" ht="13.15" x14ac:dyDescent="0.4">
      <c r="A5">
        <v>29</v>
      </c>
      <c r="B5" s="34">
        <f>'6 - B1'!$L37</f>
        <v>12.861974999999999</v>
      </c>
      <c r="C5" s="34">
        <f>'6 - B2'!$L37</f>
        <v>14.04959375</v>
      </c>
      <c r="D5" s="34">
        <f>'6 - B3'!$L37</f>
        <v>12.697664250000001</v>
      </c>
      <c r="E5" s="88">
        <f t="shared" si="0"/>
        <v>13.203077666666667</v>
      </c>
      <c r="F5" s="22">
        <f>'Clause 6'!D20</f>
        <v>13515.939313205179</v>
      </c>
      <c r="G5">
        <f>'6 - B1'!$M37+'6 - B2'!$M37+'6 - B3'!$M37</f>
        <v>9</v>
      </c>
      <c r="H5" s="34">
        <f>STDEVP('6 - B1'!$B37:F37,'6 - B2'!B37:F37,'6 - B3'!B37:F37)/SQRT(G5)</f>
        <v>0.4210432529131149</v>
      </c>
      <c r="K5" s="85">
        <v>5</v>
      </c>
      <c r="L5" s="86">
        <v>6899.8</v>
      </c>
      <c r="M5" s="87">
        <f t="shared" ref="M4:M9" si="1">CubicSpline(L5,$E$4:$E$33,$F$4:$F$33)</f>
        <v>231.46729281154623</v>
      </c>
    </row>
    <row r="6" spans="1:16" ht="13.15" x14ac:dyDescent="0.4">
      <c r="A6">
        <v>28</v>
      </c>
      <c r="B6" s="34">
        <f>'6 - B1'!$L36</f>
        <v>18.110961499999998</v>
      </c>
      <c r="C6" s="34">
        <f>'6 - B2'!$L36</f>
        <v>20.109686</v>
      </c>
      <c r="D6" s="34">
        <f>'6 - B3'!$L36</f>
        <v>17.978510666666665</v>
      </c>
      <c r="E6" s="88">
        <f t="shared" si="0"/>
        <v>18.733052722222222</v>
      </c>
      <c r="F6" s="22">
        <f>'Clause 6'!D21</f>
        <v>11417.538469890293</v>
      </c>
      <c r="G6">
        <f>'6 - B1'!$M36+'6 - B2'!$M36+'6 - B3'!$M36</f>
        <v>11</v>
      </c>
      <c r="H6" s="34">
        <f>STDEVP('6 - B1'!$B36:F36,'6 - B2'!B36:F36,'6 - B3'!B36:F36)/SQRT(G6)</f>
        <v>0.52005642801061802</v>
      </c>
      <c r="K6" s="85">
        <v>6</v>
      </c>
      <c r="L6" s="86">
        <v>4593.5</v>
      </c>
      <c r="M6" s="87">
        <f t="shared" si="1"/>
        <v>365.25225134404809</v>
      </c>
    </row>
    <row r="7" spans="1:16" ht="13.15" x14ac:dyDescent="0.4">
      <c r="A7">
        <v>27</v>
      </c>
      <c r="B7" s="34">
        <f>'6 - B1'!$L35</f>
        <v>27.0041625</v>
      </c>
      <c r="C7" s="34">
        <f>'6 - B2'!$L35</f>
        <v>29.004018250000001</v>
      </c>
      <c r="D7" s="34">
        <f>'6 - B3'!$L35</f>
        <v>26.948290000000004</v>
      </c>
      <c r="E7" s="88">
        <f t="shared" si="0"/>
        <v>27.652156916666669</v>
      </c>
      <c r="F7" s="22">
        <f>'Clause 6'!D22</f>
        <v>9644.9223165763869</v>
      </c>
      <c r="G7">
        <f>'6 - B1'!$M35+'6 - B2'!$M35+'6 - B3'!$M35</f>
        <v>11</v>
      </c>
      <c r="H7" s="34">
        <f>STDEVP('6 - B1'!$B35:F35,'6 - B2'!B35:F35,'6 - B3'!B35:F35)/SQRT(G7)</f>
        <v>0.58112267949697949</v>
      </c>
      <c r="K7" s="85">
        <v>7</v>
      </c>
      <c r="L7" s="86">
        <v>3202.3</v>
      </c>
      <c r="M7" s="87">
        <f t="shared" si="1"/>
        <v>516.7890290427116</v>
      </c>
    </row>
    <row r="8" spans="1:16" ht="13.15" x14ac:dyDescent="0.4">
      <c r="A8">
        <v>26</v>
      </c>
      <c r="B8" s="34">
        <f>'6 - B1'!$L34</f>
        <v>38.76929475</v>
      </c>
      <c r="C8" s="34">
        <f>'6 - B2'!$L34</f>
        <v>41.096892499999996</v>
      </c>
      <c r="D8" s="34">
        <f>'6 - B3'!$L34</f>
        <v>38.76929475</v>
      </c>
      <c r="E8" s="88">
        <f t="shared" si="0"/>
        <v>39.545160666666668</v>
      </c>
      <c r="F8" s="22">
        <f>'Clause 6'!D23</f>
        <v>8147.5115444640205</v>
      </c>
      <c r="G8">
        <f>'6 - B1'!$M34+'6 - B2'!$M34+'6 - B3'!$M34</f>
        <v>12</v>
      </c>
      <c r="H8" s="34">
        <f>STDEVP('6 - B1'!$B34:F34,'6 - B2'!B34:F34,'6 - B3'!B34:F34)/SQRT(G8)</f>
        <v>0.77430059674893392</v>
      </c>
      <c r="K8" s="85">
        <v>8</v>
      </c>
      <c r="L8" s="86">
        <v>2184.8000000000002</v>
      </c>
      <c r="M8" s="87">
        <f t="shared" si="1"/>
        <v>707.64505052761126</v>
      </c>
    </row>
    <row r="9" spans="1:16" ht="13.15" x14ac:dyDescent="0.4">
      <c r="A9">
        <v>25</v>
      </c>
      <c r="B9" s="34">
        <f>'6 - B1'!$L33</f>
        <v>54.635450500000005</v>
      </c>
      <c r="C9" s="34">
        <f>'6 - B2'!$L33</f>
        <v>55.809706500000004</v>
      </c>
      <c r="D9" s="34">
        <f>'6 - B3'!$L33</f>
        <v>54.635450500000005</v>
      </c>
      <c r="E9" s="88">
        <f t="shared" si="0"/>
        <v>55.026869166666671</v>
      </c>
      <c r="F9" s="22">
        <f>'Clause 6'!D24</f>
        <v>6882.5794742883709</v>
      </c>
      <c r="G9">
        <f>'6 - B1'!$M33+'6 - B2'!$M33+'6 - B3'!$M33</f>
        <v>12</v>
      </c>
      <c r="H9" s="34">
        <f>STDEVP('6 - B1'!$B33:F33,'6 - B2'!B33:F33,'6 - B3'!B33:F33)/SQRT(G9)</f>
        <v>0.71682497015342284</v>
      </c>
      <c r="K9" s="85">
        <v>9</v>
      </c>
      <c r="L9" s="86">
        <v>1501.7</v>
      </c>
      <c r="M9" s="87">
        <f t="shared" si="1"/>
        <v>922.37382450508824</v>
      </c>
    </row>
    <row r="10" spans="1:16" ht="13.15" x14ac:dyDescent="0.4">
      <c r="A10">
        <v>24</v>
      </c>
      <c r="B10" s="34">
        <f>'6 - B1'!$L32</f>
        <v>76.196878249999997</v>
      </c>
      <c r="C10" s="34">
        <f>'6 - B2'!$L32</f>
        <v>75.83814224999999</v>
      </c>
      <c r="D10" s="34">
        <f>'6 - B3'!$L32</f>
        <v>76.196878249999997</v>
      </c>
      <c r="E10" s="88">
        <f t="shared" si="0"/>
        <v>76.077299583333328</v>
      </c>
      <c r="F10" s="22">
        <f>'Clause 6'!D25</f>
        <v>5814.0329057995577</v>
      </c>
      <c r="G10">
        <f>'6 - B1'!$M32+'6 - B2'!$M32+'6 - B3'!$M32</f>
        <v>12</v>
      </c>
      <c r="H10" s="34">
        <f>STDEVP('6 - B1'!$B32:F32,'6 - B2'!B32:F32,'6 - B3'!B32:F32)/SQRT(G10)</f>
        <v>0.9089569506383286</v>
      </c>
      <c r="K10" s="85">
        <v>10</v>
      </c>
      <c r="L10" s="86">
        <v>1069.5</v>
      </c>
      <c r="M10" s="87">
        <f t="shared" ref="M10:M30" si="2">CubicSpline(L10,$E$4:$E$33,$F$4:$F$33)</f>
        <v>1149.0188014778182</v>
      </c>
    </row>
    <row r="11" spans="1:16" ht="13.15" x14ac:dyDescent="0.4">
      <c r="A11">
        <v>23</v>
      </c>
      <c r="B11" s="34">
        <f>'6 - B1'!$L31</f>
        <v>102.32396700000001</v>
      </c>
      <c r="C11" s="34">
        <f>'6 - B2'!$L31</f>
        <v>101.97337499999999</v>
      </c>
      <c r="D11" s="34">
        <f>'6 - B3'!$L31</f>
        <v>102.32396700000001</v>
      </c>
      <c r="E11" s="88">
        <f t="shared" si="0"/>
        <v>102.207103</v>
      </c>
      <c r="F11" s="22">
        <f>'Clause 6'!D26</f>
        <v>4911.3822449852833</v>
      </c>
      <c r="G11">
        <f>'6 - B1'!$M31+'6 - B2'!$M31+'6 - B3'!$M31</f>
        <v>12</v>
      </c>
      <c r="H11" s="34">
        <f>STDEVP('6 - B1'!$B31:F31,'6 - B2'!B31:F31,'6 - B3'!B31:F31)/SQRT(G11)</f>
        <v>0.89359540232032719</v>
      </c>
      <c r="K11" s="85">
        <v>11</v>
      </c>
      <c r="L11" s="86">
        <v>779</v>
      </c>
      <c r="M11" s="87">
        <f t="shared" si="2"/>
        <v>1397.2475496872164</v>
      </c>
    </row>
    <row r="12" spans="1:16" ht="13.15" x14ac:dyDescent="0.4">
      <c r="A12">
        <v>22</v>
      </c>
      <c r="B12" s="34">
        <f>'6 - B1'!$L30</f>
        <v>136.80334474999998</v>
      </c>
      <c r="C12" s="34">
        <f>'6 - B2'!$L30</f>
        <v>136.42886725</v>
      </c>
      <c r="D12" s="34">
        <f>'6 - B3'!$L30</f>
        <v>136.80334474999998</v>
      </c>
      <c r="E12" s="88">
        <f t="shared" si="0"/>
        <v>136.67851891666666</v>
      </c>
      <c r="F12" s="22">
        <f>'Clause 6'!D27</f>
        <v>4148.8715229483923</v>
      </c>
      <c r="G12">
        <f>'6 - B1'!$M30+'6 - B2'!$M30+'6 - B3'!$M30</f>
        <v>12</v>
      </c>
      <c r="H12" s="34">
        <f>STDEVP('6 - B1'!$B30:F30,'6 - B2'!B30:F30,'6 - B3'!B30:F30)/SQRT(G12)</f>
        <v>1.059098186358115</v>
      </c>
      <c r="K12" s="85">
        <v>12</v>
      </c>
      <c r="L12" s="86">
        <v>583.4</v>
      </c>
      <c r="M12" s="87">
        <f t="shared" si="2"/>
        <v>1669.1157216595279</v>
      </c>
    </row>
    <row r="13" spans="1:16" ht="13.15" x14ac:dyDescent="0.4">
      <c r="A13">
        <v>21</v>
      </c>
      <c r="B13" s="34">
        <f>'6 - B1'!$L29</f>
        <v>180.35828399999997</v>
      </c>
      <c r="C13" s="34">
        <f>'6 - B2'!$L29</f>
        <v>179.12113549999998</v>
      </c>
      <c r="D13" s="34">
        <f>'6 - B3'!$L29</f>
        <v>180.35828399999997</v>
      </c>
      <c r="E13" s="88">
        <f t="shared" si="0"/>
        <v>179.94590116666663</v>
      </c>
      <c r="F13" s="22">
        <f>'Clause 6'!D28</f>
        <v>3504.7434826534645</v>
      </c>
      <c r="G13">
        <f>'6 - B1'!$M29+'6 - B2'!$M29+'6 - B3'!$M29</f>
        <v>12</v>
      </c>
      <c r="H13" s="34">
        <f>STDEVP('6 - B1'!$B29:F29,'6 - B2'!B29:F29,'6 - B3'!B29:F29)/SQRT(G13)</f>
        <v>1.237519909831156</v>
      </c>
      <c r="K13" s="85">
        <v>13</v>
      </c>
      <c r="L13" s="86">
        <v>453.2</v>
      </c>
      <c r="M13" s="87">
        <f t="shared" si="2"/>
        <v>1950.6134516065745</v>
      </c>
    </row>
    <row r="14" spans="1:16" ht="13.15" x14ac:dyDescent="0.4">
      <c r="A14">
        <v>20</v>
      </c>
      <c r="B14" s="34">
        <f>'6 - B1'!$L28</f>
        <v>236.01634200000001</v>
      </c>
      <c r="C14" s="34">
        <f>'6 - B2'!$L28</f>
        <v>234.23572125000001</v>
      </c>
      <c r="D14" s="34">
        <f>'6 - B3'!$L28</f>
        <v>236.01634200000001</v>
      </c>
      <c r="E14" s="88">
        <f t="shared" si="0"/>
        <v>235.42280174999999</v>
      </c>
      <c r="F14" s="22">
        <f>'Clause 6'!D29</f>
        <v>2960.618763743465</v>
      </c>
      <c r="G14">
        <f>'6 - B1'!$M28+'6 - B2'!$M28+'6 - B3'!$M28</f>
        <v>12</v>
      </c>
      <c r="H14" s="34">
        <f>STDEVP('6 - B1'!$B28:F28,'6 - B2'!B28:F28,'6 - B3'!B28:F28)/SQRT(G14)</f>
        <v>1.2658178532565434</v>
      </c>
      <c r="K14" s="85">
        <v>14</v>
      </c>
      <c r="L14" s="86">
        <v>364.1</v>
      </c>
      <c r="M14" s="87">
        <f t="shared" si="2"/>
        <v>2239.9828153139438</v>
      </c>
    </row>
    <row r="15" spans="1:16" ht="13.15" x14ac:dyDescent="0.4">
      <c r="A15">
        <v>19</v>
      </c>
      <c r="B15" s="34">
        <f>'6 - B1'!$L27</f>
        <v>309.30166625000004</v>
      </c>
      <c r="C15" s="34">
        <f>'6 - B2'!$L27</f>
        <v>303.4369815</v>
      </c>
      <c r="D15" s="34">
        <f>'6 - B3'!$L27</f>
        <v>309.30166625000004</v>
      </c>
      <c r="E15" s="88">
        <f t="shared" si="0"/>
        <v>307.34677133333338</v>
      </c>
      <c r="F15" s="22">
        <f>'Clause 6'!D30</f>
        <v>2500.9714712683176</v>
      </c>
      <c r="G15">
        <f>'6 - B1'!$M27+'6 - B2'!$M27+'6 - B3'!$M27</f>
        <v>12</v>
      </c>
      <c r="H15" s="34">
        <f>STDEVP('6 - B1'!$B27:F27,'6 - B2'!B27:F27,'6 - B3'!B27:F27)/SQRT(G15)</f>
        <v>1.8000152206275439</v>
      </c>
      <c r="K15" s="85">
        <v>15</v>
      </c>
      <c r="L15" s="86">
        <v>296.89999999999998</v>
      </c>
      <c r="M15" s="87">
        <f t="shared" si="2"/>
        <v>2556.132795127513</v>
      </c>
    </row>
    <row r="16" spans="1:16" ht="13.15" x14ac:dyDescent="0.4">
      <c r="A16">
        <v>18</v>
      </c>
      <c r="B16" s="34">
        <f>'6 - B1'!$L26</f>
        <v>402.05026249999997</v>
      </c>
      <c r="C16" s="34">
        <f>'6 - B2'!$L26</f>
        <v>392.48738099999997</v>
      </c>
      <c r="D16" s="34">
        <f>'6 - B3'!$L26</f>
        <v>402.05026249999997</v>
      </c>
      <c r="E16" s="88">
        <f t="shared" si="0"/>
        <v>398.86263533333334</v>
      </c>
      <c r="F16" s="22">
        <f>'Clause 6'!D31</f>
        <v>2112.6861643574962</v>
      </c>
      <c r="G16">
        <f>'6 - B1'!$M26+'6 - B2'!$M26+'6 - B3'!$M26</f>
        <v>12</v>
      </c>
      <c r="H16" s="34">
        <f>STDEVP('6 - B1'!$B26:F26,'6 - B2'!B26:F26,'6 - B3'!B26:F26)/SQRT(G16)</f>
        <v>2.0277260562108577</v>
      </c>
      <c r="K16" s="85">
        <v>16</v>
      </c>
      <c r="L16" s="86">
        <v>246.4</v>
      </c>
      <c r="M16" s="87">
        <f t="shared" si="2"/>
        <v>2878.0068145959649</v>
      </c>
    </row>
    <row r="17" spans="1:13" ht="13.15" x14ac:dyDescent="0.4">
      <c r="A17">
        <v>17</v>
      </c>
      <c r="B17" s="34">
        <f>'6 - B1'!$L25</f>
        <v>527.08180250000009</v>
      </c>
      <c r="C17" s="34">
        <f>'6 - B2'!$L25</f>
        <v>514.70681024999999</v>
      </c>
      <c r="D17" s="34">
        <f>'6 - B3'!$L25</f>
        <v>527.08180250000009</v>
      </c>
      <c r="E17" s="88">
        <f t="shared" si="0"/>
        <v>522.95680508333339</v>
      </c>
      <c r="F17" s="22">
        <f>'Clause 6'!D32</f>
        <v>1784.683624081503</v>
      </c>
      <c r="G17">
        <f>'6 - B1'!$M25+'6 - B2'!$M25+'6 - B3'!$M25</f>
        <v>12</v>
      </c>
      <c r="H17" s="34">
        <f>STDEVP('6 - B1'!$B25:F25,'6 - B2'!B25:F25,'6 - B3'!B25:F25)/SQRT(G17)</f>
        <v>2.6376661273014497</v>
      </c>
      <c r="K17" s="85">
        <v>17</v>
      </c>
      <c r="L17" s="86">
        <v>208.5</v>
      </c>
      <c r="M17" s="87">
        <f t="shared" si="2"/>
        <v>3196.3575481192852</v>
      </c>
    </row>
    <row r="18" spans="1:13" ht="13.15" x14ac:dyDescent="0.4">
      <c r="A18">
        <v>16</v>
      </c>
      <c r="B18" s="34">
        <f>'6 - B1'!$L24</f>
        <v>693.08224474999997</v>
      </c>
      <c r="C18" s="34">
        <f>'6 - B2'!$L24</f>
        <v>678.39845300000002</v>
      </c>
      <c r="D18" s="34">
        <f>'6 - B3'!$L24</f>
        <v>693.08224474999997</v>
      </c>
      <c r="E18" s="88">
        <f t="shared" si="0"/>
        <v>688.18764749999991</v>
      </c>
      <c r="F18" s="22">
        <f>'Clause 6'!D33</f>
        <v>1507.6047222722875</v>
      </c>
      <c r="G18">
        <f>'6 - B1'!$M24+'6 - B2'!$M24+'6 - B3'!$M24</f>
        <v>12</v>
      </c>
      <c r="H18" s="34">
        <f>STDEVP('6 - B1'!$B24:F24,'6 - B2'!B24:F24,'6 - B3'!B24:F24)/SQRT(G18)</f>
        <v>3.3223148491510988</v>
      </c>
      <c r="K18" s="85">
        <v>18</v>
      </c>
      <c r="L18" s="86">
        <v>178.7</v>
      </c>
      <c r="M18" s="87">
        <f t="shared" si="2"/>
        <v>3519.5918428724417</v>
      </c>
    </row>
    <row r="19" spans="1:13" ht="13.15" x14ac:dyDescent="0.4">
      <c r="A19">
        <v>15</v>
      </c>
      <c r="B19" s="34">
        <f>'6 - B1'!$L23</f>
        <v>911.33639549999998</v>
      </c>
      <c r="C19" s="34">
        <f>'6 - B2'!$L23</f>
        <v>892.07778925000002</v>
      </c>
      <c r="D19" s="34">
        <f>'6 - B3'!$L23</f>
        <v>911.33639549999998</v>
      </c>
      <c r="E19" s="88">
        <f t="shared" si="0"/>
        <v>904.91686008333329</v>
      </c>
      <c r="F19" s="22">
        <f>'Clause 6'!D34</f>
        <v>1273.5433709083575</v>
      </c>
      <c r="G19">
        <f>'6 - B1'!$M23+'6 - B2'!$M23+'6 - B3'!$M23</f>
        <v>12</v>
      </c>
      <c r="H19" s="34">
        <f>STDEVP('6 - B1'!$B23:F23,'6 - B2'!B23:F23,'6 - B3'!B23:F23)/SQRT(G19)</f>
        <v>4.2926000411520047</v>
      </c>
      <c r="K19" s="85">
        <v>19</v>
      </c>
      <c r="L19" s="86">
        <v>153.30000000000001</v>
      </c>
      <c r="M19" s="87">
        <f t="shared" si="2"/>
        <v>3871.0429482522518</v>
      </c>
    </row>
    <row r="20" spans="1:13" ht="13.15" x14ac:dyDescent="0.4">
      <c r="A20">
        <v>14</v>
      </c>
      <c r="B20" s="34">
        <f>'6 - B1'!$L22</f>
        <v>1199.0341799999999</v>
      </c>
      <c r="C20" s="34">
        <f>'6 - B2'!$L22</f>
        <v>1165.37252825</v>
      </c>
      <c r="D20" s="34">
        <f>'6 - B3'!$L22</f>
        <v>1199.0341799999999</v>
      </c>
      <c r="E20" s="88">
        <f t="shared" si="0"/>
        <v>1187.8136294166663</v>
      </c>
      <c r="F20" s="22">
        <f>'Clause 6'!D35</f>
        <v>1075.8209321207535</v>
      </c>
      <c r="G20">
        <f>'6 - B1'!$M22+'6 - B2'!$M22+'6 - B3'!$M22</f>
        <v>12</v>
      </c>
      <c r="H20" s="34">
        <f>STDEVP('6 - B1'!$B22:F22,'6 - B2'!B22:F22,'6 - B3'!B22:F22)/SQRT(G20)</f>
        <v>6.0044584345479528</v>
      </c>
      <c r="K20" s="85">
        <v>20</v>
      </c>
      <c r="L20" s="86">
        <v>130.4</v>
      </c>
      <c r="M20" s="87">
        <f t="shared" si="2"/>
        <v>4265.0601148202404</v>
      </c>
    </row>
    <row r="21" spans="1:13" ht="13.15" x14ac:dyDescent="0.4">
      <c r="A21">
        <v>13</v>
      </c>
      <c r="B21" s="34">
        <f>'6 - B1'!$L21</f>
        <v>1548.8378600000001</v>
      </c>
      <c r="C21" s="34">
        <f>'6 - B2'!$L21</f>
        <v>1508.65667725</v>
      </c>
      <c r="D21" s="34">
        <f>'6 - B3'!$L21</f>
        <v>1548.8378600000001</v>
      </c>
      <c r="E21" s="88">
        <f t="shared" si="0"/>
        <v>1535.4441324166667</v>
      </c>
      <c r="F21" s="22">
        <f>'Clause 6'!D36</f>
        <v>908.79565190124276</v>
      </c>
      <c r="G21">
        <f>'6 - B1'!$M21+'6 - B2'!$M21+'6 - B3'!$M21</f>
        <v>12</v>
      </c>
      <c r="H21" s="34">
        <f>STDEVP('6 - B1'!$B21:F21,'6 - B2'!B21:F21,'6 - B3'!B21:F21)/SQRT(G21)</f>
        <v>7.2258692160213842</v>
      </c>
      <c r="K21" s="85">
        <v>21</v>
      </c>
      <c r="L21" s="86">
        <v>109.4</v>
      </c>
      <c r="M21" s="87">
        <f t="shared" si="2"/>
        <v>4725.2930984415534</v>
      </c>
    </row>
    <row r="22" spans="1:13" ht="13.15" x14ac:dyDescent="0.4">
      <c r="A22">
        <v>12</v>
      </c>
      <c r="B22" s="34">
        <f>'6 - B1'!$L20</f>
        <v>1971.7508240000002</v>
      </c>
      <c r="C22" s="34">
        <f>'6 - B2'!$L20</f>
        <v>1929.05859375</v>
      </c>
      <c r="D22" s="34">
        <f>'6 - B3'!$L20</f>
        <v>1971.7508240000002</v>
      </c>
      <c r="E22" s="88">
        <f t="shared" si="0"/>
        <v>1957.5200805833335</v>
      </c>
      <c r="F22" s="22">
        <f>'Clause 6'!D37</f>
        <v>767.70167995011843</v>
      </c>
      <c r="G22">
        <f>'6 - B1'!$M20+'6 - B2'!$M20+'6 - B3'!$M20</f>
        <v>12</v>
      </c>
      <c r="H22" s="34">
        <f>STDEVP('6 - B1'!$B20:F20,'6 - B2'!B20:F20,'6 - B3'!B20:F20)/SQRT(G22)</f>
        <v>8.8021869089079825</v>
      </c>
      <c r="K22" s="85">
        <v>22</v>
      </c>
      <c r="L22" s="86">
        <v>91.3</v>
      </c>
      <c r="M22" s="87">
        <f t="shared" si="2"/>
        <v>5242.708772147932</v>
      </c>
    </row>
    <row r="23" spans="1:13" ht="13.15" x14ac:dyDescent="0.4">
      <c r="A23">
        <v>11</v>
      </c>
      <c r="B23" s="34">
        <f>'6 - B1'!$L19</f>
        <v>2459.1812742499997</v>
      </c>
      <c r="C23" s="34">
        <f>'6 - B2'!$L19</f>
        <v>2416.0155639999998</v>
      </c>
      <c r="D23" s="34">
        <f>'6 - B3'!$L19</f>
        <v>2459.1812742499997</v>
      </c>
      <c r="E23" s="88">
        <f t="shared" si="0"/>
        <v>2444.7927041666667</v>
      </c>
      <c r="F23" s="22">
        <f>'Clause 6'!D38</f>
        <v>648.51308230321445</v>
      </c>
      <c r="G23">
        <f>'6 - B1'!$M19+'6 - B2'!$M19+'6 - B3'!$M19</f>
        <v>12</v>
      </c>
      <c r="H23" s="34">
        <f>STDEVP('6 - B1'!$B19:F19,'6 - B2'!B19:F19,'6 - B3'!B19:F19)/SQRT(G23)</f>
        <v>10.891563339706957</v>
      </c>
      <c r="K23" s="85">
        <v>23</v>
      </c>
      <c r="L23" s="86">
        <v>76.099999999999994</v>
      </c>
      <c r="M23" s="87">
        <f t="shared" si="2"/>
        <v>5813.0997620671624</v>
      </c>
    </row>
    <row r="24" spans="1:13" ht="13.15" x14ac:dyDescent="0.4">
      <c r="A24">
        <v>10</v>
      </c>
      <c r="B24" s="34">
        <f>'6 - B1'!$L18</f>
        <v>3011.4912717500001</v>
      </c>
      <c r="C24" s="34">
        <f>'6 - B2'!$L18</f>
        <v>2966.3310547499996</v>
      </c>
      <c r="D24" s="34">
        <f>'6 - B3'!$L18</f>
        <v>3011.4912717500001</v>
      </c>
      <c r="E24" s="88">
        <f t="shared" si="0"/>
        <v>2996.4378660833331</v>
      </c>
      <c r="F24" s="22">
        <f>'Clause 6'!D39</f>
        <v>547.82896651436579</v>
      </c>
      <c r="G24">
        <f>'6 - B1'!$M18+'6 - B2'!$M18+'6 - B3'!$M18</f>
        <v>12</v>
      </c>
      <c r="H24" s="34">
        <f>STDEVP('6 - B1'!$B18:F18,'6 - B2'!B18:F18,'6 - B3'!B18:F18)/SQRT(G24)</f>
        <v>14.079200927598933</v>
      </c>
      <c r="K24" s="85">
        <v>24</v>
      </c>
      <c r="L24" s="86">
        <v>63.1</v>
      </c>
      <c r="M24" s="87">
        <f t="shared" si="2"/>
        <v>6417.9765494833719</v>
      </c>
    </row>
    <row r="25" spans="1:13" ht="13.15" x14ac:dyDescent="0.4">
      <c r="A25">
        <v>9</v>
      </c>
      <c r="B25" s="34">
        <f>'6 - B1'!$L17</f>
        <v>3628.7639770000001</v>
      </c>
      <c r="C25" s="34">
        <f>'6 - B2'!$L17</f>
        <v>3579.3074342499999</v>
      </c>
      <c r="D25" s="34">
        <f>'6 - B3'!$L17</f>
        <v>3628.7639770000001</v>
      </c>
      <c r="E25" s="88">
        <f t="shared" si="0"/>
        <v>3612.27846275</v>
      </c>
      <c r="F25" s="22">
        <f>'Clause 6'!D40</f>
        <v>462.77644158900353</v>
      </c>
      <c r="G25">
        <f>'6 - B1'!$M17+'6 - B2'!$M17+'6 - B3'!$M17</f>
        <v>12</v>
      </c>
      <c r="H25" s="34">
        <f>STDEVP('6 - B1'!$B17:F17,'6 - B2'!B17:F17,'6 - B3'!B17:F17)/SQRT(G25)</f>
        <v>15.782752435633689</v>
      </c>
      <c r="K25" s="85">
        <v>25</v>
      </c>
      <c r="L25" s="86">
        <v>52.1</v>
      </c>
      <c r="M25" s="87">
        <f t="shared" si="2"/>
        <v>7077.1764116827526</v>
      </c>
    </row>
    <row r="26" spans="1:13" ht="13.15" x14ac:dyDescent="0.4">
      <c r="A26">
        <v>8</v>
      </c>
      <c r="B26" s="34">
        <f>'6 - B1'!$L16</f>
        <v>4319.0444337500003</v>
      </c>
      <c r="C26" s="34">
        <f>'6 - B2'!$L16</f>
        <v>4252.7789307499997</v>
      </c>
      <c r="D26" s="34">
        <f>'6 - B3'!$L16</f>
        <v>4319.0444337500003</v>
      </c>
      <c r="E26" s="88">
        <f t="shared" si="0"/>
        <v>4296.9559327500001</v>
      </c>
      <c r="F26" s="22">
        <f>'Clause 6'!D41</f>
        <v>390.92864375612453</v>
      </c>
      <c r="G26">
        <f>'6 - B1'!$M16+'6 - B2'!$M16+'6 - B3'!$M16</f>
        <v>12</v>
      </c>
      <c r="H26" s="34">
        <f>STDEVP('6 - B1'!$B16:F16,'6 - B2'!B16:F16,'6 - B3'!B16:F16)/SQRT(G26)</f>
        <v>19.088876937205978</v>
      </c>
      <c r="K26" s="85">
        <v>26</v>
      </c>
      <c r="L26" s="86">
        <v>43</v>
      </c>
      <c r="M26" s="87">
        <f t="shared" si="2"/>
        <v>7817.5343097150908</v>
      </c>
    </row>
    <row r="27" spans="1:13" ht="13.15" x14ac:dyDescent="0.4">
      <c r="A27">
        <v>7</v>
      </c>
      <c r="B27" s="34">
        <f>'6 - B1'!$L15</f>
        <v>5080.8784177500002</v>
      </c>
      <c r="C27" s="34">
        <f>'6 - B2'!$L15</f>
        <v>5000.7104492500002</v>
      </c>
      <c r="D27" s="34">
        <f>'6 - B3'!$L15</f>
        <v>5080.8784177500002</v>
      </c>
      <c r="E27" s="88">
        <f t="shared" si="0"/>
        <v>5054.1557615833335</v>
      </c>
      <c r="F27" s="22">
        <f>'Clause 6'!D42</f>
        <v>330.2354890500855</v>
      </c>
      <c r="G27">
        <f>'6 - B1'!$M15+'6 - B2'!$M15+'6 - B3'!$M15</f>
        <v>12</v>
      </c>
      <c r="H27" s="34">
        <f>STDEVP('6 - B1'!$B15:F15,'6 - B2'!B15:F15,'6 - B3'!B15:F15)/SQRT(G27)</f>
        <v>22.652711527559042</v>
      </c>
      <c r="K27" s="85">
        <v>27</v>
      </c>
      <c r="L27" s="86">
        <v>35.700000000000003</v>
      </c>
      <c r="M27" s="87">
        <f t="shared" si="2"/>
        <v>8560.6816080834633</v>
      </c>
    </row>
    <row r="28" spans="1:13" ht="13.15" x14ac:dyDescent="0.4">
      <c r="A28">
        <v>6</v>
      </c>
      <c r="B28" s="34">
        <f>'6 - B1'!$L14</f>
        <v>5915.4112547500008</v>
      </c>
      <c r="C28" s="34">
        <f>'6 - B2'!$L14</f>
        <v>5817.6806639999995</v>
      </c>
      <c r="D28" s="34">
        <f>'6 - B3'!$L14</f>
        <v>5915.4112547500008</v>
      </c>
      <c r="E28" s="88">
        <f t="shared" si="0"/>
        <v>5882.834391166667</v>
      </c>
      <c r="F28" s="22">
        <f>'Clause 6'!D43</f>
        <v>278.96517681672339</v>
      </c>
      <c r="G28">
        <f>'6 - B1'!$M14+'6 - B2'!$M14+'6 - B3'!$M14</f>
        <v>12</v>
      </c>
      <c r="H28" s="34">
        <f>STDEVP('6 - B1'!$B14:F14,'6 - B2'!B14:F14,'6 - B3'!B14:F14)/SQRT(G28)</f>
        <v>27.220628691723675</v>
      </c>
      <c r="K28" s="85">
        <v>28</v>
      </c>
      <c r="L28" s="86">
        <v>29.8</v>
      </c>
      <c r="M28" s="87">
        <f t="shared" si="2"/>
        <v>9325.2376046317513</v>
      </c>
    </row>
    <row r="29" spans="1:13" ht="13.15" x14ac:dyDescent="0.4">
      <c r="A29">
        <v>5</v>
      </c>
      <c r="B29" s="34">
        <f>'6 - B1'!$L13</f>
        <v>6835.8110352500007</v>
      </c>
      <c r="C29" s="34">
        <f>'6 - B2'!$L13</f>
        <v>6712.9554444999994</v>
      </c>
      <c r="D29" s="34">
        <f>'6 - B3'!$L13</f>
        <v>6835.8110352500007</v>
      </c>
      <c r="E29" s="88">
        <f t="shared" si="0"/>
        <v>6794.859171666667</v>
      </c>
      <c r="F29" s="22">
        <f>'Clause 6'!D44</f>
        <v>235.6547750220233</v>
      </c>
      <c r="G29">
        <f>'6 - B1'!$M13+'6 - B2'!$M13+'6 - B3'!$M13</f>
        <v>12</v>
      </c>
      <c r="H29" s="34">
        <f>STDEVP('6 - B1'!$B13:F13,'6 - B2'!B13:F13,'6 - B3'!B13:F13)/SQRT(G29)</f>
        <v>33.607428810096955</v>
      </c>
      <c r="K29" s="85">
        <v>29</v>
      </c>
      <c r="L29" s="86">
        <v>25.2</v>
      </c>
      <c r="M29" s="87">
        <f t="shared" si="2"/>
        <v>10044.426790547675</v>
      </c>
    </row>
    <row r="30" spans="1:13" ht="13.15" x14ac:dyDescent="0.4">
      <c r="A30">
        <v>4</v>
      </c>
      <c r="B30" s="34">
        <f>'6 - B1'!$L12</f>
        <v>7884.96984875</v>
      </c>
      <c r="C30" s="34">
        <f>'6 - B2'!$L12</f>
        <v>7728.59179675</v>
      </c>
      <c r="D30" s="34">
        <f>'6 - B3'!$L12</f>
        <v>7884.96984875</v>
      </c>
      <c r="E30" s="88">
        <f t="shared" si="0"/>
        <v>7832.8438314166669</v>
      </c>
      <c r="F30" s="22">
        <f>'Clause 6'!D45</f>
        <v>199.06847737904226</v>
      </c>
      <c r="G30">
        <f>'6 - B1'!$M12+'6 - B2'!$M12+'6 - B3'!$M12</f>
        <v>12</v>
      </c>
      <c r="H30" s="34">
        <f>STDEVP('6 - B1'!$B12:F12,'6 - B2'!B12:F12,'6 - B3'!B12:F12)/SQRT(G30)</f>
        <v>42.071929767165024</v>
      </c>
      <c r="K30" s="85">
        <v>30</v>
      </c>
      <c r="L30" s="86">
        <v>21.1</v>
      </c>
      <c r="M30" s="87">
        <f t="shared" si="2"/>
        <v>10847.201434462648</v>
      </c>
    </row>
    <row r="31" spans="1:13" x14ac:dyDescent="0.35">
      <c r="A31">
        <v>3</v>
      </c>
      <c r="B31" s="34">
        <f>'6 - B1'!$L11</f>
        <v>9047.3269042499996</v>
      </c>
      <c r="C31" s="34">
        <f>'6 - B2'!$L11</f>
        <v>8876.778808250001</v>
      </c>
      <c r="D31" s="34">
        <f>'6 - B3'!$L11</f>
        <v>9047.3269042499996</v>
      </c>
      <c r="E31" s="88">
        <f t="shared" si="0"/>
        <v>8990.4775389166662</v>
      </c>
      <c r="F31" s="22">
        <f>'Clause 6'!D46</f>
        <v>168.16234121420527</v>
      </c>
      <c r="G31">
        <f>'6 - B1'!$M11+'6 - B2'!$M11+'6 - B3'!$M11</f>
        <v>12</v>
      </c>
      <c r="H31" s="34">
        <f>STDEVP('6 - B1'!$B11:F11,'6 - B2'!B11:F11,'6 - B3'!B11:F11)/SQRT(G31)</f>
        <v>48.077819058391547</v>
      </c>
    </row>
    <row r="32" spans="1:13" x14ac:dyDescent="0.35">
      <c r="A32">
        <v>2</v>
      </c>
      <c r="B32" s="34">
        <f>'6 - B1'!$L10</f>
        <v>10373.69824225</v>
      </c>
      <c r="C32" s="34">
        <f>'6 - B2'!$L10</f>
        <v>10173.55297825</v>
      </c>
      <c r="D32" s="34">
        <f>'6 - B3'!$L10</f>
        <v>10373.69824225</v>
      </c>
      <c r="E32" s="88">
        <f t="shared" si="0"/>
        <v>10306.983154250001</v>
      </c>
      <c r="F32" s="22">
        <f>'Clause 6'!D47</f>
        <v>142.05449991360581</v>
      </c>
      <c r="G32">
        <f>'6 - B1'!$M10+'6 - B2'!$M10+'6 - B3'!$M10</f>
        <v>12</v>
      </c>
      <c r="H32" s="34">
        <f>STDEVP('6 - B1'!$B10:F10,'6 - B2'!B10:F10,'6 - B3'!B10:F10)/SQRT(G32)</f>
        <v>58.201426468377825</v>
      </c>
      <c r="K32" t="s">
        <v>128</v>
      </c>
    </row>
    <row r="33" spans="1:40" x14ac:dyDescent="0.35">
      <c r="A33">
        <v>1</v>
      </c>
      <c r="B33" s="34">
        <f>'6 - B1'!$L9</f>
        <v>11922.455566000001</v>
      </c>
      <c r="C33" s="34">
        <f>'6 - B2'!$L9</f>
        <v>11674.2470705</v>
      </c>
      <c r="D33" s="34">
        <f>'6 - B3'!$L9</f>
        <v>11922.455566000001</v>
      </c>
      <c r="E33" s="88">
        <f t="shared" si="0"/>
        <v>11839.719400833332</v>
      </c>
      <c r="F33" s="22">
        <f>'Clause 6'!D48</f>
        <v>120</v>
      </c>
      <c r="G33">
        <f>'6 - B1'!$M9+'6 - B2'!$M9+'6 - B3'!$M9</f>
        <v>12</v>
      </c>
      <c r="H33" s="34">
        <f>STDEVP('6 - B1'!$B9:F9,'6 - B2'!B9:F9,'6 - B3'!B9:F9)/SQRT(G33)</f>
        <v>69.424167716435065</v>
      </c>
    </row>
    <row r="34" spans="1:40" x14ac:dyDescent="0.35">
      <c r="B34" s="34"/>
      <c r="C34" s="34"/>
      <c r="D34" s="34"/>
      <c r="E34" s="34"/>
      <c r="F34" s="34"/>
    </row>
    <row r="35" spans="1:40" x14ac:dyDescent="0.35">
      <c r="B35" s="34"/>
      <c r="C35" s="34"/>
      <c r="D35" s="34"/>
      <c r="E35" s="34"/>
      <c r="F35" s="34"/>
    </row>
    <row r="36" spans="1:40" x14ac:dyDescent="0.35">
      <c r="B36" s="34"/>
      <c r="C36" s="34"/>
      <c r="D36" s="34"/>
      <c r="E36" s="34"/>
      <c r="F36" s="34"/>
    </row>
    <row r="37" spans="1:40" x14ac:dyDescent="0.35">
      <c r="B37" s="34"/>
      <c r="C37" s="34"/>
      <c r="D37" s="34"/>
      <c r="E37" s="34"/>
      <c r="F37" s="34"/>
    </row>
    <row r="38" spans="1:40" x14ac:dyDescent="0.35">
      <c r="B38" s="34"/>
      <c r="C38" s="34"/>
      <c r="D38" s="34"/>
      <c r="E38" s="34"/>
      <c r="F38" s="34"/>
    </row>
    <row r="42" spans="1:40" x14ac:dyDescent="0.35">
      <c r="M42" s="89"/>
      <c r="N42" s="89"/>
      <c r="O42" s="89"/>
      <c r="P42" s="89"/>
      <c r="Q42" s="89"/>
      <c r="R42" s="89"/>
      <c r="S42" s="89"/>
      <c r="T42" s="89"/>
      <c r="U42" s="89"/>
      <c r="V42" s="89"/>
      <c r="W42" s="89"/>
      <c r="X42" s="89"/>
      <c r="Y42" s="89"/>
      <c r="Z42" s="89"/>
      <c r="AA42" s="89"/>
      <c r="AB42" s="89"/>
      <c r="AC42" s="89"/>
      <c r="AD42" s="89"/>
      <c r="AE42" s="89"/>
      <c r="AF42" s="89"/>
      <c r="AG42" s="89"/>
      <c r="AH42" s="89"/>
      <c r="AI42" s="89"/>
      <c r="AJ42" s="89"/>
      <c r="AK42" s="89"/>
      <c r="AL42" s="89"/>
      <c r="AM42" s="89"/>
      <c r="AN42" s="89"/>
    </row>
    <row r="45" spans="1:40" x14ac:dyDescent="0.35">
      <c r="M45" s="89"/>
    </row>
    <row r="46" spans="1:40" x14ac:dyDescent="0.35">
      <c r="M46" s="89"/>
    </row>
    <row r="47" spans="1:40" x14ac:dyDescent="0.35">
      <c r="M47" s="89"/>
    </row>
    <row r="48" spans="1:40" x14ac:dyDescent="0.35">
      <c r="M48" s="89"/>
    </row>
    <row r="49" spans="13:13" x14ac:dyDescent="0.35">
      <c r="M49" s="89"/>
    </row>
    <row r="50" spans="13:13" x14ac:dyDescent="0.35">
      <c r="M50" s="89"/>
    </row>
    <row r="51" spans="13:13" x14ac:dyDescent="0.35">
      <c r="M51" s="89"/>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46"/>
  <sheetViews>
    <sheetView zoomScale="85" zoomScaleNormal="85" workbookViewId="0"/>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20</v>
      </c>
      <c r="B1" s="10"/>
      <c r="C1" s="24"/>
      <c r="D1" s="90" t="s">
        <v>129</v>
      </c>
    </row>
    <row r="2" spans="1:17" ht="13.15" x14ac:dyDescent="0.4">
      <c r="A2" s="10" t="s">
        <v>26</v>
      </c>
      <c r="B2" s="10"/>
      <c r="C2" s="10"/>
      <c r="D2" s="10" t="s">
        <v>130</v>
      </c>
    </row>
    <row r="3" spans="1:17" ht="13.15" x14ac:dyDescent="0.4">
      <c r="A3" s="10" t="s">
        <v>10</v>
      </c>
      <c r="B3" s="10"/>
      <c r="C3" s="10"/>
      <c r="D3" s="91"/>
    </row>
    <row r="4" spans="1:17" ht="13.15" x14ac:dyDescent="0.4">
      <c r="A4" s="10" t="s">
        <v>31</v>
      </c>
      <c r="B4" s="10"/>
      <c r="C4" s="10"/>
      <c r="D4" s="10" t="s">
        <v>130</v>
      </c>
    </row>
    <row r="5" spans="1:17" ht="13.15" x14ac:dyDescent="0.4">
      <c r="A5" s="10" t="s">
        <v>29</v>
      </c>
      <c r="B5" s="10"/>
      <c r="C5" s="10"/>
      <c r="D5" s="90" t="s">
        <v>129</v>
      </c>
    </row>
    <row r="6" spans="1:17" ht="13.15" x14ac:dyDescent="0.4">
      <c r="A6" s="24" t="s">
        <v>33</v>
      </c>
      <c r="B6" s="10"/>
      <c r="C6" s="10"/>
      <c r="D6" s="92" t="s">
        <v>131</v>
      </c>
    </row>
    <row r="7" spans="1:17" ht="13.15" x14ac:dyDescent="0.4">
      <c r="A7" s="10" t="s">
        <v>18</v>
      </c>
      <c r="B7" s="10"/>
      <c r="C7" s="10"/>
      <c r="D7" s="93" t="s">
        <v>19</v>
      </c>
    </row>
    <row r="10" spans="1:17" x14ac:dyDescent="0.35">
      <c r="A10" s="94" t="s">
        <v>132</v>
      </c>
      <c r="B10" s="94"/>
      <c r="C10" s="94"/>
      <c r="D10" s="94"/>
    </row>
    <row r="11" spans="1:17" ht="13.15" x14ac:dyDescent="0.4">
      <c r="A11" s="94"/>
      <c r="B11" s="94"/>
      <c r="C11" s="94"/>
      <c r="D11" s="94"/>
      <c r="H11" s="41"/>
    </row>
    <row r="12" spans="1:17" ht="13.15" x14ac:dyDescent="0.4">
      <c r="A12" s="95">
        <v>49.4</v>
      </c>
      <c r="B12" s="96" t="s">
        <v>133</v>
      </c>
      <c r="C12" s="96" t="s">
        <v>134</v>
      </c>
      <c r="D12" s="97"/>
      <c r="F12" s="98">
        <v>39</v>
      </c>
      <c r="G12" s="96" t="s">
        <v>133</v>
      </c>
      <c r="H12" s="96" t="s">
        <v>134</v>
      </c>
      <c r="I12" s="57"/>
      <c r="J12" s="58"/>
      <c r="M12" s="95">
        <v>69.7</v>
      </c>
      <c r="N12" s="96" t="s">
        <v>133</v>
      </c>
      <c r="O12" s="96" t="s">
        <v>134</v>
      </c>
      <c r="P12" s="57"/>
      <c r="Q12" s="58"/>
    </row>
    <row r="13" spans="1:17" x14ac:dyDescent="0.35">
      <c r="A13" s="99">
        <f>(4/3)*(3.1415936)*((A12*0.000001/2)^3)</f>
        <v>6.3121832711697054E-14</v>
      </c>
      <c r="B13" s="94" t="s">
        <v>135</v>
      </c>
      <c r="C13" s="94" t="s">
        <v>136</v>
      </c>
      <c r="D13" s="100"/>
      <c r="F13" s="99">
        <f>(4/3)*(3.1415936)*((F12*0.000001/2)^3)</f>
        <v>3.1059365126399994E-14</v>
      </c>
      <c r="G13" s="94" t="s">
        <v>135</v>
      </c>
      <c r="H13" s="94" t="s">
        <v>136</v>
      </c>
      <c r="J13" s="63"/>
      <c r="M13" s="99">
        <f>(4/3)*(3.1415936)*((M12*0.000001/2)^3)</f>
        <v>1.7729524472000214E-13</v>
      </c>
      <c r="N13" s="94" t="s">
        <v>135</v>
      </c>
      <c r="O13" s="94" t="s">
        <v>136</v>
      </c>
      <c r="Q13" s="63"/>
    </row>
    <row r="14" spans="1:17" x14ac:dyDescent="0.35">
      <c r="A14" s="99">
        <f>A13*1.05*1000</f>
        <v>6.6277924347281912E-11</v>
      </c>
      <c r="B14" s="94" t="s">
        <v>137</v>
      </c>
      <c r="C14" s="94" t="s">
        <v>138</v>
      </c>
      <c r="D14" s="100"/>
      <c r="F14" s="99">
        <f>F13*1.05*1000</f>
        <v>3.2612333382719997E-11</v>
      </c>
      <c r="G14" s="94" t="s">
        <v>137</v>
      </c>
      <c r="H14" s="94" t="s">
        <v>138</v>
      </c>
      <c r="J14" s="63"/>
      <c r="M14" s="99">
        <f>M13*1.05*1000</f>
        <v>1.8616000695600225E-10</v>
      </c>
      <c r="N14" s="94" t="s">
        <v>137</v>
      </c>
      <c r="O14" s="94" t="s">
        <v>138</v>
      </c>
      <c r="Q14" s="63"/>
    </row>
    <row r="15" spans="1:17" x14ac:dyDescent="0.35">
      <c r="A15" s="99">
        <f>0.000001/A14</f>
        <v>15087.980045364991</v>
      </c>
      <c r="B15" s="94" t="s">
        <v>48</v>
      </c>
      <c r="C15" s="94" t="s">
        <v>139</v>
      </c>
      <c r="D15" s="100"/>
      <c r="F15" s="99">
        <f>0.000001/F14</f>
        <v>30663.245964787693</v>
      </c>
      <c r="G15" s="94" t="s">
        <v>48</v>
      </c>
      <c r="H15" s="94" t="s">
        <v>139</v>
      </c>
      <c r="J15" s="63"/>
      <c r="M15" s="99">
        <f>0.000001/M14</f>
        <v>5371.7230480999269</v>
      </c>
      <c r="N15" s="94" t="s">
        <v>48</v>
      </c>
      <c r="O15" s="94" t="s">
        <v>139</v>
      </c>
      <c r="Q15" s="63"/>
    </row>
    <row r="16" spans="1:17" ht="13.15" x14ac:dyDescent="0.4">
      <c r="A16" s="101">
        <v>5000</v>
      </c>
      <c r="B16" s="94"/>
      <c r="C16" s="94" t="s">
        <v>140</v>
      </c>
      <c r="D16" s="100"/>
      <c r="F16" s="101">
        <v>3000</v>
      </c>
      <c r="G16" s="94"/>
      <c r="H16" s="94" t="s">
        <v>140</v>
      </c>
      <c r="J16" s="63"/>
      <c r="M16" s="101">
        <v>2000</v>
      </c>
      <c r="N16" s="94"/>
      <c r="O16" s="94" t="s">
        <v>140</v>
      </c>
      <c r="Q16" s="63"/>
    </row>
    <row r="17" spans="1:17" x14ac:dyDescent="0.35">
      <c r="A17" s="102">
        <f>A16/A15*1000</f>
        <v>331.38962173640959</v>
      </c>
      <c r="B17" s="94" t="s">
        <v>141</v>
      </c>
      <c r="C17" s="94" t="s">
        <v>142</v>
      </c>
      <c r="D17" s="100"/>
      <c r="F17" s="102">
        <f>F16/F15*1000</f>
        <v>97.837000148159987</v>
      </c>
      <c r="G17" s="94" t="s">
        <v>141</v>
      </c>
      <c r="H17" s="94" t="s">
        <v>142</v>
      </c>
      <c r="J17" s="63"/>
      <c r="M17" s="102">
        <f>M16/M15*1000</f>
        <v>372.32001391200447</v>
      </c>
      <c r="N17" s="94" t="s">
        <v>141</v>
      </c>
      <c r="O17" s="94" t="s">
        <v>142</v>
      </c>
      <c r="Q17" s="63"/>
    </row>
    <row r="18" spans="1:17" ht="13.15" x14ac:dyDescent="0.4">
      <c r="A18" s="101">
        <v>0.20280000000000001</v>
      </c>
      <c r="B18" s="94" t="s">
        <v>143</v>
      </c>
      <c r="C18" s="94" t="s">
        <v>144</v>
      </c>
      <c r="D18" s="100"/>
      <c r="F18" s="101">
        <v>0.2</v>
      </c>
      <c r="G18" s="94" t="s">
        <v>143</v>
      </c>
      <c r="H18" s="94" t="s">
        <v>144</v>
      </c>
      <c r="J18" s="63"/>
      <c r="M18" s="101">
        <v>0.2</v>
      </c>
      <c r="N18" s="94" t="s">
        <v>143</v>
      </c>
      <c r="O18" s="94" t="s">
        <v>144</v>
      </c>
      <c r="Q18" s="63"/>
    </row>
    <row r="19" spans="1:17" x14ac:dyDescent="0.35">
      <c r="A19" s="102">
        <f>A18*A17</f>
        <v>67.205815288143867</v>
      </c>
      <c r="B19" s="94" t="s">
        <v>145</v>
      </c>
      <c r="C19" s="94" t="s">
        <v>146</v>
      </c>
      <c r="D19" s="100"/>
      <c r="F19" s="102">
        <f>F18*F17</f>
        <v>19.567400029631997</v>
      </c>
      <c r="G19" s="94" t="s">
        <v>145</v>
      </c>
      <c r="H19" s="94" t="s">
        <v>146</v>
      </c>
      <c r="J19" s="63"/>
      <c r="M19" s="102">
        <f>M18*M17</f>
        <v>74.464002782400897</v>
      </c>
      <c r="N19" s="94" t="s">
        <v>145</v>
      </c>
      <c r="O19" s="94" t="s">
        <v>146</v>
      </c>
      <c r="Q19" s="63"/>
    </row>
    <row r="20" spans="1:17" ht="13.15" x14ac:dyDescent="0.4">
      <c r="A20" s="101">
        <v>67.2</v>
      </c>
      <c r="B20" s="94" t="s">
        <v>145</v>
      </c>
      <c r="C20" s="94" t="s">
        <v>147</v>
      </c>
      <c r="D20" s="100"/>
      <c r="F20" s="101">
        <v>20.8</v>
      </c>
      <c r="G20" s="94" t="s">
        <v>145</v>
      </c>
      <c r="H20" s="94" t="s">
        <v>147</v>
      </c>
      <c r="J20" s="63"/>
      <c r="M20" s="101">
        <v>77.569999999999993</v>
      </c>
      <c r="N20" s="94" t="s">
        <v>145</v>
      </c>
      <c r="O20" s="94" t="s">
        <v>147</v>
      </c>
      <c r="Q20" s="63"/>
    </row>
    <row r="21" spans="1:17" ht="13.15" x14ac:dyDescent="0.4">
      <c r="A21" s="103">
        <f>A20/A19*A16</f>
        <v>4999.5673523102923</v>
      </c>
      <c r="B21" s="94" t="s">
        <v>148</v>
      </c>
      <c r="C21" s="94" t="s">
        <v>149</v>
      </c>
      <c r="D21" s="100"/>
      <c r="F21" s="104">
        <f>F20/F19*F16</f>
        <v>3188.9775803379202</v>
      </c>
      <c r="G21" s="94" t="s">
        <v>148</v>
      </c>
      <c r="H21" s="94" t="s">
        <v>149</v>
      </c>
      <c r="J21" s="63"/>
      <c r="M21" s="103">
        <f>M20/M19*M16</f>
        <v>2083.4227842055566</v>
      </c>
      <c r="N21" s="94" t="s">
        <v>148</v>
      </c>
      <c r="O21" s="94" t="s">
        <v>149</v>
      </c>
      <c r="Q21" s="63"/>
    </row>
    <row r="22" spans="1:17" x14ac:dyDescent="0.35">
      <c r="A22" s="62"/>
      <c r="D22" s="63"/>
      <c r="F22" s="105">
        <f>F20*F15</f>
        <v>637795.51606758405</v>
      </c>
      <c r="H22" t="s">
        <v>150</v>
      </c>
      <c r="J22" s="63"/>
      <c r="M22" s="105">
        <f>M20*M15</f>
        <v>416684.55684111128</v>
      </c>
      <c r="O22" t="s">
        <v>150</v>
      </c>
      <c r="Q22" s="63"/>
    </row>
    <row r="23" spans="1:17" x14ac:dyDescent="0.35">
      <c r="A23" s="62"/>
      <c r="D23" s="63"/>
      <c r="F23" s="105">
        <f>F21/F16*F18*1000</f>
        <v>212.59850535586136</v>
      </c>
      <c r="G23" t="s">
        <v>9</v>
      </c>
      <c r="H23" t="s">
        <v>151</v>
      </c>
      <c r="J23" s="63"/>
      <c r="M23" s="105">
        <f>M21/M16*M18*1000</f>
        <v>208.34227842055566</v>
      </c>
      <c r="N23" t="s">
        <v>9</v>
      </c>
      <c r="O23" t="s">
        <v>151</v>
      </c>
      <c r="Q23" s="63"/>
    </row>
    <row r="24" spans="1:17" x14ac:dyDescent="0.35">
      <c r="A24" s="62"/>
      <c r="D24" s="63"/>
      <c r="F24" s="105">
        <f>F23-F18*1000</f>
        <v>12.598505355861363</v>
      </c>
      <c r="G24" t="s">
        <v>9</v>
      </c>
      <c r="H24" t="s">
        <v>152</v>
      </c>
      <c r="J24" s="63"/>
      <c r="M24" s="105">
        <f>M23-M18*1000</f>
        <v>8.3422784205556582</v>
      </c>
      <c r="N24" t="s">
        <v>9</v>
      </c>
      <c r="O24" t="s">
        <v>152</v>
      </c>
      <c r="Q24" s="63"/>
    </row>
    <row r="25" spans="1:17" ht="13.15" x14ac:dyDescent="0.4">
      <c r="A25" s="62"/>
      <c r="D25" s="63"/>
      <c r="F25" s="106">
        <f>F22/(F23)</f>
        <v>3000</v>
      </c>
      <c r="H25" t="s">
        <v>36</v>
      </c>
      <c r="J25" s="63"/>
      <c r="M25" s="62">
        <f>M22/(M23)</f>
        <v>1999.9999999999998</v>
      </c>
      <c r="O25" t="s">
        <v>36</v>
      </c>
      <c r="Q25" s="63"/>
    </row>
    <row r="26" spans="1:17" x14ac:dyDescent="0.35">
      <c r="A26" s="62"/>
      <c r="D26" s="63"/>
      <c r="F26" s="62"/>
      <c r="J26" s="63"/>
      <c r="M26" s="62"/>
      <c r="Q26" s="63"/>
    </row>
    <row r="27" spans="1:17" x14ac:dyDescent="0.35">
      <c r="A27" s="62" t="s">
        <v>153</v>
      </c>
      <c r="D27" s="63"/>
      <c r="F27" s="62" t="s">
        <v>153</v>
      </c>
      <c r="J27" s="63"/>
      <c r="M27" s="62" t="s">
        <v>153</v>
      </c>
      <c r="Q27" s="63"/>
    </row>
    <row r="28" spans="1:17" x14ac:dyDescent="0.35">
      <c r="A28" s="62">
        <v>100</v>
      </c>
      <c r="B28" t="s">
        <v>9</v>
      </c>
      <c r="C28" t="s">
        <v>154</v>
      </c>
      <c r="D28" s="63"/>
      <c r="F28" s="62">
        <v>100</v>
      </c>
      <c r="G28" t="s">
        <v>9</v>
      </c>
      <c r="H28" t="s">
        <v>154</v>
      </c>
      <c r="J28" s="63"/>
      <c r="M28" s="62">
        <v>100</v>
      </c>
      <c r="N28" t="s">
        <v>9</v>
      </c>
      <c r="O28" t="s">
        <v>154</v>
      </c>
      <c r="Q28" s="63"/>
    </row>
    <row r="29" spans="1:17" x14ac:dyDescent="0.35">
      <c r="A29" s="62">
        <v>300</v>
      </c>
      <c r="B29" t="s">
        <v>126</v>
      </c>
      <c r="C29" t="s">
        <v>155</v>
      </c>
      <c r="D29" s="63"/>
      <c r="F29" s="62">
        <v>300</v>
      </c>
      <c r="G29" t="s">
        <v>126</v>
      </c>
      <c r="H29" t="s">
        <v>156</v>
      </c>
      <c r="J29" s="63"/>
      <c r="M29" s="62">
        <v>300</v>
      </c>
      <c r="N29" t="s">
        <v>126</v>
      </c>
      <c r="O29" t="s">
        <v>156</v>
      </c>
      <c r="Q29" s="63"/>
    </row>
    <row r="30" spans="1:17" x14ac:dyDescent="0.35">
      <c r="A30" s="62">
        <f>A28*A29</f>
        <v>30000</v>
      </c>
      <c r="B30" t="s">
        <v>157</v>
      </c>
      <c r="C30" t="s">
        <v>158</v>
      </c>
      <c r="D30" s="63"/>
      <c r="F30" s="62">
        <f>F28*F29</f>
        <v>30000</v>
      </c>
      <c r="G30" t="s">
        <v>157</v>
      </c>
      <c r="H30" t="s">
        <v>158</v>
      </c>
      <c r="J30" s="63"/>
      <c r="M30" s="62">
        <f>M28*M29</f>
        <v>30000</v>
      </c>
      <c r="N30" t="s">
        <v>157</v>
      </c>
      <c r="O30" t="s">
        <v>158</v>
      </c>
      <c r="Q30" s="63"/>
    </row>
    <row r="31" spans="1:17" x14ac:dyDescent="0.35">
      <c r="A31" s="105">
        <f>A30/A21</f>
        <v>6.0005192221557024</v>
      </c>
      <c r="B31" t="s">
        <v>9</v>
      </c>
      <c r="C31" t="s">
        <v>159</v>
      </c>
      <c r="D31" s="63"/>
      <c r="F31" s="105">
        <f>F30/F25</f>
        <v>10</v>
      </c>
      <c r="G31" t="s">
        <v>9</v>
      </c>
      <c r="H31" t="s">
        <v>159</v>
      </c>
      <c r="J31" s="63"/>
      <c r="M31" s="105">
        <f>M30/M25</f>
        <v>15.000000000000002</v>
      </c>
      <c r="N31" t="s">
        <v>9</v>
      </c>
      <c r="O31" t="s">
        <v>159</v>
      </c>
      <c r="Q31" s="63"/>
    </row>
    <row r="32" spans="1:17" x14ac:dyDescent="0.35">
      <c r="A32" s="105">
        <f>A28-A31</f>
        <v>93.999480777844298</v>
      </c>
      <c r="B32" t="s">
        <v>9</v>
      </c>
      <c r="C32" t="s">
        <v>160</v>
      </c>
      <c r="D32" s="63"/>
      <c r="F32" s="105">
        <f>F28-F31</f>
        <v>90</v>
      </c>
      <c r="G32" t="s">
        <v>9</v>
      </c>
      <c r="H32" t="s">
        <v>160</v>
      </c>
      <c r="J32" s="63"/>
      <c r="M32" s="105">
        <f>M28-M31</f>
        <v>85</v>
      </c>
      <c r="N32" t="s">
        <v>9</v>
      </c>
      <c r="O32" t="s">
        <v>160</v>
      </c>
      <c r="Q32" s="63"/>
    </row>
    <row r="33" spans="1:17" x14ac:dyDescent="0.35">
      <c r="A33" s="62"/>
      <c r="D33" s="63"/>
      <c r="F33" s="62"/>
      <c r="J33" s="63"/>
      <c r="M33" s="62"/>
      <c r="Q33" s="63"/>
    </row>
    <row r="34" spans="1:17" x14ac:dyDescent="0.35">
      <c r="A34" s="64"/>
      <c r="B34" s="65"/>
      <c r="C34" s="65"/>
      <c r="D34" s="66"/>
      <c r="F34" s="64"/>
      <c r="G34" s="65"/>
      <c r="H34" s="65"/>
      <c r="I34" s="65"/>
      <c r="J34" s="66"/>
      <c r="M34" s="64"/>
      <c r="N34" s="65"/>
      <c r="O34" s="65"/>
      <c r="P34" s="65"/>
      <c r="Q34" s="66"/>
    </row>
    <row r="37" spans="1:17" ht="13.15" x14ac:dyDescent="0.4">
      <c r="A37" s="41" t="s">
        <v>161</v>
      </c>
    </row>
    <row r="39" spans="1:17" x14ac:dyDescent="0.35">
      <c r="F39" s="45"/>
    </row>
    <row r="40" spans="1:17" ht="13.15" x14ac:dyDescent="0.4">
      <c r="A40" t="s">
        <v>162</v>
      </c>
      <c r="C40" s="41">
        <f>A12</f>
        <v>49.4</v>
      </c>
      <c r="D40" t="s">
        <v>163</v>
      </c>
      <c r="G40" s="41">
        <f>F12</f>
        <v>39</v>
      </c>
      <c r="H40" t="s">
        <v>163</v>
      </c>
      <c r="N40" s="41">
        <v>70</v>
      </c>
    </row>
    <row r="42" spans="1:17" ht="13.15" x14ac:dyDescent="0.4">
      <c r="A42" t="s">
        <v>164</v>
      </c>
      <c r="B42" s="107">
        <f>0.56*C42</f>
        <v>8736</v>
      </c>
      <c r="C42" s="108">
        <v>15600</v>
      </c>
      <c r="D42" s="109">
        <f>1.56*C42</f>
        <v>24336</v>
      </c>
      <c r="F42" s="107">
        <f>0.56*G42</f>
        <v>5600.0000000000009</v>
      </c>
      <c r="G42" s="108">
        <v>10000</v>
      </c>
      <c r="H42" s="109">
        <f>1.56*G42</f>
        <v>15600</v>
      </c>
      <c r="M42" s="107">
        <f>0.56*N42</f>
        <v>14000.000000000002</v>
      </c>
      <c r="N42" s="108">
        <v>25000</v>
      </c>
      <c r="O42" s="109">
        <f>1.56*N42</f>
        <v>39000</v>
      </c>
    </row>
    <row r="43" spans="1:17" x14ac:dyDescent="0.35">
      <c r="A43" t="s">
        <v>165</v>
      </c>
      <c r="B43" s="64">
        <v>41252</v>
      </c>
      <c r="C43" s="65">
        <v>20600</v>
      </c>
      <c r="D43" s="66">
        <v>92</v>
      </c>
      <c r="F43" s="64">
        <v>43502</v>
      </c>
      <c r="G43" s="65"/>
      <c r="H43" s="66">
        <v>134</v>
      </c>
      <c r="M43" s="64">
        <v>20135</v>
      </c>
      <c r="N43" s="65">
        <v>10070</v>
      </c>
      <c r="O43" s="66">
        <v>0</v>
      </c>
    </row>
    <row r="44" spans="1:17" x14ac:dyDescent="0.35">
      <c r="A44" t="s">
        <v>166</v>
      </c>
      <c r="B44" s="110">
        <v>13047</v>
      </c>
      <c r="C44" s="110">
        <v>13354</v>
      </c>
      <c r="D44" s="110">
        <f>D43-L43</f>
        <v>92</v>
      </c>
      <c r="F44" s="110">
        <f>F43-G43</f>
        <v>43502</v>
      </c>
      <c r="G44" s="110">
        <f>G43-H43</f>
        <v>-134</v>
      </c>
      <c r="H44" s="110">
        <f>H43-P43</f>
        <v>134</v>
      </c>
      <c r="M44" s="110">
        <f>M43-N43</f>
        <v>10065</v>
      </c>
      <c r="N44" s="110">
        <f>N43-O43</f>
        <v>10070</v>
      </c>
      <c r="O44" s="110">
        <f>O43-B43</f>
        <v>-41252</v>
      </c>
    </row>
    <row r="46" spans="1:17" ht="13.15" x14ac:dyDescent="0.4">
      <c r="A46" t="s">
        <v>167</v>
      </c>
      <c r="B46" s="111">
        <f>(1-B44/C44)</f>
        <v>2.2989366481952933E-2</v>
      </c>
      <c r="F46" s="111">
        <f>(1-F44/G44)</f>
        <v>325.64179104477614</v>
      </c>
      <c r="M46" s="111">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topLeftCell="F1" zoomScale="70" zoomScaleNormal="70" workbookViewId="0">
      <selection activeCell="G23" sqref="G23:AJ23"/>
    </sheetView>
  </sheetViews>
  <sheetFormatPr defaultColWidth="11.53125" defaultRowHeight="12.75" x14ac:dyDescent="0.35"/>
  <sheetData>
    <row r="1" spans="1:4" ht="14.25" x14ac:dyDescent="0.45">
      <c r="A1" s="112" t="s">
        <v>168</v>
      </c>
      <c r="B1" s="112"/>
      <c r="C1" s="112" t="s">
        <v>169</v>
      </c>
      <c r="D1" s="112"/>
    </row>
    <row r="2" spans="1:4" ht="92.85" customHeight="1" x14ac:dyDescent="0.45">
      <c r="A2" s="113" t="s">
        <v>170</v>
      </c>
      <c r="B2" s="113"/>
      <c r="C2" s="113" t="s">
        <v>171</v>
      </c>
      <c r="D2" s="113"/>
    </row>
    <row r="3" spans="1:4" ht="57" x14ac:dyDescent="0.45">
      <c r="A3" s="114" t="s">
        <v>172</v>
      </c>
      <c r="B3" s="115" t="s">
        <v>173</v>
      </c>
      <c r="C3" s="114" t="s">
        <v>121</v>
      </c>
      <c r="D3" s="116" t="s">
        <v>123</v>
      </c>
    </row>
    <row r="4" spans="1:4" ht="14.25" x14ac:dyDescent="0.45">
      <c r="A4" s="117" t="s">
        <v>127</v>
      </c>
      <c r="B4" s="116" t="s">
        <v>174</v>
      </c>
      <c r="C4" s="117" t="s">
        <v>127</v>
      </c>
      <c r="D4" s="116" t="s">
        <v>174</v>
      </c>
    </row>
    <row r="5" spans="1:4" ht="13.15" x14ac:dyDescent="0.4">
      <c r="A5">
        <v>4</v>
      </c>
      <c r="B5" s="22">
        <f>'6 - Thresholds'!$M4</f>
        <v>137.91718750725491</v>
      </c>
      <c r="C5" s="41">
        <v>4</v>
      </c>
      <c r="D5" s="118">
        <f t="shared" ref="D5:D30" si="0">CubicSpline(C5,$A$5:$A$34,$B$5:$B$34)</f>
        <v>137.91718750725488</v>
      </c>
    </row>
    <row r="6" spans="1:4" ht="13.15" x14ac:dyDescent="0.4">
      <c r="A6">
        <v>5</v>
      </c>
      <c r="B6" s="22">
        <f>'6 - Thresholds'!$M5</f>
        <v>231.46729281154623</v>
      </c>
      <c r="C6">
        <v>5</v>
      </c>
      <c r="D6" s="118">
        <f t="shared" si="0"/>
        <v>231.46729281154623</v>
      </c>
    </row>
    <row r="7" spans="1:4" ht="13.15" x14ac:dyDescent="0.4">
      <c r="A7">
        <v>6</v>
      </c>
      <c r="B7" s="22">
        <f>'6 - Thresholds'!$M6</f>
        <v>365.25225134404809</v>
      </c>
      <c r="C7" s="41">
        <v>6</v>
      </c>
      <c r="D7" s="118">
        <f t="shared" si="0"/>
        <v>365.25225134404798</v>
      </c>
    </row>
    <row r="8" spans="1:4" ht="13.15" x14ac:dyDescent="0.4">
      <c r="A8">
        <v>7</v>
      </c>
      <c r="B8" s="22">
        <f>'6 - Thresholds'!$M7</f>
        <v>516.7890290427116</v>
      </c>
      <c r="C8">
        <v>7</v>
      </c>
      <c r="D8" s="118">
        <f t="shared" si="0"/>
        <v>516.78902904271172</v>
      </c>
    </row>
    <row r="9" spans="1:4" ht="13.15" x14ac:dyDescent="0.4">
      <c r="A9">
        <v>8</v>
      </c>
      <c r="B9" s="22">
        <f>'6 - Thresholds'!$M8</f>
        <v>707.64505052761126</v>
      </c>
      <c r="C9">
        <v>8</v>
      </c>
      <c r="D9" s="118">
        <f t="shared" si="0"/>
        <v>707.6450505276116</v>
      </c>
    </row>
    <row r="10" spans="1:4" ht="13.15" x14ac:dyDescent="0.4">
      <c r="A10">
        <v>9</v>
      </c>
      <c r="B10" s="22">
        <f>'6 - Thresholds'!$M9</f>
        <v>922.37382450508824</v>
      </c>
      <c r="C10">
        <v>9</v>
      </c>
      <c r="D10" s="118">
        <f t="shared" si="0"/>
        <v>922.37382450508824</v>
      </c>
    </row>
    <row r="11" spans="1:4" ht="13.15" x14ac:dyDescent="0.4">
      <c r="A11">
        <v>10</v>
      </c>
      <c r="B11" s="22">
        <f>'6 - Thresholds'!$M10</f>
        <v>1149.0188014778182</v>
      </c>
      <c r="C11">
        <v>10</v>
      </c>
      <c r="D11" s="118">
        <f t="shared" si="0"/>
        <v>1149.0188014778182</v>
      </c>
    </row>
    <row r="12" spans="1:4" ht="13.15" x14ac:dyDescent="0.4">
      <c r="A12">
        <v>11</v>
      </c>
      <c r="B12" s="22">
        <f>'6 - Thresholds'!$M11</f>
        <v>1397.2475496872164</v>
      </c>
      <c r="C12">
        <v>11</v>
      </c>
      <c r="D12" s="118">
        <f t="shared" si="0"/>
        <v>1397.2475496872164</v>
      </c>
    </row>
    <row r="13" spans="1:4" ht="13.15" x14ac:dyDescent="0.4">
      <c r="A13">
        <v>12</v>
      </c>
      <c r="B13" s="22">
        <f>'6 - Thresholds'!$M12</f>
        <v>1669.1157216595279</v>
      </c>
      <c r="C13">
        <v>12</v>
      </c>
      <c r="D13" s="118">
        <f t="shared" si="0"/>
        <v>1669.1157216595275</v>
      </c>
    </row>
    <row r="14" spans="1:4" ht="13.15" x14ac:dyDescent="0.4">
      <c r="A14">
        <v>13</v>
      </c>
      <c r="B14" s="22">
        <f>'6 - Thresholds'!$M13</f>
        <v>1950.6134516065745</v>
      </c>
      <c r="C14">
        <v>13</v>
      </c>
      <c r="D14" s="118">
        <f t="shared" si="0"/>
        <v>1950.6134516065745</v>
      </c>
    </row>
    <row r="15" spans="1:4" ht="13.15" x14ac:dyDescent="0.4">
      <c r="A15">
        <v>14</v>
      </c>
      <c r="B15" s="22">
        <f>'6 - Thresholds'!$M14</f>
        <v>2239.9828153139438</v>
      </c>
      <c r="C15" s="41">
        <v>14</v>
      </c>
      <c r="D15" s="118">
        <f t="shared" si="0"/>
        <v>2239.9828153139442</v>
      </c>
    </row>
    <row r="16" spans="1:4" ht="13.15" x14ac:dyDescent="0.4">
      <c r="A16">
        <v>15</v>
      </c>
      <c r="B16" s="22">
        <f>'6 - Thresholds'!$M15</f>
        <v>2556.132795127513</v>
      </c>
      <c r="C16">
        <v>15</v>
      </c>
      <c r="D16" s="118">
        <f t="shared" si="0"/>
        <v>2556.1327951275161</v>
      </c>
    </row>
    <row r="17" spans="1:36" ht="13.15" x14ac:dyDescent="0.4">
      <c r="A17">
        <v>16</v>
      </c>
      <c r="B17" s="22">
        <f>'6 - Thresholds'!$M16</f>
        <v>2878.0068145959649</v>
      </c>
      <c r="C17">
        <v>16</v>
      </c>
      <c r="D17" s="118">
        <f t="shared" si="0"/>
        <v>2878.0068145959649</v>
      </c>
    </row>
    <row r="18" spans="1:36" ht="13.15" x14ac:dyDescent="0.4">
      <c r="A18">
        <v>17</v>
      </c>
      <c r="B18" s="22">
        <f>'6 - Thresholds'!$M17</f>
        <v>3196.3575481192852</v>
      </c>
      <c r="C18">
        <v>17</v>
      </c>
      <c r="D18" s="118">
        <f t="shared" si="0"/>
        <v>3196.357548119287</v>
      </c>
    </row>
    <row r="19" spans="1:36" ht="13.15" x14ac:dyDescent="0.4">
      <c r="A19">
        <v>18</v>
      </c>
      <c r="B19" s="22">
        <f>'6 - Thresholds'!$M18</f>
        <v>3519.5918428724417</v>
      </c>
      <c r="C19">
        <v>18</v>
      </c>
      <c r="D19" s="118">
        <f t="shared" si="0"/>
        <v>3519.5918428724431</v>
      </c>
    </row>
    <row r="20" spans="1:36" ht="13.15" x14ac:dyDescent="0.4">
      <c r="A20">
        <v>19</v>
      </c>
      <c r="B20" s="22">
        <f>'6 - Thresholds'!$M19</f>
        <v>3871.0429482522518</v>
      </c>
      <c r="C20">
        <v>19</v>
      </c>
      <c r="D20" s="118">
        <f t="shared" si="0"/>
        <v>3871.0429482522518</v>
      </c>
    </row>
    <row r="21" spans="1:36" ht="13.15" x14ac:dyDescent="0.4">
      <c r="A21">
        <v>20</v>
      </c>
      <c r="B21" s="22">
        <f>'6 - Thresholds'!$M20</f>
        <v>4265.0601148202404</v>
      </c>
      <c r="C21">
        <v>20</v>
      </c>
      <c r="D21" s="118">
        <f t="shared" si="0"/>
        <v>4265.0601148202377</v>
      </c>
      <c r="F21" t="s">
        <v>175</v>
      </c>
      <c r="G21">
        <v>4</v>
      </c>
      <c r="H21">
        <v>5</v>
      </c>
      <c r="I21">
        <v>6</v>
      </c>
      <c r="J21">
        <v>7</v>
      </c>
      <c r="K21">
        <v>8</v>
      </c>
      <c r="L21">
        <v>9</v>
      </c>
      <c r="M21">
        <v>10</v>
      </c>
      <c r="N21">
        <v>11</v>
      </c>
      <c r="O21">
        <v>12</v>
      </c>
      <c r="P21">
        <v>13</v>
      </c>
      <c r="Q21">
        <v>14</v>
      </c>
      <c r="R21">
        <v>15</v>
      </c>
      <c r="S21">
        <v>16</v>
      </c>
      <c r="T21">
        <v>17</v>
      </c>
      <c r="U21">
        <v>18</v>
      </c>
      <c r="V21">
        <v>19</v>
      </c>
      <c r="W21">
        <v>20</v>
      </c>
      <c r="X21">
        <v>21</v>
      </c>
      <c r="Y21">
        <v>22</v>
      </c>
      <c r="Z21">
        <v>23</v>
      </c>
      <c r="AA21">
        <v>24</v>
      </c>
      <c r="AB21">
        <v>25</v>
      </c>
      <c r="AC21">
        <v>26</v>
      </c>
      <c r="AD21">
        <v>27</v>
      </c>
      <c r="AE21">
        <v>28</v>
      </c>
      <c r="AF21">
        <v>29</v>
      </c>
      <c r="AG21">
        <v>30</v>
      </c>
    </row>
    <row r="22" spans="1:36" ht="13.15" x14ac:dyDescent="0.4">
      <c r="A22">
        <v>21</v>
      </c>
      <c r="B22" s="22">
        <f>'6 - Thresholds'!$M21</f>
        <v>4725.2930984415534</v>
      </c>
      <c r="C22" s="41">
        <v>21</v>
      </c>
      <c r="D22" s="118">
        <f t="shared" si="0"/>
        <v>4725.2930984415525</v>
      </c>
      <c r="G22" s="22">
        <f>'6 - Curve'!$D$5</f>
        <v>137.91718750725488</v>
      </c>
      <c r="H22" s="22">
        <f>'6 - Curve'!$D$6</f>
        <v>231.46729281154623</v>
      </c>
      <c r="I22" s="22">
        <f>'6 - Curve'!$D$7</f>
        <v>365.25225134404798</v>
      </c>
      <c r="J22" s="22">
        <f>'6 - Curve'!$D$8</f>
        <v>516.78902904271172</v>
      </c>
      <c r="K22" s="22">
        <f>'6 - Curve'!$D$9</f>
        <v>707.6450505276116</v>
      </c>
      <c r="L22" s="22">
        <f>'6 - Curve'!$D$10</f>
        <v>922.37382450508824</v>
      </c>
      <c r="M22" s="22">
        <f>'6 - Curve'!$D$11</f>
        <v>1149.0188014778182</v>
      </c>
      <c r="N22" s="22">
        <f>'6 - Curve'!$D$12</f>
        <v>1397.2475496872164</v>
      </c>
      <c r="O22" s="22">
        <f>'6 - Curve'!$D$13</f>
        <v>1669.1157216595275</v>
      </c>
      <c r="P22" s="22">
        <f>'6 - Curve'!$D$14</f>
        <v>1950.6134516065745</v>
      </c>
      <c r="Q22" s="22">
        <f>'6 - Curve'!$D$15</f>
        <v>2239.9828153139442</v>
      </c>
      <c r="R22" s="22">
        <f>'6 - Curve'!$D$16</f>
        <v>2556.1327951275161</v>
      </c>
      <c r="S22" s="22">
        <f>'6 - Curve'!$D$17</f>
        <v>2878.0068145959649</v>
      </c>
      <c r="T22" s="22">
        <f>'6 - Curve'!$D$18</f>
        <v>3196.357548119287</v>
      </c>
      <c r="U22" s="22">
        <f>'6 - Curve'!$D$19</f>
        <v>3519.5918428724431</v>
      </c>
      <c r="V22" s="22">
        <f>'6 - Curve'!$D$20</f>
        <v>3871.0429482522518</v>
      </c>
      <c r="W22" s="22">
        <f>'6 - Curve'!$D$21</f>
        <v>4265.0601148202377</v>
      </c>
      <c r="X22" s="22">
        <f>'6 - Curve'!$D$22</f>
        <v>4725.2930984415525</v>
      </c>
      <c r="Y22" s="22">
        <f>'6 - Curve'!$D$23</f>
        <v>5242.7087721479329</v>
      </c>
      <c r="Z22" s="22">
        <f>'6 - Curve'!$D$24</f>
        <v>5813.0997620671569</v>
      </c>
      <c r="AA22" s="22">
        <f>'6 - Curve'!$D$25</f>
        <v>6417.97654948337</v>
      </c>
      <c r="AB22" s="22">
        <f>'6 - Curve'!$D$26</f>
        <v>7077.1764116827653</v>
      </c>
      <c r="AC22" s="22">
        <f>'6 - Curve'!$D$27</f>
        <v>7817.5343097151417</v>
      </c>
      <c r="AD22" s="22">
        <f>'6 - Curve'!$D$28</f>
        <v>8560.6816080834651</v>
      </c>
      <c r="AE22" s="22">
        <f>'6 - Curve'!$D$29</f>
        <v>9325.2376046317877</v>
      </c>
      <c r="AF22" s="22">
        <f>'6 - Curve'!$D$30</f>
        <v>10044.426790547723</v>
      </c>
      <c r="AG22" s="22">
        <f>'6 - Curve'!$D$31</f>
        <v>10847.201434462597</v>
      </c>
      <c r="AH22" s="118">
        <f>'6 - Curve'!$D$32</f>
        <v>10029.053547135205</v>
      </c>
      <c r="AI22" s="118">
        <f>'6 - Curve'!$D$33</f>
        <v>15895.418171796442</v>
      </c>
      <c r="AJ22" s="118">
        <f>'6 - Curve'!$D$34</f>
        <v>24999.999999999996</v>
      </c>
    </row>
    <row r="23" spans="1:36" ht="13.15" x14ac:dyDescent="0.4">
      <c r="A23">
        <v>22</v>
      </c>
      <c r="B23" s="22">
        <f>'6 - Thresholds'!$M22</f>
        <v>5242.708772147932</v>
      </c>
      <c r="C23">
        <v>22</v>
      </c>
      <c r="D23" s="118">
        <f t="shared" si="0"/>
        <v>5242.7087721479329</v>
      </c>
      <c r="F23" s="119" t="s">
        <v>176</v>
      </c>
      <c r="G23" s="119">
        <f t="shared" ref="G23:AJ23" si="1">INT(G22+0.5)</f>
        <v>138</v>
      </c>
      <c r="H23" s="119">
        <f t="shared" si="1"/>
        <v>231</v>
      </c>
      <c r="I23" s="119">
        <f t="shared" si="1"/>
        <v>365</v>
      </c>
      <c r="J23" s="119">
        <f t="shared" si="1"/>
        <v>517</v>
      </c>
      <c r="K23" s="119">
        <f t="shared" si="1"/>
        <v>708</v>
      </c>
      <c r="L23" s="119">
        <f t="shared" si="1"/>
        <v>922</v>
      </c>
      <c r="M23" s="119">
        <f t="shared" si="1"/>
        <v>1149</v>
      </c>
      <c r="N23" s="119">
        <f t="shared" si="1"/>
        <v>1397</v>
      </c>
      <c r="O23" s="119">
        <f t="shared" si="1"/>
        <v>1669</v>
      </c>
      <c r="P23" s="119">
        <f t="shared" si="1"/>
        <v>1951</v>
      </c>
      <c r="Q23" s="119">
        <f t="shared" si="1"/>
        <v>2240</v>
      </c>
      <c r="R23" s="119">
        <f t="shared" si="1"/>
        <v>2556</v>
      </c>
      <c r="S23" s="119">
        <f t="shared" si="1"/>
        <v>2878</v>
      </c>
      <c r="T23" s="119">
        <f t="shared" si="1"/>
        <v>3196</v>
      </c>
      <c r="U23" s="119">
        <f t="shared" si="1"/>
        <v>3520</v>
      </c>
      <c r="V23" s="119">
        <f t="shared" si="1"/>
        <v>3871</v>
      </c>
      <c r="W23" s="119">
        <f t="shared" si="1"/>
        <v>4265</v>
      </c>
      <c r="X23" s="119">
        <f t="shared" si="1"/>
        <v>4725</v>
      </c>
      <c r="Y23" s="119">
        <f t="shared" si="1"/>
        <v>5243</v>
      </c>
      <c r="Z23" s="119">
        <f t="shared" si="1"/>
        <v>5813</v>
      </c>
      <c r="AA23" s="119">
        <f t="shared" si="1"/>
        <v>6418</v>
      </c>
      <c r="AB23" s="119">
        <f t="shared" si="1"/>
        <v>7077</v>
      </c>
      <c r="AC23" s="119">
        <f t="shared" si="1"/>
        <v>7818</v>
      </c>
      <c r="AD23" s="119">
        <f t="shared" si="1"/>
        <v>8561</v>
      </c>
      <c r="AE23" s="119">
        <f t="shared" si="1"/>
        <v>9325</v>
      </c>
      <c r="AF23" s="119">
        <f t="shared" si="1"/>
        <v>10044</v>
      </c>
      <c r="AG23" s="119">
        <f t="shared" si="1"/>
        <v>10847</v>
      </c>
      <c r="AH23" s="120">
        <f t="shared" si="1"/>
        <v>10029</v>
      </c>
      <c r="AI23" s="120">
        <f t="shared" si="1"/>
        <v>15895</v>
      </c>
      <c r="AJ23" s="120">
        <f t="shared" si="1"/>
        <v>25000</v>
      </c>
    </row>
    <row r="24" spans="1:36" ht="13.15" x14ac:dyDescent="0.4">
      <c r="A24">
        <v>23</v>
      </c>
      <c r="B24" s="22">
        <f>'6 - Thresholds'!$M23</f>
        <v>5813.0997620671624</v>
      </c>
      <c r="C24">
        <v>23</v>
      </c>
      <c r="D24" s="118">
        <f t="shared" si="0"/>
        <v>5813.0997620671569</v>
      </c>
    </row>
    <row r="25" spans="1:36" ht="13.15" x14ac:dyDescent="0.4">
      <c r="A25">
        <v>24</v>
      </c>
      <c r="B25" s="22">
        <f>'6 - Thresholds'!$M24</f>
        <v>6417.9765494833719</v>
      </c>
      <c r="C25">
        <v>24</v>
      </c>
      <c r="D25" s="118">
        <f t="shared" si="0"/>
        <v>6417.97654948337</v>
      </c>
    </row>
    <row r="26" spans="1:36" ht="13.15" x14ac:dyDescent="0.4">
      <c r="A26">
        <v>25</v>
      </c>
      <c r="B26" s="22">
        <f>'6 - Thresholds'!$M25</f>
        <v>7077.1764116827526</v>
      </c>
      <c r="C26" s="41">
        <v>25</v>
      </c>
      <c r="D26" s="118">
        <f t="shared" si="0"/>
        <v>7077.1764116827653</v>
      </c>
    </row>
    <row r="27" spans="1:36" ht="13.15" x14ac:dyDescent="0.4">
      <c r="A27">
        <v>26</v>
      </c>
      <c r="B27" s="22">
        <f>'6 - Thresholds'!$M26</f>
        <v>7817.5343097150908</v>
      </c>
      <c r="C27">
        <v>26</v>
      </c>
      <c r="D27" s="118">
        <f t="shared" si="0"/>
        <v>7817.5343097151417</v>
      </c>
      <c r="F27" s="121">
        <v>10</v>
      </c>
      <c r="G27">
        <f>CubicSpline(F27, $A$5:$A$107, $B$5:$B$107)</f>
        <v>1149.0188014778182</v>
      </c>
    </row>
    <row r="28" spans="1:36" ht="13.15" x14ac:dyDescent="0.4">
      <c r="A28">
        <v>27</v>
      </c>
      <c r="B28" s="22">
        <f>'6 - Thresholds'!$M27</f>
        <v>8560.6816080834633</v>
      </c>
      <c r="C28">
        <v>27</v>
      </c>
      <c r="D28" s="118">
        <f t="shared" si="0"/>
        <v>8560.6816080834651</v>
      </c>
      <c r="F28" s="121">
        <v>11</v>
      </c>
      <c r="G28">
        <f>CubicSpline(F28, $A$5:$A$107, $B$5:$B$107)</f>
        <v>1397.2475496872164</v>
      </c>
    </row>
    <row r="29" spans="1:36" ht="13.15" x14ac:dyDescent="0.4">
      <c r="A29">
        <v>28</v>
      </c>
      <c r="B29" s="22">
        <f>'6 - Thresholds'!$M28</f>
        <v>9325.2376046317513</v>
      </c>
      <c r="C29">
        <v>28</v>
      </c>
      <c r="D29" s="118">
        <f t="shared" si="0"/>
        <v>9325.2376046317877</v>
      </c>
      <c r="F29">
        <v>9</v>
      </c>
      <c r="G29">
        <f>CubicSpline(F29, $A$5:$A$107, $B$5:$B$107)</f>
        <v>922.37382450508824</v>
      </c>
    </row>
    <row r="30" spans="1:36" ht="13.15" x14ac:dyDescent="0.4">
      <c r="A30">
        <v>29</v>
      </c>
      <c r="B30" s="22">
        <f>'6 - Thresholds'!$M29</f>
        <v>10044.426790547675</v>
      </c>
      <c r="C30">
        <v>29</v>
      </c>
      <c r="D30" s="118">
        <f t="shared" si="0"/>
        <v>10044.426790547723</v>
      </c>
    </row>
    <row r="31" spans="1:36" ht="13.15" x14ac:dyDescent="0.4">
      <c r="A31">
        <v>30</v>
      </c>
      <c r="B31" s="22">
        <f>'6 - Thresholds'!$M30</f>
        <v>10847.201434462648</v>
      </c>
      <c r="C31">
        <v>30</v>
      </c>
      <c r="D31" s="118">
        <f>CubicSpline(C31,$A$5:$A$34,$B$5:$B$34)</f>
        <v>10847.201434462597</v>
      </c>
    </row>
    <row r="32" spans="1:36" ht="13.15" x14ac:dyDescent="0.4">
      <c r="A32">
        <f>'6 - Spheres'!$G$40</f>
        <v>39</v>
      </c>
      <c r="B32">
        <f>'6 - Spheres'!$G$42</f>
        <v>10000</v>
      </c>
      <c r="C32" s="41">
        <v>38</v>
      </c>
      <c r="D32" s="118">
        <f t="shared" ref="D32:D34" si="2">CubicSpline(C32,$A$5:$A$34,$B$5:$B$34)</f>
        <v>10029.053547135205</v>
      </c>
    </row>
    <row r="33" spans="1:4" ht="13.15" x14ac:dyDescent="0.4">
      <c r="A33">
        <f>'6 - Spheres'!$C$40</f>
        <v>49.4</v>
      </c>
      <c r="B33">
        <f>'6 - Spheres'!$C$42</f>
        <v>15600</v>
      </c>
      <c r="C33" s="41">
        <v>50</v>
      </c>
      <c r="D33" s="118">
        <f t="shared" si="2"/>
        <v>15895.418171796442</v>
      </c>
    </row>
    <row r="34" spans="1:4" ht="13.15" x14ac:dyDescent="0.4">
      <c r="A34">
        <f>'6 - Spheres'!$N$40</f>
        <v>70</v>
      </c>
      <c r="B34">
        <f>'6 - Spheres'!$N$42</f>
        <v>25000</v>
      </c>
      <c r="C34" s="41">
        <v>70</v>
      </c>
      <c r="D34" s="118">
        <f t="shared" si="2"/>
        <v>24999.999999999996</v>
      </c>
    </row>
    <row r="36" spans="1:4" ht="40.15" x14ac:dyDescent="0.35">
      <c r="A36" s="122" t="s">
        <v>177</v>
      </c>
    </row>
    <row r="39" spans="1:4" ht="13.15" x14ac:dyDescent="0.4">
      <c r="A39" t="s">
        <v>178</v>
      </c>
    </row>
    <row r="40" spans="1:4" ht="13.15" x14ac:dyDescent="0.4">
      <c r="A40" t="s">
        <v>179</v>
      </c>
    </row>
    <row r="41" spans="1:4" x14ac:dyDescent="0.35">
      <c r="A41" t="s">
        <v>180</v>
      </c>
    </row>
    <row r="42" spans="1:4" x14ac:dyDescent="0.35">
      <c r="A42" t="s">
        <v>181</v>
      </c>
    </row>
    <row r="44" spans="1:4" x14ac:dyDescent="0.35">
      <c r="A44" t="s">
        <v>182</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2025-12-19T14:18:40Z</dcterms:modified>
</cp:coreProperties>
</file>