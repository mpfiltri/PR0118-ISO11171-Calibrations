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 - Calibration Cur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<sst xmlns="http://schemas.openxmlformats.org/spreadsheetml/2006/main" count="12" uniqueCount="10">
  <si>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Data from Table 4</t>
  </si>
  <si>
    <t xml:space="preserve">Threshold Settings corresponding to Sizes of Interest</t>
  </si>
  <si>
    <r>
      <rPr>
        <sz val="10"/>
        <rFont val="Arial"/>
        <family val="2"/>
        <charset val="1"/>
      </rPr>
      <t xml:space="preserve">Enter the particle sizes and corresponding threshold settings from Table 4 (also columns F and H of the Clause 6.9 worksheet) </t>
    </r>
    <r>
      <rPr>
        <u val="single"/>
        <sz val="11"/>
        <color rgb="FF000000"/>
        <rFont val="Calibri"/>
        <family val="2"/>
        <charset val="1"/>
      </rPr>
      <t xml:space="preserve">in order of increasing value of particle size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</si>
  <si>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0"/>
        <rFont val="Arial"/>
        <family val="2"/>
        <charset val="1"/>
      </rPr>
      <t xml:space="preserve">Enter particle sizes of interest (that lie within the range of the data in column A) </t>
    </r>
    <r>
      <rPr>
        <u val="single"/>
        <sz val="11"/>
        <color rgb="FF000000"/>
        <rFont val="Calibri"/>
        <family val="2"/>
        <charset val="1"/>
      </rPr>
      <t xml:space="preserve">in order of increasing particle size</t>
    </r>
    <r>
      <rPr>
        <sz val="11"/>
        <color rgb="FF000000"/>
        <rFont val="Calibri"/>
        <family val="2"/>
        <charset val="1"/>
      </rPr>
      <t xml:space="preserve">. The corresponding interpolated threshold voltage settings are displayed in column D.</t>
    </r>
  </si>
  <si>
    <t xml:space="preserve">Particle Size</t>
  </si>
  <si>
    <t xml:space="preserve">Threshold Setting</t>
  </si>
  <si>
    <t xml:space="preserve"> Particle Size</t>
  </si>
  <si>
    <t xml:space="preserve">Interpolated Threshold Voltage Setting</t>
  </si>
  <si>
    <t xml:space="preserve">µm(c) </t>
  </si>
  <si>
    <t xml:space="preserve">mV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</si>
</sst>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i val="true"/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AADCF7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8" activeCellId="0" sqref="L28"/>
    </sheetView>
  </sheetViews>
  <sheetFormatPr defaultColWidth="11.53515625" defaultRowHeight="12.8" zeroHeight="false" outlineLevelRow="0" outlineLevelCol="0"/>
  <sheetData>
    <row r="1" customFormat="false" ht="15.8" hidden="false" customHeight="false" outlineLevel="0" collapsed="false">
      <c r="A1" s="1" t="s">
        <v>0</v>
      </c>
      <c r="B1" s="1"/>
      <c r="C1" s="1" t="s">
        <v>1</v>
      </c>
      <c r="D1" s="1"/>
    </row>
    <row r="2" customFormat="false" ht="107.25" hidden="false" customHeight="true" outlineLevel="0" collapsed="false">
      <c r="A2" s="2" t="s">
        <v>2</v>
      </c>
      <c r="B2" s="2"/>
      <c r="C2" s="2" t="s">
        <v>3</v>
      </c>
      <c r="D2" s="2"/>
    </row>
    <row r="3" customFormat="false" ht="49.55" hidden="false" customHeight="false" outlineLevel="0" collapsed="false">
      <c r="A3" s="3" t="s">
        <v>4</v>
      </c>
      <c r="B3" s="4" t="s">
        <v>5</v>
      </c>
      <c r="C3" s="3" t="s">
        <v>6</v>
      </c>
      <c r="D3" s="5" t="s">
        <v>7</v>
      </c>
    </row>
    <row r="4" customFormat="false" ht="15.8" hidden="false" customHeight="false" outlineLevel="0" collapsed="false">
      <c r="A4" s="1" t="s">
        <v>8</v>
      </c>
      <c r="B4" s="5" t="s">
        <v>9</v>
      </c>
      <c r="C4" s="1" t="s">
        <v>8</v>
      </c>
      <c r="D4" s="5" t="s">
        <v>9</v>
      </c>
    </row>
    <row r="5" customFormat="false" ht="12.8" hidden="false" customHeight="false" outlineLevel="0" collapsed="false">
      <c r="A5" s="6" t="n">
        <v>4</v>
      </c>
      <c r="B5" s="7" t="n">
        <v>85</v>
      </c>
      <c r="C5" s="8" t="n">
        <v>4</v>
      </c>
      <c r="D5" s="9" t="n">
        <f aca="false">ASTROS.MONTEZUMA.CALCTOOLS.CALCFUNCTIONS.PYTHON.INTERPOLATIONIMPL.INTERPO(C5,A$5:A$10,B$5:B$10)</f>
        <v>85</v>
      </c>
    </row>
    <row r="6" customFormat="false" ht="12.8" hidden="false" customHeight="false" outlineLevel="0" collapsed="false">
      <c r="A6" s="6" t="n">
        <v>6</v>
      </c>
      <c r="B6" s="10" t="n">
        <v>280</v>
      </c>
      <c r="C6" s="8" t="n">
        <v>6</v>
      </c>
      <c r="D6" s="9" t="n">
        <f aca="false">ASTROS.MONTEZUMA.CALCTOOLS.CALCFUNCTIONS.PYTHON.INTERPOLATIONIMPL.INTERPO(C6,A$5:A$10,B$5:B$10)</f>
        <v>280</v>
      </c>
    </row>
    <row r="7" customFormat="false" ht="12.8" hidden="false" customHeight="false" outlineLevel="0" collapsed="false">
      <c r="A7" s="6" t="n">
        <v>14</v>
      </c>
      <c r="B7" s="10" t="n">
        <v>2139</v>
      </c>
      <c r="C7" s="8" t="n">
        <v>10</v>
      </c>
      <c r="D7" s="9" t="n">
        <f aca="false">ASTROS.MONTEZUMA.CALCTOOLS.CALCFUNCTIONS.PYTHON.INTERPOLATIONIMPL.INTERPO(C7,A$5:A$10,B$5:B$10)</f>
        <v>1209.5</v>
      </c>
    </row>
    <row r="8" customFormat="false" ht="12.8" hidden="false" customHeight="false" outlineLevel="0" collapsed="false">
      <c r="A8" s="6" t="n">
        <v>39</v>
      </c>
      <c r="B8" s="11" t="n">
        <v>10056</v>
      </c>
      <c r="C8" s="8" t="n">
        <v>14</v>
      </c>
      <c r="D8" s="9" t="n">
        <f aca="false">ASTROS.MONTEZUMA.CALCTOOLS.CALCFUNCTIONS.PYTHON.INTERPOLATIONIMPL.INTERPO(C8,A$5:A$10,B$5:B$10)</f>
        <v>2139</v>
      </c>
    </row>
    <row r="9" customFormat="false" ht="12.8" hidden="false" customHeight="false" outlineLevel="0" collapsed="false">
      <c r="A9" s="6" t="n">
        <v>49.4</v>
      </c>
      <c r="B9" s="11" t="n">
        <v>15300</v>
      </c>
      <c r="C9" s="8" t="n">
        <v>21</v>
      </c>
      <c r="D9" s="9" t="n">
        <f aca="false">ASTROS.MONTEZUMA.CALCTOOLS.CALCFUNCTIONS.PYTHON.INTERPOLATIONIMPL.INTERPO(C9,A$5:A$10,B$5:B$10)</f>
        <v>4355.76</v>
      </c>
    </row>
    <row r="10" customFormat="false" ht="12.8" hidden="false" customHeight="false" outlineLevel="0" collapsed="false">
      <c r="A10" s="6" t="n">
        <v>69.7</v>
      </c>
      <c r="B10" s="12" t="n">
        <v>25000</v>
      </c>
      <c r="C10" s="8" t="n">
        <v>25</v>
      </c>
      <c r="D10" s="9" t="n">
        <f aca="false">ASTROS.MONTEZUMA.CALCTOOLS.CALCFUNCTIONS.PYTHON.INTERPOLATIONIMPL.INTERPO(C10,A$5:A$10,B$5:B$10)</f>
        <v>5622.48</v>
      </c>
    </row>
    <row r="11" customFormat="false" ht="12.8" hidden="false" customHeight="false" outlineLevel="0" collapsed="false">
      <c r="C11" s="8" t="n">
        <v>38</v>
      </c>
      <c r="D11" s="9" t="n">
        <f aca="false">ASTROS.MONTEZUMA.CALCTOOLS.CALCFUNCTIONS.PYTHON.INTERPOLATIONIMPL.INTERPO(C11,A$5:A$10,B$5:B$10)</f>
        <v>9739.32</v>
      </c>
    </row>
    <row r="12" customFormat="false" ht="12.8" hidden="false" customHeight="false" outlineLevel="0" collapsed="false">
      <c r="C12" s="8" t="n">
        <v>50</v>
      </c>
      <c r="D12" s="9" t="n">
        <f aca="false">ASTROS.MONTEZUMA.CALCTOOLS.CALCFUNCTIONS.PYTHON.INTERPOLATIONIMPL.INTERPO(C12,A$5:A$10,B$5:B$10)</f>
        <v>15586.6995073892</v>
      </c>
    </row>
    <row r="13" customFormat="false" ht="12.8" hidden="false" customHeight="false" outlineLevel="0" collapsed="false">
      <c r="C13" s="8" t="n">
        <v>70</v>
      </c>
      <c r="D13" s="9" t="n">
        <f aca="false">ASTROS.MONTEZUMA.CALCTOOLS.CALCFUNCTIONS.PYTHON.INTERPOLATIONIMPL.INTERPO(C13,A$5:A$10,B$5:B$10)</f>
        <v>25143.3497536946</v>
      </c>
    </row>
    <row r="14" customFormat="false" ht="15.8" hidden="false" customHeight="false" outlineLevel="0" collapsed="false">
      <c r="C14" s="13"/>
      <c r="D14" s="14"/>
    </row>
    <row r="15" customFormat="false" ht="15.8" hidden="false" customHeight="false" outlineLevel="0" collapsed="false">
      <c r="C15" s="13"/>
      <c r="D15" s="14"/>
    </row>
    <row r="16" customFormat="false" ht="15.8" hidden="false" customHeight="false" outlineLevel="0" collapsed="false">
      <c r="C16" s="13"/>
      <c r="D16" s="14"/>
    </row>
    <row r="17" customFormat="false" ht="15.8" hidden="false" customHeight="false" outlineLevel="0" collapsed="false">
      <c r="C17" s="13"/>
      <c r="D17" s="14"/>
    </row>
    <row r="18" customFormat="false" ht="15.8" hidden="false" customHeight="false" outlineLevel="0" collapsed="false"/>
    <row r="19" customFormat="false" ht="15.8" hidden="false" customHeight="false" outlineLevel="0" collapsed="false"/>
    <row r="20" customFormat="false" ht="15.8" hidden="false" customHeight="false" outlineLevel="0" collapsed="false"/>
    <row r="21" customFormat="false" ht="15.8" hidden="false" customHeight="false" outlineLevel="0" collapsed="false"/>
    <row r="22" customFormat="false" ht="15.8" hidden="false" customHeight="false" outlineLevel="0" collapsed="false"/>
    <row r="23" customFormat="false" ht="15.8" hidden="false" customHeight="false" outlineLevel="0" collapsed="false"/>
    <row r="24" customFormat="false" ht="15.8" hidden="false" customHeight="false" outlineLevel="0" collapsed="false"/>
    <row r="25" customFormat="false" ht="15.8" hidden="false" customHeight="false" outlineLevel="0" collapsed="false"/>
    <row r="26" customFormat="false" ht="15.8" hidden="false" customHeight="false" outlineLevel="0" collapsed="false"/>
    <row r="27" customFormat="false" ht="12.8" hidden="false" customHeight="false" outlineLevel="0" collapsed="false">
      <c r="B27" s="6"/>
    </row>
    <row r="28" customFormat="false" ht="12.8" hidden="false" customHeight="false" outlineLevel="0" collapsed="false">
      <c r="B28" s="6"/>
    </row>
    <row r="29" customFormat="false" ht="12.8" hidden="false" customHeight="false" outlineLevel="0" collapsed="false">
      <c r="B29" s="6"/>
    </row>
    <row r="30" customFormat="false" ht="12.8" hidden="false" customHeight="false" outlineLevel="0" collapsed="false">
      <c r="B30" s="6"/>
    </row>
    <row r="32" customFormat="false" ht="12.8" hidden="false" customHeight="false" outlineLevel="0" collapsed="false">
      <c r="B32" s="6"/>
    </row>
    <row r="33" customFormat="false" ht="15.8" hidden="false" customHeight="false" outlineLevel="0" collapsed="false"/>
    <row r="34" customFormat="false" ht="15.8" hidden="false" customHeight="false" outlineLevel="0" collapsed="false"/>
    <row r="35" customFormat="false" ht="15.8" hidden="false" customHeight="false" outlineLevel="0" collapsed="false"/>
    <row r="36" customFormat="false" ht="15.8" hidden="false" customHeight="false" outlineLevel="0" collapsed="false"/>
    <row r="37" customFormat="false" ht="15.8" hidden="false" customHeight="false" outlineLevel="0" collapsed="false"/>
    <row r="38" customFormat="false" ht="15.8" hidden="false" customHeight="false" outlineLevel="0" collapsed="false"/>
    <row r="39" customFormat="false" ht="15.8" hidden="false" customHeight="false" outlineLevel="0" collapsed="false"/>
    <row r="40" customFormat="false" ht="15.8" hidden="false" customHeight="false" outlineLevel="0" collapsed="false"/>
    <row r="41" customFormat="false" ht="15.8" hidden="false" customHeight="false" outlineLevel="0" collapsed="false"/>
    <row r="42" customFormat="false" ht="15.8" hidden="false" customHeight="false" outlineLevel="0" collapsed="false"/>
    <row r="43" customFormat="false" ht="15.8" hidden="false" customHeight="false" outlineLevel="0" collapsed="false"/>
    <row r="44" customFormat="false" ht="15.8" hidden="false" customHeight="false" outlineLevel="0" collapsed="false"/>
    <row r="45" customFormat="false" ht="15.8" hidden="false" customHeight="false" outlineLevel="0" collapsed="false"/>
    <row r="46" customFormat="false" ht="15.8" hidden="false" customHeight="false" outlineLevel="0" collapsed="false"/>
    <row r="47" customFormat="false" ht="15.8" hidden="false" customHeight="false" outlineLevel="0" collapsed="false"/>
    <row r="48" customFormat="false" ht="15.8" hidden="false" customHeight="false" outlineLevel="0" collapsed="false"/>
    <row r="49" customFormat="false" ht="15.8" hidden="false" customHeight="false" outlineLevel="0" collapsed="false"/>
    <row r="50" customFormat="false" ht="15.8" hidden="false" customHeight="false" outlineLevel="0" collapsed="false"/>
    <row r="51" customFormat="false" ht="15.8" hidden="false" customHeight="false" outlineLevel="0" collapsed="false"/>
    <row r="52" customFormat="false" ht="15.8" hidden="false" customHeight="false" outlineLevel="0" collapsed="false"/>
    <row r="53" customFormat="false" ht="15.8" hidden="false" customHeight="false" outlineLevel="0" collapsed="false"/>
    <row r="54" customFormat="false" ht="15.8" hidden="false" customHeight="false" outlineLevel="0" collapsed="false"/>
    <row r="55" customFormat="false" ht="15.8" hidden="false" customHeight="false" outlineLevel="0" collapsed="false"/>
    <row r="56" customFormat="false" ht="15.8" hidden="false" customHeight="false" outlineLevel="0" collapsed="false"/>
    <row r="57" customFormat="false" ht="15.8" hidden="false" customHeight="false" outlineLevel="0" collapsed="false"/>
    <row r="58" customFormat="false" ht="15.8" hidden="false" customHeight="false" outlineLevel="0" collapsed="false"/>
    <row r="59" customFormat="false" ht="15.8" hidden="false" customHeight="false" outlineLevel="0" collapsed="false"/>
    <row r="60" customFormat="false" ht="15.8" hidden="false" customHeight="false" outlineLevel="0" collapsed="false"/>
    <row r="61" customFormat="false" ht="15.8" hidden="false" customHeight="false" outlineLevel="0" collapsed="false"/>
    <row r="62" customFormat="false" ht="15.8" hidden="false" customHeight="false" outlineLevel="0" collapsed="false"/>
    <row r="63" customFormat="false" ht="15.8" hidden="false" customHeight="false" outlineLevel="0" collapsed="false"/>
    <row r="64" customFormat="false" ht="15.8" hidden="false" customHeight="false" outlineLevel="0" collapsed="false"/>
    <row r="65" customFormat="false" ht="15.8" hidden="false" customHeight="false" outlineLevel="0" collapsed="false"/>
    <row r="66" customFormat="false" ht="15.8" hidden="false" customHeight="false" outlineLevel="0" collapsed="false"/>
    <row r="67" customFormat="false" ht="15.8" hidden="false" customHeight="false" outlineLevel="0" collapsed="false"/>
    <row r="68" customFormat="false" ht="15.8" hidden="false" customHeight="false" outlineLevel="0" collapsed="false"/>
    <row r="69" customFormat="false" ht="15.8" hidden="false" customHeight="false" outlineLevel="0" collapsed="false"/>
    <row r="70" customFormat="false" ht="15.8" hidden="false" customHeight="false" outlineLevel="0" collapsed="false"/>
    <row r="71" customFormat="false" ht="15.8" hidden="false" customHeight="false" outlineLevel="0" collapsed="false"/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/>
    <row r="75" customFormat="false" ht="15.8" hidden="false" customHeight="false" outlineLevel="0" collapsed="false"/>
    <row r="76" customFormat="false" ht="15.8" hidden="false" customHeight="false" outlineLevel="0" collapsed="false"/>
    <row r="77" customFormat="false" ht="15.8" hidden="false" customHeight="false" outlineLevel="0" collapsed="false"/>
    <row r="78" customFormat="false" ht="15.8" hidden="false" customHeight="false" outlineLevel="0" collapsed="false"/>
    <row r="79" customFormat="false" ht="15.8" hidden="false" customHeight="false" outlineLevel="0" collapsed="false"/>
    <row r="80" customFormat="false" ht="15.8" hidden="false" customHeight="false" outlineLevel="0" collapsed="false"/>
    <row r="81" customFormat="false" ht="15.8" hidden="false" customHeight="false" outlineLevel="0" collapsed="false"/>
    <row r="82" customFormat="false" ht="15.8" hidden="false" customHeight="false" outlineLevel="0" collapsed="false"/>
    <row r="83" customFormat="false" ht="15.8" hidden="false" customHeight="false" outlineLevel="0" collapsed="false"/>
  </sheetData>
  <mergeCells count="4">
    <mergeCell ref="A1:B1"/>
    <mergeCell ref="C1:D1"/>
    <mergeCell ref="A2:B2"/>
    <mergeCell ref="C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2025-06-04T20:04:19Z</dcterms:created>
  <dc:creator/>
  <dc:description/>
  <dc:language>en-GB</dc:language>
  <cp:lastModifiedBy/>
  <dcterms:modified xsi:type="dcterms:W3CDTF">2025-06-04T20:07:15Z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