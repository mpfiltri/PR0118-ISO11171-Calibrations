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d:\mp\projects\PR0118 - ISO 11171 Calibrations\results\2025-01-17-REFERENCE COUNTER\"/>
    </mc:Choice>
  </mc:AlternateContent>
  <xr:revisionPtr revIDLastSave="0" documentId="13_ncr:1_{0286E133-B59C-4468-A534-7463EA4CC595}" xr6:coauthVersionLast="47" xr6:coauthVersionMax="47" xr10:uidLastSave="{00000000-0000-0000-0000-000000000000}"/>
  <bookViews>
    <workbookView xWindow="-98" yWindow="-98" windowWidth="28996" windowHeight="17745" activeTab="1" xr2:uid="{EF5CFA7C-4231-442B-96A1-CD95E8A0F3F9}"/>
  </bookViews>
  <sheets>
    <sheet name="D1 (2)" sheetId="1" r:id="rId1"/>
    <sheet name="Annex D (2)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" i="2" l="1"/>
  <c r="N6" i="2"/>
  <c r="N7" i="2"/>
  <c r="N8" i="2"/>
  <c r="A9" i="2"/>
  <c r="A10" i="2" s="1"/>
  <c r="A11" i="2" s="1"/>
  <c r="N9" i="2"/>
  <c r="N10" i="2"/>
  <c r="N11" i="2"/>
  <c r="I12" i="2"/>
  <c r="I13" i="2" s="1"/>
  <c r="I19" i="2" s="1"/>
  <c r="I21" i="2" s="1"/>
  <c r="N12" i="2"/>
  <c r="N13" i="2"/>
  <c r="N14" i="2"/>
  <c r="N15" i="2"/>
  <c r="I16" i="2"/>
  <c r="N16" i="2"/>
  <c r="I17" i="2"/>
  <c r="N17" i="2"/>
  <c r="N18" i="2"/>
  <c r="N19" i="2"/>
  <c r="N20" i="2"/>
  <c r="A21" i="2"/>
  <c r="N21" i="2"/>
  <c r="N22" i="2"/>
  <c r="I23" i="2"/>
  <c r="B63" i="2" s="1"/>
  <c r="N23" i="2"/>
  <c r="N24" i="2"/>
  <c r="N25" i="2"/>
  <c r="A26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B61" i="2"/>
  <c r="N61" i="2"/>
  <c r="B62" i="2"/>
  <c r="B65" i="2" s="1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B6" i="1"/>
  <c r="G8" i="1"/>
  <c r="B9" i="1"/>
  <c r="L9" i="1" s="1"/>
  <c r="C9" i="1"/>
  <c r="D9" i="1"/>
  <c r="E9" i="1"/>
  <c r="G9" i="1" s="1"/>
  <c r="F9" i="1"/>
  <c r="B10" i="1"/>
  <c r="G10" i="1" s="1"/>
  <c r="C10" i="1"/>
  <c r="D10" i="1"/>
  <c r="E10" i="1"/>
  <c r="F10" i="1"/>
  <c r="B11" i="1"/>
  <c r="I11" i="1" s="1"/>
  <c r="C11" i="1"/>
  <c r="D11" i="1"/>
  <c r="G11" i="1" s="1"/>
  <c r="E11" i="1"/>
  <c r="F11" i="1"/>
  <c r="B12" i="1"/>
  <c r="C12" i="1"/>
  <c r="D12" i="1"/>
  <c r="G12" i="1" s="1"/>
  <c r="E12" i="1"/>
  <c r="F12" i="1"/>
  <c r="I12" i="1"/>
  <c r="L12" i="1"/>
  <c r="B13" i="1"/>
  <c r="C13" i="1"/>
  <c r="G13" i="1" s="1"/>
  <c r="D13" i="1"/>
  <c r="E13" i="1"/>
  <c r="F13" i="1"/>
  <c r="I13" i="1"/>
  <c r="L13" i="1"/>
  <c r="B14" i="1"/>
  <c r="G14" i="1" s="1"/>
  <c r="C14" i="1"/>
  <c r="I14" i="1" s="1"/>
  <c r="D14" i="1"/>
  <c r="E14" i="1"/>
  <c r="F14" i="1"/>
  <c r="B15" i="1"/>
  <c r="I15" i="1" s="1"/>
  <c r="C15" i="1"/>
  <c r="L15" i="1" s="1"/>
  <c r="D15" i="1"/>
  <c r="E15" i="1"/>
  <c r="F15" i="1"/>
  <c r="B16" i="1"/>
  <c r="C16" i="1"/>
  <c r="G16" i="1" s="1"/>
  <c r="D16" i="1"/>
  <c r="E16" i="1"/>
  <c r="F16" i="1"/>
  <c r="B17" i="1"/>
  <c r="G17" i="1" s="1"/>
  <c r="C17" i="1"/>
  <c r="D17" i="1"/>
  <c r="E17" i="1"/>
  <c r="F17" i="1"/>
  <c r="B18" i="1"/>
  <c r="I18" i="1" s="1"/>
  <c r="C18" i="1"/>
  <c r="D18" i="1"/>
  <c r="E18" i="1"/>
  <c r="F18" i="1"/>
  <c r="G18" i="1"/>
  <c r="H18" i="1" s="1"/>
  <c r="J18" i="1" s="1"/>
  <c r="B19" i="1"/>
  <c r="I19" i="1" s="1"/>
  <c r="C19" i="1"/>
  <c r="D19" i="1"/>
  <c r="E19" i="1"/>
  <c r="F19" i="1"/>
  <c r="G19" i="1"/>
  <c r="H19" i="1" s="1"/>
  <c r="J19" i="1" s="1"/>
  <c r="L19" i="1"/>
  <c r="B20" i="1"/>
  <c r="C20" i="1"/>
  <c r="D20" i="1"/>
  <c r="G20" i="1" s="1"/>
  <c r="E20" i="1"/>
  <c r="F20" i="1"/>
  <c r="L20" i="1"/>
  <c r="B21" i="1"/>
  <c r="G21" i="1" s="1"/>
  <c r="C21" i="1"/>
  <c r="D21" i="1"/>
  <c r="L21" i="1" s="1"/>
  <c r="E21" i="1"/>
  <c r="F21" i="1"/>
  <c r="I21" i="1" s="1"/>
  <c r="B22" i="1"/>
  <c r="L22" i="1" s="1"/>
  <c r="C22" i="1"/>
  <c r="D22" i="1"/>
  <c r="E22" i="1"/>
  <c r="F22" i="1"/>
  <c r="G22" i="1" s="1"/>
  <c r="B23" i="1"/>
  <c r="C23" i="1"/>
  <c r="G23" i="1" s="1"/>
  <c r="D23" i="1"/>
  <c r="E23" i="1"/>
  <c r="F23" i="1"/>
  <c r="B24" i="1"/>
  <c r="G24" i="1" s="1"/>
  <c r="C24" i="1"/>
  <c r="D24" i="1"/>
  <c r="E24" i="1"/>
  <c r="F24" i="1"/>
  <c r="B25" i="1"/>
  <c r="C25" i="1"/>
  <c r="L25" i="1" s="1"/>
  <c r="D25" i="1"/>
  <c r="E25" i="1"/>
  <c r="G25" i="1" s="1"/>
  <c r="F25" i="1"/>
  <c r="B26" i="1"/>
  <c r="G26" i="1" s="1"/>
  <c r="C26" i="1"/>
  <c r="D26" i="1"/>
  <c r="E26" i="1"/>
  <c r="F26" i="1"/>
  <c r="B27" i="1"/>
  <c r="I27" i="1" s="1"/>
  <c r="C27" i="1"/>
  <c r="D27" i="1"/>
  <c r="G27" i="1" s="1"/>
  <c r="E27" i="1"/>
  <c r="F27" i="1"/>
  <c r="B28" i="1"/>
  <c r="C28" i="1"/>
  <c r="D28" i="1"/>
  <c r="L28" i="1" s="1"/>
  <c r="E28" i="1"/>
  <c r="F28" i="1"/>
  <c r="I28" i="1"/>
  <c r="B29" i="1"/>
  <c r="G29" i="1" s="1"/>
  <c r="C29" i="1"/>
  <c r="D29" i="1"/>
  <c r="E29" i="1"/>
  <c r="F29" i="1"/>
  <c r="I29" i="1"/>
  <c r="L29" i="1"/>
  <c r="B30" i="1"/>
  <c r="G30" i="1" s="1"/>
  <c r="C30" i="1"/>
  <c r="I30" i="1" s="1"/>
  <c r="D30" i="1"/>
  <c r="E30" i="1"/>
  <c r="F30" i="1"/>
  <c r="B31" i="1"/>
  <c r="C31" i="1"/>
  <c r="I31" i="1" s="1"/>
  <c r="D31" i="1"/>
  <c r="E31" i="1"/>
  <c r="F31" i="1"/>
  <c r="B32" i="1"/>
  <c r="C32" i="1"/>
  <c r="G32" i="1" s="1"/>
  <c r="D32" i="1"/>
  <c r="E32" i="1"/>
  <c r="F32" i="1"/>
  <c r="B33" i="1"/>
  <c r="G33" i="1" s="1"/>
  <c r="C33" i="1"/>
  <c r="D33" i="1"/>
  <c r="E33" i="1"/>
  <c r="F33" i="1"/>
  <c r="B34" i="1"/>
  <c r="I34" i="1" s="1"/>
  <c r="C34" i="1"/>
  <c r="D34" i="1"/>
  <c r="E34" i="1"/>
  <c r="F34" i="1"/>
  <c r="G34" i="1"/>
  <c r="H34" i="1" s="1"/>
  <c r="J34" i="1" s="1"/>
  <c r="B35" i="1"/>
  <c r="I35" i="1" s="1"/>
  <c r="C35" i="1"/>
  <c r="D35" i="1"/>
  <c r="E35" i="1"/>
  <c r="F35" i="1"/>
  <c r="G35" i="1"/>
  <c r="H35" i="1" s="1"/>
  <c r="J35" i="1" s="1"/>
  <c r="L35" i="1"/>
  <c r="B36" i="1"/>
  <c r="C36" i="1"/>
  <c r="D36" i="1"/>
  <c r="G36" i="1" s="1"/>
  <c r="E36" i="1"/>
  <c r="F36" i="1"/>
  <c r="L36" i="1"/>
  <c r="B37" i="1"/>
  <c r="G37" i="1" s="1"/>
  <c r="C37" i="1"/>
  <c r="D37" i="1"/>
  <c r="L37" i="1" s="1"/>
  <c r="E37" i="1"/>
  <c r="F37" i="1"/>
  <c r="I37" i="1" s="1"/>
  <c r="B38" i="1"/>
  <c r="L38" i="1" s="1"/>
  <c r="C38" i="1"/>
  <c r="D38" i="1"/>
  <c r="G38" i="1" s="1"/>
  <c r="E38" i="1"/>
  <c r="F38" i="1"/>
  <c r="I38" i="1" s="1"/>
  <c r="A27" i="2" l="1"/>
  <c r="A28" i="2" s="1"/>
  <c r="H17" i="1"/>
  <c r="J17" i="1" s="1"/>
  <c r="K17" i="1"/>
  <c r="H11" i="1"/>
  <c r="J11" i="1" s="1"/>
  <c r="K11" i="1"/>
  <c r="H37" i="1"/>
  <c r="J37" i="1" s="1"/>
  <c r="K37" i="1"/>
  <c r="K25" i="1"/>
  <c r="H25" i="1"/>
  <c r="J25" i="1" s="1"/>
  <c r="H14" i="1"/>
  <c r="J14" i="1" s="1"/>
  <c r="K14" i="1"/>
  <c r="H16" i="1"/>
  <c r="J16" i="1" s="1"/>
  <c r="K16" i="1"/>
  <c r="H36" i="1"/>
  <c r="J36" i="1" s="1"/>
  <c r="K36" i="1"/>
  <c r="H13" i="1"/>
  <c r="J13" i="1" s="1"/>
  <c r="K13" i="1"/>
  <c r="H26" i="1"/>
  <c r="J26" i="1" s="1"/>
  <c r="K26" i="1"/>
  <c r="H10" i="1"/>
  <c r="J10" i="1" s="1"/>
  <c r="K10" i="1"/>
  <c r="H30" i="1"/>
  <c r="J30" i="1" s="1"/>
  <c r="K30" i="1"/>
  <c r="H27" i="1"/>
  <c r="J27" i="1" s="1"/>
  <c r="K27" i="1"/>
  <c r="H21" i="1"/>
  <c r="J21" i="1" s="1"/>
  <c r="K21" i="1"/>
  <c r="H33" i="1"/>
  <c r="J33" i="1" s="1"/>
  <c r="K33" i="1"/>
  <c r="H24" i="1"/>
  <c r="J24" i="1" s="1"/>
  <c r="K24" i="1"/>
  <c r="K9" i="1"/>
  <c r="H9" i="1"/>
  <c r="J9" i="1" s="1"/>
  <c r="K38" i="1"/>
  <c r="H38" i="1"/>
  <c r="J38" i="1" s="1"/>
  <c r="K22" i="1"/>
  <c r="H22" i="1"/>
  <c r="J22" i="1" s="1"/>
  <c r="K12" i="1"/>
  <c r="H12" i="1"/>
  <c r="J12" i="1" s="1"/>
  <c r="H29" i="1"/>
  <c r="J29" i="1" s="1"/>
  <c r="K29" i="1"/>
  <c r="H20" i="1"/>
  <c r="J20" i="1" s="1"/>
  <c r="K20" i="1"/>
  <c r="H32" i="1"/>
  <c r="J32" i="1" s="1"/>
  <c r="K32" i="1"/>
  <c r="K23" i="1"/>
  <c r="H23" i="1"/>
  <c r="J23" i="1" s="1"/>
  <c r="K35" i="1"/>
  <c r="L32" i="1"/>
  <c r="G31" i="1"/>
  <c r="I25" i="1"/>
  <c r="K19" i="1"/>
  <c r="L16" i="1"/>
  <c r="G15" i="1"/>
  <c r="I9" i="1"/>
  <c r="G28" i="1"/>
  <c r="I22" i="1"/>
  <c r="L26" i="1"/>
  <c r="L10" i="1"/>
  <c r="I32" i="1"/>
  <c r="L23" i="1"/>
  <c r="I16" i="1"/>
  <c r="L33" i="1"/>
  <c r="I26" i="1"/>
  <c r="L17" i="1"/>
  <c r="I10" i="1"/>
  <c r="L30" i="1"/>
  <c r="I23" i="1"/>
  <c r="L14" i="1"/>
  <c r="I36" i="1"/>
  <c r="L27" i="1"/>
  <c r="I20" i="1"/>
  <c r="L11" i="1"/>
  <c r="I33" i="1"/>
  <c r="L24" i="1"/>
  <c r="I17" i="1"/>
  <c r="L34" i="1"/>
  <c r="L18" i="1"/>
  <c r="A13" i="2"/>
  <c r="A15" i="2" s="1"/>
  <c r="A17" i="2" s="1"/>
  <c r="A19" i="2" s="1"/>
  <c r="A20" i="2" s="1"/>
  <c r="A18" i="2"/>
  <c r="K34" i="1"/>
  <c r="L31" i="1"/>
  <c r="I24" i="1"/>
  <c r="K18" i="1"/>
  <c r="A35" i="2"/>
  <c r="K28" i="1" l="1"/>
  <c r="H28" i="1"/>
  <c r="J28" i="1" s="1"/>
  <c r="O2" i="2"/>
  <c r="O10" i="2"/>
  <c r="O20" i="2"/>
  <c r="O26" i="2"/>
  <c r="O33" i="2"/>
  <c r="O44" i="2"/>
  <c r="O3" i="2"/>
  <c r="O52" i="2"/>
  <c r="O60" i="2"/>
  <c r="O66" i="2"/>
  <c r="O74" i="2"/>
  <c r="O82" i="2"/>
  <c r="O90" i="2"/>
  <c r="O98" i="2"/>
  <c r="O106" i="2"/>
  <c r="O114" i="2"/>
  <c r="O122" i="2"/>
  <c r="O130" i="2"/>
  <c r="O138" i="2"/>
  <c r="O146" i="2"/>
  <c r="O154" i="2"/>
  <c r="O162" i="2"/>
  <c r="O170" i="2"/>
  <c r="O178" i="2"/>
  <c r="O186" i="2"/>
  <c r="O194" i="2"/>
  <c r="O202" i="2"/>
  <c r="O210" i="2"/>
  <c r="O218" i="2"/>
  <c r="O226" i="2"/>
  <c r="O234" i="2"/>
  <c r="O242" i="2"/>
  <c r="O250" i="2"/>
  <c r="O258" i="2"/>
  <c r="O266" i="2"/>
  <c r="O274" i="2"/>
  <c r="O282" i="2"/>
  <c r="O290" i="2"/>
  <c r="O298" i="2"/>
  <c r="O306" i="2"/>
  <c r="O314" i="2"/>
  <c r="O322" i="2"/>
  <c r="O330" i="2"/>
  <c r="O338" i="2"/>
  <c r="O346" i="2"/>
  <c r="O354" i="2"/>
  <c r="O362" i="2"/>
  <c r="O370" i="2"/>
  <c r="O378" i="2"/>
  <c r="O386" i="2"/>
  <c r="O394" i="2"/>
  <c r="O402" i="2"/>
  <c r="O410" i="2"/>
  <c r="O418" i="2"/>
  <c r="O426" i="2"/>
  <c r="O434" i="2"/>
  <c r="O442" i="2"/>
  <c r="O450" i="2"/>
  <c r="O458" i="2"/>
  <c r="O466" i="2"/>
  <c r="O474" i="2"/>
  <c r="O482" i="2"/>
  <c r="O490" i="2"/>
  <c r="O498" i="2"/>
  <c r="O506" i="2"/>
  <c r="O514" i="2"/>
  <c r="O522" i="2"/>
  <c r="O530" i="2"/>
  <c r="O538" i="2"/>
  <c r="O546" i="2"/>
  <c r="O554" i="2"/>
  <c r="O562" i="2"/>
  <c r="O570" i="2"/>
  <c r="O578" i="2"/>
  <c r="O586" i="2"/>
  <c r="O594" i="2"/>
  <c r="O602" i="2"/>
  <c r="O610" i="2"/>
  <c r="O618" i="2"/>
  <c r="O626" i="2"/>
  <c r="O634" i="2"/>
  <c r="O642" i="2"/>
  <c r="O650" i="2"/>
  <c r="O658" i="2"/>
  <c r="O666" i="2"/>
  <c r="O674" i="2"/>
  <c r="O682" i="2"/>
  <c r="O4" i="2"/>
  <c r="O16" i="2"/>
  <c r="O34" i="2"/>
  <c r="O39" i="2"/>
  <c r="O11" i="2"/>
  <c r="O27" i="2"/>
  <c r="O45" i="2"/>
  <c r="O53" i="2"/>
  <c r="O67" i="2"/>
  <c r="O75" i="2"/>
  <c r="O83" i="2"/>
  <c r="O91" i="2"/>
  <c r="O99" i="2"/>
  <c r="O107" i="2"/>
  <c r="O115" i="2"/>
  <c r="O123" i="2"/>
  <c r="O131" i="2"/>
  <c r="O139" i="2"/>
  <c r="O147" i="2"/>
  <c r="O155" i="2"/>
  <c r="O163" i="2"/>
  <c r="O171" i="2"/>
  <c r="O179" i="2"/>
  <c r="O187" i="2"/>
  <c r="O195" i="2"/>
  <c r="O203" i="2"/>
  <c r="O211" i="2"/>
  <c r="O219" i="2"/>
  <c r="O227" i="2"/>
  <c r="O235" i="2"/>
  <c r="O243" i="2"/>
  <c r="O251" i="2"/>
  <c r="O259" i="2"/>
  <c r="O267" i="2"/>
  <c r="O275" i="2"/>
  <c r="O283" i="2"/>
  <c r="O291" i="2"/>
  <c r="O299" i="2"/>
  <c r="O307" i="2"/>
  <c r="O315" i="2"/>
  <c r="O323" i="2"/>
  <c r="O331" i="2"/>
  <c r="O339" i="2"/>
  <c r="O347" i="2"/>
  <c r="O355" i="2"/>
  <c r="O363" i="2"/>
  <c r="O371" i="2"/>
  <c r="O379" i="2"/>
  <c r="O387" i="2"/>
  <c r="O395" i="2"/>
  <c r="O403" i="2"/>
  <c r="O411" i="2"/>
  <c r="O419" i="2"/>
  <c r="O427" i="2"/>
  <c r="O435" i="2"/>
  <c r="O443" i="2"/>
  <c r="O451" i="2"/>
  <c r="O459" i="2"/>
  <c r="O467" i="2"/>
  <c r="O475" i="2"/>
  <c r="O483" i="2"/>
  <c r="O491" i="2"/>
  <c r="O499" i="2"/>
  <c r="O507" i="2"/>
  <c r="O515" i="2"/>
  <c r="O523" i="2"/>
  <c r="O531" i="2"/>
  <c r="O539" i="2"/>
  <c r="O547" i="2"/>
  <c r="O555" i="2"/>
  <c r="O563" i="2"/>
  <c r="O571" i="2"/>
  <c r="O579" i="2"/>
  <c r="O587" i="2"/>
  <c r="O595" i="2"/>
  <c r="O603" i="2"/>
  <c r="O611" i="2"/>
  <c r="O619" i="2"/>
  <c r="O627" i="2"/>
  <c r="O635" i="2"/>
  <c r="O643" i="2"/>
  <c r="O651" i="2"/>
  <c r="O659" i="2"/>
  <c r="O667" i="2"/>
  <c r="O675" i="2"/>
  <c r="O683" i="2"/>
  <c r="O5" i="2"/>
  <c r="O21" i="2"/>
  <c r="O61" i="2"/>
  <c r="O35" i="2"/>
  <c r="O40" i="2"/>
  <c r="O46" i="2"/>
  <c r="O54" i="2"/>
  <c r="O68" i="2"/>
  <c r="O76" i="2"/>
  <c r="O84" i="2"/>
  <c r="O92" i="2"/>
  <c r="O100" i="2"/>
  <c r="O108" i="2"/>
  <c r="O116" i="2"/>
  <c r="O124" i="2"/>
  <c r="O132" i="2"/>
  <c r="O140" i="2"/>
  <c r="O148" i="2"/>
  <c r="O156" i="2"/>
  <c r="O164" i="2"/>
  <c r="O172" i="2"/>
  <c r="O180" i="2"/>
  <c r="O188" i="2"/>
  <c r="O196" i="2"/>
  <c r="O204" i="2"/>
  <c r="O212" i="2"/>
  <c r="O220" i="2"/>
  <c r="O228" i="2"/>
  <c r="O236" i="2"/>
  <c r="O244" i="2"/>
  <c r="O252" i="2"/>
  <c r="O260" i="2"/>
  <c r="O268" i="2"/>
  <c r="O276" i="2"/>
  <c r="O284" i="2"/>
  <c r="O292" i="2"/>
  <c r="O300" i="2"/>
  <c r="O308" i="2"/>
  <c r="O316" i="2"/>
  <c r="O324" i="2"/>
  <c r="O332" i="2"/>
  <c r="O340" i="2"/>
  <c r="O348" i="2"/>
  <c r="O356" i="2"/>
  <c r="O364" i="2"/>
  <c r="O372" i="2"/>
  <c r="O380" i="2"/>
  <c r="O388" i="2"/>
  <c r="O396" i="2"/>
  <c r="O404" i="2"/>
  <c r="O412" i="2"/>
  <c r="O420" i="2"/>
  <c r="O428" i="2"/>
  <c r="O436" i="2"/>
  <c r="O444" i="2"/>
  <c r="O452" i="2"/>
  <c r="O460" i="2"/>
  <c r="O468" i="2"/>
  <c r="O476" i="2"/>
  <c r="O484" i="2"/>
  <c r="O492" i="2"/>
  <c r="O500" i="2"/>
  <c r="O508" i="2"/>
  <c r="O516" i="2"/>
  <c r="O524" i="2"/>
  <c r="O6" i="2"/>
  <c r="O12" i="2"/>
  <c r="O17" i="2"/>
  <c r="O22" i="2"/>
  <c r="O28" i="2"/>
  <c r="A36" i="2"/>
  <c r="O47" i="2"/>
  <c r="O55" i="2"/>
  <c r="O62" i="2"/>
  <c r="O69" i="2"/>
  <c r="O77" i="2"/>
  <c r="O85" i="2"/>
  <c r="O93" i="2"/>
  <c r="O101" i="2"/>
  <c r="O109" i="2"/>
  <c r="O117" i="2"/>
  <c r="O125" i="2"/>
  <c r="O133" i="2"/>
  <c r="O141" i="2"/>
  <c r="O149" i="2"/>
  <c r="O157" i="2"/>
  <c r="O165" i="2"/>
  <c r="O173" i="2"/>
  <c r="O181" i="2"/>
  <c r="O189" i="2"/>
  <c r="O197" i="2"/>
  <c r="O205" i="2"/>
  <c r="O213" i="2"/>
  <c r="O221" i="2"/>
  <c r="O229" i="2"/>
  <c r="O237" i="2"/>
  <c r="O245" i="2"/>
  <c r="O253" i="2"/>
  <c r="O261" i="2"/>
  <c r="O269" i="2"/>
  <c r="O277" i="2"/>
  <c r="O285" i="2"/>
  <c r="O293" i="2"/>
  <c r="O301" i="2"/>
  <c r="O309" i="2"/>
  <c r="O317" i="2"/>
  <c r="O325" i="2"/>
  <c r="O333" i="2"/>
  <c r="O341" i="2"/>
  <c r="O349" i="2"/>
  <c r="O357" i="2"/>
  <c r="O365" i="2"/>
  <c r="O373" i="2"/>
  <c r="O381" i="2"/>
  <c r="O389" i="2"/>
  <c r="O397" i="2"/>
  <c r="O405" i="2"/>
  <c r="O413" i="2"/>
  <c r="O421" i="2"/>
  <c r="O429" i="2"/>
  <c r="O437" i="2"/>
  <c r="O445" i="2"/>
  <c r="O453" i="2"/>
  <c r="O461" i="2"/>
  <c r="O469" i="2"/>
  <c r="O477" i="2"/>
  <c r="O485" i="2"/>
  <c r="O493" i="2"/>
  <c r="O501" i="2"/>
  <c r="O509" i="2"/>
  <c r="O517" i="2"/>
  <c r="O525" i="2"/>
  <c r="O533" i="2"/>
  <c r="O541" i="2"/>
  <c r="O549" i="2"/>
  <c r="O557" i="2"/>
  <c r="O565" i="2"/>
  <c r="O573" i="2"/>
  <c r="O581" i="2"/>
  <c r="O589" i="2"/>
  <c r="O597" i="2"/>
  <c r="O605" i="2"/>
  <c r="O613" i="2"/>
  <c r="O621" i="2"/>
  <c r="O7" i="2"/>
  <c r="O29" i="2"/>
  <c r="O36" i="2"/>
  <c r="O41" i="2"/>
  <c r="O18" i="2"/>
  <c r="O23" i="2"/>
  <c r="A37" i="2"/>
  <c r="A38" i="2" s="1" a="1"/>
  <c r="A38" i="2" s="1"/>
  <c r="A39" i="2" s="1"/>
  <c r="O48" i="2"/>
  <c r="O56" i="2"/>
  <c r="O70" i="2"/>
  <c r="O78" i="2"/>
  <c r="O86" i="2"/>
  <c r="O94" i="2"/>
  <c r="O102" i="2"/>
  <c r="O110" i="2"/>
  <c r="O118" i="2"/>
  <c r="O126" i="2"/>
  <c r="O134" i="2"/>
  <c r="O142" i="2"/>
  <c r="O150" i="2"/>
  <c r="O158" i="2"/>
  <c r="O166" i="2"/>
  <c r="O174" i="2"/>
  <c r="O182" i="2"/>
  <c r="O190" i="2"/>
  <c r="O198" i="2"/>
  <c r="O206" i="2"/>
  <c r="O214" i="2"/>
  <c r="O222" i="2"/>
  <c r="O230" i="2"/>
  <c r="O238" i="2"/>
  <c r="O246" i="2"/>
  <c r="O254" i="2"/>
  <c r="O262" i="2"/>
  <c r="O270" i="2"/>
  <c r="O278" i="2"/>
  <c r="O286" i="2"/>
  <c r="O294" i="2"/>
  <c r="O302" i="2"/>
  <c r="O310" i="2"/>
  <c r="O318" i="2"/>
  <c r="O326" i="2"/>
  <c r="O334" i="2"/>
  <c r="O342" i="2"/>
  <c r="O350" i="2"/>
  <c r="O358" i="2"/>
  <c r="O366" i="2"/>
  <c r="O374" i="2"/>
  <c r="O382" i="2"/>
  <c r="O390" i="2"/>
  <c r="O398" i="2"/>
  <c r="O406" i="2"/>
  <c r="O414" i="2"/>
  <c r="O422" i="2"/>
  <c r="O430" i="2"/>
  <c r="O438" i="2"/>
  <c r="O446" i="2"/>
  <c r="O454" i="2"/>
  <c r="O462" i="2"/>
  <c r="O470" i="2"/>
  <c r="O478" i="2"/>
  <c r="O486" i="2"/>
  <c r="O494" i="2"/>
  <c r="O502" i="2"/>
  <c r="O510" i="2"/>
  <c r="O518" i="2"/>
  <c r="O526" i="2"/>
  <c r="O534" i="2"/>
  <c r="O542" i="2"/>
  <c r="O550" i="2"/>
  <c r="O558" i="2"/>
  <c r="O566" i="2"/>
  <c r="O574" i="2"/>
  <c r="O582" i="2"/>
  <c r="O590" i="2"/>
  <c r="O598" i="2"/>
  <c r="O606" i="2"/>
  <c r="O614" i="2"/>
  <c r="O622" i="2"/>
  <c r="O630" i="2"/>
  <c r="O638" i="2"/>
  <c r="O646" i="2"/>
  <c r="O654" i="2"/>
  <c r="O662" i="2"/>
  <c r="O670" i="2"/>
  <c r="O678" i="2"/>
  <c r="O8" i="2"/>
  <c r="O13" i="2"/>
  <c r="O30" i="2"/>
  <c r="O63" i="2"/>
  <c r="O24" i="2"/>
  <c r="O37" i="2"/>
  <c r="O42" i="2"/>
  <c r="O49" i="2"/>
  <c r="O57" i="2"/>
  <c r="O71" i="2"/>
  <c r="O79" i="2"/>
  <c r="O87" i="2"/>
  <c r="O95" i="2"/>
  <c r="O103" i="2"/>
  <c r="O111" i="2"/>
  <c r="O119" i="2"/>
  <c r="O127" i="2"/>
  <c r="O135" i="2"/>
  <c r="O143" i="2"/>
  <c r="O151" i="2"/>
  <c r="O159" i="2"/>
  <c r="O167" i="2"/>
  <c r="O175" i="2"/>
  <c r="O183" i="2"/>
  <c r="O191" i="2"/>
  <c r="O199" i="2"/>
  <c r="O207" i="2"/>
  <c r="O215" i="2"/>
  <c r="O223" i="2"/>
  <c r="O231" i="2"/>
  <c r="O239" i="2"/>
  <c r="O247" i="2"/>
  <c r="O255" i="2"/>
  <c r="O263" i="2"/>
  <c r="O271" i="2"/>
  <c r="O279" i="2"/>
  <c r="O287" i="2"/>
  <c r="O295" i="2"/>
  <c r="O303" i="2"/>
  <c r="O311" i="2"/>
  <c r="O319" i="2"/>
  <c r="O327" i="2"/>
  <c r="O335" i="2"/>
  <c r="O343" i="2"/>
  <c r="O351" i="2"/>
  <c r="O359" i="2"/>
  <c r="O367" i="2"/>
  <c r="O375" i="2"/>
  <c r="O383" i="2"/>
  <c r="O391" i="2"/>
  <c r="O399" i="2"/>
  <c r="O407" i="2"/>
  <c r="O415" i="2"/>
  <c r="O423" i="2"/>
  <c r="O431" i="2"/>
  <c r="O439" i="2"/>
  <c r="O447" i="2"/>
  <c r="O455" i="2"/>
  <c r="O463" i="2"/>
  <c r="O471" i="2"/>
  <c r="O479" i="2"/>
  <c r="O487" i="2"/>
  <c r="O495" i="2"/>
  <c r="O503" i="2"/>
  <c r="O511" i="2"/>
  <c r="O519" i="2"/>
  <c r="O527" i="2"/>
  <c r="O535" i="2"/>
  <c r="O543" i="2"/>
  <c r="O551" i="2"/>
  <c r="O559" i="2"/>
  <c r="O567" i="2"/>
  <c r="O575" i="2"/>
  <c r="O583" i="2"/>
  <c r="O591" i="2"/>
  <c r="O599" i="2"/>
  <c r="O607" i="2"/>
  <c r="O615" i="2"/>
  <c r="O623" i="2"/>
  <c r="O631" i="2"/>
  <c r="O14" i="2"/>
  <c r="O31" i="2"/>
  <c r="O9" i="2"/>
  <c r="O19" i="2"/>
  <c r="O25" i="2"/>
  <c r="O50" i="2"/>
  <c r="O58" i="2"/>
  <c r="O72" i="2"/>
  <c r="O80" i="2"/>
  <c r="O88" i="2"/>
  <c r="O96" i="2"/>
  <c r="O104" i="2"/>
  <c r="O112" i="2"/>
  <c r="O120" i="2"/>
  <c r="O128" i="2"/>
  <c r="O136" i="2"/>
  <c r="O144" i="2"/>
  <c r="O152" i="2"/>
  <c r="O160" i="2"/>
  <c r="O168" i="2"/>
  <c r="O176" i="2"/>
  <c r="O184" i="2"/>
  <c r="O192" i="2"/>
  <c r="O200" i="2"/>
  <c r="O208" i="2"/>
  <c r="O216" i="2"/>
  <c r="O224" i="2"/>
  <c r="O232" i="2"/>
  <c r="O240" i="2"/>
  <c r="O248" i="2"/>
  <c r="O256" i="2"/>
  <c r="O264" i="2"/>
  <c r="O272" i="2"/>
  <c r="O280" i="2"/>
  <c r="O288" i="2"/>
  <c r="O296" i="2"/>
  <c r="O304" i="2"/>
  <c r="O312" i="2"/>
  <c r="O320" i="2"/>
  <c r="O328" i="2"/>
  <c r="O336" i="2"/>
  <c r="O344" i="2"/>
  <c r="O352" i="2"/>
  <c r="O360" i="2"/>
  <c r="O368" i="2"/>
  <c r="O376" i="2"/>
  <c r="O384" i="2"/>
  <c r="O392" i="2"/>
  <c r="O400" i="2"/>
  <c r="O408" i="2"/>
  <c r="O416" i="2"/>
  <c r="O424" i="2"/>
  <c r="O432" i="2"/>
  <c r="O440" i="2"/>
  <c r="O448" i="2"/>
  <c r="O456" i="2"/>
  <c r="O464" i="2"/>
  <c r="O472" i="2"/>
  <c r="O480" i="2"/>
  <c r="O488" i="2"/>
  <c r="O496" i="2"/>
  <c r="O504" i="2"/>
  <c r="O512" i="2"/>
  <c r="O520" i="2"/>
  <c r="O528" i="2"/>
  <c r="O536" i="2"/>
  <c r="O544" i="2"/>
  <c r="O552" i="2"/>
  <c r="O560" i="2"/>
  <c r="O568" i="2"/>
  <c r="O576" i="2"/>
  <c r="O584" i="2"/>
  <c r="O592" i="2"/>
  <c r="O600" i="2"/>
  <c r="O608" i="2"/>
  <c r="O616" i="2"/>
  <c r="O624" i="2"/>
  <c r="O632" i="2"/>
  <c r="O640" i="2"/>
  <c r="O648" i="2"/>
  <c r="O656" i="2"/>
  <c r="O664" i="2"/>
  <c r="O672" i="2"/>
  <c r="O680" i="2"/>
  <c r="O32" i="2"/>
  <c r="O43" i="2"/>
  <c r="O97" i="2"/>
  <c r="O225" i="2"/>
  <c r="O353" i="2"/>
  <c r="O481" i="2"/>
  <c r="O537" i="2"/>
  <c r="O588" i="2"/>
  <c r="O601" i="2"/>
  <c r="O169" i="2"/>
  <c r="O297" i="2"/>
  <c r="O425" i="2"/>
  <c r="O649" i="2"/>
  <c r="O660" i="2"/>
  <c r="O681" i="2"/>
  <c r="O59" i="2"/>
  <c r="O113" i="2"/>
  <c r="O241" i="2"/>
  <c r="O369" i="2"/>
  <c r="O497" i="2"/>
  <c r="O564" i="2"/>
  <c r="O577" i="2"/>
  <c r="O628" i="2"/>
  <c r="O639" i="2"/>
  <c r="O671" i="2"/>
  <c r="O281" i="2"/>
  <c r="O185" i="2"/>
  <c r="O313" i="2"/>
  <c r="O441" i="2"/>
  <c r="O661" i="2"/>
  <c r="O129" i="2"/>
  <c r="O257" i="2"/>
  <c r="O385" i="2"/>
  <c r="O513" i="2"/>
  <c r="O540" i="2"/>
  <c r="O553" i="2"/>
  <c r="O604" i="2"/>
  <c r="O617" i="2"/>
  <c r="O629" i="2"/>
  <c r="O153" i="2"/>
  <c r="O73" i="2"/>
  <c r="O201" i="2"/>
  <c r="O329" i="2"/>
  <c r="O457" i="2"/>
  <c r="O641" i="2"/>
  <c r="O652" i="2"/>
  <c r="O673" i="2"/>
  <c r="O684" i="2"/>
  <c r="O145" i="2"/>
  <c r="O273" i="2"/>
  <c r="O401" i="2"/>
  <c r="O529" i="2"/>
  <c r="O580" i="2"/>
  <c r="O593" i="2"/>
  <c r="O663" i="2"/>
  <c r="O89" i="2"/>
  <c r="O217" i="2"/>
  <c r="O345" i="2"/>
  <c r="O473" i="2"/>
  <c r="O653" i="2"/>
  <c r="O685" i="2"/>
  <c r="O161" i="2"/>
  <c r="O289" i="2"/>
  <c r="O417" i="2"/>
  <c r="O556" i="2"/>
  <c r="O569" i="2"/>
  <c r="O620" i="2"/>
  <c r="O51" i="2"/>
  <c r="O105" i="2"/>
  <c r="O233" i="2"/>
  <c r="O361" i="2"/>
  <c r="O489" i="2"/>
  <c r="O633" i="2"/>
  <c r="O644" i="2"/>
  <c r="O665" i="2"/>
  <c r="O676" i="2"/>
  <c r="O38" i="2"/>
  <c r="O64" i="2"/>
  <c r="O177" i="2"/>
  <c r="O305" i="2"/>
  <c r="O433" i="2"/>
  <c r="O532" i="2"/>
  <c r="O545" i="2"/>
  <c r="O596" i="2"/>
  <c r="O609" i="2"/>
  <c r="O655" i="2"/>
  <c r="O121" i="2"/>
  <c r="O249" i="2"/>
  <c r="O377" i="2"/>
  <c r="O505" i="2"/>
  <c r="O645" i="2"/>
  <c r="O677" i="2"/>
  <c r="O65" i="2"/>
  <c r="O193" i="2"/>
  <c r="O321" i="2"/>
  <c r="O449" i="2"/>
  <c r="O572" i="2"/>
  <c r="O585" i="2"/>
  <c r="O15" i="2"/>
  <c r="O137" i="2"/>
  <c r="O265" i="2"/>
  <c r="O393" i="2"/>
  <c r="O521" i="2"/>
  <c r="O636" i="2"/>
  <c r="O657" i="2"/>
  <c r="O668" i="2"/>
  <c r="O409" i="2"/>
  <c r="O669" i="2"/>
  <c r="O81" i="2"/>
  <c r="O209" i="2"/>
  <c r="O337" i="2"/>
  <c r="O465" i="2"/>
  <c r="O548" i="2"/>
  <c r="O561" i="2"/>
  <c r="O612" i="2"/>
  <c r="O625" i="2"/>
  <c r="O647" i="2"/>
  <c r="O679" i="2"/>
  <c r="O637" i="2"/>
  <c r="K15" i="1"/>
  <c r="H15" i="1"/>
  <c r="J15" i="1" s="1"/>
  <c r="K31" i="1"/>
  <c r="H31" i="1"/>
  <c r="J31" i="1" s="1"/>
  <c r="A40" i="2" l="1"/>
  <c r="A41" i="2" s="1"/>
  <c r="A42" i="2" s="1"/>
  <c r="A43" i="2" s="1"/>
  <c r="A45" i="2" s="1"/>
</calcChain>
</file>

<file path=xl/sharedStrings.xml><?xml version="1.0" encoding="utf-8"?>
<sst xmlns="http://schemas.openxmlformats.org/spreadsheetml/2006/main" count="164" uniqueCount="147">
  <si>
    <t>NAME\mL</t>
  </si>
  <si>
    <t>Portion 5</t>
  </si>
  <si>
    <t>Portion 4</t>
  </si>
  <si>
    <t>Portion 3</t>
  </si>
  <si>
    <t>Portion 2</t>
  </si>
  <si>
    <t>Portion 1</t>
  </si>
  <si>
    <t>N=40</t>
  </si>
  <si>
    <t>N=20</t>
  </si>
  <si>
    <t>N=10</t>
  </si>
  <si>
    <t>N=6</t>
  </si>
  <si>
    <t>N=3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</si>
  <si>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</si>
  <si>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X &lt;</t>
  </si>
  <si>
    <t>X &gt;=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</si>
  <si>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</si>
  <si>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Mean counted X</t>
  </si>
  <si>
    <t>Table C.2</t>
  </si>
  <si>
    <t>count_70</t>
  </si>
  <si>
    <t>count_50</t>
  </si>
  <si>
    <t>count_38</t>
  </si>
  <si>
    <t>count_30</t>
  </si>
  <si>
    <t>count_29</t>
  </si>
  <si>
    <t>count_28</t>
  </si>
  <si>
    <t>count_27</t>
  </si>
  <si>
    <t>count_26</t>
  </si>
  <si>
    <t>count_25</t>
  </si>
  <si>
    <t>count_24</t>
  </si>
  <si>
    <t>count_23</t>
  </si>
  <si>
    <t>count_22</t>
  </si>
  <si>
    <t>count_21</t>
  </si>
  <si>
    <t>count_20</t>
  </si>
  <si>
    <t>count_19</t>
  </si>
  <si>
    <t>count_18</t>
  </si>
  <si>
    <t>count_17</t>
  </si>
  <si>
    <t>count_16</t>
  </si>
  <si>
    <t>count_15</t>
  </si>
  <si>
    <t>count_14</t>
  </si>
  <si>
    <t>count_13</t>
  </si>
  <si>
    <t>count_12</t>
  </si>
  <si>
    <t>count_11</t>
  </si>
  <si>
    <t>count_10</t>
  </si>
  <si>
    <t>count_9</t>
  </si>
  <si>
    <t>count_8</t>
  </si>
  <si>
    <t>count_7</t>
  </si>
  <si>
    <t>count_6</t>
  </si>
  <si>
    <t>count_5</t>
  </si>
  <si>
    <t>count_4</t>
  </si>
  <si>
    <t>Scanned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</si>
  <si>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C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</si>
  <si>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</si>
  <si>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</si>
  <si>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t>CV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</si>
  <si>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</si>
  <si>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X / ml</t>
  </si>
  <si>
    <t>BOTTLE</t>
  </si>
  <si>
    <t>34D</t>
  </si>
  <si>
    <t>RM</t>
  </si>
  <si>
    <t>Date</t>
  </si>
  <si>
    <t>Dilution Ratio</t>
  </si>
  <si>
    <t>11171-00009</t>
  </si>
  <si>
    <t>Serial #</t>
  </si>
  <si>
    <t>CHECK CALIBRATION THRESHOLDS ENTERED ON PARTICLE COUNTER</t>
  </si>
  <si>
    <t>BOTTLE 1</t>
  </si>
  <si>
    <t>Data Preprocessing and Quality Assessment per ISO 11171 Clause 6.6</t>
  </si>
  <si>
    <t>Capture Fraction</t>
  </si>
  <si>
    <t>Total in sample</t>
  </si>
  <si>
    <t>Total Counted</t>
  </si>
  <si>
    <t>ml</t>
  </si>
  <si>
    <t>Total Sample</t>
  </si>
  <si>
    <t>Volume scanned</t>
  </si>
  <si>
    <t>ADU</t>
  </si>
  <si>
    <t>Detection Threshold</t>
  </si>
  <si>
    <t>ml/min</t>
  </si>
  <si>
    <t>Flow</t>
  </si>
  <si>
    <t>Boxcar_n</t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</si>
  <si>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DIAMETER</t>
    </r>
    <r>
      <rPr>
        <sz val="10"/>
        <rFont val="Arial"/>
        <family val="2"/>
      </rPr>
      <t xml:space="preserve"> &lt; 15%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</si>
  <si>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SIGNAL</t>
    </r>
    <r>
      <rPr>
        <sz val="10"/>
        <rFont val="Arial"/>
        <family val="2"/>
      </rPr>
      <t xml:space="preserve"> &lt; 30%</t>
    </r>
  </si>
  <si>
    <t>Std.Dev.</t>
  </si>
  <si>
    <t>FWHM</t>
  </si>
  <si>
    <t>½ FWHM</t>
  </si>
  <si>
    <t>X value</t>
  </si>
  <si>
    <t>LHS FWHM</t>
  </si>
  <si>
    <t>half peak value</t>
  </si>
  <si>
    <t>Peak Position</t>
  </si>
  <si>
    <t>Peak data value</t>
  </si>
  <si>
    <t>Required amount of diluent</t>
  </si>
  <si>
    <t>Required amount of concentrate</t>
  </si>
  <si>
    <t>Desired sphere quantity total</t>
  </si>
  <si>
    <t>/bottle</t>
  </si>
  <si>
    <t>Desired final sphere concentration for analysis</t>
  </si>
  <si>
    <t>/ml</t>
  </si>
  <si>
    <t>Desired fluid quantity</t>
  </si>
  <si>
    <t>Final Concentration / ml</t>
  </si>
  <si>
    <t>Dilution</t>
  </si>
  <si>
    <t>Diluent Added / g</t>
  </si>
  <si>
    <t>Expected Final Fluid Volume / ml</t>
  </si>
  <si>
    <t>Final Concentration</t>
  </si>
  <si>
    <t>Extra volume to add</t>
  </si>
  <si>
    <t>Diluent to add / g</t>
  </si>
  <si>
    <t>Adjusted volume required</t>
  </si>
  <si>
    <t>Concentrate Added / g</t>
  </si>
  <si>
    <t>Spheres added</t>
  </si>
  <si>
    <t>Concentrate to Add / g</t>
  </si>
  <si>
    <t>Initial Concentration</t>
  </si>
  <si>
    <t>N/ml</t>
  </si>
  <si>
    <t>Bottle Capacity / g</t>
  </si>
  <si>
    <t>Actual mass added</t>
  </si>
  <si>
    <t>mg</t>
  </si>
  <si>
    <t>Bottle Size / ml</t>
  </si>
  <si>
    <t>Total mass of spheres to add</t>
  </si>
  <si>
    <t>D1</t>
  </si>
  <si>
    <t>Bottle Number</t>
  </si>
  <si>
    <t>Bottle / Rig volume</t>
  </si>
  <si>
    <t>litres</t>
  </si>
  <si>
    <t>Ratio Diluent:Concentrate</t>
  </si>
  <si>
    <t>spheres to add per liter</t>
  </si>
  <si>
    <t>mg/l</t>
  </si>
  <si>
    <t>Target concentration per ml</t>
  </si>
  <si>
    <t>Concentrate / ml</t>
  </si>
  <si>
    <t>spheres per mg</t>
  </si>
  <si>
    <t>Number</t>
  </si>
  <si>
    <t>Fluid Density</t>
  </si>
  <si>
    <t>mass of a sphere</t>
  </si>
  <si>
    <t>kg</t>
  </si>
  <si>
    <t>Target Concentration / ml</t>
  </si>
  <si>
    <t>volume of a sphere</t>
  </si>
  <si>
    <t>m^3</t>
  </si>
  <si>
    <t>Spheres Concentration Calculator</t>
  </si>
  <si>
    <t>diameter</t>
  </si>
  <si>
    <t>microns</t>
  </si>
  <si>
    <t>NIST TRACEABLE</t>
  </si>
  <si>
    <t>Concentration / ml</t>
  </si>
  <si>
    <t>Firmware</t>
  </si>
  <si>
    <t>μm certified mean diamater</t>
  </si>
  <si>
    <t>10.2±0.4</t>
  </si>
  <si>
    <t>11171-00002</t>
  </si>
  <si>
    <t>Particle Counter</t>
  </si>
  <si>
    <t>LC10 spheres batch DC-10-033</t>
  </si>
  <si>
    <t>JMD</t>
  </si>
  <si>
    <t>Operator</t>
  </si>
  <si>
    <t>Max/2</t>
  </si>
  <si>
    <t>Average</t>
  </si>
  <si>
    <t>count</t>
  </si>
  <si>
    <t>#</t>
  </si>
  <si>
    <t>Annex D - Resolution</t>
  </si>
  <si>
    <t>10um spheres</t>
  </si>
  <si>
    <r>
      <rPr>
        <sz val="10"/>
        <color rgb="FF006600"/>
        <rFont val="Arial"/>
        <family val="2"/>
      </rPr>
      <t>Cv</t>
    </r>
    <r>
      <rPr>
        <vertAlign val="subscript"/>
        <sz val="10"/>
        <color rgb="FF006600"/>
        <rFont val="Arial"/>
        <family val="2"/>
      </rPr>
      <t>DIAM_10</t>
    </r>
    <r>
      <rPr>
        <sz val="10"/>
        <color rgb="FF006600"/>
        <rFont val="Arial"/>
        <family val="2"/>
      </rPr>
      <t xml:space="preserve"> &lt; +/-15%
→ Cv</t>
    </r>
    <r>
      <rPr>
        <vertAlign val="subscript"/>
        <sz val="10"/>
        <color rgb="FF006600"/>
        <rFont val="Arial"/>
        <family val="2"/>
      </rPr>
      <t>SIGNAL_10</t>
    </r>
    <r>
      <rPr>
        <sz val="10"/>
        <color rgb="FF006600"/>
        <rFont val="Arial"/>
        <family val="2"/>
      </rPr>
      <t xml:space="preserve"> &lt; +/-32%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</si>
</sst>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"/>
    <numFmt numFmtId="166" formatCode="0.000"/>
    <numFmt numFmtId="167" formatCode="yyyy\-mm\-dd"/>
    <numFmt numFmtId="168" formatCode="0.000E+00"/>
  </numFmts>
  <fonts count="18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b/>
      <vertAlign val="subscript"/>
      <sz val="10"/>
      <name val="Arial"/>
      <family val="2"/>
    </font>
    <font>
      <sz val="32"/>
      <name val="Arial"/>
      <family val="2"/>
    </font>
    <font>
      <b/>
      <sz val="10"/>
      <color rgb="FFFC5C00"/>
      <name val="Arial"/>
      <family val="2"/>
    </font>
    <font>
      <sz val="11"/>
      <color rgb="FF333333"/>
      <name val="Arial"/>
      <family val="2"/>
    </font>
    <font>
      <sz val="10"/>
      <color rgb="FF006600"/>
      <name val="Arial"/>
      <family val="2"/>
    </font>
    <font>
      <sz val="10"/>
      <color theme="1"/>
      <name val="Arial"/>
      <family val="2"/>
      <scheme val="minor"/>
    </font>
    <font>
      <sz val="10"/>
      <color rgb="FF333333"/>
      <name val="Arial"/>
      <family val="2"/>
    </font>
    <font>
      <i/>
      <sz val="10"/>
      <color rgb="FF333333"/>
      <name val="Arial"/>
      <family val="2"/>
    </font>
    <font>
      <b/>
      <sz val="10"/>
      <color rgb="FF333333"/>
      <name val="Arial"/>
      <family val="2"/>
    </font>
    <font>
      <i/>
      <sz val="10"/>
      <name val="Arial"/>
      <family val="2"/>
    </font>
    <font>
      <b/>
      <sz val="11"/>
      <color rgb="FF333333"/>
      <name val="Arial"/>
      <family val="2"/>
    </font>
    <font>
      <sz val="24"/>
      <color rgb="FFC00000"/>
      <name val="Arial Black"/>
      <family val="2"/>
    </font>
    <font>
      <vertAlign val="subscript"/>
      <sz val="10"/>
      <color rgb="FF0066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rgb="FFCCFFCC"/>
        <bgColor rgb="FFCCF4C6"/>
      </patternFill>
    </fill>
    <fill>
      <patternFill patternType="solid">
        <fgColor rgb="FFCCFFCC"/>
        <bgColor rgb="FFE0FFFF"/>
      </patternFill>
    </fill>
  </fills>
  <borders count="12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0" fontId="9" fillId="3" borderId="0" applyBorder="0" applyAlignment="0" applyProtection="0"/>
    <xf numFmtId="0" fontId="1" fillId="2" borderId="0" applyNumberFormat="0" applyBorder="0" applyAlignment="0" applyProtection="0"/>
    <xf numFmtId="0" fontId="8" fillId="0" borderId="0"/>
  </cellStyleXfs>
  <cellXfs count="77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right"/>
    </xf>
    <xf numFmtId="0" fontId="0" fillId="0" borderId="8" xfId="0" applyBorder="1"/>
    <xf numFmtId="0" fontId="0" fillId="0" borderId="7" xfId="0" applyBorder="1" applyAlignment="1">
      <alignment horizontal="right"/>
    </xf>
    <xf numFmtId="164" fontId="0" fillId="0" borderId="0" xfId="0" applyNumberFormat="1"/>
    <xf numFmtId="1" fontId="0" fillId="0" borderId="0" xfId="0" applyNumberFormat="1" applyAlignment="1">
      <alignment horizontal="right"/>
    </xf>
    <xf numFmtId="165" fontId="3" fillId="0" borderId="0" xfId="0" applyNumberFormat="1" applyFont="1"/>
    <xf numFmtId="1" fontId="0" fillId="0" borderId="0" xfId="0" applyNumberFormat="1"/>
    <xf numFmtId="0" fontId="0" fillId="0" borderId="0" xfId="0" applyAlignment="1">
      <alignment horizontal="right"/>
    </xf>
    <xf numFmtId="165" fontId="3" fillId="0" borderId="0" xfId="0" applyNumberFormat="1" applyFont="1" applyAlignment="1">
      <alignment horizontal="right"/>
    </xf>
    <xf numFmtId="166" fontId="0" fillId="0" borderId="0" xfId="0" applyNumberFormat="1"/>
    <xf numFmtId="0" fontId="3" fillId="0" borderId="9" xfId="0" applyFont="1" applyBorder="1" applyAlignment="1">
      <alignment horizontal="right" wrapText="1"/>
    </xf>
    <xf numFmtId="167" fontId="0" fillId="0" borderId="0" xfId="0" applyNumberFormat="1"/>
    <xf numFmtId="0" fontId="3" fillId="0" borderId="10" xfId="0" applyFont="1" applyBorder="1" applyAlignment="1">
      <alignment horizontal="right"/>
    </xf>
    <xf numFmtId="0" fontId="6" fillId="0" borderId="0" xfId="0" applyFont="1"/>
    <xf numFmtId="167" fontId="3" fillId="0" borderId="10" xfId="0" applyNumberFormat="1" applyFont="1" applyBorder="1"/>
    <xf numFmtId="0" fontId="3" fillId="0" borderId="11" xfId="0" applyFont="1" applyBorder="1"/>
    <xf numFmtId="0" fontId="7" fillId="0" borderId="0" xfId="0" applyFont="1"/>
    <xf numFmtId="0" fontId="6" fillId="0" borderId="0" xfId="0" applyFont="1" applyAlignment="1">
      <alignment horizontal="left" vertical="center"/>
    </xf>
    <xf numFmtId="0" fontId="8" fillId="0" borderId="0" xfId="3"/>
    <xf numFmtId="10" fontId="8" fillId="0" borderId="0" xfId="3" applyNumberFormat="1"/>
    <xf numFmtId="0" fontId="2" fillId="0" borderId="0" xfId="3" applyFont="1"/>
    <xf numFmtId="2" fontId="8" fillId="0" borderId="0" xfId="3" applyNumberFormat="1"/>
    <xf numFmtId="2" fontId="0" fillId="0" borderId="0" xfId="0" applyNumberFormat="1"/>
    <xf numFmtId="165" fontId="0" fillId="0" borderId="5" xfId="0" applyNumberFormat="1" applyBorder="1"/>
    <xf numFmtId="166" fontId="9" fillId="3" borderId="1" xfId="1" applyNumberFormat="1" applyBorder="1"/>
    <xf numFmtId="0" fontId="2" fillId="0" borderId="2" xfId="0" applyFont="1" applyBorder="1" applyAlignment="1">
      <alignment horizontal="right" vertical="center"/>
    </xf>
    <xf numFmtId="0" fontId="10" fillId="2" borderId="4" xfId="2" applyFont="1" applyBorder="1"/>
    <xf numFmtId="0" fontId="2" fillId="0" borderId="0" xfId="0" applyFont="1" applyAlignment="1">
      <alignment horizontal="right" vertical="center"/>
    </xf>
    <xf numFmtId="0" fontId="11" fillId="0" borderId="0" xfId="3" applyFont="1"/>
    <xf numFmtId="1" fontId="12" fillId="0" borderId="0" xfId="3" applyNumberFormat="1" applyFont="1"/>
    <xf numFmtId="0" fontId="12" fillId="0" borderId="0" xfId="3" applyFont="1" applyAlignment="1">
      <alignment horizontal="right"/>
    </xf>
    <xf numFmtId="0" fontId="3" fillId="0" borderId="5" xfId="0" applyFont="1" applyBorder="1"/>
    <xf numFmtId="2" fontId="13" fillId="0" borderId="0" xfId="3" applyNumberFormat="1" applyFont="1"/>
    <xf numFmtId="0" fontId="11" fillId="0" borderId="0" xfId="3" applyFont="1" applyAlignment="1">
      <alignment horizontal="right"/>
    </xf>
    <xf numFmtId="0" fontId="11" fillId="0" borderId="3" xfId="3" applyFont="1" applyBorder="1"/>
    <xf numFmtId="2" fontId="10" fillId="2" borderId="4" xfId="2" applyNumberFormat="1" applyFont="1" applyBorder="1"/>
    <xf numFmtId="2" fontId="3" fillId="0" borderId="4" xfId="0" applyNumberFormat="1" applyFont="1" applyBorder="1"/>
    <xf numFmtId="0" fontId="11" fillId="0" borderId="5" xfId="3" applyFont="1" applyBorder="1"/>
    <xf numFmtId="0" fontId="0" fillId="0" borderId="0" xfId="0" applyProtection="1">
      <protection locked="0"/>
    </xf>
    <xf numFmtId="1" fontId="3" fillId="0" borderId="5" xfId="0" applyNumberFormat="1" applyFont="1" applyBorder="1" applyProtection="1">
      <protection locked="0"/>
    </xf>
    <xf numFmtId="2" fontId="12" fillId="0" borderId="0" xfId="3" applyNumberFormat="1" applyFont="1"/>
    <xf numFmtId="0" fontId="3" fillId="0" borderId="5" xfId="0" applyFont="1" applyBorder="1" applyProtection="1">
      <protection locked="0"/>
    </xf>
    <xf numFmtId="0" fontId="12" fillId="0" borderId="4" xfId="3" applyFont="1" applyBorder="1"/>
    <xf numFmtId="2" fontId="0" fillId="0" borderId="5" xfId="0" applyNumberFormat="1" applyBorder="1" applyProtection="1">
      <protection locked="0"/>
    </xf>
    <xf numFmtId="0" fontId="3" fillId="0" borderId="4" xfId="0" applyFont="1" applyBorder="1" applyAlignment="1">
      <alignment horizontal="right"/>
    </xf>
    <xf numFmtId="0" fontId="2" fillId="0" borderId="0" xfId="0" applyFont="1" applyAlignment="1">
      <alignment horizontal="right"/>
    </xf>
    <xf numFmtId="0" fontId="12" fillId="0" borderId="0" xfId="3" applyFont="1"/>
    <xf numFmtId="0" fontId="8" fillId="0" borderId="0" xfId="3" applyAlignment="1">
      <alignment vertical="center"/>
    </xf>
    <xf numFmtId="0" fontId="2" fillId="0" borderId="4" xfId="0" applyFont="1" applyBorder="1"/>
    <xf numFmtId="168" fontId="0" fillId="0" borderId="5" xfId="0" applyNumberFormat="1" applyBorder="1" applyProtection="1">
      <protection locked="0"/>
    </xf>
    <xf numFmtId="0" fontId="14" fillId="0" borderId="4" xfId="0" applyFont="1" applyBorder="1"/>
    <xf numFmtId="0" fontId="14" fillId="0" borderId="0" xfId="0" applyFont="1" applyAlignment="1">
      <alignment horizontal="right" vertical="center"/>
    </xf>
    <xf numFmtId="0" fontId="15" fillId="0" borderId="6" xfId="3" applyFont="1" applyBorder="1" applyAlignment="1">
      <alignment horizontal="right"/>
    </xf>
    <xf numFmtId="0" fontId="8" fillId="0" borderId="7" xfId="3" applyBorder="1"/>
    <xf numFmtId="0" fontId="8" fillId="0" borderId="8" xfId="3" applyBorder="1"/>
    <xf numFmtId="0" fontId="0" fillId="0" borderId="7" xfId="0" applyBorder="1" applyProtection="1">
      <protection locked="0"/>
    </xf>
    <xf numFmtId="0" fontId="3" fillId="0" borderId="8" xfId="0" applyFont="1" applyBorder="1" applyProtection="1">
      <protection locked="0"/>
    </xf>
    <xf numFmtId="0" fontId="8" fillId="0" borderId="0" xfId="3" applyProtection="1">
      <protection locked="0"/>
    </xf>
    <xf numFmtId="1" fontId="8" fillId="0" borderId="0" xfId="3" applyNumberFormat="1" applyProtection="1">
      <protection locked="0"/>
    </xf>
    <xf numFmtId="0" fontId="8" fillId="0" borderId="0" xfId="3" applyAlignment="1">
      <alignment horizontal="right"/>
    </xf>
    <xf numFmtId="167" fontId="8" fillId="0" borderId="0" xfId="3" applyNumberFormat="1"/>
    <xf numFmtId="0" fontId="8" fillId="0" borderId="0" xfId="3" applyAlignment="1">
      <alignment vertical="center"/>
    </xf>
    <xf numFmtId="0" fontId="16" fillId="0" borderId="0" xfId="3" applyFont="1" applyAlignment="1">
      <alignment vertical="center" wrapText="1"/>
    </xf>
    <xf numFmtId="0" fontId="9" fillId="4" borderId="0" xfId="3" applyFont="1" applyFill="1" applyAlignment="1">
      <alignment vertical="center" wrapText="1"/>
    </xf>
  </cellXfs>
  <cellStyles count="4">
    <cellStyle name="20% - Accent2" xfId="2" builtinId="34"/>
    <cellStyle name="Good" xfId="1" builtinId="26"/>
    <cellStyle name="Normal" xfId="0" builtinId="0"/>
    <cellStyle name="Normal 2" xfId="3" xr:uid="{60AE64D3-4CAF-435B-A70D-CD7BCFA776EC}"/>
  </cellStyles>
  <dxfs count="4">
    <dxf>
      <font>
        <b val="0"/>
        <i val="0"/>
        <sz val="10"/>
        <color rgb="FF006600"/>
        <name val="Arial"/>
        <family val="2"/>
      </font>
      <fill>
        <patternFill>
          <bgColor rgb="FFCCFFCC"/>
        </patternFill>
      </fill>
      <alignment horizontal="general" vertical="bottom" textRotation="0" wrapText="0" indent="0" shrinkToFit="0"/>
    </dxf>
    <dxf>
      <font>
        <b val="0"/>
        <i val="0"/>
        <sz val="10"/>
        <color rgb="FF006600"/>
        <name val="Arial"/>
        <family val="2"/>
      </font>
      <fill>
        <patternFill>
          <bgColor rgb="FFCCFFCC"/>
        </patternFill>
      </fill>
      <alignment horizontal="general" vertical="bottom" textRotation="0" wrapText="0" indent="0" shrinkToFit="0"/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'Annex D (2)'!$M$1</c:f>
              <c:strCache>
                <c:ptCount val="1"/>
                <c:pt idx="0">
                  <c:v>count</c:v>
                </c:pt>
              </c:strCache>
            </c:strRef>
          </c:tx>
          <c:spPr>
            <a:ln w="28800">
              <a:noFill/>
            </a:ln>
          </c:spPr>
          <c:marker>
            <c:symbol val="square"/>
            <c:size val="2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D (2)'!$L$2:$L$1002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'Annex D (2)'!$M$2:$M$1002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2</c:v>
                </c:pt>
                <c:pt idx="306">
                  <c:v>1</c:v>
                </c:pt>
                <c:pt idx="307">
                  <c:v>0</c:v>
                </c:pt>
                <c:pt idx="308">
                  <c:v>2</c:v>
                </c:pt>
                <c:pt idx="309">
                  <c:v>2</c:v>
                </c:pt>
                <c:pt idx="310">
                  <c:v>1</c:v>
                </c:pt>
                <c:pt idx="311">
                  <c:v>2</c:v>
                </c:pt>
                <c:pt idx="312">
                  <c:v>4</c:v>
                </c:pt>
                <c:pt idx="313">
                  <c:v>1</c:v>
                </c:pt>
                <c:pt idx="314">
                  <c:v>4</c:v>
                </c:pt>
                <c:pt idx="315">
                  <c:v>3</c:v>
                </c:pt>
                <c:pt idx="316">
                  <c:v>2</c:v>
                </c:pt>
                <c:pt idx="317">
                  <c:v>1</c:v>
                </c:pt>
                <c:pt idx="318">
                  <c:v>1</c:v>
                </c:pt>
                <c:pt idx="319">
                  <c:v>5</c:v>
                </c:pt>
                <c:pt idx="320">
                  <c:v>2</c:v>
                </c:pt>
                <c:pt idx="321">
                  <c:v>3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3</c:v>
                </c:pt>
                <c:pt idx="326">
                  <c:v>0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3</c:v>
                </c:pt>
                <c:pt idx="332">
                  <c:v>1</c:v>
                </c:pt>
                <c:pt idx="333">
                  <c:v>4</c:v>
                </c:pt>
                <c:pt idx="334">
                  <c:v>4</c:v>
                </c:pt>
                <c:pt idx="335">
                  <c:v>1</c:v>
                </c:pt>
                <c:pt idx="336">
                  <c:v>2</c:v>
                </c:pt>
                <c:pt idx="337">
                  <c:v>4</c:v>
                </c:pt>
                <c:pt idx="338">
                  <c:v>2</c:v>
                </c:pt>
                <c:pt idx="339">
                  <c:v>3</c:v>
                </c:pt>
                <c:pt idx="340">
                  <c:v>3</c:v>
                </c:pt>
                <c:pt idx="341">
                  <c:v>6</c:v>
                </c:pt>
                <c:pt idx="342">
                  <c:v>4</c:v>
                </c:pt>
                <c:pt idx="343">
                  <c:v>5</c:v>
                </c:pt>
                <c:pt idx="344">
                  <c:v>8</c:v>
                </c:pt>
                <c:pt idx="345">
                  <c:v>3</c:v>
                </c:pt>
                <c:pt idx="346">
                  <c:v>7</c:v>
                </c:pt>
                <c:pt idx="347">
                  <c:v>8</c:v>
                </c:pt>
                <c:pt idx="348">
                  <c:v>4</c:v>
                </c:pt>
                <c:pt idx="349">
                  <c:v>4</c:v>
                </c:pt>
                <c:pt idx="350">
                  <c:v>5</c:v>
                </c:pt>
                <c:pt idx="351">
                  <c:v>7</c:v>
                </c:pt>
                <c:pt idx="352">
                  <c:v>9</c:v>
                </c:pt>
                <c:pt idx="353">
                  <c:v>10</c:v>
                </c:pt>
                <c:pt idx="354">
                  <c:v>9</c:v>
                </c:pt>
                <c:pt idx="355">
                  <c:v>10</c:v>
                </c:pt>
                <c:pt idx="356">
                  <c:v>7</c:v>
                </c:pt>
                <c:pt idx="357">
                  <c:v>18</c:v>
                </c:pt>
                <c:pt idx="358">
                  <c:v>6</c:v>
                </c:pt>
                <c:pt idx="359">
                  <c:v>10</c:v>
                </c:pt>
                <c:pt idx="360">
                  <c:v>10</c:v>
                </c:pt>
                <c:pt idx="361">
                  <c:v>16</c:v>
                </c:pt>
                <c:pt idx="362">
                  <c:v>12</c:v>
                </c:pt>
                <c:pt idx="363">
                  <c:v>18</c:v>
                </c:pt>
                <c:pt idx="364">
                  <c:v>16</c:v>
                </c:pt>
                <c:pt idx="365">
                  <c:v>15</c:v>
                </c:pt>
                <c:pt idx="366">
                  <c:v>24</c:v>
                </c:pt>
                <c:pt idx="367">
                  <c:v>12</c:v>
                </c:pt>
                <c:pt idx="368">
                  <c:v>14</c:v>
                </c:pt>
                <c:pt idx="369">
                  <c:v>23</c:v>
                </c:pt>
                <c:pt idx="370">
                  <c:v>16</c:v>
                </c:pt>
                <c:pt idx="371">
                  <c:v>21</c:v>
                </c:pt>
                <c:pt idx="372">
                  <c:v>14</c:v>
                </c:pt>
                <c:pt idx="373">
                  <c:v>21</c:v>
                </c:pt>
                <c:pt idx="374">
                  <c:v>22</c:v>
                </c:pt>
                <c:pt idx="375">
                  <c:v>35</c:v>
                </c:pt>
                <c:pt idx="376">
                  <c:v>29</c:v>
                </c:pt>
                <c:pt idx="377">
                  <c:v>20</c:v>
                </c:pt>
                <c:pt idx="378">
                  <c:v>27</c:v>
                </c:pt>
                <c:pt idx="379">
                  <c:v>28</c:v>
                </c:pt>
                <c:pt idx="380">
                  <c:v>35</c:v>
                </c:pt>
                <c:pt idx="381">
                  <c:v>31</c:v>
                </c:pt>
                <c:pt idx="382">
                  <c:v>38</c:v>
                </c:pt>
                <c:pt idx="383">
                  <c:v>32</c:v>
                </c:pt>
                <c:pt idx="384">
                  <c:v>40</c:v>
                </c:pt>
                <c:pt idx="385">
                  <c:v>36</c:v>
                </c:pt>
                <c:pt idx="386">
                  <c:v>43</c:v>
                </c:pt>
                <c:pt idx="387">
                  <c:v>43</c:v>
                </c:pt>
                <c:pt idx="388">
                  <c:v>44</c:v>
                </c:pt>
                <c:pt idx="389">
                  <c:v>44</c:v>
                </c:pt>
                <c:pt idx="390">
                  <c:v>58</c:v>
                </c:pt>
                <c:pt idx="391">
                  <c:v>60</c:v>
                </c:pt>
                <c:pt idx="392">
                  <c:v>51</c:v>
                </c:pt>
                <c:pt idx="393">
                  <c:v>58</c:v>
                </c:pt>
                <c:pt idx="394">
                  <c:v>46</c:v>
                </c:pt>
                <c:pt idx="395">
                  <c:v>63</c:v>
                </c:pt>
                <c:pt idx="396">
                  <c:v>68</c:v>
                </c:pt>
                <c:pt idx="397">
                  <c:v>73</c:v>
                </c:pt>
                <c:pt idx="398">
                  <c:v>68</c:v>
                </c:pt>
                <c:pt idx="399">
                  <c:v>76</c:v>
                </c:pt>
                <c:pt idx="400">
                  <c:v>82</c:v>
                </c:pt>
                <c:pt idx="401">
                  <c:v>76</c:v>
                </c:pt>
                <c:pt idx="402">
                  <c:v>83</c:v>
                </c:pt>
                <c:pt idx="403">
                  <c:v>81</c:v>
                </c:pt>
                <c:pt idx="404">
                  <c:v>77</c:v>
                </c:pt>
                <c:pt idx="405">
                  <c:v>100</c:v>
                </c:pt>
                <c:pt idx="406">
                  <c:v>102</c:v>
                </c:pt>
                <c:pt idx="407">
                  <c:v>93</c:v>
                </c:pt>
                <c:pt idx="408">
                  <c:v>113</c:v>
                </c:pt>
                <c:pt idx="409">
                  <c:v>121</c:v>
                </c:pt>
                <c:pt idx="410">
                  <c:v>121</c:v>
                </c:pt>
                <c:pt idx="411">
                  <c:v>134</c:v>
                </c:pt>
                <c:pt idx="412">
                  <c:v>143</c:v>
                </c:pt>
                <c:pt idx="413">
                  <c:v>131</c:v>
                </c:pt>
                <c:pt idx="414">
                  <c:v>127</c:v>
                </c:pt>
                <c:pt idx="415">
                  <c:v>145</c:v>
                </c:pt>
                <c:pt idx="416">
                  <c:v>141</c:v>
                </c:pt>
                <c:pt idx="417">
                  <c:v>142</c:v>
                </c:pt>
                <c:pt idx="418">
                  <c:v>157</c:v>
                </c:pt>
                <c:pt idx="419">
                  <c:v>151</c:v>
                </c:pt>
                <c:pt idx="420">
                  <c:v>165</c:v>
                </c:pt>
                <c:pt idx="421">
                  <c:v>188</c:v>
                </c:pt>
                <c:pt idx="422">
                  <c:v>139</c:v>
                </c:pt>
                <c:pt idx="423">
                  <c:v>159</c:v>
                </c:pt>
                <c:pt idx="424">
                  <c:v>182</c:v>
                </c:pt>
                <c:pt idx="425">
                  <c:v>193</c:v>
                </c:pt>
                <c:pt idx="426">
                  <c:v>187</c:v>
                </c:pt>
                <c:pt idx="427">
                  <c:v>213</c:v>
                </c:pt>
                <c:pt idx="428">
                  <c:v>172</c:v>
                </c:pt>
                <c:pt idx="429">
                  <c:v>238</c:v>
                </c:pt>
                <c:pt idx="430">
                  <c:v>226</c:v>
                </c:pt>
                <c:pt idx="431">
                  <c:v>262</c:v>
                </c:pt>
                <c:pt idx="432">
                  <c:v>240</c:v>
                </c:pt>
                <c:pt idx="433">
                  <c:v>254</c:v>
                </c:pt>
                <c:pt idx="434">
                  <c:v>240</c:v>
                </c:pt>
                <c:pt idx="435">
                  <c:v>246</c:v>
                </c:pt>
                <c:pt idx="436">
                  <c:v>264</c:v>
                </c:pt>
                <c:pt idx="437">
                  <c:v>279</c:v>
                </c:pt>
                <c:pt idx="438">
                  <c:v>278</c:v>
                </c:pt>
                <c:pt idx="439">
                  <c:v>305</c:v>
                </c:pt>
                <c:pt idx="440">
                  <c:v>268</c:v>
                </c:pt>
                <c:pt idx="441">
                  <c:v>284</c:v>
                </c:pt>
                <c:pt idx="442">
                  <c:v>312</c:v>
                </c:pt>
                <c:pt idx="443">
                  <c:v>330</c:v>
                </c:pt>
                <c:pt idx="444">
                  <c:v>316</c:v>
                </c:pt>
                <c:pt idx="445">
                  <c:v>334</c:v>
                </c:pt>
                <c:pt idx="446">
                  <c:v>286</c:v>
                </c:pt>
                <c:pt idx="447">
                  <c:v>336</c:v>
                </c:pt>
                <c:pt idx="448">
                  <c:v>349</c:v>
                </c:pt>
                <c:pt idx="449">
                  <c:v>357</c:v>
                </c:pt>
                <c:pt idx="450">
                  <c:v>362</c:v>
                </c:pt>
                <c:pt idx="451">
                  <c:v>381</c:v>
                </c:pt>
                <c:pt idx="452">
                  <c:v>348</c:v>
                </c:pt>
                <c:pt idx="453">
                  <c:v>376</c:v>
                </c:pt>
                <c:pt idx="454">
                  <c:v>366</c:v>
                </c:pt>
                <c:pt idx="455">
                  <c:v>394</c:v>
                </c:pt>
                <c:pt idx="456">
                  <c:v>375</c:v>
                </c:pt>
                <c:pt idx="457">
                  <c:v>383</c:v>
                </c:pt>
                <c:pt idx="458">
                  <c:v>385</c:v>
                </c:pt>
                <c:pt idx="459">
                  <c:v>405</c:v>
                </c:pt>
                <c:pt idx="460">
                  <c:v>421</c:v>
                </c:pt>
                <c:pt idx="461">
                  <c:v>435</c:v>
                </c:pt>
                <c:pt idx="462">
                  <c:v>448</c:v>
                </c:pt>
                <c:pt idx="463">
                  <c:v>488</c:v>
                </c:pt>
                <c:pt idx="464">
                  <c:v>460</c:v>
                </c:pt>
                <c:pt idx="465">
                  <c:v>459</c:v>
                </c:pt>
                <c:pt idx="466">
                  <c:v>453</c:v>
                </c:pt>
                <c:pt idx="467">
                  <c:v>460</c:v>
                </c:pt>
                <c:pt idx="468">
                  <c:v>467</c:v>
                </c:pt>
                <c:pt idx="469">
                  <c:v>472</c:v>
                </c:pt>
                <c:pt idx="470">
                  <c:v>478</c:v>
                </c:pt>
                <c:pt idx="471">
                  <c:v>520</c:v>
                </c:pt>
                <c:pt idx="472">
                  <c:v>539</c:v>
                </c:pt>
                <c:pt idx="473">
                  <c:v>515</c:v>
                </c:pt>
                <c:pt idx="474">
                  <c:v>511</c:v>
                </c:pt>
                <c:pt idx="475">
                  <c:v>531</c:v>
                </c:pt>
                <c:pt idx="476">
                  <c:v>539</c:v>
                </c:pt>
                <c:pt idx="477">
                  <c:v>519</c:v>
                </c:pt>
                <c:pt idx="478">
                  <c:v>501</c:v>
                </c:pt>
                <c:pt idx="479">
                  <c:v>508</c:v>
                </c:pt>
                <c:pt idx="480">
                  <c:v>500</c:v>
                </c:pt>
                <c:pt idx="481">
                  <c:v>557</c:v>
                </c:pt>
                <c:pt idx="482">
                  <c:v>514</c:v>
                </c:pt>
                <c:pt idx="483">
                  <c:v>539</c:v>
                </c:pt>
                <c:pt idx="484">
                  <c:v>543</c:v>
                </c:pt>
                <c:pt idx="485">
                  <c:v>536</c:v>
                </c:pt>
                <c:pt idx="486">
                  <c:v>524</c:v>
                </c:pt>
                <c:pt idx="487">
                  <c:v>539</c:v>
                </c:pt>
                <c:pt idx="488">
                  <c:v>563</c:v>
                </c:pt>
                <c:pt idx="489">
                  <c:v>536</c:v>
                </c:pt>
                <c:pt idx="490">
                  <c:v>566</c:v>
                </c:pt>
                <c:pt idx="491">
                  <c:v>554</c:v>
                </c:pt>
                <c:pt idx="492">
                  <c:v>552</c:v>
                </c:pt>
                <c:pt idx="493">
                  <c:v>546</c:v>
                </c:pt>
                <c:pt idx="494">
                  <c:v>527</c:v>
                </c:pt>
                <c:pt idx="495">
                  <c:v>591</c:v>
                </c:pt>
                <c:pt idx="496">
                  <c:v>537</c:v>
                </c:pt>
                <c:pt idx="497">
                  <c:v>525</c:v>
                </c:pt>
                <c:pt idx="498">
                  <c:v>556</c:v>
                </c:pt>
                <c:pt idx="499">
                  <c:v>547</c:v>
                </c:pt>
                <c:pt idx="500">
                  <c:v>561</c:v>
                </c:pt>
                <c:pt idx="501">
                  <c:v>587</c:v>
                </c:pt>
                <c:pt idx="502">
                  <c:v>547</c:v>
                </c:pt>
                <c:pt idx="503">
                  <c:v>544</c:v>
                </c:pt>
                <c:pt idx="504">
                  <c:v>560</c:v>
                </c:pt>
                <c:pt idx="505">
                  <c:v>549</c:v>
                </c:pt>
                <c:pt idx="506">
                  <c:v>579</c:v>
                </c:pt>
                <c:pt idx="507">
                  <c:v>525</c:v>
                </c:pt>
                <c:pt idx="508">
                  <c:v>567</c:v>
                </c:pt>
                <c:pt idx="509">
                  <c:v>545</c:v>
                </c:pt>
                <c:pt idx="510">
                  <c:v>538</c:v>
                </c:pt>
                <c:pt idx="511">
                  <c:v>561</c:v>
                </c:pt>
                <c:pt idx="512">
                  <c:v>511</c:v>
                </c:pt>
                <c:pt idx="513">
                  <c:v>531</c:v>
                </c:pt>
                <c:pt idx="514">
                  <c:v>520</c:v>
                </c:pt>
                <c:pt idx="515">
                  <c:v>520</c:v>
                </c:pt>
                <c:pt idx="516">
                  <c:v>544</c:v>
                </c:pt>
                <c:pt idx="517">
                  <c:v>516</c:v>
                </c:pt>
                <c:pt idx="518">
                  <c:v>485</c:v>
                </c:pt>
                <c:pt idx="519">
                  <c:v>479</c:v>
                </c:pt>
                <c:pt idx="520">
                  <c:v>507</c:v>
                </c:pt>
                <c:pt idx="521">
                  <c:v>508</c:v>
                </c:pt>
                <c:pt idx="522">
                  <c:v>475</c:v>
                </c:pt>
                <c:pt idx="523">
                  <c:v>492</c:v>
                </c:pt>
                <c:pt idx="524">
                  <c:v>491</c:v>
                </c:pt>
                <c:pt idx="525">
                  <c:v>517</c:v>
                </c:pt>
                <c:pt idx="526">
                  <c:v>492</c:v>
                </c:pt>
                <c:pt idx="527">
                  <c:v>481</c:v>
                </c:pt>
                <c:pt idx="528">
                  <c:v>445</c:v>
                </c:pt>
                <c:pt idx="529">
                  <c:v>502</c:v>
                </c:pt>
                <c:pt idx="530">
                  <c:v>456</c:v>
                </c:pt>
                <c:pt idx="531">
                  <c:v>484</c:v>
                </c:pt>
                <c:pt idx="532">
                  <c:v>450</c:v>
                </c:pt>
                <c:pt idx="533">
                  <c:v>467</c:v>
                </c:pt>
                <c:pt idx="534">
                  <c:v>455</c:v>
                </c:pt>
                <c:pt idx="535">
                  <c:v>428</c:v>
                </c:pt>
                <c:pt idx="536">
                  <c:v>443</c:v>
                </c:pt>
                <c:pt idx="537">
                  <c:v>444</c:v>
                </c:pt>
                <c:pt idx="538">
                  <c:v>433</c:v>
                </c:pt>
                <c:pt idx="539">
                  <c:v>400</c:v>
                </c:pt>
                <c:pt idx="540">
                  <c:v>406</c:v>
                </c:pt>
                <c:pt idx="541">
                  <c:v>443</c:v>
                </c:pt>
                <c:pt idx="542">
                  <c:v>417</c:v>
                </c:pt>
                <c:pt idx="543">
                  <c:v>427</c:v>
                </c:pt>
                <c:pt idx="544">
                  <c:v>423</c:v>
                </c:pt>
                <c:pt idx="545">
                  <c:v>398</c:v>
                </c:pt>
                <c:pt idx="546">
                  <c:v>412</c:v>
                </c:pt>
                <c:pt idx="547">
                  <c:v>420</c:v>
                </c:pt>
                <c:pt idx="548">
                  <c:v>374</c:v>
                </c:pt>
                <c:pt idx="549">
                  <c:v>349</c:v>
                </c:pt>
                <c:pt idx="550">
                  <c:v>371</c:v>
                </c:pt>
                <c:pt idx="551">
                  <c:v>363</c:v>
                </c:pt>
                <c:pt idx="552">
                  <c:v>362</c:v>
                </c:pt>
                <c:pt idx="553">
                  <c:v>332</c:v>
                </c:pt>
                <c:pt idx="554">
                  <c:v>295</c:v>
                </c:pt>
                <c:pt idx="555">
                  <c:v>355</c:v>
                </c:pt>
                <c:pt idx="556">
                  <c:v>333</c:v>
                </c:pt>
                <c:pt idx="557">
                  <c:v>345</c:v>
                </c:pt>
                <c:pt idx="558">
                  <c:v>329</c:v>
                </c:pt>
                <c:pt idx="559">
                  <c:v>329</c:v>
                </c:pt>
                <c:pt idx="560">
                  <c:v>316</c:v>
                </c:pt>
                <c:pt idx="561">
                  <c:v>323</c:v>
                </c:pt>
                <c:pt idx="562">
                  <c:v>281</c:v>
                </c:pt>
                <c:pt idx="563">
                  <c:v>295</c:v>
                </c:pt>
                <c:pt idx="564">
                  <c:v>284</c:v>
                </c:pt>
                <c:pt idx="565">
                  <c:v>244</c:v>
                </c:pt>
                <c:pt idx="566">
                  <c:v>259</c:v>
                </c:pt>
                <c:pt idx="567">
                  <c:v>280</c:v>
                </c:pt>
                <c:pt idx="568">
                  <c:v>279</c:v>
                </c:pt>
                <c:pt idx="569">
                  <c:v>291</c:v>
                </c:pt>
                <c:pt idx="570">
                  <c:v>243</c:v>
                </c:pt>
                <c:pt idx="571">
                  <c:v>254</c:v>
                </c:pt>
                <c:pt idx="572">
                  <c:v>239</c:v>
                </c:pt>
                <c:pt idx="573">
                  <c:v>242</c:v>
                </c:pt>
                <c:pt idx="574">
                  <c:v>241</c:v>
                </c:pt>
                <c:pt idx="575">
                  <c:v>229</c:v>
                </c:pt>
                <c:pt idx="576">
                  <c:v>223</c:v>
                </c:pt>
                <c:pt idx="577">
                  <c:v>222</c:v>
                </c:pt>
                <c:pt idx="578">
                  <c:v>209</c:v>
                </c:pt>
                <c:pt idx="579">
                  <c:v>221</c:v>
                </c:pt>
                <c:pt idx="580">
                  <c:v>237</c:v>
                </c:pt>
                <c:pt idx="581">
                  <c:v>245</c:v>
                </c:pt>
                <c:pt idx="582">
                  <c:v>208</c:v>
                </c:pt>
                <c:pt idx="583">
                  <c:v>193</c:v>
                </c:pt>
                <c:pt idx="584">
                  <c:v>195</c:v>
                </c:pt>
                <c:pt idx="585">
                  <c:v>202</c:v>
                </c:pt>
                <c:pt idx="586">
                  <c:v>192</c:v>
                </c:pt>
                <c:pt idx="587">
                  <c:v>195</c:v>
                </c:pt>
                <c:pt idx="588">
                  <c:v>186</c:v>
                </c:pt>
                <c:pt idx="589">
                  <c:v>178</c:v>
                </c:pt>
                <c:pt idx="590">
                  <c:v>173</c:v>
                </c:pt>
                <c:pt idx="591">
                  <c:v>169</c:v>
                </c:pt>
                <c:pt idx="592">
                  <c:v>159</c:v>
                </c:pt>
                <c:pt idx="593">
                  <c:v>135</c:v>
                </c:pt>
                <c:pt idx="594">
                  <c:v>169</c:v>
                </c:pt>
                <c:pt idx="595">
                  <c:v>167</c:v>
                </c:pt>
                <c:pt idx="596">
                  <c:v>137</c:v>
                </c:pt>
                <c:pt idx="597">
                  <c:v>143</c:v>
                </c:pt>
                <c:pt idx="598">
                  <c:v>154</c:v>
                </c:pt>
                <c:pt idx="599">
                  <c:v>126</c:v>
                </c:pt>
                <c:pt idx="600">
                  <c:v>121</c:v>
                </c:pt>
                <c:pt idx="601">
                  <c:v>124</c:v>
                </c:pt>
                <c:pt idx="602">
                  <c:v>126</c:v>
                </c:pt>
                <c:pt idx="603">
                  <c:v>123</c:v>
                </c:pt>
                <c:pt idx="604">
                  <c:v>120</c:v>
                </c:pt>
                <c:pt idx="605">
                  <c:v>131</c:v>
                </c:pt>
                <c:pt idx="606">
                  <c:v>117</c:v>
                </c:pt>
                <c:pt idx="607">
                  <c:v>111</c:v>
                </c:pt>
                <c:pt idx="608">
                  <c:v>114</c:v>
                </c:pt>
                <c:pt idx="609">
                  <c:v>103</c:v>
                </c:pt>
                <c:pt idx="610">
                  <c:v>100</c:v>
                </c:pt>
                <c:pt idx="611">
                  <c:v>116</c:v>
                </c:pt>
                <c:pt idx="612">
                  <c:v>107</c:v>
                </c:pt>
                <c:pt idx="613">
                  <c:v>101</c:v>
                </c:pt>
                <c:pt idx="614">
                  <c:v>90</c:v>
                </c:pt>
                <c:pt idx="615">
                  <c:v>97</c:v>
                </c:pt>
                <c:pt idx="616">
                  <c:v>74</c:v>
                </c:pt>
                <c:pt idx="617">
                  <c:v>85</c:v>
                </c:pt>
                <c:pt idx="618">
                  <c:v>92</c:v>
                </c:pt>
                <c:pt idx="619">
                  <c:v>79</c:v>
                </c:pt>
                <c:pt idx="620">
                  <c:v>72</c:v>
                </c:pt>
                <c:pt idx="621">
                  <c:v>78</c:v>
                </c:pt>
                <c:pt idx="622">
                  <c:v>66</c:v>
                </c:pt>
                <c:pt idx="623">
                  <c:v>55</c:v>
                </c:pt>
                <c:pt idx="624">
                  <c:v>78</c:v>
                </c:pt>
                <c:pt idx="625">
                  <c:v>72</c:v>
                </c:pt>
                <c:pt idx="626">
                  <c:v>62</c:v>
                </c:pt>
                <c:pt idx="627">
                  <c:v>56</c:v>
                </c:pt>
                <c:pt idx="628">
                  <c:v>63</c:v>
                </c:pt>
                <c:pt idx="629">
                  <c:v>60</c:v>
                </c:pt>
                <c:pt idx="630">
                  <c:v>63</c:v>
                </c:pt>
                <c:pt idx="631">
                  <c:v>49</c:v>
                </c:pt>
                <c:pt idx="632">
                  <c:v>59</c:v>
                </c:pt>
                <c:pt idx="633">
                  <c:v>49</c:v>
                </c:pt>
                <c:pt idx="634">
                  <c:v>51</c:v>
                </c:pt>
                <c:pt idx="635">
                  <c:v>46</c:v>
                </c:pt>
                <c:pt idx="636">
                  <c:v>41</c:v>
                </c:pt>
                <c:pt idx="637">
                  <c:v>43</c:v>
                </c:pt>
                <c:pt idx="638">
                  <c:v>47</c:v>
                </c:pt>
                <c:pt idx="639">
                  <c:v>37</c:v>
                </c:pt>
                <c:pt idx="640">
                  <c:v>46</c:v>
                </c:pt>
                <c:pt idx="641">
                  <c:v>39</c:v>
                </c:pt>
                <c:pt idx="642">
                  <c:v>42</c:v>
                </c:pt>
                <c:pt idx="643">
                  <c:v>34</c:v>
                </c:pt>
                <c:pt idx="644">
                  <c:v>31</c:v>
                </c:pt>
                <c:pt idx="645">
                  <c:v>37</c:v>
                </c:pt>
                <c:pt idx="646">
                  <c:v>23</c:v>
                </c:pt>
                <c:pt idx="647">
                  <c:v>28</c:v>
                </c:pt>
                <c:pt idx="648">
                  <c:v>29</c:v>
                </c:pt>
                <c:pt idx="649">
                  <c:v>36</c:v>
                </c:pt>
                <c:pt idx="650">
                  <c:v>35</c:v>
                </c:pt>
                <c:pt idx="651">
                  <c:v>26</c:v>
                </c:pt>
                <c:pt idx="652">
                  <c:v>25</c:v>
                </c:pt>
                <c:pt idx="653">
                  <c:v>33</c:v>
                </c:pt>
                <c:pt idx="654">
                  <c:v>19</c:v>
                </c:pt>
                <c:pt idx="655">
                  <c:v>29</c:v>
                </c:pt>
                <c:pt idx="656">
                  <c:v>35</c:v>
                </c:pt>
                <c:pt idx="657">
                  <c:v>21</c:v>
                </c:pt>
                <c:pt idx="658">
                  <c:v>27</c:v>
                </c:pt>
                <c:pt idx="659">
                  <c:v>19</c:v>
                </c:pt>
                <c:pt idx="660">
                  <c:v>17</c:v>
                </c:pt>
                <c:pt idx="661">
                  <c:v>20</c:v>
                </c:pt>
                <c:pt idx="662">
                  <c:v>26</c:v>
                </c:pt>
                <c:pt idx="663">
                  <c:v>22</c:v>
                </c:pt>
                <c:pt idx="664">
                  <c:v>20</c:v>
                </c:pt>
                <c:pt idx="665">
                  <c:v>13</c:v>
                </c:pt>
                <c:pt idx="666">
                  <c:v>17</c:v>
                </c:pt>
                <c:pt idx="667">
                  <c:v>19</c:v>
                </c:pt>
                <c:pt idx="668">
                  <c:v>15</c:v>
                </c:pt>
                <c:pt idx="669">
                  <c:v>21</c:v>
                </c:pt>
                <c:pt idx="670">
                  <c:v>13</c:v>
                </c:pt>
                <c:pt idx="671">
                  <c:v>12</c:v>
                </c:pt>
                <c:pt idx="672">
                  <c:v>12</c:v>
                </c:pt>
                <c:pt idx="673">
                  <c:v>10</c:v>
                </c:pt>
                <c:pt idx="674">
                  <c:v>12</c:v>
                </c:pt>
                <c:pt idx="675">
                  <c:v>9</c:v>
                </c:pt>
                <c:pt idx="676">
                  <c:v>18</c:v>
                </c:pt>
                <c:pt idx="677">
                  <c:v>16</c:v>
                </c:pt>
                <c:pt idx="678">
                  <c:v>10</c:v>
                </c:pt>
                <c:pt idx="679">
                  <c:v>10</c:v>
                </c:pt>
                <c:pt idx="680">
                  <c:v>10</c:v>
                </c:pt>
                <c:pt idx="681">
                  <c:v>10</c:v>
                </c:pt>
                <c:pt idx="682">
                  <c:v>13</c:v>
                </c:pt>
                <c:pt idx="683">
                  <c:v>10</c:v>
                </c:pt>
                <c:pt idx="684">
                  <c:v>6</c:v>
                </c:pt>
                <c:pt idx="685">
                  <c:v>14</c:v>
                </c:pt>
                <c:pt idx="686">
                  <c:v>13</c:v>
                </c:pt>
                <c:pt idx="687">
                  <c:v>5</c:v>
                </c:pt>
                <c:pt idx="688">
                  <c:v>9</c:v>
                </c:pt>
                <c:pt idx="689">
                  <c:v>8</c:v>
                </c:pt>
                <c:pt idx="690">
                  <c:v>14</c:v>
                </c:pt>
                <c:pt idx="691">
                  <c:v>9</c:v>
                </c:pt>
                <c:pt idx="692">
                  <c:v>6</c:v>
                </c:pt>
                <c:pt idx="693">
                  <c:v>12</c:v>
                </c:pt>
                <c:pt idx="694">
                  <c:v>10</c:v>
                </c:pt>
                <c:pt idx="695">
                  <c:v>5</c:v>
                </c:pt>
                <c:pt idx="696">
                  <c:v>8</c:v>
                </c:pt>
                <c:pt idx="697">
                  <c:v>9</c:v>
                </c:pt>
                <c:pt idx="698">
                  <c:v>9</c:v>
                </c:pt>
                <c:pt idx="699">
                  <c:v>3</c:v>
                </c:pt>
                <c:pt idx="700">
                  <c:v>5</c:v>
                </c:pt>
                <c:pt idx="701">
                  <c:v>6</c:v>
                </c:pt>
                <c:pt idx="702">
                  <c:v>0</c:v>
                </c:pt>
                <c:pt idx="703">
                  <c:v>9</c:v>
                </c:pt>
                <c:pt idx="704">
                  <c:v>7</c:v>
                </c:pt>
                <c:pt idx="705">
                  <c:v>6</c:v>
                </c:pt>
                <c:pt idx="706">
                  <c:v>5</c:v>
                </c:pt>
                <c:pt idx="707">
                  <c:v>4</c:v>
                </c:pt>
                <c:pt idx="708">
                  <c:v>3</c:v>
                </c:pt>
                <c:pt idx="709">
                  <c:v>10</c:v>
                </c:pt>
                <c:pt idx="710">
                  <c:v>6</c:v>
                </c:pt>
                <c:pt idx="711">
                  <c:v>2</c:v>
                </c:pt>
                <c:pt idx="712">
                  <c:v>5</c:v>
                </c:pt>
                <c:pt idx="713">
                  <c:v>3</c:v>
                </c:pt>
                <c:pt idx="714">
                  <c:v>4</c:v>
                </c:pt>
                <c:pt idx="715">
                  <c:v>2</c:v>
                </c:pt>
                <c:pt idx="716">
                  <c:v>2</c:v>
                </c:pt>
                <c:pt idx="717">
                  <c:v>5</c:v>
                </c:pt>
                <c:pt idx="718">
                  <c:v>6</c:v>
                </c:pt>
                <c:pt idx="719">
                  <c:v>6</c:v>
                </c:pt>
                <c:pt idx="720">
                  <c:v>1</c:v>
                </c:pt>
                <c:pt idx="721">
                  <c:v>5</c:v>
                </c:pt>
                <c:pt idx="722">
                  <c:v>1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6</c:v>
                </c:pt>
                <c:pt idx="727">
                  <c:v>3</c:v>
                </c:pt>
                <c:pt idx="728">
                  <c:v>7</c:v>
                </c:pt>
                <c:pt idx="729">
                  <c:v>4</c:v>
                </c:pt>
                <c:pt idx="730">
                  <c:v>10</c:v>
                </c:pt>
                <c:pt idx="731">
                  <c:v>5</c:v>
                </c:pt>
                <c:pt idx="732">
                  <c:v>3</c:v>
                </c:pt>
                <c:pt idx="733">
                  <c:v>4</c:v>
                </c:pt>
                <c:pt idx="734">
                  <c:v>7</c:v>
                </c:pt>
                <c:pt idx="735">
                  <c:v>6</c:v>
                </c:pt>
                <c:pt idx="736">
                  <c:v>1</c:v>
                </c:pt>
                <c:pt idx="737">
                  <c:v>1</c:v>
                </c:pt>
                <c:pt idx="738">
                  <c:v>5</c:v>
                </c:pt>
                <c:pt idx="739">
                  <c:v>5</c:v>
                </c:pt>
                <c:pt idx="740">
                  <c:v>1</c:v>
                </c:pt>
                <c:pt idx="741">
                  <c:v>3</c:v>
                </c:pt>
                <c:pt idx="742">
                  <c:v>4</c:v>
                </c:pt>
                <c:pt idx="743">
                  <c:v>3</c:v>
                </c:pt>
                <c:pt idx="744">
                  <c:v>5</c:v>
                </c:pt>
                <c:pt idx="745">
                  <c:v>4</c:v>
                </c:pt>
                <c:pt idx="746">
                  <c:v>2</c:v>
                </c:pt>
                <c:pt idx="747">
                  <c:v>3</c:v>
                </c:pt>
                <c:pt idx="748">
                  <c:v>4</c:v>
                </c:pt>
                <c:pt idx="749">
                  <c:v>2</c:v>
                </c:pt>
                <c:pt idx="750">
                  <c:v>1</c:v>
                </c:pt>
                <c:pt idx="751">
                  <c:v>3</c:v>
                </c:pt>
                <c:pt idx="752">
                  <c:v>2</c:v>
                </c:pt>
                <c:pt idx="753">
                  <c:v>8</c:v>
                </c:pt>
                <c:pt idx="754">
                  <c:v>4</c:v>
                </c:pt>
                <c:pt idx="755">
                  <c:v>5</c:v>
                </c:pt>
                <c:pt idx="756">
                  <c:v>4</c:v>
                </c:pt>
                <c:pt idx="757">
                  <c:v>2</c:v>
                </c:pt>
                <c:pt idx="758">
                  <c:v>4</c:v>
                </c:pt>
                <c:pt idx="759">
                  <c:v>3</c:v>
                </c:pt>
                <c:pt idx="760">
                  <c:v>5</c:v>
                </c:pt>
                <c:pt idx="761">
                  <c:v>6</c:v>
                </c:pt>
                <c:pt idx="762">
                  <c:v>5</c:v>
                </c:pt>
                <c:pt idx="763">
                  <c:v>3</c:v>
                </c:pt>
                <c:pt idx="764">
                  <c:v>6</c:v>
                </c:pt>
                <c:pt idx="765">
                  <c:v>5</c:v>
                </c:pt>
                <c:pt idx="766">
                  <c:v>4</c:v>
                </c:pt>
                <c:pt idx="767">
                  <c:v>2</c:v>
                </c:pt>
                <c:pt idx="768">
                  <c:v>6</c:v>
                </c:pt>
                <c:pt idx="769">
                  <c:v>7</c:v>
                </c:pt>
                <c:pt idx="770">
                  <c:v>4</c:v>
                </c:pt>
                <c:pt idx="771">
                  <c:v>1</c:v>
                </c:pt>
                <c:pt idx="772">
                  <c:v>5</c:v>
                </c:pt>
                <c:pt idx="773">
                  <c:v>3</c:v>
                </c:pt>
                <c:pt idx="774">
                  <c:v>5</c:v>
                </c:pt>
                <c:pt idx="775">
                  <c:v>5</c:v>
                </c:pt>
                <c:pt idx="776">
                  <c:v>8</c:v>
                </c:pt>
                <c:pt idx="777">
                  <c:v>0</c:v>
                </c:pt>
                <c:pt idx="778">
                  <c:v>7</c:v>
                </c:pt>
                <c:pt idx="779">
                  <c:v>6</c:v>
                </c:pt>
                <c:pt idx="780">
                  <c:v>4</c:v>
                </c:pt>
                <c:pt idx="781">
                  <c:v>1</c:v>
                </c:pt>
                <c:pt idx="782">
                  <c:v>5</c:v>
                </c:pt>
                <c:pt idx="783">
                  <c:v>5</c:v>
                </c:pt>
                <c:pt idx="784">
                  <c:v>4</c:v>
                </c:pt>
                <c:pt idx="785">
                  <c:v>4</c:v>
                </c:pt>
                <c:pt idx="786">
                  <c:v>0</c:v>
                </c:pt>
                <c:pt idx="787">
                  <c:v>4</c:v>
                </c:pt>
                <c:pt idx="788">
                  <c:v>5</c:v>
                </c:pt>
                <c:pt idx="789">
                  <c:v>6</c:v>
                </c:pt>
                <c:pt idx="790">
                  <c:v>7</c:v>
                </c:pt>
                <c:pt idx="791">
                  <c:v>5</c:v>
                </c:pt>
                <c:pt idx="792">
                  <c:v>4</c:v>
                </c:pt>
                <c:pt idx="793">
                  <c:v>6</c:v>
                </c:pt>
                <c:pt idx="794">
                  <c:v>2</c:v>
                </c:pt>
                <c:pt idx="795">
                  <c:v>6</c:v>
                </c:pt>
                <c:pt idx="796">
                  <c:v>8</c:v>
                </c:pt>
                <c:pt idx="797">
                  <c:v>11</c:v>
                </c:pt>
                <c:pt idx="798">
                  <c:v>4</c:v>
                </c:pt>
                <c:pt idx="799">
                  <c:v>4</c:v>
                </c:pt>
                <c:pt idx="800">
                  <c:v>11</c:v>
                </c:pt>
                <c:pt idx="801">
                  <c:v>5</c:v>
                </c:pt>
                <c:pt idx="802">
                  <c:v>3</c:v>
                </c:pt>
                <c:pt idx="803">
                  <c:v>5</c:v>
                </c:pt>
                <c:pt idx="804">
                  <c:v>7</c:v>
                </c:pt>
                <c:pt idx="805">
                  <c:v>2</c:v>
                </c:pt>
                <c:pt idx="806">
                  <c:v>7</c:v>
                </c:pt>
                <c:pt idx="807">
                  <c:v>4</c:v>
                </c:pt>
                <c:pt idx="808">
                  <c:v>5</c:v>
                </c:pt>
                <c:pt idx="809">
                  <c:v>7</c:v>
                </c:pt>
                <c:pt idx="810">
                  <c:v>12</c:v>
                </c:pt>
                <c:pt idx="811">
                  <c:v>3</c:v>
                </c:pt>
                <c:pt idx="812">
                  <c:v>8</c:v>
                </c:pt>
                <c:pt idx="813">
                  <c:v>7</c:v>
                </c:pt>
                <c:pt idx="814">
                  <c:v>7</c:v>
                </c:pt>
                <c:pt idx="815">
                  <c:v>4</c:v>
                </c:pt>
                <c:pt idx="816">
                  <c:v>7</c:v>
                </c:pt>
                <c:pt idx="817">
                  <c:v>7</c:v>
                </c:pt>
                <c:pt idx="818">
                  <c:v>7</c:v>
                </c:pt>
                <c:pt idx="819">
                  <c:v>3</c:v>
                </c:pt>
                <c:pt idx="820">
                  <c:v>5</c:v>
                </c:pt>
                <c:pt idx="821">
                  <c:v>7</c:v>
                </c:pt>
                <c:pt idx="822">
                  <c:v>10</c:v>
                </c:pt>
                <c:pt idx="823">
                  <c:v>11</c:v>
                </c:pt>
                <c:pt idx="824">
                  <c:v>6</c:v>
                </c:pt>
                <c:pt idx="825">
                  <c:v>11</c:v>
                </c:pt>
                <c:pt idx="826">
                  <c:v>6</c:v>
                </c:pt>
                <c:pt idx="827">
                  <c:v>8</c:v>
                </c:pt>
                <c:pt idx="828">
                  <c:v>7</c:v>
                </c:pt>
                <c:pt idx="829">
                  <c:v>5</c:v>
                </c:pt>
                <c:pt idx="830">
                  <c:v>5</c:v>
                </c:pt>
                <c:pt idx="831">
                  <c:v>8</c:v>
                </c:pt>
                <c:pt idx="832">
                  <c:v>7</c:v>
                </c:pt>
                <c:pt idx="833">
                  <c:v>5</c:v>
                </c:pt>
                <c:pt idx="834">
                  <c:v>5</c:v>
                </c:pt>
                <c:pt idx="835">
                  <c:v>3</c:v>
                </c:pt>
                <c:pt idx="836">
                  <c:v>7</c:v>
                </c:pt>
                <c:pt idx="837">
                  <c:v>6</c:v>
                </c:pt>
                <c:pt idx="838">
                  <c:v>6</c:v>
                </c:pt>
                <c:pt idx="839">
                  <c:v>11</c:v>
                </c:pt>
                <c:pt idx="840">
                  <c:v>5</c:v>
                </c:pt>
                <c:pt idx="841">
                  <c:v>4</c:v>
                </c:pt>
                <c:pt idx="842">
                  <c:v>7</c:v>
                </c:pt>
                <c:pt idx="843">
                  <c:v>6</c:v>
                </c:pt>
                <c:pt idx="844">
                  <c:v>5</c:v>
                </c:pt>
                <c:pt idx="845">
                  <c:v>3</c:v>
                </c:pt>
                <c:pt idx="846">
                  <c:v>7</c:v>
                </c:pt>
                <c:pt idx="847">
                  <c:v>6</c:v>
                </c:pt>
                <c:pt idx="848">
                  <c:v>5</c:v>
                </c:pt>
                <c:pt idx="849">
                  <c:v>12</c:v>
                </c:pt>
                <c:pt idx="850">
                  <c:v>12</c:v>
                </c:pt>
                <c:pt idx="851">
                  <c:v>3</c:v>
                </c:pt>
                <c:pt idx="852">
                  <c:v>5</c:v>
                </c:pt>
                <c:pt idx="853">
                  <c:v>9</c:v>
                </c:pt>
                <c:pt idx="854">
                  <c:v>9</c:v>
                </c:pt>
                <c:pt idx="855">
                  <c:v>9</c:v>
                </c:pt>
                <c:pt idx="856">
                  <c:v>6</c:v>
                </c:pt>
                <c:pt idx="857">
                  <c:v>10</c:v>
                </c:pt>
                <c:pt idx="858">
                  <c:v>2</c:v>
                </c:pt>
                <c:pt idx="859">
                  <c:v>7</c:v>
                </c:pt>
                <c:pt idx="860">
                  <c:v>17</c:v>
                </c:pt>
                <c:pt idx="861">
                  <c:v>10</c:v>
                </c:pt>
                <c:pt idx="862">
                  <c:v>1</c:v>
                </c:pt>
                <c:pt idx="863">
                  <c:v>9</c:v>
                </c:pt>
                <c:pt idx="864">
                  <c:v>8</c:v>
                </c:pt>
                <c:pt idx="865">
                  <c:v>12</c:v>
                </c:pt>
                <c:pt idx="866">
                  <c:v>3</c:v>
                </c:pt>
                <c:pt idx="867">
                  <c:v>4</c:v>
                </c:pt>
                <c:pt idx="868">
                  <c:v>8</c:v>
                </c:pt>
                <c:pt idx="869">
                  <c:v>9</c:v>
                </c:pt>
                <c:pt idx="870">
                  <c:v>13</c:v>
                </c:pt>
                <c:pt idx="871">
                  <c:v>15</c:v>
                </c:pt>
                <c:pt idx="872">
                  <c:v>8</c:v>
                </c:pt>
                <c:pt idx="873">
                  <c:v>12</c:v>
                </c:pt>
                <c:pt idx="874">
                  <c:v>7</c:v>
                </c:pt>
                <c:pt idx="875">
                  <c:v>14</c:v>
                </c:pt>
                <c:pt idx="876">
                  <c:v>10</c:v>
                </c:pt>
                <c:pt idx="877">
                  <c:v>7</c:v>
                </c:pt>
                <c:pt idx="878">
                  <c:v>7</c:v>
                </c:pt>
                <c:pt idx="879">
                  <c:v>8</c:v>
                </c:pt>
                <c:pt idx="880">
                  <c:v>6</c:v>
                </c:pt>
                <c:pt idx="881">
                  <c:v>5</c:v>
                </c:pt>
                <c:pt idx="882">
                  <c:v>5</c:v>
                </c:pt>
                <c:pt idx="883">
                  <c:v>13</c:v>
                </c:pt>
                <c:pt idx="884">
                  <c:v>7</c:v>
                </c:pt>
                <c:pt idx="885">
                  <c:v>13</c:v>
                </c:pt>
                <c:pt idx="886">
                  <c:v>14</c:v>
                </c:pt>
                <c:pt idx="887">
                  <c:v>12</c:v>
                </c:pt>
                <c:pt idx="888">
                  <c:v>12</c:v>
                </c:pt>
                <c:pt idx="889">
                  <c:v>14</c:v>
                </c:pt>
                <c:pt idx="890">
                  <c:v>9</c:v>
                </c:pt>
                <c:pt idx="891">
                  <c:v>12</c:v>
                </c:pt>
                <c:pt idx="892">
                  <c:v>8</c:v>
                </c:pt>
                <c:pt idx="893">
                  <c:v>14</c:v>
                </c:pt>
                <c:pt idx="894">
                  <c:v>10</c:v>
                </c:pt>
                <c:pt idx="895">
                  <c:v>6</c:v>
                </c:pt>
                <c:pt idx="896">
                  <c:v>9</c:v>
                </c:pt>
                <c:pt idx="897">
                  <c:v>6</c:v>
                </c:pt>
                <c:pt idx="898">
                  <c:v>5</c:v>
                </c:pt>
                <c:pt idx="899">
                  <c:v>13</c:v>
                </c:pt>
                <c:pt idx="900">
                  <c:v>7</c:v>
                </c:pt>
                <c:pt idx="901">
                  <c:v>6</c:v>
                </c:pt>
                <c:pt idx="902">
                  <c:v>9</c:v>
                </c:pt>
                <c:pt idx="903">
                  <c:v>9</c:v>
                </c:pt>
                <c:pt idx="904">
                  <c:v>6</c:v>
                </c:pt>
                <c:pt idx="905">
                  <c:v>6</c:v>
                </c:pt>
                <c:pt idx="906">
                  <c:v>9</c:v>
                </c:pt>
                <c:pt idx="907">
                  <c:v>12</c:v>
                </c:pt>
                <c:pt idx="908">
                  <c:v>8</c:v>
                </c:pt>
                <c:pt idx="909">
                  <c:v>9</c:v>
                </c:pt>
                <c:pt idx="910">
                  <c:v>14</c:v>
                </c:pt>
                <c:pt idx="911">
                  <c:v>14</c:v>
                </c:pt>
                <c:pt idx="912">
                  <c:v>7</c:v>
                </c:pt>
                <c:pt idx="913">
                  <c:v>9</c:v>
                </c:pt>
                <c:pt idx="914">
                  <c:v>7</c:v>
                </c:pt>
                <c:pt idx="915">
                  <c:v>6</c:v>
                </c:pt>
                <c:pt idx="916">
                  <c:v>7</c:v>
                </c:pt>
                <c:pt idx="917">
                  <c:v>10</c:v>
                </c:pt>
                <c:pt idx="918">
                  <c:v>8</c:v>
                </c:pt>
                <c:pt idx="919">
                  <c:v>4</c:v>
                </c:pt>
                <c:pt idx="920">
                  <c:v>5</c:v>
                </c:pt>
                <c:pt idx="921">
                  <c:v>7</c:v>
                </c:pt>
                <c:pt idx="922">
                  <c:v>12</c:v>
                </c:pt>
                <c:pt idx="923">
                  <c:v>6</c:v>
                </c:pt>
                <c:pt idx="924">
                  <c:v>7</c:v>
                </c:pt>
                <c:pt idx="925">
                  <c:v>8</c:v>
                </c:pt>
                <c:pt idx="926">
                  <c:v>6</c:v>
                </c:pt>
                <c:pt idx="927">
                  <c:v>8</c:v>
                </c:pt>
                <c:pt idx="928">
                  <c:v>11</c:v>
                </c:pt>
                <c:pt idx="929">
                  <c:v>9</c:v>
                </c:pt>
                <c:pt idx="930">
                  <c:v>10</c:v>
                </c:pt>
                <c:pt idx="931">
                  <c:v>11</c:v>
                </c:pt>
                <c:pt idx="932">
                  <c:v>6</c:v>
                </c:pt>
                <c:pt idx="933">
                  <c:v>6</c:v>
                </c:pt>
                <c:pt idx="934">
                  <c:v>11</c:v>
                </c:pt>
                <c:pt idx="935">
                  <c:v>4</c:v>
                </c:pt>
                <c:pt idx="936">
                  <c:v>9</c:v>
                </c:pt>
                <c:pt idx="937">
                  <c:v>11</c:v>
                </c:pt>
                <c:pt idx="938">
                  <c:v>5</c:v>
                </c:pt>
                <c:pt idx="939">
                  <c:v>7</c:v>
                </c:pt>
                <c:pt idx="940">
                  <c:v>14</c:v>
                </c:pt>
                <c:pt idx="941">
                  <c:v>7</c:v>
                </c:pt>
                <c:pt idx="942">
                  <c:v>16</c:v>
                </c:pt>
                <c:pt idx="943">
                  <c:v>11</c:v>
                </c:pt>
                <c:pt idx="944">
                  <c:v>9</c:v>
                </c:pt>
                <c:pt idx="945">
                  <c:v>8</c:v>
                </c:pt>
                <c:pt idx="946">
                  <c:v>12</c:v>
                </c:pt>
                <c:pt idx="947">
                  <c:v>13</c:v>
                </c:pt>
                <c:pt idx="948">
                  <c:v>13</c:v>
                </c:pt>
                <c:pt idx="949">
                  <c:v>4</c:v>
                </c:pt>
                <c:pt idx="950">
                  <c:v>18</c:v>
                </c:pt>
                <c:pt idx="951">
                  <c:v>4</c:v>
                </c:pt>
                <c:pt idx="952">
                  <c:v>12</c:v>
                </c:pt>
                <c:pt idx="953">
                  <c:v>9</c:v>
                </c:pt>
                <c:pt idx="954">
                  <c:v>9</c:v>
                </c:pt>
                <c:pt idx="955">
                  <c:v>6</c:v>
                </c:pt>
                <c:pt idx="956">
                  <c:v>7</c:v>
                </c:pt>
                <c:pt idx="957">
                  <c:v>6</c:v>
                </c:pt>
                <c:pt idx="958">
                  <c:v>6</c:v>
                </c:pt>
                <c:pt idx="959">
                  <c:v>7</c:v>
                </c:pt>
                <c:pt idx="960">
                  <c:v>7</c:v>
                </c:pt>
                <c:pt idx="961">
                  <c:v>6</c:v>
                </c:pt>
                <c:pt idx="962">
                  <c:v>7</c:v>
                </c:pt>
                <c:pt idx="963">
                  <c:v>12</c:v>
                </c:pt>
                <c:pt idx="964">
                  <c:v>6</c:v>
                </c:pt>
                <c:pt idx="965">
                  <c:v>6</c:v>
                </c:pt>
                <c:pt idx="966">
                  <c:v>7</c:v>
                </c:pt>
                <c:pt idx="967">
                  <c:v>8</c:v>
                </c:pt>
                <c:pt idx="968">
                  <c:v>6</c:v>
                </c:pt>
                <c:pt idx="969">
                  <c:v>8</c:v>
                </c:pt>
                <c:pt idx="970">
                  <c:v>4</c:v>
                </c:pt>
                <c:pt idx="971">
                  <c:v>8</c:v>
                </c:pt>
                <c:pt idx="972">
                  <c:v>12</c:v>
                </c:pt>
                <c:pt idx="973">
                  <c:v>10</c:v>
                </c:pt>
                <c:pt idx="974">
                  <c:v>7</c:v>
                </c:pt>
                <c:pt idx="975">
                  <c:v>8</c:v>
                </c:pt>
                <c:pt idx="976">
                  <c:v>12</c:v>
                </c:pt>
                <c:pt idx="977">
                  <c:v>7</c:v>
                </c:pt>
                <c:pt idx="978">
                  <c:v>9</c:v>
                </c:pt>
                <c:pt idx="979">
                  <c:v>12</c:v>
                </c:pt>
                <c:pt idx="980">
                  <c:v>6</c:v>
                </c:pt>
                <c:pt idx="981">
                  <c:v>7</c:v>
                </c:pt>
                <c:pt idx="982">
                  <c:v>10</c:v>
                </c:pt>
                <c:pt idx="983">
                  <c:v>8</c:v>
                </c:pt>
                <c:pt idx="984">
                  <c:v>8</c:v>
                </c:pt>
                <c:pt idx="985">
                  <c:v>7</c:v>
                </c:pt>
                <c:pt idx="986">
                  <c:v>15</c:v>
                </c:pt>
                <c:pt idx="987">
                  <c:v>10</c:v>
                </c:pt>
                <c:pt idx="988">
                  <c:v>14</c:v>
                </c:pt>
                <c:pt idx="989">
                  <c:v>7</c:v>
                </c:pt>
                <c:pt idx="990">
                  <c:v>4</c:v>
                </c:pt>
                <c:pt idx="991">
                  <c:v>11</c:v>
                </c:pt>
                <c:pt idx="992">
                  <c:v>9</c:v>
                </c:pt>
                <c:pt idx="993">
                  <c:v>8</c:v>
                </c:pt>
                <c:pt idx="994">
                  <c:v>15</c:v>
                </c:pt>
                <c:pt idx="995">
                  <c:v>7</c:v>
                </c:pt>
                <c:pt idx="996">
                  <c:v>8</c:v>
                </c:pt>
                <c:pt idx="997">
                  <c:v>7</c:v>
                </c:pt>
                <c:pt idx="998">
                  <c:v>7</c:v>
                </c:pt>
                <c:pt idx="999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63-42DB-A86C-2D97898679FB}"/>
            </c:ext>
          </c:extLst>
        </c:ser>
        <c:ser>
          <c:idx val="1"/>
          <c:order val="1"/>
          <c:tx>
            <c:strRef>
              <c:f>'Annex D (2)'!$N$1</c:f>
              <c:strCache>
                <c:ptCount val="1"/>
                <c:pt idx="0">
                  <c:v>Average</c:v>
                </c:pt>
              </c:strCache>
            </c:strRef>
          </c:tx>
          <c:spPr>
            <a:ln w="28800">
              <a:noFill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D (2)'!$L$2:$L$1002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'Annex D (2)'!$N$2:$N$1002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0.125</c:v>
                </c:pt>
                <c:pt idx="298">
                  <c:v>0.125</c:v>
                </c:pt>
                <c:pt idx="299">
                  <c:v>0.125</c:v>
                </c:pt>
                <c:pt idx="300">
                  <c:v>0.125</c:v>
                </c:pt>
                <c:pt idx="301">
                  <c:v>0.375</c:v>
                </c:pt>
                <c:pt idx="302">
                  <c:v>0.5</c:v>
                </c:pt>
                <c:pt idx="303">
                  <c:v>0.5</c:v>
                </c:pt>
                <c:pt idx="304">
                  <c:v>0.75</c:v>
                </c:pt>
                <c:pt idx="305">
                  <c:v>0.875</c:v>
                </c:pt>
                <c:pt idx="306">
                  <c:v>1</c:v>
                </c:pt>
                <c:pt idx="307">
                  <c:v>1.25</c:v>
                </c:pt>
                <c:pt idx="308">
                  <c:v>1.75</c:v>
                </c:pt>
                <c:pt idx="309">
                  <c:v>1.625</c:v>
                </c:pt>
                <c:pt idx="310">
                  <c:v>2</c:v>
                </c:pt>
                <c:pt idx="311">
                  <c:v>2.375</c:v>
                </c:pt>
                <c:pt idx="312">
                  <c:v>2.375</c:v>
                </c:pt>
                <c:pt idx="313">
                  <c:v>2.25</c:v>
                </c:pt>
                <c:pt idx="314">
                  <c:v>2.25</c:v>
                </c:pt>
                <c:pt idx="315">
                  <c:v>2.625</c:v>
                </c:pt>
                <c:pt idx="316">
                  <c:v>2.375</c:v>
                </c:pt>
                <c:pt idx="317">
                  <c:v>2.625</c:v>
                </c:pt>
                <c:pt idx="318">
                  <c:v>2.375</c:v>
                </c:pt>
                <c:pt idx="319">
                  <c:v>2.25</c:v>
                </c:pt>
                <c:pt idx="320">
                  <c:v>2.25</c:v>
                </c:pt>
                <c:pt idx="321">
                  <c:v>2.5</c:v>
                </c:pt>
                <c:pt idx="322">
                  <c:v>2.375</c:v>
                </c:pt>
                <c:pt idx="323">
                  <c:v>1.875</c:v>
                </c:pt>
                <c:pt idx="324">
                  <c:v>1.75</c:v>
                </c:pt>
                <c:pt idx="325">
                  <c:v>1.5</c:v>
                </c:pt>
                <c:pt idx="326">
                  <c:v>1.375</c:v>
                </c:pt>
                <c:pt idx="327">
                  <c:v>1.5</c:v>
                </c:pt>
                <c:pt idx="328">
                  <c:v>1.375</c:v>
                </c:pt>
                <c:pt idx="329">
                  <c:v>1.5</c:v>
                </c:pt>
                <c:pt idx="330">
                  <c:v>2</c:v>
                </c:pt>
                <c:pt idx="331">
                  <c:v>2</c:v>
                </c:pt>
                <c:pt idx="332">
                  <c:v>2.125</c:v>
                </c:pt>
                <c:pt idx="333">
                  <c:v>2.5</c:v>
                </c:pt>
                <c:pt idx="334">
                  <c:v>2.625</c:v>
                </c:pt>
                <c:pt idx="335">
                  <c:v>2.625</c:v>
                </c:pt>
                <c:pt idx="336">
                  <c:v>2.875</c:v>
                </c:pt>
                <c:pt idx="337">
                  <c:v>3.125</c:v>
                </c:pt>
                <c:pt idx="338">
                  <c:v>3.125</c:v>
                </c:pt>
                <c:pt idx="339">
                  <c:v>3.625</c:v>
                </c:pt>
                <c:pt idx="340">
                  <c:v>4.375</c:v>
                </c:pt>
                <c:pt idx="341">
                  <c:v>4.25</c:v>
                </c:pt>
                <c:pt idx="342">
                  <c:v>4.875</c:v>
                </c:pt>
                <c:pt idx="343">
                  <c:v>5.5</c:v>
                </c:pt>
                <c:pt idx="344">
                  <c:v>5.625</c:v>
                </c:pt>
                <c:pt idx="345">
                  <c:v>5.375</c:v>
                </c:pt>
                <c:pt idx="346">
                  <c:v>5.5</c:v>
                </c:pt>
                <c:pt idx="347">
                  <c:v>5.75</c:v>
                </c:pt>
                <c:pt idx="348">
                  <c:v>5.875</c:v>
                </c:pt>
                <c:pt idx="349">
                  <c:v>6.75</c:v>
                </c:pt>
                <c:pt idx="350">
                  <c:v>7</c:v>
                </c:pt>
                <c:pt idx="351">
                  <c:v>7.25</c:v>
                </c:pt>
                <c:pt idx="352">
                  <c:v>7.625</c:v>
                </c:pt>
                <c:pt idx="353">
                  <c:v>9.375</c:v>
                </c:pt>
                <c:pt idx="354">
                  <c:v>9.5</c:v>
                </c:pt>
                <c:pt idx="355">
                  <c:v>9.875</c:v>
                </c:pt>
                <c:pt idx="356">
                  <c:v>10</c:v>
                </c:pt>
                <c:pt idx="357">
                  <c:v>10.75</c:v>
                </c:pt>
                <c:pt idx="358">
                  <c:v>11.125</c:v>
                </c:pt>
                <c:pt idx="359">
                  <c:v>12.125</c:v>
                </c:pt>
                <c:pt idx="360">
                  <c:v>13.25</c:v>
                </c:pt>
                <c:pt idx="361">
                  <c:v>12.875</c:v>
                </c:pt>
                <c:pt idx="362">
                  <c:v>15.125</c:v>
                </c:pt>
                <c:pt idx="363">
                  <c:v>15.375</c:v>
                </c:pt>
                <c:pt idx="364">
                  <c:v>15.875</c:v>
                </c:pt>
                <c:pt idx="365">
                  <c:v>16.75</c:v>
                </c:pt>
                <c:pt idx="366">
                  <c:v>17.25</c:v>
                </c:pt>
                <c:pt idx="367">
                  <c:v>17.625</c:v>
                </c:pt>
                <c:pt idx="368">
                  <c:v>17.375</c:v>
                </c:pt>
                <c:pt idx="369">
                  <c:v>18.125</c:v>
                </c:pt>
                <c:pt idx="370">
                  <c:v>17.875</c:v>
                </c:pt>
                <c:pt idx="371">
                  <c:v>20.75</c:v>
                </c:pt>
                <c:pt idx="372">
                  <c:v>22.625</c:v>
                </c:pt>
                <c:pt idx="373">
                  <c:v>22.25</c:v>
                </c:pt>
                <c:pt idx="374">
                  <c:v>23.625</c:v>
                </c:pt>
                <c:pt idx="375">
                  <c:v>24.5</c:v>
                </c:pt>
                <c:pt idx="376">
                  <c:v>27.125</c:v>
                </c:pt>
                <c:pt idx="377">
                  <c:v>28.375</c:v>
                </c:pt>
                <c:pt idx="378">
                  <c:v>30.375</c:v>
                </c:pt>
                <c:pt idx="379">
                  <c:v>30</c:v>
                </c:pt>
                <c:pt idx="380">
                  <c:v>31.375</c:v>
                </c:pt>
                <c:pt idx="381">
                  <c:v>33.375</c:v>
                </c:pt>
                <c:pt idx="382">
                  <c:v>35.375</c:v>
                </c:pt>
                <c:pt idx="383">
                  <c:v>37.25</c:v>
                </c:pt>
                <c:pt idx="384">
                  <c:v>38.375</c:v>
                </c:pt>
                <c:pt idx="385">
                  <c:v>40</c:v>
                </c:pt>
                <c:pt idx="386">
                  <c:v>42.5</c:v>
                </c:pt>
                <c:pt idx="387">
                  <c:v>46</c:v>
                </c:pt>
                <c:pt idx="388">
                  <c:v>47.375</c:v>
                </c:pt>
                <c:pt idx="389">
                  <c:v>50.125</c:v>
                </c:pt>
                <c:pt idx="390">
                  <c:v>50.5</c:v>
                </c:pt>
                <c:pt idx="391">
                  <c:v>53</c:v>
                </c:pt>
                <c:pt idx="392">
                  <c:v>56</c:v>
                </c:pt>
                <c:pt idx="393">
                  <c:v>59.625</c:v>
                </c:pt>
                <c:pt idx="394">
                  <c:v>60.875</c:v>
                </c:pt>
                <c:pt idx="395">
                  <c:v>62.875</c:v>
                </c:pt>
                <c:pt idx="396">
                  <c:v>66.75</c:v>
                </c:pt>
                <c:pt idx="397">
                  <c:v>69</c:v>
                </c:pt>
                <c:pt idx="398">
                  <c:v>73.625</c:v>
                </c:pt>
                <c:pt idx="399">
                  <c:v>75.875</c:v>
                </c:pt>
                <c:pt idx="400">
                  <c:v>77</c:v>
                </c:pt>
                <c:pt idx="401">
                  <c:v>80.375</c:v>
                </c:pt>
                <c:pt idx="402">
                  <c:v>84.625</c:v>
                </c:pt>
                <c:pt idx="403">
                  <c:v>86.75</c:v>
                </c:pt>
                <c:pt idx="404">
                  <c:v>90.625</c:v>
                </c:pt>
                <c:pt idx="405">
                  <c:v>96.25</c:v>
                </c:pt>
                <c:pt idx="406">
                  <c:v>101</c:v>
                </c:pt>
                <c:pt idx="407">
                  <c:v>107.625</c:v>
                </c:pt>
                <c:pt idx="408">
                  <c:v>115.875</c:v>
                </c:pt>
                <c:pt idx="409">
                  <c:v>119.75</c:v>
                </c:pt>
                <c:pt idx="410">
                  <c:v>122.875</c:v>
                </c:pt>
                <c:pt idx="411">
                  <c:v>129.375</c:v>
                </c:pt>
                <c:pt idx="412">
                  <c:v>132.875</c:v>
                </c:pt>
                <c:pt idx="413">
                  <c:v>135.5</c:v>
                </c:pt>
                <c:pt idx="414">
                  <c:v>140</c:v>
                </c:pt>
                <c:pt idx="415">
                  <c:v>142.125</c:v>
                </c:pt>
                <c:pt idx="416">
                  <c:v>144.875</c:v>
                </c:pt>
                <c:pt idx="417">
                  <c:v>152</c:v>
                </c:pt>
                <c:pt idx="418">
                  <c:v>153.5</c:v>
                </c:pt>
                <c:pt idx="419">
                  <c:v>155.25</c:v>
                </c:pt>
                <c:pt idx="420">
                  <c:v>160.375</c:v>
                </c:pt>
                <c:pt idx="421">
                  <c:v>166.75</c:v>
                </c:pt>
                <c:pt idx="422">
                  <c:v>170.5</c:v>
                </c:pt>
                <c:pt idx="423">
                  <c:v>178.25</c:v>
                </c:pt>
                <c:pt idx="424">
                  <c:v>179.125</c:v>
                </c:pt>
                <c:pt idx="425">
                  <c:v>185.375</c:v>
                </c:pt>
                <c:pt idx="426">
                  <c:v>196.25</c:v>
                </c:pt>
                <c:pt idx="427">
                  <c:v>209.125</c:v>
                </c:pt>
                <c:pt idx="428">
                  <c:v>216.375</c:v>
                </c:pt>
                <c:pt idx="429">
                  <c:v>224</c:v>
                </c:pt>
                <c:pt idx="430">
                  <c:v>230.625</c:v>
                </c:pt>
                <c:pt idx="431">
                  <c:v>234.75</c:v>
                </c:pt>
                <c:pt idx="432">
                  <c:v>246.25</c:v>
                </c:pt>
                <c:pt idx="433">
                  <c:v>251.375</c:v>
                </c:pt>
                <c:pt idx="434">
                  <c:v>257.875</c:v>
                </c:pt>
                <c:pt idx="435">
                  <c:v>263.25</c:v>
                </c:pt>
                <c:pt idx="436">
                  <c:v>266.75</c:v>
                </c:pt>
                <c:pt idx="437">
                  <c:v>270.5</c:v>
                </c:pt>
                <c:pt idx="438">
                  <c:v>279.5</c:v>
                </c:pt>
                <c:pt idx="439">
                  <c:v>290</c:v>
                </c:pt>
                <c:pt idx="440">
                  <c:v>296.5</c:v>
                </c:pt>
                <c:pt idx="441">
                  <c:v>303.375</c:v>
                </c:pt>
                <c:pt idx="442">
                  <c:v>304.375</c:v>
                </c:pt>
                <c:pt idx="443">
                  <c:v>308.25</c:v>
                </c:pt>
                <c:pt idx="444">
                  <c:v>318.375</c:v>
                </c:pt>
                <c:pt idx="445">
                  <c:v>327.5</c:v>
                </c:pt>
                <c:pt idx="446">
                  <c:v>333.75</c:v>
                </c:pt>
                <c:pt idx="447">
                  <c:v>340.125</c:v>
                </c:pt>
                <c:pt idx="448">
                  <c:v>344.125</c:v>
                </c:pt>
                <c:pt idx="449">
                  <c:v>349.375</c:v>
                </c:pt>
                <c:pt idx="450">
                  <c:v>359.375</c:v>
                </c:pt>
                <c:pt idx="451">
                  <c:v>366.625</c:v>
                </c:pt>
                <c:pt idx="452">
                  <c:v>369.875</c:v>
                </c:pt>
                <c:pt idx="453">
                  <c:v>373.125</c:v>
                </c:pt>
                <c:pt idx="454">
                  <c:v>376</c:v>
                </c:pt>
                <c:pt idx="455">
                  <c:v>379</c:v>
                </c:pt>
                <c:pt idx="456">
                  <c:v>388.125</c:v>
                </c:pt>
                <c:pt idx="457">
                  <c:v>395.5</c:v>
                </c:pt>
                <c:pt idx="458">
                  <c:v>405.75</c:v>
                </c:pt>
                <c:pt idx="459">
                  <c:v>417.5</c:v>
                </c:pt>
                <c:pt idx="460">
                  <c:v>428.125</c:v>
                </c:pt>
                <c:pt idx="461">
                  <c:v>437.625</c:v>
                </c:pt>
                <c:pt idx="462">
                  <c:v>446.125</c:v>
                </c:pt>
                <c:pt idx="463">
                  <c:v>453</c:v>
                </c:pt>
                <c:pt idx="464">
                  <c:v>458.75</c:v>
                </c:pt>
                <c:pt idx="465">
                  <c:v>463.375</c:v>
                </c:pt>
                <c:pt idx="466">
                  <c:v>467.125</c:v>
                </c:pt>
                <c:pt idx="467">
                  <c:v>471.125</c:v>
                </c:pt>
                <c:pt idx="468">
                  <c:v>481</c:v>
                </c:pt>
                <c:pt idx="469">
                  <c:v>488</c:v>
                </c:pt>
                <c:pt idx="470">
                  <c:v>495.25</c:v>
                </c:pt>
                <c:pt idx="471">
                  <c:v>504.125</c:v>
                </c:pt>
                <c:pt idx="472">
                  <c:v>513.125</c:v>
                </c:pt>
                <c:pt idx="473">
                  <c:v>519</c:v>
                </c:pt>
                <c:pt idx="474">
                  <c:v>521.875</c:v>
                </c:pt>
                <c:pt idx="475">
                  <c:v>520.375</c:v>
                </c:pt>
                <c:pt idx="476">
                  <c:v>515.5</c:v>
                </c:pt>
                <c:pt idx="477">
                  <c:v>520.75</c:v>
                </c:pt>
                <c:pt idx="478">
                  <c:v>521.125</c:v>
                </c:pt>
                <c:pt idx="479">
                  <c:v>522.125</c:v>
                </c:pt>
                <c:pt idx="480">
                  <c:v>522.625</c:v>
                </c:pt>
                <c:pt idx="481">
                  <c:v>524.75</c:v>
                </c:pt>
                <c:pt idx="482">
                  <c:v>527.625</c:v>
                </c:pt>
                <c:pt idx="483">
                  <c:v>531.5</c:v>
                </c:pt>
                <c:pt idx="484">
                  <c:v>539.375</c:v>
                </c:pt>
                <c:pt idx="485">
                  <c:v>536.75</c:v>
                </c:pt>
                <c:pt idx="486">
                  <c:v>543.25</c:v>
                </c:pt>
                <c:pt idx="487">
                  <c:v>545.125</c:v>
                </c:pt>
                <c:pt idx="488">
                  <c:v>546.25</c:v>
                </c:pt>
                <c:pt idx="489">
                  <c:v>547.5</c:v>
                </c:pt>
                <c:pt idx="490">
                  <c:v>547.875</c:v>
                </c:pt>
                <c:pt idx="491">
                  <c:v>554.375</c:v>
                </c:pt>
                <c:pt idx="492">
                  <c:v>551.125</c:v>
                </c:pt>
                <c:pt idx="493">
                  <c:v>549.75</c:v>
                </c:pt>
                <c:pt idx="494">
                  <c:v>548.5</c:v>
                </c:pt>
                <c:pt idx="495">
                  <c:v>547.625</c:v>
                </c:pt>
                <c:pt idx="496">
                  <c:v>548.75</c:v>
                </c:pt>
                <c:pt idx="497">
                  <c:v>553.875</c:v>
                </c:pt>
                <c:pt idx="498">
                  <c:v>556.375</c:v>
                </c:pt>
                <c:pt idx="499">
                  <c:v>550.5</c:v>
                </c:pt>
                <c:pt idx="500">
                  <c:v>553.375</c:v>
                </c:pt>
                <c:pt idx="501">
                  <c:v>556.375</c:v>
                </c:pt>
                <c:pt idx="502">
                  <c:v>559.25</c:v>
                </c:pt>
                <c:pt idx="503">
                  <c:v>556.5</c:v>
                </c:pt>
                <c:pt idx="504">
                  <c:v>557.25</c:v>
                </c:pt>
                <c:pt idx="505">
                  <c:v>552</c:v>
                </c:pt>
                <c:pt idx="506">
                  <c:v>550.875</c:v>
                </c:pt>
                <c:pt idx="507">
                  <c:v>553</c:v>
                </c:pt>
                <c:pt idx="508">
                  <c:v>546.875</c:v>
                </c:pt>
                <c:pt idx="509">
                  <c:v>544.625</c:v>
                </c:pt>
                <c:pt idx="510">
                  <c:v>537.25</c:v>
                </c:pt>
                <c:pt idx="511">
                  <c:v>536.625</c:v>
                </c:pt>
                <c:pt idx="512">
                  <c:v>533.75</c:v>
                </c:pt>
                <c:pt idx="513">
                  <c:v>530.125</c:v>
                </c:pt>
                <c:pt idx="514">
                  <c:v>523.5</c:v>
                </c:pt>
                <c:pt idx="515">
                  <c:v>513.25</c:v>
                </c:pt>
                <c:pt idx="516">
                  <c:v>512.75</c:v>
                </c:pt>
                <c:pt idx="517">
                  <c:v>509.875</c:v>
                </c:pt>
                <c:pt idx="518">
                  <c:v>504.25</c:v>
                </c:pt>
                <c:pt idx="519">
                  <c:v>500.75</c:v>
                </c:pt>
                <c:pt idx="520">
                  <c:v>494.125</c:v>
                </c:pt>
                <c:pt idx="521">
                  <c:v>494.25</c:v>
                </c:pt>
                <c:pt idx="522">
                  <c:v>495.125</c:v>
                </c:pt>
                <c:pt idx="523">
                  <c:v>495.375</c:v>
                </c:pt>
                <c:pt idx="524">
                  <c:v>487.625</c:v>
                </c:pt>
                <c:pt idx="525">
                  <c:v>486.875</c:v>
                </c:pt>
                <c:pt idx="526">
                  <c:v>484.5</c:v>
                </c:pt>
                <c:pt idx="527">
                  <c:v>483.5</c:v>
                </c:pt>
                <c:pt idx="528">
                  <c:v>478.375</c:v>
                </c:pt>
                <c:pt idx="529">
                  <c:v>472.125</c:v>
                </c:pt>
                <c:pt idx="530">
                  <c:v>467.5</c:v>
                </c:pt>
                <c:pt idx="531">
                  <c:v>460.875</c:v>
                </c:pt>
                <c:pt idx="532">
                  <c:v>460.625</c:v>
                </c:pt>
                <c:pt idx="533">
                  <c:v>453.375</c:v>
                </c:pt>
                <c:pt idx="534">
                  <c:v>450.5</c:v>
                </c:pt>
                <c:pt idx="535">
                  <c:v>440</c:v>
                </c:pt>
                <c:pt idx="536">
                  <c:v>434.5</c:v>
                </c:pt>
                <c:pt idx="537">
                  <c:v>431.5</c:v>
                </c:pt>
                <c:pt idx="538">
                  <c:v>426.75</c:v>
                </c:pt>
                <c:pt idx="539">
                  <c:v>426.625</c:v>
                </c:pt>
                <c:pt idx="540">
                  <c:v>424.125</c:v>
                </c:pt>
                <c:pt idx="541">
                  <c:v>418.375</c:v>
                </c:pt>
                <c:pt idx="542">
                  <c:v>415.75</c:v>
                </c:pt>
                <c:pt idx="543">
                  <c:v>418.25</c:v>
                </c:pt>
                <c:pt idx="544">
                  <c:v>414.25</c:v>
                </c:pt>
                <c:pt idx="545">
                  <c:v>402.5</c:v>
                </c:pt>
                <c:pt idx="546">
                  <c:v>396.75</c:v>
                </c:pt>
                <c:pt idx="547">
                  <c:v>388.75</c:v>
                </c:pt>
                <c:pt idx="548">
                  <c:v>381.125</c:v>
                </c:pt>
                <c:pt idx="549">
                  <c:v>372.875</c:v>
                </c:pt>
                <c:pt idx="550">
                  <c:v>358.25</c:v>
                </c:pt>
                <c:pt idx="551">
                  <c:v>350.125</c:v>
                </c:pt>
                <c:pt idx="552">
                  <c:v>345</c:v>
                </c:pt>
                <c:pt idx="553">
                  <c:v>344.5</c:v>
                </c:pt>
                <c:pt idx="554">
                  <c:v>339.25</c:v>
                </c:pt>
                <c:pt idx="555">
                  <c:v>335</c:v>
                </c:pt>
                <c:pt idx="556">
                  <c:v>329.25</c:v>
                </c:pt>
                <c:pt idx="557">
                  <c:v>328.125</c:v>
                </c:pt>
                <c:pt idx="558">
                  <c:v>326.375</c:v>
                </c:pt>
                <c:pt idx="559">
                  <c:v>318.875</c:v>
                </c:pt>
                <c:pt idx="560">
                  <c:v>312.75</c:v>
                </c:pt>
                <c:pt idx="561">
                  <c:v>300.125</c:v>
                </c:pt>
                <c:pt idx="562">
                  <c:v>291.375</c:v>
                </c:pt>
                <c:pt idx="563">
                  <c:v>285.25</c:v>
                </c:pt>
                <c:pt idx="564">
                  <c:v>280.625</c:v>
                </c:pt>
                <c:pt idx="565">
                  <c:v>276.625</c:v>
                </c:pt>
                <c:pt idx="566">
                  <c:v>271.875</c:v>
                </c:pt>
                <c:pt idx="567">
                  <c:v>266.75</c:v>
                </c:pt>
                <c:pt idx="568">
                  <c:v>261.125</c:v>
                </c:pt>
                <c:pt idx="569">
                  <c:v>260.875</c:v>
                </c:pt>
                <c:pt idx="570">
                  <c:v>258.625</c:v>
                </c:pt>
                <c:pt idx="571">
                  <c:v>252.25</c:v>
                </c:pt>
                <c:pt idx="572">
                  <c:v>245.25</c:v>
                </c:pt>
                <c:pt idx="573">
                  <c:v>236.625</c:v>
                </c:pt>
                <c:pt idx="574">
                  <c:v>232.375</c:v>
                </c:pt>
                <c:pt idx="575">
                  <c:v>228.25</c:v>
                </c:pt>
                <c:pt idx="576">
                  <c:v>228</c:v>
                </c:pt>
                <c:pt idx="577">
                  <c:v>228.375</c:v>
                </c:pt>
                <c:pt idx="578">
                  <c:v>224.25</c:v>
                </c:pt>
                <c:pt idx="579">
                  <c:v>219.75</c:v>
                </c:pt>
                <c:pt idx="580">
                  <c:v>216.25</c:v>
                </c:pt>
                <c:pt idx="581">
                  <c:v>213.75</c:v>
                </c:pt>
                <c:pt idx="582">
                  <c:v>211.625</c:v>
                </c:pt>
                <c:pt idx="583">
                  <c:v>208.375</c:v>
                </c:pt>
                <c:pt idx="584">
                  <c:v>202</c:v>
                </c:pt>
                <c:pt idx="585">
                  <c:v>193.625</c:v>
                </c:pt>
                <c:pt idx="586">
                  <c:v>189.25</c:v>
                </c:pt>
                <c:pt idx="587">
                  <c:v>186.25</c:v>
                </c:pt>
                <c:pt idx="588">
                  <c:v>181.75</c:v>
                </c:pt>
                <c:pt idx="589">
                  <c:v>173.375</c:v>
                </c:pt>
                <c:pt idx="590">
                  <c:v>170.5</c:v>
                </c:pt>
                <c:pt idx="591">
                  <c:v>167</c:v>
                </c:pt>
                <c:pt idx="592">
                  <c:v>160.875</c:v>
                </c:pt>
                <c:pt idx="593">
                  <c:v>156.5</c:v>
                </c:pt>
                <c:pt idx="594">
                  <c:v>154.125</c:v>
                </c:pt>
                <c:pt idx="595">
                  <c:v>148.75</c:v>
                </c:pt>
                <c:pt idx="596">
                  <c:v>144</c:v>
                </c:pt>
                <c:pt idx="597">
                  <c:v>142.625</c:v>
                </c:pt>
                <c:pt idx="598">
                  <c:v>137.25</c:v>
                </c:pt>
                <c:pt idx="599">
                  <c:v>131.75</c:v>
                </c:pt>
                <c:pt idx="600">
                  <c:v>129.625</c:v>
                </c:pt>
                <c:pt idx="601">
                  <c:v>128.125</c:v>
                </c:pt>
                <c:pt idx="602">
                  <c:v>123.5</c:v>
                </c:pt>
                <c:pt idx="603">
                  <c:v>121.625</c:v>
                </c:pt>
                <c:pt idx="604">
                  <c:v>120.75</c:v>
                </c:pt>
                <c:pt idx="605">
                  <c:v>118.125</c:v>
                </c:pt>
                <c:pt idx="606">
                  <c:v>114.875</c:v>
                </c:pt>
                <c:pt idx="607">
                  <c:v>114</c:v>
                </c:pt>
                <c:pt idx="608">
                  <c:v>112.375</c:v>
                </c:pt>
                <c:pt idx="609">
                  <c:v>108.625</c:v>
                </c:pt>
                <c:pt idx="610">
                  <c:v>105.25</c:v>
                </c:pt>
                <c:pt idx="611">
                  <c:v>103.5</c:v>
                </c:pt>
                <c:pt idx="612">
                  <c:v>98.5</c:v>
                </c:pt>
                <c:pt idx="613">
                  <c:v>96.25</c:v>
                </c:pt>
                <c:pt idx="614">
                  <c:v>95.25</c:v>
                </c:pt>
                <c:pt idx="615">
                  <c:v>90.625</c:v>
                </c:pt>
                <c:pt idx="616">
                  <c:v>86.25</c:v>
                </c:pt>
                <c:pt idx="617">
                  <c:v>83.375</c:v>
                </c:pt>
                <c:pt idx="618">
                  <c:v>80.375</c:v>
                </c:pt>
                <c:pt idx="619">
                  <c:v>75.125</c:v>
                </c:pt>
                <c:pt idx="620">
                  <c:v>75.625</c:v>
                </c:pt>
                <c:pt idx="621">
                  <c:v>74</c:v>
                </c:pt>
                <c:pt idx="622">
                  <c:v>70.25</c:v>
                </c:pt>
                <c:pt idx="623">
                  <c:v>67.375</c:v>
                </c:pt>
                <c:pt idx="624">
                  <c:v>66.25</c:v>
                </c:pt>
                <c:pt idx="625">
                  <c:v>64</c:v>
                </c:pt>
                <c:pt idx="626">
                  <c:v>63.625</c:v>
                </c:pt>
                <c:pt idx="627">
                  <c:v>62.875</c:v>
                </c:pt>
                <c:pt idx="628">
                  <c:v>60.5</c:v>
                </c:pt>
                <c:pt idx="629">
                  <c:v>57.625</c:v>
                </c:pt>
                <c:pt idx="630">
                  <c:v>56.25</c:v>
                </c:pt>
                <c:pt idx="631">
                  <c:v>55</c:v>
                </c:pt>
                <c:pt idx="632">
                  <c:v>52.25</c:v>
                </c:pt>
                <c:pt idx="633">
                  <c:v>50.125</c:v>
                </c:pt>
                <c:pt idx="634">
                  <c:v>48.125</c:v>
                </c:pt>
                <c:pt idx="635">
                  <c:v>46.625</c:v>
                </c:pt>
                <c:pt idx="636">
                  <c:v>45</c:v>
                </c:pt>
                <c:pt idx="637">
                  <c:v>43.75</c:v>
                </c:pt>
                <c:pt idx="638">
                  <c:v>42.625</c:v>
                </c:pt>
                <c:pt idx="639">
                  <c:v>41.125</c:v>
                </c:pt>
                <c:pt idx="640">
                  <c:v>39.875</c:v>
                </c:pt>
                <c:pt idx="641">
                  <c:v>39.125</c:v>
                </c:pt>
                <c:pt idx="642">
                  <c:v>36.125</c:v>
                </c:pt>
                <c:pt idx="643">
                  <c:v>35</c:v>
                </c:pt>
                <c:pt idx="644">
                  <c:v>32.875</c:v>
                </c:pt>
                <c:pt idx="645">
                  <c:v>32.5</c:v>
                </c:pt>
                <c:pt idx="646">
                  <c:v>31.625</c:v>
                </c:pt>
                <c:pt idx="647">
                  <c:v>30.625</c:v>
                </c:pt>
                <c:pt idx="648">
                  <c:v>29.875</c:v>
                </c:pt>
                <c:pt idx="649">
                  <c:v>29.375</c:v>
                </c:pt>
                <c:pt idx="650">
                  <c:v>28.875</c:v>
                </c:pt>
                <c:pt idx="651">
                  <c:v>29</c:v>
                </c:pt>
                <c:pt idx="652">
                  <c:v>29.75</c:v>
                </c:pt>
                <c:pt idx="653">
                  <c:v>27.875</c:v>
                </c:pt>
                <c:pt idx="654">
                  <c:v>26.875</c:v>
                </c:pt>
                <c:pt idx="655">
                  <c:v>26</c:v>
                </c:pt>
                <c:pt idx="656">
                  <c:v>25</c:v>
                </c:pt>
                <c:pt idx="657">
                  <c:v>23.375</c:v>
                </c:pt>
                <c:pt idx="658">
                  <c:v>24.25</c:v>
                </c:pt>
                <c:pt idx="659">
                  <c:v>23.375</c:v>
                </c:pt>
                <c:pt idx="660">
                  <c:v>21.5</c:v>
                </c:pt>
                <c:pt idx="661">
                  <c:v>20.5</c:v>
                </c:pt>
                <c:pt idx="662">
                  <c:v>19.25</c:v>
                </c:pt>
                <c:pt idx="663">
                  <c:v>19.25</c:v>
                </c:pt>
                <c:pt idx="664">
                  <c:v>19</c:v>
                </c:pt>
                <c:pt idx="665">
                  <c:v>19.125</c:v>
                </c:pt>
                <c:pt idx="666">
                  <c:v>17.5</c:v>
                </c:pt>
                <c:pt idx="667">
                  <c:v>16.25</c:v>
                </c:pt>
                <c:pt idx="668">
                  <c:v>15.25</c:v>
                </c:pt>
                <c:pt idx="669">
                  <c:v>14.875</c:v>
                </c:pt>
                <c:pt idx="670">
                  <c:v>14.25</c:v>
                </c:pt>
                <c:pt idx="671">
                  <c:v>13</c:v>
                </c:pt>
                <c:pt idx="672">
                  <c:v>13.375</c:v>
                </c:pt>
                <c:pt idx="673">
                  <c:v>12.75</c:v>
                </c:pt>
                <c:pt idx="674">
                  <c:v>12.375</c:v>
                </c:pt>
                <c:pt idx="675">
                  <c:v>12.125</c:v>
                </c:pt>
                <c:pt idx="676">
                  <c:v>11.875</c:v>
                </c:pt>
                <c:pt idx="677">
                  <c:v>11.875</c:v>
                </c:pt>
                <c:pt idx="678">
                  <c:v>12</c:v>
                </c:pt>
                <c:pt idx="679">
                  <c:v>12.125</c:v>
                </c:pt>
                <c:pt idx="680">
                  <c:v>10.625</c:v>
                </c:pt>
                <c:pt idx="681">
                  <c:v>10.375</c:v>
                </c:pt>
                <c:pt idx="682">
                  <c:v>10.75</c:v>
                </c:pt>
                <c:pt idx="683">
                  <c:v>10.125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63-42DB-A86C-2D9789867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862"/>
        <c:axId val="28867992"/>
      </c:scatterChart>
      <c:valAx>
        <c:axId val="829862"/>
        <c:scaling>
          <c:orientation val="minMax"/>
          <c:max val="1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8867992"/>
        <c:crosses val="autoZero"/>
        <c:crossBetween val="between"/>
        <c:majorUnit val="100"/>
      </c:valAx>
      <c:valAx>
        <c:axId val="28867992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829862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139247</xdr:colOff>
      <xdr:row>32</xdr:row>
      <xdr:rowOff>154080</xdr:rowOff>
    </xdr:from>
    <xdr:ext cx="6818572" cy="65474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9B7CC8-1B03-4B2A-B895-A9982F2098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A141F-0981-49E7-AF6B-00D8D2B5BF72}">
  <dimension ref="A1:AF88"/>
  <sheetViews>
    <sheetView zoomScale="70" zoomScaleNormal="70" workbookViewId="0">
      <selection activeCell="N16" sqref="N16"/>
    </sheetView>
  </sheetViews>
  <sheetFormatPr defaultRowHeight="12.75" x14ac:dyDescent="0.35"/>
  <cols>
    <col min="2" max="2" width="11.796875" customWidth="1"/>
  </cols>
  <sheetData>
    <row r="1" spans="1:16" x14ac:dyDescent="0.35">
      <c r="A1" t="s">
        <v>63</v>
      </c>
    </row>
    <row r="2" spans="1:16" ht="40.15" x14ac:dyDescent="0.4">
      <c r="A2" s="30" t="s">
        <v>62</v>
      </c>
      <c r="B2" s="30"/>
      <c r="C2" s="30"/>
      <c r="D2" s="30"/>
      <c r="E2" s="30"/>
      <c r="H2" s="29" t="s">
        <v>61</v>
      </c>
    </row>
    <row r="3" spans="1:16" ht="13.15" x14ac:dyDescent="0.4">
      <c r="A3" t="s">
        <v>60</v>
      </c>
      <c r="B3" s="28" t="s">
        <v>59</v>
      </c>
      <c r="D3" t="s">
        <v>58</v>
      </c>
      <c r="E3" s="1">
        <v>1</v>
      </c>
    </row>
    <row r="4" spans="1:16" ht="40.15" x14ac:dyDescent="1.05">
      <c r="A4" s="1" t="s">
        <v>57</v>
      </c>
      <c r="B4" s="27">
        <v>45832</v>
      </c>
      <c r="O4" s="26"/>
    </row>
    <row r="5" spans="1:16" ht="13.15" x14ac:dyDescent="0.4">
      <c r="A5" s="1" t="s">
        <v>56</v>
      </c>
      <c r="B5" s="25" t="s">
        <v>55</v>
      </c>
      <c r="O5" s="24"/>
    </row>
    <row r="6" spans="1:16" ht="13.15" x14ac:dyDescent="0.4">
      <c r="A6" t="s">
        <v>54</v>
      </c>
      <c r="B6" s="23" t="str">
        <f ca="1">RIGHT(CELL("filename"),1)</f>
        <v>)</v>
      </c>
      <c r="C6" s="1"/>
      <c r="D6" s="1"/>
      <c r="E6" s="1"/>
      <c r="F6" s="1"/>
    </row>
    <row r="7" spans="1:16" ht="14.65" x14ac:dyDescent="0.5">
      <c r="B7" s="2" t="s">
        <v>5</v>
      </c>
      <c r="C7" s="2" t="s">
        <v>4</v>
      </c>
      <c r="D7" s="2" t="s">
        <v>3</v>
      </c>
      <c r="E7" s="2" t="s">
        <v>2</v>
      </c>
      <c r="F7" s="2" t="s">
        <v>1</v>
      </c>
      <c r="G7" s="2" t="s">
        <v>53</v>
      </c>
      <c r="H7" s="2" t="s">
        <v>52</v>
      </c>
      <c r="I7" s="2" t="s">
        <v>51</v>
      </c>
      <c r="J7" s="2" t="s">
        <v>50</v>
      </c>
      <c r="K7" s="2" t="s">
        <v>49</v>
      </c>
      <c r="L7" s="2" t="s">
        <v>48</v>
      </c>
      <c r="P7" s="2"/>
    </row>
    <row r="8" spans="1:16" ht="13.15" x14ac:dyDescent="0.4">
      <c r="A8" s="20" t="s">
        <v>47</v>
      </c>
      <c r="B8" s="22">
        <v>1</v>
      </c>
      <c r="C8" s="22">
        <v>1</v>
      </c>
      <c r="D8" s="22">
        <v>1</v>
      </c>
      <c r="E8" s="22">
        <v>1</v>
      </c>
      <c r="F8" s="22">
        <v>1</v>
      </c>
      <c r="G8" s="21">
        <f>AVERAGE(B$8:F$8)*5</f>
        <v>5</v>
      </c>
      <c r="I8" s="16"/>
      <c r="K8" s="16"/>
    </row>
    <row r="9" spans="1:16" ht="13.15" x14ac:dyDescent="0.4">
      <c r="A9" s="20" t="s">
        <v>46</v>
      </c>
      <c r="B9" s="19">
        <f>B53/B$8</f>
        <v>1716.491211</v>
      </c>
      <c r="C9" s="19">
        <f>C53/C$8</f>
        <v>1643.644775</v>
      </c>
      <c r="D9" s="19">
        <f>D53/D$8</f>
        <v>1635.6400149999999</v>
      </c>
      <c r="E9" s="19">
        <f>E53/E$8</f>
        <v>1685.3596190000001</v>
      </c>
      <c r="F9" s="19">
        <f>F53/F$8</f>
        <v>1638.6480710000001</v>
      </c>
      <c r="G9" s="18">
        <f>AVERAGE(B9:F9)</f>
        <v>1663.9567382</v>
      </c>
      <c r="H9" s="17">
        <f>G9*G$8</f>
        <v>8319.7836910000005</v>
      </c>
      <c r="I9" s="16">
        <f>STDEVP(B9:F9)/AVERAGE(B9:F9)</f>
        <v>1.9142599907951387E-2</v>
      </c>
      <c r="J9" s="16">
        <f>IF(H9&gt;$A$43, $C$43, IF(H9&gt;$A$44, $C$44, IF(H9&gt;$A$45,$C$45,IF(H9&gt;$A$46,$C$46, IF(H9&gt;$A$47,$C$47,IF(H9&gt;$A$48,$C$48,$C$49))))))/100</f>
        <v>0.113</v>
      </c>
      <c r="K9" s="16">
        <f>(MAX(B9:F9)-MIN(B9:F9))/G9</f>
        <v>4.858972240315669E-2</v>
      </c>
      <c r="L9">
        <f>COUNTA(B9:F9)</f>
        <v>5</v>
      </c>
      <c r="P9" s="19"/>
    </row>
    <row r="10" spans="1:16" ht="13.15" x14ac:dyDescent="0.4">
      <c r="A10" s="20" t="s">
        <v>45</v>
      </c>
      <c r="B10" s="19">
        <f>B54/B$8</f>
        <v>1705.13147</v>
      </c>
      <c r="C10" s="19">
        <f>C54/C$8</f>
        <v>1635.7348629999999</v>
      </c>
      <c r="D10" s="19">
        <f>D54/D$8</f>
        <v>1629.4155270000001</v>
      </c>
      <c r="E10" s="19">
        <f>E54/E$8</f>
        <v>1680.8988039999999</v>
      </c>
      <c r="F10" s="19">
        <f>F54/F$8</f>
        <v>1634.5927730000001</v>
      </c>
      <c r="G10" s="18">
        <f>AVERAGE(B10:F10)</f>
        <v>1657.1546874000001</v>
      </c>
      <c r="H10" s="17">
        <f>G10*G$8</f>
        <v>8285.7734369999998</v>
      </c>
      <c r="I10" s="16">
        <f>STDEVP(B10:F10)/AVERAGE(B10:F10)</f>
        <v>1.8309060047351208E-2</v>
      </c>
      <c r="J10" s="16">
        <f>IF(H10&gt;$A$43, $C$43, IF(H10&gt;$A$44, $C$44, IF(H10&gt;$A$45,$C$45,IF(H10&gt;$A$46,$C$46, IF(H10&gt;$A$47,$C$47,IF(H10&gt;$A$48,$C$48,$C$49))))))/100</f>
        <v>0.113</v>
      </c>
      <c r="K10" s="16">
        <f>(MAX(B10:F10)-MIN(B10:F10))/G10</f>
        <v>4.5690329077724648E-2</v>
      </c>
      <c r="L10">
        <f>COUNTA(B10:F10)</f>
        <v>5</v>
      </c>
      <c r="P10" s="19"/>
    </row>
    <row r="11" spans="1:16" ht="13.15" x14ac:dyDescent="0.4">
      <c r="A11" s="20" t="s">
        <v>44</v>
      </c>
      <c r="B11" s="19">
        <f>B55/B$8</f>
        <v>1699.2923579999999</v>
      </c>
      <c r="C11" s="19">
        <f>C55/C$8</f>
        <v>1631.475586</v>
      </c>
      <c r="D11" s="19">
        <f>D55/D$8</f>
        <v>1625.537842</v>
      </c>
      <c r="E11" s="19">
        <f>E55/E$8</f>
        <v>1677.5532229999999</v>
      </c>
      <c r="F11" s="19">
        <f>F55/F$8</f>
        <v>1631.5512699999999</v>
      </c>
      <c r="G11" s="18">
        <f>AVERAGE(B11:F11)</f>
        <v>1653.0820558</v>
      </c>
      <c r="H11" s="17">
        <f>G11*G$8</f>
        <v>8265.4102789999997</v>
      </c>
      <c r="I11" s="16">
        <f>STDEVP(B11:F11)/AVERAGE(B11:F11)</f>
        <v>1.7992651181407346E-2</v>
      </c>
      <c r="J11" s="16">
        <f>IF(H11&gt;$A$43, $C$43, IF(H11&gt;$A$44, $C$44, IF(H11&gt;$A$45,$C$45,IF(H11&gt;$A$46,$C$46, IF(H11&gt;$A$47,$C$47,IF(H11&gt;$A$48,$C$48,$C$49))))))/100</f>
        <v>0.113</v>
      </c>
      <c r="K11" s="16">
        <f>(MAX(B11:F11)-MIN(B11:F11))/G11</f>
        <v>4.4616367191952166E-2</v>
      </c>
      <c r="L11">
        <f>COUNTA(B11:F11)</f>
        <v>5</v>
      </c>
      <c r="P11" s="19"/>
    </row>
    <row r="12" spans="1:16" ht="13.15" x14ac:dyDescent="0.4">
      <c r="A12" s="20" t="s">
        <v>43</v>
      </c>
      <c r="B12" s="19">
        <f>B56/B$8</f>
        <v>1696.4257809999999</v>
      </c>
      <c r="C12" s="19">
        <f>C56/C$8</f>
        <v>1627.8249510000001</v>
      </c>
      <c r="D12" s="19">
        <f>D56/D$8</f>
        <v>1624.007202</v>
      </c>
      <c r="E12" s="19">
        <f>E56/E$8</f>
        <v>1675.829712</v>
      </c>
      <c r="F12" s="19">
        <f>F56/F$8</f>
        <v>1629.7264399999999</v>
      </c>
      <c r="G12" s="18">
        <f>AVERAGE(B12:F12)</f>
        <v>1650.7628172</v>
      </c>
      <c r="H12" s="17">
        <f>G12*G$8</f>
        <v>8253.8140860000003</v>
      </c>
      <c r="I12" s="16">
        <f>STDEVP(B12:F12)/AVERAGE(B12:F12)</f>
        <v>1.7966256729240512E-2</v>
      </c>
      <c r="J12" s="16">
        <f>IF(H12&gt;$A$43, $C$43, IF(H12&gt;$A$44, $C$44, IF(H12&gt;$A$45,$C$45,IF(H12&gt;$A$46,$C$46, IF(H12&gt;$A$47,$C$47,IF(H12&gt;$A$48,$C$48,$C$49))))))/100</f>
        <v>0.113</v>
      </c>
      <c r="K12" s="16">
        <f>(MAX(B12:F12)-MIN(B12:F12))/G12</f>
        <v>4.3869766295581612E-2</v>
      </c>
      <c r="L12">
        <f>COUNTA(B12:F12)</f>
        <v>5</v>
      </c>
      <c r="P12" s="19"/>
    </row>
    <row r="13" spans="1:16" ht="13.15" x14ac:dyDescent="0.4">
      <c r="A13" s="20" t="s">
        <v>42</v>
      </c>
      <c r="B13" s="19">
        <f>B57/B$8</f>
        <v>1693.984009</v>
      </c>
      <c r="C13" s="19">
        <f>C57/C$8</f>
        <v>1626.709351</v>
      </c>
      <c r="D13" s="19">
        <f>D57/D$8</f>
        <v>1623.496948</v>
      </c>
      <c r="E13" s="19">
        <f>E57/E$8</f>
        <v>1674.9173579999999</v>
      </c>
      <c r="F13" s="19">
        <f>F57/F$8</f>
        <v>1628.915283</v>
      </c>
      <c r="G13" s="18">
        <f>AVERAGE(B13:F13)</f>
        <v>1649.6045898</v>
      </c>
      <c r="H13" s="17">
        <f>G13*G$8</f>
        <v>8248.0229490000002</v>
      </c>
      <c r="I13" s="16">
        <f>STDEVP(B13:F13)/AVERAGE(B13:F13)</f>
        <v>1.7661550882660779E-2</v>
      </c>
      <c r="J13" s="16">
        <f>IF(H13&gt;$A$43, $C$43, IF(H13&gt;$A$44, $C$44, IF(H13&gt;$A$45,$C$45,IF(H13&gt;$A$46,$C$46, IF(H13&gt;$A$47,$C$47,IF(H13&gt;$A$48,$C$48,$C$49))))))/100</f>
        <v>0.113</v>
      </c>
      <c r="K13" s="16">
        <f>(MAX(B13:F13)-MIN(B13:F13))/G13</f>
        <v>4.2729670756157377E-2</v>
      </c>
      <c r="L13">
        <f>COUNTA(B13:F13)</f>
        <v>5</v>
      </c>
      <c r="P13" s="19"/>
    </row>
    <row r="14" spans="1:16" ht="13.15" x14ac:dyDescent="0.4">
      <c r="A14" s="20" t="s">
        <v>41</v>
      </c>
      <c r="B14" s="19">
        <f>B58/B$8</f>
        <v>1691.8607179999999</v>
      </c>
      <c r="C14" s="19">
        <f>C58/C$8</f>
        <v>1625.9995120000001</v>
      </c>
      <c r="D14" s="19">
        <f>D58/D$8</f>
        <v>1622.7827150000001</v>
      </c>
      <c r="E14" s="19">
        <f>E58/E$8</f>
        <v>1674.4104</v>
      </c>
      <c r="F14" s="19">
        <f>F58/F$8</f>
        <v>1628.0029300000001</v>
      </c>
      <c r="G14" s="18">
        <f>AVERAGE(B14:F14)</f>
        <v>1648.6112550000003</v>
      </c>
      <c r="H14" s="17">
        <f>G14*G$8</f>
        <v>8243.0562750000008</v>
      </c>
      <c r="I14" s="16">
        <f>STDEVP(B14:F14)/AVERAGE(B14:F14)</f>
        <v>1.7452432235854073E-2</v>
      </c>
      <c r="J14" s="16">
        <f>IF(H14&gt;$A$43, $C$43, IF(H14&gt;$A$44, $C$44, IF(H14&gt;$A$45,$C$45,IF(H14&gt;$A$46,$C$46, IF(H14&gt;$A$47,$C$47,IF(H14&gt;$A$48,$C$48,$C$49))))))/100</f>
        <v>0.113</v>
      </c>
      <c r="K14" s="16">
        <f>(MAX(B14:F14)-MIN(B14:F14))/G14</f>
        <v>4.1900722678251907E-2</v>
      </c>
      <c r="L14">
        <f>COUNTA(B14:F14)</f>
        <v>5</v>
      </c>
      <c r="P14" s="19"/>
    </row>
    <row r="15" spans="1:16" ht="13.15" x14ac:dyDescent="0.4">
      <c r="A15" s="20" t="s">
        <v>40</v>
      </c>
      <c r="B15" s="19">
        <f>B59/B$8</f>
        <v>1689.631226</v>
      </c>
      <c r="C15" s="19">
        <f>C59/C$8</f>
        <v>1624.376953</v>
      </c>
      <c r="D15" s="19">
        <f>D59/D$8</f>
        <v>1621.2520750000001</v>
      </c>
      <c r="E15" s="19">
        <f>E59/E$8</f>
        <v>1672.5855710000001</v>
      </c>
      <c r="F15" s="19">
        <f>F59/F$8</f>
        <v>1626.989014</v>
      </c>
      <c r="G15" s="18">
        <f>AVERAGE(B15:F15)</f>
        <v>1646.9669678000002</v>
      </c>
      <c r="H15" s="17">
        <f>G15*G$8</f>
        <v>8234.834839000001</v>
      </c>
      <c r="I15" s="16">
        <f>STDEVP(B15:F15)/AVERAGE(B15:F15)</f>
        <v>1.7274652244874508E-2</v>
      </c>
      <c r="J15" s="16">
        <f>IF(H15&gt;$A$43, $C$43, IF(H15&gt;$A$44, $C$44, IF(H15&gt;$A$45,$C$45,IF(H15&gt;$A$46,$C$46, IF(H15&gt;$A$47,$C$47,IF(H15&gt;$A$48,$C$48,$C$49))))))/100</f>
        <v>0.113</v>
      </c>
      <c r="K15" s="16">
        <f>(MAX(B15:F15)-MIN(B15:F15))/G15</f>
        <v>4.1518228560066359E-2</v>
      </c>
      <c r="L15">
        <f>COUNTA(B15:F15)</f>
        <v>5</v>
      </c>
      <c r="P15" s="19"/>
    </row>
    <row r="16" spans="1:16" ht="13.15" x14ac:dyDescent="0.4">
      <c r="A16" s="20" t="s">
        <v>39</v>
      </c>
      <c r="B16" s="19">
        <f>B60/B$8</f>
        <v>1662.452759</v>
      </c>
      <c r="C16" s="19">
        <f>C60/C$8</f>
        <v>1591.7231449999999</v>
      </c>
      <c r="D16" s="19">
        <f>D60/D$8</f>
        <v>1598.1904300000001</v>
      </c>
      <c r="E16" s="19">
        <f>E60/E$8</f>
        <v>1646.3278809999999</v>
      </c>
      <c r="F16" s="19">
        <f>F60/F$8</f>
        <v>1605.8000489999999</v>
      </c>
      <c r="G16" s="18">
        <f>AVERAGE(B16:F16)</f>
        <v>1620.8988528000002</v>
      </c>
      <c r="H16" s="17">
        <f>G16*G$8</f>
        <v>8104.4942640000008</v>
      </c>
      <c r="I16" s="16">
        <f>STDEVP(B16:F16)/AVERAGE(B16:F16)</f>
        <v>1.7380311195013418E-2</v>
      </c>
      <c r="J16" s="16">
        <f>IF(H16&gt;$A$43, $C$43, IF(H16&gt;$A$44, $C$44, IF(H16&gt;$A$45,$C$45,IF(H16&gt;$A$46,$C$46, IF(H16&gt;$A$47,$C$47,IF(H16&gt;$A$48,$C$48,$C$49))))))/100</f>
        <v>0.113</v>
      </c>
      <c r="K16" s="16">
        <f>(MAX(B16:F16)-MIN(B16:F16))/G16</f>
        <v>4.3636044209556413E-2</v>
      </c>
      <c r="L16">
        <f>COUNTA(B16:F16)</f>
        <v>5</v>
      </c>
      <c r="P16" s="19"/>
    </row>
    <row r="17" spans="1:16" ht="13.15" x14ac:dyDescent="0.4">
      <c r="A17" s="20" t="s">
        <v>38</v>
      </c>
      <c r="B17" s="19">
        <f>B61/B$8</f>
        <v>1253.2891850000001</v>
      </c>
      <c r="C17" s="19">
        <f>C61/C$8</f>
        <v>1212.95874</v>
      </c>
      <c r="D17" s="19">
        <f>D61/D$8</f>
        <v>1242.1639399999999</v>
      </c>
      <c r="E17" s="19">
        <f>E61/E$8</f>
        <v>1260.369995</v>
      </c>
      <c r="F17" s="19">
        <f>F61/F$8</f>
        <v>1254.813232</v>
      </c>
      <c r="G17" s="18">
        <f>AVERAGE(B17:F17)</f>
        <v>1244.7190183999999</v>
      </c>
      <c r="H17" s="17">
        <f>G17*G$8</f>
        <v>6223.5950919999996</v>
      </c>
      <c r="I17" s="16">
        <f>STDEVP(B17:F17)/AVERAGE(B17:F17)</f>
        <v>1.3612909929592125E-2</v>
      </c>
      <c r="J17" s="16">
        <f>IF(H17&gt;$A$43, $C$43, IF(H17&gt;$A$44, $C$44, IF(H17&gt;$A$45,$C$45,IF(H17&gt;$A$46,$C$46, IF(H17&gt;$A$47,$C$47,IF(H17&gt;$A$48,$C$48,$C$49))))))/100</f>
        <v>0.113</v>
      </c>
      <c r="K17" s="16">
        <f>(MAX(B17:F17)-MIN(B17:F17))/G17</f>
        <v>3.8089925757657232E-2</v>
      </c>
      <c r="L17">
        <f>COUNTA(B17:F17)</f>
        <v>5</v>
      </c>
      <c r="P17" s="19"/>
    </row>
    <row r="18" spans="1:16" ht="13.15" x14ac:dyDescent="0.4">
      <c r="A18" s="20" t="s">
        <v>37</v>
      </c>
      <c r="B18" s="19">
        <f>B62/B$8</f>
        <v>426.78714000000002</v>
      </c>
      <c r="C18" s="19">
        <f>C62/C$8</f>
        <v>424.29724099999999</v>
      </c>
      <c r="D18" s="19">
        <f>D62/D$8</f>
        <v>439.70135499999998</v>
      </c>
      <c r="E18" s="19">
        <f>E62/E$8</f>
        <v>435.63464399999998</v>
      </c>
      <c r="F18" s="19">
        <f>F62/F$8</f>
        <v>429.86251800000002</v>
      </c>
      <c r="G18" s="18">
        <f>AVERAGE(B18:F18)</f>
        <v>431.25657960000001</v>
      </c>
      <c r="H18" s="17">
        <f>G18*G$8</f>
        <v>2156.2828979999999</v>
      </c>
      <c r="I18" s="16">
        <f>STDEVP(B18:F18)/AVERAGE(B18:F18)</f>
        <v>1.3151259473816505E-2</v>
      </c>
      <c r="J18" s="16">
        <f>IF(H18&gt;$A$43, $C$43, IF(H18&gt;$A$44, $C$44, IF(H18&gt;$A$45,$C$45,IF(H18&gt;$A$46,$C$46, IF(H18&gt;$A$47,$C$47,IF(H18&gt;$A$48,$C$48,$C$49))))))/100</f>
        <v>0.11900000000000001</v>
      </c>
      <c r="K18" s="16">
        <f>(MAX(B18:F18)-MIN(B18:F18))/G18</f>
        <v>3.5719139669214202E-2</v>
      </c>
      <c r="L18">
        <f>COUNTA(B18:F18)</f>
        <v>5</v>
      </c>
      <c r="P18" s="19"/>
    </row>
    <row r="19" spans="1:16" ht="13.15" x14ac:dyDescent="0.4">
      <c r="A19" s="20" t="s">
        <v>36</v>
      </c>
      <c r="B19" s="19">
        <f>B63/B$8</f>
        <v>111.580421</v>
      </c>
      <c r="C19" s="19">
        <f>C63/C$8</f>
        <v>114.694115</v>
      </c>
      <c r="D19" s="19">
        <f>D63/D$8</f>
        <v>111.328423</v>
      </c>
      <c r="E19" s="19">
        <f>E63/E$8</f>
        <v>113.03994</v>
      </c>
      <c r="F19" s="19">
        <f>F63/F$8</f>
        <v>111.52093499999999</v>
      </c>
      <c r="G19" s="18">
        <f>AVERAGE(B19:F19)</f>
        <v>112.4327668</v>
      </c>
      <c r="H19" s="17">
        <f>G19*G$8</f>
        <v>562.16383399999995</v>
      </c>
      <c r="I19" s="16">
        <f>STDEVP(B19:F19)/AVERAGE(B19:F19)</f>
        <v>1.1431638012503274E-2</v>
      </c>
      <c r="J19" s="16">
        <f>IF(H19&gt;$A$43, $C$43, IF(H19&gt;$A$44, $C$44, IF(H19&gt;$A$45,$C$45,IF(H19&gt;$A$46,$C$46, IF(H19&gt;$A$47,$C$47,IF(H19&gt;$A$48,$C$48,$C$49))))))/100</f>
        <v>0.156</v>
      </c>
      <c r="K19" s="16">
        <f>(MAX(B19:F19)-MIN(B19:F19))/G19</f>
        <v>2.9935152320737835E-2</v>
      </c>
      <c r="L19">
        <f>COUNTA(B19:F19)</f>
        <v>5</v>
      </c>
      <c r="P19" s="19"/>
    </row>
    <row r="20" spans="1:16" ht="13.15" x14ac:dyDescent="0.4">
      <c r="A20" s="20" t="s">
        <v>35</v>
      </c>
      <c r="B20" s="19">
        <f>B64/B$8</f>
        <v>76.120994999999994</v>
      </c>
      <c r="C20" s="19">
        <f>C64/C$8</f>
        <v>76.665565000000001</v>
      </c>
      <c r="D20" s="19">
        <f>D64/D$8</f>
        <v>75.817618999999993</v>
      </c>
      <c r="E20" s="19">
        <f>E64/E$8</f>
        <v>77.252403000000001</v>
      </c>
      <c r="F20" s="19">
        <f>F64/F$8</f>
        <v>76.442535000000007</v>
      </c>
      <c r="G20" s="18">
        <f>AVERAGE(B20:F20)</f>
        <v>76.459823400000005</v>
      </c>
      <c r="H20" s="17">
        <f>G20*G$8</f>
        <v>382.29911700000002</v>
      </c>
      <c r="I20" s="16">
        <f>STDEVP(B20:F20)/AVERAGE(B20:F20)</f>
        <v>6.4020306033554944E-3</v>
      </c>
      <c r="J20" s="16">
        <f>IF(H20&gt;$A$43, $C$43, IF(H20&gt;$A$44, $C$44, IF(H20&gt;$A$45,$C$45,IF(H20&gt;$A$46,$C$46, IF(H20&gt;$A$47,$C$47,IF(H20&gt;$A$48,$C$48,$C$49))))))/100</f>
        <v>0.193</v>
      </c>
      <c r="K20" s="16">
        <f>(MAX(B20:F20)-MIN(B20:F20))/G20</f>
        <v>1.8765201594750317E-2</v>
      </c>
      <c r="L20">
        <f>COUNTA(B20:F20)</f>
        <v>5</v>
      </c>
      <c r="P20" s="19"/>
    </row>
    <row r="21" spans="1:16" ht="13.15" x14ac:dyDescent="0.4">
      <c r="A21" s="20" t="s">
        <v>34</v>
      </c>
      <c r="B21" s="19">
        <f>B65/B$8</f>
        <v>69.857201000000003</v>
      </c>
      <c r="C21" s="19">
        <f>C65/C$8</f>
        <v>69.465491999999998</v>
      </c>
      <c r="D21" s="19">
        <f>D65/D$8</f>
        <v>69.082808999999997</v>
      </c>
      <c r="E21" s="19">
        <f>E65/E$8</f>
        <v>69.851585</v>
      </c>
      <c r="F21" s="19">
        <f>F65/F$8</f>
        <v>70.055428000000006</v>
      </c>
      <c r="G21" s="18">
        <f>AVERAGE(B21:F21)</f>
        <v>69.662503000000001</v>
      </c>
      <c r="H21" s="17">
        <f>G21*G$8</f>
        <v>348.31251500000002</v>
      </c>
      <c r="I21" s="16">
        <f>STDEVP(B21:F21)/AVERAGE(B21:F21)</f>
        <v>4.9847271100343093E-3</v>
      </c>
      <c r="J21" s="16">
        <f>IF(H21&gt;$A$43, $C$43, IF(H21&gt;$A$44, $C$44, IF(H21&gt;$A$45,$C$45,IF(H21&gt;$A$46,$C$46, IF(H21&gt;$A$47,$C$47,IF(H21&gt;$A$48,$C$48,$C$49))))))/100</f>
        <v>0.193</v>
      </c>
      <c r="K21" s="16">
        <f>(MAX(B21:F21)-MIN(B21:F21))/G21</f>
        <v>1.3961872716517361E-2</v>
      </c>
      <c r="L21">
        <f>COUNTA(B21:F21)</f>
        <v>5</v>
      </c>
      <c r="P21" s="19"/>
    </row>
    <row r="22" spans="1:16" ht="13.15" x14ac:dyDescent="0.4">
      <c r="A22" s="20" t="s">
        <v>33</v>
      </c>
      <c r="B22" s="19">
        <f>B66/B$8</f>
        <v>59.771434999999997</v>
      </c>
      <c r="C22" s="19">
        <f>C66/C$8</f>
        <v>56.586486999999998</v>
      </c>
      <c r="D22" s="19">
        <f>D66/D$8</f>
        <v>57.551997999999998</v>
      </c>
      <c r="E22" s="19">
        <f>E66/E$8</f>
        <v>58.192757</v>
      </c>
      <c r="F22" s="19">
        <f>F66/F$8</f>
        <v>60.221305999999998</v>
      </c>
      <c r="G22" s="18">
        <f>AVERAGE(B22:F22)</f>
        <v>58.4647966</v>
      </c>
      <c r="H22" s="17">
        <f>G22*G$8</f>
        <v>292.323983</v>
      </c>
      <c r="I22" s="16">
        <f>STDEVP(B22:F22)/AVERAGE(B22:F22)</f>
        <v>2.3236547114792696E-2</v>
      </c>
      <c r="J22" s="16">
        <f>IF(H22&gt;$A$43, $C$43, IF(H22&gt;$A$44, $C$44, IF(H22&gt;$A$45,$C$45,IF(H22&gt;$A$46,$C$46, IF(H22&gt;$A$47,$C$47,IF(H22&gt;$A$48,$C$48,$C$49))))))/100</f>
        <v>0.193</v>
      </c>
      <c r="K22" s="16">
        <f>(MAX(B22:F22)-MIN(B22:F22))/G22</f>
        <v>6.2171070650744391E-2</v>
      </c>
      <c r="L22">
        <f>COUNTA(B22:F22)</f>
        <v>5</v>
      </c>
      <c r="P22" s="19"/>
    </row>
    <row r="23" spans="1:16" ht="13.15" x14ac:dyDescent="0.4">
      <c r="A23" s="20" t="s">
        <v>32</v>
      </c>
      <c r="B23" s="19">
        <f>B67/B$8</f>
        <v>45.014366000000003</v>
      </c>
      <c r="C23" s="19">
        <f>C67/C$8</f>
        <v>44.113121</v>
      </c>
      <c r="D23" s="19">
        <f>D67/D$8</f>
        <v>42.755828999999999</v>
      </c>
      <c r="E23" s="19">
        <f>E67/E$8</f>
        <v>42.073162000000004</v>
      </c>
      <c r="F23" s="19">
        <f>F67/F$8</f>
        <v>42.479340000000001</v>
      </c>
      <c r="G23" s="18">
        <f>AVERAGE(B23:F23)</f>
        <v>43.2871636</v>
      </c>
      <c r="H23" s="17">
        <f>G23*G$8</f>
        <v>216.43581799999998</v>
      </c>
      <c r="I23" s="16">
        <f>STDEVP(B23:F23)/AVERAGE(B23:F23)</f>
        <v>2.5462314395018854E-2</v>
      </c>
      <c r="J23" s="16">
        <f>IF(H23&gt;$A$43, $C$43, IF(H23&gt;$A$44, $C$44, IF(H23&gt;$A$45,$C$45,IF(H23&gt;$A$46,$C$46, IF(H23&gt;$A$47,$C$47,IF(H23&gt;$A$48,$C$48,$C$49))))))/100</f>
        <v>0.193</v>
      </c>
      <c r="K23" s="16">
        <f>(MAX(B23:F23)-MIN(B23:F23))/G23</f>
        <v>6.7946332247095981E-2</v>
      </c>
      <c r="L23">
        <f>COUNTA(B23:F23)</f>
        <v>5</v>
      </c>
      <c r="P23" s="19"/>
    </row>
    <row r="24" spans="1:16" ht="13.15" x14ac:dyDescent="0.4">
      <c r="A24" s="20" t="s">
        <v>31</v>
      </c>
      <c r="B24" s="19">
        <f>B68/B$8</f>
        <v>31.955953999999998</v>
      </c>
      <c r="C24" s="19">
        <f>C68/C$8</f>
        <v>31.538347000000002</v>
      </c>
      <c r="D24" s="19">
        <f>D68/D$8</f>
        <v>30.40868</v>
      </c>
      <c r="E24" s="19">
        <f>E68/E$8</f>
        <v>28.690854999999999</v>
      </c>
      <c r="F24" s="19">
        <f>F68/F$8</f>
        <v>30.414801000000001</v>
      </c>
      <c r="G24" s="18">
        <f>AVERAGE(B24:F24)</f>
        <v>30.601727399999998</v>
      </c>
      <c r="H24" s="17">
        <f>G24*G$8</f>
        <v>153.00863699999999</v>
      </c>
      <c r="I24" s="16">
        <f>STDEVP(B24:F24)/AVERAGE(B24:F24)</f>
        <v>3.7071275538263414E-2</v>
      </c>
      <c r="J24" s="16">
        <f>IF(H24&gt;$A$43, $C$43, IF(H24&gt;$A$44, $C$44, IF(H24&gt;$A$45,$C$45,IF(H24&gt;$A$46,$C$46, IF(H24&gt;$A$47,$C$47,IF(H24&gt;$A$48,$C$48,$C$49))))))/100</f>
        <v>0.27500000000000002</v>
      </c>
      <c r="K24" s="16">
        <f>(MAX(B24:F24)-MIN(B24:F24))/G24</f>
        <v>0.10669655857401042</v>
      </c>
      <c r="L24">
        <f>COUNTA(B24:F24)</f>
        <v>5</v>
      </c>
      <c r="P24" s="19"/>
    </row>
    <row r="25" spans="1:16" ht="13.15" x14ac:dyDescent="0.4">
      <c r="A25" s="20" t="s">
        <v>30</v>
      </c>
      <c r="B25" s="19">
        <f>B69/B$8</f>
        <v>24.312004000000002</v>
      </c>
      <c r="C25" s="19">
        <f>C69/C$8</f>
        <v>24.034046</v>
      </c>
      <c r="D25" s="19">
        <f>D69/D$8</f>
        <v>22.755489000000001</v>
      </c>
      <c r="E25" s="19">
        <f>E69/E$8</f>
        <v>22.303844000000002</v>
      </c>
      <c r="F25" s="19">
        <f>F69/F$8</f>
        <v>23.318014000000002</v>
      </c>
      <c r="G25" s="18">
        <f>AVERAGE(B25:F25)</f>
        <v>23.3446794</v>
      </c>
      <c r="H25" s="17">
        <f>G25*G$8</f>
        <v>116.72339700000001</v>
      </c>
      <c r="I25" s="16">
        <f>STDEVP(B25:F25)/AVERAGE(B25:F25)</f>
        <v>3.2296068400430956E-2</v>
      </c>
      <c r="J25" s="16">
        <f>IF(H25&gt;$A$43, $C$43, IF(H25&gt;$A$44, $C$44, IF(H25&gt;$A$45,$C$45,IF(H25&gt;$A$46,$C$46, IF(H25&gt;$A$47,$C$47,IF(H25&gt;$A$48,$C$48,$C$49))))))/100</f>
        <v>0.27500000000000002</v>
      </c>
      <c r="K25" s="16">
        <f>(MAX(B25:F25)-MIN(B25:F25))/G25</f>
        <v>8.6022170859198013E-2</v>
      </c>
      <c r="L25">
        <f>COUNTA(B25:F25)</f>
        <v>5</v>
      </c>
      <c r="P25" s="19"/>
    </row>
    <row r="26" spans="1:16" ht="13.15" x14ac:dyDescent="0.4">
      <c r="A26" s="20" t="s">
        <v>29</v>
      </c>
      <c r="B26" s="19">
        <f>B70/B$8</f>
        <v>22.082519999999999</v>
      </c>
      <c r="C26" s="19">
        <f>C70/C$8</f>
        <v>21.803038000000001</v>
      </c>
      <c r="D26" s="19">
        <f>D70/D$8</f>
        <v>20.102383</v>
      </c>
      <c r="E26" s="19">
        <f>E70/E$8</f>
        <v>19.972078</v>
      </c>
      <c r="F26" s="19">
        <f>F70/F$8</f>
        <v>20.580680999999998</v>
      </c>
      <c r="G26" s="18">
        <f>AVERAGE(B26:F26)</f>
        <v>20.90814</v>
      </c>
      <c r="H26" s="17">
        <f>G26*G$8</f>
        <v>104.5407</v>
      </c>
      <c r="I26" s="16">
        <f>STDEVP(B26:F26)/AVERAGE(B26:F26)</f>
        <v>4.1765311341303603E-2</v>
      </c>
      <c r="J26" s="16">
        <f>IF(H26&gt;$A$43, $C$43, IF(H26&gt;$A$44, $C$44, IF(H26&gt;$A$45,$C$45,IF(H26&gt;$A$46,$C$46, IF(H26&gt;$A$47,$C$47,IF(H26&gt;$A$48,$C$48,$C$49))))))/100</f>
        <v>0.27500000000000002</v>
      </c>
      <c r="K26" s="16">
        <f>(MAX(B26:F26)-MIN(B26:F26))/G26</f>
        <v>0.1009387731285518</v>
      </c>
      <c r="L26">
        <f>COUNTA(B26:F26)</f>
        <v>5</v>
      </c>
      <c r="P26" s="19"/>
    </row>
    <row r="27" spans="1:16" ht="13.15" x14ac:dyDescent="0.4">
      <c r="A27" s="20" t="s">
        <v>28</v>
      </c>
      <c r="B27" s="19">
        <f>B71/B$8</f>
        <v>19.322205</v>
      </c>
      <c r="C27" s="19">
        <f>C71/C$8</f>
        <v>20.383305</v>
      </c>
      <c r="D27" s="19">
        <f>D71/D$8</f>
        <v>19.388083999999999</v>
      </c>
      <c r="E27" s="19">
        <f>E71/E$8</f>
        <v>18.2486</v>
      </c>
      <c r="F27" s="19">
        <f>F71/F$8</f>
        <v>18.654411</v>
      </c>
      <c r="G27" s="18">
        <f>AVERAGE(B27:F27)</f>
        <v>19.199321000000001</v>
      </c>
      <c r="H27" s="17">
        <f>G27*G$8</f>
        <v>95.996605000000002</v>
      </c>
      <c r="I27" s="16">
        <f>STDEVP(B27:F27)/AVERAGE(B27:F27)</f>
        <v>3.794252113906111E-2</v>
      </c>
      <c r="J27" s="16">
        <f>IF(H27&gt;$A$43, $C$43, IF(H27&gt;$A$44, $C$44, IF(H27&gt;$A$45,$C$45,IF(H27&gt;$A$46,$C$46, IF(H27&gt;$A$47,$C$47,IF(H27&gt;$A$48,$C$48,$C$49))))))/100</f>
        <v>0.27500000000000002</v>
      </c>
      <c r="K27" s="16">
        <f>(MAX(B27:F27)-MIN(B27:F27))/G27</f>
        <v>0.1111864841470175</v>
      </c>
      <c r="L27">
        <f>COUNTA(B27:F27)</f>
        <v>5</v>
      </c>
      <c r="P27" s="19"/>
    </row>
    <row r="28" spans="1:16" ht="13.15" x14ac:dyDescent="0.4">
      <c r="A28" s="20" t="s">
        <v>27</v>
      </c>
      <c r="B28" s="19">
        <f>B72/B$8</f>
        <v>17.305052</v>
      </c>
      <c r="C28" s="19">
        <f>C72/C$8</f>
        <v>17.645247999999999</v>
      </c>
      <c r="D28" s="19">
        <f>D72/D$8</f>
        <v>17.449276000000001</v>
      </c>
      <c r="E28" s="19">
        <f>E72/E$8</f>
        <v>15.916834</v>
      </c>
      <c r="F28" s="19">
        <f>F72/F$8</f>
        <v>16.423991999999998</v>
      </c>
      <c r="G28" s="18">
        <f>AVERAGE(B28:F28)</f>
        <v>16.948080399999998</v>
      </c>
      <c r="H28" s="17">
        <f>G28*G$8</f>
        <v>84.740401999999989</v>
      </c>
      <c r="I28" s="16">
        <f>STDEVP(B28:F28)/AVERAGE(B28:F28)</f>
        <v>3.916360193656386E-2</v>
      </c>
      <c r="J28" s="16">
        <f>IF(H28&gt;$A$43, $C$43, IF(H28&gt;$A$44, $C$44, IF(H28&gt;$A$45,$C$45,IF(H28&gt;$A$46,$C$46, IF(H28&gt;$A$47,$C$47,IF(H28&gt;$A$48,$C$48,$C$49))))))/100</f>
        <v>0.27500000000000002</v>
      </c>
      <c r="K28" s="16">
        <f>(MAX(B28:F28)-MIN(B28:F28))/G28</f>
        <v>0.10198287706966502</v>
      </c>
      <c r="L28">
        <f>COUNTA(B28:F28)</f>
        <v>5</v>
      </c>
      <c r="P28" s="19"/>
    </row>
    <row r="29" spans="1:16" ht="13.15" x14ac:dyDescent="0.4">
      <c r="A29" s="20" t="s">
        <v>26</v>
      </c>
      <c r="B29" s="19">
        <f>B73/B$8</f>
        <v>15.394064</v>
      </c>
      <c r="C29" s="19">
        <f>C73/C$8</f>
        <v>15.819879</v>
      </c>
      <c r="D29" s="19">
        <f>D73/D$8</f>
        <v>15.102297999999999</v>
      </c>
      <c r="E29" s="19">
        <f>E73/E$8</f>
        <v>14.598879999999999</v>
      </c>
      <c r="F29" s="19">
        <f>F73/F$8</f>
        <v>14.193574</v>
      </c>
      <c r="G29" s="18">
        <f>AVERAGE(B29:F29)</f>
        <v>15.021739</v>
      </c>
      <c r="H29" s="17">
        <f>G29*G$8</f>
        <v>75.108694999999997</v>
      </c>
      <c r="I29" s="16">
        <f>STDEVP(B29:F29)/AVERAGE(B29:F29)</f>
        <v>3.8204678497964981E-2</v>
      </c>
      <c r="J29" s="16">
        <f>IF(H29&gt;$A$43, $C$43, IF(H29&gt;$A$44, $C$44, IF(H29&gt;$A$45,$C$45,IF(H29&gt;$A$46,$C$46, IF(H29&gt;$A$47,$C$47,IF(H29&gt;$A$48,$C$48,$C$49))))))/100</f>
        <v>0.27500000000000002</v>
      </c>
      <c r="K29" s="16">
        <f>(MAX(B29:F29)-MIN(B29:F29))/G29</f>
        <v>0.10826343075192561</v>
      </c>
      <c r="L29">
        <f>COUNTA(B29:F29)</f>
        <v>5</v>
      </c>
      <c r="P29" s="19"/>
    </row>
    <row r="30" spans="1:16" ht="13.15" x14ac:dyDescent="0.4">
      <c r="A30" s="20" t="s">
        <v>25</v>
      </c>
      <c r="B30" s="19">
        <f>B74/B$8</f>
        <v>14.120072</v>
      </c>
      <c r="C30" s="19">
        <f>C74/C$8</f>
        <v>14.298736</v>
      </c>
      <c r="D30" s="19">
        <f>D74/D$8</f>
        <v>13.877787</v>
      </c>
      <c r="E30" s="19">
        <f>E74/E$8</f>
        <v>12.672639</v>
      </c>
      <c r="F30" s="19">
        <f>F74/F$8</f>
        <v>12.571451</v>
      </c>
      <c r="G30" s="18">
        <f>AVERAGE(B30:F30)</f>
        <v>13.508137</v>
      </c>
      <c r="H30" s="17">
        <f>G30*G$8</f>
        <v>67.540684999999996</v>
      </c>
      <c r="I30" s="16">
        <f>STDEVP(B30:F30)/AVERAGE(B30:F30)</f>
        <v>5.4516949430480056E-2</v>
      </c>
      <c r="J30" s="16">
        <f>IF(H30&gt;$A$43, $C$43, IF(H30&gt;$A$44, $C$44, IF(H30&gt;$A$45,$C$45,IF(H30&gt;$A$46,$C$46, IF(H30&gt;$A$47,$C$47,IF(H30&gt;$A$48,$C$48,$C$49))))))/100</f>
        <v>0.27500000000000002</v>
      </c>
      <c r="K30" s="16">
        <f>(MAX(B30:F30)-MIN(B30:F30))/G30</f>
        <v>0.12786996459985564</v>
      </c>
      <c r="L30">
        <f>COUNTA(B30:F30)</f>
        <v>5</v>
      </c>
      <c r="P30" s="19"/>
    </row>
    <row r="31" spans="1:16" ht="13.15" x14ac:dyDescent="0.4">
      <c r="A31" s="20" t="s">
        <v>24</v>
      </c>
      <c r="B31" s="19">
        <f>B75/B$8</f>
        <v>13.376910000000001</v>
      </c>
      <c r="C31" s="19">
        <f>C75/C$8</f>
        <v>13.183230999999999</v>
      </c>
      <c r="D31" s="19">
        <f>D75/D$8</f>
        <v>12.755319</v>
      </c>
      <c r="E31" s="19">
        <f>E75/E$8</f>
        <v>10.746397999999999</v>
      </c>
      <c r="F31" s="19">
        <f>F75/F$8</f>
        <v>11.354858</v>
      </c>
      <c r="G31" s="18">
        <f>AVERAGE(B31:F31)</f>
        <v>12.283343200000001</v>
      </c>
      <c r="H31" s="17">
        <f>G31*G$8</f>
        <v>61.416716000000008</v>
      </c>
      <c r="I31" s="16">
        <f>STDEVP(B31:F31)/AVERAGE(B31:F31)</f>
        <v>8.5016950389151968E-2</v>
      </c>
      <c r="J31" s="16">
        <f>IF(H31&gt;$A$43, $C$43, IF(H31&gt;$A$44, $C$44, IF(H31&gt;$A$45,$C$45,IF(H31&gt;$A$46,$C$46, IF(H31&gt;$A$47,$C$47,IF(H31&gt;$A$48,$C$48,$C$49))))))/100</f>
        <v>0.27500000000000002</v>
      </c>
      <c r="K31" s="16">
        <f>(MAX(B31:F31)-MIN(B31:F31))/G31</f>
        <v>0.21415277234946925</v>
      </c>
      <c r="L31">
        <f>COUNTA(B31:F31)</f>
        <v>5</v>
      </c>
      <c r="P31" s="19"/>
    </row>
    <row r="32" spans="1:16" ht="13.15" x14ac:dyDescent="0.4">
      <c r="A32" s="20" t="s">
        <v>23</v>
      </c>
      <c r="B32" s="19">
        <f>B76/B$8</f>
        <v>12.421417</v>
      </c>
      <c r="C32" s="19">
        <f>C76/C$8</f>
        <v>12.067727</v>
      </c>
      <c r="D32" s="19">
        <f>D76/D$8</f>
        <v>11.836936</v>
      </c>
      <c r="E32" s="19">
        <f>E76/E$8</f>
        <v>9.0229189999999999</v>
      </c>
      <c r="F32" s="19">
        <f>F76/F$8</f>
        <v>9.6313530000000007</v>
      </c>
      <c r="G32" s="18">
        <f>AVERAGE(B32:F32)</f>
        <v>10.996070399999999</v>
      </c>
      <c r="H32" s="17">
        <f>G32*G$8</f>
        <v>54.980351999999996</v>
      </c>
      <c r="I32" s="16">
        <f>STDEVP(B32:F32)/AVERAGE(B32:F32)</f>
        <v>0.12629356503586794</v>
      </c>
      <c r="J32" s="16">
        <f>IF(H32&gt;$A$43, $C$43, IF(H32&gt;$A$44, $C$44, IF(H32&gt;$A$45,$C$45,IF(H32&gt;$A$46,$C$46, IF(H32&gt;$A$47,$C$47,IF(H32&gt;$A$48,$C$48,$C$49))))))/100</f>
        <v>0.27500000000000002</v>
      </c>
      <c r="K32" s="16">
        <f>(MAX(B32:F32)-MIN(B32:F32))/G32</f>
        <v>0.30906477281193112</v>
      </c>
      <c r="L32">
        <f>COUNTA(B32:F32)</f>
        <v>5</v>
      </c>
      <c r="P32" s="19"/>
    </row>
    <row r="33" spans="1:16" ht="13.15" x14ac:dyDescent="0.4">
      <c r="A33" s="20" t="s">
        <v>22</v>
      </c>
      <c r="B33" s="19">
        <f>B77/B$8</f>
        <v>10.404263</v>
      </c>
      <c r="C33" s="19">
        <f>C77/C$8</f>
        <v>10.242357</v>
      </c>
      <c r="D33" s="19">
        <f>D77/D$8</f>
        <v>10.510382999999999</v>
      </c>
      <c r="E33" s="19">
        <f>E77/E$8</f>
        <v>7.8063450000000003</v>
      </c>
      <c r="F33" s="19">
        <f>F77/F$8</f>
        <v>8.4147619999999996</v>
      </c>
      <c r="G33" s="18">
        <f>AVERAGE(B33:F33)</f>
        <v>9.4756219999999978</v>
      </c>
      <c r="H33" s="17">
        <f>G33*G$8</f>
        <v>47.378109999999992</v>
      </c>
      <c r="I33" s="16">
        <f>STDEVP(B33:F33)/AVERAGE(B33:F33)</f>
        <v>0.11970452202279658</v>
      </c>
      <c r="J33" s="16">
        <f>IF(H33&gt;$A$43, $C$43, IF(H33&gt;$A$44, $C$44, IF(H33&gt;$A$45,$C$45,IF(H33&gt;$A$46,$C$46, IF(H33&gt;$A$47,$C$47,IF(H33&gt;$A$48,$C$48,$C$49))))))/100</f>
        <v>0.27500000000000002</v>
      </c>
      <c r="K33" s="16">
        <f>(MAX(B33:F33)-MIN(B33:F33))/G33</f>
        <v>0.2853678629223495</v>
      </c>
      <c r="L33">
        <f>COUNTA(B33:F33)</f>
        <v>5</v>
      </c>
      <c r="P33" s="19"/>
    </row>
    <row r="34" spans="1:16" ht="13.15" x14ac:dyDescent="0.4">
      <c r="A34" s="20" t="s">
        <v>21</v>
      </c>
      <c r="B34" s="19">
        <f>B78/B$8</f>
        <v>9.6611019999999996</v>
      </c>
      <c r="C34" s="19">
        <f>C78/C$8</f>
        <v>8.9240340000000007</v>
      </c>
      <c r="D34" s="19">
        <f>D78/D$8</f>
        <v>9.4899579999999997</v>
      </c>
      <c r="E34" s="19">
        <f>E78/E$8</f>
        <v>6.9952959999999997</v>
      </c>
      <c r="F34" s="19">
        <f>F78/F$8</f>
        <v>7.6036999999999999</v>
      </c>
      <c r="G34" s="18">
        <f>AVERAGE(B34:F34)</f>
        <v>8.5348180000000013</v>
      </c>
      <c r="H34" s="17">
        <f>G34*G$8</f>
        <v>42.674090000000007</v>
      </c>
      <c r="I34" s="16">
        <f>STDEVP(B34:F34)/AVERAGE(B34:F34)</f>
        <v>0.1236588399117696</v>
      </c>
      <c r="J34" s="16">
        <f>IF(H34&gt;$A$43, $C$43, IF(H34&gt;$A$44, $C$44, IF(H34&gt;$A$45,$C$45,IF(H34&gt;$A$46,$C$46, IF(H34&gt;$A$47,$C$47,IF(H34&gt;$A$48,$C$48,$C$49))))))/100</f>
        <v>0.27500000000000002</v>
      </c>
      <c r="K34" s="16">
        <f>(MAX(B34:F34)-MIN(B34:F34))/G34</f>
        <v>0.31234479751062055</v>
      </c>
      <c r="L34">
        <f>COUNTA(B34:F34)</f>
        <v>5</v>
      </c>
      <c r="P34" s="19"/>
    </row>
    <row r="35" spans="1:16" ht="13.15" x14ac:dyDescent="0.4">
      <c r="A35" s="20" t="s">
        <v>20</v>
      </c>
      <c r="B35" s="19">
        <f>B79/B$8</f>
        <v>7.9624470000000001</v>
      </c>
      <c r="C35" s="19">
        <f>C79/C$8</f>
        <v>6.9972539999999999</v>
      </c>
      <c r="D35" s="19">
        <f>D79/D$8</f>
        <v>7.9593189999999998</v>
      </c>
      <c r="E35" s="19">
        <f>E79/E$8</f>
        <v>6.2856290000000001</v>
      </c>
      <c r="F35" s="19">
        <f>F79/F$8</f>
        <v>6.6912560000000001</v>
      </c>
      <c r="G35" s="18">
        <f>AVERAGE(B35:F35)</f>
        <v>7.1791809999999998</v>
      </c>
      <c r="H35" s="17">
        <f>G35*G$8</f>
        <v>35.895904999999999</v>
      </c>
      <c r="I35" s="16">
        <f>STDEVP(B35:F35)/AVERAGE(B35:F35)</f>
        <v>9.4302082572371229E-2</v>
      </c>
      <c r="J35" s="16">
        <f>IF(H35&gt;$A$43, $C$43, IF(H35&gt;$A$44, $C$44, IF(H35&gt;$A$45,$C$45,IF(H35&gt;$A$46,$C$46, IF(H35&gt;$A$47,$C$47,IF(H35&gt;$A$48,$C$48,$C$49))))))/100</f>
        <v>0.27500000000000002</v>
      </c>
      <c r="K35" s="16">
        <f>(MAX(B35:F35)-MIN(B35:F35))/G35</f>
        <v>0.23356675364501883</v>
      </c>
      <c r="L35">
        <f>COUNTA(B35:F35)</f>
        <v>5</v>
      </c>
      <c r="P35" s="19"/>
    </row>
    <row r="36" spans="1:16" ht="13.15" x14ac:dyDescent="0.4">
      <c r="A36" s="20" t="s">
        <v>19</v>
      </c>
      <c r="B36" s="19">
        <f>B80/B$8</f>
        <v>2.3356509999999999</v>
      </c>
      <c r="C36" s="19">
        <f>C80/C$8</f>
        <v>1.7239610000000001</v>
      </c>
      <c r="D36" s="19">
        <f>D80/D$8</f>
        <v>2.040851</v>
      </c>
      <c r="E36" s="19">
        <f>E80/E$8</f>
        <v>1.622098</v>
      </c>
      <c r="F36" s="19">
        <f>F80/F$8</f>
        <v>1.1152089999999999</v>
      </c>
      <c r="G36" s="18">
        <f>AVERAGE(B36:F36)</f>
        <v>1.7675539999999998</v>
      </c>
      <c r="H36" s="17">
        <f>G36*G$8</f>
        <v>8.837769999999999</v>
      </c>
      <c r="I36" s="16">
        <f>STDEVP(B36:F36)/AVERAGE(B36:F36)</f>
        <v>0.23272179026976952</v>
      </c>
      <c r="J36" s="16">
        <f>IF(H36&gt;$A$43, $C$43, IF(H36&gt;$A$44, $C$44, IF(H36&gt;$A$45,$C$45,IF(H36&gt;$A$46,$C$46, IF(H36&gt;$A$47,$C$47,IF(H36&gt;$A$48,$C$48,$C$49))))))/100</f>
        <v>0.27500000000000002</v>
      </c>
      <c r="K36" s="16">
        <f>(MAX(B36:F36)-MIN(B36:F36))/G36</f>
        <v>0.6904694283738998</v>
      </c>
      <c r="L36">
        <f>COUNTA(B36:F36)</f>
        <v>5</v>
      </c>
      <c r="P36" s="19"/>
    </row>
    <row r="37" spans="1:16" ht="13.15" x14ac:dyDescent="0.4">
      <c r="A37" s="20" t="s">
        <v>18</v>
      </c>
      <c r="B37" s="19">
        <f>B81/B$8</f>
        <v>0.53083000000000002</v>
      </c>
      <c r="C37" s="19">
        <f>C81/C$8</f>
        <v>0.50704700000000003</v>
      </c>
      <c r="D37" s="19">
        <f>D81/D$8</f>
        <v>0.91838299999999995</v>
      </c>
      <c r="E37" s="19">
        <f>E81/E$8</f>
        <v>0.101381</v>
      </c>
      <c r="F37" s="19">
        <f>F81/F$8</f>
        <v>0.101383</v>
      </c>
      <c r="G37" s="18">
        <f>AVERAGE(B37:F37)</f>
        <v>0.43180479999999993</v>
      </c>
      <c r="H37" s="17">
        <f>G37*G$8</f>
        <v>2.1590239999999996</v>
      </c>
      <c r="I37" s="16">
        <f>STDEVP(B37:F37)/AVERAGE(B37:F37)</f>
        <v>0.71047073292688112</v>
      </c>
      <c r="J37" s="16">
        <f>IF(H37&gt;$A$43, $C$43, IF(H37&gt;$A$44, $C$44, IF(H37&gt;$A$45,$C$45,IF(H37&gt;$A$46,$C$46, IF(H37&gt;$A$47,$C$47,IF(H37&gt;$A$48,$C$48,$C$49))))))/100</f>
        <v>0.27500000000000002</v>
      </c>
      <c r="K37" s="16">
        <f>(MAX(B37:F37)-MIN(B37:F37))/G37</f>
        <v>1.8920632656237266</v>
      </c>
      <c r="L37">
        <f>COUNTA(B37:F37)</f>
        <v>5</v>
      </c>
    </row>
    <row r="38" spans="1:16" ht="13.15" x14ac:dyDescent="0.4">
      <c r="A38" s="20" t="s">
        <v>17</v>
      </c>
      <c r="B38" s="19">
        <f>B82/B$8</f>
        <v>0.21233199999999999</v>
      </c>
      <c r="C38" s="19">
        <f>C82/C$8</f>
        <v>0.202819</v>
      </c>
      <c r="D38" s="19">
        <f>D82/D$8</f>
        <v>0.30612800000000001</v>
      </c>
      <c r="E38" s="19">
        <f>E82/E$8</f>
        <v>0</v>
      </c>
      <c r="F38" s="19">
        <f>F82/F$8</f>
        <v>0</v>
      </c>
      <c r="G38" s="18">
        <f>AVERAGE(B38:F38)</f>
        <v>0.14425579999999999</v>
      </c>
      <c r="H38" s="17">
        <f>G38*G$8</f>
        <v>0.721279</v>
      </c>
      <c r="I38" s="16">
        <f>STDEVP(B38:F38)/AVERAGE(B38:F38)</f>
        <v>0.85400974421563902</v>
      </c>
      <c r="J38" s="16">
        <f>IF(H38&gt;$A$43, $C$43, IF(H38&gt;$A$44, $C$44, IF(H38&gt;$A$45,$C$45,IF(H38&gt;$A$46,$C$46, IF(H38&gt;$A$47,$C$47,IF(H38&gt;$A$48,$C$48,$C$49))))))/100</f>
        <v>0.27500000000000002</v>
      </c>
      <c r="K38" s="16">
        <f>(MAX(B38:F38)-MIN(B38:F38))/G38</f>
        <v>2.1221191799567158</v>
      </c>
      <c r="L38">
        <f>COUNTA(B38:F38)</f>
        <v>5</v>
      </c>
    </row>
    <row r="40" spans="1:16" x14ac:dyDescent="0.35">
      <c r="A40" t="s">
        <v>16</v>
      </c>
    </row>
    <row r="41" spans="1:16" ht="15" x14ac:dyDescent="0.5">
      <c r="A41" s="14"/>
      <c r="B41" s="15" t="s">
        <v>15</v>
      </c>
      <c r="C41" s="14"/>
      <c r="D41" s="13" t="s">
        <v>14</v>
      </c>
      <c r="E41" s="12"/>
      <c r="F41" s="12"/>
      <c r="G41" s="12"/>
      <c r="H41" s="11"/>
    </row>
    <row r="42" spans="1:16" ht="15" x14ac:dyDescent="0.5">
      <c r="A42" s="10" t="s">
        <v>13</v>
      </c>
      <c r="B42" s="9" t="s">
        <v>12</v>
      </c>
      <c r="C42" s="10" t="s">
        <v>11</v>
      </c>
      <c r="D42" s="10" t="s">
        <v>10</v>
      </c>
      <c r="E42" s="9" t="s">
        <v>9</v>
      </c>
      <c r="F42" s="9" t="s">
        <v>8</v>
      </c>
      <c r="G42" s="9" t="s">
        <v>7</v>
      </c>
      <c r="H42" s="8" t="s">
        <v>6</v>
      </c>
    </row>
    <row r="43" spans="1:16" x14ac:dyDescent="0.35">
      <c r="A43" s="7">
        <v>10000</v>
      </c>
      <c r="C43" s="7">
        <v>11</v>
      </c>
      <c r="D43" s="7">
        <v>7.8</v>
      </c>
      <c r="E43">
        <v>5.3</v>
      </c>
      <c r="F43">
        <v>4</v>
      </c>
      <c r="G43">
        <v>2.7</v>
      </c>
      <c r="H43" s="6">
        <v>1.8</v>
      </c>
    </row>
    <row r="44" spans="1:16" x14ac:dyDescent="0.35">
      <c r="A44" s="7">
        <v>5000</v>
      </c>
      <c r="B44">
        <v>10000</v>
      </c>
      <c r="C44" s="7">
        <v>11.3</v>
      </c>
      <c r="D44" s="7">
        <v>7.8</v>
      </c>
      <c r="E44">
        <v>5.3</v>
      </c>
      <c r="F44">
        <v>4</v>
      </c>
      <c r="G44">
        <v>2.7</v>
      </c>
      <c r="H44" s="6">
        <v>1.9</v>
      </c>
    </row>
    <row r="45" spans="1:16" x14ac:dyDescent="0.35">
      <c r="A45" s="7">
        <v>2000</v>
      </c>
      <c r="B45">
        <v>5000</v>
      </c>
      <c r="C45" s="7">
        <v>11.9</v>
      </c>
      <c r="D45" s="7">
        <v>7.9</v>
      </c>
      <c r="E45">
        <v>5.4</v>
      </c>
      <c r="F45">
        <v>4.0999999999999996</v>
      </c>
      <c r="G45">
        <v>2.9</v>
      </c>
      <c r="H45" s="6">
        <v>2.1</v>
      </c>
    </row>
    <row r="46" spans="1:16" x14ac:dyDescent="0.35">
      <c r="A46" s="7">
        <v>1000</v>
      </c>
      <c r="B46">
        <v>2000</v>
      </c>
      <c r="C46" s="7">
        <v>13.4</v>
      </c>
      <c r="D46" s="7">
        <v>8</v>
      </c>
      <c r="E46">
        <v>5.6</v>
      </c>
      <c r="F46">
        <v>4.3</v>
      </c>
      <c r="G46">
        <v>3.1</v>
      </c>
      <c r="H46" s="6">
        <v>2.4</v>
      </c>
    </row>
    <row r="47" spans="1:16" x14ac:dyDescent="0.35">
      <c r="A47" s="7">
        <v>500</v>
      </c>
      <c r="B47">
        <v>1000</v>
      </c>
      <c r="C47" s="7">
        <v>15.6</v>
      </c>
      <c r="D47" s="7">
        <v>8.1999999999999993</v>
      </c>
      <c r="E47">
        <v>5.9</v>
      </c>
      <c r="F47">
        <v>4.7</v>
      </c>
      <c r="G47">
        <v>3.6</v>
      </c>
      <c r="H47" s="6">
        <v>2.9</v>
      </c>
    </row>
    <row r="48" spans="1:16" x14ac:dyDescent="0.35">
      <c r="A48" s="7">
        <v>200</v>
      </c>
      <c r="B48">
        <v>500</v>
      </c>
      <c r="C48" s="7">
        <v>19.3</v>
      </c>
      <c r="D48" s="7">
        <v>8.9</v>
      </c>
      <c r="E48">
        <v>6.8</v>
      </c>
      <c r="F48">
        <v>5.7</v>
      </c>
      <c r="G48">
        <v>4.7</v>
      </c>
      <c r="H48" s="6">
        <v>4.0999999999999996</v>
      </c>
    </row>
    <row r="49" spans="1:16" x14ac:dyDescent="0.35">
      <c r="A49" s="5">
        <v>100</v>
      </c>
      <c r="B49" s="4">
        <v>200</v>
      </c>
      <c r="C49" s="5">
        <v>27.5</v>
      </c>
      <c r="D49" s="5">
        <v>10</v>
      </c>
      <c r="E49" s="4">
        <v>8</v>
      </c>
      <c r="F49" s="4">
        <v>7</v>
      </c>
      <c r="G49" s="4">
        <v>6.1</v>
      </c>
      <c r="H49" s="3">
        <v>5.5</v>
      </c>
    </row>
    <row r="51" spans="1:16" ht="13.15" x14ac:dyDescent="0.4">
      <c r="B51" s="2" t="s">
        <v>5</v>
      </c>
      <c r="C51" s="2" t="s">
        <v>4</v>
      </c>
      <c r="D51" s="2" t="s">
        <v>3</v>
      </c>
      <c r="E51" s="2" t="s">
        <v>2</v>
      </c>
      <c r="F51" s="2" t="s">
        <v>1</v>
      </c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 ht="13.15" x14ac:dyDescent="0.4">
      <c r="A52" s="2" t="s">
        <v>0</v>
      </c>
      <c r="B52">
        <v>9.4192149999999994</v>
      </c>
      <c r="C52">
        <v>9.8610120000000006</v>
      </c>
      <c r="D52">
        <v>9.7998329999999996</v>
      </c>
      <c r="E52">
        <v>9.8637700000000006</v>
      </c>
      <c r="F52">
        <v>9.8636189999999999</v>
      </c>
    </row>
    <row r="53" spans="1:16" ht="13.15" x14ac:dyDescent="0.4">
      <c r="A53" s="1">
        <v>4</v>
      </c>
      <c r="B53">
        <v>1716.491211</v>
      </c>
      <c r="C53">
        <v>1643.644775</v>
      </c>
      <c r="D53">
        <v>1635.6400149999999</v>
      </c>
      <c r="E53">
        <v>1685.3596190000001</v>
      </c>
      <c r="F53">
        <v>1638.6480710000001</v>
      </c>
    </row>
    <row r="54" spans="1:16" ht="13.15" x14ac:dyDescent="0.4">
      <c r="A54" s="1">
        <v>5</v>
      </c>
      <c r="B54">
        <v>1705.13147</v>
      </c>
      <c r="C54">
        <v>1635.7348629999999</v>
      </c>
      <c r="D54">
        <v>1629.4155270000001</v>
      </c>
      <c r="E54">
        <v>1680.8988039999999</v>
      </c>
      <c r="F54">
        <v>1634.5927730000001</v>
      </c>
    </row>
    <row r="55" spans="1:16" ht="13.15" x14ac:dyDescent="0.4">
      <c r="A55" s="1">
        <v>6</v>
      </c>
      <c r="B55">
        <v>1699.2923579999999</v>
      </c>
      <c r="C55">
        <v>1631.475586</v>
      </c>
      <c r="D55">
        <v>1625.537842</v>
      </c>
      <c r="E55">
        <v>1677.5532229999999</v>
      </c>
      <c r="F55">
        <v>1631.5512699999999</v>
      </c>
    </row>
    <row r="56" spans="1:16" ht="13.15" x14ac:dyDescent="0.4">
      <c r="A56" s="1">
        <v>7</v>
      </c>
      <c r="B56">
        <v>1696.4257809999999</v>
      </c>
      <c r="C56">
        <v>1627.8249510000001</v>
      </c>
      <c r="D56">
        <v>1624.007202</v>
      </c>
      <c r="E56">
        <v>1675.829712</v>
      </c>
      <c r="F56">
        <v>1629.7264399999999</v>
      </c>
    </row>
    <row r="57" spans="1:16" ht="13.15" x14ac:dyDescent="0.4">
      <c r="A57" s="1">
        <v>8</v>
      </c>
      <c r="B57">
        <v>1693.984009</v>
      </c>
      <c r="C57">
        <v>1626.709351</v>
      </c>
      <c r="D57">
        <v>1623.496948</v>
      </c>
      <c r="E57">
        <v>1674.9173579999999</v>
      </c>
      <c r="F57">
        <v>1628.915283</v>
      </c>
    </row>
    <row r="58" spans="1:16" ht="13.15" x14ac:dyDescent="0.4">
      <c r="A58" s="1">
        <v>9</v>
      </c>
      <c r="B58">
        <v>1691.8607179999999</v>
      </c>
      <c r="C58">
        <v>1625.9995120000001</v>
      </c>
      <c r="D58">
        <v>1622.7827150000001</v>
      </c>
      <c r="E58">
        <v>1674.4104</v>
      </c>
      <c r="F58">
        <v>1628.0029300000001</v>
      </c>
    </row>
    <row r="59" spans="1:16" ht="13.15" x14ac:dyDescent="0.4">
      <c r="A59" s="1">
        <v>10</v>
      </c>
      <c r="B59">
        <v>1689.631226</v>
      </c>
      <c r="C59">
        <v>1624.376953</v>
      </c>
      <c r="D59">
        <v>1621.2520750000001</v>
      </c>
      <c r="E59">
        <v>1672.5855710000001</v>
      </c>
      <c r="F59">
        <v>1626.989014</v>
      </c>
    </row>
    <row r="60" spans="1:16" ht="13.15" x14ac:dyDescent="0.4">
      <c r="A60" s="1">
        <v>11</v>
      </c>
      <c r="B60">
        <v>1662.452759</v>
      </c>
      <c r="C60">
        <v>1591.7231449999999</v>
      </c>
      <c r="D60">
        <v>1598.1904300000001</v>
      </c>
      <c r="E60">
        <v>1646.3278809999999</v>
      </c>
      <c r="F60">
        <v>1605.8000489999999</v>
      </c>
    </row>
    <row r="61" spans="1:16" ht="13.15" x14ac:dyDescent="0.4">
      <c r="A61" s="1">
        <v>12</v>
      </c>
      <c r="B61">
        <v>1253.2891850000001</v>
      </c>
      <c r="C61">
        <v>1212.95874</v>
      </c>
      <c r="D61">
        <v>1242.1639399999999</v>
      </c>
      <c r="E61">
        <v>1260.369995</v>
      </c>
      <c r="F61">
        <v>1254.813232</v>
      </c>
    </row>
    <row r="62" spans="1:16" ht="13.15" x14ac:dyDescent="0.4">
      <c r="A62" s="1">
        <v>13</v>
      </c>
      <c r="B62">
        <v>426.78714000000002</v>
      </c>
      <c r="C62">
        <v>424.29724099999999</v>
      </c>
      <c r="D62">
        <v>439.70135499999998</v>
      </c>
      <c r="E62">
        <v>435.63464399999998</v>
      </c>
      <c r="F62">
        <v>429.86251800000002</v>
      </c>
    </row>
    <row r="63" spans="1:16" ht="13.15" x14ac:dyDescent="0.4">
      <c r="A63" s="1">
        <v>14</v>
      </c>
      <c r="B63">
        <v>111.580421</v>
      </c>
      <c r="C63">
        <v>114.694115</v>
      </c>
      <c r="D63">
        <v>111.328423</v>
      </c>
      <c r="E63">
        <v>113.03994</v>
      </c>
      <c r="F63">
        <v>111.52093499999999</v>
      </c>
    </row>
    <row r="64" spans="1:16" ht="13.15" x14ac:dyDescent="0.4">
      <c r="A64" s="1">
        <v>15</v>
      </c>
      <c r="B64">
        <v>76.120994999999994</v>
      </c>
      <c r="C64">
        <v>76.665565000000001</v>
      </c>
      <c r="D64">
        <v>75.817618999999993</v>
      </c>
      <c r="E64">
        <v>77.252403000000001</v>
      </c>
      <c r="F64">
        <v>76.442535000000007</v>
      </c>
    </row>
    <row r="65" spans="1:6" ht="13.15" x14ac:dyDescent="0.4">
      <c r="A65" s="1">
        <v>16</v>
      </c>
      <c r="B65">
        <v>69.857201000000003</v>
      </c>
      <c r="C65">
        <v>69.465491999999998</v>
      </c>
      <c r="D65">
        <v>69.082808999999997</v>
      </c>
      <c r="E65">
        <v>69.851585</v>
      </c>
      <c r="F65">
        <v>70.055428000000006</v>
      </c>
    </row>
    <row r="66" spans="1:6" ht="13.15" x14ac:dyDescent="0.4">
      <c r="A66" s="1">
        <v>17</v>
      </c>
      <c r="B66">
        <v>59.771434999999997</v>
      </c>
      <c r="C66">
        <v>56.586486999999998</v>
      </c>
      <c r="D66">
        <v>57.551997999999998</v>
      </c>
      <c r="E66">
        <v>58.192757</v>
      </c>
      <c r="F66">
        <v>60.221305999999998</v>
      </c>
    </row>
    <row r="67" spans="1:6" ht="13.15" x14ac:dyDescent="0.4">
      <c r="A67" s="1">
        <v>18</v>
      </c>
      <c r="B67">
        <v>45.014366000000003</v>
      </c>
      <c r="C67">
        <v>44.113121</v>
      </c>
      <c r="D67">
        <v>42.755828999999999</v>
      </c>
      <c r="E67">
        <v>42.073162000000004</v>
      </c>
      <c r="F67">
        <v>42.479340000000001</v>
      </c>
    </row>
    <row r="68" spans="1:6" ht="13.15" x14ac:dyDescent="0.4">
      <c r="A68" s="1">
        <v>19</v>
      </c>
      <c r="B68">
        <v>31.955953999999998</v>
      </c>
      <c r="C68">
        <v>31.538347000000002</v>
      </c>
      <c r="D68">
        <v>30.40868</v>
      </c>
      <c r="E68">
        <v>28.690854999999999</v>
      </c>
      <c r="F68">
        <v>30.414801000000001</v>
      </c>
    </row>
    <row r="69" spans="1:6" ht="13.15" x14ac:dyDescent="0.4">
      <c r="A69" s="1">
        <v>20</v>
      </c>
      <c r="B69">
        <v>24.312004000000002</v>
      </c>
      <c r="C69">
        <v>24.034046</v>
      </c>
      <c r="D69">
        <v>22.755489000000001</v>
      </c>
      <c r="E69">
        <v>22.303844000000002</v>
      </c>
      <c r="F69">
        <v>23.318014000000002</v>
      </c>
    </row>
    <row r="70" spans="1:6" ht="13.15" x14ac:dyDescent="0.4">
      <c r="A70" s="1">
        <v>21</v>
      </c>
      <c r="B70">
        <v>22.082519999999999</v>
      </c>
      <c r="C70">
        <v>21.803038000000001</v>
      </c>
      <c r="D70">
        <v>20.102383</v>
      </c>
      <c r="E70">
        <v>19.972078</v>
      </c>
      <c r="F70">
        <v>20.580680999999998</v>
      </c>
    </row>
    <row r="71" spans="1:6" ht="13.15" x14ac:dyDescent="0.4">
      <c r="A71" s="1">
        <v>22</v>
      </c>
      <c r="B71">
        <v>19.322205</v>
      </c>
      <c r="C71">
        <v>20.383305</v>
      </c>
      <c r="D71">
        <v>19.388083999999999</v>
      </c>
      <c r="E71">
        <v>18.2486</v>
      </c>
      <c r="F71">
        <v>18.654411</v>
      </c>
    </row>
    <row r="72" spans="1:6" ht="13.15" x14ac:dyDescent="0.4">
      <c r="A72" s="1">
        <v>23</v>
      </c>
      <c r="B72">
        <v>17.305052</v>
      </c>
      <c r="C72">
        <v>17.645247999999999</v>
      </c>
      <c r="D72">
        <v>17.449276000000001</v>
      </c>
      <c r="E72">
        <v>15.916834</v>
      </c>
      <c r="F72">
        <v>16.423991999999998</v>
      </c>
    </row>
    <row r="73" spans="1:6" ht="13.15" x14ac:dyDescent="0.4">
      <c r="A73" s="1">
        <v>24</v>
      </c>
      <c r="B73">
        <v>15.394064</v>
      </c>
      <c r="C73">
        <v>15.819879</v>
      </c>
      <c r="D73">
        <v>15.102297999999999</v>
      </c>
      <c r="E73">
        <v>14.598879999999999</v>
      </c>
      <c r="F73">
        <v>14.193574</v>
      </c>
    </row>
    <row r="74" spans="1:6" ht="13.15" x14ac:dyDescent="0.4">
      <c r="A74" s="1">
        <v>25</v>
      </c>
      <c r="B74">
        <v>14.120072</v>
      </c>
      <c r="C74">
        <v>14.298736</v>
      </c>
      <c r="D74">
        <v>13.877787</v>
      </c>
      <c r="E74">
        <v>12.672639</v>
      </c>
      <c r="F74">
        <v>12.571451</v>
      </c>
    </row>
    <row r="75" spans="1:6" ht="13.15" x14ac:dyDescent="0.4">
      <c r="A75" s="1">
        <v>26</v>
      </c>
      <c r="B75">
        <v>13.376910000000001</v>
      </c>
      <c r="C75">
        <v>13.183230999999999</v>
      </c>
      <c r="D75">
        <v>12.755319</v>
      </c>
      <c r="E75">
        <v>10.746397999999999</v>
      </c>
      <c r="F75">
        <v>11.354858</v>
      </c>
    </row>
    <row r="76" spans="1:6" ht="13.15" x14ac:dyDescent="0.4">
      <c r="A76" s="1">
        <v>27</v>
      </c>
      <c r="B76">
        <v>12.421417</v>
      </c>
      <c r="C76">
        <v>12.067727</v>
      </c>
      <c r="D76">
        <v>11.836936</v>
      </c>
      <c r="E76">
        <v>9.0229189999999999</v>
      </c>
      <c r="F76">
        <v>9.6313530000000007</v>
      </c>
    </row>
    <row r="77" spans="1:6" ht="13.15" x14ac:dyDescent="0.4">
      <c r="A77" s="1">
        <v>28</v>
      </c>
      <c r="B77">
        <v>10.404263</v>
      </c>
      <c r="C77">
        <v>10.242357</v>
      </c>
      <c r="D77">
        <v>10.510382999999999</v>
      </c>
      <c r="E77">
        <v>7.8063450000000003</v>
      </c>
      <c r="F77">
        <v>8.4147619999999996</v>
      </c>
    </row>
    <row r="78" spans="1:6" ht="13.15" x14ac:dyDescent="0.4">
      <c r="A78" s="1">
        <v>29</v>
      </c>
      <c r="B78">
        <v>9.6611019999999996</v>
      </c>
      <c r="C78">
        <v>8.9240340000000007</v>
      </c>
      <c r="D78">
        <v>9.4899579999999997</v>
      </c>
      <c r="E78">
        <v>6.9952959999999997</v>
      </c>
      <c r="F78">
        <v>7.6036999999999999</v>
      </c>
    </row>
    <row r="79" spans="1:6" ht="13.15" x14ac:dyDescent="0.4">
      <c r="A79" s="1">
        <v>30</v>
      </c>
      <c r="B79">
        <v>7.9624470000000001</v>
      </c>
      <c r="C79">
        <v>6.9972539999999999</v>
      </c>
      <c r="D79">
        <v>7.9593189999999998</v>
      </c>
      <c r="E79">
        <v>6.2856290000000001</v>
      </c>
      <c r="F79">
        <v>6.6912560000000001</v>
      </c>
    </row>
    <row r="80" spans="1:6" ht="13.15" x14ac:dyDescent="0.4">
      <c r="A80" s="1">
        <v>38</v>
      </c>
      <c r="B80">
        <v>2.3356509999999999</v>
      </c>
      <c r="C80">
        <v>1.7239610000000001</v>
      </c>
      <c r="D80">
        <v>2.040851</v>
      </c>
      <c r="E80">
        <v>1.622098</v>
      </c>
      <c r="F80">
        <v>1.1152089999999999</v>
      </c>
    </row>
    <row r="81" spans="1:32" ht="13.15" x14ac:dyDescent="0.4">
      <c r="A81" s="1">
        <v>50</v>
      </c>
      <c r="B81">
        <v>0.53083000000000002</v>
      </c>
      <c r="C81">
        <v>0.50704700000000003</v>
      </c>
      <c r="D81">
        <v>0.91838299999999995</v>
      </c>
      <c r="E81">
        <v>0.101381</v>
      </c>
      <c r="F81">
        <v>0.101383</v>
      </c>
    </row>
    <row r="82" spans="1:32" ht="13.15" x14ac:dyDescent="0.4">
      <c r="A82" s="1">
        <v>70</v>
      </c>
      <c r="B82">
        <v>0.21233199999999999</v>
      </c>
      <c r="C82">
        <v>0.202819</v>
      </c>
      <c r="D82">
        <v>0.30612800000000001</v>
      </c>
      <c r="E82">
        <v>0</v>
      </c>
      <c r="F82">
        <v>0</v>
      </c>
    </row>
    <row r="84" spans="1:32" x14ac:dyDescent="0.35">
      <c r="A84">
        <v>1</v>
      </c>
      <c r="B84">
        <v>9.4192149999999994</v>
      </c>
      <c r="C84">
        <v>1716.491211</v>
      </c>
      <c r="D84">
        <v>1705.13147</v>
      </c>
      <c r="E84">
        <v>1699.2923579999999</v>
      </c>
      <c r="F84">
        <v>1696.4257809999999</v>
      </c>
      <c r="G84">
        <v>1693.984009</v>
      </c>
      <c r="H84">
        <v>1691.8607179999999</v>
      </c>
      <c r="I84">
        <v>1689.631226</v>
      </c>
      <c r="J84">
        <v>1662.452759</v>
      </c>
      <c r="K84">
        <v>1253.2891850000001</v>
      </c>
      <c r="L84">
        <v>426.78714000000002</v>
      </c>
      <c r="M84">
        <v>111.580421</v>
      </c>
      <c r="N84">
        <v>76.120994999999994</v>
      </c>
      <c r="O84">
        <v>69.857201000000003</v>
      </c>
      <c r="P84">
        <v>59.771434999999997</v>
      </c>
      <c r="Q84">
        <v>45.014366000000003</v>
      </c>
      <c r="R84">
        <v>31.955953999999998</v>
      </c>
      <c r="S84">
        <v>24.312004000000002</v>
      </c>
      <c r="T84">
        <v>22.082519999999999</v>
      </c>
      <c r="U84">
        <v>19.322205</v>
      </c>
      <c r="V84">
        <v>17.305052</v>
      </c>
      <c r="W84">
        <v>15.394064</v>
      </c>
      <c r="X84">
        <v>14.120072</v>
      </c>
      <c r="Y84">
        <v>13.376910000000001</v>
      </c>
      <c r="Z84">
        <v>12.421417</v>
      </c>
      <c r="AA84">
        <v>10.404263</v>
      </c>
      <c r="AB84">
        <v>9.6611019999999996</v>
      </c>
      <c r="AC84">
        <v>7.9624470000000001</v>
      </c>
      <c r="AD84">
        <v>2.3356509999999999</v>
      </c>
      <c r="AE84">
        <v>0.53083000000000002</v>
      </c>
      <c r="AF84">
        <v>0.21233199999999999</v>
      </c>
    </row>
    <row r="85" spans="1:32" x14ac:dyDescent="0.35">
      <c r="A85">
        <v>2</v>
      </c>
      <c r="B85">
        <v>9.8610120000000006</v>
      </c>
      <c r="C85">
        <v>1643.644775</v>
      </c>
      <c r="D85">
        <v>1635.7348629999999</v>
      </c>
      <c r="E85">
        <v>1631.475586</v>
      </c>
      <c r="F85">
        <v>1627.8249510000001</v>
      </c>
      <c r="G85">
        <v>1626.709351</v>
      </c>
      <c r="H85">
        <v>1625.9995120000001</v>
      </c>
      <c r="I85">
        <v>1624.376953</v>
      </c>
      <c r="J85">
        <v>1591.7231449999999</v>
      </c>
      <c r="K85">
        <v>1212.95874</v>
      </c>
      <c r="L85">
        <v>424.29724099999999</v>
      </c>
      <c r="M85">
        <v>114.694115</v>
      </c>
      <c r="N85">
        <v>76.665565000000001</v>
      </c>
      <c r="O85">
        <v>69.465491999999998</v>
      </c>
      <c r="P85">
        <v>56.586486999999998</v>
      </c>
      <c r="Q85">
        <v>44.113121</v>
      </c>
      <c r="R85">
        <v>31.538347000000002</v>
      </c>
      <c r="S85">
        <v>24.034046</v>
      </c>
      <c r="T85">
        <v>21.803038000000001</v>
      </c>
      <c r="U85">
        <v>20.383305</v>
      </c>
      <c r="V85">
        <v>17.645247999999999</v>
      </c>
      <c r="W85">
        <v>15.819879</v>
      </c>
      <c r="X85">
        <v>14.298736</v>
      </c>
      <c r="Y85">
        <v>13.183230999999999</v>
      </c>
      <c r="Z85">
        <v>12.067727</v>
      </c>
      <c r="AA85">
        <v>10.242357</v>
      </c>
      <c r="AB85">
        <v>8.9240340000000007</v>
      </c>
      <c r="AC85">
        <v>6.9972539999999999</v>
      </c>
      <c r="AD85">
        <v>1.7239610000000001</v>
      </c>
      <c r="AE85">
        <v>0.50704700000000003</v>
      </c>
      <c r="AF85">
        <v>0.202819</v>
      </c>
    </row>
    <row r="86" spans="1:32" x14ac:dyDescent="0.35">
      <c r="A86">
        <v>3</v>
      </c>
      <c r="B86">
        <v>9.7998329999999996</v>
      </c>
      <c r="C86">
        <v>1635.6400149999999</v>
      </c>
      <c r="D86">
        <v>1629.4155270000001</v>
      </c>
      <c r="E86">
        <v>1625.537842</v>
      </c>
      <c r="F86">
        <v>1624.007202</v>
      </c>
      <c r="G86">
        <v>1623.496948</v>
      </c>
      <c r="H86">
        <v>1622.7827150000001</v>
      </c>
      <c r="I86">
        <v>1621.2520750000001</v>
      </c>
      <c r="J86">
        <v>1598.1904300000001</v>
      </c>
      <c r="K86">
        <v>1242.1639399999999</v>
      </c>
      <c r="L86">
        <v>439.70135499999998</v>
      </c>
      <c r="M86">
        <v>111.328423</v>
      </c>
      <c r="N86">
        <v>75.817618999999993</v>
      </c>
      <c r="O86">
        <v>69.082808999999997</v>
      </c>
      <c r="P86">
        <v>57.551997999999998</v>
      </c>
      <c r="Q86">
        <v>42.755828999999999</v>
      </c>
      <c r="R86">
        <v>30.40868</v>
      </c>
      <c r="S86">
        <v>22.755489000000001</v>
      </c>
      <c r="T86">
        <v>20.102383</v>
      </c>
      <c r="U86">
        <v>19.388083999999999</v>
      </c>
      <c r="V86">
        <v>17.449276000000001</v>
      </c>
      <c r="W86">
        <v>15.102297999999999</v>
      </c>
      <c r="X86">
        <v>13.877787</v>
      </c>
      <c r="Y86">
        <v>12.755319</v>
      </c>
      <c r="Z86">
        <v>11.836936</v>
      </c>
      <c r="AA86">
        <v>10.510382999999999</v>
      </c>
      <c r="AB86">
        <v>9.4899579999999997</v>
      </c>
      <c r="AC86">
        <v>7.9593189999999998</v>
      </c>
      <c r="AD86">
        <v>2.040851</v>
      </c>
      <c r="AE86">
        <v>0.91838299999999995</v>
      </c>
      <c r="AF86">
        <v>0.30612800000000001</v>
      </c>
    </row>
    <row r="87" spans="1:32" x14ac:dyDescent="0.35">
      <c r="A87">
        <v>4</v>
      </c>
      <c r="B87">
        <v>9.8637700000000006</v>
      </c>
      <c r="C87">
        <v>1685.3596190000001</v>
      </c>
      <c r="D87">
        <v>1680.8988039999999</v>
      </c>
      <c r="E87">
        <v>1677.5532229999999</v>
      </c>
      <c r="F87">
        <v>1675.829712</v>
      </c>
      <c r="G87">
        <v>1674.9173579999999</v>
      </c>
      <c r="H87">
        <v>1674.4104</v>
      </c>
      <c r="I87">
        <v>1672.5855710000001</v>
      </c>
      <c r="J87">
        <v>1646.3278809999999</v>
      </c>
      <c r="K87">
        <v>1260.369995</v>
      </c>
      <c r="L87">
        <v>435.63464399999998</v>
      </c>
      <c r="M87">
        <v>113.03994</v>
      </c>
      <c r="N87">
        <v>77.252403000000001</v>
      </c>
      <c r="O87">
        <v>69.851585</v>
      </c>
      <c r="P87">
        <v>58.192757</v>
      </c>
      <c r="Q87">
        <v>42.073162000000004</v>
      </c>
      <c r="R87">
        <v>28.690854999999999</v>
      </c>
      <c r="S87">
        <v>22.303844000000002</v>
      </c>
      <c r="T87">
        <v>19.972078</v>
      </c>
      <c r="U87">
        <v>18.2486</v>
      </c>
      <c r="V87">
        <v>15.916834</v>
      </c>
      <c r="W87">
        <v>14.598879999999999</v>
      </c>
      <c r="X87">
        <v>12.672639</v>
      </c>
      <c r="Y87">
        <v>10.746397999999999</v>
      </c>
      <c r="Z87">
        <v>9.0229189999999999</v>
      </c>
      <c r="AA87">
        <v>7.8063450000000003</v>
      </c>
      <c r="AB87">
        <v>6.9952959999999997</v>
      </c>
      <c r="AC87">
        <v>6.2856290000000001</v>
      </c>
      <c r="AD87">
        <v>1.622098</v>
      </c>
      <c r="AE87">
        <v>0.101381</v>
      </c>
      <c r="AF87">
        <v>0</v>
      </c>
    </row>
    <row r="88" spans="1:32" x14ac:dyDescent="0.35">
      <c r="A88">
        <v>5</v>
      </c>
      <c r="B88">
        <v>9.8636189999999999</v>
      </c>
      <c r="C88">
        <v>1638.6480710000001</v>
      </c>
      <c r="D88">
        <v>1634.5927730000001</v>
      </c>
      <c r="E88">
        <v>1631.5512699999999</v>
      </c>
      <c r="F88">
        <v>1629.7264399999999</v>
      </c>
      <c r="G88">
        <v>1628.915283</v>
      </c>
      <c r="H88">
        <v>1628.0029300000001</v>
      </c>
      <c r="I88">
        <v>1626.989014</v>
      </c>
      <c r="J88">
        <v>1605.8000489999999</v>
      </c>
      <c r="K88">
        <v>1254.813232</v>
      </c>
      <c r="L88">
        <v>429.86251800000002</v>
      </c>
      <c r="M88">
        <v>111.52093499999999</v>
      </c>
      <c r="N88">
        <v>76.442535000000007</v>
      </c>
      <c r="O88">
        <v>70.055428000000006</v>
      </c>
      <c r="P88">
        <v>60.221305999999998</v>
      </c>
      <c r="Q88">
        <v>42.479340000000001</v>
      </c>
      <c r="R88">
        <v>30.414801000000001</v>
      </c>
      <c r="S88">
        <v>23.318014000000002</v>
      </c>
      <c r="T88">
        <v>20.580680999999998</v>
      </c>
      <c r="U88">
        <v>18.654411</v>
      </c>
      <c r="V88">
        <v>16.423991999999998</v>
      </c>
      <c r="W88">
        <v>14.193574</v>
      </c>
      <c r="X88">
        <v>12.571451</v>
      </c>
      <c r="Y88">
        <v>11.354858</v>
      </c>
      <c r="Z88">
        <v>9.6313530000000007</v>
      </c>
      <c r="AA88">
        <v>8.4147619999999996</v>
      </c>
      <c r="AB88">
        <v>7.6036999999999999</v>
      </c>
      <c r="AC88">
        <v>6.6912560000000001</v>
      </c>
      <c r="AD88">
        <v>1.1152089999999999</v>
      </c>
      <c r="AE88">
        <v>0.101383</v>
      </c>
      <c r="AF88">
        <v>0</v>
      </c>
    </row>
  </sheetData>
  <mergeCells count="1">
    <mergeCell ref="A2:E2"/>
  </mergeCells>
  <conditionalFormatting sqref="H9:H40">
    <cfRule type="cellIs" dxfId="3" priority="1" operator="greaterThan">
      <formula>1000</formula>
    </cfRule>
  </conditionalFormatting>
  <conditionalFormatting sqref="K9:K40">
    <cfRule type="cellIs" dxfId="2" priority="2" operator="lessThan">
      <formula>J11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739B4-5E11-46E6-8F83-2B3F109C3DD3}">
  <dimension ref="A1:AMJ1002"/>
  <sheetViews>
    <sheetView tabSelected="1" zoomScale="55" zoomScaleNormal="55" workbookViewId="0"/>
  </sheetViews>
  <sheetFormatPr defaultColWidth="11.19921875" defaultRowHeight="13.5" x14ac:dyDescent="0.35"/>
  <cols>
    <col min="1" max="1" width="22.3984375" style="31" customWidth="1"/>
    <col min="2" max="2" width="15.265625" style="31" customWidth="1"/>
    <col min="3" max="11" width="11.19921875" style="31"/>
    <col min="12" max="12" width="5.265625" style="31" customWidth="1"/>
    <col min="13" max="13" width="9.53125" style="31" customWidth="1"/>
    <col min="14" max="16384" width="11.19921875" style="31"/>
  </cols>
  <sheetData>
    <row r="1" spans="1:1024" ht="101.25" customHeight="1" x14ac:dyDescent="0.35">
      <c r="A1" s="76" t="s">
        <v>146</v>
      </c>
      <c r="B1" s="74" t="s">
        <v>145</v>
      </c>
      <c r="C1" s="75" t="s">
        <v>144</v>
      </c>
      <c r="D1" s="75"/>
      <c r="E1" s="75"/>
      <c r="F1" s="75"/>
      <c r="G1" s="75"/>
      <c r="H1" s="75"/>
      <c r="I1" s="74"/>
      <c r="J1" s="74"/>
      <c r="K1" s="74"/>
      <c r="L1" s="31" t="s">
        <v>143</v>
      </c>
      <c r="M1" s="72" t="s">
        <v>142</v>
      </c>
      <c r="N1" s="74" t="s">
        <v>141</v>
      </c>
      <c r="O1" s="74" t="s">
        <v>140</v>
      </c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74"/>
      <c r="FU1" s="74"/>
      <c r="FV1" s="74"/>
      <c r="FW1" s="74"/>
      <c r="FX1" s="74"/>
      <c r="FY1" s="74"/>
      <c r="FZ1" s="74"/>
      <c r="GA1" s="74"/>
      <c r="GB1" s="74"/>
      <c r="GC1" s="74"/>
      <c r="GD1" s="74"/>
      <c r="GE1" s="74"/>
      <c r="GF1" s="74"/>
      <c r="GG1" s="74"/>
      <c r="GH1" s="74"/>
      <c r="GI1" s="74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74"/>
      <c r="IK1" s="74"/>
      <c r="IL1" s="74"/>
      <c r="IM1" s="74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74"/>
      <c r="LX1" s="74"/>
      <c r="LY1" s="74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74"/>
      <c r="OB1" s="74"/>
      <c r="OC1" s="74"/>
      <c r="OD1" s="74"/>
      <c r="OE1" s="74"/>
      <c r="OF1" s="74"/>
      <c r="OG1" s="74"/>
      <c r="OH1" s="74"/>
      <c r="OI1" s="74"/>
      <c r="OJ1" s="74"/>
      <c r="OK1" s="74"/>
      <c r="OL1" s="74"/>
      <c r="OM1" s="74"/>
      <c r="ON1" s="74"/>
      <c r="OO1" s="74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74"/>
      <c r="QG1" s="74"/>
      <c r="QH1" s="74"/>
      <c r="QI1" s="74"/>
      <c r="QJ1" s="74"/>
      <c r="QK1" s="74"/>
      <c r="QL1" s="74"/>
      <c r="QM1" s="74"/>
      <c r="QN1" s="74"/>
      <c r="QO1" s="74"/>
      <c r="QP1" s="74"/>
      <c r="QQ1" s="74"/>
      <c r="QR1" s="74"/>
      <c r="QS1" s="74"/>
      <c r="QT1" s="74"/>
      <c r="QU1" s="74"/>
      <c r="QV1" s="74"/>
      <c r="QW1" s="74"/>
      <c r="QX1" s="74"/>
      <c r="QY1" s="74"/>
      <c r="QZ1" s="74"/>
      <c r="RA1" s="74"/>
      <c r="RB1" s="74"/>
      <c r="RC1" s="74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74"/>
      <c r="SW1" s="74"/>
      <c r="SX1" s="74"/>
      <c r="SY1" s="74"/>
      <c r="SZ1" s="74"/>
      <c r="TA1" s="74"/>
      <c r="TB1" s="74"/>
      <c r="TC1" s="74"/>
      <c r="TD1" s="74"/>
      <c r="TE1" s="74"/>
      <c r="TF1" s="74"/>
      <c r="TG1" s="74"/>
      <c r="TH1" s="74"/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74"/>
      <c r="VE1" s="74"/>
      <c r="VF1" s="74"/>
      <c r="VG1" s="74"/>
      <c r="VH1" s="74"/>
      <c r="VI1" s="74"/>
      <c r="VJ1" s="74"/>
      <c r="VK1" s="74"/>
      <c r="VL1" s="74"/>
      <c r="VM1" s="74"/>
      <c r="VN1" s="74"/>
      <c r="VO1" s="74"/>
      <c r="VP1" s="74"/>
      <c r="VQ1" s="74"/>
      <c r="VR1" s="74"/>
      <c r="VS1" s="74"/>
      <c r="VT1" s="74"/>
      <c r="VU1" s="74"/>
      <c r="VV1" s="74"/>
      <c r="VW1" s="74"/>
      <c r="VX1" s="74"/>
      <c r="VY1" s="74"/>
      <c r="VZ1" s="74"/>
      <c r="WA1" s="74"/>
      <c r="WB1" s="74"/>
      <c r="WC1" s="74"/>
      <c r="WD1" s="74"/>
      <c r="WE1" s="74"/>
      <c r="WF1" s="74"/>
      <c r="WG1" s="74"/>
      <c r="WH1" s="74"/>
      <c r="WI1" s="74"/>
      <c r="WJ1" s="74"/>
      <c r="WK1" s="74"/>
      <c r="WL1" s="74"/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  <c r="XM1" s="74"/>
      <c r="XN1" s="74"/>
      <c r="XO1" s="74"/>
      <c r="XP1" s="74"/>
      <c r="XQ1" s="74"/>
      <c r="XR1" s="74"/>
      <c r="XS1" s="74"/>
      <c r="XT1" s="74"/>
      <c r="XU1" s="74"/>
      <c r="XV1" s="74"/>
      <c r="XW1" s="74"/>
      <c r="XX1" s="74"/>
      <c r="XY1" s="74"/>
      <c r="XZ1" s="74"/>
      <c r="YA1" s="74"/>
      <c r="YB1" s="74"/>
      <c r="YC1" s="74"/>
      <c r="YD1" s="74"/>
      <c r="YE1" s="74"/>
      <c r="YF1" s="74"/>
      <c r="YG1" s="74"/>
      <c r="YH1" s="74"/>
      <c r="YI1" s="74"/>
      <c r="YJ1" s="74"/>
      <c r="YK1" s="74"/>
      <c r="YL1" s="74"/>
      <c r="YM1" s="74"/>
      <c r="YN1" s="74"/>
      <c r="YO1" s="74"/>
      <c r="YP1" s="74"/>
      <c r="YQ1" s="74"/>
      <c r="YR1" s="74"/>
      <c r="YS1" s="74"/>
      <c r="YT1" s="74"/>
      <c r="YU1" s="74"/>
      <c r="YV1" s="74"/>
      <c r="YW1" s="74"/>
      <c r="YX1" s="74"/>
      <c r="YY1" s="74"/>
      <c r="YZ1" s="74"/>
      <c r="ZA1" s="74"/>
      <c r="ZB1" s="74"/>
      <c r="ZC1" s="74"/>
      <c r="ZD1" s="74"/>
      <c r="ZE1" s="74"/>
      <c r="ZF1" s="74"/>
      <c r="ZG1" s="74"/>
      <c r="ZH1" s="74"/>
      <c r="ZI1" s="74"/>
      <c r="ZJ1" s="74"/>
      <c r="ZK1" s="74"/>
      <c r="ZL1" s="74"/>
      <c r="ZM1" s="74"/>
      <c r="ZN1" s="74"/>
      <c r="ZO1" s="74"/>
      <c r="ZP1" s="74"/>
      <c r="ZQ1" s="74"/>
      <c r="ZR1" s="74"/>
      <c r="ZS1" s="74"/>
      <c r="ZT1" s="74"/>
      <c r="ZU1" s="74"/>
      <c r="ZV1" s="74"/>
      <c r="ZW1" s="74"/>
      <c r="ZX1" s="74"/>
      <c r="ZY1" s="74"/>
      <c r="ZZ1" s="74"/>
      <c r="AAA1" s="74"/>
      <c r="AAB1" s="74"/>
      <c r="AAC1" s="74"/>
      <c r="AAD1" s="74"/>
      <c r="AAE1" s="74"/>
      <c r="AAF1" s="74"/>
      <c r="AAG1" s="74"/>
      <c r="AAH1" s="74"/>
      <c r="AAI1" s="74"/>
      <c r="AAJ1" s="74"/>
      <c r="AAK1" s="74"/>
      <c r="AAL1" s="74"/>
      <c r="AAM1" s="74"/>
      <c r="AAN1" s="74"/>
      <c r="AAO1" s="74"/>
      <c r="AAP1" s="74"/>
      <c r="AAQ1" s="74"/>
      <c r="AAR1" s="74"/>
      <c r="AAS1" s="74"/>
      <c r="AAT1" s="74"/>
      <c r="AAU1" s="74"/>
      <c r="AAV1" s="74"/>
      <c r="AAW1" s="74"/>
      <c r="AAX1" s="74"/>
      <c r="AAY1" s="74"/>
      <c r="AAZ1" s="74"/>
      <c r="ABA1" s="74"/>
      <c r="ABB1" s="74"/>
      <c r="ABC1" s="74"/>
      <c r="ABD1" s="74"/>
      <c r="ABE1" s="74"/>
      <c r="ABF1" s="74"/>
      <c r="ABG1" s="74"/>
      <c r="ABH1" s="74"/>
      <c r="ABI1" s="74"/>
      <c r="ABJ1" s="74"/>
      <c r="ABK1" s="74"/>
      <c r="ABL1" s="74"/>
      <c r="ABM1" s="74"/>
      <c r="ABN1" s="74"/>
      <c r="ABO1" s="74"/>
      <c r="ABP1" s="74"/>
      <c r="ABQ1" s="74"/>
      <c r="ABR1" s="74"/>
      <c r="ABS1" s="74"/>
      <c r="ABT1" s="74"/>
      <c r="ABU1" s="74"/>
      <c r="ABV1" s="74"/>
      <c r="ABW1" s="74"/>
      <c r="ABX1" s="74"/>
      <c r="ABY1" s="74"/>
      <c r="ABZ1" s="74"/>
      <c r="ACA1" s="74"/>
      <c r="ACB1" s="74"/>
      <c r="ACC1" s="74"/>
      <c r="ACD1" s="74"/>
      <c r="ACE1" s="74"/>
      <c r="ACF1" s="74"/>
      <c r="ACG1" s="74"/>
      <c r="ACH1" s="74"/>
      <c r="ACI1" s="74"/>
      <c r="ACJ1" s="74"/>
      <c r="ACK1" s="74"/>
      <c r="ACL1" s="74"/>
      <c r="ACM1" s="74"/>
      <c r="ACN1" s="74"/>
      <c r="ACO1" s="74"/>
      <c r="ACP1" s="74"/>
      <c r="ACQ1" s="74"/>
      <c r="ACR1" s="74"/>
      <c r="ACS1" s="74"/>
      <c r="ACT1" s="74"/>
      <c r="ACU1" s="74"/>
      <c r="ACV1" s="74"/>
      <c r="ACW1" s="74"/>
      <c r="ACX1" s="74"/>
      <c r="ACY1" s="74"/>
      <c r="ACZ1" s="74"/>
      <c r="ADA1" s="74"/>
      <c r="ADB1" s="74"/>
      <c r="ADC1" s="74"/>
      <c r="ADD1" s="74"/>
      <c r="ADE1" s="74"/>
      <c r="ADF1" s="74"/>
      <c r="ADG1" s="74"/>
      <c r="ADH1" s="74"/>
      <c r="ADI1" s="74"/>
      <c r="ADJ1" s="74"/>
      <c r="ADK1" s="74"/>
      <c r="ADL1" s="74"/>
      <c r="ADM1" s="74"/>
      <c r="ADN1" s="74"/>
      <c r="ADO1" s="74"/>
      <c r="ADP1" s="74"/>
      <c r="ADQ1" s="74"/>
      <c r="ADR1" s="74"/>
      <c r="ADS1" s="74"/>
      <c r="ADT1" s="74"/>
      <c r="ADU1" s="74"/>
      <c r="ADV1" s="74"/>
      <c r="ADW1" s="74"/>
      <c r="ADX1" s="74"/>
      <c r="ADY1" s="74"/>
      <c r="ADZ1" s="74"/>
      <c r="AEA1" s="74"/>
      <c r="AEB1" s="74"/>
      <c r="AEC1" s="74"/>
      <c r="AED1" s="74"/>
      <c r="AEE1" s="74"/>
      <c r="AEF1" s="74"/>
      <c r="AEG1" s="74"/>
      <c r="AEH1" s="74"/>
      <c r="AEI1" s="74"/>
      <c r="AEJ1" s="74"/>
      <c r="AEK1" s="74"/>
      <c r="AEL1" s="74"/>
      <c r="AEM1" s="74"/>
      <c r="AEN1" s="74"/>
      <c r="AEO1" s="74"/>
      <c r="AEP1" s="74"/>
      <c r="AEQ1" s="74"/>
      <c r="AER1" s="74"/>
      <c r="AES1" s="74"/>
      <c r="AET1" s="74"/>
      <c r="AEU1" s="74"/>
      <c r="AEV1" s="74"/>
      <c r="AEW1" s="74"/>
      <c r="AEX1" s="74"/>
      <c r="AEY1" s="74"/>
      <c r="AEZ1" s="74"/>
      <c r="AFA1" s="74"/>
      <c r="AFB1" s="74"/>
      <c r="AFC1" s="74"/>
      <c r="AFD1" s="74"/>
      <c r="AFE1" s="74"/>
      <c r="AFF1" s="74"/>
      <c r="AFG1" s="74"/>
      <c r="AFH1" s="74"/>
      <c r="AFI1" s="74"/>
      <c r="AFJ1" s="74"/>
      <c r="AFK1" s="74"/>
      <c r="AFL1" s="74"/>
      <c r="AFM1" s="74"/>
      <c r="AFN1" s="74"/>
      <c r="AFO1" s="74"/>
      <c r="AFP1" s="74"/>
      <c r="AFQ1" s="74"/>
      <c r="AFR1" s="74"/>
      <c r="AFS1" s="74"/>
      <c r="AFT1" s="74"/>
      <c r="AFU1" s="74"/>
      <c r="AFV1" s="74"/>
      <c r="AFW1" s="74"/>
      <c r="AFX1" s="74"/>
      <c r="AFY1" s="74"/>
      <c r="AFZ1" s="74"/>
      <c r="AGA1" s="74"/>
      <c r="AGB1" s="74"/>
      <c r="AGC1" s="74"/>
      <c r="AGD1" s="74"/>
      <c r="AGE1" s="74"/>
      <c r="AGF1" s="74"/>
      <c r="AGG1" s="74"/>
      <c r="AGH1" s="74"/>
      <c r="AGI1" s="74"/>
      <c r="AGJ1" s="74"/>
      <c r="AGK1" s="74"/>
      <c r="AGL1" s="74"/>
      <c r="AGM1" s="74"/>
      <c r="AGN1" s="74"/>
      <c r="AGO1" s="74"/>
      <c r="AGP1" s="74"/>
      <c r="AGQ1" s="74"/>
      <c r="AGR1" s="74"/>
      <c r="AGS1" s="74"/>
      <c r="AGT1" s="74"/>
      <c r="AGU1" s="74"/>
      <c r="AGV1" s="74"/>
      <c r="AGW1" s="74"/>
      <c r="AGX1" s="74"/>
      <c r="AGY1" s="74"/>
      <c r="AGZ1" s="74"/>
      <c r="AHA1" s="74"/>
      <c r="AHB1" s="74"/>
      <c r="AHC1" s="74"/>
      <c r="AHD1" s="74"/>
      <c r="AHE1" s="74"/>
      <c r="AHF1" s="74"/>
      <c r="AHG1" s="74"/>
      <c r="AHH1" s="74"/>
      <c r="AHI1" s="74"/>
      <c r="AHJ1" s="74"/>
      <c r="AHK1" s="74"/>
      <c r="AHL1" s="74"/>
      <c r="AHM1" s="74"/>
      <c r="AHN1" s="74"/>
      <c r="AHO1" s="74"/>
      <c r="AHP1" s="74"/>
      <c r="AHQ1" s="74"/>
      <c r="AHR1" s="74"/>
      <c r="AHS1" s="74"/>
      <c r="AHT1" s="74"/>
      <c r="AHU1" s="74"/>
      <c r="AHV1" s="74"/>
      <c r="AHW1" s="74"/>
      <c r="AHX1" s="74"/>
      <c r="AHY1" s="74"/>
      <c r="AHZ1" s="74"/>
      <c r="AIA1" s="74"/>
      <c r="AIB1" s="74"/>
      <c r="AIC1" s="74"/>
      <c r="AID1" s="74"/>
      <c r="AIE1" s="74"/>
      <c r="AIF1" s="74"/>
      <c r="AIG1" s="74"/>
      <c r="AIH1" s="74"/>
      <c r="AII1" s="74"/>
      <c r="AIJ1" s="74"/>
      <c r="AIK1" s="74"/>
      <c r="AIL1" s="74"/>
      <c r="AIM1" s="74"/>
      <c r="AIN1" s="74"/>
      <c r="AIO1" s="74"/>
      <c r="AIP1" s="74"/>
      <c r="AIQ1" s="74"/>
      <c r="AIR1" s="74"/>
      <c r="AIS1" s="74"/>
      <c r="AIT1" s="74"/>
      <c r="AIU1" s="74"/>
      <c r="AIV1" s="74"/>
      <c r="AIW1" s="74"/>
      <c r="AIX1" s="74"/>
      <c r="AIY1" s="74"/>
      <c r="AIZ1" s="74"/>
      <c r="AJA1" s="74"/>
      <c r="AJB1" s="74"/>
      <c r="AJC1" s="74"/>
      <c r="AJD1" s="74"/>
      <c r="AJE1" s="74"/>
      <c r="AJF1" s="74"/>
      <c r="AJG1" s="74"/>
      <c r="AJH1" s="74"/>
      <c r="AJI1" s="74"/>
      <c r="AJJ1" s="74"/>
      <c r="AJK1" s="74"/>
      <c r="AJL1" s="74"/>
      <c r="AJM1" s="74"/>
      <c r="AJN1" s="74"/>
      <c r="AJO1" s="74"/>
      <c r="AJP1" s="74"/>
      <c r="AJQ1" s="74"/>
      <c r="AJR1" s="74"/>
      <c r="AJS1" s="74"/>
      <c r="AJT1" s="74"/>
      <c r="AJU1" s="74"/>
      <c r="AJV1" s="74"/>
      <c r="AJW1" s="74"/>
      <c r="AJX1" s="74"/>
      <c r="AJY1" s="74"/>
      <c r="AJZ1" s="74"/>
      <c r="AKA1" s="74"/>
      <c r="AKB1" s="74"/>
      <c r="AKC1" s="74"/>
      <c r="AKD1" s="74"/>
      <c r="AKE1" s="74"/>
      <c r="AKF1" s="74"/>
      <c r="AKG1" s="74"/>
      <c r="AKH1" s="74"/>
      <c r="AKI1" s="74"/>
      <c r="AKJ1" s="74"/>
      <c r="AKK1" s="74"/>
      <c r="AKL1" s="74"/>
      <c r="AKM1" s="74"/>
      <c r="AKN1" s="74"/>
      <c r="AKO1" s="74"/>
      <c r="AKP1" s="74"/>
      <c r="AKQ1" s="74"/>
      <c r="AKR1" s="74"/>
      <c r="AKS1" s="74"/>
      <c r="AKT1" s="74"/>
      <c r="AKU1" s="74"/>
      <c r="AKV1" s="74"/>
      <c r="AKW1" s="74"/>
      <c r="AKX1" s="74"/>
      <c r="AKY1" s="74"/>
      <c r="AKZ1" s="74"/>
      <c r="ALA1" s="74"/>
      <c r="ALB1" s="74"/>
      <c r="ALC1" s="74"/>
      <c r="ALD1" s="74"/>
      <c r="ALE1" s="74"/>
      <c r="ALF1" s="74"/>
      <c r="ALG1" s="74"/>
      <c r="ALH1" s="74"/>
      <c r="ALI1" s="74"/>
      <c r="ALJ1" s="74"/>
      <c r="ALK1" s="74"/>
      <c r="ALL1" s="74"/>
      <c r="ALM1" s="74"/>
      <c r="ALN1" s="74"/>
      <c r="ALO1" s="74"/>
      <c r="ALP1" s="74"/>
      <c r="ALQ1" s="74"/>
      <c r="ALR1" s="74"/>
      <c r="ALS1" s="74"/>
      <c r="ALT1" s="74"/>
      <c r="ALU1" s="74"/>
      <c r="ALV1" s="74"/>
      <c r="ALW1" s="74"/>
      <c r="ALX1" s="74"/>
      <c r="ALY1" s="74"/>
      <c r="ALZ1" s="74"/>
      <c r="AMA1" s="74"/>
      <c r="AMB1" s="74"/>
      <c r="AMC1" s="74"/>
      <c r="AMD1" s="74"/>
      <c r="AME1" s="74"/>
      <c r="AMF1" s="74"/>
      <c r="AMG1" s="74"/>
      <c r="AMH1" s="74"/>
      <c r="AMI1" s="74"/>
      <c r="AMJ1" s="74"/>
    </row>
    <row r="2" spans="1:1024" ht="13.5" customHeight="1" x14ac:dyDescent="0.35">
      <c r="A2" s="31" t="s">
        <v>57</v>
      </c>
      <c r="B2" s="73">
        <v>45982</v>
      </c>
      <c r="L2" s="31">
        <v>0</v>
      </c>
      <c r="M2" s="31">
        <v>0</v>
      </c>
      <c r="N2" s="31">
        <v>0</v>
      </c>
      <c r="O2" s="31">
        <f>MAX($A$35)/2</f>
        <v>279.625</v>
      </c>
    </row>
    <row r="3" spans="1:1024" x14ac:dyDescent="0.35">
      <c r="A3" s="31" t="s">
        <v>139</v>
      </c>
      <c r="B3" s="72" t="s">
        <v>138</v>
      </c>
      <c r="H3" s="31" t="s">
        <v>137</v>
      </c>
      <c r="L3" s="31">
        <v>1</v>
      </c>
      <c r="M3" s="31">
        <v>0</v>
      </c>
      <c r="N3" s="31">
        <v>0</v>
      </c>
      <c r="O3" s="31">
        <f>MAX($A$35)/2</f>
        <v>279.625</v>
      </c>
    </row>
    <row r="4" spans="1:1024" x14ac:dyDescent="0.35">
      <c r="A4" s="31" t="s">
        <v>136</v>
      </c>
      <c r="B4" s="72" t="s">
        <v>135</v>
      </c>
      <c r="H4" s="72" t="s">
        <v>134</v>
      </c>
      <c r="I4" s="31" t="s">
        <v>133</v>
      </c>
      <c r="L4" s="31">
        <v>2</v>
      </c>
      <c r="M4" s="31">
        <v>0</v>
      </c>
      <c r="N4" s="31">
        <v>0</v>
      </c>
      <c r="O4" s="31">
        <f>MAX($A$35)/2</f>
        <v>279.625</v>
      </c>
    </row>
    <row r="5" spans="1:1024" x14ac:dyDescent="0.35">
      <c r="A5" s="31" t="s">
        <v>132</v>
      </c>
      <c r="B5" s="31">
        <v>5.12</v>
      </c>
      <c r="H5" s="32">
        <v>6.9000000000000006E-2</v>
      </c>
      <c r="I5" s="31" t="s">
        <v>51</v>
      </c>
      <c r="L5" s="31">
        <v>3</v>
      </c>
      <c r="M5" s="31">
        <v>0</v>
      </c>
      <c r="N5" s="31">
        <f>AVERAGE(M2:M9)</f>
        <v>0</v>
      </c>
      <c r="O5" s="31">
        <f>MAX($A$35)/2</f>
        <v>279.625</v>
      </c>
    </row>
    <row r="6" spans="1:1024" x14ac:dyDescent="0.35">
      <c r="A6" s="70" t="s">
        <v>131</v>
      </c>
      <c r="B6" s="71">
        <v>2000</v>
      </c>
      <c r="C6" s="70"/>
      <c r="H6" s="31" t="s">
        <v>130</v>
      </c>
      <c r="L6" s="31">
        <v>4</v>
      </c>
      <c r="M6" s="31">
        <v>0</v>
      </c>
      <c r="N6" s="31">
        <f>AVERAGE(M3:M10)</f>
        <v>0</v>
      </c>
      <c r="O6" s="31">
        <f>MAX($A$35)/2</f>
        <v>279.625</v>
      </c>
    </row>
    <row r="7" spans="1:1024" x14ac:dyDescent="0.35">
      <c r="A7" s="70"/>
      <c r="B7" s="70"/>
      <c r="C7" s="70"/>
      <c r="L7" s="31">
        <v>5</v>
      </c>
      <c r="M7" s="31">
        <v>0</v>
      </c>
      <c r="N7" s="31">
        <f>AVERAGE(M4:M11)</f>
        <v>0</v>
      </c>
      <c r="O7" s="31">
        <f>MAX($A$35)/2</f>
        <v>279.625</v>
      </c>
    </row>
    <row r="8" spans="1:1024" ht="13.9" x14ac:dyDescent="0.4">
      <c r="A8" s="69">
        <v>10.199999999999999</v>
      </c>
      <c r="B8" s="68" t="s">
        <v>129</v>
      </c>
      <c r="C8" s="68" t="s">
        <v>128</v>
      </c>
      <c r="D8" s="12"/>
      <c r="E8" s="11"/>
      <c r="G8" s="67"/>
      <c r="H8" s="66"/>
      <c r="I8" s="65" t="s">
        <v>127</v>
      </c>
      <c r="L8" s="31">
        <v>6</v>
      </c>
      <c r="M8" s="31">
        <v>0</v>
      </c>
      <c r="N8" s="31">
        <f>AVERAGE(M5:M12)</f>
        <v>0</v>
      </c>
      <c r="O8" s="31">
        <f>MAX($A$35)/2</f>
        <v>279.625</v>
      </c>
    </row>
    <row r="9" spans="1:1024" x14ac:dyDescent="0.35">
      <c r="A9" s="62">
        <f>(4/3)*(3.1415936)*((A8*0.000001/2)^3)</f>
        <v>5.5564737684479979E-16</v>
      </c>
      <c r="B9" s="51" t="s">
        <v>126</v>
      </c>
      <c r="C9" s="51" t="s">
        <v>125</v>
      </c>
      <c r="D9"/>
      <c r="E9" s="6"/>
      <c r="G9" s="50"/>
      <c r="H9" s="40" t="s">
        <v>124</v>
      </c>
      <c r="I9" s="39">
        <v>2000</v>
      </c>
      <c r="L9" s="31">
        <v>7</v>
      </c>
      <c r="M9" s="31">
        <v>0</v>
      </c>
      <c r="N9" s="31">
        <f>AVERAGE(M6:M13)</f>
        <v>0</v>
      </c>
      <c r="O9" s="31">
        <f>MAX($A$35)/2</f>
        <v>279.625</v>
      </c>
    </row>
    <row r="10" spans="1:1024" x14ac:dyDescent="0.35">
      <c r="A10" s="62">
        <f>A9*1.05*1000</f>
        <v>5.8342974568703982E-13</v>
      </c>
      <c r="B10" s="51" t="s">
        <v>123</v>
      </c>
      <c r="C10" s="51" t="s">
        <v>122</v>
      </c>
      <c r="D10"/>
      <c r="E10" s="6"/>
      <c r="G10" s="50"/>
      <c r="H10" s="64" t="s">
        <v>121</v>
      </c>
      <c r="I10" s="63">
        <v>0.86799999999999999</v>
      </c>
      <c r="L10" s="31">
        <v>8</v>
      </c>
      <c r="M10" s="31">
        <v>0</v>
      </c>
      <c r="N10" s="31">
        <f>AVERAGE(M7:M14)</f>
        <v>0</v>
      </c>
      <c r="O10" s="31">
        <f>MAX($A$35)/2</f>
        <v>279.625</v>
      </c>
    </row>
    <row r="11" spans="1:1024" x14ac:dyDescent="0.35">
      <c r="A11" s="62">
        <f>0.000001/A10</f>
        <v>1714002.4268430332</v>
      </c>
      <c r="B11" s="51" t="s">
        <v>120</v>
      </c>
      <c r="C11" s="51" t="s">
        <v>119</v>
      </c>
      <c r="D11"/>
      <c r="E11" s="6"/>
      <c r="G11" s="50"/>
      <c r="H11" s="58" t="s">
        <v>118</v>
      </c>
      <c r="I11" s="61">
        <v>20000</v>
      </c>
      <c r="L11" s="31">
        <v>9</v>
      </c>
      <c r="M11" s="31">
        <v>0</v>
      </c>
      <c r="N11" s="31">
        <f>AVERAGE(M8:M15)</f>
        <v>0</v>
      </c>
      <c r="O11" s="31">
        <f>MAX($A$35)/2</f>
        <v>279.625</v>
      </c>
    </row>
    <row r="12" spans="1:1024" ht="13.9" x14ac:dyDescent="0.4">
      <c r="A12" s="54">
        <v>200000</v>
      </c>
      <c r="B12" s="51"/>
      <c r="C12" s="51" t="s">
        <v>117</v>
      </c>
      <c r="D12"/>
      <c r="E12" s="6"/>
      <c r="G12" s="50"/>
      <c r="H12" s="43" t="s">
        <v>93</v>
      </c>
      <c r="I12" s="59">
        <f>I9/I11</f>
        <v>0.1</v>
      </c>
      <c r="L12" s="31">
        <v>10</v>
      </c>
      <c r="M12" s="31">
        <v>0</v>
      </c>
      <c r="N12" s="31">
        <f>AVERAGE(M9:M16)</f>
        <v>0</v>
      </c>
      <c r="O12" s="31">
        <f>MAX($A$35)/2</f>
        <v>279.625</v>
      </c>
      <c r="R12" s="60"/>
      <c r="S12" s="60"/>
      <c r="T12" s="60"/>
      <c r="U12" s="60"/>
      <c r="V12" s="60"/>
      <c r="W12" s="60"/>
    </row>
    <row r="13" spans="1:1024" ht="13.5" customHeight="1" x14ac:dyDescent="0.35">
      <c r="A13" s="56">
        <f>A12/A11*1000</f>
        <v>116.68594913740797</v>
      </c>
      <c r="B13" s="51" t="s">
        <v>116</v>
      </c>
      <c r="C13" s="51" t="s">
        <v>115</v>
      </c>
      <c r="D13"/>
      <c r="E13" s="6"/>
      <c r="G13" s="50"/>
      <c r="H13" s="43" t="s">
        <v>114</v>
      </c>
      <c r="I13" s="59">
        <f>(1-I12)/I12</f>
        <v>9</v>
      </c>
      <c r="L13" s="31">
        <v>11</v>
      </c>
      <c r="M13" s="31">
        <v>0</v>
      </c>
      <c r="N13" s="31">
        <f>AVERAGE(M10:M17)</f>
        <v>0</v>
      </c>
      <c r="O13" s="31">
        <f>MAX($A$35)/2</f>
        <v>279.625</v>
      </c>
    </row>
    <row r="14" spans="1:1024" ht="13.9" customHeight="1" x14ac:dyDescent="0.4">
      <c r="A14" s="54">
        <v>0.25</v>
      </c>
      <c r="B14" s="51" t="s">
        <v>113</v>
      </c>
      <c r="C14" s="51" t="s">
        <v>112</v>
      </c>
      <c r="D14"/>
      <c r="E14" s="6"/>
      <c r="G14" s="50"/>
      <c r="H14" s="58" t="s">
        <v>111</v>
      </c>
      <c r="I14" s="57" t="s">
        <v>110</v>
      </c>
      <c r="L14" s="31">
        <v>12</v>
      </c>
      <c r="M14" s="31">
        <v>0</v>
      </c>
      <c r="N14" s="31">
        <f>AVERAGE(M11:M18)</f>
        <v>0</v>
      </c>
      <c r="O14" s="31">
        <f>MAX($A$35)/2</f>
        <v>279.625</v>
      </c>
    </row>
    <row r="15" spans="1:1024" ht="13.5" customHeight="1" x14ac:dyDescent="0.35">
      <c r="A15" s="56">
        <f>A14*A13</f>
        <v>29.171487284351993</v>
      </c>
      <c r="B15" s="51" t="s">
        <v>107</v>
      </c>
      <c r="C15" s="51" t="s">
        <v>109</v>
      </c>
      <c r="D15"/>
      <c r="E15" s="6"/>
      <c r="G15" s="50"/>
      <c r="H15" s="43" t="s">
        <v>108</v>
      </c>
      <c r="I15" s="55">
        <v>100</v>
      </c>
      <c r="L15" s="31">
        <v>13</v>
      </c>
      <c r="M15" s="31">
        <v>0</v>
      </c>
      <c r="N15" s="31">
        <f>AVERAGE(M12:M19)</f>
        <v>0</v>
      </c>
      <c r="O15" s="31">
        <f>MAX($A$35)/2</f>
        <v>279.625</v>
      </c>
    </row>
    <row r="16" spans="1:1024" ht="13.9" customHeight="1" x14ac:dyDescent="0.4">
      <c r="A16" s="54">
        <v>29.64</v>
      </c>
      <c r="B16" s="51" t="s">
        <v>107</v>
      </c>
      <c r="C16" s="51" t="s">
        <v>106</v>
      </c>
      <c r="D16"/>
      <c r="E16" s="6"/>
      <c r="G16" s="50"/>
      <c r="H16" s="43" t="s">
        <v>105</v>
      </c>
      <c r="I16" s="53">
        <f>I15*I10</f>
        <v>86.8</v>
      </c>
      <c r="L16" s="31">
        <v>14</v>
      </c>
      <c r="M16" s="31">
        <v>0</v>
      </c>
      <c r="N16" s="31">
        <f>AVERAGE(M13:M20)</f>
        <v>0</v>
      </c>
      <c r="O16" s="31">
        <f>MAX($A$35)/2</f>
        <v>279.625</v>
      </c>
    </row>
    <row r="17" spans="1:15" ht="13.9" customHeight="1" x14ac:dyDescent="0.4">
      <c r="A17" s="52">
        <f>A16/A15*A12</f>
        <v>203212.12772651002</v>
      </c>
      <c r="B17" s="51" t="s">
        <v>104</v>
      </c>
      <c r="C17" s="51" t="s">
        <v>103</v>
      </c>
      <c r="D17"/>
      <c r="E17" s="6"/>
      <c r="G17" s="50"/>
      <c r="H17" s="40" t="s">
        <v>102</v>
      </c>
      <c r="I17" s="49">
        <f>I9/I11*I16</f>
        <v>8.68</v>
      </c>
      <c r="L17" s="31">
        <v>15</v>
      </c>
      <c r="M17" s="31">
        <v>0</v>
      </c>
      <c r="N17" s="31">
        <f>AVERAGE(M14:M21)</f>
        <v>0</v>
      </c>
      <c r="O17" s="31">
        <f>MAX($A$35)/2</f>
        <v>279.625</v>
      </c>
    </row>
    <row r="18" spans="1:15" ht="13.5" customHeight="1" x14ac:dyDescent="0.35">
      <c r="A18" s="36">
        <f>A16*A11</f>
        <v>50803031.931627505</v>
      </c>
      <c r="B18"/>
      <c r="C18" t="s">
        <v>101</v>
      </c>
      <c r="D18"/>
      <c r="E18" s="6"/>
      <c r="G18" s="41"/>
      <c r="H18" s="40" t="s">
        <v>100</v>
      </c>
      <c r="I18" s="48">
        <v>8.68</v>
      </c>
      <c r="L18" s="31">
        <v>16</v>
      </c>
      <c r="M18" s="31">
        <v>0</v>
      </c>
      <c r="N18" s="31">
        <f>AVERAGE(M15:M22)</f>
        <v>0</v>
      </c>
      <c r="O18" s="31">
        <f>MAX($A$35)/2</f>
        <v>279.625</v>
      </c>
    </row>
    <row r="19" spans="1:15" ht="13.9" customHeight="1" x14ac:dyDescent="0.4">
      <c r="A19" s="36">
        <f>A17/A12*A14*1000</f>
        <v>254.01515965813755</v>
      </c>
      <c r="B19" t="s">
        <v>67</v>
      </c>
      <c r="C19" t="s">
        <v>99</v>
      </c>
      <c r="D19"/>
      <c r="E19" s="6"/>
      <c r="G19" s="47"/>
      <c r="H19" s="46" t="s">
        <v>98</v>
      </c>
      <c r="I19" s="45">
        <f>I18*I13</f>
        <v>78.12</v>
      </c>
      <c r="L19" s="31">
        <v>17</v>
      </c>
      <c r="M19" s="31">
        <v>0</v>
      </c>
      <c r="N19" s="31">
        <f>AVERAGE(M16:M23)</f>
        <v>0</v>
      </c>
      <c r="O19" s="31">
        <f>MAX($A$35)/2</f>
        <v>279.625</v>
      </c>
    </row>
    <row r="20" spans="1:15" ht="13.5" customHeight="1" x14ac:dyDescent="0.35">
      <c r="A20" s="36">
        <f>A19-A14*1000</f>
        <v>4.0151596581375486</v>
      </c>
      <c r="B20" t="s">
        <v>67</v>
      </c>
      <c r="C20" t="s">
        <v>97</v>
      </c>
      <c r="D20"/>
      <c r="E20" s="6"/>
      <c r="G20" s="41"/>
      <c r="L20" s="31">
        <v>18</v>
      </c>
      <c r="M20" s="31">
        <v>0</v>
      </c>
      <c r="N20" s="31">
        <f>AVERAGE(M17:M24)</f>
        <v>0</v>
      </c>
      <c r="O20" s="31">
        <f>MAX($A$35)/2</f>
        <v>279.625</v>
      </c>
    </row>
    <row r="21" spans="1:15" ht="13.9" customHeight="1" x14ac:dyDescent="0.4">
      <c r="A21" s="44">
        <f>A12</f>
        <v>200000</v>
      </c>
      <c r="B21" t="s">
        <v>90</v>
      </c>
      <c r="C21" t="s">
        <v>96</v>
      </c>
      <c r="D21"/>
      <c r="E21" s="6"/>
      <c r="G21" s="41"/>
      <c r="H21" s="43" t="s">
        <v>95</v>
      </c>
      <c r="I21" s="42">
        <f>(I18+I19)/I10</f>
        <v>100.00000000000001</v>
      </c>
      <c r="L21" s="31">
        <v>19</v>
      </c>
      <c r="M21" s="31">
        <v>0</v>
      </c>
      <c r="N21" s="31">
        <f>AVERAGE(M18:M25)</f>
        <v>0</v>
      </c>
      <c r="O21" s="31">
        <f>MAX($A$35)/2</f>
        <v>279.625</v>
      </c>
    </row>
    <row r="22" spans="1:15" ht="13.5" customHeight="1" x14ac:dyDescent="0.35">
      <c r="A22" s="7"/>
      <c r="B22"/>
      <c r="C22"/>
      <c r="D22"/>
      <c r="E22" s="6"/>
      <c r="G22" s="41"/>
      <c r="H22" s="40" t="s">
        <v>94</v>
      </c>
      <c r="I22" s="39">
        <v>78.12</v>
      </c>
      <c r="L22" s="31">
        <v>20</v>
      </c>
      <c r="M22" s="31">
        <v>0</v>
      </c>
      <c r="N22" s="31">
        <f>AVERAGE(M19:M26)</f>
        <v>0</v>
      </c>
      <c r="O22" s="31">
        <f>MAX($A$35)/2</f>
        <v>279.625</v>
      </c>
    </row>
    <row r="23" spans="1:15" ht="13.5" customHeight="1" x14ac:dyDescent="0.35">
      <c r="A23" s="7" t="s">
        <v>93</v>
      </c>
      <c r="B23"/>
      <c r="C23"/>
      <c r="D23"/>
      <c r="E23" s="6"/>
      <c r="H23" s="38" t="s">
        <v>92</v>
      </c>
      <c r="I23" s="37">
        <f>I11*I18/(I18+I22)</f>
        <v>1999.9999999999998</v>
      </c>
      <c r="L23" s="31">
        <v>21</v>
      </c>
      <c r="M23" s="31">
        <v>0</v>
      </c>
      <c r="N23" s="31">
        <f>AVERAGE(M20:M27)</f>
        <v>0</v>
      </c>
      <c r="O23" s="31">
        <f>MAX($A$35)/2</f>
        <v>279.625</v>
      </c>
    </row>
    <row r="24" spans="1:15" ht="13.5" customHeight="1" x14ac:dyDescent="0.35">
      <c r="A24" s="7">
        <v>100</v>
      </c>
      <c r="B24" t="s">
        <v>67</v>
      </c>
      <c r="C24" t="s">
        <v>91</v>
      </c>
      <c r="D24"/>
      <c r="E24" s="6"/>
      <c r="L24" s="31">
        <v>22</v>
      </c>
      <c r="M24" s="31">
        <v>0</v>
      </c>
      <c r="N24" s="31">
        <f>AVERAGE(M21:M28)</f>
        <v>0</v>
      </c>
      <c r="O24" s="31">
        <f>MAX($A$35)/2</f>
        <v>279.625</v>
      </c>
    </row>
    <row r="25" spans="1:15" ht="13.5" customHeight="1" x14ac:dyDescent="0.35">
      <c r="A25" s="7">
        <v>2000</v>
      </c>
      <c r="B25" t="s">
        <v>90</v>
      </c>
      <c r="C25" t="s">
        <v>89</v>
      </c>
      <c r="D25"/>
      <c r="E25" s="6"/>
      <c r="L25" s="31">
        <v>23</v>
      </c>
      <c r="M25" s="31">
        <v>0</v>
      </c>
      <c r="N25" s="31">
        <f>AVERAGE(M22:M29)</f>
        <v>0</v>
      </c>
      <c r="O25" s="31">
        <f>MAX($A$35)/2</f>
        <v>279.625</v>
      </c>
    </row>
    <row r="26" spans="1:15" x14ac:dyDescent="0.35">
      <c r="A26" s="7">
        <f>A24*A25</f>
        <v>200000</v>
      </c>
      <c r="B26" t="s">
        <v>88</v>
      </c>
      <c r="C26" t="s">
        <v>87</v>
      </c>
      <c r="D26"/>
      <c r="E26" s="6"/>
      <c r="L26" s="31">
        <v>24</v>
      </c>
      <c r="M26" s="31">
        <v>0</v>
      </c>
      <c r="N26" s="31">
        <f>AVERAGE(M23:M30)</f>
        <v>0</v>
      </c>
      <c r="O26" s="31">
        <f>MAX($A$35)/2</f>
        <v>279.625</v>
      </c>
    </row>
    <row r="27" spans="1:15" x14ac:dyDescent="0.35">
      <c r="A27" s="36">
        <f>A26/A21</f>
        <v>1</v>
      </c>
      <c r="B27" t="s">
        <v>67</v>
      </c>
      <c r="C27" t="s">
        <v>86</v>
      </c>
      <c r="D27"/>
      <c r="E27" s="6"/>
      <c r="L27" s="31">
        <v>25</v>
      </c>
      <c r="M27" s="31">
        <v>0</v>
      </c>
      <c r="N27" s="31">
        <f>AVERAGE(M24:M31)</f>
        <v>0</v>
      </c>
      <c r="O27" s="31">
        <f>MAX($A$35)/2</f>
        <v>279.625</v>
      </c>
    </row>
    <row r="28" spans="1:15" x14ac:dyDescent="0.35">
      <c r="A28" s="36">
        <f>A24-A27</f>
        <v>99</v>
      </c>
      <c r="B28" t="s">
        <v>67</v>
      </c>
      <c r="C28" t="s">
        <v>85</v>
      </c>
      <c r="D28"/>
      <c r="E28" s="6"/>
      <c r="L28" s="31">
        <v>26</v>
      </c>
      <c r="M28" s="31">
        <v>0</v>
      </c>
      <c r="N28" s="31">
        <f>AVERAGE(M25:M32)</f>
        <v>0</v>
      </c>
      <c r="O28" s="31">
        <f>MAX($A$35)/2</f>
        <v>279.625</v>
      </c>
    </row>
    <row r="29" spans="1:15" x14ac:dyDescent="0.35">
      <c r="A29" s="7"/>
      <c r="B29"/>
      <c r="C29"/>
      <c r="D29"/>
      <c r="E29" s="6"/>
      <c r="L29" s="31">
        <v>27</v>
      </c>
      <c r="M29" s="31">
        <v>0</v>
      </c>
      <c r="N29" s="31">
        <f>AVERAGE(M26:M33)</f>
        <v>0</v>
      </c>
      <c r="O29" s="31">
        <f>MAX($A$35)/2</f>
        <v>279.625</v>
      </c>
    </row>
    <row r="30" spans="1:15" x14ac:dyDescent="0.35">
      <c r="A30" s="5"/>
      <c r="B30" s="4"/>
      <c r="C30" s="4"/>
      <c r="D30" s="4"/>
      <c r="E30" s="3"/>
      <c r="L30" s="31">
        <v>28</v>
      </c>
      <c r="M30" s="31">
        <v>0</v>
      </c>
      <c r="N30" s="31">
        <f>AVERAGE(M27:M34)</f>
        <v>0</v>
      </c>
      <c r="O30" s="31">
        <f>MAX($A$35)/2</f>
        <v>279.625</v>
      </c>
    </row>
    <row r="31" spans="1:15" x14ac:dyDescent="0.35">
      <c r="L31" s="31">
        <v>29</v>
      </c>
      <c r="M31" s="31">
        <v>0</v>
      </c>
      <c r="N31" s="31">
        <f>AVERAGE(M28:M35)</f>
        <v>0</v>
      </c>
      <c r="O31" s="31">
        <f>MAX($A$35)/2</f>
        <v>279.625</v>
      </c>
    </row>
    <row r="32" spans="1:15" x14ac:dyDescent="0.35">
      <c r="L32" s="31">
        <v>30</v>
      </c>
      <c r="M32" s="31">
        <v>0</v>
      </c>
      <c r="N32" s="31">
        <f>AVERAGE(M29:M36)</f>
        <v>0</v>
      </c>
      <c r="O32" s="31">
        <f>MAX($A$35)/2</f>
        <v>279.625</v>
      </c>
    </row>
    <row r="33" spans="1:15" x14ac:dyDescent="0.35">
      <c r="L33" s="31">
        <v>31</v>
      </c>
      <c r="M33" s="31">
        <v>0</v>
      </c>
      <c r="N33" s="31">
        <f>AVERAGE(M30:M37)</f>
        <v>0</v>
      </c>
      <c r="O33" s="31">
        <f>MAX($A$35)/2</f>
        <v>279.625</v>
      </c>
    </row>
    <row r="34" spans="1:15" x14ac:dyDescent="0.35">
      <c r="L34" s="31">
        <v>32</v>
      </c>
      <c r="M34" s="31">
        <v>0</v>
      </c>
      <c r="N34" s="31">
        <f>AVERAGE(M31:M38)</f>
        <v>0</v>
      </c>
      <c r="O34" s="31">
        <f>MAX($A$35)/2</f>
        <v>279.625</v>
      </c>
    </row>
    <row r="35" spans="1:15" x14ac:dyDescent="0.35">
      <c r="A35" s="35">
        <f>MAX($N$2:$N$1000)</f>
        <v>559.25</v>
      </c>
      <c r="B35" s="31" t="s">
        <v>84</v>
      </c>
      <c r="L35" s="31">
        <v>33</v>
      </c>
      <c r="M35" s="31">
        <v>0</v>
      </c>
      <c r="N35" s="31">
        <f>AVERAGE(M32:M39)</f>
        <v>0</v>
      </c>
      <c r="O35" s="31">
        <f>MAX($A$35)/2</f>
        <v>279.625</v>
      </c>
    </row>
    <row r="36" spans="1:15" x14ac:dyDescent="0.35">
      <c r="A36" s="35">
        <f>MATCH(A35, N2:N1000, 0)</f>
        <v>503</v>
      </c>
      <c r="B36" s="31" t="s">
        <v>83</v>
      </c>
      <c r="L36" s="31">
        <v>34</v>
      </c>
      <c r="M36" s="31">
        <v>0</v>
      </c>
      <c r="N36" s="31">
        <f>AVERAGE(M33:M40)</f>
        <v>0</v>
      </c>
      <c r="O36" s="31">
        <f>MAX($A$35)/2</f>
        <v>279.625</v>
      </c>
    </row>
    <row r="37" spans="1:15" x14ac:dyDescent="0.35">
      <c r="A37" s="35">
        <f>A35/2</f>
        <v>279.625</v>
      </c>
      <c r="B37" s="31" t="s">
        <v>82</v>
      </c>
      <c r="L37" s="31">
        <v>35</v>
      </c>
      <c r="M37" s="31">
        <v>0</v>
      </c>
      <c r="N37" s="31">
        <f>AVERAGE(M34:M41)</f>
        <v>0</v>
      </c>
      <c r="O37" s="31">
        <f>MAX($A$35)/2</f>
        <v>279.625</v>
      </c>
    </row>
    <row r="38" spans="1:15" x14ac:dyDescent="0.35">
      <c r="A38" s="35">
        <f t="array" ref="A38">MATCH(TRUE, IF(N2:N1000 &gt; A37, TRUE), 0)</f>
        <v>440</v>
      </c>
      <c r="B38" s="31" t="s">
        <v>81</v>
      </c>
      <c r="L38" s="31">
        <v>36</v>
      </c>
      <c r="M38" s="31">
        <v>0</v>
      </c>
      <c r="N38" s="31">
        <f>AVERAGE(M35:M42)</f>
        <v>0</v>
      </c>
      <c r="O38" s="31">
        <f>MAX($A$35)/2</f>
        <v>279.625</v>
      </c>
    </row>
    <row r="39" spans="1:15" x14ac:dyDescent="0.35">
      <c r="A39" s="35">
        <f>INDEX(L2:L1000,A38)</f>
        <v>439</v>
      </c>
      <c r="B39" s="31" t="s">
        <v>80</v>
      </c>
      <c r="L39" s="31">
        <v>37</v>
      </c>
      <c r="M39" s="31">
        <v>0</v>
      </c>
      <c r="N39" s="31">
        <f>AVERAGE(M36:M43)</f>
        <v>0</v>
      </c>
      <c r="O39" s="31">
        <f>MAX($A$35)/2</f>
        <v>279.625</v>
      </c>
    </row>
    <row r="40" spans="1:15" x14ac:dyDescent="0.35">
      <c r="A40" s="35">
        <f>A36-A39</f>
        <v>64</v>
      </c>
      <c r="B40" s="31" t="s">
        <v>79</v>
      </c>
      <c r="L40" s="31">
        <v>38</v>
      </c>
      <c r="M40" s="31">
        <v>0</v>
      </c>
      <c r="N40" s="31">
        <f>AVERAGE(M37:M44)</f>
        <v>0</v>
      </c>
      <c r="O40" s="31">
        <f>MAX($A$35)/2</f>
        <v>279.625</v>
      </c>
    </row>
    <row r="41" spans="1:15" x14ac:dyDescent="0.35">
      <c r="A41" s="35">
        <f>A40*2</f>
        <v>128</v>
      </c>
      <c r="B41" s="31" t="s">
        <v>78</v>
      </c>
      <c r="L41" s="31">
        <v>39</v>
      </c>
      <c r="M41" s="31">
        <v>0</v>
      </c>
      <c r="N41" s="31">
        <f>AVERAGE(M38:M45)</f>
        <v>0</v>
      </c>
      <c r="O41" s="31">
        <f>MAX($A$35)/2</f>
        <v>279.625</v>
      </c>
    </row>
    <row r="42" spans="1:15" x14ac:dyDescent="0.35">
      <c r="A42" s="35">
        <f>A41 / (2 * SQRT(2 * LN(2)))</f>
        <v>54.35659521843322</v>
      </c>
      <c r="B42" s="31" t="s">
        <v>77</v>
      </c>
      <c r="L42" s="31">
        <v>40</v>
      </c>
      <c r="M42" s="31">
        <v>0</v>
      </c>
      <c r="N42" s="31">
        <f>AVERAGE(M39:M46)</f>
        <v>0</v>
      </c>
      <c r="O42" s="31">
        <f>MAX($A$35)/2</f>
        <v>279.625</v>
      </c>
    </row>
    <row r="43" spans="1:15" ht="15" x14ac:dyDescent="0.5">
      <c r="A43" s="32">
        <f>A42/A36</f>
        <v>0.10806480162710382</v>
      </c>
      <c r="B43" s="33" t="s">
        <v>76</v>
      </c>
      <c r="L43" s="31">
        <v>41</v>
      </c>
      <c r="M43" s="31">
        <v>0</v>
      </c>
      <c r="N43" s="31">
        <f>AVERAGE(M40:M47)</f>
        <v>0</v>
      </c>
      <c r="O43" s="31">
        <f>MAX($A$35)/2</f>
        <v>279.625</v>
      </c>
    </row>
    <row r="44" spans="1:15" x14ac:dyDescent="0.35">
      <c r="A44" s="34"/>
      <c r="L44" s="31">
        <v>42</v>
      </c>
      <c r="M44" s="31">
        <v>0</v>
      </c>
      <c r="N44" s="31">
        <f>AVERAGE(M41:M48)</f>
        <v>0</v>
      </c>
      <c r="O44" s="31">
        <f>MAX($A$35)/2</f>
        <v>279.625</v>
      </c>
    </row>
    <row r="45" spans="1:15" ht="15" x14ac:dyDescent="0.5">
      <c r="A45" s="32">
        <f>A43/2</f>
        <v>5.4032400813551908E-2</v>
      </c>
      <c r="B45" s="33" t="s">
        <v>75</v>
      </c>
      <c r="L45" s="31">
        <v>43</v>
      </c>
      <c r="M45" s="31">
        <v>0</v>
      </c>
      <c r="N45" s="31">
        <f>AVERAGE(M42:M49)</f>
        <v>0</v>
      </c>
      <c r="O45" s="31">
        <f>MAX($A$35)/2</f>
        <v>279.625</v>
      </c>
    </row>
    <row r="46" spans="1:15" x14ac:dyDescent="0.35">
      <c r="L46" s="31">
        <v>44</v>
      </c>
      <c r="M46" s="31">
        <v>0</v>
      </c>
      <c r="N46" s="31">
        <f>AVERAGE(M43:M50)</f>
        <v>0</v>
      </c>
      <c r="O46" s="31">
        <f>MAX($A$35)/2</f>
        <v>279.625</v>
      </c>
    </row>
    <row r="47" spans="1:15" x14ac:dyDescent="0.35">
      <c r="L47" s="31">
        <v>45</v>
      </c>
      <c r="M47" s="31">
        <v>0</v>
      </c>
      <c r="N47" s="31">
        <f>AVERAGE(M44:M51)</f>
        <v>0</v>
      </c>
      <c r="O47" s="31">
        <f>MAX($A$35)/2</f>
        <v>279.625</v>
      </c>
    </row>
    <row r="48" spans="1:15" x14ac:dyDescent="0.35">
      <c r="L48" s="31">
        <v>46</v>
      </c>
      <c r="M48" s="31">
        <v>0</v>
      </c>
      <c r="N48" s="31">
        <f>AVERAGE(M45:M52)</f>
        <v>0</v>
      </c>
      <c r="O48" s="31">
        <f>MAX($A$35)/2</f>
        <v>279.625</v>
      </c>
    </row>
    <row r="49" spans="1:15" x14ac:dyDescent="0.35">
      <c r="L49" s="31">
        <v>47</v>
      </c>
      <c r="M49" s="31">
        <v>0</v>
      </c>
      <c r="N49" s="31">
        <f>AVERAGE(M46:M53)</f>
        <v>0</v>
      </c>
      <c r="O49" s="31">
        <f>MAX($A$35)/2</f>
        <v>279.625</v>
      </c>
    </row>
    <row r="50" spans="1:15" x14ac:dyDescent="0.35">
      <c r="L50" s="31">
        <v>48</v>
      </c>
      <c r="M50" s="31">
        <v>0</v>
      </c>
      <c r="N50" s="31">
        <f>AVERAGE(M47:M54)</f>
        <v>0</v>
      </c>
      <c r="O50" s="31">
        <f>MAX($A$35)/2</f>
        <v>279.625</v>
      </c>
    </row>
    <row r="51" spans="1:15" x14ac:dyDescent="0.35">
      <c r="L51" s="31">
        <v>49</v>
      </c>
      <c r="M51" s="31">
        <v>0</v>
      </c>
      <c r="N51" s="31">
        <f>AVERAGE(M48:M55)</f>
        <v>0</v>
      </c>
      <c r="O51" s="31">
        <f>MAX($A$35)/2</f>
        <v>279.625</v>
      </c>
    </row>
    <row r="52" spans="1:15" x14ac:dyDescent="0.35">
      <c r="L52" s="31">
        <v>50</v>
      </c>
      <c r="M52" s="31">
        <v>0</v>
      </c>
      <c r="N52" s="31">
        <f>AVERAGE(M49:M56)</f>
        <v>0</v>
      </c>
      <c r="O52" s="31">
        <f>MAX($A$35)/2</f>
        <v>279.625</v>
      </c>
    </row>
    <row r="53" spans="1:15" x14ac:dyDescent="0.35">
      <c r="L53" s="31">
        <v>51</v>
      </c>
      <c r="M53" s="31">
        <v>0</v>
      </c>
      <c r="N53" s="31">
        <f>AVERAGE(M50:M57)</f>
        <v>0</v>
      </c>
      <c r="O53" s="31">
        <f>MAX($A$35)/2</f>
        <v>279.625</v>
      </c>
    </row>
    <row r="54" spans="1:15" x14ac:dyDescent="0.35">
      <c r="L54" s="31">
        <v>52</v>
      </c>
      <c r="M54" s="31">
        <v>0</v>
      </c>
      <c r="N54" s="31">
        <f>AVERAGE(M51:M58)</f>
        <v>0</v>
      </c>
      <c r="O54" s="31">
        <f>MAX($A$35)/2</f>
        <v>279.625</v>
      </c>
    </row>
    <row r="55" spans="1:15" x14ac:dyDescent="0.35">
      <c r="A55" s="31" t="s">
        <v>74</v>
      </c>
      <c r="D55" s="31">
        <v>16</v>
      </c>
      <c r="L55" s="31">
        <v>53</v>
      </c>
      <c r="M55" s="31">
        <v>0</v>
      </c>
      <c r="N55" s="31">
        <f>AVERAGE(M52:M59)</f>
        <v>0</v>
      </c>
      <c r="O55" s="31">
        <f>MAX($A$35)/2</f>
        <v>279.625</v>
      </c>
    </row>
    <row r="56" spans="1:15" x14ac:dyDescent="0.35">
      <c r="A56" s="31" t="s">
        <v>73</v>
      </c>
      <c r="D56" s="31">
        <v>20</v>
      </c>
      <c r="E56" s="31" t="s">
        <v>72</v>
      </c>
      <c r="L56" s="31">
        <v>54</v>
      </c>
      <c r="M56" s="31">
        <v>0</v>
      </c>
      <c r="N56" s="31">
        <f>AVERAGE(M53:M60)</f>
        <v>0</v>
      </c>
      <c r="O56" s="31">
        <f>MAX($A$35)/2</f>
        <v>279.625</v>
      </c>
    </row>
    <row r="57" spans="1:15" x14ac:dyDescent="0.35">
      <c r="A57" s="31" t="s">
        <v>71</v>
      </c>
      <c r="D57" s="31">
        <v>10</v>
      </c>
      <c r="E57" s="31" t="s">
        <v>70</v>
      </c>
      <c r="L57" s="31">
        <v>55</v>
      </c>
      <c r="M57" s="31">
        <v>0</v>
      </c>
      <c r="N57" s="31">
        <f>AVERAGE(M54:M61)</f>
        <v>0</v>
      </c>
      <c r="O57" s="31">
        <f>MAX($A$35)/2</f>
        <v>279.625</v>
      </c>
    </row>
    <row r="58" spans="1:15" x14ac:dyDescent="0.35">
      <c r="L58" s="31">
        <v>56</v>
      </c>
      <c r="M58" s="31">
        <v>0</v>
      </c>
      <c r="N58" s="31">
        <f>AVERAGE(M55:M62)</f>
        <v>0</v>
      </c>
      <c r="O58" s="31">
        <f>MAX($A$35)/2</f>
        <v>279.625</v>
      </c>
    </row>
    <row r="59" spans="1:15" x14ac:dyDescent="0.35">
      <c r="A59" s="31" t="s">
        <v>69</v>
      </c>
      <c r="B59" s="31">
        <v>48.807000000000002</v>
      </c>
      <c r="C59" s="31" t="s">
        <v>67</v>
      </c>
      <c r="L59" s="31">
        <v>57</v>
      </c>
      <c r="M59" s="31">
        <v>0</v>
      </c>
      <c r="N59" s="31">
        <f>AVERAGE(M56:M63)</f>
        <v>0</v>
      </c>
      <c r="O59" s="31">
        <f>MAX($A$35)/2</f>
        <v>279.625</v>
      </c>
    </row>
    <row r="60" spans="1:15" x14ac:dyDescent="0.35">
      <c r="A60" s="31" t="s">
        <v>68</v>
      </c>
      <c r="B60" s="31">
        <v>50</v>
      </c>
      <c r="C60" s="31" t="s">
        <v>67</v>
      </c>
      <c r="L60" s="31">
        <v>58</v>
      </c>
      <c r="M60" s="31">
        <v>0</v>
      </c>
      <c r="N60" s="31">
        <f>AVERAGE(M57:M64)</f>
        <v>0</v>
      </c>
      <c r="O60" s="31">
        <f>MAX($A$35)/2</f>
        <v>279.625</v>
      </c>
    </row>
    <row r="61" spans="1:15" x14ac:dyDescent="0.35">
      <c r="A61" s="31" t="s">
        <v>64</v>
      </c>
      <c r="B61" s="32">
        <f>B59/B60</f>
        <v>0.97614000000000001</v>
      </c>
      <c r="L61" s="31">
        <v>59</v>
      </c>
      <c r="M61" s="31">
        <v>0</v>
      </c>
      <c r="N61" s="31">
        <f>AVERAGE(M58:M65)</f>
        <v>0</v>
      </c>
      <c r="O61" s="31">
        <f>MAX($A$35)/2</f>
        <v>279.625</v>
      </c>
    </row>
    <row r="62" spans="1:15" x14ac:dyDescent="0.35">
      <c r="A62" s="31" t="s">
        <v>66</v>
      </c>
      <c r="B62" s="31">
        <f>SUM(M2:M1000)</f>
        <v>78691</v>
      </c>
      <c r="L62" s="31">
        <v>60</v>
      </c>
      <c r="M62" s="31">
        <v>0</v>
      </c>
      <c r="N62" s="31">
        <f>AVERAGE(M59:M66)</f>
        <v>0</v>
      </c>
      <c r="O62" s="31">
        <f>MAX($A$35)/2</f>
        <v>279.625</v>
      </c>
    </row>
    <row r="63" spans="1:15" x14ac:dyDescent="0.35">
      <c r="A63" s="31" t="s">
        <v>65</v>
      </c>
      <c r="B63" s="31">
        <f>B59*I23</f>
        <v>97614</v>
      </c>
      <c r="L63" s="31">
        <v>61</v>
      </c>
      <c r="M63" s="31">
        <v>0</v>
      </c>
      <c r="N63" s="31">
        <f>AVERAGE(M60:M67)</f>
        <v>0</v>
      </c>
      <c r="O63" s="31">
        <f>MAX($A$35)/2</f>
        <v>279.625</v>
      </c>
    </row>
    <row r="64" spans="1:15" x14ac:dyDescent="0.35">
      <c r="L64" s="31">
        <v>62</v>
      </c>
      <c r="M64" s="31">
        <v>0</v>
      </c>
      <c r="N64" s="31">
        <f>AVERAGE(M61:M68)</f>
        <v>0</v>
      </c>
      <c r="O64" s="31">
        <f>MAX($A$35)/2</f>
        <v>279.625</v>
      </c>
    </row>
    <row r="65" spans="1:15" x14ac:dyDescent="0.35">
      <c r="A65" s="31" t="s">
        <v>64</v>
      </c>
      <c r="B65" s="31">
        <f>B62/B63</f>
        <v>0.80614461040424534</v>
      </c>
      <c r="L65" s="31">
        <v>63</v>
      </c>
      <c r="M65" s="31">
        <v>0</v>
      </c>
      <c r="N65" s="31">
        <f>AVERAGE(M62:M69)</f>
        <v>0</v>
      </c>
      <c r="O65" s="31">
        <f>MAX($A$35)/2</f>
        <v>279.625</v>
      </c>
    </row>
    <row r="66" spans="1:15" x14ac:dyDescent="0.35">
      <c r="L66" s="31">
        <v>64</v>
      </c>
      <c r="M66" s="31">
        <v>0</v>
      </c>
      <c r="N66" s="31">
        <f>AVERAGE(M63:M70)</f>
        <v>0</v>
      </c>
      <c r="O66" s="31">
        <f>MAX($A$35)/2</f>
        <v>279.625</v>
      </c>
    </row>
    <row r="67" spans="1:15" x14ac:dyDescent="0.35">
      <c r="L67" s="31">
        <v>65</v>
      </c>
      <c r="M67" s="31">
        <v>0</v>
      </c>
      <c r="N67" s="31">
        <f>AVERAGE(M64:M71)</f>
        <v>0</v>
      </c>
      <c r="O67" s="31">
        <f>MAX($A$35)/2</f>
        <v>279.625</v>
      </c>
    </row>
    <row r="68" spans="1:15" x14ac:dyDescent="0.35">
      <c r="L68" s="31">
        <v>66</v>
      </c>
      <c r="M68" s="31">
        <v>0</v>
      </c>
      <c r="N68" s="31">
        <f>AVERAGE(M65:M72)</f>
        <v>0</v>
      </c>
      <c r="O68" s="31">
        <f>MAX($A$35)/2</f>
        <v>279.625</v>
      </c>
    </row>
    <row r="69" spans="1:15" x14ac:dyDescent="0.35">
      <c r="L69" s="31">
        <v>67</v>
      </c>
      <c r="M69" s="31">
        <v>0</v>
      </c>
      <c r="N69" s="31">
        <f>AVERAGE(M66:M73)</f>
        <v>0</v>
      </c>
      <c r="O69" s="31">
        <f>MAX($A$35)/2</f>
        <v>279.625</v>
      </c>
    </row>
    <row r="70" spans="1:15" x14ac:dyDescent="0.35">
      <c r="L70" s="31">
        <v>68</v>
      </c>
      <c r="M70" s="31">
        <v>0</v>
      </c>
      <c r="N70" s="31">
        <f>AVERAGE(M67:M74)</f>
        <v>0</v>
      </c>
      <c r="O70" s="31">
        <f>MAX($A$35)/2</f>
        <v>279.625</v>
      </c>
    </row>
    <row r="71" spans="1:15" x14ac:dyDescent="0.35">
      <c r="L71" s="31">
        <v>69</v>
      </c>
      <c r="M71" s="31">
        <v>0</v>
      </c>
      <c r="N71" s="31">
        <f>AVERAGE(M68:M75)</f>
        <v>0</v>
      </c>
      <c r="O71" s="31">
        <f>MAX($A$35)/2</f>
        <v>279.625</v>
      </c>
    </row>
    <row r="72" spans="1:15" x14ac:dyDescent="0.35">
      <c r="L72" s="31">
        <v>70</v>
      </c>
      <c r="M72" s="31">
        <v>0</v>
      </c>
      <c r="N72" s="31">
        <f>AVERAGE(M69:M76)</f>
        <v>0</v>
      </c>
      <c r="O72" s="31">
        <f>MAX($A$35)/2</f>
        <v>279.625</v>
      </c>
    </row>
    <row r="73" spans="1:15" x14ac:dyDescent="0.35">
      <c r="L73" s="31">
        <v>71</v>
      </c>
      <c r="M73" s="31">
        <v>0</v>
      </c>
      <c r="N73" s="31">
        <f>AVERAGE(M70:M77)</f>
        <v>0</v>
      </c>
      <c r="O73" s="31">
        <f>MAX($A$35)/2</f>
        <v>279.625</v>
      </c>
    </row>
    <row r="74" spans="1:15" x14ac:dyDescent="0.35">
      <c r="L74" s="31">
        <v>72</v>
      </c>
      <c r="M74" s="31">
        <v>0</v>
      </c>
      <c r="N74" s="31">
        <f>AVERAGE(M71:M78)</f>
        <v>0</v>
      </c>
      <c r="O74" s="31">
        <f>MAX($A$35)/2</f>
        <v>279.625</v>
      </c>
    </row>
    <row r="75" spans="1:15" x14ac:dyDescent="0.35">
      <c r="L75" s="31">
        <v>73</v>
      </c>
      <c r="M75" s="31">
        <v>0</v>
      </c>
      <c r="N75" s="31">
        <f>AVERAGE(M72:M79)</f>
        <v>0</v>
      </c>
      <c r="O75" s="31">
        <f>MAX($A$35)/2</f>
        <v>279.625</v>
      </c>
    </row>
    <row r="76" spans="1:15" x14ac:dyDescent="0.35">
      <c r="L76" s="31">
        <v>74</v>
      </c>
      <c r="M76" s="31">
        <v>0</v>
      </c>
      <c r="N76" s="31">
        <f>AVERAGE(M73:M80)</f>
        <v>0</v>
      </c>
      <c r="O76" s="31">
        <f>MAX($A$35)/2</f>
        <v>279.625</v>
      </c>
    </row>
    <row r="77" spans="1:15" x14ac:dyDescent="0.35">
      <c r="L77" s="31">
        <v>75</v>
      </c>
      <c r="M77" s="31">
        <v>0</v>
      </c>
      <c r="N77" s="31">
        <f>AVERAGE(M74:M81)</f>
        <v>0</v>
      </c>
      <c r="O77" s="31">
        <f>MAX($A$35)/2</f>
        <v>279.625</v>
      </c>
    </row>
    <row r="78" spans="1:15" x14ac:dyDescent="0.35">
      <c r="L78" s="31">
        <v>76</v>
      </c>
      <c r="M78" s="31">
        <v>0</v>
      </c>
      <c r="N78" s="31">
        <f>AVERAGE(M75:M82)</f>
        <v>0</v>
      </c>
      <c r="O78" s="31">
        <f>MAX($A$35)/2</f>
        <v>279.625</v>
      </c>
    </row>
    <row r="79" spans="1:15" x14ac:dyDescent="0.35">
      <c r="L79" s="31">
        <v>77</v>
      </c>
      <c r="M79" s="31">
        <v>0</v>
      </c>
      <c r="N79" s="31">
        <f>AVERAGE(M76:M83)</f>
        <v>0</v>
      </c>
      <c r="O79" s="31">
        <f>MAX($A$35)/2</f>
        <v>279.625</v>
      </c>
    </row>
    <row r="80" spans="1:15" x14ac:dyDescent="0.35">
      <c r="L80" s="31">
        <v>78</v>
      </c>
      <c r="M80" s="31">
        <v>0</v>
      </c>
      <c r="N80" s="31">
        <f>AVERAGE(M77:M84)</f>
        <v>0</v>
      </c>
      <c r="O80" s="31">
        <f>MAX($A$35)/2</f>
        <v>279.625</v>
      </c>
    </row>
    <row r="81" spans="12:15" x14ac:dyDescent="0.35">
      <c r="L81" s="31">
        <v>79</v>
      </c>
      <c r="M81" s="31">
        <v>0</v>
      </c>
      <c r="N81" s="31">
        <f>AVERAGE(M78:M85)</f>
        <v>0</v>
      </c>
      <c r="O81" s="31">
        <f>MAX($A$35)/2</f>
        <v>279.625</v>
      </c>
    </row>
    <row r="82" spans="12:15" x14ac:dyDescent="0.35">
      <c r="L82" s="31">
        <v>80</v>
      </c>
      <c r="M82" s="31">
        <v>0</v>
      </c>
      <c r="N82" s="31">
        <f>AVERAGE(M79:M86)</f>
        <v>0</v>
      </c>
      <c r="O82" s="31">
        <f>MAX($A$35)/2</f>
        <v>279.625</v>
      </c>
    </row>
    <row r="83" spans="12:15" x14ac:dyDescent="0.35">
      <c r="L83" s="31">
        <v>81</v>
      </c>
      <c r="M83" s="31">
        <v>0</v>
      </c>
      <c r="N83" s="31">
        <f>AVERAGE(M80:M87)</f>
        <v>0</v>
      </c>
      <c r="O83" s="31">
        <f>MAX($A$35)/2</f>
        <v>279.625</v>
      </c>
    </row>
    <row r="84" spans="12:15" x14ac:dyDescent="0.35">
      <c r="L84" s="31">
        <v>82</v>
      </c>
      <c r="M84" s="31">
        <v>0</v>
      </c>
      <c r="N84" s="31">
        <f>AVERAGE(M81:M88)</f>
        <v>0</v>
      </c>
      <c r="O84" s="31">
        <f>MAX($A$35)/2</f>
        <v>279.625</v>
      </c>
    </row>
    <row r="85" spans="12:15" x14ac:dyDescent="0.35">
      <c r="L85" s="31">
        <v>83</v>
      </c>
      <c r="M85" s="31">
        <v>0</v>
      </c>
      <c r="N85" s="31">
        <f>AVERAGE(M82:M89)</f>
        <v>0</v>
      </c>
      <c r="O85" s="31">
        <f>MAX($A$35)/2</f>
        <v>279.625</v>
      </c>
    </row>
    <row r="86" spans="12:15" x14ac:dyDescent="0.35">
      <c r="L86" s="31">
        <v>84</v>
      </c>
      <c r="M86" s="31">
        <v>0</v>
      </c>
      <c r="N86" s="31">
        <f>AVERAGE(M83:M90)</f>
        <v>0</v>
      </c>
      <c r="O86" s="31">
        <f>MAX($A$35)/2</f>
        <v>279.625</v>
      </c>
    </row>
    <row r="87" spans="12:15" x14ac:dyDescent="0.35">
      <c r="L87" s="31">
        <v>85</v>
      </c>
      <c r="M87" s="31">
        <v>0</v>
      </c>
      <c r="N87" s="31">
        <f>AVERAGE(M84:M91)</f>
        <v>0</v>
      </c>
      <c r="O87" s="31">
        <f>MAX($A$35)/2</f>
        <v>279.625</v>
      </c>
    </row>
    <row r="88" spans="12:15" x14ac:dyDescent="0.35">
      <c r="L88" s="31">
        <v>86</v>
      </c>
      <c r="M88" s="31">
        <v>0</v>
      </c>
      <c r="N88" s="31">
        <f>AVERAGE(M85:M92)</f>
        <v>0</v>
      </c>
      <c r="O88" s="31">
        <f>MAX($A$35)/2</f>
        <v>279.625</v>
      </c>
    </row>
    <row r="89" spans="12:15" x14ac:dyDescent="0.35">
      <c r="L89" s="31">
        <v>87</v>
      </c>
      <c r="M89" s="31">
        <v>0</v>
      </c>
      <c r="N89" s="31">
        <f>AVERAGE(M86:M93)</f>
        <v>0</v>
      </c>
      <c r="O89" s="31">
        <f>MAX($A$35)/2</f>
        <v>279.625</v>
      </c>
    </row>
    <row r="90" spans="12:15" x14ac:dyDescent="0.35">
      <c r="L90" s="31">
        <v>88</v>
      </c>
      <c r="M90" s="31">
        <v>0</v>
      </c>
      <c r="N90" s="31">
        <f>AVERAGE(M87:M94)</f>
        <v>0</v>
      </c>
      <c r="O90" s="31">
        <f>MAX($A$35)/2</f>
        <v>279.625</v>
      </c>
    </row>
    <row r="91" spans="12:15" x14ac:dyDescent="0.35">
      <c r="L91" s="31">
        <v>89</v>
      </c>
      <c r="M91" s="31">
        <v>0</v>
      </c>
      <c r="N91" s="31">
        <f>AVERAGE(M88:M95)</f>
        <v>0</v>
      </c>
      <c r="O91" s="31">
        <f>MAX($A$35)/2</f>
        <v>279.625</v>
      </c>
    </row>
    <row r="92" spans="12:15" x14ac:dyDescent="0.35">
      <c r="L92" s="31">
        <v>90</v>
      </c>
      <c r="M92" s="31">
        <v>0</v>
      </c>
      <c r="N92" s="31">
        <f>AVERAGE(M89:M96)</f>
        <v>0</v>
      </c>
      <c r="O92" s="31">
        <f>MAX($A$35)/2</f>
        <v>279.625</v>
      </c>
    </row>
    <row r="93" spans="12:15" x14ac:dyDescent="0.35">
      <c r="L93" s="31">
        <v>91</v>
      </c>
      <c r="M93" s="31">
        <v>0</v>
      </c>
      <c r="N93" s="31">
        <f>AVERAGE(M90:M97)</f>
        <v>0</v>
      </c>
      <c r="O93" s="31">
        <f>MAX($A$35)/2</f>
        <v>279.625</v>
      </c>
    </row>
    <row r="94" spans="12:15" x14ac:dyDescent="0.35">
      <c r="L94" s="31">
        <v>92</v>
      </c>
      <c r="M94" s="31">
        <v>0</v>
      </c>
      <c r="N94" s="31">
        <f>AVERAGE(M91:M98)</f>
        <v>0</v>
      </c>
      <c r="O94" s="31">
        <f>MAX($A$35)/2</f>
        <v>279.625</v>
      </c>
    </row>
    <row r="95" spans="12:15" x14ac:dyDescent="0.35">
      <c r="L95" s="31">
        <v>93</v>
      </c>
      <c r="M95" s="31">
        <v>0</v>
      </c>
      <c r="N95" s="31">
        <f>AVERAGE(M92:M99)</f>
        <v>0</v>
      </c>
      <c r="O95" s="31">
        <f>MAX($A$35)/2</f>
        <v>279.625</v>
      </c>
    </row>
    <row r="96" spans="12:15" x14ac:dyDescent="0.35">
      <c r="L96" s="31">
        <v>94</v>
      </c>
      <c r="M96" s="31">
        <v>0</v>
      </c>
      <c r="N96" s="31">
        <f>AVERAGE(M93:M100)</f>
        <v>0</v>
      </c>
      <c r="O96" s="31">
        <f>MAX($A$35)/2</f>
        <v>279.625</v>
      </c>
    </row>
    <row r="97" spans="12:15" x14ac:dyDescent="0.35">
      <c r="L97" s="31">
        <v>95</v>
      </c>
      <c r="M97" s="31">
        <v>0</v>
      </c>
      <c r="N97" s="31">
        <f>AVERAGE(M94:M101)</f>
        <v>0</v>
      </c>
      <c r="O97" s="31">
        <f>MAX($A$35)/2</f>
        <v>279.625</v>
      </c>
    </row>
    <row r="98" spans="12:15" x14ac:dyDescent="0.35">
      <c r="L98" s="31">
        <v>96</v>
      </c>
      <c r="M98" s="31">
        <v>0</v>
      </c>
      <c r="N98" s="31">
        <f>AVERAGE(M95:M102)</f>
        <v>0</v>
      </c>
      <c r="O98" s="31">
        <f>MAX($A$35)/2</f>
        <v>279.625</v>
      </c>
    </row>
    <row r="99" spans="12:15" x14ac:dyDescent="0.35">
      <c r="L99" s="31">
        <v>97</v>
      </c>
      <c r="M99" s="31">
        <v>0</v>
      </c>
      <c r="N99" s="31">
        <f>AVERAGE(M96:M103)</f>
        <v>0</v>
      </c>
      <c r="O99" s="31">
        <f>MAX($A$35)/2</f>
        <v>279.625</v>
      </c>
    </row>
    <row r="100" spans="12:15" x14ac:dyDescent="0.35">
      <c r="L100" s="31">
        <v>98</v>
      </c>
      <c r="M100" s="31">
        <v>0</v>
      </c>
      <c r="N100" s="31">
        <f>AVERAGE(M97:M104)</f>
        <v>0</v>
      </c>
      <c r="O100" s="31">
        <f>MAX($A$35)/2</f>
        <v>279.625</v>
      </c>
    </row>
    <row r="101" spans="12:15" x14ac:dyDescent="0.35">
      <c r="L101" s="31">
        <v>99</v>
      </c>
      <c r="M101" s="31">
        <v>0</v>
      </c>
      <c r="N101" s="31">
        <f>AVERAGE(M98:M105)</f>
        <v>0</v>
      </c>
      <c r="O101" s="31">
        <f>MAX($A$35)/2</f>
        <v>279.625</v>
      </c>
    </row>
    <row r="102" spans="12:15" x14ac:dyDescent="0.35">
      <c r="L102" s="31">
        <v>100</v>
      </c>
      <c r="M102" s="31">
        <v>0</v>
      </c>
      <c r="N102" s="31">
        <f>AVERAGE(M99:M106)</f>
        <v>0</v>
      </c>
      <c r="O102" s="31">
        <f>MAX($A$35)/2</f>
        <v>279.625</v>
      </c>
    </row>
    <row r="103" spans="12:15" x14ac:dyDescent="0.35">
      <c r="L103" s="31">
        <v>101</v>
      </c>
      <c r="M103" s="31">
        <v>0</v>
      </c>
      <c r="N103" s="31">
        <f>AVERAGE(M100:M107)</f>
        <v>0</v>
      </c>
      <c r="O103" s="31">
        <f>MAX($A$35)/2</f>
        <v>279.625</v>
      </c>
    </row>
    <row r="104" spans="12:15" x14ac:dyDescent="0.35">
      <c r="L104" s="31">
        <v>102</v>
      </c>
      <c r="M104" s="31">
        <v>0</v>
      </c>
      <c r="N104" s="31">
        <f>AVERAGE(M101:M108)</f>
        <v>0</v>
      </c>
      <c r="O104" s="31">
        <f>MAX($A$35)/2</f>
        <v>279.625</v>
      </c>
    </row>
    <row r="105" spans="12:15" x14ac:dyDescent="0.35">
      <c r="L105" s="31">
        <v>103</v>
      </c>
      <c r="M105" s="31">
        <v>0</v>
      </c>
      <c r="N105" s="31">
        <f>AVERAGE(M102:M109)</f>
        <v>0</v>
      </c>
      <c r="O105" s="31">
        <f>MAX($A$35)/2</f>
        <v>279.625</v>
      </c>
    </row>
    <row r="106" spans="12:15" x14ac:dyDescent="0.35">
      <c r="L106" s="31">
        <v>104</v>
      </c>
      <c r="M106" s="31">
        <v>0</v>
      </c>
      <c r="N106" s="31">
        <f>AVERAGE(M103:M110)</f>
        <v>0</v>
      </c>
      <c r="O106" s="31">
        <f>MAX($A$35)/2</f>
        <v>279.625</v>
      </c>
    </row>
    <row r="107" spans="12:15" x14ac:dyDescent="0.35">
      <c r="L107" s="31">
        <v>105</v>
      </c>
      <c r="M107" s="31">
        <v>0</v>
      </c>
      <c r="N107" s="31">
        <f>AVERAGE(M104:M111)</f>
        <v>0</v>
      </c>
      <c r="O107" s="31">
        <f>MAX($A$35)/2</f>
        <v>279.625</v>
      </c>
    </row>
    <row r="108" spans="12:15" x14ac:dyDescent="0.35">
      <c r="L108" s="31">
        <v>106</v>
      </c>
      <c r="M108" s="31">
        <v>0</v>
      </c>
      <c r="N108" s="31">
        <f>AVERAGE(M105:M112)</f>
        <v>0</v>
      </c>
      <c r="O108" s="31">
        <f>MAX($A$35)/2</f>
        <v>279.625</v>
      </c>
    </row>
    <row r="109" spans="12:15" x14ac:dyDescent="0.35">
      <c r="L109" s="31">
        <v>107</v>
      </c>
      <c r="M109" s="31">
        <v>0</v>
      </c>
      <c r="N109" s="31">
        <f>AVERAGE(M106:M113)</f>
        <v>0</v>
      </c>
      <c r="O109" s="31">
        <f>MAX($A$35)/2</f>
        <v>279.625</v>
      </c>
    </row>
    <row r="110" spans="12:15" x14ac:dyDescent="0.35">
      <c r="L110" s="31">
        <v>108</v>
      </c>
      <c r="M110" s="31">
        <v>0</v>
      </c>
      <c r="N110" s="31">
        <f>AVERAGE(M107:M114)</f>
        <v>0</v>
      </c>
      <c r="O110" s="31">
        <f>MAX($A$35)/2</f>
        <v>279.625</v>
      </c>
    </row>
    <row r="111" spans="12:15" x14ac:dyDescent="0.35">
      <c r="L111" s="31">
        <v>109</v>
      </c>
      <c r="M111" s="31">
        <v>0</v>
      </c>
      <c r="N111" s="31">
        <f>AVERAGE(M108:M115)</f>
        <v>0</v>
      </c>
      <c r="O111" s="31">
        <f>MAX($A$35)/2</f>
        <v>279.625</v>
      </c>
    </row>
    <row r="112" spans="12:15" x14ac:dyDescent="0.35">
      <c r="L112" s="31">
        <v>110</v>
      </c>
      <c r="M112" s="31">
        <v>0</v>
      </c>
      <c r="N112" s="31">
        <f>AVERAGE(M109:M116)</f>
        <v>0</v>
      </c>
      <c r="O112" s="31">
        <f>MAX($A$35)/2</f>
        <v>279.625</v>
      </c>
    </row>
    <row r="113" spans="12:15" x14ac:dyDescent="0.35">
      <c r="L113" s="31">
        <v>111</v>
      </c>
      <c r="M113" s="31">
        <v>0</v>
      </c>
      <c r="N113" s="31">
        <f>AVERAGE(M110:M117)</f>
        <v>0</v>
      </c>
      <c r="O113" s="31">
        <f>MAX($A$35)/2</f>
        <v>279.625</v>
      </c>
    </row>
    <row r="114" spans="12:15" x14ac:dyDescent="0.35">
      <c r="L114" s="31">
        <v>112</v>
      </c>
      <c r="M114" s="31">
        <v>0</v>
      </c>
      <c r="N114" s="31">
        <f>AVERAGE(M111:M118)</f>
        <v>0</v>
      </c>
      <c r="O114" s="31">
        <f>MAX($A$35)/2</f>
        <v>279.625</v>
      </c>
    </row>
    <row r="115" spans="12:15" x14ac:dyDescent="0.35">
      <c r="L115" s="31">
        <v>113</v>
      </c>
      <c r="M115" s="31">
        <v>0</v>
      </c>
      <c r="N115" s="31">
        <f>AVERAGE(M112:M119)</f>
        <v>0</v>
      </c>
      <c r="O115" s="31">
        <f>MAX($A$35)/2</f>
        <v>279.625</v>
      </c>
    </row>
    <row r="116" spans="12:15" x14ac:dyDescent="0.35">
      <c r="L116" s="31">
        <v>114</v>
      </c>
      <c r="M116" s="31">
        <v>0</v>
      </c>
      <c r="N116" s="31">
        <f>AVERAGE(M113:M120)</f>
        <v>0</v>
      </c>
      <c r="O116" s="31">
        <f>MAX($A$35)/2</f>
        <v>279.625</v>
      </c>
    </row>
    <row r="117" spans="12:15" x14ac:dyDescent="0.35">
      <c r="L117" s="31">
        <v>115</v>
      </c>
      <c r="M117" s="31">
        <v>0</v>
      </c>
      <c r="N117" s="31">
        <f>AVERAGE(M114:M121)</f>
        <v>0</v>
      </c>
      <c r="O117" s="31">
        <f>MAX($A$35)/2</f>
        <v>279.625</v>
      </c>
    </row>
    <row r="118" spans="12:15" x14ac:dyDescent="0.35">
      <c r="L118" s="31">
        <v>116</v>
      </c>
      <c r="M118" s="31">
        <v>0</v>
      </c>
      <c r="N118" s="31">
        <f>AVERAGE(M115:M122)</f>
        <v>0</v>
      </c>
      <c r="O118" s="31">
        <f>MAX($A$35)/2</f>
        <v>279.625</v>
      </c>
    </row>
    <row r="119" spans="12:15" x14ac:dyDescent="0.35">
      <c r="L119" s="31">
        <v>117</v>
      </c>
      <c r="M119" s="31">
        <v>0</v>
      </c>
      <c r="N119" s="31">
        <f>AVERAGE(M116:M123)</f>
        <v>0</v>
      </c>
      <c r="O119" s="31">
        <f>MAX($A$35)/2</f>
        <v>279.625</v>
      </c>
    </row>
    <row r="120" spans="12:15" x14ac:dyDescent="0.35">
      <c r="L120" s="31">
        <v>118</v>
      </c>
      <c r="M120" s="31">
        <v>0</v>
      </c>
      <c r="N120" s="31">
        <f>AVERAGE(M117:M124)</f>
        <v>0</v>
      </c>
      <c r="O120" s="31">
        <f>MAX($A$35)/2</f>
        <v>279.625</v>
      </c>
    </row>
    <row r="121" spans="12:15" x14ac:dyDescent="0.35">
      <c r="L121" s="31">
        <v>119</v>
      </c>
      <c r="M121" s="31">
        <v>0</v>
      </c>
      <c r="N121" s="31">
        <f>AVERAGE(M118:M125)</f>
        <v>0</v>
      </c>
      <c r="O121" s="31">
        <f>MAX($A$35)/2</f>
        <v>279.625</v>
      </c>
    </row>
    <row r="122" spans="12:15" x14ac:dyDescent="0.35">
      <c r="L122" s="31">
        <v>120</v>
      </c>
      <c r="M122" s="31">
        <v>0</v>
      </c>
      <c r="N122" s="31">
        <f>AVERAGE(M119:M126)</f>
        <v>0</v>
      </c>
      <c r="O122" s="31">
        <f>MAX($A$35)/2</f>
        <v>279.625</v>
      </c>
    </row>
    <row r="123" spans="12:15" x14ac:dyDescent="0.35">
      <c r="L123" s="31">
        <v>121</v>
      </c>
      <c r="M123" s="31">
        <v>0</v>
      </c>
      <c r="N123" s="31">
        <f>AVERAGE(M120:M127)</f>
        <v>0</v>
      </c>
      <c r="O123" s="31">
        <f>MAX($A$35)/2</f>
        <v>279.625</v>
      </c>
    </row>
    <row r="124" spans="12:15" x14ac:dyDescent="0.35">
      <c r="L124" s="31">
        <v>122</v>
      </c>
      <c r="M124" s="31">
        <v>0</v>
      </c>
      <c r="N124" s="31">
        <f>AVERAGE(M121:M128)</f>
        <v>0</v>
      </c>
      <c r="O124" s="31">
        <f>MAX($A$35)/2</f>
        <v>279.625</v>
      </c>
    </row>
    <row r="125" spans="12:15" x14ac:dyDescent="0.35">
      <c r="L125" s="31">
        <v>123</v>
      </c>
      <c r="M125" s="31">
        <v>0</v>
      </c>
      <c r="N125" s="31">
        <f>AVERAGE(M122:M129)</f>
        <v>0</v>
      </c>
      <c r="O125" s="31">
        <f>MAX($A$35)/2</f>
        <v>279.625</v>
      </c>
    </row>
    <row r="126" spans="12:15" x14ac:dyDescent="0.35">
      <c r="L126" s="31">
        <v>124</v>
      </c>
      <c r="M126" s="31">
        <v>0</v>
      </c>
      <c r="N126" s="31">
        <f>AVERAGE(M123:M130)</f>
        <v>0</v>
      </c>
      <c r="O126" s="31">
        <f>MAX($A$35)/2</f>
        <v>279.625</v>
      </c>
    </row>
    <row r="127" spans="12:15" x14ac:dyDescent="0.35">
      <c r="L127" s="31">
        <v>125</v>
      </c>
      <c r="M127" s="31">
        <v>0</v>
      </c>
      <c r="N127" s="31">
        <f>AVERAGE(M124:M131)</f>
        <v>0</v>
      </c>
      <c r="O127" s="31">
        <f>MAX($A$35)/2</f>
        <v>279.625</v>
      </c>
    </row>
    <row r="128" spans="12:15" x14ac:dyDescent="0.35">
      <c r="L128" s="31">
        <v>126</v>
      </c>
      <c r="M128" s="31">
        <v>0</v>
      </c>
      <c r="N128" s="31">
        <f>AVERAGE(M125:M132)</f>
        <v>0</v>
      </c>
      <c r="O128" s="31">
        <f>MAX($A$35)/2</f>
        <v>279.625</v>
      </c>
    </row>
    <row r="129" spans="12:15" x14ac:dyDescent="0.35">
      <c r="L129" s="31">
        <v>127</v>
      </c>
      <c r="M129" s="31">
        <v>0</v>
      </c>
      <c r="N129" s="31">
        <f>AVERAGE(M126:M133)</f>
        <v>0</v>
      </c>
      <c r="O129" s="31">
        <f>MAX($A$35)/2</f>
        <v>279.625</v>
      </c>
    </row>
    <row r="130" spans="12:15" x14ac:dyDescent="0.35">
      <c r="L130" s="31">
        <v>128</v>
      </c>
      <c r="M130" s="31">
        <v>0</v>
      </c>
      <c r="N130" s="31">
        <f>AVERAGE(M127:M134)</f>
        <v>0</v>
      </c>
      <c r="O130" s="31">
        <f>MAX($A$35)/2</f>
        <v>279.625</v>
      </c>
    </row>
    <row r="131" spans="12:15" x14ac:dyDescent="0.35">
      <c r="L131" s="31">
        <v>129</v>
      </c>
      <c r="M131" s="31">
        <v>0</v>
      </c>
      <c r="N131" s="31">
        <f>AVERAGE(M128:M135)</f>
        <v>0</v>
      </c>
      <c r="O131" s="31">
        <f>MAX($A$35)/2</f>
        <v>279.625</v>
      </c>
    </row>
    <row r="132" spans="12:15" x14ac:dyDescent="0.35">
      <c r="L132" s="31">
        <v>130</v>
      </c>
      <c r="M132" s="31">
        <v>0</v>
      </c>
      <c r="N132" s="31">
        <f>AVERAGE(M129:M136)</f>
        <v>0</v>
      </c>
      <c r="O132" s="31">
        <f>MAX($A$35)/2</f>
        <v>279.625</v>
      </c>
    </row>
    <row r="133" spans="12:15" x14ac:dyDescent="0.35">
      <c r="L133" s="31">
        <v>131</v>
      </c>
      <c r="M133" s="31">
        <v>0</v>
      </c>
      <c r="N133" s="31">
        <f>AVERAGE(M130:M137)</f>
        <v>0</v>
      </c>
      <c r="O133" s="31">
        <f>MAX($A$35)/2</f>
        <v>279.625</v>
      </c>
    </row>
    <row r="134" spans="12:15" x14ac:dyDescent="0.35">
      <c r="L134" s="31">
        <v>132</v>
      </c>
      <c r="M134" s="31">
        <v>0</v>
      </c>
      <c r="N134" s="31">
        <f>AVERAGE(M131:M138)</f>
        <v>0</v>
      </c>
      <c r="O134" s="31">
        <f>MAX($A$35)/2</f>
        <v>279.625</v>
      </c>
    </row>
    <row r="135" spans="12:15" x14ac:dyDescent="0.35">
      <c r="L135" s="31">
        <v>133</v>
      </c>
      <c r="M135" s="31">
        <v>0</v>
      </c>
      <c r="N135" s="31">
        <f>AVERAGE(M132:M139)</f>
        <v>0</v>
      </c>
      <c r="O135" s="31">
        <f>MAX($A$35)/2</f>
        <v>279.625</v>
      </c>
    </row>
    <row r="136" spans="12:15" x14ac:dyDescent="0.35">
      <c r="L136" s="31">
        <v>134</v>
      </c>
      <c r="M136" s="31">
        <v>0</v>
      </c>
      <c r="N136" s="31">
        <f>AVERAGE(M133:M140)</f>
        <v>0</v>
      </c>
      <c r="O136" s="31">
        <f>MAX($A$35)/2</f>
        <v>279.625</v>
      </c>
    </row>
    <row r="137" spans="12:15" x14ac:dyDescent="0.35">
      <c r="L137" s="31">
        <v>135</v>
      </c>
      <c r="M137" s="31">
        <v>0</v>
      </c>
      <c r="N137" s="31">
        <f>AVERAGE(M134:M141)</f>
        <v>0</v>
      </c>
      <c r="O137" s="31">
        <f>MAX($A$35)/2</f>
        <v>279.625</v>
      </c>
    </row>
    <row r="138" spans="12:15" x14ac:dyDescent="0.35">
      <c r="L138" s="31">
        <v>136</v>
      </c>
      <c r="M138" s="31">
        <v>0</v>
      </c>
      <c r="N138" s="31">
        <f>AVERAGE(M135:M142)</f>
        <v>0</v>
      </c>
      <c r="O138" s="31">
        <f>MAX($A$35)/2</f>
        <v>279.625</v>
      </c>
    </row>
    <row r="139" spans="12:15" x14ac:dyDescent="0.35">
      <c r="L139" s="31">
        <v>137</v>
      </c>
      <c r="M139" s="31">
        <v>0</v>
      </c>
      <c r="N139" s="31">
        <f>AVERAGE(M136:M143)</f>
        <v>0</v>
      </c>
      <c r="O139" s="31">
        <f>MAX($A$35)/2</f>
        <v>279.625</v>
      </c>
    </row>
    <row r="140" spans="12:15" x14ac:dyDescent="0.35">
      <c r="L140" s="31">
        <v>138</v>
      </c>
      <c r="M140" s="31">
        <v>0</v>
      </c>
      <c r="N140" s="31">
        <f>AVERAGE(M137:M144)</f>
        <v>0</v>
      </c>
      <c r="O140" s="31">
        <f>MAX($A$35)/2</f>
        <v>279.625</v>
      </c>
    </row>
    <row r="141" spans="12:15" x14ac:dyDescent="0.35">
      <c r="L141" s="31">
        <v>139</v>
      </c>
      <c r="M141" s="31">
        <v>0</v>
      </c>
      <c r="N141" s="31">
        <f>AVERAGE(M138:M145)</f>
        <v>0</v>
      </c>
      <c r="O141" s="31">
        <f>MAX($A$35)/2</f>
        <v>279.625</v>
      </c>
    </row>
    <row r="142" spans="12:15" x14ac:dyDescent="0.35">
      <c r="L142" s="31">
        <v>140</v>
      </c>
      <c r="M142" s="31">
        <v>0</v>
      </c>
      <c r="N142" s="31">
        <f>AVERAGE(M139:M146)</f>
        <v>0</v>
      </c>
      <c r="O142" s="31">
        <f>MAX($A$35)/2</f>
        <v>279.625</v>
      </c>
    </row>
    <row r="143" spans="12:15" x14ac:dyDescent="0.35">
      <c r="L143" s="31">
        <v>141</v>
      </c>
      <c r="M143" s="31">
        <v>0</v>
      </c>
      <c r="N143" s="31">
        <f>AVERAGE(M140:M147)</f>
        <v>0</v>
      </c>
      <c r="O143" s="31">
        <f>MAX($A$35)/2</f>
        <v>279.625</v>
      </c>
    </row>
    <row r="144" spans="12:15" x14ac:dyDescent="0.35">
      <c r="L144" s="31">
        <v>142</v>
      </c>
      <c r="M144" s="31">
        <v>0</v>
      </c>
      <c r="N144" s="31">
        <f>AVERAGE(M141:M148)</f>
        <v>0</v>
      </c>
      <c r="O144" s="31">
        <f>MAX($A$35)/2</f>
        <v>279.625</v>
      </c>
    </row>
    <row r="145" spans="12:15" x14ac:dyDescent="0.35">
      <c r="L145" s="31">
        <v>143</v>
      </c>
      <c r="M145" s="31">
        <v>0</v>
      </c>
      <c r="N145" s="31">
        <f>AVERAGE(M142:M149)</f>
        <v>0</v>
      </c>
      <c r="O145" s="31">
        <f>MAX($A$35)/2</f>
        <v>279.625</v>
      </c>
    </row>
    <row r="146" spans="12:15" x14ac:dyDescent="0.35">
      <c r="L146" s="31">
        <v>144</v>
      </c>
      <c r="M146" s="31">
        <v>0</v>
      </c>
      <c r="N146" s="31">
        <f>AVERAGE(M143:M150)</f>
        <v>0</v>
      </c>
      <c r="O146" s="31">
        <f>MAX($A$35)/2</f>
        <v>279.625</v>
      </c>
    </row>
    <row r="147" spans="12:15" x14ac:dyDescent="0.35">
      <c r="L147" s="31">
        <v>145</v>
      </c>
      <c r="M147" s="31">
        <v>0</v>
      </c>
      <c r="N147" s="31">
        <f>AVERAGE(M144:M151)</f>
        <v>0</v>
      </c>
      <c r="O147" s="31">
        <f>MAX($A$35)/2</f>
        <v>279.625</v>
      </c>
    </row>
    <row r="148" spans="12:15" x14ac:dyDescent="0.35">
      <c r="L148" s="31">
        <v>146</v>
      </c>
      <c r="M148" s="31">
        <v>0</v>
      </c>
      <c r="N148" s="31">
        <f>AVERAGE(M145:M152)</f>
        <v>0</v>
      </c>
      <c r="O148" s="31">
        <f>MAX($A$35)/2</f>
        <v>279.625</v>
      </c>
    </row>
    <row r="149" spans="12:15" x14ac:dyDescent="0.35">
      <c r="L149" s="31">
        <v>147</v>
      </c>
      <c r="M149" s="31">
        <v>0</v>
      </c>
      <c r="N149" s="31">
        <f>AVERAGE(M146:M153)</f>
        <v>0</v>
      </c>
      <c r="O149" s="31">
        <f>MAX($A$35)/2</f>
        <v>279.625</v>
      </c>
    </row>
    <row r="150" spans="12:15" x14ac:dyDescent="0.35">
      <c r="L150" s="31">
        <v>148</v>
      </c>
      <c r="M150" s="31">
        <v>0</v>
      </c>
      <c r="N150" s="31">
        <f>AVERAGE(M147:M154)</f>
        <v>0</v>
      </c>
      <c r="O150" s="31">
        <f>MAX($A$35)/2</f>
        <v>279.625</v>
      </c>
    </row>
    <row r="151" spans="12:15" x14ac:dyDescent="0.35">
      <c r="L151" s="31">
        <v>149</v>
      </c>
      <c r="M151" s="31">
        <v>0</v>
      </c>
      <c r="N151" s="31">
        <f>AVERAGE(M148:M155)</f>
        <v>0</v>
      </c>
      <c r="O151" s="31">
        <f>MAX($A$35)/2</f>
        <v>279.625</v>
      </c>
    </row>
    <row r="152" spans="12:15" x14ac:dyDescent="0.35">
      <c r="L152" s="31">
        <v>150</v>
      </c>
      <c r="M152" s="31">
        <v>0</v>
      </c>
      <c r="N152" s="31">
        <f>AVERAGE(M149:M156)</f>
        <v>0</v>
      </c>
      <c r="O152" s="31">
        <f>MAX($A$35)/2</f>
        <v>279.625</v>
      </c>
    </row>
    <row r="153" spans="12:15" x14ac:dyDescent="0.35">
      <c r="L153" s="31">
        <v>151</v>
      </c>
      <c r="M153" s="31">
        <v>0</v>
      </c>
      <c r="N153" s="31">
        <f>AVERAGE(M150:M157)</f>
        <v>0</v>
      </c>
      <c r="O153" s="31">
        <f>MAX($A$35)/2</f>
        <v>279.625</v>
      </c>
    </row>
    <row r="154" spans="12:15" x14ac:dyDescent="0.35">
      <c r="L154" s="31">
        <v>152</v>
      </c>
      <c r="M154" s="31">
        <v>0</v>
      </c>
      <c r="N154" s="31">
        <f>AVERAGE(M151:M158)</f>
        <v>0</v>
      </c>
      <c r="O154" s="31">
        <f>MAX($A$35)/2</f>
        <v>279.625</v>
      </c>
    </row>
    <row r="155" spans="12:15" x14ac:dyDescent="0.35">
      <c r="L155" s="31">
        <v>153</v>
      </c>
      <c r="M155" s="31">
        <v>0</v>
      </c>
      <c r="N155" s="31">
        <f>AVERAGE(M152:M159)</f>
        <v>0</v>
      </c>
      <c r="O155" s="31">
        <f>MAX($A$35)/2</f>
        <v>279.625</v>
      </c>
    </row>
    <row r="156" spans="12:15" x14ac:dyDescent="0.35">
      <c r="L156" s="31">
        <v>154</v>
      </c>
      <c r="M156" s="31">
        <v>0</v>
      </c>
      <c r="N156" s="31">
        <f>AVERAGE(M153:M160)</f>
        <v>0</v>
      </c>
      <c r="O156" s="31">
        <f>MAX($A$35)/2</f>
        <v>279.625</v>
      </c>
    </row>
    <row r="157" spans="12:15" x14ac:dyDescent="0.35">
      <c r="L157" s="31">
        <v>155</v>
      </c>
      <c r="M157" s="31">
        <v>0</v>
      </c>
      <c r="N157" s="31">
        <f>AVERAGE(M154:M161)</f>
        <v>0</v>
      </c>
      <c r="O157" s="31">
        <f>MAX($A$35)/2</f>
        <v>279.625</v>
      </c>
    </row>
    <row r="158" spans="12:15" x14ac:dyDescent="0.35">
      <c r="L158" s="31">
        <v>156</v>
      </c>
      <c r="M158" s="31">
        <v>0</v>
      </c>
      <c r="N158" s="31">
        <f>AVERAGE(M155:M162)</f>
        <v>0</v>
      </c>
      <c r="O158" s="31">
        <f>MAX($A$35)/2</f>
        <v>279.625</v>
      </c>
    </row>
    <row r="159" spans="12:15" x14ac:dyDescent="0.35">
      <c r="L159" s="31">
        <v>157</v>
      </c>
      <c r="M159" s="31">
        <v>0</v>
      </c>
      <c r="N159" s="31">
        <f>AVERAGE(M156:M163)</f>
        <v>0</v>
      </c>
      <c r="O159" s="31">
        <f>MAX($A$35)/2</f>
        <v>279.625</v>
      </c>
    </row>
    <row r="160" spans="12:15" x14ac:dyDescent="0.35">
      <c r="L160" s="31">
        <v>158</v>
      </c>
      <c r="M160" s="31">
        <v>0</v>
      </c>
      <c r="N160" s="31">
        <f>AVERAGE(M157:M164)</f>
        <v>0</v>
      </c>
      <c r="O160" s="31">
        <f>MAX($A$35)/2</f>
        <v>279.625</v>
      </c>
    </row>
    <row r="161" spans="12:15" x14ac:dyDescent="0.35">
      <c r="L161" s="31">
        <v>159</v>
      </c>
      <c r="M161" s="31">
        <v>0</v>
      </c>
      <c r="N161" s="31">
        <f>AVERAGE(M158:M165)</f>
        <v>0</v>
      </c>
      <c r="O161" s="31">
        <f>MAX($A$35)/2</f>
        <v>279.625</v>
      </c>
    </row>
    <row r="162" spans="12:15" x14ac:dyDescent="0.35">
      <c r="L162" s="31">
        <v>160</v>
      </c>
      <c r="M162" s="31">
        <v>0</v>
      </c>
      <c r="N162" s="31">
        <f>AVERAGE(M159:M166)</f>
        <v>0</v>
      </c>
      <c r="O162" s="31">
        <f>MAX($A$35)/2</f>
        <v>279.625</v>
      </c>
    </row>
    <row r="163" spans="12:15" x14ac:dyDescent="0.35">
      <c r="L163" s="31">
        <v>161</v>
      </c>
      <c r="M163" s="31">
        <v>0</v>
      </c>
      <c r="N163" s="31">
        <f>AVERAGE(M160:M167)</f>
        <v>0</v>
      </c>
      <c r="O163" s="31">
        <f>MAX($A$35)/2</f>
        <v>279.625</v>
      </c>
    </row>
    <row r="164" spans="12:15" x14ac:dyDescent="0.35">
      <c r="L164" s="31">
        <v>162</v>
      </c>
      <c r="M164" s="31">
        <v>0</v>
      </c>
      <c r="N164" s="31">
        <f>AVERAGE(M161:M168)</f>
        <v>0</v>
      </c>
      <c r="O164" s="31">
        <f>MAX($A$35)/2</f>
        <v>279.625</v>
      </c>
    </row>
    <row r="165" spans="12:15" x14ac:dyDescent="0.35">
      <c r="L165" s="31">
        <v>163</v>
      </c>
      <c r="M165" s="31">
        <v>0</v>
      </c>
      <c r="N165" s="31">
        <f>AVERAGE(M162:M169)</f>
        <v>0</v>
      </c>
      <c r="O165" s="31">
        <f>MAX($A$35)/2</f>
        <v>279.625</v>
      </c>
    </row>
    <row r="166" spans="12:15" x14ac:dyDescent="0.35">
      <c r="L166" s="31">
        <v>164</v>
      </c>
      <c r="M166" s="31">
        <v>0</v>
      </c>
      <c r="N166" s="31">
        <f>AVERAGE(M163:M170)</f>
        <v>0</v>
      </c>
      <c r="O166" s="31">
        <f>MAX($A$35)/2</f>
        <v>279.625</v>
      </c>
    </row>
    <row r="167" spans="12:15" x14ac:dyDescent="0.35">
      <c r="L167" s="31">
        <v>165</v>
      </c>
      <c r="M167" s="31">
        <v>0</v>
      </c>
      <c r="N167" s="31">
        <f>AVERAGE(M164:M171)</f>
        <v>0</v>
      </c>
      <c r="O167" s="31">
        <f>MAX($A$35)/2</f>
        <v>279.625</v>
      </c>
    </row>
    <row r="168" spans="12:15" x14ac:dyDescent="0.35">
      <c r="L168" s="31">
        <v>166</v>
      </c>
      <c r="M168" s="31">
        <v>0</v>
      </c>
      <c r="N168" s="31">
        <f>AVERAGE(M165:M172)</f>
        <v>0</v>
      </c>
      <c r="O168" s="31">
        <f>MAX($A$35)/2</f>
        <v>279.625</v>
      </c>
    </row>
    <row r="169" spans="12:15" x14ac:dyDescent="0.35">
      <c r="L169" s="31">
        <v>167</v>
      </c>
      <c r="M169" s="31">
        <v>0</v>
      </c>
      <c r="N169" s="31">
        <f>AVERAGE(M166:M173)</f>
        <v>0</v>
      </c>
      <c r="O169" s="31">
        <f>MAX($A$35)/2</f>
        <v>279.625</v>
      </c>
    </row>
    <row r="170" spans="12:15" x14ac:dyDescent="0.35">
      <c r="L170" s="31">
        <v>168</v>
      </c>
      <c r="M170" s="31">
        <v>0</v>
      </c>
      <c r="N170" s="31">
        <f>AVERAGE(M167:M174)</f>
        <v>0</v>
      </c>
      <c r="O170" s="31">
        <f>MAX($A$35)/2</f>
        <v>279.625</v>
      </c>
    </row>
    <row r="171" spans="12:15" x14ac:dyDescent="0.35">
      <c r="L171" s="31">
        <v>169</v>
      </c>
      <c r="M171" s="31">
        <v>0</v>
      </c>
      <c r="N171" s="31">
        <f>AVERAGE(M168:M175)</f>
        <v>0</v>
      </c>
      <c r="O171" s="31">
        <f>MAX($A$35)/2</f>
        <v>279.625</v>
      </c>
    </row>
    <row r="172" spans="12:15" x14ac:dyDescent="0.35">
      <c r="L172" s="31">
        <v>170</v>
      </c>
      <c r="M172" s="31">
        <v>0</v>
      </c>
      <c r="N172" s="31">
        <f>AVERAGE(M169:M176)</f>
        <v>0</v>
      </c>
      <c r="O172" s="31">
        <f>MAX($A$35)/2</f>
        <v>279.625</v>
      </c>
    </row>
    <row r="173" spans="12:15" x14ac:dyDescent="0.35">
      <c r="L173" s="31">
        <v>171</v>
      </c>
      <c r="M173" s="31">
        <v>0</v>
      </c>
      <c r="N173" s="31">
        <f>AVERAGE(M170:M177)</f>
        <v>0</v>
      </c>
      <c r="O173" s="31">
        <f>MAX($A$35)/2</f>
        <v>279.625</v>
      </c>
    </row>
    <row r="174" spans="12:15" x14ac:dyDescent="0.35">
      <c r="L174" s="31">
        <v>172</v>
      </c>
      <c r="M174" s="31">
        <v>0</v>
      </c>
      <c r="N174" s="31">
        <f>AVERAGE(M171:M178)</f>
        <v>0</v>
      </c>
      <c r="O174" s="31">
        <f>MAX($A$35)/2</f>
        <v>279.625</v>
      </c>
    </row>
    <row r="175" spans="12:15" x14ac:dyDescent="0.35">
      <c r="L175" s="31">
        <v>173</v>
      </c>
      <c r="M175" s="31">
        <v>0</v>
      </c>
      <c r="N175" s="31">
        <f>AVERAGE(M172:M179)</f>
        <v>0</v>
      </c>
      <c r="O175" s="31">
        <f>MAX($A$35)/2</f>
        <v>279.625</v>
      </c>
    </row>
    <row r="176" spans="12:15" x14ac:dyDescent="0.35">
      <c r="L176" s="31">
        <v>174</v>
      </c>
      <c r="M176" s="31">
        <v>0</v>
      </c>
      <c r="N176" s="31">
        <f>AVERAGE(M173:M180)</f>
        <v>0</v>
      </c>
      <c r="O176" s="31">
        <f>MAX($A$35)/2</f>
        <v>279.625</v>
      </c>
    </row>
    <row r="177" spans="12:15" x14ac:dyDescent="0.35">
      <c r="L177" s="31">
        <v>175</v>
      </c>
      <c r="M177" s="31">
        <v>0</v>
      </c>
      <c r="N177" s="31">
        <f>AVERAGE(M174:M181)</f>
        <v>0</v>
      </c>
      <c r="O177" s="31">
        <f>MAX($A$35)/2</f>
        <v>279.625</v>
      </c>
    </row>
    <row r="178" spans="12:15" x14ac:dyDescent="0.35">
      <c r="L178" s="31">
        <v>176</v>
      </c>
      <c r="M178" s="31">
        <v>0</v>
      </c>
      <c r="N178" s="31">
        <f>AVERAGE(M175:M182)</f>
        <v>0</v>
      </c>
      <c r="O178" s="31">
        <f>MAX($A$35)/2</f>
        <v>279.625</v>
      </c>
    </row>
    <row r="179" spans="12:15" x14ac:dyDescent="0.35">
      <c r="L179" s="31">
        <v>177</v>
      </c>
      <c r="M179" s="31">
        <v>0</v>
      </c>
      <c r="N179" s="31">
        <f>AVERAGE(M176:M183)</f>
        <v>0</v>
      </c>
      <c r="O179" s="31">
        <f>MAX($A$35)/2</f>
        <v>279.625</v>
      </c>
    </row>
    <row r="180" spans="12:15" x14ac:dyDescent="0.35">
      <c r="L180" s="31">
        <v>178</v>
      </c>
      <c r="M180" s="31">
        <v>0</v>
      </c>
      <c r="N180" s="31">
        <f>AVERAGE(M177:M184)</f>
        <v>0</v>
      </c>
      <c r="O180" s="31">
        <f>MAX($A$35)/2</f>
        <v>279.625</v>
      </c>
    </row>
    <row r="181" spans="12:15" x14ac:dyDescent="0.35">
      <c r="L181" s="31">
        <v>179</v>
      </c>
      <c r="M181" s="31">
        <v>0</v>
      </c>
      <c r="N181" s="31">
        <f>AVERAGE(M178:M185)</f>
        <v>0</v>
      </c>
      <c r="O181" s="31">
        <f>MAX($A$35)/2</f>
        <v>279.625</v>
      </c>
    </row>
    <row r="182" spans="12:15" x14ac:dyDescent="0.35">
      <c r="L182" s="31">
        <v>180</v>
      </c>
      <c r="M182" s="31">
        <v>0</v>
      </c>
      <c r="N182" s="31">
        <f>AVERAGE(M179:M186)</f>
        <v>0</v>
      </c>
      <c r="O182" s="31">
        <f>MAX($A$35)/2</f>
        <v>279.625</v>
      </c>
    </row>
    <row r="183" spans="12:15" x14ac:dyDescent="0.35">
      <c r="L183" s="31">
        <v>181</v>
      </c>
      <c r="M183" s="31">
        <v>0</v>
      </c>
      <c r="N183" s="31">
        <f>AVERAGE(M180:M187)</f>
        <v>0</v>
      </c>
      <c r="O183" s="31">
        <f>MAX($A$35)/2</f>
        <v>279.625</v>
      </c>
    </row>
    <row r="184" spans="12:15" x14ac:dyDescent="0.35">
      <c r="L184" s="31">
        <v>182</v>
      </c>
      <c r="M184" s="31">
        <v>0</v>
      </c>
      <c r="N184" s="31">
        <f>AVERAGE(M181:M188)</f>
        <v>0</v>
      </c>
      <c r="O184" s="31">
        <f>MAX($A$35)/2</f>
        <v>279.625</v>
      </c>
    </row>
    <row r="185" spans="12:15" x14ac:dyDescent="0.35">
      <c r="L185" s="31">
        <v>183</v>
      </c>
      <c r="M185" s="31">
        <v>0</v>
      </c>
      <c r="N185" s="31">
        <f>AVERAGE(M182:M189)</f>
        <v>0</v>
      </c>
      <c r="O185" s="31">
        <f>MAX($A$35)/2</f>
        <v>279.625</v>
      </c>
    </row>
    <row r="186" spans="12:15" x14ac:dyDescent="0.35">
      <c r="L186" s="31">
        <v>184</v>
      </c>
      <c r="M186" s="31">
        <v>0</v>
      </c>
      <c r="N186" s="31">
        <f>AVERAGE(M183:M190)</f>
        <v>0</v>
      </c>
      <c r="O186" s="31">
        <f>MAX($A$35)/2</f>
        <v>279.625</v>
      </c>
    </row>
    <row r="187" spans="12:15" x14ac:dyDescent="0.35">
      <c r="L187" s="31">
        <v>185</v>
      </c>
      <c r="M187" s="31">
        <v>0</v>
      </c>
      <c r="N187" s="31">
        <f>AVERAGE(M184:M191)</f>
        <v>0</v>
      </c>
      <c r="O187" s="31">
        <f>MAX($A$35)/2</f>
        <v>279.625</v>
      </c>
    </row>
    <row r="188" spans="12:15" x14ac:dyDescent="0.35">
      <c r="L188" s="31">
        <v>186</v>
      </c>
      <c r="M188" s="31">
        <v>0</v>
      </c>
      <c r="N188" s="31">
        <f>AVERAGE(M185:M192)</f>
        <v>0</v>
      </c>
      <c r="O188" s="31">
        <f>MAX($A$35)/2</f>
        <v>279.625</v>
      </c>
    </row>
    <row r="189" spans="12:15" x14ac:dyDescent="0.35">
      <c r="L189" s="31">
        <v>187</v>
      </c>
      <c r="M189" s="31">
        <v>0</v>
      </c>
      <c r="N189" s="31">
        <f>AVERAGE(M186:M193)</f>
        <v>0</v>
      </c>
      <c r="O189" s="31">
        <f>MAX($A$35)/2</f>
        <v>279.625</v>
      </c>
    </row>
    <row r="190" spans="12:15" x14ac:dyDescent="0.35">
      <c r="L190" s="31">
        <v>188</v>
      </c>
      <c r="M190" s="31">
        <v>0</v>
      </c>
      <c r="N190" s="31">
        <f>AVERAGE(M187:M194)</f>
        <v>0</v>
      </c>
      <c r="O190" s="31">
        <f>MAX($A$35)/2</f>
        <v>279.625</v>
      </c>
    </row>
    <row r="191" spans="12:15" x14ac:dyDescent="0.35">
      <c r="L191" s="31">
        <v>189</v>
      </c>
      <c r="M191" s="31">
        <v>0</v>
      </c>
      <c r="N191" s="31">
        <f>AVERAGE(M188:M195)</f>
        <v>0</v>
      </c>
      <c r="O191" s="31">
        <f>MAX($A$35)/2</f>
        <v>279.625</v>
      </c>
    </row>
    <row r="192" spans="12:15" x14ac:dyDescent="0.35">
      <c r="L192" s="31">
        <v>190</v>
      </c>
      <c r="M192" s="31">
        <v>0</v>
      </c>
      <c r="N192" s="31">
        <f>AVERAGE(M189:M196)</f>
        <v>0</v>
      </c>
      <c r="O192" s="31">
        <f>MAX($A$35)/2</f>
        <v>279.625</v>
      </c>
    </row>
    <row r="193" spans="12:17" x14ac:dyDescent="0.35">
      <c r="L193" s="31">
        <v>191</v>
      </c>
      <c r="M193" s="31">
        <v>0</v>
      </c>
      <c r="N193" s="31">
        <f>AVERAGE(M190:M197)</f>
        <v>0</v>
      </c>
      <c r="O193" s="31">
        <f>MAX($A$35)/2</f>
        <v>279.625</v>
      </c>
    </row>
    <row r="194" spans="12:17" x14ac:dyDescent="0.35">
      <c r="L194" s="31">
        <v>192</v>
      </c>
      <c r="M194" s="31">
        <v>0</v>
      </c>
      <c r="N194" s="31">
        <f>AVERAGE(M191:M198)</f>
        <v>0</v>
      </c>
      <c r="O194" s="31">
        <f>MAX($A$35)/2</f>
        <v>279.625</v>
      </c>
    </row>
    <row r="195" spans="12:17" x14ac:dyDescent="0.35">
      <c r="L195" s="31">
        <v>193</v>
      </c>
      <c r="M195" s="31">
        <v>0</v>
      </c>
      <c r="N195" s="31">
        <f>AVERAGE(M192:M199)</f>
        <v>0</v>
      </c>
      <c r="O195" s="31">
        <f>MAX($A$35)/2</f>
        <v>279.625</v>
      </c>
    </row>
    <row r="196" spans="12:17" x14ac:dyDescent="0.35">
      <c r="L196" s="31">
        <v>194</v>
      </c>
      <c r="M196" s="31">
        <v>0</v>
      </c>
      <c r="N196" s="31">
        <f>AVERAGE(M193:M200)</f>
        <v>0</v>
      </c>
      <c r="O196" s="31">
        <f>MAX($A$35)/2</f>
        <v>279.625</v>
      </c>
    </row>
    <row r="197" spans="12:17" x14ac:dyDescent="0.35">
      <c r="L197" s="31">
        <v>195</v>
      </c>
      <c r="M197" s="31">
        <v>0</v>
      </c>
      <c r="N197" s="31">
        <f>AVERAGE(M194:M201)</f>
        <v>0</v>
      </c>
      <c r="O197" s="31">
        <f>MAX($A$35)/2</f>
        <v>279.625</v>
      </c>
    </row>
    <row r="198" spans="12:17" x14ac:dyDescent="0.35">
      <c r="L198" s="31">
        <v>196</v>
      </c>
      <c r="M198" s="31">
        <v>0</v>
      </c>
      <c r="N198" s="31">
        <f>AVERAGE(M195:M202)</f>
        <v>0</v>
      </c>
      <c r="O198" s="31">
        <f>MAX($A$35)/2</f>
        <v>279.625</v>
      </c>
    </row>
    <row r="199" spans="12:17" x14ac:dyDescent="0.35">
      <c r="L199" s="31">
        <v>197</v>
      </c>
      <c r="M199" s="31">
        <v>0</v>
      </c>
      <c r="N199" s="31">
        <f>AVERAGE(M196:M203)</f>
        <v>0</v>
      </c>
      <c r="O199" s="31">
        <f>MAX($A$35)/2</f>
        <v>279.625</v>
      </c>
    </row>
    <row r="200" spans="12:17" x14ac:dyDescent="0.35">
      <c r="L200" s="31">
        <v>198</v>
      </c>
      <c r="M200" s="31">
        <v>0</v>
      </c>
      <c r="N200" s="31">
        <f>AVERAGE(M197:M204)</f>
        <v>0</v>
      </c>
      <c r="O200" s="31">
        <f>MAX($A$35)/2</f>
        <v>279.625</v>
      </c>
    </row>
    <row r="201" spans="12:17" x14ac:dyDescent="0.35">
      <c r="L201" s="31">
        <v>199</v>
      </c>
      <c r="M201" s="31">
        <v>0</v>
      </c>
      <c r="N201" s="31">
        <f>AVERAGE(M198:M205)</f>
        <v>0</v>
      </c>
      <c r="O201" s="31">
        <f>MAX($A$35)/2</f>
        <v>279.625</v>
      </c>
    </row>
    <row r="202" spans="12:17" x14ac:dyDescent="0.35">
      <c r="L202" s="31">
        <v>200</v>
      </c>
      <c r="M202" s="31">
        <v>0</v>
      </c>
      <c r="N202" s="31">
        <f>AVERAGE(M199:M206)</f>
        <v>0</v>
      </c>
      <c r="O202" s="31">
        <f>MAX($A$35)/2</f>
        <v>279.625</v>
      </c>
      <c r="Q202" s="31">
        <v>2</v>
      </c>
    </row>
    <row r="203" spans="12:17" x14ac:dyDescent="0.35">
      <c r="L203" s="31">
        <v>201</v>
      </c>
      <c r="M203" s="31">
        <v>0</v>
      </c>
      <c r="N203" s="31">
        <f>AVERAGE(M200:M207)</f>
        <v>0</v>
      </c>
      <c r="O203" s="31">
        <f>MAX($A$35)/2</f>
        <v>279.625</v>
      </c>
      <c r="Q203" s="31">
        <v>2</v>
      </c>
    </row>
    <row r="204" spans="12:17" x14ac:dyDescent="0.35">
      <c r="L204" s="31">
        <v>202</v>
      </c>
      <c r="M204" s="31">
        <v>0</v>
      </c>
      <c r="N204" s="31">
        <f>AVERAGE(M201:M208)</f>
        <v>0</v>
      </c>
      <c r="O204" s="31">
        <f>MAX($A$35)/2</f>
        <v>279.625</v>
      </c>
      <c r="Q204" s="31">
        <v>7</v>
      </c>
    </row>
    <row r="205" spans="12:17" x14ac:dyDescent="0.35">
      <c r="L205" s="31">
        <v>203</v>
      </c>
      <c r="M205" s="31">
        <v>0</v>
      </c>
      <c r="N205" s="31">
        <f>AVERAGE(M202:M209)</f>
        <v>0</v>
      </c>
      <c r="O205" s="31">
        <f>MAX($A$35)/2</f>
        <v>279.625</v>
      </c>
      <c r="Q205" s="31">
        <v>12</v>
      </c>
    </row>
    <row r="206" spans="12:17" x14ac:dyDescent="0.35">
      <c r="L206" s="31">
        <v>204</v>
      </c>
      <c r="M206" s="31">
        <v>0</v>
      </c>
      <c r="N206" s="31">
        <f>AVERAGE(M203:M210)</f>
        <v>0</v>
      </c>
      <c r="O206" s="31">
        <f>MAX($A$35)/2</f>
        <v>279.625</v>
      </c>
      <c r="Q206" s="31">
        <v>9</v>
      </c>
    </row>
    <row r="207" spans="12:17" x14ac:dyDescent="0.35">
      <c r="L207" s="31">
        <v>205</v>
      </c>
      <c r="M207" s="31">
        <v>0</v>
      </c>
      <c r="N207" s="31">
        <f>AVERAGE(M204:M211)</f>
        <v>0</v>
      </c>
      <c r="O207" s="31">
        <f>MAX($A$35)/2</f>
        <v>279.625</v>
      </c>
      <c r="Q207" s="31">
        <v>2</v>
      </c>
    </row>
    <row r="208" spans="12:17" x14ac:dyDescent="0.35">
      <c r="L208" s="31">
        <v>206</v>
      </c>
      <c r="M208" s="31">
        <v>0</v>
      </c>
      <c r="N208" s="31">
        <f>AVERAGE(M205:M212)</f>
        <v>0</v>
      </c>
      <c r="O208" s="31">
        <f>MAX($A$35)/2</f>
        <v>279.625</v>
      </c>
      <c r="Q208" s="31">
        <v>9</v>
      </c>
    </row>
    <row r="209" spans="12:17" x14ac:dyDescent="0.35">
      <c r="L209" s="31">
        <v>207</v>
      </c>
      <c r="M209" s="31">
        <v>0</v>
      </c>
      <c r="N209" s="31">
        <f>AVERAGE(M206:M213)</f>
        <v>0</v>
      </c>
      <c r="O209" s="31">
        <f>MAX($A$35)/2</f>
        <v>279.625</v>
      </c>
      <c r="Q209" s="31">
        <v>8</v>
      </c>
    </row>
    <row r="210" spans="12:17" x14ac:dyDescent="0.35">
      <c r="L210" s="31">
        <v>208</v>
      </c>
      <c r="M210" s="31">
        <v>0</v>
      </c>
      <c r="N210" s="31">
        <f>AVERAGE(M207:M214)</f>
        <v>0</v>
      </c>
      <c r="O210" s="31">
        <f>MAX($A$35)/2</f>
        <v>279.625</v>
      </c>
      <c r="Q210" s="31">
        <v>6</v>
      </c>
    </row>
    <row r="211" spans="12:17" x14ac:dyDescent="0.35">
      <c r="L211" s="31">
        <v>209</v>
      </c>
      <c r="M211" s="31">
        <v>0</v>
      </c>
      <c r="N211" s="31">
        <f>AVERAGE(M208:M215)</f>
        <v>0</v>
      </c>
      <c r="O211" s="31">
        <f>MAX($A$35)/2</f>
        <v>279.625</v>
      </c>
      <c r="Q211" s="31">
        <v>7</v>
      </c>
    </row>
    <row r="212" spans="12:17" x14ac:dyDescent="0.35">
      <c r="L212" s="31">
        <v>210</v>
      </c>
      <c r="M212" s="31">
        <v>0</v>
      </c>
      <c r="N212" s="31">
        <f>AVERAGE(M209:M216)</f>
        <v>0</v>
      </c>
      <c r="O212" s="31">
        <f>MAX($A$35)/2</f>
        <v>279.625</v>
      </c>
      <c r="Q212" s="31">
        <v>15</v>
      </c>
    </row>
    <row r="213" spans="12:17" x14ac:dyDescent="0.35">
      <c r="L213" s="31">
        <v>211</v>
      </c>
      <c r="M213" s="31">
        <v>0</v>
      </c>
      <c r="N213" s="31">
        <f>AVERAGE(M210:M217)</f>
        <v>0</v>
      </c>
      <c r="O213" s="31">
        <f>MAX($A$35)/2</f>
        <v>279.625</v>
      </c>
      <c r="Q213" s="31">
        <v>6</v>
      </c>
    </row>
    <row r="214" spans="12:17" x14ac:dyDescent="0.35">
      <c r="L214" s="31">
        <v>212</v>
      </c>
      <c r="M214" s="31">
        <v>0</v>
      </c>
      <c r="N214" s="31">
        <f>AVERAGE(M211:M218)</f>
        <v>0</v>
      </c>
      <c r="O214" s="31">
        <f>MAX($A$35)/2</f>
        <v>279.625</v>
      </c>
      <c r="Q214" s="31">
        <v>6</v>
      </c>
    </row>
    <row r="215" spans="12:17" x14ac:dyDescent="0.35">
      <c r="L215" s="31">
        <v>213</v>
      </c>
      <c r="M215" s="31">
        <v>0</v>
      </c>
      <c r="N215" s="31">
        <f>AVERAGE(M212:M219)</f>
        <v>0</v>
      </c>
      <c r="O215" s="31">
        <f>MAX($A$35)/2</f>
        <v>279.625</v>
      </c>
      <c r="Q215" s="31">
        <v>3</v>
      </c>
    </row>
    <row r="216" spans="12:17" x14ac:dyDescent="0.35">
      <c r="L216" s="31">
        <v>214</v>
      </c>
      <c r="M216" s="31">
        <v>0</v>
      </c>
      <c r="N216" s="31">
        <f>AVERAGE(M213:M220)</f>
        <v>0</v>
      </c>
      <c r="O216" s="31">
        <f>MAX($A$35)/2</f>
        <v>279.625</v>
      </c>
      <c r="Q216" s="31">
        <v>8</v>
      </c>
    </row>
    <row r="217" spans="12:17" x14ac:dyDescent="0.35">
      <c r="L217" s="31">
        <v>215</v>
      </c>
      <c r="M217" s="31">
        <v>0</v>
      </c>
      <c r="N217" s="31">
        <f>AVERAGE(M214:M221)</f>
        <v>0</v>
      </c>
      <c r="O217" s="31">
        <f>MAX($A$35)/2</f>
        <v>279.625</v>
      </c>
      <c r="Q217" s="31">
        <v>9</v>
      </c>
    </row>
    <row r="218" spans="12:17" x14ac:dyDescent="0.35">
      <c r="L218" s="31">
        <v>216</v>
      </c>
      <c r="M218" s="31">
        <v>0</v>
      </c>
      <c r="N218" s="31">
        <f>AVERAGE(M215:M222)</f>
        <v>0</v>
      </c>
      <c r="O218" s="31">
        <f>MAX($A$35)/2</f>
        <v>279.625</v>
      </c>
      <c r="Q218" s="31">
        <v>8</v>
      </c>
    </row>
    <row r="219" spans="12:17" x14ac:dyDescent="0.35">
      <c r="L219" s="31">
        <v>217</v>
      </c>
      <c r="M219" s="31">
        <v>0</v>
      </c>
      <c r="N219" s="31">
        <f>AVERAGE(M216:M223)</f>
        <v>0</v>
      </c>
      <c r="O219" s="31">
        <f>MAX($A$35)/2</f>
        <v>279.625</v>
      </c>
      <c r="Q219" s="31">
        <v>6</v>
      </c>
    </row>
    <row r="220" spans="12:17" x14ac:dyDescent="0.35">
      <c r="L220" s="31">
        <v>218</v>
      </c>
      <c r="M220" s="31">
        <v>0</v>
      </c>
      <c r="N220" s="31">
        <f>AVERAGE(M217:M224)</f>
        <v>0</v>
      </c>
      <c r="O220" s="31">
        <f>MAX($A$35)/2</f>
        <v>279.625</v>
      </c>
      <c r="Q220" s="31">
        <v>10</v>
      </c>
    </row>
    <row r="221" spans="12:17" x14ac:dyDescent="0.35">
      <c r="L221" s="31">
        <v>219</v>
      </c>
      <c r="M221" s="31">
        <v>0</v>
      </c>
      <c r="N221" s="31">
        <f>AVERAGE(M218:M225)</f>
        <v>0</v>
      </c>
      <c r="O221" s="31">
        <f>MAX($A$35)/2</f>
        <v>279.625</v>
      </c>
      <c r="Q221" s="31">
        <v>8</v>
      </c>
    </row>
    <row r="222" spans="12:17" x14ac:dyDescent="0.35">
      <c r="L222" s="31">
        <v>220</v>
      </c>
      <c r="M222" s="31">
        <v>0</v>
      </c>
      <c r="N222" s="31">
        <f>AVERAGE(M219:M226)</f>
        <v>0</v>
      </c>
      <c r="O222" s="31">
        <f>MAX($A$35)/2</f>
        <v>279.625</v>
      </c>
      <c r="Q222" s="31">
        <v>7</v>
      </c>
    </row>
    <row r="223" spans="12:17" x14ac:dyDescent="0.35">
      <c r="L223" s="31">
        <v>221</v>
      </c>
      <c r="M223" s="31">
        <v>0</v>
      </c>
      <c r="N223" s="31">
        <f>AVERAGE(M220:M227)</f>
        <v>0</v>
      </c>
      <c r="O223" s="31">
        <f>MAX($A$35)/2</f>
        <v>279.625</v>
      </c>
      <c r="Q223" s="31">
        <v>9</v>
      </c>
    </row>
    <row r="224" spans="12:17" x14ac:dyDescent="0.35">
      <c r="L224" s="31">
        <v>222</v>
      </c>
      <c r="M224" s="31">
        <v>0</v>
      </c>
      <c r="N224" s="31">
        <f>AVERAGE(M221:M228)</f>
        <v>0</v>
      </c>
      <c r="O224" s="31">
        <f>MAX($A$35)/2</f>
        <v>279.625</v>
      </c>
      <c r="Q224" s="31">
        <v>7</v>
      </c>
    </row>
    <row r="225" spans="12:17" x14ac:dyDescent="0.35">
      <c r="L225" s="31">
        <v>223</v>
      </c>
      <c r="M225" s="31">
        <v>0</v>
      </c>
      <c r="N225" s="31">
        <f>AVERAGE(M222:M229)</f>
        <v>0</v>
      </c>
      <c r="O225" s="31">
        <f>MAX($A$35)/2</f>
        <v>279.625</v>
      </c>
      <c r="Q225" s="31">
        <v>7</v>
      </c>
    </row>
    <row r="226" spans="12:17" x14ac:dyDescent="0.35">
      <c r="L226" s="31">
        <v>224</v>
      </c>
      <c r="M226" s="31">
        <v>0</v>
      </c>
      <c r="N226" s="31">
        <f>AVERAGE(M223:M230)</f>
        <v>0</v>
      </c>
      <c r="O226" s="31">
        <f>MAX($A$35)/2</f>
        <v>279.625</v>
      </c>
      <c r="Q226" s="31">
        <v>6</v>
      </c>
    </row>
    <row r="227" spans="12:17" x14ac:dyDescent="0.35">
      <c r="L227" s="31">
        <v>225</v>
      </c>
      <c r="M227" s="31">
        <v>0</v>
      </c>
      <c r="N227" s="31">
        <f>AVERAGE(M224:M231)</f>
        <v>0</v>
      </c>
      <c r="O227" s="31">
        <f>MAX($A$35)/2</f>
        <v>279.625</v>
      </c>
      <c r="Q227" s="31">
        <v>5</v>
      </c>
    </row>
    <row r="228" spans="12:17" x14ac:dyDescent="0.35">
      <c r="L228" s="31">
        <v>226</v>
      </c>
      <c r="M228" s="31">
        <v>0</v>
      </c>
      <c r="N228" s="31">
        <f>AVERAGE(M225:M232)</f>
        <v>0</v>
      </c>
      <c r="O228" s="31">
        <f>MAX($A$35)/2</f>
        <v>279.625</v>
      </c>
      <c r="Q228" s="31">
        <v>6</v>
      </c>
    </row>
    <row r="229" spans="12:17" x14ac:dyDescent="0.35">
      <c r="L229" s="31">
        <v>227</v>
      </c>
      <c r="M229" s="31">
        <v>0</v>
      </c>
      <c r="N229" s="31">
        <f>AVERAGE(M226:M233)</f>
        <v>0</v>
      </c>
      <c r="O229" s="31">
        <f>MAX($A$35)/2</f>
        <v>279.625</v>
      </c>
      <c r="Q229" s="31">
        <v>6</v>
      </c>
    </row>
    <row r="230" spans="12:17" x14ac:dyDescent="0.35">
      <c r="L230" s="31">
        <v>228</v>
      </c>
      <c r="M230" s="31">
        <v>0</v>
      </c>
      <c r="N230" s="31">
        <f>AVERAGE(M227:M234)</f>
        <v>0</v>
      </c>
      <c r="O230" s="31">
        <f>MAX($A$35)/2</f>
        <v>279.625</v>
      </c>
      <c r="Q230" s="31">
        <v>8</v>
      </c>
    </row>
    <row r="231" spans="12:17" x14ac:dyDescent="0.35">
      <c r="L231" s="31">
        <v>229</v>
      </c>
      <c r="M231" s="31">
        <v>0</v>
      </c>
      <c r="N231" s="31">
        <f>AVERAGE(M228:M235)</f>
        <v>0</v>
      </c>
      <c r="O231" s="31">
        <f>MAX($A$35)/2</f>
        <v>279.625</v>
      </c>
      <c r="Q231" s="31">
        <v>8</v>
      </c>
    </row>
    <row r="232" spans="12:17" x14ac:dyDescent="0.35">
      <c r="L232" s="31">
        <v>230</v>
      </c>
      <c r="M232" s="31">
        <v>0</v>
      </c>
      <c r="N232" s="31">
        <f>AVERAGE(M229:M236)</f>
        <v>0</v>
      </c>
      <c r="O232" s="31">
        <f>MAX($A$35)/2</f>
        <v>279.625</v>
      </c>
      <c r="Q232" s="31">
        <v>7</v>
      </c>
    </row>
    <row r="233" spans="12:17" x14ac:dyDescent="0.35">
      <c r="L233" s="31">
        <v>231</v>
      </c>
      <c r="M233" s="31">
        <v>0</v>
      </c>
      <c r="N233" s="31">
        <f>AVERAGE(M230:M237)</f>
        <v>0</v>
      </c>
      <c r="O233" s="31">
        <f>MAX($A$35)/2</f>
        <v>279.625</v>
      </c>
      <c r="Q233" s="31">
        <v>3</v>
      </c>
    </row>
    <row r="234" spans="12:17" x14ac:dyDescent="0.35">
      <c r="L234" s="31">
        <v>232</v>
      </c>
      <c r="M234" s="31">
        <v>0</v>
      </c>
      <c r="N234" s="31">
        <f>AVERAGE(M231:M238)</f>
        <v>0</v>
      </c>
      <c r="O234" s="31">
        <f>MAX($A$35)/2</f>
        <v>279.625</v>
      </c>
      <c r="Q234" s="31">
        <v>6</v>
      </c>
    </row>
    <row r="235" spans="12:17" x14ac:dyDescent="0.35">
      <c r="L235" s="31">
        <v>233</v>
      </c>
      <c r="M235" s="31">
        <v>0</v>
      </c>
      <c r="N235" s="31">
        <f>AVERAGE(M232:M239)</f>
        <v>0</v>
      </c>
      <c r="O235" s="31">
        <f>MAX($A$35)/2</f>
        <v>279.625</v>
      </c>
      <c r="Q235" s="31">
        <v>2</v>
      </c>
    </row>
    <row r="236" spans="12:17" x14ac:dyDescent="0.35">
      <c r="L236" s="31">
        <v>234</v>
      </c>
      <c r="M236" s="31">
        <v>0</v>
      </c>
      <c r="N236" s="31">
        <f>AVERAGE(M233:M240)</f>
        <v>0</v>
      </c>
      <c r="O236" s="31">
        <f>MAX($A$35)/2</f>
        <v>279.625</v>
      </c>
      <c r="Q236" s="31">
        <v>4</v>
      </c>
    </row>
    <row r="237" spans="12:17" x14ac:dyDescent="0.35">
      <c r="L237" s="31">
        <v>235</v>
      </c>
      <c r="M237" s="31">
        <v>0</v>
      </c>
      <c r="N237" s="31">
        <f>AVERAGE(M234:M241)</f>
        <v>0</v>
      </c>
      <c r="O237" s="31">
        <f>MAX($A$35)/2</f>
        <v>279.625</v>
      </c>
      <c r="Q237" s="31">
        <v>5</v>
      </c>
    </row>
    <row r="238" spans="12:17" x14ac:dyDescent="0.35">
      <c r="L238" s="31">
        <v>236</v>
      </c>
      <c r="M238" s="31">
        <v>0</v>
      </c>
      <c r="N238" s="31">
        <f>AVERAGE(M235:M242)</f>
        <v>0</v>
      </c>
      <c r="O238" s="31">
        <f>MAX($A$35)/2</f>
        <v>279.625</v>
      </c>
      <c r="Q238" s="31">
        <v>5</v>
      </c>
    </row>
    <row r="239" spans="12:17" x14ac:dyDescent="0.35">
      <c r="L239" s="31">
        <v>237</v>
      </c>
      <c r="M239" s="31">
        <v>0</v>
      </c>
      <c r="N239" s="31">
        <f>AVERAGE(M236:M243)</f>
        <v>0</v>
      </c>
      <c r="O239" s="31">
        <f>MAX($A$35)/2</f>
        <v>279.625</v>
      </c>
      <c r="Q239" s="31">
        <v>3</v>
      </c>
    </row>
    <row r="240" spans="12:17" x14ac:dyDescent="0.35">
      <c r="L240" s="31">
        <v>238</v>
      </c>
      <c r="M240" s="31">
        <v>0</v>
      </c>
      <c r="N240" s="31">
        <f>AVERAGE(M237:M244)</f>
        <v>0</v>
      </c>
      <c r="O240" s="31">
        <f>MAX($A$35)/2</f>
        <v>279.625</v>
      </c>
      <c r="Q240" s="31">
        <v>7</v>
      </c>
    </row>
    <row r="241" spans="12:17" x14ac:dyDescent="0.35">
      <c r="L241" s="31">
        <v>239</v>
      </c>
      <c r="M241" s="31">
        <v>0</v>
      </c>
      <c r="N241" s="31">
        <f>AVERAGE(M238:M245)</f>
        <v>0</v>
      </c>
      <c r="O241" s="31">
        <f>MAX($A$35)/2</f>
        <v>279.625</v>
      </c>
      <c r="Q241" s="31">
        <v>12</v>
      </c>
    </row>
    <row r="242" spans="12:17" x14ac:dyDescent="0.35">
      <c r="L242" s="31">
        <v>240</v>
      </c>
      <c r="M242" s="31">
        <v>0</v>
      </c>
      <c r="N242" s="31">
        <f>AVERAGE(M239:M246)</f>
        <v>0</v>
      </c>
      <c r="O242" s="31">
        <f>MAX($A$35)/2</f>
        <v>279.625</v>
      </c>
      <c r="Q242" s="31">
        <v>9</v>
      </c>
    </row>
    <row r="243" spans="12:17" x14ac:dyDescent="0.35">
      <c r="L243" s="31">
        <v>241</v>
      </c>
      <c r="M243" s="31">
        <v>0</v>
      </c>
      <c r="N243" s="31">
        <f>AVERAGE(M240:M247)</f>
        <v>0</v>
      </c>
      <c r="O243" s="31">
        <f>MAX($A$35)/2</f>
        <v>279.625</v>
      </c>
      <c r="Q243" s="31">
        <v>6</v>
      </c>
    </row>
    <row r="244" spans="12:17" x14ac:dyDescent="0.35">
      <c r="L244" s="31">
        <v>242</v>
      </c>
      <c r="M244" s="31">
        <v>0</v>
      </c>
      <c r="N244" s="31">
        <f>AVERAGE(M241:M248)</f>
        <v>0</v>
      </c>
      <c r="O244" s="31">
        <f>MAX($A$35)/2</f>
        <v>279.625</v>
      </c>
      <c r="Q244" s="31">
        <v>12</v>
      </c>
    </row>
    <row r="245" spans="12:17" x14ac:dyDescent="0.35">
      <c r="L245" s="31">
        <v>243</v>
      </c>
      <c r="M245" s="31">
        <v>0</v>
      </c>
      <c r="N245" s="31">
        <f>AVERAGE(M242:M249)</f>
        <v>0</v>
      </c>
      <c r="O245" s="31">
        <f>MAX($A$35)/2</f>
        <v>279.625</v>
      </c>
      <c r="Q245" s="31">
        <v>8</v>
      </c>
    </row>
    <row r="246" spans="12:17" x14ac:dyDescent="0.35">
      <c r="L246" s="31">
        <v>244</v>
      </c>
      <c r="M246" s="31">
        <v>0</v>
      </c>
      <c r="N246" s="31">
        <f>AVERAGE(M243:M250)</f>
        <v>0</v>
      </c>
      <c r="O246" s="31">
        <f>MAX($A$35)/2</f>
        <v>279.625</v>
      </c>
      <c r="Q246" s="31">
        <v>6</v>
      </c>
    </row>
    <row r="247" spans="12:17" x14ac:dyDescent="0.35">
      <c r="L247" s="31">
        <v>245</v>
      </c>
      <c r="M247" s="31">
        <v>0</v>
      </c>
      <c r="N247" s="31">
        <f>AVERAGE(M244:M251)</f>
        <v>0</v>
      </c>
      <c r="O247" s="31">
        <f>MAX($A$35)/2</f>
        <v>279.625</v>
      </c>
      <c r="Q247" s="31">
        <v>8</v>
      </c>
    </row>
    <row r="248" spans="12:17" x14ac:dyDescent="0.35">
      <c r="L248" s="31">
        <v>246</v>
      </c>
      <c r="M248" s="31">
        <v>0</v>
      </c>
      <c r="N248" s="31">
        <f>AVERAGE(M245:M252)</f>
        <v>0</v>
      </c>
      <c r="O248" s="31">
        <f>MAX($A$35)/2</f>
        <v>279.625</v>
      </c>
      <c r="Q248" s="31">
        <v>6</v>
      </c>
    </row>
    <row r="249" spans="12:17" x14ac:dyDescent="0.35">
      <c r="L249" s="31">
        <v>247</v>
      </c>
      <c r="M249" s="31">
        <v>0</v>
      </c>
      <c r="N249" s="31">
        <f>AVERAGE(M246:M253)</f>
        <v>0</v>
      </c>
      <c r="O249" s="31">
        <f>MAX($A$35)/2</f>
        <v>279.625</v>
      </c>
      <c r="Q249" s="31">
        <v>9</v>
      </c>
    </row>
    <row r="250" spans="12:17" x14ac:dyDescent="0.35">
      <c r="L250" s="31">
        <v>248</v>
      </c>
      <c r="M250" s="31">
        <v>0</v>
      </c>
      <c r="N250" s="31">
        <f>AVERAGE(M247:M254)</f>
        <v>0</v>
      </c>
      <c r="O250" s="31">
        <f>MAX($A$35)/2</f>
        <v>279.625</v>
      </c>
      <c r="Q250" s="31">
        <v>6</v>
      </c>
    </row>
    <row r="251" spans="12:17" x14ac:dyDescent="0.35">
      <c r="L251" s="31">
        <v>249</v>
      </c>
      <c r="M251" s="31">
        <v>0</v>
      </c>
      <c r="N251" s="31">
        <f>AVERAGE(M248:M255)</f>
        <v>0</v>
      </c>
      <c r="O251" s="31">
        <f>MAX($A$35)/2</f>
        <v>279.625</v>
      </c>
      <c r="Q251" s="31">
        <v>9</v>
      </c>
    </row>
    <row r="252" spans="12:17" x14ac:dyDescent="0.35">
      <c r="L252" s="31">
        <v>250</v>
      </c>
      <c r="M252" s="31">
        <v>0</v>
      </c>
      <c r="N252" s="31">
        <f>AVERAGE(M249:M256)</f>
        <v>0</v>
      </c>
      <c r="O252" s="31">
        <f>MAX($A$35)/2</f>
        <v>279.625</v>
      </c>
      <c r="Q252" s="31">
        <v>5</v>
      </c>
    </row>
    <row r="253" spans="12:17" x14ac:dyDescent="0.35">
      <c r="L253" s="31">
        <v>251</v>
      </c>
      <c r="M253" s="31">
        <v>0</v>
      </c>
      <c r="N253" s="31">
        <f>AVERAGE(M250:M257)</f>
        <v>0</v>
      </c>
      <c r="O253" s="31">
        <f>MAX($A$35)/2</f>
        <v>279.625</v>
      </c>
      <c r="Q253" s="31">
        <v>8</v>
      </c>
    </row>
    <row r="254" spans="12:17" x14ac:dyDescent="0.35">
      <c r="L254" s="31">
        <v>252</v>
      </c>
      <c r="M254" s="31">
        <v>0</v>
      </c>
      <c r="N254" s="31">
        <f>AVERAGE(M251:M258)</f>
        <v>0</v>
      </c>
      <c r="O254" s="31">
        <f>MAX($A$35)/2</f>
        <v>279.625</v>
      </c>
      <c r="Q254" s="31">
        <v>3</v>
      </c>
    </row>
    <row r="255" spans="12:17" x14ac:dyDescent="0.35">
      <c r="L255" s="31">
        <v>253</v>
      </c>
      <c r="M255" s="31">
        <v>0</v>
      </c>
      <c r="N255" s="31">
        <f>AVERAGE(M252:M259)</f>
        <v>0</v>
      </c>
      <c r="O255" s="31">
        <f>MAX($A$35)/2</f>
        <v>279.625</v>
      </c>
      <c r="Q255" s="31">
        <v>4</v>
      </c>
    </row>
    <row r="256" spans="12:17" x14ac:dyDescent="0.35">
      <c r="L256" s="31">
        <v>254</v>
      </c>
      <c r="M256" s="31">
        <v>0</v>
      </c>
      <c r="N256" s="31">
        <f>AVERAGE(M253:M260)</f>
        <v>0</v>
      </c>
      <c r="O256" s="31">
        <f>MAX($A$35)/2</f>
        <v>279.625</v>
      </c>
      <c r="Q256" s="31">
        <v>8</v>
      </c>
    </row>
    <row r="257" spans="12:17" x14ac:dyDescent="0.35">
      <c r="L257" s="31">
        <v>255</v>
      </c>
      <c r="M257" s="31">
        <v>0</v>
      </c>
      <c r="N257" s="31">
        <f>AVERAGE(M254:M261)</f>
        <v>0</v>
      </c>
      <c r="O257" s="31">
        <f>MAX($A$35)/2</f>
        <v>279.625</v>
      </c>
      <c r="Q257" s="31">
        <v>4</v>
      </c>
    </row>
    <row r="258" spans="12:17" x14ac:dyDescent="0.35">
      <c r="L258" s="31">
        <v>256</v>
      </c>
      <c r="M258" s="31">
        <v>0</v>
      </c>
      <c r="N258" s="31">
        <f>AVERAGE(M255:M262)</f>
        <v>0</v>
      </c>
      <c r="O258" s="31">
        <f>MAX($A$35)/2</f>
        <v>279.625</v>
      </c>
      <c r="Q258" s="31">
        <v>5</v>
      </c>
    </row>
    <row r="259" spans="12:17" x14ac:dyDescent="0.35">
      <c r="L259" s="31">
        <v>257</v>
      </c>
      <c r="M259" s="31">
        <v>0</v>
      </c>
      <c r="N259" s="31">
        <f>AVERAGE(M256:M263)</f>
        <v>0</v>
      </c>
      <c r="O259" s="31">
        <f>MAX($A$35)/2</f>
        <v>279.625</v>
      </c>
      <c r="Q259" s="31">
        <v>4</v>
      </c>
    </row>
    <row r="260" spans="12:17" x14ac:dyDescent="0.35">
      <c r="L260" s="31">
        <v>258</v>
      </c>
      <c r="M260" s="31">
        <v>0</v>
      </c>
      <c r="N260" s="31">
        <f>AVERAGE(M257:M264)</f>
        <v>0</v>
      </c>
      <c r="O260" s="31">
        <f>MAX($A$35)/2</f>
        <v>279.625</v>
      </c>
      <c r="Q260" s="31">
        <v>6</v>
      </c>
    </row>
    <row r="261" spans="12:17" x14ac:dyDescent="0.35">
      <c r="L261" s="31">
        <v>259</v>
      </c>
      <c r="M261" s="31">
        <v>0</v>
      </c>
      <c r="N261" s="31">
        <f>AVERAGE(M258:M265)</f>
        <v>0</v>
      </c>
      <c r="O261" s="31">
        <f>MAX($A$35)/2</f>
        <v>279.625</v>
      </c>
      <c r="Q261" s="31">
        <v>5</v>
      </c>
    </row>
    <row r="262" spans="12:17" x14ac:dyDescent="0.35">
      <c r="L262" s="31">
        <v>260</v>
      </c>
      <c r="M262" s="31">
        <v>0</v>
      </c>
      <c r="N262" s="31">
        <f>AVERAGE(M259:M266)</f>
        <v>0</v>
      </c>
      <c r="O262" s="31">
        <f>MAX($A$35)/2</f>
        <v>279.625</v>
      </c>
      <c r="Q262" s="31">
        <v>10</v>
      </c>
    </row>
    <row r="263" spans="12:17" x14ac:dyDescent="0.35">
      <c r="L263" s="31">
        <v>261</v>
      </c>
      <c r="M263" s="31">
        <v>0</v>
      </c>
      <c r="N263" s="31">
        <f>AVERAGE(M260:M267)</f>
        <v>0</v>
      </c>
      <c r="O263" s="31">
        <f>MAX($A$35)/2</f>
        <v>279.625</v>
      </c>
      <c r="Q263" s="31">
        <v>15</v>
      </c>
    </row>
    <row r="264" spans="12:17" x14ac:dyDescent="0.35">
      <c r="L264" s="31">
        <v>262</v>
      </c>
      <c r="M264" s="31">
        <v>0</v>
      </c>
      <c r="N264" s="31">
        <f>AVERAGE(M261:M268)</f>
        <v>0</v>
      </c>
      <c r="O264" s="31">
        <f>MAX($A$35)/2</f>
        <v>279.625</v>
      </c>
      <c r="Q264" s="31">
        <v>6</v>
      </c>
    </row>
    <row r="265" spans="12:17" x14ac:dyDescent="0.35">
      <c r="L265" s="31">
        <v>263</v>
      </c>
      <c r="M265" s="31">
        <v>0</v>
      </c>
      <c r="N265" s="31">
        <f>AVERAGE(M262:M269)</f>
        <v>0</v>
      </c>
      <c r="O265" s="31">
        <f>MAX($A$35)/2</f>
        <v>279.625</v>
      </c>
      <c r="Q265" s="31">
        <v>4</v>
      </c>
    </row>
    <row r="266" spans="12:17" x14ac:dyDescent="0.35">
      <c r="L266" s="31">
        <v>264</v>
      </c>
      <c r="M266" s="31">
        <v>0</v>
      </c>
      <c r="N266" s="31">
        <f>AVERAGE(M263:M270)</f>
        <v>0</v>
      </c>
      <c r="O266" s="31">
        <f>MAX($A$35)/2</f>
        <v>279.625</v>
      </c>
      <c r="Q266" s="31">
        <v>5</v>
      </c>
    </row>
    <row r="267" spans="12:17" x14ac:dyDescent="0.35">
      <c r="L267" s="31">
        <v>265</v>
      </c>
      <c r="M267" s="31">
        <v>0</v>
      </c>
      <c r="N267" s="31">
        <f>AVERAGE(M264:M271)</f>
        <v>0</v>
      </c>
      <c r="O267" s="31">
        <f>MAX($A$35)/2</f>
        <v>279.625</v>
      </c>
      <c r="Q267" s="31">
        <v>6</v>
      </c>
    </row>
    <row r="268" spans="12:17" x14ac:dyDescent="0.35">
      <c r="L268" s="31">
        <v>266</v>
      </c>
      <c r="M268" s="31">
        <v>0</v>
      </c>
      <c r="N268" s="31">
        <f>AVERAGE(M265:M272)</f>
        <v>0</v>
      </c>
      <c r="O268" s="31">
        <f>MAX($A$35)/2</f>
        <v>279.625</v>
      </c>
      <c r="Q268" s="31">
        <v>8</v>
      </c>
    </row>
    <row r="269" spans="12:17" x14ac:dyDescent="0.35">
      <c r="L269" s="31">
        <v>267</v>
      </c>
      <c r="M269" s="31">
        <v>0</v>
      </c>
      <c r="N269" s="31">
        <f>AVERAGE(M266:M273)</f>
        <v>0</v>
      </c>
      <c r="O269" s="31">
        <f>MAX($A$35)/2</f>
        <v>279.625</v>
      </c>
      <c r="Q269" s="31">
        <v>9</v>
      </c>
    </row>
    <row r="270" spans="12:17" x14ac:dyDescent="0.35">
      <c r="L270" s="31">
        <v>268</v>
      </c>
      <c r="M270" s="31">
        <v>0</v>
      </c>
      <c r="N270" s="31">
        <f>AVERAGE(M267:M274)</f>
        <v>0</v>
      </c>
      <c r="O270" s="31">
        <f>MAX($A$35)/2</f>
        <v>279.625</v>
      </c>
      <c r="Q270" s="31">
        <v>8</v>
      </c>
    </row>
    <row r="271" spans="12:17" x14ac:dyDescent="0.35">
      <c r="L271" s="31">
        <v>269</v>
      </c>
      <c r="M271" s="31">
        <v>0</v>
      </c>
      <c r="N271" s="31">
        <f>AVERAGE(M268:M275)</f>
        <v>0</v>
      </c>
      <c r="O271" s="31">
        <f>MAX($A$35)/2</f>
        <v>279.625</v>
      </c>
      <c r="Q271" s="31">
        <v>4</v>
      </c>
    </row>
    <row r="272" spans="12:17" x14ac:dyDescent="0.35">
      <c r="L272" s="31">
        <v>270</v>
      </c>
      <c r="M272" s="31">
        <v>0</v>
      </c>
      <c r="N272" s="31">
        <f>AVERAGE(M269:M276)</f>
        <v>0</v>
      </c>
      <c r="O272" s="31">
        <f>MAX($A$35)/2</f>
        <v>279.625</v>
      </c>
      <c r="Q272" s="31">
        <v>9</v>
      </c>
    </row>
    <row r="273" spans="12:17" x14ac:dyDescent="0.35">
      <c r="L273" s="31">
        <v>271</v>
      </c>
      <c r="M273" s="31">
        <v>0</v>
      </c>
      <c r="N273" s="31">
        <f>AVERAGE(M270:M277)</f>
        <v>0</v>
      </c>
      <c r="O273" s="31">
        <f>MAX($A$35)/2</f>
        <v>279.625</v>
      </c>
      <c r="Q273" s="31">
        <v>5</v>
      </c>
    </row>
    <row r="274" spans="12:17" x14ac:dyDescent="0.35">
      <c r="L274" s="31">
        <v>272</v>
      </c>
      <c r="M274" s="31">
        <v>0</v>
      </c>
      <c r="N274" s="31">
        <f>AVERAGE(M271:M278)</f>
        <v>0</v>
      </c>
      <c r="O274" s="31">
        <f>MAX($A$35)/2</f>
        <v>279.625</v>
      </c>
      <c r="Q274" s="31">
        <v>10</v>
      </c>
    </row>
    <row r="275" spans="12:17" x14ac:dyDescent="0.35">
      <c r="L275" s="31">
        <v>273</v>
      </c>
      <c r="M275" s="31">
        <v>0</v>
      </c>
      <c r="N275" s="31">
        <f>AVERAGE(M272:M279)</f>
        <v>0</v>
      </c>
      <c r="O275" s="31">
        <f>MAX($A$35)/2</f>
        <v>279.625</v>
      </c>
      <c r="Q275" s="31">
        <v>10</v>
      </c>
    </row>
    <row r="276" spans="12:17" x14ac:dyDescent="0.35">
      <c r="L276" s="31">
        <v>274</v>
      </c>
      <c r="M276" s="31">
        <v>0</v>
      </c>
      <c r="N276" s="31">
        <f>AVERAGE(M273:M280)</f>
        <v>0</v>
      </c>
      <c r="O276" s="31">
        <f>MAX($A$35)/2</f>
        <v>279.625</v>
      </c>
      <c r="Q276" s="31">
        <v>5</v>
      </c>
    </row>
    <row r="277" spans="12:17" x14ac:dyDescent="0.35">
      <c r="L277" s="31">
        <v>275</v>
      </c>
      <c r="M277" s="31">
        <v>0</v>
      </c>
      <c r="N277" s="31">
        <f>AVERAGE(M274:M281)</f>
        <v>0</v>
      </c>
      <c r="O277" s="31">
        <f>MAX($A$35)/2</f>
        <v>279.625</v>
      </c>
      <c r="Q277" s="31">
        <v>8</v>
      </c>
    </row>
    <row r="278" spans="12:17" x14ac:dyDescent="0.35">
      <c r="L278" s="31">
        <v>276</v>
      </c>
      <c r="M278" s="31">
        <v>0</v>
      </c>
      <c r="N278" s="31">
        <f>AVERAGE(M275:M282)</f>
        <v>0</v>
      </c>
      <c r="O278" s="31">
        <f>MAX($A$35)/2</f>
        <v>279.625</v>
      </c>
      <c r="Q278" s="31">
        <v>3</v>
      </c>
    </row>
    <row r="279" spans="12:17" x14ac:dyDescent="0.35">
      <c r="L279" s="31">
        <v>277</v>
      </c>
      <c r="M279" s="31">
        <v>0</v>
      </c>
      <c r="N279" s="31">
        <f>AVERAGE(M276:M283)</f>
        <v>0</v>
      </c>
      <c r="O279" s="31">
        <f>MAX($A$35)/2</f>
        <v>279.625</v>
      </c>
      <c r="Q279" s="31">
        <v>9</v>
      </c>
    </row>
    <row r="280" spans="12:17" x14ac:dyDescent="0.35">
      <c r="L280" s="31">
        <v>278</v>
      </c>
      <c r="M280" s="31">
        <v>0</v>
      </c>
      <c r="N280" s="31">
        <f>AVERAGE(M277:M284)</f>
        <v>0</v>
      </c>
      <c r="O280" s="31">
        <f>MAX($A$35)/2</f>
        <v>279.625</v>
      </c>
      <c r="Q280" s="31">
        <v>5</v>
      </c>
    </row>
    <row r="281" spans="12:17" x14ac:dyDescent="0.35">
      <c r="L281" s="31">
        <v>279</v>
      </c>
      <c r="M281" s="31">
        <v>0</v>
      </c>
      <c r="N281" s="31">
        <f>AVERAGE(M278:M285)</f>
        <v>0</v>
      </c>
      <c r="O281" s="31">
        <f>MAX($A$35)/2</f>
        <v>279.625</v>
      </c>
      <c r="Q281" s="31">
        <v>9</v>
      </c>
    </row>
    <row r="282" spans="12:17" x14ac:dyDescent="0.35">
      <c r="L282" s="31">
        <v>280</v>
      </c>
      <c r="M282" s="31">
        <v>0</v>
      </c>
      <c r="N282" s="31">
        <f>AVERAGE(M279:M286)</f>
        <v>0</v>
      </c>
      <c r="O282" s="31">
        <f>MAX($A$35)/2</f>
        <v>279.625</v>
      </c>
      <c r="Q282" s="31">
        <v>3</v>
      </c>
    </row>
    <row r="283" spans="12:17" x14ac:dyDescent="0.35">
      <c r="L283" s="31">
        <v>281</v>
      </c>
      <c r="M283" s="31">
        <v>0</v>
      </c>
      <c r="N283" s="31">
        <f>AVERAGE(M280:M287)</f>
        <v>0</v>
      </c>
      <c r="O283" s="31">
        <f>MAX($A$35)/2</f>
        <v>279.625</v>
      </c>
      <c r="Q283" s="31">
        <v>7</v>
      </c>
    </row>
    <row r="284" spans="12:17" x14ac:dyDescent="0.35">
      <c r="L284" s="31">
        <v>282</v>
      </c>
      <c r="M284" s="31">
        <v>0</v>
      </c>
      <c r="N284" s="31">
        <f>AVERAGE(M281:M288)</f>
        <v>0</v>
      </c>
      <c r="O284" s="31">
        <f>MAX($A$35)/2</f>
        <v>279.625</v>
      </c>
      <c r="Q284" s="31">
        <v>5</v>
      </c>
    </row>
    <row r="285" spans="12:17" x14ac:dyDescent="0.35">
      <c r="L285" s="31">
        <v>283</v>
      </c>
      <c r="M285" s="31">
        <v>0</v>
      </c>
      <c r="N285" s="31">
        <f>AVERAGE(M282:M289)</f>
        <v>0</v>
      </c>
      <c r="O285" s="31">
        <f>MAX($A$35)/2</f>
        <v>279.625</v>
      </c>
      <c r="Q285" s="31">
        <v>5</v>
      </c>
    </row>
    <row r="286" spans="12:17" x14ac:dyDescent="0.35">
      <c r="L286" s="31">
        <v>284</v>
      </c>
      <c r="M286" s="31">
        <v>0</v>
      </c>
      <c r="N286" s="31">
        <f>AVERAGE(M283:M290)</f>
        <v>0</v>
      </c>
      <c r="O286" s="31">
        <f>MAX($A$35)/2</f>
        <v>279.625</v>
      </c>
      <c r="Q286" s="31">
        <v>10</v>
      </c>
    </row>
    <row r="287" spans="12:17" x14ac:dyDescent="0.35">
      <c r="L287" s="31">
        <v>285</v>
      </c>
      <c r="M287" s="31">
        <v>0</v>
      </c>
      <c r="N287" s="31">
        <f>AVERAGE(M284:M291)</f>
        <v>0</v>
      </c>
      <c r="O287" s="31">
        <f>MAX($A$35)/2</f>
        <v>279.625</v>
      </c>
      <c r="Q287" s="31">
        <v>6</v>
      </c>
    </row>
    <row r="288" spans="12:17" x14ac:dyDescent="0.35">
      <c r="L288" s="31">
        <v>286</v>
      </c>
      <c r="M288" s="31">
        <v>0</v>
      </c>
      <c r="N288" s="31">
        <f>AVERAGE(M285:M292)</f>
        <v>0</v>
      </c>
      <c r="O288" s="31">
        <f>MAX($A$35)/2</f>
        <v>279.625</v>
      </c>
      <c r="Q288" s="31">
        <v>7</v>
      </c>
    </row>
    <row r="289" spans="12:17" x14ac:dyDescent="0.35">
      <c r="L289" s="31">
        <v>287</v>
      </c>
      <c r="M289" s="31">
        <v>0</v>
      </c>
      <c r="N289" s="31">
        <f>AVERAGE(M286:M293)</f>
        <v>0</v>
      </c>
      <c r="O289" s="31">
        <f>MAX($A$35)/2</f>
        <v>279.625</v>
      </c>
      <c r="Q289" s="31">
        <v>10</v>
      </c>
    </row>
    <row r="290" spans="12:17" x14ac:dyDescent="0.35">
      <c r="L290" s="31">
        <v>288</v>
      </c>
      <c r="M290" s="31">
        <v>0</v>
      </c>
      <c r="N290" s="31">
        <f>AVERAGE(M287:M294)</f>
        <v>0</v>
      </c>
      <c r="O290" s="31">
        <f>MAX($A$35)/2</f>
        <v>279.625</v>
      </c>
      <c r="Q290" s="31">
        <v>5</v>
      </c>
    </row>
    <row r="291" spans="12:17" x14ac:dyDescent="0.35">
      <c r="L291" s="31">
        <v>289</v>
      </c>
      <c r="M291" s="31">
        <v>0</v>
      </c>
      <c r="N291" s="31">
        <f>AVERAGE(M288:M295)</f>
        <v>0</v>
      </c>
      <c r="O291" s="31">
        <f>MAX($A$35)/2</f>
        <v>279.625</v>
      </c>
      <c r="Q291" s="31">
        <v>6</v>
      </c>
    </row>
    <row r="292" spans="12:17" x14ac:dyDescent="0.35">
      <c r="L292" s="31">
        <v>290</v>
      </c>
      <c r="M292" s="31">
        <v>0</v>
      </c>
      <c r="N292" s="31">
        <f>AVERAGE(M289:M296)</f>
        <v>0</v>
      </c>
      <c r="O292" s="31">
        <f>MAX($A$35)/2</f>
        <v>279.625</v>
      </c>
      <c r="Q292" s="31">
        <v>6</v>
      </c>
    </row>
    <row r="293" spans="12:17" x14ac:dyDescent="0.35">
      <c r="L293" s="31">
        <v>291</v>
      </c>
      <c r="M293" s="31">
        <v>0</v>
      </c>
      <c r="N293" s="31">
        <f>AVERAGE(M290:M297)</f>
        <v>0</v>
      </c>
      <c r="O293" s="31">
        <f>MAX($A$35)/2</f>
        <v>279.625</v>
      </c>
      <c r="Q293" s="31">
        <v>6</v>
      </c>
    </row>
    <row r="294" spans="12:17" x14ac:dyDescent="0.35">
      <c r="L294" s="31">
        <v>292</v>
      </c>
      <c r="M294" s="31">
        <v>0</v>
      </c>
      <c r="N294" s="31">
        <f>AVERAGE(M291:M298)</f>
        <v>0</v>
      </c>
      <c r="O294" s="31">
        <f>MAX($A$35)/2</f>
        <v>279.625</v>
      </c>
      <c r="Q294" s="31">
        <v>7</v>
      </c>
    </row>
    <row r="295" spans="12:17" x14ac:dyDescent="0.35">
      <c r="L295" s="31">
        <v>293</v>
      </c>
      <c r="M295" s="31">
        <v>0</v>
      </c>
      <c r="N295" s="31">
        <f>AVERAGE(M292:M299)</f>
        <v>0</v>
      </c>
      <c r="O295" s="31">
        <f>MAX($A$35)/2</f>
        <v>279.625</v>
      </c>
      <c r="Q295" s="31">
        <v>6</v>
      </c>
    </row>
    <row r="296" spans="12:17" x14ac:dyDescent="0.35">
      <c r="L296" s="31">
        <v>294</v>
      </c>
      <c r="M296" s="31">
        <v>0</v>
      </c>
      <c r="N296" s="31">
        <f>AVERAGE(M293:M300)</f>
        <v>0</v>
      </c>
      <c r="O296" s="31">
        <f>MAX($A$35)/2</f>
        <v>279.625</v>
      </c>
      <c r="Q296" s="31">
        <v>9</v>
      </c>
    </row>
    <row r="297" spans="12:17" x14ac:dyDescent="0.35">
      <c r="L297" s="31">
        <v>295</v>
      </c>
      <c r="M297" s="31">
        <v>0</v>
      </c>
      <c r="N297" s="31">
        <f>AVERAGE(M294:M301)</f>
        <v>0</v>
      </c>
      <c r="O297" s="31">
        <f>MAX($A$35)/2</f>
        <v>279.625</v>
      </c>
      <c r="Q297" s="31">
        <v>8</v>
      </c>
    </row>
    <row r="298" spans="12:17" x14ac:dyDescent="0.35">
      <c r="L298" s="31">
        <v>296</v>
      </c>
      <c r="M298" s="31">
        <v>0</v>
      </c>
      <c r="N298" s="31">
        <f>AVERAGE(M295:M302)</f>
        <v>0</v>
      </c>
      <c r="O298" s="31">
        <f>MAX($A$35)/2</f>
        <v>279.625</v>
      </c>
      <c r="Q298" s="31">
        <v>10</v>
      </c>
    </row>
    <row r="299" spans="12:17" x14ac:dyDescent="0.35">
      <c r="L299" s="31">
        <v>297</v>
      </c>
      <c r="M299" s="31">
        <v>0</v>
      </c>
      <c r="N299" s="31">
        <f>AVERAGE(M296:M303)</f>
        <v>0.125</v>
      </c>
      <c r="O299" s="31">
        <f>MAX($A$35)/2</f>
        <v>279.625</v>
      </c>
      <c r="Q299" s="31">
        <v>8</v>
      </c>
    </row>
    <row r="300" spans="12:17" x14ac:dyDescent="0.35">
      <c r="L300" s="31">
        <v>298</v>
      </c>
      <c r="M300" s="31">
        <v>0</v>
      </c>
      <c r="N300" s="31">
        <f>AVERAGE(M297:M304)</f>
        <v>0.125</v>
      </c>
      <c r="O300" s="31">
        <f>MAX($A$35)/2</f>
        <v>279.625</v>
      </c>
      <c r="Q300" s="31">
        <v>8</v>
      </c>
    </row>
    <row r="301" spans="12:17" x14ac:dyDescent="0.35">
      <c r="L301" s="31">
        <v>299</v>
      </c>
      <c r="M301" s="31">
        <v>0</v>
      </c>
      <c r="N301" s="31">
        <f>AVERAGE(M298:M305)</f>
        <v>0.125</v>
      </c>
      <c r="O301" s="31">
        <f>MAX($A$35)/2</f>
        <v>279.625</v>
      </c>
      <c r="Q301" s="31">
        <v>8</v>
      </c>
    </row>
    <row r="302" spans="12:17" x14ac:dyDescent="0.35">
      <c r="L302" s="31">
        <v>300</v>
      </c>
      <c r="M302" s="31">
        <v>0</v>
      </c>
      <c r="N302" s="31">
        <f>AVERAGE(M299:M306)</f>
        <v>0.125</v>
      </c>
      <c r="O302" s="31">
        <f>MAX($A$35)/2</f>
        <v>279.625</v>
      </c>
      <c r="Q302" s="31">
        <v>12</v>
      </c>
    </row>
    <row r="303" spans="12:17" x14ac:dyDescent="0.35">
      <c r="L303" s="31">
        <v>301</v>
      </c>
      <c r="M303" s="31">
        <v>1</v>
      </c>
      <c r="N303" s="31">
        <f>AVERAGE(M300:M307)</f>
        <v>0.375</v>
      </c>
      <c r="O303" s="31">
        <f>MAX($A$35)/2</f>
        <v>279.625</v>
      </c>
      <c r="Q303" s="31">
        <v>8</v>
      </c>
    </row>
    <row r="304" spans="12:17" x14ac:dyDescent="0.35">
      <c r="L304" s="31">
        <v>302</v>
      </c>
      <c r="M304" s="31">
        <v>0</v>
      </c>
      <c r="N304" s="31">
        <f>AVERAGE(M301:M308)</f>
        <v>0.5</v>
      </c>
      <c r="O304" s="31">
        <f>MAX($A$35)/2</f>
        <v>279.625</v>
      </c>
      <c r="Q304" s="31">
        <v>11</v>
      </c>
    </row>
    <row r="305" spans="12:17" x14ac:dyDescent="0.35">
      <c r="L305" s="31">
        <v>303</v>
      </c>
      <c r="M305" s="31">
        <v>0</v>
      </c>
      <c r="N305" s="31">
        <f>AVERAGE(M302:M309)</f>
        <v>0.5</v>
      </c>
      <c r="O305" s="31">
        <f>MAX($A$35)/2</f>
        <v>279.625</v>
      </c>
      <c r="Q305" s="31">
        <v>10</v>
      </c>
    </row>
    <row r="306" spans="12:17" x14ac:dyDescent="0.35">
      <c r="L306" s="31">
        <v>304</v>
      </c>
      <c r="M306" s="31">
        <v>0</v>
      </c>
      <c r="N306" s="31">
        <f>AVERAGE(M303:M310)</f>
        <v>0.75</v>
      </c>
      <c r="O306" s="31">
        <f>MAX($A$35)/2</f>
        <v>279.625</v>
      </c>
      <c r="Q306" s="31">
        <v>15</v>
      </c>
    </row>
    <row r="307" spans="12:17" x14ac:dyDescent="0.35">
      <c r="L307" s="31">
        <v>305</v>
      </c>
      <c r="M307" s="31">
        <v>2</v>
      </c>
      <c r="N307" s="31">
        <f>AVERAGE(M304:M311)</f>
        <v>0.875</v>
      </c>
      <c r="O307" s="31">
        <f>MAX($A$35)/2</f>
        <v>279.625</v>
      </c>
      <c r="Q307" s="31">
        <v>10</v>
      </c>
    </row>
    <row r="308" spans="12:17" x14ac:dyDescent="0.35">
      <c r="L308" s="31">
        <v>306</v>
      </c>
      <c r="M308" s="31">
        <v>1</v>
      </c>
      <c r="N308" s="31">
        <f>AVERAGE(M305:M312)</f>
        <v>1</v>
      </c>
      <c r="O308" s="31">
        <f>MAX($A$35)/2</f>
        <v>279.625</v>
      </c>
      <c r="Q308" s="31">
        <v>16</v>
      </c>
    </row>
    <row r="309" spans="12:17" x14ac:dyDescent="0.35">
      <c r="L309" s="31">
        <v>307</v>
      </c>
      <c r="M309" s="31">
        <v>0</v>
      </c>
      <c r="N309" s="31">
        <f>AVERAGE(M306:M313)</f>
        <v>1.25</v>
      </c>
      <c r="O309" s="31">
        <f>MAX($A$35)/2</f>
        <v>279.625</v>
      </c>
      <c r="Q309" s="31">
        <v>11</v>
      </c>
    </row>
    <row r="310" spans="12:17" x14ac:dyDescent="0.35">
      <c r="L310" s="31">
        <v>308</v>
      </c>
      <c r="M310" s="31">
        <v>2</v>
      </c>
      <c r="N310" s="31">
        <f>AVERAGE(M307:M314)</f>
        <v>1.75</v>
      </c>
      <c r="O310" s="31">
        <f>MAX($A$35)/2</f>
        <v>279.625</v>
      </c>
      <c r="Q310" s="31">
        <v>12</v>
      </c>
    </row>
    <row r="311" spans="12:17" x14ac:dyDescent="0.35">
      <c r="L311" s="31">
        <v>309</v>
      </c>
      <c r="M311" s="31">
        <v>2</v>
      </c>
      <c r="N311" s="31">
        <f>AVERAGE(M308:M315)</f>
        <v>1.625</v>
      </c>
      <c r="O311" s="31">
        <f>MAX($A$35)/2</f>
        <v>279.625</v>
      </c>
      <c r="Q311" s="31">
        <v>13</v>
      </c>
    </row>
    <row r="312" spans="12:17" x14ac:dyDescent="0.35">
      <c r="L312" s="31">
        <v>310</v>
      </c>
      <c r="M312" s="31">
        <v>1</v>
      </c>
      <c r="N312" s="31">
        <f>AVERAGE(M309:M316)</f>
        <v>2</v>
      </c>
      <c r="O312" s="31">
        <f>MAX($A$35)/2</f>
        <v>279.625</v>
      </c>
      <c r="Q312" s="31">
        <v>16</v>
      </c>
    </row>
    <row r="313" spans="12:17" x14ac:dyDescent="0.35">
      <c r="L313" s="31">
        <v>311</v>
      </c>
      <c r="M313" s="31">
        <v>2</v>
      </c>
      <c r="N313" s="31">
        <f>AVERAGE(M310:M317)</f>
        <v>2.375</v>
      </c>
      <c r="O313" s="31">
        <f>MAX($A$35)/2</f>
        <v>279.625</v>
      </c>
      <c r="Q313" s="31">
        <v>11</v>
      </c>
    </row>
    <row r="314" spans="12:17" x14ac:dyDescent="0.35">
      <c r="L314" s="31">
        <v>312</v>
      </c>
      <c r="M314" s="31">
        <v>4</v>
      </c>
      <c r="N314" s="31">
        <f>AVERAGE(M311:M318)</f>
        <v>2.375</v>
      </c>
      <c r="O314" s="31">
        <f>MAX($A$35)/2</f>
        <v>279.625</v>
      </c>
      <c r="Q314" s="31">
        <v>18</v>
      </c>
    </row>
    <row r="315" spans="12:17" x14ac:dyDescent="0.35">
      <c r="L315" s="31">
        <v>313</v>
      </c>
      <c r="M315" s="31">
        <v>1</v>
      </c>
      <c r="N315" s="31">
        <f>AVERAGE(M312:M319)</f>
        <v>2.25</v>
      </c>
      <c r="O315" s="31">
        <f>MAX($A$35)/2</f>
        <v>279.625</v>
      </c>
      <c r="Q315" s="31">
        <v>11</v>
      </c>
    </row>
    <row r="316" spans="12:17" x14ac:dyDescent="0.35">
      <c r="L316" s="31">
        <v>314</v>
      </c>
      <c r="M316" s="31">
        <v>4</v>
      </c>
      <c r="N316" s="31">
        <f>AVERAGE(M313:M320)</f>
        <v>2.25</v>
      </c>
      <c r="O316" s="31">
        <f>MAX($A$35)/2</f>
        <v>279.625</v>
      </c>
      <c r="Q316" s="31">
        <v>10</v>
      </c>
    </row>
    <row r="317" spans="12:17" x14ac:dyDescent="0.35">
      <c r="L317" s="31">
        <v>315</v>
      </c>
      <c r="M317" s="31">
        <v>3</v>
      </c>
      <c r="N317" s="31">
        <f>AVERAGE(M314:M321)</f>
        <v>2.625</v>
      </c>
      <c r="O317" s="31">
        <f>MAX($A$35)/2</f>
        <v>279.625</v>
      </c>
      <c r="Q317" s="31">
        <v>16</v>
      </c>
    </row>
    <row r="318" spans="12:17" x14ac:dyDescent="0.35">
      <c r="L318" s="31">
        <v>316</v>
      </c>
      <c r="M318" s="31">
        <v>2</v>
      </c>
      <c r="N318" s="31">
        <f>AVERAGE(M315:M322)</f>
        <v>2.375</v>
      </c>
      <c r="O318" s="31">
        <f>MAX($A$35)/2</f>
        <v>279.625</v>
      </c>
      <c r="Q318" s="31">
        <v>13</v>
      </c>
    </row>
    <row r="319" spans="12:17" x14ac:dyDescent="0.35">
      <c r="L319" s="31">
        <v>317</v>
      </c>
      <c r="M319" s="31">
        <v>1</v>
      </c>
      <c r="N319" s="31">
        <f>AVERAGE(M316:M323)</f>
        <v>2.625</v>
      </c>
      <c r="O319" s="31">
        <f>MAX($A$35)/2</f>
        <v>279.625</v>
      </c>
      <c r="Q319" s="31">
        <v>11</v>
      </c>
    </row>
    <row r="320" spans="12:17" x14ac:dyDescent="0.35">
      <c r="L320" s="31">
        <v>318</v>
      </c>
      <c r="M320" s="31">
        <v>1</v>
      </c>
      <c r="N320" s="31">
        <f>AVERAGE(M317:M324)</f>
        <v>2.375</v>
      </c>
      <c r="O320" s="31">
        <f>MAX($A$35)/2</f>
        <v>279.625</v>
      </c>
      <c r="Q320" s="31">
        <v>16</v>
      </c>
    </row>
    <row r="321" spans="12:17" x14ac:dyDescent="0.35">
      <c r="L321" s="31">
        <v>319</v>
      </c>
      <c r="M321" s="31">
        <v>5</v>
      </c>
      <c r="N321" s="31">
        <f>AVERAGE(M318:M325)</f>
        <v>2.25</v>
      </c>
      <c r="O321" s="31">
        <f>MAX($A$35)/2</f>
        <v>279.625</v>
      </c>
      <c r="Q321" s="31">
        <v>15</v>
      </c>
    </row>
    <row r="322" spans="12:17" x14ac:dyDescent="0.35">
      <c r="L322" s="31">
        <v>320</v>
      </c>
      <c r="M322" s="31">
        <v>2</v>
      </c>
      <c r="N322" s="31">
        <f>AVERAGE(M319:M326)</f>
        <v>2.25</v>
      </c>
      <c r="O322" s="31">
        <f>MAX($A$35)/2</f>
        <v>279.625</v>
      </c>
      <c r="Q322" s="31">
        <v>17</v>
      </c>
    </row>
    <row r="323" spans="12:17" x14ac:dyDescent="0.35">
      <c r="L323" s="31">
        <v>321</v>
      </c>
      <c r="M323" s="31">
        <v>3</v>
      </c>
      <c r="N323" s="31">
        <f>AVERAGE(M320:M327)</f>
        <v>2.5</v>
      </c>
      <c r="O323" s="31">
        <f>MAX($A$35)/2</f>
        <v>279.625</v>
      </c>
      <c r="Q323" s="31">
        <v>17</v>
      </c>
    </row>
    <row r="324" spans="12:17" x14ac:dyDescent="0.35">
      <c r="L324" s="31">
        <v>322</v>
      </c>
      <c r="M324" s="31">
        <v>2</v>
      </c>
      <c r="N324" s="31">
        <f>AVERAGE(M321:M328)</f>
        <v>2.375</v>
      </c>
      <c r="O324" s="31">
        <f>MAX($A$35)/2</f>
        <v>279.625</v>
      </c>
      <c r="Q324" s="31">
        <v>16</v>
      </c>
    </row>
    <row r="325" spans="12:17" x14ac:dyDescent="0.35">
      <c r="L325" s="31">
        <v>323</v>
      </c>
      <c r="M325" s="31">
        <v>2</v>
      </c>
      <c r="N325" s="31">
        <f>AVERAGE(M322:M329)</f>
        <v>1.875</v>
      </c>
      <c r="O325" s="31">
        <f>MAX($A$35)/2</f>
        <v>279.625</v>
      </c>
      <c r="Q325" s="31">
        <v>22</v>
      </c>
    </row>
    <row r="326" spans="12:17" x14ac:dyDescent="0.35">
      <c r="L326" s="31">
        <v>324</v>
      </c>
      <c r="M326" s="31">
        <v>2</v>
      </c>
      <c r="N326" s="31">
        <f>AVERAGE(M323:M330)</f>
        <v>1.75</v>
      </c>
      <c r="O326" s="31">
        <f>MAX($A$35)/2</f>
        <v>279.625</v>
      </c>
      <c r="Q326" s="31">
        <v>17</v>
      </c>
    </row>
    <row r="327" spans="12:17" x14ac:dyDescent="0.35">
      <c r="L327" s="31">
        <v>325</v>
      </c>
      <c r="M327" s="31">
        <v>3</v>
      </c>
      <c r="N327" s="31">
        <f>AVERAGE(M324:M331)</f>
        <v>1.5</v>
      </c>
      <c r="O327" s="31">
        <f>MAX($A$35)/2</f>
        <v>279.625</v>
      </c>
      <c r="Q327" s="31">
        <v>25</v>
      </c>
    </row>
    <row r="328" spans="12:17" x14ac:dyDescent="0.35">
      <c r="L328" s="31">
        <v>326</v>
      </c>
      <c r="M328" s="31">
        <v>0</v>
      </c>
      <c r="N328" s="31">
        <f>AVERAGE(M325:M332)</f>
        <v>1.375</v>
      </c>
      <c r="O328" s="31">
        <f>MAX($A$35)/2</f>
        <v>279.625</v>
      </c>
      <c r="Q328" s="31">
        <v>16</v>
      </c>
    </row>
    <row r="329" spans="12:17" x14ac:dyDescent="0.35">
      <c r="L329" s="31">
        <v>327</v>
      </c>
      <c r="M329" s="31">
        <v>1</v>
      </c>
      <c r="N329" s="31">
        <f>AVERAGE(M326:M333)</f>
        <v>1.5</v>
      </c>
      <c r="O329" s="31">
        <f>MAX($A$35)/2</f>
        <v>279.625</v>
      </c>
      <c r="Q329" s="31">
        <v>20</v>
      </c>
    </row>
    <row r="330" spans="12:17" x14ac:dyDescent="0.35">
      <c r="L330" s="31">
        <v>328</v>
      </c>
      <c r="M330" s="31">
        <v>1</v>
      </c>
      <c r="N330" s="31">
        <f>AVERAGE(M327:M334)</f>
        <v>1.375</v>
      </c>
      <c r="O330" s="31">
        <f>MAX($A$35)/2</f>
        <v>279.625</v>
      </c>
      <c r="Q330" s="31">
        <v>20</v>
      </c>
    </row>
    <row r="331" spans="12:17" x14ac:dyDescent="0.35">
      <c r="L331" s="31">
        <v>329</v>
      </c>
      <c r="M331" s="31">
        <v>1</v>
      </c>
      <c r="N331" s="31">
        <f>AVERAGE(M328:M335)</f>
        <v>1.5</v>
      </c>
      <c r="O331" s="31">
        <f>MAX($A$35)/2</f>
        <v>279.625</v>
      </c>
      <c r="Q331" s="31">
        <v>31</v>
      </c>
    </row>
    <row r="332" spans="12:17" x14ac:dyDescent="0.35">
      <c r="L332" s="31">
        <v>330</v>
      </c>
      <c r="M332" s="31">
        <v>1</v>
      </c>
      <c r="N332" s="31">
        <f>AVERAGE(M329:M336)</f>
        <v>2</v>
      </c>
      <c r="O332" s="31">
        <f>MAX($A$35)/2</f>
        <v>279.625</v>
      </c>
      <c r="Q332" s="31">
        <v>27</v>
      </c>
    </row>
    <row r="333" spans="12:17" x14ac:dyDescent="0.35">
      <c r="L333" s="31">
        <v>331</v>
      </c>
      <c r="M333" s="31">
        <v>3</v>
      </c>
      <c r="N333" s="31">
        <f>AVERAGE(M330:M337)</f>
        <v>2</v>
      </c>
      <c r="O333" s="31">
        <f>MAX($A$35)/2</f>
        <v>279.625</v>
      </c>
      <c r="Q333" s="31">
        <v>21</v>
      </c>
    </row>
    <row r="334" spans="12:17" x14ac:dyDescent="0.35">
      <c r="L334" s="31">
        <v>332</v>
      </c>
      <c r="M334" s="31">
        <v>1</v>
      </c>
      <c r="N334" s="31">
        <f>AVERAGE(M331:M338)</f>
        <v>2.125</v>
      </c>
      <c r="O334" s="31">
        <f>MAX($A$35)/2</f>
        <v>279.625</v>
      </c>
      <c r="Q334" s="31">
        <v>19</v>
      </c>
    </row>
    <row r="335" spans="12:17" x14ac:dyDescent="0.35">
      <c r="L335" s="31">
        <v>333</v>
      </c>
      <c r="M335" s="31">
        <v>4</v>
      </c>
      <c r="N335" s="31">
        <f>AVERAGE(M332:M339)</f>
        <v>2.5</v>
      </c>
      <c r="O335" s="31">
        <f>MAX($A$35)/2</f>
        <v>279.625</v>
      </c>
      <c r="Q335" s="31">
        <v>27</v>
      </c>
    </row>
    <row r="336" spans="12:17" x14ac:dyDescent="0.35">
      <c r="L336" s="31">
        <v>334</v>
      </c>
      <c r="M336" s="31">
        <v>4</v>
      </c>
      <c r="N336" s="31">
        <f>AVERAGE(M333:M340)</f>
        <v>2.625</v>
      </c>
      <c r="O336" s="31">
        <f>MAX($A$35)/2</f>
        <v>279.625</v>
      </c>
      <c r="Q336" s="31">
        <v>33</v>
      </c>
    </row>
    <row r="337" spans="12:17" x14ac:dyDescent="0.35">
      <c r="L337" s="31">
        <v>335</v>
      </c>
      <c r="M337" s="31">
        <v>1</v>
      </c>
      <c r="N337" s="31">
        <f>AVERAGE(M334:M341)</f>
        <v>2.625</v>
      </c>
      <c r="O337" s="31">
        <f>MAX($A$35)/2</f>
        <v>279.625</v>
      </c>
      <c r="Q337" s="31">
        <v>32</v>
      </c>
    </row>
    <row r="338" spans="12:17" x14ac:dyDescent="0.35">
      <c r="L338" s="31">
        <v>336</v>
      </c>
      <c r="M338" s="31">
        <v>2</v>
      </c>
      <c r="N338" s="31">
        <f>AVERAGE(M335:M342)</f>
        <v>2.875</v>
      </c>
      <c r="O338" s="31">
        <f>MAX($A$35)/2</f>
        <v>279.625</v>
      </c>
      <c r="Q338" s="31">
        <v>26</v>
      </c>
    </row>
    <row r="339" spans="12:17" x14ac:dyDescent="0.35">
      <c r="L339" s="31">
        <v>337</v>
      </c>
      <c r="M339" s="31">
        <v>4</v>
      </c>
      <c r="N339" s="31">
        <f>AVERAGE(M336:M343)</f>
        <v>3.125</v>
      </c>
      <c r="O339" s="31">
        <f>MAX($A$35)/2</f>
        <v>279.625</v>
      </c>
      <c r="Q339" s="31">
        <v>29</v>
      </c>
    </row>
    <row r="340" spans="12:17" x14ac:dyDescent="0.35">
      <c r="L340" s="31">
        <v>338</v>
      </c>
      <c r="M340" s="31">
        <v>2</v>
      </c>
      <c r="N340" s="31">
        <f>AVERAGE(M337:M344)</f>
        <v>3.125</v>
      </c>
      <c r="O340" s="31">
        <f>MAX($A$35)/2</f>
        <v>279.625</v>
      </c>
      <c r="Q340" s="31">
        <v>30</v>
      </c>
    </row>
    <row r="341" spans="12:17" x14ac:dyDescent="0.35">
      <c r="L341" s="31">
        <v>339</v>
      </c>
      <c r="M341" s="31">
        <v>3</v>
      </c>
      <c r="N341" s="31">
        <f>AVERAGE(M338:M345)</f>
        <v>3.625</v>
      </c>
      <c r="O341" s="31">
        <f>MAX($A$35)/2</f>
        <v>279.625</v>
      </c>
      <c r="Q341" s="31">
        <v>38</v>
      </c>
    </row>
    <row r="342" spans="12:17" x14ac:dyDescent="0.35">
      <c r="L342" s="31">
        <v>340</v>
      </c>
      <c r="M342" s="31">
        <v>3</v>
      </c>
      <c r="N342" s="31">
        <f>AVERAGE(M339:M346)</f>
        <v>4.375</v>
      </c>
      <c r="O342" s="31">
        <f>MAX($A$35)/2</f>
        <v>279.625</v>
      </c>
      <c r="Q342" s="31">
        <v>35</v>
      </c>
    </row>
    <row r="343" spans="12:17" x14ac:dyDescent="0.35">
      <c r="L343" s="31">
        <v>341</v>
      </c>
      <c r="M343" s="31">
        <v>6</v>
      </c>
      <c r="N343" s="31">
        <f>AVERAGE(M340:M347)</f>
        <v>4.25</v>
      </c>
      <c r="O343" s="31">
        <f>MAX($A$35)/2</f>
        <v>279.625</v>
      </c>
      <c r="Q343" s="31">
        <v>45</v>
      </c>
    </row>
    <row r="344" spans="12:17" x14ac:dyDescent="0.35">
      <c r="L344" s="31">
        <v>342</v>
      </c>
      <c r="M344" s="31">
        <v>4</v>
      </c>
      <c r="N344" s="31">
        <f>AVERAGE(M341:M348)</f>
        <v>4.875</v>
      </c>
      <c r="O344" s="31">
        <f>MAX($A$35)/2</f>
        <v>279.625</v>
      </c>
      <c r="Q344" s="31">
        <v>46</v>
      </c>
    </row>
    <row r="345" spans="12:17" x14ac:dyDescent="0.35">
      <c r="L345" s="31">
        <v>343</v>
      </c>
      <c r="M345" s="31">
        <v>5</v>
      </c>
      <c r="N345" s="31">
        <f>AVERAGE(M342:M349)</f>
        <v>5.5</v>
      </c>
      <c r="O345" s="31">
        <f>MAX($A$35)/2</f>
        <v>279.625</v>
      </c>
      <c r="Q345" s="31">
        <v>28</v>
      </c>
    </row>
    <row r="346" spans="12:17" x14ac:dyDescent="0.35">
      <c r="L346" s="31">
        <v>344</v>
      </c>
      <c r="M346" s="31">
        <v>8</v>
      </c>
      <c r="N346" s="31">
        <f>AVERAGE(M343:M350)</f>
        <v>5.625</v>
      </c>
      <c r="O346" s="31">
        <f>MAX($A$35)/2</f>
        <v>279.625</v>
      </c>
      <c r="Q346" s="31">
        <v>52</v>
      </c>
    </row>
    <row r="347" spans="12:17" x14ac:dyDescent="0.35">
      <c r="L347" s="31">
        <v>345</v>
      </c>
      <c r="M347" s="31">
        <v>3</v>
      </c>
      <c r="N347" s="31">
        <f>AVERAGE(M344:M351)</f>
        <v>5.375</v>
      </c>
      <c r="O347" s="31">
        <f>MAX($A$35)/2</f>
        <v>279.625</v>
      </c>
      <c r="Q347" s="31">
        <v>39</v>
      </c>
    </row>
    <row r="348" spans="12:17" x14ac:dyDescent="0.35">
      <c r="L348" s="31">
        <v>346</v>
      </c>
      <c r="M348" s="31">
        <v>7</v>
      </c>
      <c r="N348" s="31">
        <f>AVERAGE(M345:M352)</f>
        <v>5.5</v>
      </c>
      <c r="O348" s="31">
        <f>MAX($A$35)/2</f>
        <v>279.625</v>
      </c>
      <c r="Q348" s="31">
        <v>47</v>
      </c>
    </row>
    <row r="349" spans="12:17" x14ac:dyDescent="0.35">
      <c r="L349" s="31">
        <v>347</v>
      </c>
      <c r="M349" s="31">
        <v>8</v>
      </c>
      <c r="N349" s="31">
        <f>AVERAGE(M346:M353)</f>
        <v>5.75</v>
      </c>
      <c r="O349" s="31">
        <f>MAX($A$35)/2</f>
        <v>279.625</v>
      </c>
      <c r="Q349" s="31">
        <v>62</v>
      </c>
    </row>
    <row r="350" spans="12:17" x14ac:dyDescent="0.35">
      <c r="L350" s="31">
        <v>348</v>
      </c>
      <c r="M350" s="31">
        <v>4</v>
      </c>
      <c r="N350" s="31">
        <f>AVERAGE(M347:M354)</f>
        <v>5.875</v>
      </c>
      <c r="O350" s="31">
        <f>MAX($A$35)/2</f>
        <v>279.625</v>
      </c>
      <c r="Q350" s="31">
        <v>59</v>
      </c>
    </row>
    <row r="351" spans="12:17" x14ac:dyDescent="0.35">
      <c r="L351" s="31">
        <v>349</v>
      </c>
      <c r="M351" s="31">
        <v>4</v>
      </c>
      <c r="N351" s="31">
        <f>AVERAGE(M348:M355)</f>
        <v>6.75</v>
      </c>
      <c r="O351" s="31">
        <f>MAX($A$35)/2</f>
        <v>279.625</v>
      </c>
      <c r="Q351" s="31">
        <v>51</v>
      </c>
    </row>
    <row r="352" spans="12:17" x14ac:dyDescent="0.35">
      <c r="L352" s="31">
        <v>350</v>
      </c>
      <c r="M352" s="31">
        <v>5</v>
      </c>
      <c r="N352" s="31">
        <f>AVERAGE(M349:M356)</f>
        <v>7</v>
      </c>
      <c r="O352" s="31">
        <f>MAX($A$35)/2</f>
        <v>279.625</v>
      </c>
      <c r="Q352" s="31">
        <v>48</v>
      </c>
    </row>
    <row r="353" spans="12:17" x14ac:dyDescent="0.35">
      <c r="L353" s="31">
        <v>351</v>
      </c>
      <c r="M353" s="31">
        <v>7</v>
      </c>
      <c r="N353" s="31">
        <f>AVERAGE(M350:M357)</f>
        <v>7.25</v>
      </c>
      <c r="O353" s="31">
        <f>MAX($A$35)/2</f>
        <v>279.625</v>
      </c>
      <c r="Q353" s="31">
        <v>62</v>
      </c>
    </row>
    <row r="354" spans="12:17" x14ac:dyDescent="0.35">
      <c r="L354" s="31">
        <v>352</v>
      </c>
      <c r="M354" s="31">
        <v>9</v>
      </c>
      <c r="N354" s="31">
        <f>AVERAGE(M351:M358)</f>
        <v>7.625</v>
      </c>
      <c r="O354" s="31">
        <f>MAX($A$35)/2</f>
        <v>279.625</v>
      </c>
      <c r="Q354" s="31">
        <v>58</v>
      </c>
    </row>
    <row r="355" spans="12:17" x14ac:dyDescent="0.35">
      <c r="L355" s="31">
        <v>353</v>
      </c>
      <c r="M355" s="31">
        <v>10</v>
      </c>
      <c r="N355" s="31">
        <f>AVERAGE(M352:M359)</f>
        <v>9.375</v>
      </c>
      <c r="O355" s="31">
        <f>MAX($A$35)/2</f>
        <v>279.625</v>
      </c>
      <c r="Q355" s="31">
        <v>57</v>
      </c>
    </row>
    <row r="356" spans="12:17" x14ac:dyDescent="0.35">
      <c r="L356" s="31">
        <v>354</v>
      </c>
      <c r="M356" s="31">
        <v>9</v>
      </c>
      <c r="N356" s="31">
        <f>AVERAGE(M353:M360)</f>
        <v>9.5</v>
      </c>
      <c r="O356" s="31">
        <f>MAX($A$35)/2</f>
        <v>279.625</v>
      </c>
      <c r="Q356" s="31">
        <v>77</v>
      </c>
    </row>
    <row r="357" spans="12:17" x14ac:dyDescent="0.35">
      <c r="L357" s="31">
        <v>355</v>
      </c>
      <c r="M357" s="31">
        <v>10</v>
      </c>
      <c r="N357" s="31">
        <f>AVERAGE(M354:M361)</f>
        <v>9.875</v>
      </c>
      <c r="O357" s="31">
        <f>MAX($A$35)/2</f>
        <v>279.625</v>
      </c>
      <c r="Q357" s="31">
        <v>65</v>
      </c>
    </row>
    <row r="358" spans="12:17" x14ac:dyDescent="0.35">
      <c r="L358" s="31">
        <v>356</v>
      </c>
      <c r="M358" s="31">
        <v>7</v>
      </c>
      <c r="N358" s="31">
        <f>AVERAGE(M355:M362)</f>
        <v>10</v>
      </c>
      <c r="O358" s="31">
        <f>MAX($A$35)/2</f>
        <v>279.625</v>
      </c>
      <c r="Q358" s="31">
        <v>77</v>
      </c>
    </row>
    <row r="359" spans="12:17" x14ac:dyDescent="0.35">
      <c r="L359" s="31">
        <v>357</v>
      </c>
      <c r="M359" s="31">
        <v>18</v>
      </c>
      <c r="N359" s="31">
        <f>AVERAGE(M356:M363)</f>
        <v>10.75</v>
      </c>
      <c r="O359" s="31">
        <f>MAX($A$35)/2</f>
        <v>279.625</v>
      </c>
      <c r="Q359" s="31">
        <v>67</v>
      </c>
    </row>
    <row r="360" spans="12:17" x14ac:dyDescent="0.35">
      <c r="L360" s="31">
        <v>358</v>
      </c>
      <c r="M360" s="31">
        <v>6</v>
      </c>
      <c r="N360" s="31">
        <f>AVERAGE(M357:M364)</f>
        <v>11.125</v>
      </c>
      <c r="O360" s="31">
        <f>MAX($A$35)/2</f>
        <v>279.625</v>
      </c>
      <c r="Q360" s="31">
        <v>81</v>
      </c>
    </row>
    <row r="361" spans="12:17" x14ac:dyDescent="0.35">
      <c r="L361" s="31">
        <v>359</v>
      </c>
      <c r="M361" s="31">
        <v>10</v>
      </c>
      <c r="N361" s="31">
        <f>AVERAGE(M358:M365)</f>
        <v>12.125</v>
      </c>
      <c r="O361" s="31">
        <f>MAX($A$35)/2</f>
        <v>279.625</v>
      </c>
      <c r="Q361" s="31">
        <v>80</v>
      </c>
    </row>
    <row r="362" spans="12:17" x14ac:dyDescent="0.35">
      <c r="L362" s="31">
        <v>360</v>
      </c>
      <c r="M362" s="31">
        <v>10</v>
      </c>
      <c r="N362" s="31">
        <f>AVERAGE(M359:M366)</f>
        <v>13.25</v>
      </c>
      <c r="O362" s="31">
        <f>MAX($A$35)/2</f>
        <v>279.625</v>
      </c>
      <c r="Q362" s="31">
        <v>62</v>
      </c>
    </row>
    <row r="363" spans="12:17" x14ac:dyDescent="0.35">
      <c r="L363" s="31">
        <v>361</v>
      </c>
      <c r="M363" s="31">
        <v>16</v>
      </c>
      <c r="N363" s="31">
        <f>AVERAGE(M360:M367)</f>
        <v>12.875</v>
      </c>
      <c r="O363" s="31">
        <f>MAX($A$35)/2</f>
        <v>279.625</v>
      </c>
      <c r="Q363" s="31">
        <v>86</v>
      </c>
    </row>
    <row r="364" spans="12:17" x14ac:dyDescent="0.35">
      <c r="L364" s="31">
        <v>362</v>
      </c>
      <c r="M364" s="31">
        <v>12</v>
      </c>
      <c r="N364" s="31">
        <f>AVERAGE(M361:M368)</f>
        <v>15.125</v>
      </c>
      <c r="O364" s="31">
        <f>MAX($A$35)/2</f>
        <v>279.625</v>
      </c>
      <c r="Q364" s="31">
        <v>100</v>
      </c>
    </row>
    <row r="365" spans="12:17" x14ac:dyDescent="0.35">
      <c r="L365" s="31">
        <v>363</v>
      </c>
      <c r="M365" s="31">
        <v>18</v>
      </c>
      <c r="N365" s="31">
        <f>AVERAGE(M362:M369)</f>
        <v>15.375</v>
      </c>
      <c r="O365" s="31">
        <f>MAX($A$35)/2</f>
        <v>279.625</v>
      </c>
      <c r="Q365" s="31">
        <v>77</v>
      </c>
    </row>
    <row r="366" spans="12:17" x14ac:dyDescent="0.35">
      <c r="L366" s="31">
        <v>364</v>
      </c>
      <c r="M366" s="31">
        <v>16</v>
      </c>
      <c r="N366" s="31">
        <f>AVERAGE(M363:M370)</f>
        <v>15.875</v>
      </c>
      <c r="O366" s="31">
        <f>MAX($A$35)/2</f>
        <v>279.625</v>
      </c>
      <c r="Q366" s="31">
        <v>91</v>
      </c>
    </row>
    <row r="367" spans="12:17" x14ac:dyDescent="0.35">
      <c r="L367" s="31">
        <v>365</v>
      </c>
      <c r="M367" s="31">
        <v>15</v>
      </c>
      <c r="N367" s="31">
        <f>AVERAGE(M364:M371)</f>
        <v>16.75</v>
      </c>
      <c r="O367" s="31">
        <f>MAX($A$35)/2</f>
        <v>279.625</v>
      </c>
      <c r="Q367" s="31">
        <v>96</v>
      </c>
    </row>
    <row r="368" spans="12:17" x14ac:dyDescent="0.35">
      <c r="L368" s="31">
        <v>366</v>
      </c>
      <c r="M368" s="31">
        <v>24</v>
      </c>
      <c r="N368" s="31">
        <f>AVERAGE(M365:M372)</f>
        <v>17.25</v>
      </c>
      <c r="O368" s="31">
        <f>MAX($A$35)/2</f>
        <v>279.625</v>
      </c>
      <c r="Q368" s="31">
        <v>98</v>
      </c>
    </row>
    <row r="369" spans="12:17" x14ac:dyDescent="0.35">
      <c r="L369" s="31">
        <v>367</v>
      </c>
      <c r="M369" s="31">
        <v>12</v>
      </c>
      <c r="N369" s="31">
        <f>AVERAGE(M366:M373)</f>
        <v>17.625</v>
      </c>
      <c r="O369" s="31">
        <f>MAX($A$35)/2</f>
        <v>279.625</v>
      </c>
      <c r="Q369" s="31">
        <v>97</v>
      </c>
    </row>
    <row r="370" spans="12:17" x14ac:dyDescent="0.35">
      <c r="L370" s="31">
        <v>368</v>
      </c>
      <c r="M370" s="31">
        <v>14</v>
      </c>
      <c r="N370" s="31">
        <f>AVERAGE(M367:M374)</f>
        <v>17.375</v>
      </c>
      <c r="O370" s="31">
        <f>MAX($A$35)/2</f>
        <v>279.625</v>
      </c>
      <c r="Q370" s="31">
        <v>115</v>
      </c>
    </row>
    <row r="371" spans="12:17" x14ac:dyDescent="0.35">
      <c r="L371" s="31">
        <v>369</v>
      </c>
      <c r="M371" s="31">
        <v>23</v>
      </c>
      <c r="N371" s="31">
        <f>AVERAGE(M368:M375)</f>
        <v>18.125</v>
      </c>
      <c r="O371" s="31">
        <f>MAX($A$35)/2</f>
        <v>279.625</v>
      </c>
      <c r="Q371" s="31">
        <v>106</v>
      </c>
    </row>
    <row r="372" spans="12:17" x14ac:dyDescent="0.35">
      <c r="L372" s="31">
        <v>370</v>
      </c>
      <c r="M372" s="31">
        <v>16</v>
      </c>
      <c r="N372" s="31">
        <f>AVERAGE(M369:M376)</f>
        <v>17.875</v>
      </c>
      <c r="O372" s="31">
        <f>MAX($A$35)/2</f>
        <v>279.625</v>
      </c>
      <c r="Q372" s="31">
        <v>118</v>
      </c>
    </row>
    <row r="373" spans="12:17" x14ac:dyDescent="0.35">
      <c r="L373" s="31">
        <v>371</v>
      </c>
      <c r="M373" s="31">
        <v>21</v>
      </c>
      <c r="N373" s="31">
        <f>AVERAGE(M370:M377)</f>
        <v>20.75</v>
      </c>
      <c r="O373" s="31">
        <f>MAX($A$35)/2</f>
        <v>279.625</v>
      </c>
      <c r="Q373" s="31">
        <v>114</v>
      </c>
    </row>
    <row r="374" spans="12:17" x14ac:dyDescent="0.35">
      <c r="L374" s="31">
        <v>372</v>
      </c>
      <c r="M374" s="31">
        <v>14</v>
      </c>
      <c r="N374" s="31">
        <f>AVERAGE(M371:M378)</f>
        <v>22.625</v>
      </c>
      <c r="O374" s="31">
        <f>MAX($A$35)/2</f>
        <v>279.625</v>
      </c>
      <c r="Q374" s="31">
        <v>127</v>
      </c>
    </row>
    <row r="375" spans="12:17" x14ac:dyDescent="0.35">
      <c r="L375" s="31">
        <v>373</v>
      </c>
      <c r="M375" s="31">
        <v>21</v>
      </c>
      <c r="N375" s="31">
        <f>AVERAGE(M372:M379)</f>
        <v>22.25</v>
      </c>
      <c r="O375" s="31">
        <f>MAX($A$35)/2</f>
        <v>279.625</v>
      </c>
      <c r="Q375" s="31">
        <v>142</v>
      </c>
    </row>
    <row r="376" spans="12:17" x14ac:dyDescent="0.35">
      <c r="L376" s="31">
        <v>374</v>
      </c>
      <c r="M376" s="31">
        <v>22</v>
      </c>
      <c r="N376" s="31">
        <f>AVERAGE(M373:M380)</f>
        <v>23.625</v>
      </c>
      <c r="O376" s="31">
        <f>MAX($A$35)/2</f>
        <v>279.625</v>
      </c>
      <c r="Q376" s="31">
        <v>117</v>
      </c>
    </row>
    <row r="377" spans="12:17" x14ac:dyDescent="0.35">
      <c r="L377" s="31">
        <v>375</v>
      </c>
      <c r="M377" s="31">
        <v>35</v>
      </c>
      <c r="N377" s="31">
        <f>AVERAGE(M374:M381)</f>
        <v>24.5</v>
      </c>
      <c r="O377" s="31">
        <f>MAX($A$35)/2</f>
        <v>279.625</v>
      </c>
      <c r="Q377" s="31">
        <v>148</v>
      </c>
    </row>
    <row r="378" spans="12:17" x14ac:dyDescent="0.35">
      <c r="L378" s="31">
        <v>376</v>
      </c>
      <c r="M378" s="31">
        <v>29</v>
      </c>
      <c r="N378" s="31">
        <f>AVERAGE(M375:M382)</f>
        <v>27.125</v>
      </c>
      <c r="O378" s="31">
        <f>MAX($A$35)/2</f>
        <v>279.625</v>
      </c>
      <c r="Q378" s="31">
        <v>143</v>
      </c>
    </row>
    <row r="379" spans="12:17" x14ac:dyDescent="0.35">
      <c r="L379" s="31">
        <v>377</v>
      </c>
      <c r="M379" s="31">
        <v>20</v>
      </c>
      <c r="N379" s="31">
        <f>AVERAGE(M376:M383)</f>
        <v>28.375</v>
      </c>
      <c r="O379" s="31">
        <f>MAX($A$35)/2</f>
        <v>279.625</v>
      </c>
      <c r="Q379" s="31">
        <v>148</v>
      </c>
    </row>
    <row r="380" spans="12:17" x14ac:dyDescent="0.35">
      <c r="L380" s="31">
        <v>378</v>
      </c>
      <c r="M380" s="31">
        <v>27</v>
      </c>
      <c r="N380" s="31">
        <f>AVERAGE(M377:M384)</f>
        <v>30.375</v>
      </c>
      <c r="O380" s="31">
        <f>MAX($A$35)/2</f>
        <v>279.625</v>
      </c>
      <c r="Q380" s="31">
        <v>174</v>
      </c>
    </row>
    <row r="381" spans="12:17" x14ac:dyDescent="0.35">
      <c r="L381" s="31">
        <v>379</v>
      </c>
      <c r="M381" s="31">
        <v>28</v>
      </c>
      <c r="N381" s="31">
        <f>AVERAGE(M378:M385)</f>
        <v>30</v>
      </c>
      <c r="O381" s="31">
        <f>MAX($A$35)/2</f>
        <v>279.625</v>
      </c>
      <c r="Q381" s="31">
        <v>181</v>
      </c>
    </row>
    <row r="382" spans="12:17" x14ac:dyDescent="0.35">
      <c r="L382" s="31">
        <v>380</v>
      </c>
      <c r="M382" s="31">
        <v>35</v>
      </c>
      <c r="N382" s="31">
        <f>AVERAGE(M379:M386)</f>
        <v>31.375</v>
      </c>
      <c r="O382" s="31">
        <f>MAX($A$35)/2</f>
        <v>279.625</v>
      </c>
      <c r="Q382" s="31">
        <v>181</v>
      </c>
    </row>
    <row r="383" spans="12:17" x14ac:dyDescent="0.35">
      <c r="L383" s="31">
        <v>381</v>
      </c>
      <c r="M383" s="31">
        <v>31</v>
      </c>
      <c r="N383" s="31">
        <f>AVERAGE(M380:M387)</f>
        <v>33.375</v>
      </c>
      <c r="O383" s="31">
        <f>MAX($A$35)/2</f>
        <v>279.625</v>
      </c>
      <c r="Q383" s="31">
        <v>178</v>
      </c>
    </row>
    <row r="384" spans="12:17" x14ac:dyDescent="0.35">
      <c r="L384" s="31">
        <v>382</v>
      </c>
      <c r="M384" s="31">
        <v>38</v>
      </c>
      <c r="N384" s="31">
        <f>AVERAGE(M381:M388)</f>
        <v>35.375</v>
      </c>
      <c r="O384" s="31">
        <f>MAX($A$35)/2</f>
        <v>279.625</v>
      </c>
      <c r="Q384" s="31">
        <v>192</v>
      </c>
    </row>
    <row r="385" spans="12:17" x14ac:dyDescent="0.35">
      <c r="L385" s="31">
        <v>383</v>
      </c>
      <c r="M385" s="31">
        <v>32</v>
      </c>
      <c r="N385" s="31">
        <f>AVERAGE(M382:M389)</f>
        <v>37.25</v>
      </c>
      <c r="O385" s="31">
        <f>MAX($A$35)/2</f>
        <v>279.625</v>
      </c>
      <c r="Q385" s="31">
        <v>210</v>
      </c>
    </row>
    <row r="386" spans="12:17" x14ac:dyDescent="0.35">
      <c r="L386" s="31">
        <v>384</v>
      </c>
      <c r="M386" s="31">
        <v>40</v>
      </c>
      <c r="N386" s="31">
        <f>AVERAGE(M383:M390)</f>
        <v>38.375</v>
      </c>
      <c r="O386" s="31">
        <f>MAX($A$35)/2</f>
        <v>279.625</v>
      </c>
      <c r="Q386" s="31">
        <v>218</v>
      </c>
    </row>
    <row r="387" spans="12:17" x14ac:dyDescent="0.35">
      <c r="L387" s="31">
        <v>385</v>
      </c>
      <c r="M387" s="31">
        <v>36</v>
      </c>
      <c r="N387" s="31">
        <f>AVERAGE(M384:M391)</f>
        <v>40</v>
      </c>
      <c r="O387" s="31">
        <f>MAX($A$35)/2</f>
        <v>279.625</v>
      </c>
      <c r="Q387" s="31">
        <v>193</v>
      </c>
    </row>
    <row r="388" spans="12:17" x14ac:dyDescent="0.35">
      <c r="L388" s="31">
        <v>386</v>
      </c>
      <c r="M388" s="31">
        <v>43</v>
      </c>
      <c r="N388" s="31">
        <f>AVERAGE(M385:M392)</f>
        <v>42.5</v>
      </c>
      <c r="O388" s="31">
        <f>MAX($A$35)/2</f>
        <v>279.625</v>
      </c>
      <c r="Q388" s="31">
        <v>221</v>
      </c>
    </row>
    <row r="389" spans="12:17" x14ac:dyDescent="0.35">
      <c r="L389" s="31">
        <v>387</v>
      </c>
      <c r="M389" s="31">
        <v>43</v>
      </c>
      <c r="N389" s="31">
        <f>AVERAGE(M386:M393)</f>
        <v>46</v>
      </c>
      <c r="O389" s="31">
        <f>MAX($A$35)/2</f>
        <v>279.625</v>
      </c>
      <c r="Q389" s="31">
        <v>226</v>
      </c>
    </row>
    <row r="390" spans="12:17" x14ac:dyDescent="0.35">
      <c r="L390" s="31">
        <v>388</v>
      </c>
      <c r="M390" s="31">
        <v>44</v>
      </c>
      <c r="N390" s="31">
        <f>AVERAGE(M387:M394)</f>
        <v>47.375</v>
      </c>
      <c r="O390" s="31">
        <f>MAX($A$35)/2</f>
        <v>279.625</v>
      </c>
      <c r="Q390" s="31">
        <v>271</v>
      </c>
    </row>
    <row r="391" spans="12:17" x14ac:dyDescent="0.35">
      <c r="L391" s="31">
        <v>389</v>
      </c>
      <c r="M391" s="31">
        <v>44</v>
      </c>
      <c r="N391" s="31">
        <f>AVERAGE(M388:M395)</f>
        <v>50.125</v>
      </c>
      <c r="O391" s="31">
        <f>MAX($A$35)/2</f>
        <v>279.625</v>
      </c>
      <c r="Q391" s="31">
        <v>233</v>
      </c>
    </row>
    <row r="392" spans="12:17" x14ac:dyDescent="0.35">
      <c r="L392" s="31">
        <v>390</v>
      </c>
      <c r="M392" s="31">
        <v>58</v>
      </c>
      <c r="N392" s="31">
        <f>AVERAGE(M389:M396)</f>
        <v>50.5</v>
      </c>
      <c r="O392" s="31">
        <f>MAX($A$35)/2</f>
        <v>279.625</v>
      </c>
      <c r="Q392" s="31">
        <v>260</v>
      </c>
    </row>
    <row r="393" spans="12:17" x14ac:dyDescent="0.35">
      <c r="L393" s="31">
        <v>391</v>
      </c>
      <c r="M393" s="31">
        <v>60</v>
      </c>
      <c r="N393" s="31">
        <f>AVERAGE(M390:M397)</f>
        <v>53</v>
      </c>
      <c r="O393" s="31">
        <f>MAX($A$35)/2</f>
        <v>279.625</v>
      </c>
      <c r="Q393" s="31">
        <v>241</v>
      </c>
    </row>
    <row r="394" spans="12:17" x14ac:dyDescent="0.35">
      <c r="L394" s="31">
        <v>392</v>
      </c>
      <c r="M394" s="31">
        <v>51</v>
      </c>
      <c r="N394" s="31">
        <f>AVERAGE(M391:M398)</f>
        <v>56</v>
      </c>
      <c r="O394" s="31">
        <f>MAX($A$35)/2</f>
        <v>279.625</v>
      </c>
      <c r="Q394" s="31">
        <v>280</v>
      </c>
    </row>
    <row r="395" spans="12:17" x14ac:dyDescent="0.35">
      <c r="L395" s="31">
        <v>393</v>
      </c>
      <c r="M395" s="31">
        <v>58</v>
      </c>
      <c r="N395" s="31">
        <f>AVERAGE(M392:M399)</f>
        <v>59.625</v>
      </c>
      <c r="O395" s="31">
        <f>MAX($A$35)/2</f>
        <v>279.625</v>
      </c>
      <c r="Q395" s="31">
        <v>278</v>
      </c>
    </row>
    <row r="396" spans="12:17" x14ac:dyDescent="0.35">
      <c r="L396" s="31">
        <v>394</v>
      </c>
      <c r="M396" s="31">
        <v>46</v>
      </c>
      <c r="N396" s="31">
        <f>AVERAGE(M393:M400)</f>
        <v>60.875</v>
      </c>
      <c r="O396" s="31">
        <f>MAX($A$35)/2</f>
        <v>279.625</v>
      </c>
      <c r="Q396" s="31">
        <v>276</v>
      </c>
    </row>
    <row r="397" spans="12:17" x14ac:dyDescent="0.35">
      <c r="L397" s="31">
        <v>395</v>
      </c>
      <c r="M397" s="31">
        <v>63</v>
      </c>
      <c r="N397" s="31">
        <f>AVERAGE(M394:M401)</f>
        <v>62.875</v>
      </c>
      <c r="O397" s="31">
        <f>MAX($A$35)/2</f>
        <v>279.625</v>
      </c>
      <c r="Q397" s="31">
        <v>277</v>
      </c>
    </row>
    <row r="398" spans="12:17" x14ac:dyDescent="0.35">
      <c r="L398" s="31">
        <v>396</v>
      </c>
      <c r="M398" s="31">
        <v>68</v>
      </c>
      <c r="N398" s="31">
        <f>AVERAGE(M395:M402)</f>
        <v>66.75</v>
      </c>
      <c r="O398" s="31">
        <f>MAX($A$35)/2</f>
        <v>279.625</v>
      </c>
      <c r="Q398" s="31">
        <v>300</v>
      </c>
    </row>
    <row r="399" spans="12:17" x14ac:dyDescent="0.35">
      <c r="L399" s="31">
        <v>397</v>
      </c>
      <c r="M399" s="31">
        <v>73</v>
      </c>
      <c r="N399" s="31">
        <f>AVERAGE(M396:M403)</f>
        <v>69</v>
      </c>
      <c r="O399" s="31">
        <f>MAX($A$35)/2</f>
        <v>279.625</v>
      </c>
      <c r="Q399" s="31">
        <v>320</v>
      </c>
    </row>
    <row r="400" spans="12:17" x14ac:dyDescent="0.35">
      <c r="L400" s="31">
        <v>398</v>
      </c>
      <c r="M400" s="31">
        <v>68</v>
      </c>
      <c r="N400" s="31">
        <f>AVERAGE(M397:M404)</f>
        <v>73.625</v>
      </c>
      <c r="O400" s="31">
        <f>MAX($A$35)/2</f>
        <v>279.625</v>
      </c>
      <c r="Q400" s="31">
        <v>320</v>
      </c>
    </row>
    <row r="401" spans="12:17" x14ac:dyDescent="0.35">
      <c r="L401" s="31">
        <v>399</v>
      </c>
      <c r="M401" s="31">
        <v>76</v>
      </c>
      <c r="N401" s="31">
        <f>AVERAGE(M398:M405)</f>
        <v>75.875</v>
      </c>
      <c r="O401" s="31">
        <f>MAX($A$35)/2</f>
        <v>279.625</v>
      </c>
      <c r="Q401" s="31">
        <v>324</v>
      </c>
    </row>
    <row r="402" spans="12:17" x14ac:dyDescent="0.35">
      <c r="L402" s="31">
        <v>400</v>
      </c>
      <c r="M402" s="31">
        <v>82</v>
      </c>
      <c r="N402" s="31">
        <f>AVERAGE(M399:M406)</f>
        <v>77</v>
      </c>
      <c r="O402" s="31">
        <f>MAX($A$35)/2</f>
        <v>279.625</v>
      </c>
      <c r="Q402" s="31">
        <v>322</v>
      </c>
    </row>
    <row r="403" spans="12:17" x14ac:dyDescent="0.35">
      <c r="L403" s="31">
        <v>401</v>
      </c>
      <c r="M403" s="31">
        <v>76</v>
      </c>
      <c r="N403" s="31">
        <f>AVERAGE(M400:M407)</f>
        <v>80.375</v>
      </c>
      <c r="O403" s="31">
        <f>MAX($A$35)/2</f>
        <v>279.625</v>
      </c>
      <c r="Q403" s="31">
        <v>323</v>
      </c>
    </row>
    <row r="404" spans="12:17" x14ac:dyDescent="0.35">
      <c r="L404" s="31">
        <v>402</v>
      </c>
      <c r="M404" s="31">
        <v>83</v>
      </c>
      <c r="N404" s="31">
        <f>AVERAGE(M401:M408)</f>
        <v>84.625</v>
      </c>
      <c r="O404" s="31">
        <f>MAX($A$35)/2</f>
        <v>279.625</v>
      </c>
      <c r="Q404" s="31">
        <v>373</v>
      </c>
    </row>
    <row r="405" spans="12:17" x14ac:dyDescent="0.35">
      <c r="L405" s="31">
        <v>403</v>
      </c>
      <c r="M405" s="31">
        <v>81</v>
      </c>
      <c r="N405" s="31">
        <f>AVERAGE(M402:M409)</f>
        <v>86.75</v>
      </c>
      <c r="O405" s="31">
        <f>MAX($A$35)/2</f>
        <v>279.625</v>
      </c>
      <c r="Q405" s="31">
        <v>356</v>
      </c>
    </row>
    <row r="406" spans="12:17" x14ac:dyDescent="0.35">
      <c r="L406" s="31">
        <v>404</v>
      </c>
      <c r="M406" s="31">
        <v>77</v>
      </c>
      <c r="N406" s="31">
        <f>AVERAGE(M403:M410)</f>
        <v>90.625</v>
      </c>
      <c r="O406" s="31">
        <f>MAX($A$35)/2</f>
        <v>279.625</v>
      </c>
      <c r="Q406" s="31">
        <v>388</v>
      </c>
    </row>
    <row r="407" spans="12:17" x14ac:dyDescent="0.35">
      <c r="L407" s="31">
        <v>405</v>
      </c>
      <c r="M407" s="31">
        <v>100</v>
      </c>
      <c r="N407" s="31">
        <f>AVERAGE(M404:M411)</f>
        <v>96.25</v>
      </c>
      <c r="O407" s="31">
        <f>MAX($A$35)/2</f>
        <v>279.625</v>
      </c>
      <c r="Q407" s="31">
        <v>399</v>
      </c>
    </row>
    <row r="408" spans="12:17" x14ac:dyDescent="0.35">
      <c r="L408" s="31">
        <v>406</v>
      </c>
      <c r="M408" s="31">
        <v>102</v>
      </c>
      <c r="N408" s="31">
        <f>AVERAGE(M405:M412)</f>
        <v>101</v>
      </c>
      <c r="O408" s="31">
        <f>MAX($A$35)/2</f>
        <v>279.625</v>
      </c>
      <c r="Q408" s="31">
        <v>404</v>
      </c>
    </row>
    <row r="409" spans="12:17" x14ac:dyDescent="0.35">
      <c r="L409" s="31">
        <v>407</v>
      </c>
      <c r="M409" s="31">
        <v>93</v>
      </c>
      <c r="N409" s="31">
        <f>AVERAGE(M406:M413)</f>
        <v>107.625</v>
      </c>
      <c r="O409" s="31">
        <f>MAX($A$35)/2</f>
        <v>279.625</v>
      </c>
      <c r="Q409" s="31">
        <v>408</v>
      </c>
    </row>
    <row r="410" spans="12:17" x14ac:dyDescent="0.35">
      <c r="L410" s="31">
        <v>408</v>
      </c>
      <c r="M410" s="31">
        <v>113</v>
      </c>
      <c r="N410" s="31">
        <f>AVERAGE(M407:M414)</f>
        <v>115.875</v>
      </c>
      <c r="O410" s="31">
        <f>MAX($A$35)/2</f>
        <v>279.625</v>
      </c>
      <c r="Q410" s="31">
        <v>403</v>
      </c>
    </row>
    <row r="411" spans="12:17" x14ac:dyDescent="0.35">
      <c r="L411" s="31">
        <v>409</v>
      </c>
      <c r="M411" s="31">
        <v>121</v>
      </c>
      <c r="N411" s="31">
        <f>AVERAGE(M408:M415)</f>
        <v>119.75</v>
      </c>
      <c r="O411" s="31">
        <f>MAX($A$35)/2</f>
        <v>279.625</v>
      </c>
      <c r="Q411" s="31">
        <v>406</v>
      </c>
    </row>
    <row r="412" spans="12:17" x14ac:dyDescent="0.35">
      <c r="L412" s="31">
        <v>410</v>
      </c>
      <c r="M412" s="31">
        <v>121</v>
      </c>
      <c r="N412" s="31">
        <f>AVERAGE(M409:M416)</f>
        <v>122.875</v>
      </c>
      <c r="O412" s="31">
        <f>MAX($A$35)/2</f>
        <v>279.625</v>
      </c>
      <c r="Q412" s="31">
        <v>390</v>
      </c>
    </row>
    <row r="413" spans="12:17" x14ac:dyDescent="0.35">
      <c r="L413" s="31">
        <v>411</v>
      </c>
      <c r="M413" s="31">
        <v>134</v>
      </c>
      <c r="N413" s="31">
        <f>AVERAGE(M410:M417)</f>
        <v>129.375</v>
      </c>
      <c r="O413" s="31">
        <f>MAX($A$35)/2</f>
        <v>279.625</v>
      </c>
      <c r="Q413" s="31">
        <v>452</v>
      </c>
    </row>
    <row r="414" spans="12:17" x14ac:dyDescent="0.35">
      <c r="L414" s="31">
        <v>412</v>
      </c>
      <c r="M414" s="31">
        <v>143</v>
      </c>
      <c r="N414" s="31">
        <f>AVERAGE(M411:M418)</f>
        <v>132.875</v>
      </c>
      <c r="O414" s="31">
        <f>MAX($A$35)/2</f>
        <v>279.625</v>
      </c>
      <c r="Q414" s="31">
        <v>440</v>
      </c>
    </row>
    <row r="415" spans="12:17" x14ac:dyDescent="0.35">
      <c r="L415" s="31">
        <v>413</v>
      </c>
      <c r="M415" s="31">
        <v>131</v>
      </c>
      <c r="N415" s="31">
        <f>AVERAGE(M412:M419)</f>
        <v>135.5</v>
      </c>
      <c r="O415" s="31">
        <f>MAX($A$35)/2</f>
        <v>279.625</v>
      </c>
      <c r="Q415" s="31">
        <v>496</v>
      </c>
    </row>
    <row r="416" spans="12:17" x14ac:dyDescent="0.35">
      <c r="L416" s="31">
        <v>414</v>
      </c>
      <c r="M416" s="31">
        <v>127</v>
      </c>
      <c r="N416" s="31">
        <f>AVERAGE(M413:M420)</f>
        <v>140</v>
      </c>
      <c r="O416" s="31">
        <f>MAX($A$35)/2</f>
        <v>279.625</v>
      </c>
      <c r="Q416" s="31">
        <v>476</v>
      </c>
    </row>
    <row r="417" spans="12:17" x14ac:dyDescent="0.35">
      <c r="L417" s="31">
        <v>415</v>
      </c>
      <c r="M417" s="31">
        <v>145</v>
      </c>
      <c r="N417" s="31">
        <f>AVERAGE(M414:M421)</f>
        <v>142.125</v>
      </c>
      <c r="O417" s="31">
        <f>MAX($A$35)/2</f>
        <v>279.625</v>
      </c>
      <c r="Q417" s="31">
        <v>503</v>
      </c>
    </row>
    <row r="418" spans="12:17" x14ac:dyDescent="0.35">
      <c r="L418" s="31">
        <v>416</v>
      </c>
      <c r="M418" s="31">
        <v>141</v>
      </c>
      <c r="N418" s="31">
        <f>AVERAGE(M415:M422)</f>
        <v>144.875</v>
      </c>
      <c r="O418" s="31">
        <f>MAX($A$35)/2</f>
        <v>279.625</v>
      </c>
      <c r="Q418" s="31">
        <v>499</v>
      </c>
    </row>
    <row r="419" spans="12:17" x14ac:dyDescent="0.35">
      <c r="L419" s="31">
        <v>417</v>
      </c>
      <c r="M419" s="31">
        <v>142</v>
      </c>
      <c r="N419" s="31">
        <f>AVERAGE(M416:M423)</f>
        <v>152</v>
      </c>
      <c r="O419" s="31">
        <f>MAX($A$35)/2</f>
        <v>279.625</v>
      </c>
      <c r="Q419" s="31">
        <v>532</v>
      </c>
    </row>
    <row r="420" spans="12:17" x14ac:dyDescent="0.35">
      <c r="L420" s="31">
        <v>418</v>
      </c>
      <c r="M420" s="31">
        <v>157</v>
      </c>
      <c r="N420" s="31">
        <f>AVERAGE(M417:M424)</f>
        <v>153.5</v>
      </c>
      <c r="O420" s="31">
        <f>MAX($A$35)/2</f>
        <v>279.625</v>
      </c>
      <c r="Q420" s="31">
        <v>495</v>
      </c>
    </row>
    <row r="421" spans="12:17" x14ac:dyDescent="0.35">
      <c r="L421" s="31">
        <v>419</v>
      </c>
      <c r="M421" s="31">
        <v>151</v>
      </c>
      <c r="N421" s="31">
        <f>AVERAGE(M418:M425)</f>
        <v>155.25</v>
      </c>
      <c r="O421" s="31">
        <f>MAX($A$35)/2</f>
        <v>279.625</v>
      </c>
      <c r="Q421" s="31">
        <v>521</v>
      </c>
    </row>
    <row r="422" spans="12:17" x14ac:dyDescent="0.35">
      <c r="L422" s="31">
        <v>420</v>
      </c>
      <c r="M422" s="31">
        <v>165</v>
      </c>
      <c r="N422" s="31">
        <f>AVERAGE(M419:M426)</f>
        <v>160.375</v>
      </c>
      <c r="O422" s="31">
        <f>MAX($A$35)/2</f>
        <v>279.625</v>
      </c>
      <c r="Q422" s="31">
        <v>548</v>
      </c>
    </row>
    <row r="423" spans="12:17" x14ac:dyDescent="0.35">
      <c r="L423" s="31">
        <v>421</v>
      </c>
      <c r="M423" s="31">
        <v>188</v>
      </c>
      <c r="N423" s="31">
        <f>AVERAGE(M420:M427)</f>
        <v>166.75</v>
      </c>
      <c r="O423" s="31">
        <f>MAX($A$35)/2</f>
        <v>279.625</v>
      </c>
      <c r="Q423" s="31">
        <v>568</v>
      </c>
    </row>
    <row r="424" spans="12:17" x14ac:dyDescent="0.35">
      <c r="L424" s="31">
        <v>422</v>
      </c>
      <c r="M424" s="31">
        <v>139</v>
      </c>
      <c r="N424" s="31">
        <f>AVERAGE(M421:M428)</f>
        <v>170.5</v>
      </c>
      <c r="O424" s="31">
        <f>MAX($A$35)/2</f>
        <v>279.625</v>
      </c>
      <c r="Q424" s="31">
        <v>568</v>
      </c>
    </row>
    <row r="425" spans="12:17" x14ac:dyDescent="0.35">
      <c r="L425" s="31">
        <v>423</v>
      </c>
      <c r="M425" s="31">
        <v>159</v>
      </c>
      <c r="N425" s="31">
        <f>AVERAGE(M422:M429)</f>
        <v>178.25</v>
      </c>
      <c r="O425" s="31">
        <f>MAX($A$35)/2</f>
        <v>279.625</v>
      </c>
      <c r="Q425" s="31">
        <v>563</v>
      </c>
    </row>
    <row r="426" spans="12:17" x14ac:dyDescent="0.35">
      <c r="L426" s="31">
        <v>424</v>
      </c>
      <c r="M426" s="31">
        <v>182</v>
      </c>
      <c r="N426" s="31">
        <f>AVERAGE(M423:M430)</f>
        <v>179.125</v>
      </c>
      <c r="O426" s="31">
        <f>MAX($A$35)/2</f>
        <v>279.625</v>
      </c>
      <c r="Q426" s="31">
        <v>589</v>
      </c>
    </row>
    <row r="427" spans="12:17" x14ac:dyDescent="0.35">
      <c r="L427" s="31">
        <v>425</v>
      </c>
      <c r="M427" s="31">
        <v>193</v>
      </c>
      <c r="N427" s="31">
        <f>AVERAGE(M424:M431)</f>
        <v>185.375</v>
      </c>
      <c r="O427" s="31">
        <f>MAX($A$35)/2</f>
        <v>279.625</v>
      </c>
      <c r="Q427" s="31">
        <v>567</v>
      </c>
    </row>
    <row r="428" spans="12:17" x14ac:dyDescent="0.35">
      <c r="L428" s="31">
        <v>426</v>
      </c>
      <c r="M428" s="31">
        <v>187</v>
      </c>
      <c r="N428" s="31">
        <f>AVERAGE(M425:M432)</f>
        <v>196.25</v>
      </c>
      <c r="O428" s="31">
        <f>MAX($A$35)/2</f>
        <v>279.625</v>
      </c>
      <c r="Q428" s="31">
        <v>651</v>
      </c>
    </row>
    <row r="429" spans="12:17" x14ac:dyDescent="0.35">
      <c r="L429" s="31">
        <v>427</v>
      </c>
      <c r="M429" s="31">
        <v>213</v>
      </c>
      <c r="N429" s="31">
        <f>AVERAGE(M426:M433)</f>
        <v>209.125</v>
      </c>
      <c r="O429" s="31">
        <f>MAX($A$35)/2</f>
        <v>279.625</v>
      </c>
      <c r="Q429" s="31">
        <v>603</v>
      </c>
    </row>
    <row r="430" spans="12:17" x14ac:dyDescent="0.35">
      <c r="L430" s="31">
        <v>428</v>
      </c>
      <c r="M430" s="31">
        <v>172</v>
      </c>
      <c r="N430" s="31">
        <f>AVERAGE(M427:M434)</f>
        <v>216.375</v>
      </c>
      <c r="O430" s="31">
        <f>MAX($A$35)/2</f>
        <v>279.625</v>
      </c>
      <c r="Q430" s="31">
        <v>604</v>
      </c>
    </row>
    <row r="431" spans="12:17" x14ac:dyDescent="0.35">
      <c r="L431" s="31">
        <v>429</v>
      </c>
      <c r="M431" s="31">
        <v>238</v>
      </c>
      <c r="N431" s="31">
        <f>AVERAGE(M428:M435)</f>
        <v>224</v>
      </c>
      <c r="O431" s="31">
        <f>MAX($A$35)/2</f>
        <v>279.625</v>
      </c>
      <c r="Q431" s="31">
        <v>652</v>
      </c>
    </row>
    <row r="432" spans="12:17" x14ac:dyDescent="0.35">
      <c r="L432" s="31">
        <v>430</v>
      </c>
      <c r="M432" s="31">
        <v>226</v>
      </c>
      <c r="N432" s="31">
        <f>AVERAGE(M429:M436)</f>
        <v>230.625</v>
      </c>
      <c r="O432" s="31">
        <f>MAX($A$35)/2</f>
        <v>279.625</v>
      </c>
      <c r="Q432" s="31">
        <v>662</v>
      </c>
    </row>
    <row r="433" spans="12:17" x14ac:dyDescent="0.35">
      <c r="L433" s="31">
        <v>431</v>
      </c>
      <c r="M433" s="31">
        <v>262</v>
      </c>
      <c r="N433" s="31">
        <f>AVERAGE(M430:M437)</f>
        <v>234.75</v>
      </c>
      <c r="O433" s="31">
        <f>MAX($A$35)/2</f>
        <v>279.625</v>
      </c>
      <c r="Q433" s="31">
        <v>653</v>
      </c>
    </row>
    <row r="434" spans="12:17" x14ac:dyDescent="0.35">
      <c r="L434" s="31">
        <v>432</v>
      </c>
      <c r="M434" s="31">
        <v>240</v>
      </c>
      <c r="N434" s="31">
        <f>AVERAGE(M431:M438)</f>
        <v>246.25</v>
      </c>
      <c r="O434" s="31">
        <f>MAX($A$35)/2</f>
        <v>279.625</v>
      </c>
      <c r="Q434" s="31">
        <v>667</v>
      </c>
    </row>
    <row r="435" spans="12:17" x14ac:dyDescent="0.35">
      <c r="L435" s="31">
        <v>433</v>
      </c>
      <c r="M435" s="31">
        <v>254</v>
      </c>
      <c r="N435" s="31">
        <f>AVERAGE(M432:M439)</f>
        <v>251.375</v>
      </c>
      <c r="O435" s="31">
        <f>MAX($A$35)/2</f>
        <v>279.625</v>
      </c>
      <c r="Q435" s="31">
        <v>676</v>
      </c>
    </row>
    <row r="436" spans="12:17" x14ac:dyDescent="0.35">
      <c r="L436" s="31">
        <v>434</v>
      </c>
      <c r="M436" s="31">
        <v>240</v>
      </c>
      <c r="N436" s="31">
        <f>AVERAGE(M433:M440)</f>
        <v>257.875</v>
      </c>
      <c r="O436" s="31">
        <f>MAX($A$35)/2</f>
        <v>279.625</v>
      </c>
      <c r="Q436" s="31">
        <v>704</v>
      </c>
    </row>
    <row r="437" spans="12:17" x14ac:dyDescent="0.35">
      <c r="L437" s="31">
        <v>435</v>
      </c>
      <c r="M437" s="31">
        <v>246</v>
      </c>
      <c r="N437" s="31">
        <f>AVERAGE(M434:M441)</f>
        <v>263.25</v>
      </c>
      <c r="O437" s="31">
        <f>MAX($A$35)/2</f>
        <v>279.625</v>
      </c>
      <c r="Q437" s="31">
        <v>760</v>
      </c>
    </row>
    <row r="438" spans="12:17" x14ac:dyDescent="0.35">
      <c r="L438" s="31">
        <v>436</v>
      </c>
      <c r="M438" s="31">
        <v>264</v>
      </c>
      <c r="N438" s="31">
        <f>AVERAGE(M435:M442)</f>
        <v>266.75</v>
      </c>
      <c r="O438" s="31">
        <f>MAX($A$35)/2</f>
        <v>279.625</v>
      </c>
      <c r="Q438" s="31">
        <v>713</v>
      </c>
    </row>
    <row r="439" spans="12:17" x14ac:dyDescent="0.35">
      <c r="L439" s="31">
        <v>437</v>
      </c>
      <c r="M439" s="31">
        <v>279</v>
      </c>
      <c r="N439" s="31">
        <f>AVERAGE(M436:M443)</f>
        <v>270.5</v>
      </c>
      <c r="O439" s="31">
        <f>MAX($A$35)/2</f>
        <v>279.625</v>
      </c>
      <c r="Q439" s="31">
        <v>672</v>
      </c>
    </row>
    <row r="440" spans="12:17" x14ac:dyDescent="0.35">
      <c r="L440" s="31">
        <v>438</v>
      </c>
      <c r="M440" s="31">
        <v>278</v>
      </c>
      <c r="N440" s="31">
        <f>AVERAGE(M437:M444)</f>
        <v>279.5</v>
      </c>
      <c r="O440" s="31">
        <f>MAX($A$35)/2</f>
        <v>279.625</v>
      </c>
      <c r="Q440" s="31">
        <v>739</v>
      </c>
    </row>
    <row r="441" spans="12:17" x14ac:dyDescent="0.35">
      <c r="L441" s="31">
        <v>439</v>
      </c>
      <c r="M441" s="31">
        <v>305</v>
      </c>
      <c r="N441" s="31">
        <f>AVERAGE(M438:M445)</f>
        <v>290</v>
      </c>
      <c r="O441" s="31">
        <f>MAX($A$35)/2</f>
        <v>279.625</v>
      </c>
      <c r="Q441" s="31">
        <v>805</v>
      </c>
    </row>
    <row r="442" spans="12:17" x14ac:dyDescent="0.35">
      <c r="L442" s="31">
        <v>440</v>
      </c>
      <c r="M442" s="31">
        <v>268</v>
      </c>
      <c r="N442" s="31">
        <f>AVERAGE(M439:M446)</f>
        <v>296.5</v>
      </c>
      <c r="O442" s="31">
        <f>MAX($A$35)/2</f>
        <v>279.625</v>
      </c>
      <c r="Q442" s="31">
        <v>798</v>
      </c>
    </row>
    <row r="443" spans="12:17" x14ac:dyDescent="0.35">
      <c r="L443" s="31">
        <v>441</v>
      </c>
      <c r="M443" s="31">
        <v>284</v>
      </c>
      <c r="N443" s="31">
        <f>AVERAGE(M440:M447)</f>
        <v>303.375</v>
      </c>
      <c r="O443" s="31">
        <f>MAX($A$35)/2</f>
        <v>279.625</v>
      </c>
      <c r="Q443" s="31">
        <v>792</v>
      </c>
    </row>
    <row r="444" spans="12:17" x14ac:dyDescent="0.35">
      <c r="L444" s="31">
        <v>442</v>
      </c>
      <c r="M444" s="31">
        <v>312</v>
      </c>
      <c r="N444" s="31">
        <f>AVERAGE(M441:M448)</f>
        <v>304.375</v>
      </c>
      <c r="O444" s="31">
        <f>MAX($A$35)/2</f>
        <v>279.625</v>
      </c>
      <c r="Q444" s="31">
        <v>736</v>
      </c>
    </row>
    <row r="445" spans="12:17" x14ac:dyDescent="0.35">
      <c r="L445" s="31">
        <v>443</v>
      </c>
      <c r="M445" s="31">
        <v>330</v>
      </c>
      <c r="N445" s="31">
        <f>AVERAGE(M442:M449)</f>
        <v>308.25</v>
      </c>
      <c r="O445" s="31">
        <f>MAX($A$35)/2</f>
        <v>279.625</v>
      </c>
      <c r="Q445" s="31">
        <v>792</v>
      </c>
    </row>
    <row r="446" spans="12:17" x14ac:dyDescent="0.35">
      <c r="L446" s="31">
        <v>444</v>
      </c>
      <c r="M446" s="31">
        <v>316</v>
      </c>
      <c r="N446" s="31">
        <f>AVERAGE(M443:M450)</f>
        <v>318.375</v>
      </c>
      <c r="O446" s="31">
        <f>MAX($A$35)/2</f>
        <v>279.625</v>
      </c>
      <c r="Q446" s="31">
        <v>803</v>
      </c>
    </row>
    <row r="447" spans="12:17" x14ac:dyDescent="0.35">
      <c r="L447" s="31">
        <v>445</v>
      </c>
      <c r="M447" s="31">
        <v>334</v>
      </c>
      <c r="N447" s="31">
        <f>AVERAGE(M444:M451)</f>
        <v>327.5</v>
      </c>
      <c r="O447" s="31">
        <f>MAX($A$35)/2</f>
        <v>279.625</v>
      </c>
      <c r="Q447" s="31">
        <v>822</v>
      </c>
    </row>
    <row r="448" spans="12:17" x14ac:dyDescent="0.35">
      <c r="L448" s="31">
        <v>446</v>
      </c>
      <c r="M448" s="31">
        <v>286</v>
      </c>
      <c r="N448" s="31">
        <f>AVERAGE(M445:M452)</f>
        <v>333.75</v>
      </c>
      <c r="O448" s="31">
        <f>MAX($A$35)/2</f>
        <v>279.625</v>
      </c>
      <c r="Q448" s="31">
        <v>861</v>
      </c>
    </row>
    <row r="449" spans="12:17" x14ac:dyDescent="0.35">
      <c r="L449" s="31">
        <v>447</v>
      </c>
      <c r="M449" s="31">
        <v>336</v>
      </c>
      <c r="N449" s="31">
        <f>AVERAGE(M446:M453)</f>
        <v>340.125</v>
      </c>
      <c r="O449" s="31">
        <f>MAX($A$35)/2</f>
        <v>279.625</v>
      </c>
      <c r="Q449" s="31">
        <v>851</v>
      </c>
    </row>
    <row r="450" spans="12:17" x14ac:dyDescent="0.35">
      <c r="L450" s="31">
        <v>448</v>
      </c>
      <c r="M450" s="31">
        <v>349</v>
      </c>
      <c r="N450" s="31">
        <f>AVERAGE(M447:M454)</f>
        <v>344.125</v>
      </c>
      <c r="O450" s="31">
        <f>MAX($A$35)/2</f>
        <v>279.625</v>
      </c>
      <c r="Q450" s="31">
        <v>849</v>
      </c>
    </row>
    <row r="451" spans="12:17" x14ac:dyDescent="0.35">
      <c r="L451" s="31">
        <v>449</v>
      </c>
      <c r="M451" s="31">
        <v>357</v>
      </c>
      <c r="N451" s="31">
        <f>AVERAGE(M448:M455)</f>
        <v>349.375</v>
      </c>
      <c r="O451" s="31">
        <f>MAX($A$35)/2</f>
        <v>279.625</v>
      </c>
      <c r="Q451" s="31">
        <v>821</v>
      </c>
    </row>
    <row r="452" spans="12:17" x14ac:dyDescent="0.35">
      <c r="L452" s="31">
        <v>450</v>
      </c>
      <c r="M452" s="31">
        <v>362</v>
      </c>
      <c r="N452" s="31">
        <f>AVERAGE(M449:M456)</f>
        <v>359.375</v>
      </c>
      <c r="O452" s="31">
        <f>MAX($A$35)/2</f>
        <v>279.625</v>
      </c>
      <c r="Q452" s="31">
        <v>837</v>
      </c>
    </row>
    <row r="453" spans="12:17" x14ac:dyDescent="0.35">
      <c r="L453" s="31">
        <v>451</v>
      </c>
      <c r="M453" s="31">
        <v>381</v>
      </c>
      <c r="N453" s="31">
        <f>AVERAGE(M450:M457)</f>
        <v>366.625</v>
      </c>
      <c r="O453" s="31">
        <f>MAX($A$35)/2</f>
        <v>279.625</v>
      </c>
      <c r="Q453" s="31">
        <v>888</v>
      </c>
    </row>
    <row r="454" spans="12:17" x14ac:dyDescent="0.35">
      <c r="L454" s="31">
        <v>452</v>
      </c>
      <c r="M454" s="31">
        <v>348</v>
      </c>
      <c r="N454" s="31">
        <f>AVERAGE(M451:M458)</f>
        <v>369.875</v>
      </c>
      <c r="O454" s="31">
        <f>MAX($A$35)/2</f>
        <v>279.625</v>
      </c>
      <c r="Q454" s="31">
        <v>886</v>
      </c>
    </row>
    <row r="455" spans="12:17" x14ac:dyDescent="0.35">
      <c r="L455" s="31">
        <v>453</v>
      </c>
      <c r="M455" s="31">
        <v>376</v>
      </c>
      <c r="N455" s="31">
        <f>AVERAGE(M452:M459)</f>
        <v>373.125</v>
      </c>
      <c r="O455" s="31">
        <f>MAX($A$35)/2</f>
        <v>279.625</v>
      </c>
      <c r="Q455" s="31">
        <v>890</v>
      </c>
    </row>
    <row r="456" spans="12:17" x14ac:dyDescent="0.35">
      <c r="L456" s="31">
        <v>454</v>
      </c>
      <c r="M456" s="31">
        <v>366</v>
      </c>
      <c r="N456" s="31">
        <f>AVERAGE(M453:M460)</f>
        <v>376</v>
      </c>
      <c r="O456" s="31">
        <f>MAX($A$35)/2</f>
        <v>279.625</v>
      </c>
      <c r="Q456" s="31">
        <v>856</v>
      </c>
    </row>
    <row r="457" spans="12:17" x14ac:dyDescent="0.35">
      <c r="L457" s="31">
        <v>455</v>
      </c>
      <c r="M457" s="31">
        <v>394</v>
      </c>
      <c r="N457" s="31">
        <f>AVERAGE(M454:M461)</f>
        <v>379</v>
      </c>
      <c r="O457" s="31">
        <f>MAX($A$35)/2</f>
        <v>279.625</v>
      </c>
      <c r="Q457" s="31">
        <v>896</v>
      </c>
    </row>
    <row r="458" spans="12:17" x14ac:dyDescent="0.35">
      <c r="L458" s="31">
        <v>456</v>
      </c>
      <c r="M458" s="31">
        <v>375</v>
      </c>
      <c r="N458" s="31">
        <f>AVERAGE(M455:M462)</f>
        <v>388.125</v>
      </c>
      <c r="O458" s="31">
        <f>MAX($A$35)/2</f>
        <v>279.625</v>
      </c>
      <c r="Q458" s="31">
        <v>884</v>
      </c>
    </row>
    <row r="459" spans="12:17" x14ac:dyDescent="0.35">
      <c r="L459" s="31">
        <v>457</v>
      </c>
      <c r="M459" s="31">
        <v>383</v>
      </c>
      <c r="N459" s="31">
        <f>AVERAGE(M456:M463)</f>
        <v>395.5</v>
      </c>
      <c r="O459" s="31">
        <f>MAX($A$35)/2</f>
        <v>279.625</v>
      </c>
      <c r="Q459" s="31">
        <v>882</v>
      </c>
    </row>
    <row r="460" spans="12:17" x14ac:dyDescent="0.35">
      <c r="L460" s="31">
        <v>458</v>
      </c>
      <c r="M460" s="31">
        <v>385</v>
      </c>
      <c r="N460" s="31">
        <f>AVERAGE(M457:M464)</f>
        <v>405.75</v>
      </c>
      <c r="O460" s="31">
        <f>MAX($A$35)/2</f>
        <v>279.625</v>
      </c>
      <c r="Q460" s="31">
        <v>891</v>
      </c>
    </row>
    <row r="461" spans="12:17" x14ac:dyDescent="0.35">
      <c r="L461" s="31">
        <v>459</v>
      </c>
      <c r="M461" s="31">
        <v>405</v>
      </c>
      <c r="N461" s="31">
        <f>AVERAGE(M458:M465)</f>
        <v>417.5</v>
      </c>
      <c r="O461" s="31">
        <f>MAX($A$35)/2</f>
        <v>279.625</v>
      </c>
      <c r="Q461" s="31">
        <v>951</v>
      </c>
    </row>
    <row r="462" spans="12:17" x14ac:dyDescent="0.35">
      <c r="L462" s="31">
        <v>460</v>
      </c>
      <c r="M462" s="31">
        <v>421</v>
      </c>
      <c r="N462" s="31">
        <f>AVERAGE(M459:M466)</f>
        <v>428.125</v>
      </c>
      <c r="O462" s="31">
        <f>MAX($A$35)/2</f>
        <v>279.625</v>
      </c>
      <c r="Q462" s="31">
        <v>890</v>
      </c>
    </row>
    <row r="463" spans="12:17" x14ac:dyDescent="0.35">
      <c r="L463" s="31">
        <v>461</v>
      </c>
      <c r="M463" s="31">
        <v>435</v>
      </c>
      <c r="N463" s="31">
        <f>AVERAGE(M460:M467)</f>
        <v>437.625</v>
      </c>
      <c r="O463" s="31">
        <f>MAX($A$35)/2</f>
        <v>279.625</v>
      </c>
      <c r="Q463" s="31">
        <v>889</v>
      </c>
    </row>
    <row r="464" spans="12:17" x14ac:dyDescent="0.35">
      <c r="L464" s="31">
        <v>462</v>
      </c>
      <c r="M464" s="31">
        <v>448</v>
      </c>
      <c r="N464" s="31">
        <f>AVERAGE(M461:M468)</f>
        <v>446.125</v>
      </c>
      <c r="O464" s="31">
        <f>MAX($A$35)/2</f>
        <v>279.625</v>
      </c>
      <c r="Q464" s="31">
        <v>911</v>
      </c>
    </row>
    <row r="465" spans="12:17" x14ac:dyDescent="0.35">
      <c r="L465" s="31">
        <v>463</v>
      </c>
      <c r="M465" s="31">
        <v>488</v>
      </c>
      <c r="N465" s="31">
        <f>AVERAGE(M462:M469)</f>
        <v>453</v>
      </c>
      <c r="O465" s="31">
        <f>MAX($A$35)/2</f>
        <v>279.625</v>
      </c>
      <c r="Q465" s="31">
        <v>974</v>
      </c>
    </row>
    <row r="466" spans="12:17" x14ac:dyDescent="0.35">
      <c r="L466" s="31">
        <v>464</v>
      </c>
      <c r="M466" s="31">
        <v>460</v>
      </c>
      <c r="N466" s="31">
        <f>AVERAGE(M463:M470)</f>
        <v>458.75</v>
      </c>
      <c r="O466" s="31">
        <f>MAX($A$35)/2</f>
        <v>279.625</v>
      </c>
      <c r="Q466" s="31">
        <v>856</v>
      </c>
    </row>
    <row r="467" spans="12:17" x14ac:dyDescent="0.35">
      <c r="L467" s="31">
        <v>465</v>
      </c>
      <c r="M467" s="31">
        <v>459</v>
      </c>
      <c r="N467" s="31">
        <f>AVERAGE(M464:M471)</f>
        <v>463.375</v>
      </c>
      <c r="O467" s="31">
        <f>MAX($A$35)/2</f>
        <v>279.625</v>
      </c>
      <c r="Q467" s="31">
        <v>932</v>
      </c>
    </row>
    <row r="468" spans="12:17" x14ac:dyDescent="0.35">
      <c r="L468" s="31">
        <v>466</v>
      </c>
      <c r="M468" s="31">
        <v>453</v>
      </c>
      <c r="N468" s="31">
        <f>AVERAGE(M465:M472)</f>
        <v>467.125</v>
      </c>
      <c r="O468" s="31">
        <f>MAX($A$35)/2</f>
        <v>279.625</v>
      </c>
      <c r="Q468" s="31">
        <v>924</v>
      </c>
    </row>
    <row r="469" spans="12:17" x14ac:dyDescent="0.35">
      <c r="L469" s="31">
        <v>467</v>
      </c>
      <c r="M469" s="31">
        <v>460</v>
      </c>
      <c r="N469" s="31">
        <f>AVERAGE(M466:M473)</f>
        <v>471.125</v>
      </c>
      <c r="O469" s="31">
        <f>MAX($A$35)/2</f>
        <v>279.625</v>
      </c>
      <c r="Q469" s="31">
        <v>910</v>
      </c>
    </row>
    <row r="470" spans="12:17" x14ac:dyDescent="0.35">
      <c r="L470" s="31">
        <v>468</v>
      </c>
      <c r="M470" s="31">
        <v>467</v>
      </c>
      <c r="N470" s="31">
        <f>AVERAGE(M467:M474)</f>
        <v>481</v>
      </c>
      <c r="O470" s="31">
        <f>MAX($A$35)/2</f>
        <v>279.625</v>
      </c>
      <c r="Q470" s="31">
        <v>927</v>
      </c>
    </row>
    <row r="471" spans="12:17" x14ac:dyDescent="0.35">
      <c r="L471" s="31">
        <v>469</v>
      </c>
      <c r="M471" s="31">
        <v>472</v>
      </c>
      <c r="N471" s="31">
        <f>AVERAGE(M468:M475)</f>
        <v>488</v>
      </c>
      <c r="O471" s="31">
        <f>MAX($A$35)/2</f>
        <v>279.625</v>
      </c>
      <c r="Q471" s="31">
        <v>997</v>
      </c>
    </row>
    <row r="472" spans="12:17" x14ac:dyDescent="0.35">
      <c r="L472" s="31">
        <v>470</v>
      </c>
      <c r="M472" s="31">
        <v>478</v>
      </c>
      <c r="N472" s="31">
        <f>AVERAGE(M469:M476)</f>
        <v>495.25</v>
      </c>
      <c r="O472" s="31">
        <f>MAX($A$35)/2</f>
        <v>279.625</v>
      </c>
      <c r="Q472" s="31">
        <v>987</v>
      </c>
    </row>
    <row r="473" spans="12:17" x14ac:dyDescent="0.35">
      <c r="L473" s="31">
        <v>471</v>
      </c>
      <c r="M473" s="31">
        <v>520</v>
      </c>
      <c r="N473" s="31">
        <f>AVERAGE(M470:M477)</f>
        <v>504.125</v>
      </c>
      <c r="O473" s="31">
        <f>MAX($A$35)/2</f>
        <v>279.625</v>
      </c>
      <c r="Q473" s="31">
        <v>946</v>
      </c>
    </row>
    <row r="474" spans="12:17" x14ac:dyDescent="0.35">
      <c r="L474" s="31">
        <v>472</v>
      </c>
      <c r="M474" s="31">
        <v>539</v>
      </c>
      <c r="N474" s="31">
        <f>AVERAGE(M471:M478)</f>
        <v>513.125</v>
      </c>
      <c r="O474" s="31">
        <f>MAX($A$35)/2</f>
        <v>279.625</v>
      </c>
      <c r="Q474" s="31">
        <v>976</v>
      </c>
    </row>
    <row r="475" spans="12:17" x14ac:dyDescent="0.35">
      <c r="L475" s="31">
        <v>473</v>
      </c>
      <c r="M475" s="31">
        <v>515</v>
      </c>
      <c r="N475" s="31">
        <f>AVERAGE(M472:M479)</f>
        <v>519</v>
      </c>
      <c r="O475" s="31">
        <f>MAX($A$35)/2</f>
        <v>279.625</v>
      </c>
      <c r="Q475" s="31">
        <v>891</v>
      </c>
    </row>
    <row r="476" spans="12:17" x14ac:dyDescent="0.35">
      <c r="L476" s="31">
        <v>474</v>
      </c>
      <c r="M476" s="31">
        <v>511</v>
      </c>
      <c r="N476" s="31">
        <f>AVERAGE(M473:M480)</f>
        <v>521.875</v>
      </c>
      <c r="O476" s="31">
        <f>MAX($A$35)/2</f>
        <v>279.625</v>
      </c>
      <c r="Q476" s="31">
        <v>984</v>
      </c>
    </row>
    <row r="477" spans="12:17" x14ac:dyDescent="0.35">
      <c r="L477" s="31">
        <v>475</v>
      </c>
      <c r="M477" s="31">
        <v>531</v>
      </c>
      <c r="N477" s="31">
        <f>AVERAGE(M474:M481)</f>
        <v>520.375</v>
      </c>
      <c r="O477" s="31">
        <f>MAX($A$35)/2</f>
        <v>279.625</v>
      </c>
      <c r="Q477" s="31">
        <v>951</v>
      </c>
    </row>
    <row r="478" spans="12:17" x14ac:dyDescent="0.35">
      <c r="L478" s="31">
        <v>476</v>
      </c>
      <c r="M478" s="31">
        <v>539</v>
      </c>
      <c r="N478" s="31">
        <f>AVERAGE(M475:M482)</f>
        <v>515.5</v>
      </c>
      <c r="O478" s="31">
        <f>MAX($A$35)/2</f>
        <v>279.625</v>
      </c>
      <c r="Q478" s="31">
        <v>984</v>
      </c>
    </row>
    <row r="479" spans="12:17" x14ac:dyDescent="0.35">
      <c r="L479" s="31">
        <v>477</v>
      </c>
      <c r="M479" s="31">
        <v>519</v>
      </c>
      <c r="N479" s="31">
        <f>AVERAGE(M476:M483)</f>
        <v>520.75</v>
      </c>
      <c r="O479" s="31">
        <f>MAX($A$35)/2</f>
        <v>279.625</v>
      </c>
      <c r="Q479" s="31">
        <v>973</v>
      </c>
    </row>
    <row r="480" spans="12:17" x14ac:dyDescent="0.35">
      <c r="L480" s="31">
        <v>478</v>
      </c>
      <c r="M480" s="31">
        <v>501</v>
      </c>
      <c r="N480" s="31">
        <f>AVERAGE(M477:M484)</f>
        <v>521.125</v>
      </c>
      <c r="O480" s="31">
        <f>MAX($A$35)/2</f>
        <v>279.625</v>
      </c>
      <c r="Q480" s="31">
        <v>940</v>
      </c>
    </row>
    <row r="481" spans="12:17" x14ac:dyDescent="0.35">
      <c r="L481" s="31">
        <v>479</v>
      </c>
      <c r="M481" s="31">
        <v>508</v>
      </c>
      <c r="N481" s="31">
        <f>AVERAGE(M478:M485)</f>
        <v>522.125</v>
      </c>
      <c r="O481" s="31">
        <f>MAX($A$35)/2</f>
        <v>279.625</v>
      </c>
      <c r="Q481" s="31">
        <v>990</v>
      </c>
    </row>
    <row r="482" spans="12:17" x14ac:dyDescent="0.35">
      <c r="L482" s="31">
        <v>480</v>
      </c>
      <c r="M482" s="31">
        <v>500</v>
      </c>
      <c r="N482" s="31">
        <f>AVERAGE(M479:M486)</f>
        <v>522.625</v>
      </c>
      <c r="O482" s="31">
        <f>MAX($A$35)/2</f>
        <v>279.625</v>
      </c>
      <c r="Q482" s="31">
        <v>994</v>
      </c>
    </row>
    <row r="483" spans="12:17" x14ac:dyDescent="0.35">
      <c r="L483" s="31">
        <v>481</v>
      </c>
      <c r="M483" s="31">
        <v>557</v>
      </c>
      <c r="N483" s="31">
        <f>AVERAGE(M480:M487)</f>
        <v>524.75</v>
      </c>
      <c r="O483" s="31">
        <f>MAX($A$35)/2</f>
        <v>279.625</v>
      </c>
      <c r="Q483" s="31">
        <v>958</v>
      </c>
    </row>
    <row r="484" spans="12:17" x14ac:dyDescent="0.35">
      <c r="L484" s="31">
        <v>482</v>
      </c>
      <c r="M484" s="31">
        <v>514</v>
      </c>
      <c r="N484" s="31">
        <f>AVERAGE(M481:M488)</f>
        <v>527.625</v>
      </c>
      <c r="O484" s="31">
        <f>MAX($A$35)/2</f>
        <v>279.625</v>
      </c>
      <c r="Q484" s="31">
        <v>981</v>
      </c>
    </row>
    <row r="485" spans="12:17" x14ac:dyDescent="0.35">
      <c r="L485" s="31">
        <v>483</v>
      </c>
      <c r="M485" s="31">
        <v>539</v>
      </c>
      <c r="N485" s="31">
        <f>AVERAGE(M482:M489)</f>
        <v>531.5</v>
      </c>
      <c r="O485" s="31">
        <f>MAX($A$35)/2</f>
        <v>279.625</v>
      </c>
      <c r="Q485" s="31">
        <v>976</v>
      </c>
    </row>
    <row r="486" spans="12:17" x14ac:dyDescent="0.35">
      <c r="L486" s="31">
        <v>484</v>
      </c>
      <c r="M486" s="31">
        <v>543</v>
      </c>
      <c r="N486" s="31">
        <f>AVERAGE(M483:M490)</f>
        <v>539.375</v>
      </c>
      <c r="O486" s="31">
        <f>MAX($A$35)/2</f>
        <v>279.625</v>
      </c>
      <c r="Q486" s="31">
        <v>955</v>
      </c>
    </row>
    <row r="487" spans="12:17" x14ac:dyDescent="0.35">
      <c r="L487" s="31">
        <v>485</v>
      </c>
      <c r="M487" s="31">
        <v>536</v>
      </c>
      <c r="N487" s="31">
        <f>AVERAGE(M484:M491)</f>
        <v>536.75</v>
      </c>
      <c r="O487" s="31">
        <f>MAX($A$35)/2</f>
        <v>279.625</v>
      </c>
      <c r="Q487" s="31">
        <v>906</v>
      </c>
    </row>
    <row r="488" spans="12:17" x14ac:dyDescent="0.35">
      <c r="L488" s="31">
        <v>486</v>
      </c>
      <c r="M488" s="31">
        <v>524</v>
      </c>
      <c r="N488" s="31">
        <f>AVERAGE(M485:M492)</f>
        <v>543.25</v>
      </c>
      <c r="O488" s="31">
        <f>MAX($A$35)/2</f>
        <v>279.625</v>
      </c>
      <c r="Q488" s="31">
        <v>976</v>
      </c>
    </row>
    <row r="489" spans="12:17" x14ac:dyDescent="0.35">
      <c r="L489" s="31">
        <v>487</v>
      </c>
      <c r="M489" s="31">
        <v>539</v>
      </c>
      <c r="N489" s="31">
        <f>AVERAGE(M486:M493)</f>
        <v>545.125</v>
      </c>
      <c r="O489" s="31">
        <f>MAX($A$35)/2</f>
        <v>279.625</v>
      </c>
      <c r="Q489" s="31">
        <v>936</v>
      </c>
    </row>
    <row r="490" spans="12:17" x14ac:dyDescent="0.35">
      <c r="L490" s="31">
        <v>488</v>
      </c>
      <c r="M490" s="31">
        <v>563</v>
      </c>
      <c r="N490" s="31">
        <f>AVERAGE(M487:M494)</f>
        <v>546.25</v>
      </c>
      <c r="O490" s="31">
        <f>MAX($A$35)/2</f>
        <v>279.625</v>
      </c>
      <c r="Q490" s="31">
        <v>963</v>
      </c>
    </row>
    <row r="491" spans="12:17" x14ac:dyDescent="0.35">
      <c r="L491" s="31">
        <v>489</v>
      </c>
      <c r="M491" s="31">
        <v>536</v>
      </c>
      <c r="N491" s="31">
        <f>AVERAGE(M488:M495)</f>
        <v>547.5</v>
      </c>
      <c r="O491" s="31">
        <f>MAX($A$35)/2</f>
        <v>279.625</v>
      </c>
      <c r="Q491" s="31">
        <v>932</v>
      </c>
    </row>
    <row r="492" spans="12:17" x14ac:dyDescent="0.35">
      <c r="L492" s="31">
        <v>490</v>
      </c>
      <c r="M492" s="31">
        <v>566</v>
      </c>
      <c r="N492" s="31">
        <f>AVERAGE(M489:M496)</f>
        <v>547.875</v>
      </c>
      <c r="O492" s="31">
        <f>MAX($A$35)/2</f>
        <v>279.625</v>
      </c>
      <c r="Q492" s="31">
        <v>918</v>
      </c>
    </row>
    <row r="493" spans="12:17" x14ac:dyDescent="0.35">
      <c r="L493" s="31">
        <v>491</v>
      </c>
      <c r="M493" s="31">
        <v>554</v>
      </c>
      <c r="N493" s="31">
        <f>AVERAGE(M490:M497)</f>
        <v>554.375</v>
      </c>
      <c r="O493" s="31">
        <f>MAX($A$35)/2</f>
        <v>279.625</v>
      </c>
      <c r="Q493" s="31">
        <v>935</v>
      </c>
    </row>
    <row r="494" spans="12:17" x14ac:dyDescent="0.35">
      <c r="L494" s="31">
        <v>492</v>
      </c>
      <c r="M494" s="31">
        <v>552</v>
      </c>
      <c r="N494" s="31">
        <f>AVERAGE(M491:M498)</f>
        <v>551.125</v>
      </c>
      <c r="O494" s="31">
        <f>MAX($A$35)/2</f>
        <v>279.625</v>
      </c>
      <c r="Q494" s="31">
        <v>901</v>
      </c>
    </row>
    <row r="495" spans="12:17" x14ac:dyDescent="0.35">
      <c r="L495" s="31">
        <v>493</v>
      </c>
      <c r="M495" s="31">
        <v>546</v>
      </c>
      <c r="N495" s="31">
        <f>AVERAGE(M492:M499)</f>
        <v>549.75</v>
      </c>
      <c r="O495" s="31">
        <f>MAX($A$35)/2</f>
        <v>279.625</v>
      </c>
      <c r="Q495" s="31">
        <v>910</v>
      </c>
    </row>
    <row r="496" spans="12:17" x14ac:dyDescent="0.35">
      <c r="L496" s="31">
        <v>494</v>
      </c>
      <c r="M496" s="31">
        <v>527</v>
      </c>
      <c r="N496" s="31">
        <f>AVERAGE(M493:M500)</f>
        <v>548.5</v>
      </c>
      <c r="O496" s="31">
        <f>MAX($A$35)/2</f>
        <v>279.625</v>
      </c>
      <c r="Q496" s="31">
        <v>953</v>
      </c>
    </row>
    <row r="497" spans="12:17" x14ac:dyDescent="0.35">
      <c r="L497" s="31">
        <v>495</v>
      </c>
      <c r="M497" s="31">
        <v>591</v>
      </c>
      <c r="N497" s="31">
        <f>AVERAGE(M494:M501)</f>
        <v>547.625</v>
      </c>
      <c r="O497" s="31">
        <f>MAX($A$35)/2</f>
        <v>279.625</v>
      </c>
      <c r="Q497" s="31">
        <v>982</v>
      </c>
    </row>
    <row r="498" spans="12:17" x14ac:dyDescent="0.35">
      <c r="L498" s="31">
        <v>496</v>
      </c>
      <c r="M498" s="31">
        <v>537</v>
      </c>
      <c r="N498" s="31">
        <f>AVERAGE(M495:M502)</f>
        <v>548.75</v>
      </c>
      <c r="O498" s="31">
        <f>MAX($A$35)/2</f>
        <v>279.625</v>
      </c>
      <c r="Q498" s="31">
        <v>932</v>
      </c>
    </row>
    <row r="499" spans="12:17" x14ac:dyDescent="0.35">
      <c r="L499" s="31">
        <v>497</v>
      </c>
      <c r="M499" s="31">
        <v>525</v>
      </c>
      <c r="N499" s="31">
        <f>AVERAGE(M496:M503)</f>
        <v>553.875</v>
      </c>
      <c r="O499" s="31">
        <f>MAX($A$35)/2</f>
        <v>279.625</v>
      </c>
      <c r="Q499" s="31">
        <v>915</v>
      </c>
    </row>
    <row r="500" spans="12:17" x14ac:dyDescent="0.35">
      <c r="L500" s="31">
        <v>498</v>
      </c>
      <c r="M500" s="31">
        <v>556</v>
      </c>
      <c r="N500" s="31">
        <f>AVERAGE(M497:M504)</f>
        <v>556.375</v>
      </c>
      <c r="O500" s="31">
        <f>MAX($A$35)/2</f>
        <v>279.625</v>
      </c>
      <c r="Q500" s="31">
        <v>954</v>
      </c>
    </row>
    <row r="501" spans="12:17" x14ac:dyDescent="0.35">
      <c r="L501" s="31">
        <v>499</v>
      </c>
      <c r="M501" s="31">
        <v>547</v>
      </c>
      <c r="N501" s="31">
        <f>AVERAGE(M498:M505)</f>
        <v>550.5</v>
      </c>
      <c r="O501" s="31">
        <f>MAX($A$35)/2</f>
        <v>279.625</v>
      </c>
      <c r="Q501" s="31">
        <v>960</v>
      </c>
    </row>
    <row r="502" spans="12:17" x14ac:dyDescent="0.35">
      <c r="L502" s="31">
        <v>500</v>
      </c>
      <c r="M502" s="31">
        <v>561</v>
      </c>
      <c r="N502" s="31">
        <f>AVERAGE(M499:M506)</f>
        <v>553.375</v>
      </c>
      <c r="O502" s="31">
        <f>MAX($A$35)/2</f>
        <v>279.625</v>
      </c>
      <c r="Q502" s="31">
        <v>948</v>
      </c>
    </row>
    <row r="503" spans="12:17" x14ac:dyDescent="0.35">
      <c r="L503" s="31">
        <v>501</v>
      </c>
      <c r="M503" s="31">
        <v>587</v>
      </c>
      <c r="N503" s="31">
        <f>AVERAGE(M500:M507)</f>
        <v>556.375</v>
      </c>
      <c r="O503" s="31">
        <f>MAX($A$35)/2</f>
        <v>279.625</v>
      </c>
      <c r="Q503" s="31">
        <v>942</v>
      </c>
    </row>
    <row r="504" spans="12:17" x14ac:dyDescent="0.35">
      <c r="L504" s="31">
        <v>502</v>
      </c>
      <c r="M504" s="31">
        <v>547</v>
      </c>
      <c r="N504" s="31">
        <f>AVERAGE(M501:M508)</f>
        <v>559.25</v>
      </c>
      <c r="O504" s="31">
        <f>MAX($A$35)/2</f>
        <v>279.625</v>
      </c>
      <c r="Q504" s="31">
        <v>909</v>
      </c>
    </row>
    <row r="505" spans="12:17" x14ac:dyDescent="0.35">
      <c r="L505" s="31">
        <v>503</v>
      </c>
      <c r="M505" s="31">
        <v>544</v>
      </c>
      <c r="N505" s="31">
        <f>AVERAGE(M502:M509)</f>
        <v>556.5</v>
      </c>
      <c r="O505" s="31">
        <f>MAX($A$35)/2</f>
        <v>279.625</v>
      </c>
      <c r="Q505" s="31">
        <v>988</v>
      </c>
    </row>
    <row r="506" spans="12:17" x14ac:dyDescent="0.35">
      <c r="L506" s="31">
        <v>504</v>
      </c>
      <c r="M506" s="31">
        <v>560</v>
      </c>
      <c r="N506" s="31">
        <f>AVERAGE(M503:M510)</f>
        <v>557.25</v>
      </c>
      <c r="O506" s="31">
        <f>MAX($A$35)/2</f>
        <v>279.625</v>
      </c>
      <c r="Q506" s="31">
        <v>908</v>
      </c>
    </row>
    <row r="507" spans="12:17" x14ac:dyDescent="0.35">
      <c r="L507" s="31">
        <v>505</v>
      </c>
      <c r="M507" s="31">
        <v>549</v>
      </c>
      <c r="N507" s="31">
        <f>AVERAGE(M504:M511)</f>
        <v>552</v>
      </c>
      <c r="O507" s="31">
        <f>MAX($A$35)/2</f>
        <v>279.625</v>
      </c>
      <c r="Q507" s="31">
        <v>941</v>
      </c>
    </row>
    <row r="508" spans="12:17" x14ac:dyDescent="0.35">
      <c r="L508" s="31">
        <v>506</v>
      </c>
      <c r="M508" s="31">
        <v>579</v>
      </c>
      <c r="N508" s="31">
        <f>AVERAGE(M505:M512)</f>
        <v>550.875</v>
      </c>
      <c r="O508" s="31">
        <f>MAX($A$35)/2</f>
        <v>279.625</v>
      </c>
      <c r="Q508" s="31">
        <v>924</v>
      </c>
    </row>
    <row r="509" spans="12:17" x14ac:dyDescent="0.35">
      <c r="L509" s="31">
        <v>507</v>
      </c>
      <c r="M509" s="31">
        <v>525</v>
      </c>
      <c r="N509" s="31">
        <f>AVERAGE(M506:M513)</f>
        <v>553</v>
      </c>
      <c r="O509" s="31">
        <f>MAX($A$35)/2</f>
        <v>279.625</v>
      </c>
      <c r="Q509" s="31">
        <v>893</v>
      </c>
    </row>
    <row r="510" spans="12:17" x14ac:dyDescent="0.35">
      <c r="L510" s="31">
        <v>508</v>
      </c>
      <c r="M510" s="31">
        <v>567</v>
      </c>
      <c r="N510" s="31">
        <f>AVERAGE(M507:M514)</f>
        <v>546.875</v>
      </c>
      <c r="O510" s="31">
        <f>MAX($A$35)/2</f>
        <v>279.625</v>
      </c>
      <c r="Q510" s="31">
        <v>904</v>
      </c>
    </row>
    <row r="511" spans="12:17" x14ac:dyDescent="0.35">
      <c r="L511" s="31">
        <v>509</v>
      </c>
      <c r="M511" s="31">
        <v>545</v>
      </c>
      <c r="N511" s="31">
        <f>AVERAGE(M508:M515)</f>
        <v>544.625</v>
      </c>
      <c r="O511" s="31">
        <f>MAX($A$35)/2</f>
        <v>279.625</v>
      </c>
      <c r="Q511" s="31">
        <v>901</v>
      </c>
    </row>
    <row r="512" spans="12:17" x14ac:dyDescent="0.35">
      <c r="L512" s="31">
        <v>510</v>
      </c>
      <c r="M512" s="31">
        <v>538</v>
      </c>
      <c r="N512" s="31">
        <f>AVERAGE(M509:M516)</f>
        <v>537.25</v>
      </c>
      <c r="O512" s="31">
        <f>MAX($A$35)/2</f>
        <v>279.625</v>
      </c>
      <c r="Q512" s="31">
        <v>847</v>
      </c>
    </row>
    <row r="513" spans="12:17" x14ac:dyDescent="0.35">
      <c r="L513" s="31">
        <v>511</v>
      </c>
      <c r="M513" s="31">
        <v>561</v>
      </c>
      <c r="N513" s="31">
        <f>AVERAGE(M510:M517)</f>
        <v>536.625</v>
      </c>
      <c r="O513" s="31">
        <f>MAX($A$35)/2</f>
        <v>279.625</v>
      </c>
      <c r="Q513" s="31">
        <v>875</v>
      </c>
    </row>
    <row r="514" spans="12:17" x14ac:dyDescent="0.35">
      <c r="L514" s="31">
        <v>512</v>
      </c>
      <c r="M514" s="31">
        <v>511</v>
      </c>
      <c r="N514" s="31">
        <f>AVERAGE(M511:M518)</f>
        <v>533.75</v>
      </c>
      <c r="O514" s="31">
        <f>MAX($A$35)/2</f>
        <v>279.625</v>
      </c>
      <c r="Q514" s="31">
        <v>838</v>
      </c>
    </row>
    <row r="515" spans="12:17" x14ac:dyDescent="0.35">
      <c r="L515" s="31">
        <v>513</v>
      </c>
      <c r="M515" s="31">
        <v>531</v>
      </c>
      <c r="N515" s="31">
        <f>AVERAGE(M512:M519)</f>
        <v>530.125</v>
      </c>
      <c r="O515" s="31">
        <f>MAX($A$35)/2</f>
        <v>279.625</v>
      </c>
      <c r="Q515" s="31">
        <v>837</v>
      </c>
    </row>
    <row r="516" spans="12:17" x14ac:dyDescent="0.35">
      <c r="L516" s="31">
        <v>514</v>
      </c>
      <c r="M516" s="31">
        <v>520</v>
      </c>
      <c r="N516" s="31">
        <f>AVERAGE(M513:M520)</f>
        <v>523.5</v>
      </c>
      <c r="O516" s="31">
        <f>MAX($A$35)/2</f>
        <v>279.625</v>
      </c>
      <c r="Q516" s="31">
        <v>856</v>
      </c>
    </row>
    <row r="517" spans="12:17" x14ac:dyDescent="0.35">
      <c r="L517" s="31">
        <v>515</v>
      </c>
      <c r="M517" s="31">
        <v>520</v>
      </c>
      <c r="N517" s="31">
        <f>AVERAGE(M514:M521)</f>
        <v>513.25</v>
      </c>
      <c r="O517" s="31">
        <f>MAX($A$35)/2</f>
        <v>279.625</v>
      </c>
      <c r="Q517" s="31">
        <v>810</v>
      </c>
    </row>
    <row r="518" spans="12:17" x14ac:dyDescent="0.35">
      <c r="L518" s="31">
        <v>516</v>
      </c>
      <c r="M518" s="31">
        <v>544</v>
      </c>
      <c r="N518" s="31">
        <f>AVERAGE(M515:M522)</f>
        <v>512.75</v>
      </c>
      <c r="O518" s="31">
        <f>MAX($A$35)/2</f>
        <v>279.625</v>
      </c>
      <c r="Q518" s="31">
        <v>872</v>
      </c>
    </row>
    <row r="519" spans="12:17" x14ac:dyDescent="0.35">
      <c r="L519" s="31">
        <v>517</v>
      </c>
      <c r="M519" s="31">
        <v>516</v>
      </c>
      <c r="N519" s="31">
        <f>AVERAGE(M516:M523)</f>
        <v>509.875</v>
      </c>
      <c r="O519" s="31">
        <f>MAX($A$35)/2</f>
        <v>279.625</v>
      </c>
      <c r="Q519" s="31">
        <v>817</v>
      </c>
    </row>
    <row r="520" spans="12:17" x14ac:dyDescent="0.35">
      <c r="L520" s="31">
        <v>518</v>
      </c>
      <c r="M520" s="31">
        <v>485</v>
      </c>
      <c r="N520" s="31">
        <f>AVERAGE(M517:M524)</f>
        <v>504.25</v>
      </c>
      <c r="O520" s="31">
        <f>MAX($A$35)/2</f>
        <v>279.625</v>
      </c>
      <c r="Q520" s="31">
        <v>857</v>
      </c>
    </row>
    <row r="521" spans="12:17" x14ac:dyDescent="0.35">
      <c r="L521" s="31">
        <v>519</v>
      </c>
      <c r="M521" s="31">
        <v>479</v>
      </c>
      <c r="N521" s="31">
        <f>AVERAGE(M518:M525)</f>
        <v>500.75</v>
      </c>
      <c r="O521" s="31">
        <f>MAX($A$35)/2</f>
        <v>279.625</v>
      </c>
      <c r="Q521" s="31">
        <v>786</v>
      </c>
    </row>
    <row r="522" spans="12:17" x14ac:dyDescent="0.35">
      <c r="L522" s="31">
        <v>520</v>
      </c>
      <c r="M522" s="31">
        <v>507</v>
      </c>
      <c r="N522" s="31">
        <f>AVERAGE(M519:M526)</f>
        <v>494.125</v>
      </c>
      <c r="O522" s="31">
        <f>MAX($A$35)/2</f>
        <v>279.625</v>
      </c>
      <c r="Q522" s="31">
        <v>826</v>
      </c>
    </row>
    <row r="523" spans="12:17" x14ac:dyDescent="0.35">
      <c r="L523" s="31">
        <v>521</v>
      </c>
      <c r="M523" s="31">
        <v>508</v>
      </c>
      <c r="N523" s="31">
        <f>AVERAGE(M520:M527)</f>
        <v>494.25</v>
      </c>
      <c r="O523" s="31">
        <f>MAX($A$35)/2</f>
        <v>279.625</v>
      </c>
      <c r="Q523" s="31">
        <v>799</v>
      </c>
    </row>
    <row r="524" spans="12:17" x14ac:dyDescent="0.35">
      <c r="L524" s="31">
        <v>522</v>
      </c>
      <c r="M524" s="31">
        <v>475</v>
      </c>
      <c r="N524" s="31">
        <f>AVERAGE(M521:M528)</f>
        <v>495.125</v>
      </c>
      <c r="O524" s="31">
        <f>MAX($A$35)/2</f>
        <v>279.625</v>
      </c>
      <c r="Q524" s="31">
        <v>811</v>
      </c>
    </row>
    <row r="525" spans="12:17" x14ac:dyDescent="0.35">
      <c r="L525" s="31">
        <v>523</v>
      </c>
      <c r="M525" s="31">
        <v>492</v>
      </c>
      <c r="N525" s="31">
        <f>AVERAGE(M522:M529)</f>
        <v>495.375</v>
      </c>
      <c r="O525" s="31">
        <f>MAX($A$35)/2</f>
        <v>279.625</v>
      </c>
      <c r="Q525" s="31">
        <v>837</v>
      </c>
    </row>
    <row r="526" spans="12:17" x14ac:dyDescent="0.35">
      <c r="L526" s="31">
        <v>524</v>
      </c>
      <c r="M526" s="31">
        <v>491</v>
      </c>
      <c r="N526" s="31">
        <f>AVERAGE(M523:M530)</f>
        <v>487.625</v>
      </c>
      <c r="O526" s="31">
        <f>MAX($A$35)/2</f>
        <v>279.625</v>
      </c>
      <c r="Q526" s="31">
        <v>821</v>
      </c>
    </row>
    <row r="527" spans="12:17" x14ac:dyDescent="0.35">
      <c r="L527" s="31">
        <v>525</v>
      </c>
      <c r="M527" s="31">
        <v>517</v>
      </c>
      <c r="N527" s="31">
        <f>AVERAGE(M524:M531)</f>
        <v>486.875</v>
      </c>
      <c r="O527" s="31">
        <f>MAX($A$35)/2</f>
        <v>279.625</v>
      </c>
      <c r="Q527" s="31">
        <v>757</v>
      </c>
    </row>
    <row r="528" spans="12:17" x14ac:dyDescent="0.35">
      <c r="L528" s="31">
        <v>526</v>
      </c>
      <c r="M528" s="31">
        <v>492</v>
      </c>
      <c r="N528" s="31">
        <f>AVERAGE(M525:M532)</f>
        <v>484.5</v>
      </c>
      <c r="O528" s="31">
        <f>MAX($A$35)/2</f>
        <v>279.625</v>
      </c>
      <c r="Q528" s="31">
        <v>824</v>
      </c>
    </row>
    <row r="529" spans="12:17" x14ac:dyDescent="0.35">
      <c r="L529" s="31">
        <v>527</v>
      </c>
      <c r="M529" s="31">
        <v>481</v>
      </c>
      <c r="N529" s="31">
        <f>AVERAGE(M526:M533)</f>
        <v>483.5</v>
      </c>
      <c r="O529" s="31">
        <f>MAX($A$35)/2</f>
        <v>279.625</v>
      </c>
      <c r="Q529" s="31">
        <v>806</v>
      </c>
    </row>
    <row r="530" spans="12:17" x14ac:dyDescent="0.35">
      <c r="L530" s="31">
        <v>528</v>
      </c>
      <c r="M530" s="31">
        <v>445</v>
      </c>
      <c r="N530" s="31">
        <f>AVERAGE(M527:M534)</f>
        <v>478.375</v>
      </c>
      <c r="O530" s="31">
        <f>MAX($A$35)/2</f>
        <v>279.625</v>
      </c>
      <c r="Q530" s="31">
        <v>739</v>
      </c>
    </row>
    <row r="531" spans="12:17" x14ac:dyDescent="0.35">
      <c r="L531" s="31">
        <v>529</v>
      </c>
      <c r="M531" s="31">
        <v>502</v>
      </c>
      <c r="N531" s="31">
        <f>AVERAGE(M528:M535)</f>
        <v>472.125</v>
      </c>
      <c r="O531" s="31">
        <f>MAX($A$35)/2</f>
        <v>279.625</v>
      </c>
      <c r="Q531" s="31">
        <v>777</v>
      </c>
    </row>
    <row r="532" spans="12:17" x14ac:dyDescent="0.35">
      <c r="L532" s="31">
        <v>530</v>
      </c>
      <c r="M532" s="31">
        <v>456</v>
      </c>
      <c r="N532" s="31">
        <f>AVERAGE(M529:M536)</f>
        <v>467.5</v>
      </c>
      <c r="O532" s="31">
        <f>MAX($A$35)/2</f>
        <v>279.625</v>
      </c>
      <c r="Q532" s="31">
        <v>729</v>
      </c>
    </row>
    <row r="533" spans="12:17" x14ac:dyDescent="0.35">
      <c r="L533" s="31">
        <v>531</v>
      </c>
      <c r="M533" s="31">
        <v>484</v>
      </c>
      <c r="N533" s="31">
        <f>AVERAGE(M530:M537)</f>
        <v>460.875</v>
      </c>
      <c r="O533" s="31">
        <f>MAX($A$35)/2</f>
        <v>279.625</v>
      </c>
      <c r="Q533" s="31">
        <v>767</v>
      </c>
    </row>
    <row r="534" spans="12:17" x14ac:dyDescent="0.35">
      <c r="L534" s="31">
        <v>532</v>
      </c>
      <c r="M534" s="31">
        <v>450</v>
      </c>
      <c r="N534" s="31">
        <f>AVERAGE(M531:M538)</f>
        <v>460.625</v>
      </c>
      <c r="O534" s="31">
        <f>MAX($A$35)/2</f>
        <v>279.625</v>
      </c>
      <c r="Q534" s="31">
        <v>708</v>
      </c>
    </row>
    <row r="535" spans="12:17" x14ac:dyDescent="0.35">
      <c r="L535" s="31">
        <v>533</v>
      </c>
      <c r="M535" s="31">
        <v>467</v>
      </c>
      <c r="N535" s="31">
        <f>AVERAGE(M532:M539)</f>
        <v>453.375</v>
      </c>
      <c r="O535" s="31">
        <f>MAX($A$35)/2</f>
        <v>279.625</v>
      </c>
      <c r="Q535" s="31">
        <v>722</v>
      </c>
    </row>
    <row r="536" spans="12:17" x14ac:dyDescent="0.35">
      <c r="L536" s="31">
        <v>534</v>
      </c>
      <c r="M536" s="31">
        <v>455</v>
      </c>
      <c r="N536" s="31">
        <f>AVERAGE(M533:M540)</f>
        <v>450.5</v>
      </c>
      <c r="O536" s="31">
        <f>MAX($A$35)/2</f>
        <v>279.625</v>
      </c>
      <c r="Q536" s="31">
        <v>706</v>
      </c>
    </row>
    <row r="537" spans="12:17" x14ac:dyDescent="0.35">
      <c r="L537" s="31">
        <v>535</v>
      </c>
      <c r="M537" s="31">
        <v>428</v>
      </c>
      <c r="N537" s="31">
        <f>AVERAGE(M534:M541)</f>
        <v>440</v>
      </c>
      <c r="O537" s="31">
        <f>MAX($A$35)/2</f>
        <v>279.625</v>
      </c>
      <c r="Q537" s="31">
        <v>706</v>
      </c>
    </row>
    <row r="538" spans="12:17" x14ac:dyDescent="0.35">
      <c r="L538" s="31">
        <v>536</v>
      </c>
      <c r="M538" s="31">
        <v>443</v>
      </c>
      <c r="N538" s="31">
        <f>AVERAGE(M535:M542)</f>
        <v>434.5</v>
      </c>
      <c r="O538" s="31">
        <f>MAX($A$35)/2</f>
        <v>279.625</v>
      </c>
      <c r="Q538" s="31">
        <v>715</v>
      </c>
    </row>
    <row r="539" spans="12:17" x14ac:dyDescent="0.35">
      <c r="L539" s="31">
        <v>537</v>
      </c>
      <c r="M539" s="31">
        <v>444</v>
      </c>
      <c r="N539" s="31">
        <f>AVERAGE(M536:M543)</f>
        <v>431.5</v>
      </c>
      <c r="O539" s="31">
        <f>MAX($A$35)/2</f>
        <v>279.625</v>
      </c>
      <c r="Q539" s="31">
        <v>687</v>
      </c>
    </row>
    <row r="540" spans="12:17" x14ac:dyDescent="0.35">
      <c r="L540" s="31">
        <v>538</v>
      </c>
      <c r="M540" s="31">
        <v>433</v>
      </c>
      <c r="N540" s="31">
        <f>AVERAGE(M537:M544)</f>
        <v>426.75</v>
      </c>
      <c r="O540" s="31">
        <f>MAX($A$35)/2</f>
        <v>279.625</v>
      </c>
      <c r="Q540" s="31">
        <v>695</v>
      </c>
    </row>
    <row r="541" spans="12:17" x14ac:dyDescent="0.35">
      <c r="L541" s="31">
        <v>539</v>
      </c>
      <c r="M541" s="31">
        <v>400</v>
      </c>
      <c r="N541" s="31">
        <f>AVERAGE(M538:M545)</f>
        <v>426.625</v>
      </c>
      <c r="O541" s="31">
        <f>MAX($A$35)/2</f>
        <v>279.625</v>
      </c>
      <c r="Q541" s="31">
        <v>679</v>
      </c>
    </row>
    <row r="542" spans="12:17" x14ac:dyDescent="0.35">
      <c r="L542" s="31">
        <v>540</v>
      </c>
      <c r="M542" s="31">
        <v>406</v>
      </c>
      <c r="N542" s="31">
        <f>AVERAGE(M539:M546)</f>
        <v>424.125</v>
      </c>
      <c r="O542" s="31">
        <f>MAX($A$35)/2</f>
        <v>279.625</v>
      </c>
      <c r="Q542" s="31">
        <v>643</v>
      </c>
    </row>
    <row r="543" spans="12:17" x14ac:dyDescent="0.35">
      <c r="L543" s="31">
        <v>541</v>
      </c>
      <c r="M543" s="31">
        <v>443</v>
      </c>
      <c r="N543" s="31">
        <f>AVERAGE(M540:M547)</f>
        <v>418.375</v>
      </c>
      <c r="O543" s="31">
        <f>MAX($A$35)/2</f>
        <v>279.625</v>
      </c>
      <c r="Q543" s="31">
        <v>646</v>
      </c>
    </row>
    <row r="544" spans="12:17" x14ac:dyDescent="0.35">
      <c r="L544" s="31">
        <v>542</v>
      </c>
      <c r="M544" s="31">
        <v>417</v>
      </c>
      <c r="N544" s="31">
        <f>AVERAGE(M541:M548)</f>
        <v>415.75</v>
      </c>
      <c r="O544" s="31">
        <f>MAX($A$35)/2</f>
        <v>279.625</v>
      </c>
      <c r="Q544" s="31">
        <v>627</v>
      </c>
    </row>
    <row r="545" spans="12:17" x14ac:dyDescent="0.35">
      <c r="L545" s="31">
        <v>543</v>
      </c>
      <c r="M545" s="31">
        <v>427</v>
      </c>
      <c r="N545" s="31">
        <f>AVERAGE(M542:M549)</f>
        <v>418.25</v>
      </c>
      <c r="O545" s="31">
        <f>MAX($A$35)/2</f>
        <v>279.625</v>
      </c>
      <c r="Q545" s="31">
        <v>672</v>
      </c>
    </row>
    <row r="546" spans="12:17" x14ac:dyDescent="0.35">
      <c r="L546" s="31">
        <v>544</v>
      </c>
      <c r="M546" s="31">
        <v>423</v>
      </c>
      <c r="N546" s="31">
        <f>AVERAGE(M543:M550)</f>
        <v>414.25</v>
      </c>
      <c r="O546" s="31">
        <f>MAX($A$35)/2</f>
        <v>279.625</v>
      </c>
      <c r="Q546" s="31">
        <v>660</v>
      </c>
    </row>
    <row r="547" spans="12:17" x14ac:dyDescent="0.35">
      <c r="L547" s="31">
        <v>545</v>
      </c>
      <c r="M547" s="31">
        <v>398</v>
      </c>
      <c r="N547" s="31">
        <f>AVERAGE(M544:M551)</f>
        <v>402.5</v>
      </c>
      <c r="O547" s="31">
        <f>MAX($A$35)/2</f>
        <v>279.625</v>
      </c>
      <c r="Q547" s="31">
        <v>633</v>
      </c>
    </row>
    <row r="548" spans="12:17" x14ac:dyDescent="0.35">
      <c r="L548" s="31">
        <v>546</v>
      </c>
      <c r="M548" s="31">
        <v>412</v>
      </c>
      <c r="N548" s="31">
        <f>AVERAGE(M545:M552)</f>
        <v>396.75</v>
      </c>
      <c r="O548" s="31">
        <f>MAX($A$35)/2</f>
        <v>279.625</v>
      </c>
      <c r="Q548" s="31">
        <v>616</v>
      </c>
    </row>
    <row r="549" spans="12:17" x14ac:dyDescent="0.35">
      <c r="L549" s="31">
        <v>547</v>
      </c>
      <c r="M549" s="31">
        <v>420</v>
      </c>
      <c r="N549" s="31">
        <f>AVERAGE(M546:M553)</f>
        <v>388.75</v>
      </c>
      <c r="O549" s="31">
        <f>MAX($A$35)/2</f>
        <v>279.625</v>
      </c>
      <c r="Q549" s="31">
        <v>626</v>
      </c>
    </row>
    <row r="550" spans="12:17" x14ac:dyDescent="0.35">
      <c r="L550" s="31">
        <v>548</v>
      </c>
      <c r="M550" s="31">
        <v>374</v>
      </c>
      <c r="N550" s="31">
        <f>AVERAGE(M547:M554)</f>
        <v>381.125</v>
      </c>
      <c r="O550" s="31">
        <f>MAX($A$35)/2</f>
        <v>279.625</v>
      </c>
      <c r="Q550" s="31">
        <v>552</v>
      </c>
    </row>
    <row r="551" spans="12:17" x14ac:dyDescent="0.35">
      <c r="L551" s="31">
        <v>549</v>
      </c>
      <c r="M551" s="31">
        <v>349</v>
      </c>
      <c r="N551" s="31">
        <f>AVERAGE(M548:M555)</f>
        <v>372.875</v>
      </c>
      <c r="O551" s="31">
        <f>MAX($A$35)/2</f>
        <v>279.625</v>
      </c>
      <c r="Q551" s="31">
        <v>611</v>
      </c>
    </row>
    <row r="552" spans="12:17" x14ac:dyDescent="0.35">
      <c r="L552" s="31">
        <v>550</v>
      </c>
      <c r="M552" s="31">
        <v>371</v>
      </c>
      <c r="N552" s="31">
        <f>AVERAGE(M549:M556)</f>
        <v>358.25</v>
      </c>
      <c r="O552" s="31">
        <f>MAX($A$35)/2</f>
        <v>279.625</v>
      </c>
      <c r="Q552" s="31">
        <v>589</v>
      </c>
    </row>
    <row r="553" spans="12:17" x14ac:dyDescent="0.35">
      <c r="L553" s="31">
        <v>551</v>
      </c>
      <c r="M553" s="31">
        <v>363</v>
      </c>
      <c r="N553" s="31">
        <f>AVERAGE(M550:M557)</f>
        <v>350.125</v>
      </c>
      <c r="O553" s="31">
        <f>MAX($A$35)/2</f>
        <v>279.625</v>
      </c>
      <c r="Q553" s="31">
        <v>551</v>
      </c>
    </row>
    <row r="554" spans="12:17" x14ac:dyDescent="0.35">
      <c r="L554" s="31">
        <v>552</v>
      </c>
      <c r="M554" s="31">
        <v>362</v>
      </c>
      <c r="N554" s="31">
        <f>AVERAGE(M551:M558)</f>
        <v>345</v>
      </c>
      <c r="O554" s="31">
        <f>MAX($A$35)/2</f>
        <v>279.625</v>
      </c>
      <c r="Q554" s="31">
        <v>607</v>
      </c>
    </row>
    <row r="555" spans="12:17" x14ac:dyDescent="0.35">
      <c r="L555" s="31">
        <v>553</v>
      </c>
      <c r="M555" s="31">
        <v>332</v>
      </c>
      <c r="N555" s="31">
        <f>AVERAGE(M552:M559)</f>
        <v>344.5</v>
      </c>
      <c r="O555" s="31">
        <f>MAX($A$35)/2</f>
        <v>279.625</v>
      </c>
      <c r="Q555" s="31">
        <v>537</v>
      </c>
    </row>
    <row r="556" spans="12:17" x14ac:dyDescent="0.35">
      <c r="L556" s="31">
        <v>554</v>
      </c>
      <c r="M556" s="31">
        <v>295</v>
      </c>
      <c r="N556" s="31">
        <f>AVERAGE(M553:M560)</f>
        <v>339.25</v>
      </c>
      <c r="O556" s="31">
        <f>MAX($A$35)/2</f>
        <v>279.625</v>
      </c>
      <c r="Q556" s="31">
        <v>612</v>
      </c>
    </row>
    <row r="557" spans="12:17" x14ac:dyDescent="0.35">
      <c r="L557" s="31">
        <v>555</v>
      </c>
      <c r="M557" s="31">
        <v>355</v>
      </c>
      <c r="N557" s="31">
        <f>AVERAGE(M554:M561)</f>
        <v>335</v>
      </c>
      <c r="O557" s="31">
        <f>MAX($A$35)/2</f>
        <v>279.625</v>
      </c>
      <c r="Q557" s="31">
        <v>557</v>
      </c>
    </row>
    <row r="558" spans="12:17" x14ac:dyDescent="0.35">
      <c r="L558" s="31">
        <v>556</v>
      </c>
      <c r="M558" s="31">
        <v>333</v>
      </c>
      <c r="N558" s="31">
        <f>AVERAGE(M555:M562)</f>
        <v>329.25</v>
      </c>
      <c r="O558" s="31">
        <f>MAX($A$35)/2</f>
        <v>279.625</v>
      </c>
      <c r="Q558" s="31">
        <v>557</v>
      </c>
    </row>
    <row r="559" spans="12:17" x14ac:dyDescent="0.35">
      <c r="L559" s="31">
        <v>557</v>
      </c>
      <c r="M559" s="31">
        <v>345</v>
      </c>
      <c r="N559" s="31">
        <f>AVERAGE(M556:M563)</f>
        <v>328.125</v>
      </c>
      <c r="O559" s="31">
        <f>MAX($A$35)/2</f>
        <v>279.625</v>
      </c>
      <c r="Q559" s="31">
        <v>525</v>
      </c>
    </row>
    <row r="560" spans="12:17" x14ac:dyDescent="0.35">
      <c r="L560" s="31">
        <v>558</v>
      </c>
      <c r="M560" s="31">
        <v>329</v>
      </c>
      <c r="N560" s="31">
        <f>AVERAGE(M557:M564)</f>
        <v>326.375</v>
      </c>
      <c r="O560" s="31">
        <f>MAX($A$35)/2</f>
        <v>279.625</v>
      </c>
      <c r="Q560" s="31">
        <v>500</v>
      </c>
    </row>
    <row r="561" spans="12:17" x14ac:dyDescent="0.35">
      <c r="L561" s="31">
        <v>559</v>
      </c>
      <c r="M561" s="31">
        <v>329</v>
      </c>
      <c r="N561" s="31">
        <f>AVERAGE(M558:M565)</f>
        <v>318.875</v>
      </c>
      <c r="O561" s="31">
        <f>MAX($A$35)/2</f>
        <v>279.625</v>
      </c>
      <c r="Q561" s="31">
        <v>507</v>
      </c>
    </row>
    <row r="562" spans="12:17" x14ac:dyDescent="0.35">
      <c r="L562" s="31">
        <v>560</v>
      </c>
      <c r="M562" s="31">
        <v>316</v>
      </c>
      <c r="N562" s="31">
        <f>AVERAGE(M559:M566)</f>
        <v>312.75</v>
      </c>
      <c r="O562" s="31">
        <f>MAX($A$35)/2</f>
        <v>279.625</v>
      </c>
      <c r="Q562" s="31">
        <v>475</v>
      </c>
    </row>
    <row r="563" spans="12:17" x14ac:dyDescent="0.35">
      <c r="L563" s="31">
        <v>561</v>
      </c>
      <c r="M563" s="31">
        <v>323</v>
      </c>
      <c r="N563" s="31">
        <f>AVERAGE(M560:M567)</f>
        <v>300.125</v>
      </c>
      <c r="O563" s="31">
        <f>MAX($A$35)/2</f>
        <v>279.625</v>
      </c>
      <c r="Q563" s="31">
        <v>523</v>
      </c>
    </row>
    <row r="564" spans="12:17" x14ac:dyDescent="0.35">
      <c r="L564" s="31">
        <v>562</v>
      </c>
      <c r="M564" s="31">
        <v>281</v>
      </c>
      <c r="N564" s="31">
        <f>AVERAGE(M561:M568)</f>
        <v>291.375</v>
      </c>
      <c r="O564" s="31">
        <f>MAX($A$35)/2</f>
        <v>279.625</v>
      </c>
      <c r="Q564" s="31">
        <v>442</v>
      </c>
    </row>
    <row r="565" spans="12:17" x14ac:dyDescent="0.35">
      <c r="L565" s="31">
        <v>563</v>
      </c>
      <c r="M565" s="31">
        <v>295</v>
      </c>
      <c r="N565" s="31">
        <f>AVERAGE(M562:M569)</f>
        <v>285.25</v>
      </c>
      <c r="O565" s="31">
        <f>MAX($A$35)/2</f>
        <v>279.625</v>
      </c>
      <c r="Q565" s="31">
        <v>486</v>
      </c>
    </row>
    <row r="566" spans="12:17" x14ac:dyDescent="0.35">
      <c r="L566" s="31">
        <v>564</v>
      </c>
      <c r="M566" s="31">
        <v>284</v>
      </c>
      <c r="N566" s="31">
        <f>AVERAGE(M563:M570)</f>
        <v>280.625</v>
      </c>
      <c r="O566" s="31">
        <f>MAX($A$35)/2</f>
        <v>279.625</v>
      </c>
      <c r="Q566" s="31">
        <v>447</v>
      </c>
    </row>
    <row r="567" spans="12:17" x14ac:dyDescent="0.35">
      <c r="L567" s="31">
        <v>565</v>
      </c>
      <c r="M567" s="31">
        <v>244</v>
      </c>
      <c r="N567" s="31">
        <f>AVERAGE(M564:M571)</f>
        <v>276.625</v>
      </c>
      <c r="O567" s="31">
        <f>MAX($A$35)/2</f>
        <v>279.625</v>
      </c>
      <c r="Q567" s="31">
        <v>479</v>
      </c>
    </row>
    <row r="568" spans="12:17" x14ac:dyDescent="0.35">
      <c r="L568" s="31">
        <v>566</v>
      </c>
      <c r="M568" s="31">
        <v>259</v>
      </c>
      <c r="N568" s="31">
        <f>AVERAGE(M565:M572)</f>
        <v>271.875</v>
      </c>
      <c r="O568" s="31">
        <f>MAX($A$35)/2</f>
        <v>279.625</v>
      </c>
      <c r="Q568" s="31">
        <v>450</v>
      </c>
    </row>
    <row r="569" spans="12:17" x14ac:dyDescent="0.35">
      <c r="L569" s="31">
        <v>567</v>
      </c>
      <c r="M569" s="31">
        <v>280</v>
      </c>
      <c r="N569" s="31">
        <f>AVERAGE(M566:M573)</f>
        <v>266.75</v>
      </c>
      <c r="O569" s="31">
        <f>MAX($A$35)/2</f>
        <v>279.625</v>
      </c>
      <c r="Q569" s="31">
        <v>437</v>
      </c>
    </row>
    <row r="570" spans="12:17" x14ac:dyDescent="0.35">
      <c r="L570" s="31">
        <v>568</v>
      </c>
      <c r="M570" s="31">
        <v>279</v>
      </c>
      <c r="N570" s="31">
        <f>AVERAGE(M567:M574)</f>
        <v>261.125</v>
      </c>
      <c r="O570" s="31">
        <f>MAX($A$35)/2</f>
        <v>279.625</v>
      </c>
      <c r="Q570" s="31">
        <v>420</v>
      </c>
    </row>
    <row r="571" spans="12:17" x14ac:dyDescent="0.35">
      <c r="L571" s="31">
        <v>569</v>
      </c>
      <c r="M571" s="31">
        <v>291</v>
      </c>
      <c r="N571" s="31">
        <f>AVERAGE(M568:M575)</f>
        <v>260.875</v>
      </c>
      <c r="O571" s="31">
        <f>MAX($A$35)/2</f>
        <v>279.625</v>
      </c>
      <c r="Q571" s="31">
        <v>389</v>
      </c>
    </row>
    <row r="572" spans="12:17" x14ac:dyDescent="0.35">
      <c r="L572" s="31">
        <v>570</v>
      </c>
      <c r="M572" s="31">
        <v>243</v>
      </c>
      <c r="N572" s="31">
        <f>AVERAGE(M569:M576)</f>
        <v>258.625</v>
      </c>
      <c r="O572" s="31">
        <f>MAX($A$35)/2</f>
        <v>279.625</v>
      </c>
      <c r="Q572" s="31">
        <v>442</v>
      </c>
    </row>
    <row r="573" spans="12:17" x14ac:dyDescent="0.35">
      <c r="L573" s="31">
        <v>571</v>
      </c>
      <c r="M573" s="31">
        <v>254</v>
      </c>
      <c r="N573" s="31">
        <f>AVERAGE(M570:M577)</f>
        <v>252.25</v>
      </c>
      <c r="O573" s="31">
        <f>MAX($A$35)/2</f>
        <v>279.625</v>
      </c>
      <c r="Q573" s="31">
        <v>402</v>
      </c>
    </row>
    <row r="574" spans="12:17" x14ac:dyDescent="0.35">
      <c r="L574" s="31">
        <v>572</v>
      </c>
      <c r="M574" s="31">
        <v>239</v>
      </c>
      <c r="N574" s="31">
        <f>AVERAGE(M571:M578)</f>
        <v>245.25</v>
      </c>
      <c r="O574" s="31">
        <f>MAX($A$35)/2</f>
        <v>279.625</v>
      </c>
      <c r="Q574" s="31">
        <v>429</v>
      </c>
    </row>
    <row r="575" spans="12:17" x14ac:dyDescent="0.35">
      <c r="L575" s="31">
        <v>573</v>
      </c>
      <c r="M575" s="31">
        <v>242</v>
      </c>
      <c r="N575" s="31">
        <f>AVERAGE(M572:M579)</f>
        <v>236.625</v>
      </c>
      <c r="O575" s="31">
        <f>MAX($A$35)/2</f>
        <v>279.625</v>
      </c>
      <c r="Q575" s="31">
        <v>385</v>
      </c>
    </row>
    <row r="576" spans="12:17" x14ac:dyDescent="0.35">
      <c r="L576" s="31">
        <v>574</v>
      </c>
      <c r="M576" s="31">
        <v>241</v>
      </c>
      <c r="N576" s="31">
        <f>AVERAGE(M573:M580)</f>
        <v>232.375</v>
      </c>
      <c r="O576" s="31">
        <f>MAX($A$35)/2</f>
        <v>279.625</v>
      </c>
      <c r="Q576" s="31">
        <v>424</v>
      </c>
    </row>
    <row r="577" spans="12:17" x14ac:dyDescent="0.35">
      <c r="L577" s="31">
        <v>575</v>
      </c>
      <c r="M577" s="31">
        <v>229</v>
      </c>
      <c r="N577" s="31">
        <f>AVERAGE(M574:M581)</f>
        <v>228.25</v>
      </c>
      <c r="O577" s="31">
        <f>MAX($A$35)/2</f>
        <v>279.625</v>
      </c>
      <c r="Q577" s="31">
        <v>402</v>
      </c>
    </row>
    <row r="578" spans="12:17" x14ac:dyDescent="0.35">
      <c r="L578" s="31">
        <v>576</v>
      </c>
      <c r="M578" s="31">
        <v>223</v>
      </c>
      <c r="N578" s="31">
        <f>AVERAGE(M575:M582)</f>
        <v>228</v>
      </c>
      <c r="O578" s="31">
        <f>MAX($A$35)/2</f>
        <v>279.625</v>
      </c>
      <c r="Q578" s="31">
        <v>380</v>
      </c>
    </row>
    <row r="579" spans="12:17" x14ac:dyDescent="0.35">
      <c r="L579" s="31">
        <v>577</v>
      </c>
      <c r="M579" s="31">
        <v>222</v>
      </c>
      <c r="N579" s="31">
        <f>AVERAGE(M576:M583)</f>
        <v>228.375</v>
      </c>
      <c r="O579" s="31">
        <f>MAX($A$35)/2</f>
        <v>279.625</v>
      </c>
      <c r="Q579" s="31">
        <v>385</v>
      </c>
    </row>
    <row r="580" spans="12:17" x14ac:dyDescent="0.35">
      <c r="L580" s="31">
        <v>578</v>
      </c>
      <c r="M580" s="31">
        <v>209</v>
      </c>
      <c r="N580" s="31">
        <f>AVERAGE(M577:M584)</f>
        <v>224.25</v>
      </c>
      <c r="O580" s="31">
        <f>MAX($A$35)/2</f>
        <v>279.625</v>
      </c>
      <c r="Q580" s="31">
        <v>391</v>
      </c>
    </row>
    <row r="581" spans="12:17" x14ac:dyDescent="0.35">
      <c r="L581" s="31">
        <v>579</v>
      </c>
      <c r="M581" s="31">
        <v>221</v>
      </c>
      <c r="N581" s="31">
        <f>AVERAGE(M578:M585)</f>
        <v>219.75</v>
      </c>
      <c r="O581" s="31">
        <f>MAX($A$35)/2</f>
        <v>279.625</v>
      </c>
      <c r="Q581" s="31">
        <v>363</v>
      </c>
    </row>
    <row r="582" spans="12:17" x14ac:dyDescent="0.35">
      <c r="L582" s="31">
        <v>580</v>
      </c>
      <c r="M582" s="31">
        <v>237</v>
      </c>
      <c r="N582" s="31">
        <f>AVERAGE(M579:M586)</f>
        <v>216.25</v>
      </c>
      <c r="O582" s="31">
        <f>MAX($A$35)/2</f>
        <v>279.625</v>
      </c>
      <c r="Q582" s="31">
        <v>341</v>
      </c>
    </row>
    <row r="583" spans="12:17" x14ac:dyDescent="0.35">
      <c r="L583" s="31">
        <v>581</v>
      </c>
      <c r="M583" s="31">
        <v>245</v>
      </c>
      <c r="N583" s="31">
        <f>AVERAGE(M580:M587)</f>
        <v>213.75</v>
      </c>
      <c r="O583" s="31">
        <f>MAX($A$35)/2</f>
        <v>279.625</v>
      </c>
      <c r="Q583" s="31">
        <v>340</v>
      </c>
    </row>
    <row r="584" spans="12:17" x14ac:dyDescent="0.35">
      <c r="L584" s="31">
        <v>582</v>
      </c>
      <c r="M584" s="31">
        <v>208</v>
      </c>
      <c r="N584" s="31">
        <f>AVERAGE(M581:M588)</f>
        <v>211.625</v>
      </c>
      <c r="O584" s="31">
        <f>MAX($A$35)/2</f>
        <v>279.625</v>
      </c>
      <c r="Q584" s="31">
        <v>345</v>
      </c>
    </row>
    <row r="585" spans="12:17" x14ac:dyDescent="0.35">
      <c r="L585" s="31">
        <v>583</v>
      </c>
      <c r="M585" s="31">
        <v>193</v>
      </c>
      <c r="N585" s="31">
        <f>AVERAGE(M582:M589)</f>
        <v>208.375</v>
      </c>
      <c r="O585" s="31">
        <f>MAX($A$35)/2</f>
        <v>279.625</v>
      </c>
      <c r="Q585" s="31">
        <v>289</v>
      </c>
    </row>
    <row r="586" spans="12:17" x14ac:dyDescent="0.35">
      <c r="L586" s="31">
        <v>584</v>
      </c>
      <c r="M586" s="31">
        <v>195</v>
      </c>
      <c r="N586" s="31">
        <f>AVERAGE(M583:M590)</f>
        <v>202</v>
      </c>
      <c r="O586" s="31">
        <f>MAX($A$35)/2</f>
        <v>279.625</v>
      </c>
      <c r="Q586" s="31">
        <v>318</v>
      </c>
    </row>
    <row r="587" spans="12:17" x14ac:dyDescent="0.35">
      <c r="L587" s="31">
        <v>585</v>
      </c>
      <c r="M587" s="31">
        <v>202</v>
      </c>
      <c r="N587" s="31">
        <f>AVERAGE(M584:M591)</f>
        <v>193.625</v>
      </c>
      <c r="O587" s="31">
        <f>MAX($A$35)/2</f>
        <v>279.625</v>
      </c>
      <c r="Q587" s="31">
        <v>311</v>
      </c>
    </row>
    <row r="588" spans="12:17" x14ac:dyDescent="0.35">
      <c r="L588" s="31">
        <v>586</v>
      </c>
      <c r="M588" s="31">
        <v>192</v>
      </c>
      <c r="N588" s="31">
        <f>AVERAGE(M585:M592)</f>
        <v>189.25</v>
      </c>
      <c r="O588" s="31">
        <f>MAX($A$35)/2</f>
        <v>279.625</v>
      </c>
      <c r="Q588" s="31">
        <v>327</v>
      </c>
    </row>
    <row r="589" spans="12:17" x14ac:dyDescent="0.35">
      <c r="L589" s="31">
        <v>587</v>
      </c>
      <c r="M589" s="31">
        <v>195</v>
      </c>
      <c r="N589" s="31">
        <f>AVERAGE(M586:M593)</f>
        <v>186.25</v>
      </c>
      <c r="O589" s="31">
        <f>MAX($A$35)/2</f>
        <v>279.625</v>
      </c>
      <c r="Q589" s="31">
        <v>282</v>
      </c>
    </row>
    <row r="590" spans="12:17" x14ac:dyDescent="0.35">
      <c r="L590" s="31">
        <v>588</v>
      </c>
      <c r="M590" s="31">
        <v>186</v>
      </c>
      <c r="N590" s="31">
        <f>AVERAGE(M587:M594)</f>
        <v>181.75</v>
      </c>
      <c r="O590" s="31">
        <f>MAX($A$35)/2</f>
        <v>279.625</v>
      </c>
      <c r="Q590" s="31">
        <v>295</v>
      </c>
    </row>
    <row r="591" spans="12:17" x14ac:dyDescent="0.35">
      <c r="L591" s="31">
        <v>589</v>
      </c>
      <c r="M591" s="31">
        <v>178</v>
      </c>
      <c r="N591" s="31">
        <f>AVERAGE(M588:M595)</f>
        <v>173.375</v>
      </c>
      <c r="O591" s="31">
        <f>MAX($A$35)/2</f>
        <v>279.625</v>
      </c>
      <c r="Q591" s="31">
        <v>269</v>
      </c>
    </row>
    <row r="592" spans="12:17" x14ac:dyDescent="0.35">
      <c r="L592" s="31">
        <v>590</v>
      </c>
      <c r="M592" s="31">
        <v>173</v>
      </c>
      <c r="N592" s="31">
        <f>AVERAGE(M589:M596)</f>
        <v>170.5</v>
      </c>
      <c r="O592" s="31">
        <f>MAX($A$35)/2</f>
        <v>279.625</v>
      </c>
      <c r="Q592" s="31">
        <v>287</v>
      </c>
    </row>
    <row r="593" spans="12:17" x14ac:dyDescent="0.35">
      <c r="L593" s="31">
        <v>591</v>
      </c>
      <c r="M593" s="31">
        <v>169</v>
      </c>
      <c r="N593" s="31">
        <f>AVERAGE(M590:M597)</f>
        <v>167</v>
      </c>
      <c r="O593" s="31">
        <f>MAX($A$35)/2</f>
        <v>279.625</v>
      </c>
      <c r="Q593" s="31">
        <v>290</v>
      </c>
    </row>
    <row r="594" spans="12:17" x14ac:dyDescent="0.35">
      <c r="L594" s="31">
        <v>592</v>
      </c>
      <c r="M594" s="31">
        <v>159</v>
      </c>
      <c r="N594" s="31">
        <f>AVERAGE(M591:M598)</f>
        <v>160.875</v>
      </c>
      <c r="O594" s="31">
        <f>MAX($A$35)/2</f>
        <v>279.625</v>
      </c>
      <c r="Q594" s="31">
        <v>268</v>
      </c>
    </row>
    <row r="595" spans="12:17" x14ac:dyDescent="0.35">
      <c r="L595" s="31">
        <v>593</v>
      </c>
      <c r="M595" s="31">
        <v>135</v>
      </c>
      <c r="N595" s="31">
        <f>AVERAGE(M592:M599)</f>
        <v>156.5</v>
      </c>
      <c r="O595" s="31">
        <f>MAX($A$35)/2</f>
        <v>279.625</v>
      </c>
      <c r="Q595" s="31">
        <v>280</v>
      </c>
    </row>
    <row r="596" spans="12:17" x14ac:dyDescent="0.35">
      <c r="L596" s="31">
        <v>594</v>
      </c>
      <c r="M596" s="31">
        <v>169</v>
      </c>
      <c r="N596" s="31">
        <f>AVERAGE(M593:M600)</f>
        <v>154.125</v>
      </c>
      <c r="O596" s="31">
        <f>MAX($A$35)/2</f>
        <v>279.625</v>
      </c>
      <c r="Q596" s="31">
        <v>263</v>
      </c>
    </row>
    <row r="597" spans="12:17" x14ac:dyDescent="0.35">
      <c r="L597" s="31">
        <v>595</v>
      </c>
      <c r="M597" s="31">
        <v>167</v>
      </c>
      <c r="N597" s="31">
        <f>AVERAGE(M594:M601)</f>
        <v>148.75</v>
      </c>
      <c r="O597" s="31">
        <f>MAX($A$35)/2</f>
        <v>279.625</v>
      </c>
      <c r="Q597" s="31">
        <v>237</v>
      </c>
    </row>
    <row r="598" spans="12:17" x14ac:dyDescent="0.35">
      <c r="L598" s="31">
        <v>596</v>
      </c>
      <c r="M598" s="31">
        <v>137</v>
      </c>
      <c r="N598" s="31">
        <f>AVERAGE(M595:M602)</f>
        <v>144</v>
      </c>
      <c r="O598" s="31">
        <f>MAX($A$35)/2</f>
        <v>279.625</v>
      </c>
      <c r="Q598" s="31">
        <v>233</v>
      </c>
    </row>
    <row r="599" spans="12:17" x14ac:dyDescent="0.35">
      <c r="L599" s="31">
        <v>597</v>
      </c>
      <c r="M599" s="31">
        <v>143</v>
      </c>
      <c r="N599" s="31">
        <f>AVERAGE(M596:M603)</f>
        <v>142.625</v>
      </c>
      <c r="O599" s="31">
        <f>MAX($A$35)/2</f>
        <v>279.625</v>
      </c>
      <c r="Q599" s="31">
        <v>229</v>
      </c>
    </row>
    <row r="600" spans="12:17" x14ac:dyDescent="0.35">
      <c r="L600" s="31">
        <v>598</v>
      </c>
      <c r="M600" s="31">
        <v>154</v>
      </c>
      <c r="N600" s="31">
        <f>AVERAGE(M597:M604)</f>
        <v>137.25</v>
      </c>
      <c r="O600" s="31">
        <f>MAX($A$35)/2</f>
        <v>279.625</v>
      </c>
      <c r="Q600" s="31">
        <v>230</v>
      </c>
    </row>
    <row r="601" spans="12:17" x14ac:dyDescent="0.35">
      <c r="L601" s="31">
        <v>599</v>
      </c>
      <c r="M601" s="31">
        <v>126</v>
      </c>
      <c r="N601" s="31">
        <f>AVERAGE(M598:M605)</f>
        <v>131.75</v>
      </c>
      <c r="O601" s="31">
        <f>MAX($A$35)/2</f>
        <v>279.625</v>
      </c>
      <c r="Q601" s="31">
        <v>235</v>
      </c>
    </row>
    <row r="602" spans="12:17" x14ac:dyDescent="0.35">
      <c r="L602" s="31">
        <v>600</v>
      </c>
      <c r="M602" s="31">
        <v>121</v>
      </c>
      <c r="N602" s="31">
        <f>AVERAGE(M599:M606)</f>
        <v>129.625</v>
      </c>
      <c r="O602" s="31">
        <f>MAX($A$35)/2</f>
        <v>279.625</v>
      </c>
      <c r="Q602" s="31">
        <v>230</v>
      </c>
    </row>
    <row r="603" spans="12:17" x14ac:dyDescent="0.35">
      <c r="L603" s="31">
        <v>601</v>
      </c>
      <c r="M603" s="31">
        <v>124</v>
      </c>
      <c r="N603" s="31">
        <f>AVERAGE(M600:M607)</f>
        <v>128.125</v>
      </c>
      <c r="O603" s="31">
        <f>MAX($A$35)/2</f>
        <v>279.625</v>
      </c>
      <c r="Q603" s="31">
        <v>227</v>
      </c>
    </row>
    <row r="604" spans="12:17" x14ac:dyDescent="0.35">
      <c r="L604" s="31">
        <v>602</v>
      </c>
      <c r="M604" s="31">
        <v>126</v>
      </c>
      <c r="N604" s="31">
        <f>AVERAGE(M601:M608)</f>
        <v>123.5</v>
      </c>
      <c r="O604" s="31">
        <f>MAX($A$35)/2</f>
        <v>279.625</v>
      </c>
      <c r="Q604" s="31">
        <v>191</v>
      </c>
    </row>
    <row r="605" spans="12:17" x14ac:dyDescent="0.35">
      <c r="L605" s="31">
        <v>603</v>
      </c>
      <c r="M605" s="31">
        <v>123</v>
      </c>
      <c r="N605" s="31">
        <f>AVERAGE(M602:M609)</f>
        <v>121.625</v>
      </c>
      <c r="O605" s="31">
        <f>MAX($A$35)/2</f>
        <v>279.625</v>
      </c>
      <c r="Q605" s="31">
        <v>206</v>
      </c>
    </row>
    <row r="606" spans="12:17" x14ac:dyDescent="0.35">
      <c r="L606" s="31">
        <v>604</v>
      </c>
      <c r="M606" s="31">
        <v>120</v>
      </c>
      <c r="N606" s="31">
        <f>AVERAGE(M603:M610)</f>
        <v>120.75</v>
      </c>
      <c r="O606" s="31">
        <f>MAX($A$35)/2</f>
        <v>279.625</v>
      </c>
      <c r="Q606" s="31">
        <v>190</v>
      </c>
    </row>
    <row r="607" spans="12:17" x14ac:dyDescent="0.35">
      <c r="L607" s="31">
        <v>605</v>
      </c>
      <c r="M607" s="31">
        <v>131</v>
      </c>
      <c r="N607" s="31">
        <f>AVERAGE(M604:M611)</f>
        <v>118.125</v>
      </c>
      <c r="O607" s="31">
        <f>MAX($A$35)/2</f>
        <v>279.625</v>
      </c>
      <c r="Q607" s="31">
        <v>157</v>
      </c>
    </row>
    <row r="608" spans="12:17" x14ac:dyDescent="0.35">
      <c r="L608" s="31">
        <v>606</v>
      </c>
      <c r="M608" s="31">
        <v>117</v>
      </c>
      <c r="N608" s="31">
        <f>AVERAGE(M605:M612)</f>
        <v>114.875</v>
      </c>
      <c r="O608" s="31">
        <f>MAX($A$35)/2</f>
        <v>279.625</v>
      </c>
      <c r="Q608" s="31">
        <v>175</v>
      </c>
    </row>
    <row r="609" spans="12:17" x14ac:dyDescent="0.35">
      <c r="L609" s="31">
        <v>607</v>
      </c>
      <c r="M609" s="31">
        <v>111</v>
      </c>
      <c r="N609" s="31">
        <f>AVERAGE(M606:M613)</f>
        <v>114</v>
      </c>
      <c r="O609" s="31">
        <f>MAX($A$35)/2</f>
        <v>279.625</v>
      </c>
      <c r="Q609" s="31">
        <v>190</v>
      </c>
    </row>
    <row r="610" spans="12:17" x14ac:dyDescent="0.35">
      <c r="L610" s="31">
        <v>608</v>
      </c>
      <c r="M610" s="31">
        <v>114</v>
      </c>
      <c r="N610" s="31">
        <f>AVERAGE(M607:M614)</f>
        <v>112.375</v>
      </c>
      <c r="O610" s="31">
        <f>MAX($A$35)/2</f>
        <v>279.625</v>
      </c>
      <c r="Q610" s="31">
        <v>181</v>
      </c>
    </row>
    <row r="611" spans="12:17" x14ac:dyDescent="0.35">
      <c r="L611" s="31">
        <v>609</v>
      </c>
      <c r="M611" s="31">
        <v>103</v>
      </c>
      <c r="N611" s="31">
        <f>AVERAGE(M608:M615)</f>
        <v>108.625</v>
      </c>
      <c r="O611" s="31">
        <f>MAX($A$35)/2</f>
        <v>279.625</v>
      </c>
      <c r="Q611" s="31">
        <v>170</v>
      </c>
    </row>
    <row r="612" spans="12:17" x14ac:dyDescent="0.35">
      <c r="L612" s="31">
        <v>610</v>
      </c>
      <c r="M612" s="31">
        <v>100</v>
      </c>
      <c r="N612" s="31">
        <f>AVERAGE(M609:M616)</f>
        <v>105.25</v>
      </c>
      <c r="O612" s="31">
        <f>MAX($A$35)/2</f>
        <v>279.625</v>
      </c>
      <c r="Q612" s="31">
        <v>155</v>
      </c>
    </row>
    <row r="613" spans="12:17" x14ac:dyDescent="0.35">
      <c r="L613" s="31">
        <v>611</v>
      </c>
      <c r="M613" s="31">
        <v>116</v>
      </c>
      <c r="N613" s="31">
        <f>AVERAGE(M610:M617)</f>
        <v>103.5</v>
      </c>
      <c r="O613" s="31">
        <f>MAX($A$35)/2</f>
        <v>279.625</v>
      </c>
      <c r="Q613" s="31">
        <v>196</v>
      </c>
    </row>
    <row r="614" spans="12:17" x14ac:dyDescent="0.35">
      <c r="L614" s="31">
        <v>612</v>
      </c>
      <c r="M614" s="31">
        <v>107</v>
      </c>
      <c r="N614" s="31">
        <f>AVERAGE(M611:M618)</f>
        <v>98.5</v>
      </c>
      <c r="O614" s="31">
        <f>MAX($A$35)/2</f>
        <v>279.625</v>
      </c>
      <c r="Q614" s="31">
        <v>181</v>
      </c>
    </row>
    <row r="615" spans="12:17" x14ac:dyDescent="0.35">
      <c r="L615" s="31">
        <v>613</v>
      </c>
      <c r="M615" s="31">
        <v>101</v>
      </c>
      <c r="N615" s="31">
        <f>AVERAGE(M612:M619)</f>
        <v>96.25</v>
      </c>
      <c r="O615" s="31">
        <f>MAX($A$35)/2</f>
        <v>279.625</v>
      </c>
      <c r="Q615" s="31">
        <v>173</v>
      </c>
    </row>
    <row r="616" spans="12:17" x14ac:dyDescent="0.35">
      <c r="L616" s="31">
        <v>614</v>
      </c>
      <c r="M616" s="31">
        <v>90</v>
      </c>
      <c r="N616" s="31">
        <f>AVERAGE(M613:M620)</f>
        <v>95.25</v>
      </c>
      <c r="O616" s="31">
        <f>MAX($A$35)/2</f>
        <v>279.625</v>
      </c>
      <c r="Q616" s="31">
        <v>163</v>
      </c>
    </row>
    <row r="617" spans="12:17" x14ac:dyDescent="0.35">
      <c r="L617" s="31">
        <v>615</v>
      </c>
      <c r="M617" s="31">
        <v>97</v>
      </c>
      <c r="N617" s="31">
        <f>AVERAGE(M614:M621)</f>
        <v>90.625</v>
      </c>
      <c r="O617" s="31">
        <f>MAX($A$35)/2</f>
        <v>279.625</v>
      </c>
      <c r="Q617" s="31">
        <v>180</v>
      </c>
    </row>
    <row r="618" spans="12:17" x14ac:dyDescent="0.35">
      <c r="L618" s="31">
        <v>616</v>
      </c>
      <c r="M618" s="31">
        <v>74</v>
      </c>
      <c r="N618" s="31">
        <f>AVERAGE(M615:M622)</f>
        <v>86.25</v>
      </c>
      <c r="O618" s="31">
        <f>MAX($A$35)/2</f>
        <v>279.625</v>
      </c>
      <c r="Q618" s="31">
        <v>142</v>
      </c>
    </row>
    <row r="619" spans="12:17" x14ac:dyDescent="0.35">
      <c r="L619" s="31">
        <v>617</v>
      </c>
      <c r="M619" s="31">
        <v>85</v>
      </c>
      <c r="N619" s="31">
        <f>AVERAGE(M616:M623)</f>
        <v>83.375</v>
      </c>
      <c r="O619" s="31">
        <f>MAX($A$35)/2</f>
        <v>279.625</v>
      </c>
      <c r="Q619" s="31">
        <v>138</v>
      </c>
    </row>
    <row r="620" spans="12:17" x14ac:dyDescent="0.35">
      <c r="L620" s="31">
        <v>618</v>
      </c>
      <c r="M620" s="31">
        <v>92</v>
      </c>
      <c r="N620" s="31">
        <f>AVERAGE(M617:M624)</f>
        <v>80.375</v>
      </c>
      <c r="O620" s="31">
        <f>MAX($A$35)/2</f>
        <v>279.625</v>
      </c>
      <c r="Q620" s="31">
        <v>139</v>
      </c>
    </row>
    <row r="621" spans="12:17" x14ac:dyDescent="0.35">
      <c r="L621" s="31">
        <v>619</v>
      </c>
      <c r="M621" s="31">
        <v>79</v>
      </c>
      <c r="N621" s="31">
        <f>AVERAGE(M618:M625)</f>
        <v>75.125</v>
      </c>
      <c r="O621" s="31">
        <f>MAX($A$35)/2</f>
        <v>279.625</v>
      </c>
      <c r="Q621" s="31">
        <v>137</v>
      </c>
    </row>
    <row r="622" spans="12:17" x14ac:dyDescent="0.35">
      <c r="L622" s="31">
        <v>620</v>
      </c>
      <c r="M622" s="31">
        <v>72</v>
      </c>
      <c r="N622" s="31">
        <f>AVERAGE(M619:M626)</f>
        <v>75.625</v>
      </c>
      <c r="O622" s="31">
        <f>MAX($A$35)/2</f>
        <v>279.625</v>
      </c>
      <c r="Q622" s="31">
        <v>139</v>
      </c>
    </row>
    <row r="623" spans="12:17" x14ac:dyDescent="0.35">
      <c r="L623" s="31">
        <v>621</v>
      </c>
      <c r="M623" s="31">
        <v>78</v>
      </c>
      <c r="N623" s="31">
        <f>AVERAGE(M620:M627)</f>
        <v>74</v>
      </c>
      <c r="O623" s="31">
        <f>MAX($A$35)/2</f>
        <v>279.625</v>
      </c>
      <c r="Q623" s="31">
        <v>127</v>
      </c>
    </row>
    <row r="624" spans="12:17" x14ac:dyDescent="0.35">
      <c r="L624" s="31">
        <v>622</v>
      </c>
      <c r="M624" s="31">
        <v>66</v>
      </c>
      <c r="N624" s="31">
        <f>AVERAGE(M621:M628)</f>
        <v>70.25</v>
      </c>
      <c r="O624" s="31">
        <f>MAX($A$35)/2</f>
        <v>279.625</v>
      </c>
      <c r="Q624" s="31">
        <v>125</v>
      </c>
    </row>
    <row r="625" spans="12:17" x14ac:dyDescent="0.35">
      <c r="L625" s="31">
        <v>623</v>
      </c>
      <c r="M625" s="31">
        <v>55</v>
      </c>
      <c r="N625" s="31">
        <f>AVERAGE(M622:M629)</f>
        <v>67.375</v>
      </c>
      <c r="O625" s="31">
        <f>MAX($A$35)/2</f>
        <v>279.625</v>
      </c>
      <c r="Q625" s="31">
        <v>140</v>
      </c>
    </row>
    <row r="626" spans="12:17" x14ac:dyDescent="0.35">
      <c r="L626" s="31">
        <v>624</v>
      </c>
      <c r="M626" s="31">
        <v>78</v>
      </c>
      <c r="N626" s="31">
        <f>AVERAGE(M623:M630)</f>
        <v>66.25</v>
      </c>
      <c r="O626" s="31">
        <f>MAX($A$35)/2</f>
        <v>279.625</v>
      </c>
      <c r="Q626" s="31">
        <v>140</v>
      </c>
    </row>
    <row r="627" spans="12:17" x14ac:dyDescent="0.35">
      <c r="L627" s="31">
        <v>625</v>
      </c>
      <c r="M627" s="31">
        <v>72</v>
      </c>
      <c r="N627" s="31">
        <f>AVERAGE(M624:M631)</f>
        <v>64</v>
      </c>
      <c r="O627" s="31">
        <f>MAX($A$35)/2</f>
        <v>279.625</v>
      </c>
      <c r="Q627" s="31">
        <v>110</v>
      </c>
    </row>
    <row r="628" spans="12:17" x14ac:dyDescent="0.35">
      <c r="L628" s="31">
        <v>626</v>
      </c>
      <c r="M628" s="31">
        <v>62</v>
      </c>
      <c r="N628" s="31">
        <f>AVERAGE(M625:M632)</f>
        <v>63.625</v>
      </c>
      <c r="O628" s="31">
        <f>MAX($A$35)/2</f>
        <v>279.625</v>
      </c>
      <c r="Q628" s="31">
        <v>120</v>
      </c>
    </row>
    <row r="629" spans="12:17" x14ac:dyDescent="0.35">
      <c r="L629" s="31">
        <v>627</v>
      </c>
      <c r="M629" s="31">
        <v>56</v>
      </c>
      <c r="N629" s="31">
        <f>AVERAGE(M626:M633)</f>
        <v>62.875</v>
      </c>
      <c r="O629" s="31">
        <f>MAX($A$35)/2</f>
        <v>279.625</v>
      </c>
      <c r="Q629" s="31">
        <v>123</v>
      </c>
    </row>
    <row r="630" spans="12:17" x14ac:dyDescent="0.35">
      <c r="L630" s="31">
        <v>628</v>
      </c>
      <c r="M630" s="31">
        <v>63</v>
      </c>
      <c r="N630" s="31">
        <f>AVERAGE(M627:M634)</f>
        <v>60.5</v>
      </c>
      <c r="O630" s="31">
        <f>MAX($A$35)/2</f>
        <v>279.625</v>
      </c>
      <c r="Q630" s="31">
        <v>87</v>
      </c>
    </row>
    <row r="631" spans="12:17" x14ac:dyDescent="0.35">
      <c r="L631" s="31">
        <v>629</v>
      </c>
      <c r="M631" s="31">
        <v>60</v>
      </c>
      <c r="N631" s="31">
        <f>AVERAGE(M628:M635)</f>
        <v>57.625</v>
      </c>
      <c r="O631" s="31">
        <f>MAX($A$35)/2</f>
        <v>279.625</v>
      </c>
      <c r="Q631" s="31">
        <v>105</v>
      </c>
    </row>
    <row r="632" spans="12:17" x14ac:dyDescent="0.35">
      <c r="L632" s="31">
        <v>630</v>
      </c>
      <c r="M632" s="31">
        <v>63</v>
      </c>
      <c r="N632" s="31">
        <f>AVERAGE(M629:M636)</f>
        <v>56.25</v>
      </c>
      <c r="O632" s="31">
        <f>MAX($A$35)/2</f>
        <v>279.625</v>
      </c>
      <c r="Q632" s="31">
        <v>100</v>
      </c>
    </row>
    <row r="633" spans="12:17" x14ac:dyDescent="0.35">
      <c r="L633" s="31">
        <v>631</v>
      </c>
      <c r="M633" s="31">
        <v>49</v>
      </c>
      <c r="N633" s="31">
        <f>AVERAGE(M630:M637)</f>
        <v>55</v>
      </c>
      <c r="O633" s="31">
        <f>MAX($A$35)/2</f>
        <v>279.625</v>
      </c>
      <c r="Q633" s="31">
        <v>93</v>
      </c>
    </row>
    <row r="634" spans="12:17" x14ac:dyDescent="0.35">
      <c r="L634" s="31">
        <v>632</v>
      </c>
      <c r="M634" s="31">
        <v>59</v>
      </c>
      <c r="N634" s="31">
        <f>AVERAGE(M631:M638)</f>
        <v>52.25</v>
      </c>
      <c r="O634" s="31">
        <f>MAX($A$35)/2</f>
        <v>279.625</v>
      </c>
      <c r="Q634" s="31">
        <v>114</v>
      </c>
    </row>
    <row r="635" spans="12:17" x14ac:dyDescent="0.35">
      <c r="L635" s="31">
        <v>633</v>
      </c>
      <c r="M635" s="31">
        <v>49</v>
      </c>
      <c r="N635" s="31">
        <f>AVERAGE(M632:M639)</f>
        <v>50.125</v>
      </c>
      <c r="O635" s="31">
        <f>MAX($A$35)/2</f>
        <v>279.625</v>
      </c>
      <c r="Q635" s="31">
        <v>88</v>
      </c>
    </row>
    <row r="636" spans="12:17" x14ac:dyDescent="0.35">
      <c r="L636" s="31">
        <v>634</v>
      </c>
      <c r="M636" s="31">
        <v>51</v>
      </c>
      <c r="N636" s="31">
        <f>AVERAGE(M633:M640)</f>
        <v>48.125</v>
      </c>
      <c r="O636" s="31">
        <f>MAX($A$35)/2</f>
        <v>279.625</v>
      </c>
      <c r="Q636" s="31">
        <v>92</v>
      </c>
    </row>
    <row r="637" spans="12:17" x14ac:dyDescent="0.35">
      <c r="L637" s="31">
        <v>635</v>
      </c>
      <c r="M637" s="31">
        <v>46</v>
      </c>
      <c r="N637" s="31">
        <f>AVERAGE(M634:M641)</f>
        <v>46.625</v>
      </c>
      <c r="O637" s="31">
        <f>MAX($A$35)/2</f>
        <v>279.625</v>
      </c>
      <c r="Q637" s="31">
        <v>94</v>
      </c>
    </row>
    <row r="638" spans="12:17" x14ac:dyDescent="0.35">
      <c r="L638" s="31">
        <v>636</v>
      </c>
      <c r="M638" s="31">
        <v>41</v>
      </c>
      <c r="N638" s="31">
        <f>AVERAGE(M635:M642)</f>
        <v>45</v>
      </c>
      <c r="O638" s="31">
        <f>MAX($A$35)/2</f>
        <v>279.625</v>
      </c>
      <c r="Q638" s="31">
        <v>100</v>
      </c>
    </row>
    <row r="639" spans="12:17" x14ac:dyDescent="0.35">
      <c r="L639" s="31">
        <v>637</v>
      </c>
      <c r="M639" s="31">
        <v>43</v>
      </c>
      <c r="N639" s="31">
        <f>AVERAGE(M636:M643)</f>
        <v>43.75</v>
      </c>
      <c r="O639" s="31">
        <f>MAX($A$35)/2</f>
        <v>279.625</v>
      </c>
      <c r="Q639" s="31">
        <v>92</v>
      </c>
    </row>
    <row r="640" spans="12:17" x14ac:dyDescent="0.35">
      <c r="L640" s="31">
        <v>638</v>
      </c>
      <c r="M640" s="31">
        <v>47</v>
      </c>
      <c r="N640" s="31">
        <f>AVERAGE(M637:M644)</f>
        <v>42.625</v>
      </c>
      <c r="O640" s="31">
        <f>MAX($A$35)/2</f>
        <v>279.625</v>
      </c>
      <c r="Q640" s="31">
        <v>76</v>
      </c>
    </row>
    <row r="641" spans="12:17" x14ac:dyDescent="0.35">
      <c r="L641" s="31">
        <v>639</v>
      </c>
      <c r="M641" s="31">
        <v>37</v>
      </c>
      <c r="N641" s="31">
        <f>AVERAGE(M638:M645)</f>
        <v>41.125</v>
      </c>
      <c r="O641" s="31">
        <f>MAX($A$35)/2</f>
        <v>279.625</v>
      </c>
      <c r="Q641" s="31">
        <v>81</v>
      </c>
    </row>
    <row r="642" spans="12:17" x14ac:dyDescent="0.35">
      <c r="L642" s="31">
        <v>640</v>
      </c>
      <c r="M642" s="31">
        <v>46</v>
      </c>
      <c r="N642" s="31">
        <f>AVERAGE(M639:M646)</f>
        <v>39.875</v>
      </c>
      <c r="O642" s="31">
        <f>MAX($A$35)/2</f>
        <v>279.625</v>
      </c>
      <c r="Q642" s="31">
        <v>73</v>
      </c>
    </row>
    <row r="643" spans="12:17" x14ac:dyDescent="0.35">
      <c r="L643" s="31">
        <v>641</v>
      </c>
      <c r="M643" s="31">
        <v>39</v>
      </c>
      <c r="N643" s="31">
        <f>AVERAGE(M640:M647)</f>
        <v>39.125</v>
      </c>
      <c r="O643" s="31">
        <f>MAX($A$35)/2</f>
        <v>279.625</v>
      </c>
      <c r="Q643" s="31">
        <v>76</v>
      </c>
    </row>
    <row r="644" spans="12:17" x14ac:dyDescent="0.35">
      <c r="L644" s="31">
        <v>642</v>
      </c>
      <c r="M644" s="31">
        <v>42</v>
      </c>
      <c r="N644" s="31">
        <f>AVERAGE(M641:M648)</f>
        <v>36.125</v>
      </c>
      <c r="O644" s="31">
        <f>MAX($A$35)/2</f>
        <v>279.625</v>
      </c>
      <c r="Q644" s="31">
        <v>64</v>
      </c>
    </row>
    <row r="645" spans="12:17" x14ac:dyDescent="0.35">
      <c r="L645" s="31">
        <v>643</v>
      </c>
      <c r="M645" s="31">
        <v>34</v>
      </c>
      <c r="N645" s="31">
        <f>AVERAGE(M642:M649)</f>
        <v>35</v>
      </c>
      <c r="O645" s="31">
        <f>MAX($A$35)/2</f>
        <v>279.625</v>
      </c>
      <c r="Q645" s="31">
        <v>73</v>
      </c>
    </row>
    <row r="646" spans="12:17" x14ac:dyDescent="0.35">
      <c r="L646" s="31">
        <v>644</v>
      </c>
      <c r="M646" s="31">
        <v>31</v>
      </c>
      <c r="N646" s="31">
        <f>AVERAGE(M643:M650)</f>
        <v>32.875</v>
      </c>
      <c r="O646" s="31">
        <f>MAX($A$35)/2</f>
        <v>279.625</v>
      </c>
      <c r="Q646" s="31">
        <v>67</v>
      </c>
    </row>
    <row r="647" spans="12:17" x14ac:dyDescent="0.35">
      <c r="L647" s="31">
        <v>645</v>
      </c>
      <c r="M647" s="31">
        <v>37</v>
      </c>
      <c r="N647" s="31">
        <f>AVERAGE(M644:M651)</f>
        <v>32.5</v>
      </c>
      <c r="O647" s="31">
        <f>MAX($A$35)/2</f>
        <v>279.625</v>
      </c>
      <c r="Q647" s="31">
        <v>56</v>
      </c>
    </row>
    <row r="648" spans="12:17" x14ac:dyDescent="0.35">
      <c r="L648" s="31">
        <v>646</v>
      </c>
      <c r="M648" s="31">
        <v>23</v>
      </c>
      <c r="N648" s="31">
        <f>AVERAGE(M645:M652)</f>
        <v>31.625</v>
      </c>
      <c r="O648" s="31">
        <f>MAX($A$35)/2</f>
        <v>279.625</v>
      </c>
      <c r="Q648" s="31">
        <v>68</v>
      </c>
    </row>
    <row r="649" spans="12:17" x14ac:dyDescent="0.35">
      <c r="L649" s="31">
        <v>647</v>
      </c>
      <c r="M649" s="31">
        <v>28</v>
      </c>
      <c r="N649" s="31">
        <f>AVERAGE(M646:M653)</f>
        <v>30.625</v>
      </c>
      <c r="O649" s="31">
        <f>MAX($A$35)/2</f>
        <v>279.625</v>
      </c>
      <c r="Q649" s="31">
        <v>66</v>
      </c>
    </row>
    <row r="650" spans="12:17" x14ac:dyDescent="0.35">
      <c r="L650" s="31">
        <v>648</v>
      </c>
      <c r="M650" s="31">
        <v>29</v>
      </c>
      <c r="N650" s="31">
        <f>AVERAGE(M647:M654)</f>
        <v>29.875</v>
      </c>
      <c r="O650" s="31">
        <f>MAX($A$35)/2</f>
        <v>279.625</v>
      </c>
      <c r="Q650" s="31">
        <v>63</v>
      </c>
    </row>
    <row r="651" spans="12:17" x14ac:dyDescent="0.35">
      <c r="L651" s="31">
        <v>649</v>
      </c>
      <c r="M651" s="31">
        <v>36</v>
      </c>
      <c r="N651" s="31">
        <f>AVERAGE(M648:M655)</f>
        <v>29.375</v>
      </c>
      <c r="O651" s="31">
        <f>MAX($A$35)/2</f>
        <v>279.625</v>
      </c>
      <c r="Q651" s="31">
        <v>62</v>
      </c>
    </row>
    <row r="652" spans="12:17" x14ac:dyDescent="0.35">
      <c r="L652" s="31">
        <v>650</v>
      </c>
      <c r="M652" s="31">
        <v>35</v>
      </c>
      <c r="N652" s="31">
        <f>AVERAGE(M649:M656)</f>
        <v>28.875</v>
      </c>
      <c r="O652" s="31">
        <f>MAX($A$35)/2</f>
        <v>279.625</v>
      </c>
      <c r="Q652" s="31">
        <v>54</v>
      </c>
    </row>
    <row r="653" spans="12:17" x14ac:dyDescent="0.35">
      <c r="L653" s="31">
        <v>651</v>
      </c>
      <c r="M653" s="31">
        <v>26</v>
      </c>
      <c r="N653" s="31">
        <f>AVERAGE(M650:M657)</f>
        <v>29</v>
      </c>
      <c r="O653" s="31">
        <f>MAX($A$35)/2</f>
        <v>279.625</v>
      </c>
      <c r="Q653" s="31">
        <v>59</v>
      </c>
    </row>
    <row r="654" spans="12:17" x14ac:dyDescent="0.35">
      <c r="L654" s="31">
        <v>652</v>
      </c>
      <c r="M654" s="31">
        <v>25</v>
      </c>
      <c r="N654" s="31">
        <f>AVERAGE(M651:M658)</f>
        <v>29.75</v>
      </c>
      <c r="O654" s="31">
        <f>MAX($A$35)/2</f>
        <v>279.625</v>
      </c>
      <c r="Q654" s="31">
        <v>43</v>
      </c>
    </row>
    <row r="655" spans="12:17" x14ac:dyDescent="0.35">
      <c r="L655" s="31">
        <v>653</v>
      </c>
      <c r="M655" s="31">
        <v>33</v>
      </c>
      <c r="N655" s="31">
        <f>AVERAGE(M652:M659)</f>
        <v>27.875</v>
      </c>
      <c r="O655" s="31">
        <f>MAX($A$35)/2</f>
        <v>279.625</v>
      </c>
      <c r="Q655" s="31">
        <v>51</v>
      </c>
    </row>
    <row r="656" spans="12:17" x14ac:dyDescent="0.35">
      <c r="L656" s="31">
        <v>654</v>
      </c>
      <c r="M656" s="31">
        <v>19</v>
      </c>
      <c r="N656" s="31">
        <f>AVERAGE(M653:M660)</f>
        <v>26.875</v>
      </c>
      <c r="O656" s="31">
        <f>MAX($A$35)/2</f>
        <v>279.625</v>
      </c>
      <c r="Q656" s="31">
        <v>55</v>
      </c>
    </row>
    <row r="657" spans="12:17" x14ac:dyDescent="0.35">
      <c r="L657" s="31">
        <v>655</v>
      </c>
      <c r="M657" s="31">
        <v>29</v>
      </c>
      <c r="N657" s="31">
        <f>AVERAGE(M654:M661)</f>
        <v>26</v>
      </c>
      <c r="O657" s="31">
        <f>MAX($A$35)/2</f>
        <v>279.625</v>
      </c>
      <c r="Q657" s="31">
        <v>53</v>
      </c>
    </row>
    <row r="658" spans="12:17" x14ac:dyDescent="0.35">
      <c r="L658" s="31">
        <v>656</v>
      </c>
      <c r="M658" s="31">
        <v>35</v>
      </c>
      <c r="N658" s="31">
        <f>AVERAGE(M655:M662)</f>
        <v>25</v>
      </c>
      <c r="O658" s="31">
        <f>MAX($A$35)/2</f>
        <v>279.625</v>
      </c>
      <c r="Q658" s="31">
        <v>46</v>
      </c>
    </row>
    <row r="659" spans="12:17" x14ac:dyDescent="0.35">
      <c r="L659" s="31">
        <v>657</v>
      </c>
      <c r="M659" s="31">
        <v>21</v>
      </c>
      <c r="N659" s="31">
        <f>AVERAGE(M656:M663)</f>
        <v>23.375</v>
      </c>
      <c r="O659" s="31">
        <f>MAX($A$35)/2</f>
        <v>279.625</v>
      </c>
      <c r="Q659" s="31">
        <v>43</v>
      </c>
    </row>
    <row r="660" spans="12:17" x14ac:dyDescent="0.35">
      <c r="L660" s="31">
        <v>658</v>
      </c>
      <c r="M660" s="31">
        <v>27</v>
      </c>
      <c r="N660" s="31">
        <f>AVERAGE(M657:M664)</f>
        <v>24.25</v>
      </c>
      <c r="O660" s="31">
        <f>MAX($A$35)/2</f>
        <v>279.625</v>
      </c>
      <c r="Q660" s="31">
        <v>36</v>
      </c>
    </row>
    <row r="661" spans="12:17" x14ac:dyDescent="0.35">
      <c r="L661" s="31">
        <v>659</v>
      </c>
      <c r="M661" s="31">
        <v>19</v>
      </c>
      <c r="N661" s="31">
        <f>AVERAGE(M658:M665)</f>
        <v>23.375</v>
      </c>
      <c r="O661" s="31">
        <f>MAX($A$35)/2</f>
        <v>279.625</v>
      </c>
      <c r="Q661" s="31">
        <v>54</v>
      </c>
    </row>
    <row r="662" spans="12:17" x14ac:dyDescent="0.35">
      <c r="L662" s="31">
        <v>660</v>
      </c>
      <c r="M662" s="31">
        <v>17</v>
      </c>
      <c r="N662" s="31">
        <f>AVERAGE(M659:M666)</f>
        <v>21.5</v>
      </c>
      <c r="O662" s="31">
        <f>MAX($A$35)/2</f>
        <v>279.625</v>
      </c>
      <c r="Q662" s="31">
        <v>37</v>
      </c>
    </row>
    <row r="663" spans="12:17" x14ac:dyDescent="0.35">
      <c r="L663" s="31">
        <v>661</v>
      </c>
      <c r="M663" s="31">
        <v>20</v>
      </c>
      <c r="N663" s="31">
        <f>AVERAGE(M660:M667)</f>
        <v>20.5</v>
      </c>
      <c r="O663" s="31">
        <f>MAX($A$35)/2</f>
        <v>279.625</v>
      </c>
      <c r="Q663" s="31">
        <v>43</v>
      </c>
    </row>
    <row r="664" spans="12:17" x14ac:dyDescent="0.35">
      <c r="L664" s="31">
        <v>662</v>
      </c>
      <c r="M664" s="31">
        <v>26</v>
      </c>
      <c r="N664" s="31">
        <f>AVERAGE(M661:M668)</f>
        <v>19.25</v>
      </c>
      <c r="O664" s="31">
        <f>MAX($A$35)/2</f>
        <v>279.625</v>
      </c>
      <c r="Q664" s="31">
        <v>40</v>
      </c>
    </row>
    <row r="665" spans="12:17" x14ac:dyDescent="0.35">
      <c r="L665" s="31">
        <v>663</v>
      </c>
      <c r="M665" s="31">
        <v>22</v>
      </c>
      <c r="N665" s="31">
        <f>AVERAGE(M662:M669)</f>
        <v>19.25</v>
      </c>
      <c r="O665" s="31">
        <f>MAX($A$35)/2</f>
        <v>279.625</v>
      </c>
      <c r="Q665" s="31">
        <v>43</v>
      </c>
    </row>
    <row r="666" spans="12:17" x14ac:dyDescent="0.35">
      <c r="L666" s="31">
        <v>664</v>
      </c>
      <c r="M666" s="31">
        <v>20</v>
      </c>
      <c r="N666" s="31">
        <f>AVERAGE(M663:M670)</f>
        <v>19</v>
      </c>
      <c r="O666" s="31">
        <f>MAX($A$35)/2</f>
        <v>279.625</v>
      </c>
      <c r="Q666" s="31">
        <v>40</v>
      </c>
    </row>
    <row r="667" spans="12:17" x14ac:dyDescent="0.35">
      <c r="L667" s="31">
        <v>665</v>
      </c>
      <c r="M667" s="31">
        <v>13</v>
      </c>
      <c r="N667" s="31">
        <f>AVERAGE(M664:M671)</f>
        <v>19.125</v>
      </c>
      <c r="O667" s="31">
        <f>MAX($A$35)/2</f>
        <v>279.625</v>
      </c>
      <c r="Q667" s="31">
        <v>38</v>
      </c>
    </row>
    <row r="668" spans="12:17" x14ac:dyDescent="0.35">
      <c r="L668" s="31">
        <v>666</v>
      </c>
      <c r="M668" s="31">
        <v>17</v>
      </c>
      <c r="N668" s="31">
        <f>AVERAGE(M665:M672)</f>
        <v>17.5</v>
      </c>
      <c r="O668" s="31">
        <f>MAX($A$35)/2</f>
        <v>279.625</v>
      </c>
      <c r="Q668" s="31">
        <v>36</v>
      </c>
    </row>
    <row r="669" spans="12:17" x14ac:dyDescent="0.35">
      <c r="L669" s="31">
        <v>667</v>
      </c>
      <c r="M669" s="31">
        <v>19</v>
      </c>
      <c r="N669" s="31">
        <f>AVERAGE(M666:M673)</f>
        <v>16.25</v>
      </c>
      <c r="O669" s="31">
        <f>MAX($A$35)/2</f>
        <v>279.625</v>
      </c>
      <c r="Q669" s="31">
        <v>32</v>
      </c>
    </row>
    <row r="670" spans="12:17" x14ac:dyDescent="0.35">
      <c r="L670" s="31">
        <v>668</v>
      </c>
      <c r="M670" s="31">
        <v>15</v>
      </c>
      <c r="N670" s="31">
        <f>AVERAGE(M667:M674)</f>
        <v>15.25</v>
      </c>
      <c r="O670" s="31">
        <f>MAX($A$35)/2</f>
        <v>279.625</v>
      </c>
      <c r="Q670" s="31">
        <v>31</v>
      </c>
    </row>
    <row r="671" spans="12:17" x14ac:dyDescent="0.35">
      <c r="L671" s="31">
        <v>669</v>
      </c>
      <c r="M671" s="31">
        <v>21</v>
      </c>
      <c r="N671" s="31">
        <f>AVERAGE(M668:M675)</f>
        <v>14.875</v>
      </c>
      <c r="O671" s="31">
        <f>MAX($A$35)/2</f>
        <v>279.625</v>
      </c>
      <c r="Q671" s="31">
        <v>35</v>
      </c>
    </row>
    <row r="672" spans="12:17" x14ac:dyDescent="0.35">
      <c r="L672" s="31">
        <v>670</v>
      </c>
      <c r="M672" s="31">
        <v>13</v>
      </c>
      <c r="N672" s="31">
        <f>AVERAGE(M669:M676)</f>
        <v>14.25</v>
      </c>
      <c r="O672" s="31">
        <f>MAX($A$35)/2</f>
        <v>279.625</v>
      </c>
      <c r="Q672" s="31">
        <v>25</v>
      </c>
    </row>
    <row r="673" spans="12:17" x14ac:dyDescent="0.35">
      <c r="L673" s="31">
        <v>671</v>
      </c>
      <c r="M673" s="31">
        <v>12</v>
      </c>
      <c r="N673" s="31">
        <f>AVERAGE(M670:M677)</f>
        <v>13</v>
      </c>
      <c r="O673" s="31">
        <f>MAX($A$35)/2</f>
        <v>279.625</v>
      </c>
      <c r="Q673" s="31">
        <v>30</v>
      </c>
    </row>
    <row r="674" spans="12:17" x14ac:dyDescent="0.35">
      <c r="L674" s="31">
        <v>672</v>
      </c>
      <c r="M674" s="31">
        <v>12</v>
      </c>
      <c r="N674" s="31">
        <f>AVERAGE(M671:M678)</f>
        <v>13.375</v>
      </c>
      <c r="O674" s="31">
        <f>MAX($A$35)/2</f>
        <v>279.625</v>
      </c>
      <c r="Q674" s="31">
        <v>28</v>
      </c>
    </row>
    <row r="675" spans="12:17" x14ac:dyDescent="0.35">
      <c r="L675" s="31">
        <v>673</v>
      </c>
      <c r="M675" s="31">
        <v>10</v>
      </c>
      <c r="N675" s="31">
        <f>AVERAGE(M672:M679)</f>
        <v>12.75</v>
      </c>
      <c r="O675" s="31">
        <f>MAX($A$35)/2</f>
        <v>279.625</v>
      </c>
      <c r="Q675" s="31">
        <v>23</v>
      </c>
    </row>
    <row r="676" spans="12:17" x14ac:dyDescent="0.35">
      <c r="L676" s="31">
        <v>674</v>
      </c>
      <c r="M676" s="31">
        <v>12</v>
      </c>
      <c r="N676" s="31">
        <f>AVERAGE(M673:M680)</f>
        <v>12.375</v>
      </c>
      <c r="O676" s="31">
        <f>MAX($A$35)/2</f>
        <v>279.625</v>
      </c>
      <c r="Q676" s="31">
        <v>32</v>
      </c>
    </row>
    <row r="677" spans="12:17" x14ac:dyDescent="0.35">
      <c r="L677" s="31">
        <v>675</v>
      </c>
      <c r="M677" s="31">
        <v>9</v>
      </c>
      <c r="N677" s="31">
        <f>AVERAGE(M674:M681)</f>
        <v>12.125</v>
      </c>
      <c r="O677" s="31">
        <f>MAX($A$35)/2</f>
        <v>279.625</v>
      </c>
      <c r="Q677" s="31">
        <v>28</v>
      </c>
    </row>
    <row r="678" spans="12:17" x14ac:dyDescent="0.35">
      <c r="L678" s="31">
        <v>676</v>
      </c>
      <c r="M678" s="31">
        <v>18</v>
      </c>
      <c r="N678" s="31">
        <f>AVERAGE(M675:M682)</f>
        <v>11.875</v>
      </c>
      <c r="O678" s="31">
        <f>MAX($A$35)/2</f>
        <v>279.625</v>
      </c>
      <c r="Q678" s="31">
        <v>26</v>
      </c>
    </row>
    <row r="679" spans="12:17" x14ac:dyDescent="0.35">
      <c r="L679" s="31">
        <v>677</v>
      </c>
      <c r="M679" s="31">
        <v>16</v>
      </c>
      <c r="N679" s="31">
        <f>AVERAGE(M676:M683)</f>
        <v>11.875</v>
      </c>
      <c r="O679" s="31">
        <f>MAX($A$35)/2</f>
        <v>279.625</v>
      </c>
      <c r="Q679" s="31">
        <v>18</v>
      </c>
    </row>
    <row r="680" spans="12:17" x14ac:dyDescent="0.35">
      <c r="L680" s="31">
        <v>678</v>
      </c>
      <c r="M680" s="31">
        <v>10</v>
      </c>
      <c r="N680" s="31">
        <f>AVERAGE(M677:M684)</f>
        <v>12</v>
      </c>
      <c r="O680" s="31">
        <f>MAX($A$35)/2</f>
        <v>279.625</v>
      </c>
      <c r="Q680" s="31">
        <v>17</v>
      </c>
    </row>
    <row r="681" spans="12:17" x14ac:dyDescent="0.35">
      <c r="L681" s="31">
        <v>679</v>
      </c>
      <c r="M681" s="31">
        <v>10</v>
      </c>
      <c r="N681" s="31">
        <f>AVERAGE(M678:M685)</f>
        <v>12.125</v>
      </c>
      <c r="O681" s="31">
        <f>MAX($A$35)/2</f>
        <v>279.625</v>
      </c>
      <c r="Q681" s="31">
        <v>28</v>
      </c>
    </row>
    <row r="682" spans="12:17" x14ac:dyDescent="0.35">
      <c r="L682" s="31">
        <v>680</v>
      </c>
      <c r="M682" s="31">
        <v>10</v>
      </c>
      <c r="N682" s="31">
        <f>AVERAGE(M679:M686)</f>
        <v>10.625</v>
      </c>
      <c r="O682" s="31">
        <f>MAX($A$35)/2</f>
        <v>279.625</v>
      </c>
      <c r="Q682" s="31">
        <v>16</v>
      </c>
    </row>
    <row r="683" spans="12:17" x14ac:dyDescent="0.35">
      <c r="L683" s="31">
        <v>681</v>
      </c>
      <c r="M683" s="31">
        <v>10</v>
      </c>
      <c r="N683" s="31">
        <f>AVERAGE(M680:M687)</f>
        <v>10.375</v>
      </c>
      <c r="O683" s="31">
        <f>MAX($A$35)/2</f>
        <v>279.625</v>
      </c>
      <c r="Q683" s="31">
        <v>27</v>
      </c>
    </row>
    <row r="684" spans="12:17" x14ac:dyDescent="0.35">
      <c r="L684" s="31">
        <v>682</v>
      </c>
      <c r="M684" s="31">
        <v>13</v>
      </c>
      <c r="N684" s="31">
        <f>AVERAGE(M681:M688)</f>
        <v>10.75</v>
      </c>
      <c r="O684" s="31">
        <f>MAX($A$35)/2</f>
        <v>279.625</v>
      </c>
      <c r="Q684" s="31">
        <v>22</v>
      </c>
    </row>
    <row r="685" spans="12:17" x14ac:dyDescent="0.35">
      <c r="L685" s="31">
        <v>683</v>
      </c>
      <c r="M685" s="31">
        <v>10</v>
      </c>
      <c r="N685" s="31">
        <f>AVERAGE(M682:M689)</f>
        <v>10.125</v>
      </c>
      <c r="O685" s="31">
        <f>MAX($A$35)/2</f>
        <v>279.625</v>
      </c>
      <c r="Q685" s="31">
        <v>17</v>
      </c>
    </row>
    <row r="686" spans="12:17" x14ac:dyDescent="0.35">
      <c r="L686" s="31">
        <v>684</v>
      </c>
      <c r="M686" s="31">
        <v>6</v>
      </c>
      <c r="O686" s="31">
        <f>MAX(N686:N1684)</f>
        <v>0</v>
      </c>
      <c r="Q686" s="31">
        <v>23</v>
      </c>
    </row>
    <row r="687" spans="12:17" x14ac:dyDescent="0.35">
      <c r="L687" s="31">
        <v>685</v>
      </c>
      <c r="M687" s="31">
        <v>14</v>
      </c>
      <c r="O687" s="31">
        <f>MAX(N687:N1685)</f>
        <v>0</v>
      </c>
      <c r="Q687" s="31">
        <v>34</v>
      </c>
    </row>
    <row r="688" spans="12:17" x14ac:dyDescent="0.35">
      <c r="L688" s="31">
        <v>686</v>
      </c>
      <c r="M688" s="31">
        <v>13</v>
      </c>
      <c r="O688" s="31">
        <f>MAX(N688:N1686)</f>
        <v>0</v>
      </c>
      <c r="Q688" s="31">
        <v>23</v>
      </c>
    </row>
    <row r="689" spans="12:17" x14ac:dyDescent="0.35">
      <c r="L689" s="31">
        <v>687</v>
      </c>
      <c r="M689" s="31">
        <v>5</v>
      </c>
      <c r="O689" s="31">
        <f>MAX(N689:N1687)</f>
        <v>0</v>
      </c>
      <c r="Q689" s="31">
        <v>26</v>
      </c>
    </row>
    <row r="690" spans="12:17" x14ac:dyDescent="0.35">
      <c r="L690" s="31">
        <v>688</v>
      </c>
      <c r="M690" s="31">
        <v>9</v>
      </c>
      <c r="O690" s="31">
        <f>MAX(N690:N1688)</f>
        <v>0</v>
      </c>
      <c r="Q690" s="31">
        <v>27</v>
      </c>
    </row>
    <row r="691" spans="12:17" x14ac:dyDescent="0.35">
      <c r="L691" s="31">
        <v>689</v>
      </c>
      <c r="M691" s="31">
        <v>8</v>
      </c>
      <c r="O691" s="31">
        <f>MAX(N691:N1689)</f>
        <v>0</v>
      </c>
      <c r="Q691" s="31">
        <v>27</v>
      </c>
    </row>
    <row r="692" spans="12:17" x14ac:dyDescent="0.35">
      <c r="L692" s="31">
        <v>690</v>
      </c>
      <c r="M692" s="31">
        <v>14</v>
      </c>
      <c r="O692" s="31">
        <f>MAX(N692:N1690)</f>
        <v>0</v>
      </c>
      <c r="Q692" s="31">
        <v>22</v>
      </c>
    </row>
    <row r="693" spans="12:17" x14ac:dyDescent="0.35">
      <c r="L693" s="31">
        <v>691</v>
      </c>
      <c r="M693" s="31">
        <v>9</v>
      </c>
      <c r="O693" s="31">
        <f>MAX(N693:N1691)</f>
        <v>0</v>
      </c>
      <c r="Q693" s="31">
        <v>16</v>
      </c>
    </row>
    <row r="694" spans="12:17" x14ac:dyDescent="0.35">
      <c r="L694" s="31">
        <v>692</v>
      </c>
      <c r="M694" s="31">
        <v>6</v>
      </c>
      <c r="O694" s="31">
        <f>MAX(N694:N1692)</f>
        <v>0</v>
      </c>
      <c r="Q694" s="31">
        <v>28</v>
      </c>
    </row>
    <row r="695" spans="12:17" x14ac:dyDescent="0.35">
      <c r="L695" s="31">
        <v>693</v>
      </c>
      <c r="M695" s="31">
        <v>12</v>
      </c>
      <c r="O695" s="31">
        <f>MAX(N695:N1693)</f>
        <v>0</v>
      </c>
      <c r="Q695" s="31">
        <v>23</v>
      </c>
    </row>
    <row r="696" spans="12:17" x14ac:dyDescent="0.35">
      <c r="L696" s="31">
        <v>694</v>
      </c>
      <c r="M696" s="31">
        <v>10</v>
      </c>
      <c r="O696" s="31">
        <f>MAX(N696:N1694)</f>
        <v>0</v>
      </c>
      <c r="Q696" s="31">
        <v>17</v>
      </c>
    </row>
    <row r="697" spans="12:17" x14ac:dyDescent="0.35">
      <c r="L697" s="31">
        <v>695</v>
      </c>
      <c r="M697" s="31">
        <v>5</v>
      </c>
      <c r="O697" s="31">
        <f>MAX(N697:N1695)</f>
        <v>0</v>
      </c>
      <c r="Q697" s="31">
        <v>18</v>
      </c>
    </row>
    <row r="698" spans="12:17" x14ac:dyDescent="0.35">
      <c r="L698" s="31">
        <v>696</v>
      </c>
      <c r="M698" s="31">
        <v>8</v>
      </c>
      <c r="O698" s="31">
        <f>MAX(N698:N1696)</f>
        <v>0</v>
      </c>
      <c r="Q698" s="31">
        <v>27</v>
      </c>
    </row>
    <row r="699" spans="12:17" x14ac:dyDescent="0.35">
      <c r="L699" s="31">
        <v>697</v>
      </c>
      <c r="M699" s="31">
        <v>9</v>
      </c>
      <c r="O699" s="31">
        <f>MAX(N699:N1697)</f>
        <v>0</v>
      </c>
      <c r="Q699" s="31">
        <v>25</v>
      </c>
    </row>
    <row r="700" spans="12:17" x14ac:dyDescent="0.35">
      <c r="L700" s="31">
        <v>698</v>
      </c>
      <c r="M700" s="31">
        <v>9</v>
      </c>
      <c r="O700" s="31">
        <f>MAX(N700:N1698)</f>
        <v>0</v>
      </c>
      <c r="Q700" s="31">
        <v>9</v>
      </c>
    </row>
    <row r="701" spans="12:17" x14ac:dyDescent="0.35">
      <c r="L701" s="31">
        <v>699</v>
      </c>
      <c r="M701" s="31">
        <v>3</v>
      </c>
      <c r="O701" s="31">
        <f>MAX(N701:N1699)</f>
        <v>0</v>
      </c>
      <c r="Q701" s="31">
        <v>20</v>
      </c>
    </row>
    <row r="702" spans="12:17" x14ac:dyDescent="0.35">
      <c r="L702" s="31">
        <v>700</v>
      </c>
      <c r="M702" s="31">
        <v>5</v>
      </c>
      <c r="O702" s="31">
        <f>MAX(N702:N1700)</f>
        <v>0</v>
      </c>
      <c r="Q702" s="31">
        <v>14</v>
      </c>
    </row>
    <row r="703" spans="12:17" x14ac:dyDescent="0.35">
      <c r="L703" s="31">
        <v>701</v>
      </c>
      <c r="M703" s="31">
        <v>6</v>
      </c>
      <c r="O703" s="31">
        <f>MAX(N703:N1701)</f>
        <v>0</v>
      </c>
      <c r="Q703" s="31">
        <v>14</v>
      </c>
    </row>
    <row r="704" spans="12:17" x14ac:dyDescent="0.35">
      <c r="L704" s="31">
        <v>702</v>
      </c>
      <c r="M704" s="31">
        <v>0</v>
      </c>
      <c r="O704" s="31">
        <f>MAX(N704:N1702)</f>
        <v>0</v>
      </c>
      <c r="Q704" s="31">
        <v>14</v>
      </c>
    </row>
    <row r="705" spans="12:17" x14ac:dyDescent="0.35">
      <c r="L705" s="31">
        <v>703</v>
      </c>
      <c r="M705" s="31">
        <v>9</v>
      </c>
      <c r="O705" s="31">
        <f>MAX(N705:N1703)</f>
        <v>0</v>
      </c>
      <c r="Q705" s="31">
        <v>11</v>
      </c>
    </row>
    <row r="706" spans="12:17" x14ac:dyDescent="0.35">
      <c r="L706" s="31">
        <v>704</v>
      </c>
      <c r="M706" s="31">
        <v>7</v>
      </c>
      <c r="O706" s="31">
        <f>MAX(N706:N1704)</f>
        <v>0</v>
      </c>
      <c r="Q706" s="31">
        <v>12</v>
      </c>
    </row>
    <row r="707" spans="12:17" x14ac:dyDescent="0.35">
      <c r="L707" s="31">
        <v>705</v>
      </c>
      <c r="M707" s="31">
        <v>6</v>
      </c>
      <c r="O707" s="31">
        <f>MAX(N707:N1705)</f>
        <v>0</v>
      </c>
      <c r="Q707" s="31">
        <v>12</v>
      </c>
    </row>
    <row r="708" spans="12:17" x14ac:dyDescent="0.35">
      <c r="L708" s="31">
        <v>706</v>
      </c>
      <c r="M708" s="31">
        <v>5</v>
      </c>
      <c r="O708" s="31">
        <f>MAX(N708:N1706)</f>
        <v>0</v>
      </c>
      <c r="Q708" s="31">
        <v>22</v>
      </c>
    </row>
    <row r="709" spans="12:17" x14ac:dyDescent="0.35">
      <c r="L709" s="31">
        <v>707</v>
      </c>
      <c r="M709" s="31">
        <v>4</v>
      </c>
      <c r="O709" s="31">
        <f>MAX(N709:N1707)</f>
        <v>0</v>
      </c>
      <c r="Q709" s="31">
        <v>21</v>
      </c>
    </row>
    <row r="710" spans="12:17" x14ac:dyDescent="0.35">
      <c r="L710" s="31">
        <v>708</v>
      </c>
      <c r="M710" s="31">
        <v>3</v>
      </c>
      <c r="O710" s="31">
        <f>MAX(N710:N1708)</f>
        <v>0</v>
      </c>
      <c r="Q710" s="31">
        <v>13</v>
      </c>
    </row>
    <row r="711" spans="12:17" x14ac:dyDescent="0.35">
      <c r="L711" s="31">
        <v>709</v>
      </c>
      <c r="M711" s="31">
        <v>10</v>
      </c>
      <c r="O711" s="31">
        <f>MAX(N711:N1709)</f>
        <v>0</v>
      </c>
      <c r="Q711" s="31">
        <v>14</v>
      </c>
    </row>
    <row r="712" spans="12:17" x14ac:dyDescent="0.35">
      <c r="L712" s="31">
        <v>710</v>
      </c>
      <c r="M712" s="31">
        <v>6</v>
      </c>
      <c r="O712" s="31">
        <f>MAX(N712:N1710)</f>
        <v>0</v>
      </c>
      <c r="Q712" s="31">
        <v>22</v>
      </c>
    </row>
    <row r="713" spans="12:17" x14ac:dyDescent="0.35">
      <c r="L713" s="31">
        <v>711</v>
      </c>
      <c r="M713" s="31">
        <v>2</v>
      </c>
      <c r="O713" s="31">
        <f>MAX(N713:N1711)</f>
        <v>0</v>
      </c>
      <c r="Q713" s="31">
        <v>21</v>
      </c>
    </row>
    <row r="714" spans="12:17" x14ac:dyDescent="0.35">
      <c r="L714" s="31">
        <v>712</v>
      </c>
      <c r="M714" s="31">
        <v>5</v>
      </c>
      <c r="O714" s="31">
        <f>MAX(N714:N1712)</f>
        <v>0</v>
      </c>
      <c r="Q714" s="31">
        <v>14</v>
      </c>
    </row>
    <row r="715" spans="12:17" x14ac:dyDescent="0.35">
      <c r="L715" s="31">
        <v>713</v>
      </c>
      <c r="M715" s="31">
        <v>3</v>
      </c>
      <c r="O715" s="31">
        <f>MAX(N715:N1713)</f>
        <v>0</v>
      </c>
      <c r="Q715" s="31">
        <v>12</v>
      </c>
    </row>
    <row r="716" spans="12:17" x14ac:dyDescent="0.35">
      <c r="L716" s="31">
        <v>714</v>
      </c>
      <c r="M716" s="31">
        <v>4</v>
      </c>
      <c r="O716" s="31">
        <f>MAX(N716:N1714)</f>
        <v>0</v>
      </c>
      <c r="Q716" s="31">
        <v>17</v>
      </c>
    </row>
    <row r="717" spans="12:17" x14ac:dyDescent="0.35">
      <c r="L717" s="31">
        <v>715</v>
      </c>
      <c r="M717" s="31">
        <v>2</v>
      </c>
      <c r="O717" s="31">
        <f>MAX(N717:N1715)</f>
        <v>0</v>
      </c>
      <c r="Q717" s="31">
        <v>13</v>
      </c>
    </row>
    <row r="718" spans="12:17" x14ac:dyDescent="0.35">
      <c r="L718" s="31">
        <v>716</v>
      </c>
      <c r="M718" s="31">
        <v>2</v>
      </c>
      <c r="O718" s="31">
        <f>MAX(N718:N1716)</f>
        <v>0</v>
      </c>
      <c r="Q718" s="31">
        <v>20</v>
      </c>
    </row>
    <row r="719" spans="12:17" x14ac:dyDescent="0.35">
      <c r="L719" s="31">
        <v>717</v>
      </c>
      <c r="M719" s="31">
        <v>5</v>
      </c>
      <c r="O719" s="31">
        <f>MAX(N719:N1717)</f>
        <v>0</v>
      </c>
      <c r="Q719" s="31">
        <v>10</v>
      </c>
    </row>
    <row r="720" spans="12:17" x14ac:dyDescent="0.35">
      <c r="L720" s="31">
        <v>718</v>
      </c>
      <c r="M720" s="31">
        <v>6</v>
      </c>
      <c r="O720" s="31">
        <f>MAX(N720:N1718)</f>
        <v>0</v>
      </c>
      <c r="Q720" s="31">
        <v>8</v>
      </c>
    </row>
    <row r="721" spans="12:17" x14ac:dyDescent="0.35">
      <c r="L721" s="31">
        <v>719</v>
      </c>
      <c r="M721" s="31">
        <v>6</v>
      </c>
      <c r="O721" s="31">
        <f>MAX(N721:N1719)</f>
        <v>0</v>
      </c>
      <c r="Q721" s="31">
        <v>12</v>
      </c>
    </row>
    <row r="722" spans="12:17" x14ac:dyDescent="0.35">
      <c r="L722" s="31">
        <v>720</v>
      </c>
      <c r="M722" s="31">
        <v>1</v>
      </c>
      <c r="O722" s="31">
        <f>MAX(N722:N1720)</f>
        <v>0</v>
      </c>
      <c r="Q722" s="31">
        <v>8</v>
      </c>
    </row>
    <row r="723" spans="12:17" x14ac:dyDescent="0.35">
      <c r="L723" s="31">
        <v>721</v>
      </c>
      <c r="M723" s="31">
        <v>5</v>
      </c>
      <c r="O723" s="31">
        <f>MAX(N723:N1721)</f>
        <v>0</v>
      </c>
      <c r="Q723" s="31">
        <v>16</v>
      </c>
    </row>
    <row r="724" spans="12:17" x14ac:dyDescent="0.35">
      <c r="L724" s="31">
        <v>722</v>
      </c>
      <c r="M724" s="31">
        <v>1</v>
      </c>
      <c r="O724" s="31">
        <f>MAX(N724:N1722)</f>
        <v>0</v>
      </c>
      <c r="Q724" s="31">
        <v>19</v>
      </c>
    </row>
    <row r="725" spans="12:17" x14ac:dyDescent="0.35">
      <c r="L725" s="31">
        <v>723</v>
      </c>
      <c r="M725" s="31">
        <v>5</v>
      </c>
      <c r="O725" s="31">
        <f>MAX(N725:N1723)</f>
        <v>0</v>
      </c>
      <c r="Q725" s="31">
        <v>12</v>
      </c>
    </row>
    <row r="726" spans="12:17" x14ac:dyDescent="0.35">
      <c r="L726" s="31">
        <v>724</v>
      </c>
      <c r="M726" s="31">
        <v>5</v>
      </c>
      <c r="O726" s="31">
        <f>MAX(N726:N1724)</f>
        <v>0</v>
      </c>
      <c r="Q726" s="31">
        <v>13</v>
      </c>
    </row>
    <row r="727" spans="12:17" x14ac:dyDescent="0.35">
      <c r="L727" s="31">
        <v>725</v>
      </c>
      <c r="M727" s="31">
        <v>5</v>
      </c>
      <c r="O727" s="31">
        <f>MAX(N727:N1725)</f>
        <v>0</v>
      </c>
      <c r="Q727" s="31">
        <v>8</v>
      </c>
    </row>
    <row r="728" spans="12:17" x14ac:dyDescent="0.35">
      <c r="L728" s="31">
        <v>726</v>
      </c>
      <c r="M728" s="31">
        <v>6</v>
      </c>
      <c r="O728" s="31">
        <f>MAX(N728:N1726)</f>
        <v>0</v>
      </c>
      <c r="Q728" s="31">
        <v>8</v>
      </c>
    </row>
    <row r="729" spans="12:17" x14ac:dyDescent="0.35">
      <c r="L729" s="31">
        <v>727</v>
      </c>
      <c r="M729" s="31">
        <v>3</v>
      </c>
      <c r="O729" s="31">
        <f>MAX(N729:N1727)</f>
        <v>0</v>
      </c>
      <c r="Q729" s="31">
        <v>18</v>
      </c>
    </row>
    <row r="730" spans="12:17" x14ac:dyDescent="0.35">
      <c r="L730" s="31">
        <v>728</v>
      </c>
      <c r="M730" s="31">
        <v>7</v>
      </c>
      <c r="O730" s="31">
        <f>MAX(N730:N1728)</f>
        <v>0</v>
      </c>
      <c r="Q730" s="31">
        <v>21</v>
      </c>
    </row>
    <row r="731" spans="12:17" x14ac:dyDescent="0.35">
      <c r="L731" s="31">
        <v>729</v>
      </c>
      <c r="M731" s="31">
        <v>4</v>
      </c>
      <c r="O731" s="31">
        <f>MAX(N731:N1729)</f>
        <v>0</v>
      </c>
      <c r="Q731" s="31">
        <v>15</v>
      </c>
    </row>
    <row r="732" spans="12:17" x14ac:dyDescent="0.35">
      <c r="L732" s="31">
        <v>730</v>
      </c>
      <c r="M732" s="31">
        <v>10</v>
      </c>
      <c r="O732" s="31">
        <f>MAX(N732:N1730)</f>
        <v>0</v>
      </c>
      <c r="Q732" s="31">
        <v>13</v>
      </c>
    </row>
    <row r="733" spans="12:17" x14ac:dyDescent="0.35">
      <c r="L733" s="31">
        <v>731</v>
      </c>
      <c r="M733" s="31">
        <v>5</v>
      </c>
      <c r="O733" s="31">
        <f>MAX(N733:N1731)</f>
        <v>0</v>
      </c>
      <c r="Q733" s="31">
        <v>19</v>
      </c>
    </row>
    <row r="734" spans="12:17" x14ac:dyDescent="0.35">
      <c r="L734" s="31">
        <v>732</v>
      </c>
      <c r="M734" s="31">
        <v>3</v>
      </c>
      <c r="O734" s="31">
        <f>MAX(N734:N1732)</f>
        <v>0</v>
      </c>
      <c r="Q734" s="31">
        <v>5</v>
      </c>
    </row>
    <row r="735" spans="12:17" x14ac:dyDescent="0.35">
      <c r="L735" s="31">
        <v>733</v>
      </c>
      <c r="M735" s="31">
        <v>4</v>
      </c>
      <c r="O735" s="31">
        <f>MAX(N735:N1733)</f>
        <v>0</v>
      </c>
      <c r="Q735" s="31">
        <v>12</v>
      </c>
    </row>
    <row r="736" spans="12:17" x14ac:dyDescent="0.35">
      <c r="L736" s="31">
        <v>734</v>
      </c>
      <c r="M736" s="31">
        <v>7</v>
      </c>
      <c r="O736" s="31">
        <f>MAX(N736:N1734)</f>
        <v>0</v>
      </c>
      <c r="Q736" s="31">
        <v>15</v>
      </c>
    </row>
    <row r="737" spans="12:17" x14ac:dyDescent="0.35">
      <c r="L737" s="31">
        <v>735</v>
      </c>
      <c r="M737" s="31">
        <v>6</v>
      </c>
      <c r="O737" s="31">
        <f>MAX(N737:N1735)</f>
        <v>0</v>
      </c>
      <c r="Q737" s="31">
        <v>8</v>
      </c>
    </row>
    <row r="738" spans="12:17" x14ac:dyDescent="0.35">
      <c r="L738" s="31">
        <v>736</v>
      </c>
      <c r="M738" s="31">
        <v>1</v>
      </c>
      <c r="O738" s="31">
        <f>MAX(N738:N1736)</f>
        <v>0</v>
      </c>
      <c r="Q738" s="31">
        <v>11</v>
      </c>
    </row>
    <row r="739" spans="12:17" x14ac:dyDescent="0.35">
      <c r="L739" s="31">
        <v>737</v>
      </c>
      <c r="M739" s="31">
        <v>1</v>
      </c>
      <c r="O739" s="31">
        <f>MAX(N739:N1737)</f>
        <v>0</v>
      </c>
      <c r="Q739" s="31">
        <v>14</v>
      </c>
    </row>
    <row r="740" spans="12:17" x14ac:dyDescent="0.35">
      <c r="L740" s="31">
        <v>738</v>
      </c>
      <c r="M740" s="31">
        <v>5</v>
      </c>
      <c r="O740" s="31">
        <f>MAX(N740:N1738)</f>
        <v>0</v>
      </c>
      <c r="Q740" s="31">
        <v>13</v>
      </c>
    </row>
    <row r="741" spans="12:17" x14ac:dyDescent="0.35">
      <c r="L741" s="31">
        <v>739</v>
      </c>
      <c r="M741" s="31">
        <v>5</v>
      </c>
      <c r="O741" s="31">
        <f>MAX(N741:N1739)</f>
        <v>0</v>
      </c>
      <c r="Q741" s="31">
        <v>15</v>
      </c>
    </row>
    <row r="742" spans="12:17" x14ac:dyDescent="0.35">
      <c r="L742" s="31">
        <v>740</v>
      </c>
      <c r="M742" s="31">
        <v>1</v>
      </c>
      <c r="O742" s="31">
        <f>MAX(N742:N1740)</f>
        <v>0</v>
      </c>
      <c r="Q742" s="31">
        <v>9</v>
      </c>
    </row>
    <row r="743" spans="12:17" x14ac:dyDescent="0.35">
      <c r="L743" s="31">
        <v>741</v>
      </c>
      <c r="M743" s="31">
        <v>3</v>
      </c>
      <c r="O743" s="31">
        <f>MAX(N743:N1741)</f>
        <v>0</v>
      </c>
      <c r="Q743" s="31">
        <v>14</v>
      </c>
    </row>
    <row r="744" spans="12:17" x14ac:dyDescent="0.35">
      <c r="L744" s="31">
        <v>742</v>
      </c>
      <c r="M744" s="31">
        <v>4</v>
      </c>
      <c r="O744" s="31">
        <f>MAX(N744:N1742)</f>
        <v>0</v>
      </c>
      <c r="Q744" s="31">
        <v>8</v>
      </c>
    </row>
    <row r="745" spans="12:17" x14ac:dyDescent="0.35">
      <c r="L745" s="31">
        <v>743</v>
      </c>
      <c r="M745" s="31">
        <v>3</v>
      </c>
      <c r="O745" s="31">
        <f>MAX(N745:N1743)</f>
        <v>0</v>
      </c>
      <c r="Q745" s="31">
        <v>10</v>
      </c>
    </row>
    <row r="746" spans="12:17" x14ac:dyDescent="0.35">
      <c r="L746" s="31">
        <v>744</v>
      </c>
      <c r="M746" s="31">
        <v>5</v>
      </c>
      <c r="O746" s="31">
        <f>MAX(N746:N1744)</f>
        <v>0</v>
      </c>
      <c r="Q746" s="31">
        <v>8</v>
      </c>
    </row>
    <row r="747" spans="12:17" x14ac:dyDescent="0.35">
      <c r="L747" s="31">
        <v>745</v>
      </c>
      <c r="M747" s="31">
        <v>4</v>
      </c>
      <c r="O747" s="31">
        <f>MAX(N747:N1745)</f>
        <v>0</v>
      </c>
      <c r="Q747" s="31">
        <v>14</v>
      </c>
    </row>
    <row r="748" spans="12:17" x14ac:dyDescent="0.35">
      <c r="L748" s="31">
        <v>746</v>
      </c>
      <c r="M748" s="31">
        <v>2</v>
      </c>
      <c r="O748" s="31">
        <f>MAX(N748:N1746)</f>
        <v>0</v>
      </c>
      <c r="Q748" s="31">
        <v>12</v>
      </c>
    </row>
    <row r="749" spans="12:17" x14ac:dyDescent="0.35">
      <c r="L749" s="31">
        <v>747</v>
      </c>
      <c r="M749" s="31">
        <v>3</v>
      </c>
      <c r="O749" s="31">
        <f>MAX(N749:N1747)</f>
        <v>0</v>
      </c>
      <c r="Q749" s="31">
        <v>14</v>
      </c>
    </row>
    <row r="750" spans="12:17" x14ac:dyDescent="0.35">
      <c r="L750" s="31">
        <v>748</v>
      </c>
      <c r="M750" s="31">
        <v>4</v>
      </c>
      <c r="O750" s="31">
        <f>MAX(N750:N1748)</f>
        <v>0</v>
      </c>
      <c r="Q750" s="31">
        <v>13</v>
      </c>
    </row>
    <row r="751" spans="12:17" x14ac:dyDescent="0.35">
      <c r="L751" s="31">
        <v>749</v>
      </c>
      <c r="M751" s="31">
        <v>2</v>
      </c>
      <c r="O751" s="31">
        <f>MAX(N751:N1749)</f>
        <v>0</v>
      </c>
      <c r="Q751" s="31">
        <v>15</v>
      </c>
    </row>
    <row r="752" spans="12:17" x14ac:dyDescent="0.35">
      <c r="L752" s="31">
        <v>750</v>
      </c>
      <c r="M752" s="31">
        <v>1</v>
      </c>
      <c r="O752" s="31">
        <f>MAX(N752:N1750)</f>
        <v>0</v>
      </c>
      <c r="Q752" s="31">
        <v>13</v>
      </c>
    </row>
    <row r="753" spans="12:17" x14ac:dyDescent="0.35">
      <c r="L753" s="31">
        <v>751</v>
      </c>
      <c r="M753" s="31">
        <v>3</v>
      </c>
      <c r="O753" s="31">
        <f>MAX(N753:N1751)</f>
        <v>0</v>
      </c>
      <c r="Q753" s="31">
        <v>13</v>
      </c>
    </row>
    <row r="754" spans="12:17" x14ac:dyDescent="0.35">
      <c r="L754" s="31">
        <v>752</v>
      </c>
      <c r="M754" s="31">
        <v>2</v>
      </c>
      <c r="O754" s="31">
        <f>MAX(N754:N1752)</f>
        <v>0</v>
      </c>
      <c r="Q754" s="31">
        <v>10</v>
      </c>
    </row>
    <row r="755" spans="12:17" x14ac:dyDescent="0.35">
      <c r="L755" s="31">
        <v>753</v>
      </c>
      <c r="M755" s="31">
        <v>8</v>
      </c>
      <c r="O755" s="31">
        <f>MAX(N755:N1753)</f>
        <v>0</v>
      </c>
      <c r="Q755" s="31">
        <v>9</v>
      </c>
    </row>
    <row r="756" spans="12:17" x14ac:dyDescent="0.35">
      <c r="L756" s="31">
        <v>754</v>
      </c>
      <c r="M756" s="31">
        <v>4</v>
      </c>
      <c r="O756" s="31">
        <f>MAX(N756:N1754)</f>
        <v>0</v>
      </c>
      <c r="Q756" s="31">
        <v>13</v>
      </c>
    </row>
    <row r="757" spans="12:17" x14ac:dyDescent="0.35">
      <c r="L757" s="31">
        <v>755</v>
      </c>
      <c r="M757" s="31">
        <v>5</v>
      </c>
      <c r="O757" s="31">
        <f>MAX(N757:N1755)</f>
        <v>0</v>
      </c>
      <c r="Q757" s="31">
        <v>7</v>
      </c>
    </row>
    <row r="758" spans="12:17" x14ac:dyDescent="0.35">
      <c r="L758" s="31">
        <v>756</v>
      </c>
      <c r="M758" s="31">
        <v>4</v>
      </c>
      <c r="O758" s="31">
        <f>MAX(N758:N1756)</f>
        <v>0</v>
      </c>
      <c r="Q758" s="31">
        <v>7</v>
      </c>
    </row>
    <row r="759" spans="12:17" x14ac:dyDescent="0.35">
      <c r="L759" s="31">
        <v>757</v>
      </c>
      <c r="M759" s="31">
        <v>2</v>
      </c>
      <c r="O759" s="31">
        <f>MAX(N759:N1757)</f>
        <v>0</v>
      </c>
      <c r="Q759" s="31">
        <v>19</v>
      </c>
    </row>
    <row r="760" spans="12:17" x14ac:dyDescent="0.35">
      <c r="L760" s="31">
        <v>758</v>
      </c>
      <c r="M760" s="31">
        <v>4</v>
      </c>
      <c r="O760" s="31">
        <f>MAX(N760:N1758)</f>
        <v>0</v>
      </c>
      <c r="Q760" s="31">
        <v>19</v>
      </c>
    </row>
    <row r="761" spans="12:17" x14ac:dyDescent="0.35">
      <c r="L761" s="31">
        <v>759</v>
      </c>
      <c r="M761" s="31">
        <v>3</v>
      </c>
      <c r="O761" s="31">
        <f>MAX(N761:N1759)</f>
        <v>0</v>
      </c>
      <c r="Q761" s="31">
        <v>12</v>
      </c>
    </row>
    <row r="762" spans="12:17" x14ac:dyDescent="0.35">
      <c r="L762" s="31">
        <v>760</v>
      </c>
      <c r="M762" s="31">
        <v>5</v>
      </c>
      <c r="O762" s="31">
        <f>MAX(N762:N1760)</f>
        <v>0</v>
      </c>
      <c r="Q762" s="31">
        <v>14</v>
      </c>
    </row>
    <row r="763" spans="12:17" x14ac:dyDescent="0.35">
      <c r="L763" s="31">
        <v>761</v>
      </c>
      <c r="M763" s="31">
        <v>6</v>
      </c>
      <c r="O763" s="31">
        <f>MAX(N763:N1761)</f>
        <v>0</v>
      </c>
      <c r="Q763" s="31">
        <v>12</v>
      </c>
    </row>
    <row r="764" spans="12:17" x14ac:dyDescent="0.35">
      <c r="L764" s="31">
        <v>762</v>
      </c>
      <c r="M764" s="31">
        <v>5</v>
      </c>
      <c r="O764" s="31">
        <f>MAX(N764:N1762)</f>
        <v>0</v>
      </c>
      <c r="Q764" s="31">
        <v>15</v>
      </c>
    </row>
    <row r="765" spans="12:17" x14ac:dyDescent="0.35">
      <c r="L765" s="31">
        <v>763</v>
      </c>
      <c r="M765" s="31">
        <v>3</v>
      </c>
      <c r="O765" s="31">
        <f>MAX(N765:N1763)</f>
        <v>0</v>
      </c>
      <c r="Q765" s="31">
        <v>10</v>
      </c>
    </row>
    <row r="766" spans="12:17" x14ac:dyDescent="0.35">
      <c r="L766" s="31">
        <v>764</v>
      </c>
      <c r="M766" s="31">
        <v>6</v>
      </c>
      <c r="O766" s="31">
        <f>MAX(N766:N1764)</f>
        <v>0</v>
      </c>
      <c r="Q766" s="31">
        <v>11</v>
      </c>
    </row>
    <row r="767" spans="12:17" x14ac:dyDescent="0.35">
      <c r="L767" s="31">
        <v>765</v>
      </c>
      <c r="M767" s="31">
        <v>5</v>
      </c>
      <c r="O767" s="31">
        <f>MAX(N767:N1765)</f>
        <v>0</v>
      </c>
      <c r="Q767" s="31">
        <v>6</v>
      </c>
    </row>
    <row r="768" spans="12:17" x14ac:dyDescent="0.35">
      <c r="L768" s="31">
        <v>766</v>
      </c>
      <c r="M768" s="31">
        <v>4</v>
      </c>
      <c r="O768" s="31">
        <f>MAX(N768:N1766)</f>
        <v>0</v>
      </c>
      <c r="Q768" s="31">
        <v>17</v>
      </c>
    </row>
    <row r="769" spans="12:17" x14ac:dyDescent="0.35">
      <c r="L769" s="31">
        <v>767</v>
      </c>
      <c r="M769" s="31">
        <v>2</v>
      </c>
      <c r="O769" s="31">
        <f>MAX(N769:N1767)</f>
        <v>0</v>
      </c>
      <c r="Q769" s="31">
        <v>12</v>
      </c>
    </row>
    <row r="770" spans="12:17" x14ac:dyDescent="0.35">
      <c r="L770" s="31">
        <v>768</v>
      </c>
      <c r="M770" s="31">
        <v>6</v>
      </c>
      <c r="O770" s="31">
        <f>MAX(N770:N1768)</f>
        <v>0</v>
      </c>
      <c r="Q770" s="31">
        <v>14</v>
      </c>
    </row>
    <row r="771" spans="12:17" x14ac:dyDescent="0.35">
      <c r="L771" s="31">
        <v>769</v>
      </c>
      <c r="M771" s="31">
        <v>7</v>
      </c>
      <c r="O771" s="31">
        <f>MAX(N771:N1769)</f>
        <v>0</v>
      </c>
      <c r="Q771" s="31">
        <v>10</v>
      </c>
    </row>
    <row r="772" spans="12:17" x14ac:dyDescent="0.35">
      <c r="L772" s="31">
        <v>770</v>
      </c>
      <c r="M772" s="31">
        <v>4</v>
      </c>
      <c r="O772" s="31">
        <f>MAX(N772:N1770)</f>
        <v>0</v>
      </c>
      <c r="Q772" s="31">
        <v>9</v>
      </c>
    </row>
    <row r="773" spans="12:17" x14ac:dyDescent="0.35">
      <c r="L773" s="31">
        <v>771</v>
      </c>
      <c r="M773" s="31">
        <v>1</v>
      </c>
      <c r="O773" s="31">
        <f>MAX(N773:N1771)</f>
        <v>0</v>
      </c>
      <c r="Q773" s="31">
        <v>11</v>
      </c>
    </row>
    <row r="774" spans="12:17" x14ac:dyDescent="0.35">
      <c r="L774" s="31">
        <v>772</v>
      </c>
      <c r="M774" s="31">
        <v>5</v>
      </c>
      <c r="O774" s="31">
        <f>MAX(N774:N1772)</f>
        <v>0</v>
      </c>
      <c r="Q774" s="31">
        <v>11</v>
      </c>
    </row>
    <row r="775" spans="12:17" x14ac:dyDescent="0.35">
      <c r="L775" s="31">
        <v>773</v>
      </c>
      <c r="M775" s="31">
        <v>3</v>
      </c>
      <c r="O775" s="31">
        <f>MAX(N775:N1773)</f>
        <v>0</v>
      </c>
      <c r="Q775" s="31">
        <v>14</v>
      </c>
    </row>
    <row r="776" spans="12:17" x14ac:dyDescent="0.35">
      <c r="L776" s="31">
        <v>774</v>
      </c>
      <c r="M776" s="31">
        <v>5</v>
      </c>
      <c r="O776" s="31">
        <f>MAX(N776:N1774)</f>
        <v>0</v>
      </c>
      <c r="Q776" s="31">
        <v>14</v>
      </c>
    </row>
    <row r="777" spans="12:17" x14ac:dyDescent="0.35">
      <c r="L777" s="31">
        <v>775</v>
      </c>
      <c r="M777" s="31">
        <v>5</v>
      </c>
      <c r="O777" s="31">
        <f>MAX(N777:N1775)</f>
        <v>0</v>
      </c>
      <c r="Q777" s="31">
        <v>10</v>
      </c>
    </row>
    <row r="778" spans="12:17" x14ac:dyDescent="0.35">
      <c r="L778" s="31">
        <v>776</v>
      </c>
      <c r="M778" s="31">
        <v>8</v>
      </c>
      <c r="O778" s="31">
        <f>MAX(N778:N1776)</f>
        <v>0</v>
      </c>
      <c r="Q778" s="31">
        <v>14</v>
      </c>
    </row>
    <row r="779" spans="12:17" x14ac:dyDescent="0.35">
      <c r="L779" s="31">
        <v>777</v>
      </c>
      <c r="M779" s="31">
        <v>0</v>
      </c>
      <c r="O779" s="31">
        <f>MAX(N779:N1777)</f>
        <v>0</v>
      </c>
      <c r="Q779" s="31">
        <v>8</v>
      </c>
    </row>
    <row r="780" spans="12:17" x14ac:dyDescent="0.35">
      <c r="L780" s="31">
        <v>778</v>
      </c>
      <c r="M780" s="31">
        <v>7</v>
      </c>
      <c r="O780" s="31">
        <f>MAX(N780:N1778)</f>
        <v>0</v>
      </c>
      <c r="Q780" s="31">
        <v>4</v>
      </c>
    </row>
    <row r="781" spans="12:17" x14ac:dyDescent="0.35">
      <c r="L781" s="31">
        <v>779</v>
      </c>
      <c r="M781" s="31">
        <v>6</v>
      </c>
      <c r="O781" s="31">
        <f>MAX(N781:N1779)</f>
        <v>0</v>
      </c>
      <c r="Q781" s="31">
        <v>15</v>
      </c>
    </row>
    <row r="782" spans="12:17" x14ac:dyDescent="0.35">
      <c r="L782" s="31">
        <v>780</v>
      </c>
      <c r="M782" s="31">
        <v>4</v>
      </c>
      <c r="O782" s="31">
        <f>MAX(N782:N1780)</f>
        <v>0</v>
      </c>
      <c r="Q782" s="31">
        <v>11</v>
      </c>
    </row>
    <row r="783" spans="12:17" x14ac:dyDescent="0.35">
      <c r="L783" s="31">
        <v>781</v>
      </c>
      <c r="M783" s="31">
        <v>1</v>
      </c>
      <c r="O783" s="31">
        <f>MAX(N783:N1781)</f>
        <v>0</v>
      </c>
      <c r="Q783" s="31">
        <v>10</v>
      </c>
    </row>
    <row r="784" spans="12:17" x14ac:dyDescent="0.35">
      <c r="L784" s="31">
        <v>782</v>
      </c>
      <c r="M784" s="31">
        <v>5</v>
      </c>
      <c r="O784" s="31">
        <f>MAX(N784:N1782)</f>
        <v>0</v>
      </c>
      <c r="Q784" s="31">
        <v>9</v>
      </c>
    </row>
    <row r="785" spans="12:17" x14ac:dyDescent="0.35">
      <c r="L785" s="31">
        <v>783</v>
      </c>
      <c r="M785" s="31">
        <v>5</v>
      </c>
      <c r="O785" s="31">
        <f>MAX(N785:N1783)</f>
        <v>0</v>
      </c>
      <c r="Q785" s="31">
        <v>16</v>
      </c>
    </row>
    <row r="786" spans="12:17" x14ac:dyDescent="0.35">
      <c r="L786" s="31">
        <v>784</v>
      </c>
      <c r="M786" s="31">
        <v>4</v>
      </c>
      <c r="O786" s="31">
        <f>MAX(N786:N1784)</f>
        <v>0</v>
      </c>
      <c r="Q786" s="31">
        <v>13</v>
      </c>
    </row>
    <row r="787" spans="12:17" x14ac:dyDescent="0.35">
      <c r="L787" s="31">
        <v>785</v>
      </c>
      <c r="M787" s="31">
        <v>4</v>
      </c>
      <c r="O787" s="31">
        <f>MAX(N787:N1785)</f>
        <v>0</v>
      </c>
      <c r="Q787" s="31">
        <v>11</v>
      </c>
    </row>
    <row r="788" spans="12:17" x14ac:dyDescent="0.35">
      <c r="L788" s="31">
        <v>786</v>
      </c>
      <c r="M788" s="31">
        <v>0</v>
      </c>
      <c r="O788" s="31">
        <f>MAX(N788:N1786)</f>
        <v>0</v>
      </c>
      <c r="Q788" s="31">
        <v>10</v>
      </c>
    </row>
    <row r="789" spans="12:17" x14ac:dyDescent="0.35">
      <c r="L789" s="31">
        <v>787</v>
      </c>
      <c r="M789" s="31">
        <v>4</v>
      </c>
      <c r="O789" s="31">
        <f>MAX(N789:N1787)</f>
        <v>0</v>
      </c>
      <c r="Q789" s="31">
        <v>13</v>
      </c>
    </row>
    <row r="790" spans="12:17" x14ac:dyDescent="0.35">
      <c r="L790" s="31">
        <v>788</v>
      </c>
      <c r="M790" s="31">
        <v>5</v>
      </c>
      <c r="O790" s="31">
        <f>MAX(N790:N1788)</f>
        <v>0</v>
      </c>
      <c r="Q790" s="31">
        <v>9</v>
      </c>
    </row>
    <row r="791" spans="12:17" x14ac:dyDescent="0.35">
      <c r="L791" s="31">
        <v>789</v>
      </c>
      <c r="M791" s="31">
        <v>6</v>
      </c>
      <c r="O791" s="31">
        <f>MAX(N791:N1789)</f>
        <v>0</v>
      </c>
      <c r="Q791" s="31">
        <v>11</v>
      </c>
    </row>
    <row r="792" spans="12:17" x14ac:dyDescent="0.35">
      <c r="L792" s="31">
        <v>790</v>
      </c>
      <c r="M792" s="31">
        <v>7</v>
      </c>
      <c r="O792" s="31">
        <f>MAX(N792:N1790)</f>
        <v>0</v>
      </c>
      <c r="Q792" s="31">
        <v>12</v>
      </c>
    </row>
    <row r="793" spans="12:17" x14ac:dyDescent="0.35">
      <c r="L793" s="31">
        <v>791</v>
      </c>
      <c r="M793" s="31">
        <v>5</v>
      </c>
      <c r="O793" s="31">
        <f>MAX(N793:N1791)</f>
        <v>0</v>
      </c>
      <c r="Q793" s="31">
        <v>8</v>
      </c>
    </row>
    <row r="794" spans="12:17" x14ac:dyDescent="0.35">
      <c r="L794" s="31">
        <v>792</v>
      </c>
      <c r="M794" s="31">
        <v>4</v>
      </c>
      <c r="O794" s="31">
        <f>MAX(N794:N1792)</f>
        <v>0</v>
      </c>
      <c r="Q794" s="31">
        <v>15</v>
      </c>
    </row>
    <row r="795" spans="12:17" x14ac:dyDescent="0.35">
      <c r="L795" s="31">
        <v>793</v>
      </c>
      <c r="M795" s="31">
        <v>6</v>
      </c>
      <c r="O795" s="31">
        <f>MAX(N795:N1793)</f>
        <v>0</v>
      </c>
      <c r="Q795" s="31">
        <v>11</v>
      </c>
    </row>
    <row r="796" spans="12:17" x14ac:dyDescent="0.35">
      <c r="L796" s="31">
        <v>794</v>
      </c>
      <c r="M796" s="31">
        <v>2</v>
      </c>
      <c r="O796" s="31">
        <f>MAX(N796:N1794)</f>
        <v>0</v>
      </c>
      <c r="Q796" s="31">
        <v>16</v>
      </c>
    </row>
    <row r="797" spans="12:17" x14ac:dyDescent="0.35">
      <c r="L797" s="31">
        <v>795</v>
      </c>
      <c r="M797" s="31">
        <v>6</v>
      </c>
      <c r="O797" s="31">
        <f>MAX(N797:N1795)</f>
        <v>0</v>
      </c>
      <c r="Q797" s="31">
        <v>15</v>
      </c>
    </row>
    <row r="798" spans="12:17" x14ac:dyDescent="0.35">
      <c r="L798" s="31">
        <v>796</v>
      </c>
      <c r="M798" s="31">
        <v>8</v>
      </c>
      <c r="O798" s="31">
        <f>MAX(N798:N1796)</f>
        <v>0</v>
      </c>
      <c r="Q798" s="31">
        <v>6</v>
      </c>
    </row>
    <row r="799" spans="12:17" x14ac:dyDescent="0.35">
      <c r="L799" s="31">
        <v>797</v>
      </c>
      <c r="M799" s="31">
        <v>11</v>
      </c>
      <c r="O799" s="31">
        <f>MAX(N799:N1797)</f>
        <v>0</v>
      </c>
      <c r="Q799" s="31">
        <v>10</v>
      </c>
    </row>
    <row r="800" spans="12:17" x14ac:dyDescent="0.35">
      <c r="L800" s="31">
        <v>798</v>
      </c>
      <c r="M800" s="31">
        <v>4</v>
      </c>
      <c r="O800" s="31">
        <f>MAX(N800:N1798)</f>
        <v>0</v>
      </c>
      <c r="Q800" s="31">
        <v>8</v>
      </c>
    </row>
    <row r="801" spans="12:17" x14ac:dyDescent="0.35">
      <c r="L801" s="31">
        <v>799</v>
      </c>
      <c r="M801" s="31">
        <v>4</v>
      </c>
      <c r="O801" s="31">
        <f>MAX(N801:N1799)</f>
        <v>0</v>
      </c>
      <c r="Q801" s="31">
        <v>7</v>
      </c>
    </row>
    <row r="802" spans="12:17" x14ac:dyDescent="0.35">
      <c r="L802" s="31">
        <v>800</v>
      </c>
      <c r="M802" s="31">
        <v>11</v>
      </c>
      <c r="O802" s="31">
        <f>MAX(N802:N1800)</f>
        <v>0</v>
      </c>
      <c r="Q802" s="31">
        <v>11</v>
      </c>
    </row>
    <row r="803" spans="12:17" x14ac:dyDescent="0.35">
      <c r="L803" s="31">
        <v>801</v>
      </c>
      <c r="M803" s="31">
        <v>5</v>
      </c>
      <c r="O803" s="31">
        <f>MAX(N803:N1801)</f>
        <v>0</v>
      </c>
      <c r="Q803" s="31">
        <v>13</v>
      </c>
    </row>
    <row r="804" spans="12:17" x14ac:dyDescent="0.35">
      <c r="L804" s="31">
        <v>802</v>
      </c>
      <c r="M804" s="31">
        <v>3</v>
      </c>
      <c r="O804" s="31">
        <f>MAX(N804:N1802)</f>
        <v>0</v>
      </c>
      <c r="Q804" s="31">
        <v>11</v>
      </c>
    </row>
    <row r="805" spans="12:17" x14ac:dyDescent="0.35">
      <c r="L805" s="31">
        <v>803</v>
      </c>
      <c r="M805" s="31">
        <v>5</v>
      </c>
      <c r="O805" s="31">
        <f>MAX(N805:N1803)</f>
        <v>0</v>
      </c>
      <c r="Q805" s="31">
        <v>8</v>
      </c>
    </row>
    <row r="806" spans="12:17" x14ac:dyDescent="0.35">
      <c r="L806" s="31">
        <v>804</v>
      </c>
      <c r="M806" s="31">
        <v>7</v>
      </c>
      <c r="O806" s="31">
        <f>MAX(N806:N1804)</f>
        <v>0</v>
      </c>
      <c r="Q806" s="31">
        <v>13</v>
      </c>
    </row>
    <row r="807" spans="12:17" x14ac:dyDescent="0.35">
      <c r="L807" s="31">
        <v>805</v>
      </c>
      <c r="M807" s="31">
        <v>2</v>
      </c>
      <c r="O807" s="31">
        <f>MAX(N807:N1805)</f>
        <v>0</v>
      </c>
      <c r="Q807" s="31">
        <v>14</v>
      </c>
    </row>
    <row r="808" spans="12:17" x14ac:dyDescent="0.35">
      <c r="L808" s="31">
        <v>806</v>
      </c>
      <c r="M808" s="31">
        <v>7</v>
      </c>
      <c r="O808" s="31">
        <f>MAX(N808:N1806)</f>
        <v>0</v>
      </c>
      <c r="Q808" s="31">
        <v>9</v>
      </c>
    </row>
    <row r="809" spans="12:17" x14ac:dyDescent="0.35">
      <c r="L809" s="31">
        <v>807</v>
      </c>
      <c r="M809" s="31">
        <v>4</v>
      </c>
      <c r="O809" s="31">
        <f>MAX(N809:N1807)</f>
        <v>0</v>
      </c>
      <c r="Q809" s="31">
        <v>12</v>
      </c>
    </row>
    <row r="810" spans="12:17" x14ac:dyDescent="0.35">
      <c r="L810" s="31">
        <v>808</v>
      </c>
      <c r="M810" s="31">
        <v>5</v>
      </c>
      <c r="O810" s="31">
        <f>MAX(N810:N1808)</f>
        <v>0</v>
      </c>
      <c r="Q810" s="31">
        <v>7</v>
      </c>
    </row>
    <row r="811" spans="12:17" x14ac:dyDescent="0.35">
      <c r="L811" s="31">
        <v>809</v>
      </c>
      <c r="M811" s="31">
        <v>7</v>
      </c>
      <c r="O811" s="31">
        <f>MAX(N811:N1809)</f>
        <v>0</v>
      </c>
      <c r="Q811" s="31">
        <v>15</v>
      </c>
    </row>
    <row r="812" spans="12:17" x14ac:dyDescent="0.35">
      <c r="L812" s="31">
        <v>810</v>
      </c>
      <c r="M812" s="31">
        <v>12</v>
      </c>
      <c r="O812" s="31">
        <f>MAX(N812:N1810)</f>
        <v>0</v>
      </c>
      <c r="Q812" s="31">
        <v>16</v>
      </c>
    </row>
    <row r="813" spans="12:17" x14ac:dyDescent="0.35">
      <c r="L813" s="31">
        <v>811</v>
      </c>
      <c r="M813" s="31">
        <v>3</v>
      </c>
      <c r="O813" s="31">
        <f>MAX(N813:N1811)</f>
        <v>0</v>
      </c>
      <c r="Q813" s="31">
        <v>6</v>
      </c>
    </row>
    <row r="814" spans="12:17" x14ac:dyDescent="0.35">
      <c r="L814" s="31">
        <v>812</v>
      </c>
      <c r="M814" s="31">
        <v>8</v>
      </c>
      <c r="O814" s="31">
        <f>MAX(N814:N1812)</f>
        <v>0</v>
      </c>
      <c r="Q814" s="31">
        <v>15</v>
      </c>
    </row>
    <row r="815" spans="12:17" x14ac:dyDescent="0.35">
      <c r="L815" s="31">
        <v>813</v>
      </c>
      <c r="M815" s="31">
        <v>7</v>
      </c>
      <c r="O815" s="31">
        <f>MAX(N815:N1813)</f>
        <v>0</v>
      </c>
      <c r="Q815" s="31">
        <v>13</v>
      </c>
    </row>
    <row r="816" spans="12:17" x14ac:dyDescent="0.35">
      <c r="L816" s="31">
        <v>814</v>
      </c>
      <c r="M816" s="31">
        <v>7</v>
      </c>
      <c r="O816" s="31">
        <f>MAX(N816:N1814)</f>
        <v>0</v>
      </c>
      <c r="Q816" s="31">
        <v>11</v>
      </c>
    </row>
    <row r="817" spans="12:17" x14ac:dyDescent="0.35">
      <c r="L817" s="31">
        <v>815</v>
      </c>
      <c r="M817" s="31">
        <v>4</v>
      </c>
      <c r="O817" s="31">
        <f>MAX(N817:N1815)</f>
        <v>0</v>
      </c>
      <c r="Q817" s="31">
        <v>15</v>
      </c>
    </row>
    <row r="818" spans="12:17" x14ac:dyDescent="0.35">
      <c r="L818" s="31">
        <v>816</v>
      </c>
      <c r="M818" s="31">
        <v>7</v>
      </c>
      <c r="O818" s="31">
        <f>MAX(N818:N1816)</f>
        <v>0</v>
      </c>
      <c r="Q818" s="31">
        <v>16</v>
      </c>
    </row>
    <row r="819" spans="12:17" x14ac:dyDescent="0.35">
      <c r="L819" s="31">
        <v>817</v>
      </c>
      <c r="M819" s="31">
        <v>7</v>
      </c>
      <c r="O819" s="31">
        <f>MAX(N819:N1817)</f>
        <v>0</v>
      </c>
      <c r="Q819" s="31">
        <v>12</v>
      </c>
    </row>
    <row r="820" spans="12:17" x14ac:dyDescent="0.35">
      <c r="L820" s="31">
        <v>818</v>
      </c>
      <c r="M820" s="31">
        <v>7</v>
      </c>
      <c r="O820" s="31">
        <f>MAX(N820:N1818)</f>
        <v>0</v>
      </c>
      <c r="Q820" s="31">
        <v>9</v>
      </c>
    </row>
    <row r="821" spans="12:17" x14ac:dyDescent="0.35">
      <c r="L821" s="31">
        <v>819</v>
      </c>
      <c r="M821" s="31">
        <v>3</v>
      </c>
      <c r="O821" s="31">
        <f>MAX(N821:N1819)</f>
        <v>0</v>
      </c>
      <c r="Q821" s="31">
        <v>4</v>
      </c>
    </row>
    <row r="822" spans="12:17" x14ac:dyDescent="0.35">
      <c r="L822" s="31">
        <v>820</v>
      </c>
      <c r="M822" s="31">
        <v>5</v>
      </c>
      <c r="O822" s="31">
        <f>MAX(N822:N1820)</f>
        <v>0</v>
      </c>
      <c r="Q822" s="31">
        <v>7</v>
      </c>
    </row>
    <row r="823" spans="12:17" x14ac:dyDescent="0.35">
      <c r="L823" s="31">
        <v>821</v>
      </c>
      <c r="M823" s="31">
        <v>7</v>
      </c>
      <c r="O823" s="31">
        <f>MAX(N823:N1821)</f>
        <v>0</v>
      </c>
      <c r="Q823" s="31">
        <v>9</v>
      </c>
    </row>
    <row r="824" spans="12:17" x14ac:dyDescent="0.35">
      <c r="L824" s="31">
        <v>822</v>
      </c>
      <c r="M824" s="31">
        <v>10</v>
      </c>
      <c r="O824" s="31">
        <f>MAX(N824:N1822)</f>
        <v>0</v>
      </c>
      <c r="Q824" s="31">
        <v>9</v>
      </c>
    </row>
    <row r="825" spans="12:17" x14ac:dyDescent="0.35">
      <c r="L825" s="31">
        <v>823</v>
      </c>
      <c r="M825" s="31">
        <v>11</v>
      </c>
      <c r="O825" s="31">
        <f>MAX(N825:N1823)</f>
        <v>0</v>
      </c>
      <c r="Q825" s="31">
        <v>5</v>
      </c>
    </row>
    <row r="826" spans="12:17" x14ac:dyDescent="0.35">
      <c r="L826" s="31">
        <v>824</v>
      </c>
      <c r="M826" s="31">
        <v>6</v>
      </c>
      <c r="O826" s="31">
        <f>MAX(N826:N1824)</f>
        <v>0</v>
      </c>
      <c r="Q826" s="31">
        <v>12</v>
      </c>
    </row>
    <row r="827" spans="12:17" x14ac:dyDescent="0.35">
      <c r="L827" s="31">
        <v>825</v>
      </c>
      <c r="M827" s="31">
        <v>11</v>
      </c>
      <c r="O827" s="31">
        <f>MAX(N827:N1825)</f>
        <v>0</v>
      </c>
      <c r="Q827" s="31">
        <v>17</v>
      </c>
    </row>
    <row r="828" spans="12:17" x14ac:dyDescent="0.35">
      <c r="L828" s="31">
        <v>826</v>
      </c>
      <c r="M828" s="31">
        <v>6</v>
      </c>
      <c r="O828" s="31">
        <f>MAX(N828:N1826)</f>
        <v>0</v>
      </c>
      <c r="Q828" s="31">
        <v>17</v>
      </c>
    </row>
    <row r="829" spans="12:17" x14ac:dyDescent="0.35">
      <c r="L829" s="31">
        <v>827</v>
      </c>
      <c r="M829" s="31">
        <v>8</v>
      </c>
      <c r="O829" s="31">
        <f>MAX(N829:N1827)</f>
        <v>0</v>
      </c>
      <c r="Q829" s="31">
        <v>10</v>
      </c>
    </row>
    <row r="830" spans="12:17" x14ac:dyDescent="0.35">
      <c r="L830" s="31">
        <v>828</v>
      </c>
      <c r="M830" s="31">
        <v>7</v>
      </c>
      <c r="O830" s="31">
        <f>MAX(N830:N1828)</f>
        <v>0</v>
      </c>
      <c r="Q830" s="31">
        <v>13</v>
      </c>
    </row>
    <row r="831" spans="12:17" x14ac:dyDescent="0.35">
      <c r="L831" s="31">
        <v>829</v>
      </c>
      <c r="M831" s="31">
        <v>5</v>
      </c>
      <c r="O831" s="31">
        <f>MAX(N831:N1829)</f>
        <v>0</v>
      </c>
      <c r="Q831" s="31">
        <v>13</v>
      </c>
    </row>
    <row r="832" spans="12:17" x14ac:dyDescent="0.35">
      <c r="L832" s="31">
        <v>830</v>
      </c>
      <c r="M832" s="31">
        <v>5</v>
      </c>
      <c r="O832" s="31">
        <f>MAX(N832:N1830)</f>
        <v>0</v>
      </c>
      <c r="Q832" s="31">
        <v>13</v>
      </c>
    </row>
    <row r="833" spans="12:17" x14ac:dyDescent="0.35">
      <c r="L833" s="31">
        <v>831</v>
      </c>
      <c r="M833" s="31">
        <v>8</v>
      </c>
      <c r="O833" s="31">
        <f>MAX(N833:N1831)</f>
        <v>0</v>
      </c>
      <c r="Q833" s="31">
        <v>12</v>
      </c>
    </row>
    <row r="834" spans="12:17" x14ac:dyDescent="0.35">
      <c r="L834" s="31">
        <v>832</v>
      </c>
      <c r="M834" s="31">
        <v>7</v>
      </c>
      <c r="O834" s="31">
        <f>MAX(N834:N1832)</f>
        <v>0</v>
      </c>
      <c r="Q834" s="31">
        <v>16</v>
      </c>
    </row>
    <row r="835" spans="12:17" x14ac:dyDescent="0.35">
      <c r="L835" s="31">
        <v>833</v>
      </c>
      <c r="M835" s="31">
        <v>5</v>
      </c>
      <c r="O835" s="31">
        <f>MAX(N835:N1833)</f>
        <v>0</v>
      </c>
      <c r="Q835" s="31">
        <v>13</v>
      </c>
    </row>
    <row r="836" spans="12:17" x14ac:dyDescent="0.35">
      <c r="L836" s="31">
        <v>834</v>
      </c>
      <c r="M836" s="31">
        <v>5</v>
      </c>
      <c r="O836" s="31">
        <f>MAX(N836:N1834)</f>
        <v>0</v>
      </c>
      <c r="Q836" s="31">
        <v>18</v>
      </c>
    </row>
    <row r="837" spans="12:17" x14ac:dyDescent="0.35">
      <c r="L837" s="31">
        <v>835</v>
      </c>
      <c r="M837" s="31">
        <v>3</v>
      </c>
      <c r="O837" s="31">
        <f>MAX(N837:N1835)</f>
        <v>0</v>
      </c>
      <c r="Q837" s="31">
        <v>18</v>
      </c>
    </row>
    <row r="838" spans="12:17" x14ac:dyDescent="0.35">
      <c r="L838" s="31">
        <v>836</v>
      </c>
      <c r="M838" s="31">
        <v>7</v>
      </c>
      <c r="O838" s="31">
        <f>MAX(N838:N1836)</f>
        <v>0</v>
      </c>
      <c r="Q838" s="31">
        <v>16</v>
      </c>
    </row>
    <row r="839" spans="12:17" x14ac:dyDescent="0.35">
      <c r="L839" s="31">
        <v>837</v>
      </c>
      <c r="M839" s="31">
        <v>6</v>
      </c>
      <c r="O839" s="31">
        <f>MAX(N839:N1837)</f>
        <v>0</v>
      </c>
      <c r="Q839" s="31">
        <v>8</v>
      </c>
    </row>
    <row r="840" spans="12:17" x14ac:dyDescent="0.35">
      <c r="L840" s="31">
        <v>838</v>
      </c>
      <c r="M840" s="31">
        <v>6</v>
      </c>
      <c r="O840" s="31">
        <f>MAX(N840:N1838)</f>
        <v>0</v>
      </c>
      <c r="Q840" s="31">
        <v>17</v>
      </c>
    </row>
    <row r="841" spans="12:17" x14ac:dyDescent="0.35">
      <c r="L841" s="31">
        <v>839</v>
      </c>
      <c r="M841" s="31">
        <v>11</v>
      </c>
      <c r="O841" s="31">
        <f>MAX(N841:N1839)</f>
        <v>0</v>
      </c>
      <c r="Q841" s="31">
        <v>9</v>
      </c>
    </row>
    <row r="842" spans="12:17" x14ac:dyDescent="0.35">
      <c r="L842" s="31">
        <v>840</v>
      </c>
      <c r="M842" s="31">
        <v>5</v>
      </c>
      <c r="O842" s="31">
        <f>MAX(N842:N1840)</f>
        <v>0</v>
      </c>
      <c r="Q842" s="31">
        <v>10</v>
      </c>
    </row>
    <row r="843" spans="12:17" x14ac:dyDescent="0.35">
      <c r="L843" s="31">
        <v>841</v>
      </c>
      <c r="M843" s="31">
        <v>4</v>
      </c>
      <c r="O843" s="31">
        <f>MAX(N843:N1841)</f>
        <v>0</v>
      </c>
      <c r="Q843" s="31">
        <v>14</v>
      </c>
    </row>
    <row r="844" spans="12:17" x14ac:dyDescent="0.35">
      <c r="L844" s="31">
        <v>842</v>
      </c>
      <c r="M844" s="31">
        <v>7</v>
      </c>
      <c r="O844" s="31">
        <f>MAX(N844:N1842)</f>
        <v>0</v>
      </c>
      <c r="Q844" s="31">
        <v>17</v>
      </c>
    </row>
    <row r="845" spans="12:17" x14ac:dyDescent="0.35">
      <c r="L845" s="31">
        <v>843</v>
      </c>
      <c r="M845" s="31">
        <v>6</v>
      </c>
      <c r="O845" s="31">
        <f>MAX(N845:N1843)</f>
        <v>0</v>
      </c>
      <c r="Q845" s="31">
        <v>9</v>
      </c>
    </row>
    <row r="846" spans="12:17" x14ac:dyDescent="0.35">
      <c r="L846" s="31">
        <v>844</v>
      </c>
      <c r="M846" s="31">
        <v>5</v>
      </c>
      <c r="O846" s="31">
        <f>MAX(N846:N1844)</f>
        <v>0</v>
      </c>
      <c r="Q846" s="31">
        <v>9</v>
      </c>
    </row>
    <row r="847" spans="12:17" x14ac:dyDescent="0.35">
      <c r="L847" s="31">
        <v>845</v>
      </c>
      <c r="M847" s="31">
        <v>3</v>
      </c>
      <c r="O847" s="31">
        <f>MAX(N847:N1845)</f>
        <v>0</v>
      </c>
      <c r="Q847" s="31">
        <v>13</v>
      </c>
    </row>
    <row r="848" spans="12:17" x14ac:dyDescent="0.35">
      <c r="L848" s="31">
        <v>846</v>
      </c>
      <c r="M848" s="31">
        <v>7</v>
      </c>
      <c r="O848" s="31">
        <f>MAX(N848:N1846)</f>
        <v>0</v>
      </c>
      <c r="Q848" s="31">
        <v>13</v>
      </c>
    </row>
    <row r="849" spans="12:17" x14ac:dyDescent="0.35">
      <c r="L849" s="31">
        <v>847</v>
      </c>
      <c r="M849" s="31">
        <v>6</v>
      </c>
      <c r="O849" s="31">
        <f>MAX(N849:N1847)</f>
        <v>0</v>
      </c>
      <c r="Q849" s="31">
        <v>16</v>
      </c>
    </row>
    <row r="850" spans="12:17" x14ac:dyDescent="0.35">
      <c r="L850" s="31">
        <v>848</v>
      </c>
      <c r="M850" s="31">
        <v>5</v>
      </c>
      <c r="O850" s="31">
        <f>MAX(N850:N1848)</f>
        <v>0</v>
      </c>
      <c r="Q850" s="31">
        <v>19</v>
      </c>
    </row>
    <row r="851" spans="12:17" x14ac:dyDescent="0.35">
      <c r="L851" s="31">
        <v>849</v>
      </c>
      <c r="M851" s="31">
        <v>12</v>
      </c>
      <c r="O851" s="31">
        <f>MAX(N851:N1849)</f>
        <v>0</v>
      </c>
      <c r="Q851" s="31">
        <v>16</v>
      </c>
    </row>
    <row r="852" spans="12:17" x14ac:dyDescent="0.35">
      <c r="L852" s="31">
        <v>850</v>
      </c>
      <c r="M852" s="31">
        <v>12</v>
      </c>
      <c r="O852" s="31">
        <f>MAX(N852:N1850)</f>
        <v>0</v>
      </c>
      <c r="Q852" s="31">
        <v>12</v>
      </c>
    </row>
    <row r="853" spans="12:17" x14ac:dyDescent="0.35">
      <c r="L853" s="31">
        <v>851</v>
      </c>
      <c r="M853" s="31">
        <v>3</v>
      </c>
      <c r="O853" s="31">
        <f>MAX(N853:N1851)</f>
        <v>0</v>
      </c>
      <c r="Q853" s="31">
        <v>14</v>
      </c>
    </row>
    <row r="854" spans="12:17" x14ac:dyDescent="0.35">
      <c r="L854" s="31">
        <v>852</v>
      </c>
      <c r="M854" s="31">
        <v>5</v>
      </c>
      <c r="O854" s="31">
        <f>MAX(N854:N1852)</f>
        <v>0</v>
      </c>
      <c r="Q854" s="31">
        <v>11</v>
      </c>
    </row>
    <row r="855" spans="12:17" x14ac:dyDescent="0.35">
      <c r="L855" s="31">
        <v>853</v>
      </c>
      <c r="M855" s="31">
        <v>9</v>
      </c>
      <c r="O855" s="31">
        <f>MAX(N855:N1853)</f>
        <v>0</v>
      </c>
      <c r="Q855" s="31">
        <v>10</v>
      </c>
    </row>
    <row r="856" spans="12:17" x14ac:dyDescent="0.35">
      <c r="L856" s="31">
        <v>854</v>
      </c>
      <c r="M856" s="31">
        <v>9</v>
      </c>
      <c r="O856" s="31">
        <f>MAX(N856:N1854)</f>
        <v>0</v>
      </c>
      <c r="Q856" s="31">
        <v>18</v>
      </c>
    </row>
    <row r="857" spans="12:17" x14ac:dyDescent="0.35">
      <c r="L857" s="31">
        <v>855</v>
      </c>
      <c r="M857" s="31">
        <v>9</v>
      </c>
      <c r="O857" s="31">
        <f>MAX(N857:N1855)</f>
        <v>0</v>
      </c>
      <c r="Q857" s="31">
        <v>14</v>
      </c>
    </row>
    <row r="858" spans="12:17" x14ac:dyDescent="0.35">
      <c r="L858" s="31">
        <v>856</v>
      </c>
      <c r="M858" s="31">
        <v>6</v>
      </c>
      <c r="O858" s="31">
        <f>MAX(N858:N1856)</f>
        <v>0</v>
      </c>
      <c r="Q858" s="31">
        <v>10</v>
      </c>
    </row>
    <row r="859" spans="12:17" x14ac:dyDescent="0.35">
      <c r="L859" s="31">
        <v>857</v>
      </c>
      <c r="M859" s="31">
        <v>10</v>
      </c>
      <c r="O859" s="31">
        <f>MAX(N859:N1857)</f>
        <v>0</v>
      </c>
      <c r="Q859" s="31">
        <v>10</v>
      </c>
    </row>
    <row r="860" spans="12:17" x14ac:dyDescent="0.35">
      <c r="L860" s="31">
        <v>858</v>
      </c>
      <c r="M860" s="31">
        <v>2</v>
      </c>
      <c r="O860" s="31">
        <f>MAX(N860:N1858)</f>
        <v>0</v>
      </c>
      <c r="Q860" s="31">
        <v>10</v>
      </c>
    </row>
    <row r="861" spans="12:17" x14ac:dyDescent="0.35">
      <c r="L861" s="31">
        <v>859</v>
      </c>
      <c r="M861" s="31">
        <v>7</v>
      </c>
      <c r="O861" s="31">
        <f>MAX(N861:N1859)</f>
        <v>0</v>
      </c>
      <c r="Q861" s="31">
        <v>16</v>
      </c>
    </row>
    <row r="862" spans="12:17" x14ac:dyDescent="0.35">
      <c r="L862" s="31">
        <v>860</v>
      </c>
      <c r="M862" s="31">
        <v>17</v>
      </c>
      <c r="O862" s="31">
        <f>MAX(N862:N1860)</f>
        <v>0</v>
      </c>
      <c r="Q862" s="31">
        <v>11</v>
      </c>
    </row>
    <row r="863" spans="12:17" x14ac:dyDescent="0.35">
      <c r="L863" s="31">
        <v>861</v>
      </c>
      <c r="M863" s="31">
        <v>10</v>
      </c>
      <c r="O863" s="31">
        <f>MAX(N863:N1861)</f>
        <v>0</v>
      </c>
      <c r="Q863" s="31">
        <v>12</v>
      </c>
    </row>
    <row r="864" spans="12:17" x14ac:dyDescent="0.35">
      <c r="L864" s="31">
        <v>862</v>
      </c>
      <c r="M864" s="31">
        <v>1</v>
      </c>
      <c r="O864" s="31">
        <f>MAX(N864:N1862)</f>
        <v>0</v>
      </c>
      <c r="Q864" s="31">
        <v>16</v>
      </c>
    </row>
    <row r="865" spans="12:17" x14ac:dyDescent="0.35">
      <c r="L865" s="31">
        <v>863</v>
      </c>
      <c r="M865" s="31">
        <v>9</v>
      </c>
      <c r="O865" s="31">
        <f>MAX(N865:N1863)</f>
        <v>0</v>
      </c>
      <c r="Q865" s="31">
        <v>14</v>
      </c>
    </row>
    <row r="866" spans="12:17" x14ac:dyDescent="0.35">
      <c r="L866" s="31">
        <v>864</v>
      </c>
      <c r="M866" s="31">
        <v>8</v>
      </c>
      <c r="O866" s="31">
        <f>MAX(N866:N1864)</f>
        <v>0</v>
      </c>
      <c r="Q866" s="31">
        <v>14</v>
      </c>
    </row>
    <row r="867" spans="12:17" x14ac:dyDescent="0.35">
      <c r="L867" s="31">
        <v>865</v>
      </c>
      <c r="M867" s="31">
        <v>12</v>
      </c>
      <c r="O867" s="31">
        <f>MAX(N867:N1865)</f>
        <v>0</v>
      </c>
      <c r="Q867" s="31">
        <v>14</v>
      </c>
    </row>
    <row r="868" spans="12:17" x14ac:dyDescent="0.35">
      <c r="L868" s="31">
        <v>866</v>
      </c>
      <c r="M868" s="31">
        <v>3</v>
      </c>
      <c r="O868" s="31">
        <f>MAX(N868:N1866)</f>
        <v>0</v>
      </c>
      <c r="Q868" s="31">
        <v>12</v>
      </c>
    </row>
    <row r="869" spans="12:17" x14ac:dyDescent="0.35">
      <c r="L869" s="31">
        <v>867</v>
      </c>
      <c r="M869" s="31">
        <v>4</v>
      </c>
      <c r="O869" s="31">
        <f>MAX(N869:N1867)</f>
        <v>0</v>
      </c>
      <c r="Q869" s="31">
        <v>21</v>
      </c>
    </row>
    <row r="870" spans="12:17" x14ac:dyDescent="0.35">
      <c r="L870" s="31">
        <v>868</v>
      </c>
      <c r="M870" s="31">
        <v>8</v>
      </c>
      <c r="O870" s="31">
        <f>MAX(N870:N1868)</f>
        <v>0</v>
      </c>
      <c r="Q870" s="31">
        <v>12</v>
      </c>
    </row>
    <row r="871" spans="12:17" x14ac:dyDescent="0.35">
      <c r="L871" s="31">
        <v>869</v>
      </c>
      <c r="M871" s="31">
        <v>9</v>
      </c>
      <c r="O871" s="31">
        <f>MAX(N871:N1869)</f>
        <v>0</v>
      </c>
      <c r="Q871" s="31">
        <v>11</v>
      </c>
    </row>
    <row r="872" spans="12:17" x14ac:dyDescent="0.35">
      <c r="L872" s="31">
        <v>870</v>
      </c>
      <c r="M872" s="31">
        <v>13</v>
      </c>
      <c r="O872" s="31">
        <f>MAX(N872:N1870)</f>
        <v>0</v>
      </c>
      <c r="Q872" s="31">
        <v>10</v>
      </c>
    </row>
    <row r="873" spans="12:17" x14ac:dyDescent="0.35">
      <c r="L873" s="31">
        <v>871</v>
      </c>
      <c r="M873" s="31">
        <v>15</v>
      </c>
      <c r="O873" s="31">
        <f>MAX(N873:N1871)</f>
        <v>0</v>
      </c>
      <c r="Q873" s="31">
        <v>11</v>
      </c>
    </row>
    <row r="874" spans="12:17" x14ac:dyDescent="0.35">
      <c r="L874" s="31">
        <v>872</v>
      </c>
      <c r="M874" s="31">
        <v>8</v>
      </c>
      <c r="O874" s="31">
        <f>MAX(N874:N1872)</f>
        <v>0</v>
      </c>
      <c r="Q874" s="31">
        <v>14</v>
      </c>
    </row>
    <row r="875" spans="12:17" x14ac:dyDescent="0.35">
      <c r="L875" s="31">
        <v>873</v>
      </c>
      <c r="M875" s="31">
        <v>12</v>
      </c>
      <c r="O875" s="31">
        <f>MAX(N875:N1873)</f>
        <v>0</v>
      </c>
      <c r="Q875" s="31">
        <v>12</v>
      </c>
    </row>
    <row r="876" spans="12:17" x14ac:dyDescent="0.35">
      <c r="L876" s="31">
        <v>874</v>
      </c>
      <c r="M876" s="31">
        <v>7</v>
      </c>
      <c r="O876" s="31">
        <f>MAX(N876:N1874)</f>
        <v>0</v>
      </c>
      <c r="Q876" s="31">
        <v>16</v>
      </c>
    </row>
    <row r="877" spans="12:17" x14ac:dyDescent="0.35">
      <c r="L877" s="31">
        <v>875</v>
      </c>
      <c r="M877" s="31">
        <v>14</v>
      </c>
      <c r="O877" s="31">
        <f>MAX(N877:N1875)</f>
        <v>0</v>
      </c>
      <c r="Q877" s="31">
        <v>13</v>
      </c>
    </row>
    <row r="878" spans="12:17" x14ac:dyDescent="0.35">
      <c r="L878" s="31">
        <v>876</v>
      </c>
      <c r="M878" s="31">
        <v>10</v>
      </c>
      <c r="O878" s="31">
        <f>MAX(N878:N1876)</f>
        <v>0</v>
      </c>
      <c r="Q878" s="31">
        <v>13</v>
      </c>
    </row>
    <row r="879" spans="12:17" x14ac:dyDescent="0.35">
      <c r="L879" s="31">
        <v>877</v>
      </c>
      <c r="M879" s="31">
        <v>7</v>
      </c>
      <c r="O879" s="31">
        <f>MAX(N879:N1877)</f>
        <v>0</v>
      </c>
      <c r="Q879" s="31">
        <v>19</v>
      </c>
    </row>
    <row r="880" spans="12:17" x14ac:dyDescent="0.35">
      <c r="L880" s="31">
        <v>878</v>
      </c>
      <c r="M880" s="31">
        <v>7</v>
      </c>
      <c r="O880" s="31">
        <f>MAX(N880:N1878)</f>
        <v>0</v>
      </c>
      <c r="Q880" s="31">
        <v>17</v>
      </c>
    </row>
    <row r="881" spans="12:17" x14ac:dyDescent="0.35">
      <c r="L881" s="31">
        <v>879</v>
      </c>
      <c r="M881" s="31">
        <v>8</v>
      </c>
      <c r="O881" s="31">
        <f>MAX(N881:N1879)</f>
        <v>0</v>
      </c>
      <c r="Q881" s="31">
        <v>10</v>
      </c>
    </row>
    <row r="882" spans="12:17" x14ac:dyDescent="0.35">
      <c r="L882" s="31">
        <v>880</v>
      </c>
      <c r="M882" s="31">
        <v>6</v>
      </c>
      <c r="O882" s="31">
        <f>MAX(N882:N1880)</f>
        <v>0</v>
      </c>
      <c r="Q882" s="31">
        <v>13</v>
      </c>
    </row>
    <row r="883" spans="12:17" x14ac:dyDescent="0.35">
      <c r="L883" s="31">
        <v>881</v>
      </c>
      <c r="M883" s="31">
        <v>5</v>
      </c>
      <c r="O883" s="31">
        <f>MAX(N883:N1881)</f>
        <v>0</v>
      </c>
      <c r="Q883" s="31">
        <v>19</v>
      </c>
    </row>
    <row r="884" spans="12:17" x14ac:dyDescent="0.35">
      <c r="L884" s="31">
        <v>882</v>
      </c>
      <c r="M884" s="31">
        <v>5</v>
      </c>
      <c r="O884" s="31">
        <f>MAX(N884:N1882)</f>
        <v>0</v>
      </c>
      <c r="Q884" s="31">
        <v>16</v>
      </c>
    </row>
    <row r="885" spans="12:17" x14ac:dyDescent="0.35">
      <c r="L885" s="31">
        <v>883</v>
      </c>
      <c r="M885" s="31">
        <v>13</v>
      </c>
      <c r="O885" s="31">
        <f>MAX(N885:N1883)</f>
        <v>0</v>
      </c>
      <c r="Q885" s="31">
        <v>17</v>
      </c>
    </row>
    <row r="886" spans="12:17" x14ac:dyDescent="0.35">
      <c r="L886" s="31">
        <v>884</v>
      </c>
      <c r="M886" s="31">
        <v>7</v>
      </c>
      <c r="O886" s="31">
        <f>MAX(N886:N1884)</f>
        <v>0</v>
      </c>
      <c r="Q886" s="31">
        <v>9</v>
      </c>
    </row>
    <row r="887" spans="12:17" x14ac:dyDescent="0.35">
      <c r="L887" s="31">
        <v>885</v>
      </c>
      <c r="M887" s="31">
        <v>13</v>
      </c>
      <c r="O887" s="31">
        <f>MAX(N887:N1885)</f>
        <v>0</v>
      </c>
      <c r="Q887" s="31">
        <v>14</v>
      </c>
    </row>
    <row r="888" spans="12:17" x14ac:dyDescent="0.35">
      <c r="L888" s="31">
        <v>886</v>
      </c>
      <c r="M888" s="31">
        <v>14</v>
      </c>
      <c r="O888" s="31">
        <f>MAX(N888:N1886)</f>
        <v>0</v>
      </c>
      <c r="Q888" s="31">
        <v>16</v>
      </c>
    </row>
    <row r="889" spans="12:17" x14ac:dyDescent="0.35">
      <c r="L889" s="31">
        <v>887</v>
      </c>
      <c r="M889" s="31">
        <v>12</v>
      </c>
      <c r="O889" s="31">
        <f>MAX(N889:N1887)</f>
        <v>0</v>
      </c>
      <c r="Q889" s="31">
        <v>19</v>
      </c>
    </row>
    <row r="890" spans="12:17" x14ac:dyDescent="0.35">
      <c r="L890" s="31">
        <v>888</v>
      </c>
      <c r="M890" s="31">
        <v>12</v>
      </c>
      <c r="O890" s="31">
        <f>MAX(N890:N1888)</f>
        <v>0</v>
      </c>
      <c r="Q890" s="31">
        <v>14</v>
      </c>
    </row>
    <row r="891" spans="12:17" x14ac:dyDescent="0.35">
      <c r="L891" s="31">
        <v>889</v>
      </c>
      <c r="M891" s="31">
        <v>14</v>
      </c>
      <c r="O891" s="31">
        <f>MAX(N891:N1889)</f>
        <v>0</v>
      </c>
      <c r="Q891" s="31">
        <v>16</v>
      </c>
    </row>
    <row r="892" spans="12:17" x14ac:dyDescent="0.35">
      <c r="L892" s="31">
        <v>890</v>
      </c>
      <c r="M892" s="31">
        <v>9</v>
      </c>
      <c r="O892" s="31">
        <f>MAX(N892:N1890)</f>
        <v>0</v>
      </c>
      <c r="Q892" s="31">
        <v>9</v>
      </c>
    </row>
    <row r="893" spans="12:17" x14ac:dyDescent="0.35">
      <c r="L893" s="31">
        <v>891</v>
      </c>
      <c r="M893" s="31">
        <v>12</v>
      </c>
      <c r="O893" s="31">
        <f>MAX(N893:N1891)</f>
        <v>0</v>
      </c>
      <c r="Q893" s="31">
        <v>12</v>
      </c>
    </row>
    <row r="894" spans="12:17" x14ac:dyDescent="0.35">
      <c r="L894" s="31">
        <v>892</v>
      </c>
      <c r="M894" s="31">
        <v>8</v>
      </c>
      <c r="O894" s="31">
        <f>MAX(N894:N1892)</f>
        <v>0</v>
      </c>
      <c r="Q894" s="31">
        <v>13</v>
      </c>
    </row>
    <row r="895" spans="12:17" x14ac:dyDescent="0.35">
      <c r="L895" s="31">
        <v>893</v>
      </c>
      <c r="M895" s="31">
        <v>14</v>
      </c>
      <c r="O895" s="31">
        <f>MAX(N895:N1893)</f>
        <v>0</v>
      </c>
      <c r="Q895" s="31">
        <v>21</v>
      </c>
    </row>
    <row r="896" spans="12:17" x14ac:dyDescent="0.35">
      <c r="L896" s="31">
        <v>894</v>
      </c>
      <c r="M896" s="31">
        <v>10</v>
      </c>
      <c r="O896" s="31">
        <f>MAX(N896:N1894)</f>
        <v>0</v>
      </c>
      <c r="Q896" s="31">
        <v>11</v>
      </c>
    </row>
    <row r="897" spans="12:17" x14ac:dyDescent="0.35">
      <c r="L897" s="31">
        <v>895</v>
      </c>
      <c r="M897" s="31">
        <v>6</v>
      </c>
      <c r="O897" s="31">
        <f>MAX(N897:N1895)</f>
        <v>0</v>
      </c>
      <c r="Q897" s="31">
        <v>13</v>
      </c>
    </row>
    <row r="898" spans="12:17" x14ac:dyDescent="0.35">
      <c r="L898" s="31">
        <v>896</v>
      </c>
      <c r="M898" s="31">
        <v>9</v>
      </c>
      <c r="O898" s="31">
        <f>MAX(N898:N1896)</f>
        <v>0</v>
      </c>
      <c r="Q898" s="31">
        <v>15</v>
      </c>
    </row>
    <row r="899" spans="12:17" x14ac:dyDescent="0.35">
      <c r="L899" s="31">
        <v>897</v>
      </c>
      <c r="M899" s="31">
        <v>6</v>
      </c>
      <c r="O899" s="31">
        <f>MAX(N899:N1897)</f>
        <v>0</v>
      </c>
      <c r="Q899" s="31">
        <v>12</v>
      </c>
    </row>
    <row r="900" spans="12:17" x14ac:dyDescent="0.35">
      <c r="L900" s="31">
        <v>898</v>
      </c>
      <c r="M900" s="31">
        <v>5</v>
      </c>
      <c r="O900" s="31">
        <f>MAX(N900:N1898)</f>
        <v>0</v>
      </c>
      <c r="Q900" s="31">
        <v>11</v>
      </c>
    </row>
    <row r="901" spans="12:17" x14ac:dyDescent="0.35">
      <c r="L901" s="31">
        <v>899</v>
      </c>
      <c r="M901" s="31">
        <v>13</v>
      </c>
      <c r="O901" s="31">
        <f>MAX(N901:N1899)</f>
        <v>0</v>
      </c>
      <c r="Q901" s="31">
        <v>16</v>
      </c>
    </row>
    <row r="902" spans="12:17" x14ac:dyDescent="0.35">
      <c r="L902" s="31">
        <v>900</v>
      </c>
      <c r="M902" s="31">
        <v>7</v>
      </c>
      <c r="O902" s="31">
        <f>MAX(N902:N1900)</f>
        <v>0</v>
      </c>
      <c r="Q902" s="31">
        <v>13</v>
      </c>
    </row>
    <row r="903" spans="12:17" x14ac:dyDescent="0.35">
      <c r="L903" s="31">
        <v>901</v>
      </c>
      <c r="M903" s="31">
        <v>6</v>
      </c>
      <c r="O903" s="31">
        <f>MAX(N903:N1901)</f>
        <v>0</v>
      </c>
      <c r="Q903" s="31">
        <v>15</v>
      </c>
    </row>
    <row r="904" spans="12:17" x14ac:dyDescent="0.35">
      <c r="L904" s="31">
        <v>902</v>
      </c>
      <c r="M904" s="31">
        <v>9</v>
      </c>
      <c r="O904" s="31">
        <f>MAX(N904:N1902)</f>
        <v>0</v>
      </c>
      <c r="Q904" s="31">
        <v>13</v>
      </c>
    </row>
    <row r="905" spans="12:17" x14ac:dyDescent="0.35">
      <c r="L905" s="31">
        <v>903</v>
      </c>
      <c r="M905" s="31">
        <v>9</v>
      </c>
      <c r="O905" s="31">
        <f>MAX(N905:N1903)</f>
        <v>0</v>
      </c>
      <c r="Q905" s="31">
        <v>17</v>
      </c>
    </row>
    <row r="906" spans="12:17" x14ac:dyDescent="0.35">
      <c r="L906" s="31">
        <v>904</v>
      </c>
      <c r="M906" s="31">
        <v>6</v>
      </c>
      <c r="O906" s="31">
        <f>MAX(N906:N1904)</f>
        <v>0</v>
      </c>
      <c r="Q906" s="31">
        <v>16</v>
      </c>
    </row>
    <row r="907" spans="12:17" x14ac:dyDescent="0.35">
      <c r="L907" s="31">
        <v>905</v>
      </c>
      <c r="M907" s="31">
        <v>6</v>
      </c>
      <c r="O907" s="31">
        <f>MAX(N907:N1905)</f>
        <v>0</v>
      </c>
      <c r="Q907" s="31">
        <v>20</v>
      </c>
    </row>
    <row r="908" spans="12:17" x14ac:dyDescent="0.35">
      <c r="L908" s="31">
        <v>906</v>
      </c>
      <c r="M908" s="31">
        <v>9</v>
      </c>
      <c r="O908" s="31">
        <f>MAX(N908:N1906)</f>
        <v>0</v>
      </c>
      <c r="Q908" s="31">
        <v>18</v>
      </c>
    </row>
    <row r="909" spans="12:17" x14ac:dyDescent="0.35">
      <c r="L909" s="31">
        <v>907</v>
      </c>
      <c r="M909" s="31">
        <v>12</v>
      </c>
      <c r="O909" s="31">
        <f>MAX(N909:N1907)</f>
        <v>0</v>
      </c>
      <c r="Q909" s="31">
        <v>8</v>
      </c>
    </row>
    <row r="910" spans="12:17" x14ac:dyDescent="0.35">
      <c r="L910" s="31">
        <v>908</v>
      </c>
      <c r="M910" s="31">
        <v>8</v>
      </c>
      <c r="O910" s="31">
        <f>MAX(N910:N1908)</f>
        <v>0</v>
      </c>
      <c r="Q910" s="31">
        <v>11</v>
      </c>
    </row>
    <row r="911" spans="12:17" x14ac:dyDescent="0.35">
      <c r="L911" s="31">
        <v>909</v>
      </c>
      <c r="M911" s="31">
        <v>9</v>
      </c>
      <c r="O911" s="31">
        <f>MAX(N911:N1909)</f>
        <v>0</v>
      </c>
      <c r="Q911" s="31">
        <v>15</v>
      </c>
    </row>
    <row r="912" spans="12:17" x14ac:dyDescent="0.35">
      <c r="L912" s="31">
        <v>910</v>
      </c>
      <c r="M912" s="31">
        <v>14</v>
      </c>
      <c r="O912" s="31">
        <f>MAX(N912:N1910)</f>
        <v>0</v>
      </c>
      <c r="Q912" s="31">
        <v>16</v>
      </c>
    </row>
    <row r="913" spans="12:17" x14ac:dyDescent="0.35">
      <c r="L913" s="31">
        <v>911</v>
      </c>
      <c r="M913" s="31">
        <v>14</v>
      </c>
      <c r="O913" s="31">
        <f>MAX(N913:N1911)</f>
        <v>0</v>
      </c>
      <c r="Q913" s="31">
        <v>21</v>
      </c>
    </row>
    <row r="914" spans="12:17" x14ac:dyDescent="0.35">
      <c r="L914" s="31">
        <v>912</v>
      </c>
      <c r="M914" s="31">
        <v>7</v>
      </c>
      <c r="O914" s="31">
        <f>MAX(N914:N1912)</f>
        <v>0</v>
      </c>
      <c r="Q914" s="31">
        <v>16</v>
      </c>
    </row>
    <row r="915" spans="12:17" x14ac:dyDescent="0.35">
      <c r="L915" s="31">
        <v>913</v>
      </c>
      <c r="M915" s="31">
        <v>9</v>
      </c>
      <c r="O915" s="31">
        <f>MAX(N915:N1913)</f>
        <v>0</v>
      </c>
      <c r="Q915" s="31">
        <v>17</v>
      </c>
    </row>
    <row r="916" spans="12:17" x14ac:dyDescent="0.35">
      <c r="L916" s="31">
        <v>914</v>
      </c>
      <c r="M916" s="31">
        <v>7</v>
      </c>
      <c r="O916" s="31">
        <f>MAX(N916:N1914)</f>
        <v>0</v>
      </c>
      <c r="Q916" s="31">
        <v>16</v>
      </c>
    </row>
    <row r="917" spans="12:17" x14ac:dyDescent="0.35">
      <c r="L917" s="31">
        <v>915</v>
      </c>
      <c r="M917" s="31">
        <v>6</v>
      </c>
      <c r="O917" s="31">
        <f>MAX(N917:N1915)</f>
        <v>0</v>
      </c>
      <c r="Q917" s="31">
        <v>14</v>
      </c>
    </row>
    <row r="918" spans="12:17" x14ac:dyDescent="0.35">
      <c r="L918" s="31">
        <v>916</v>
      </c>
      <c r="M918" s="31">
        <v>7</v>
      </c>
      <c r="O918" s="31">
        <f>MAX(N918:N1916)</f>
        <v>0</v>
      </c>
      <c r="Q918" s="31">
        <v>11</v>
      </c>
    </row>
    <row r="919" spans="12:17" x14ac:dyDescent="0.35">
      <c r="L919" s="31">
        <v>917</v>
      </c>
      <c r="M919" s="31">
        <v>10</v>
      </c>
      <c r="O919" s="31">
        <f>MAX(N919:N1917)</f>
        <v>0</v>
      </c>
      <c r="Q919" s="31">
        <v>11</v>
      </c>
    </row>
    <row r="920" spans="12:17" x14ac:dyDescent="0.35">
      <c r="L920" s="31">
        <v>918</v>
      </c>
      <c r="M920" s="31">
        <v>8</v>
      </c>
      <c r="O920" s="31">
        <f>MAX(N920:N1918)</f>
        <v>0</v>
      </c>
      <c r="Q920" s="31">
        <v>10</v>
      </c>
    </row>
    <row r="921" spans="12:17" x14ac:dyDescent="0.35">
      <c r="L921" s="31">
        <v>919</v>
      </c>
      <c r="M921" s="31">
        <v>4</v>
      </c>
      <c r="O921" s="31">
        <f>MAX(N921:N1919)</f>
        <v>0</v>
      </c>
      <c r="Q921" s="31">
        <v>13</v>
      </c>
    </row>
    <row r="922" spans="12:17" x14ac:dyDescent="0.35">
      <c r="L922" s="31">
        <v>920</v>
      </c>
      <c r="M922" s="31">
        <v>5</v>
      </c>
      <c r="O922" s="31">
        <f>MAX(N922:N1920)</f>
        <v>0</v>
      </c>
      <c r="Q922" s="31">
        <v>24</v>
      </c>
    </row>
    <row r="923" spans="12:17" x14ac:dyDescent="0.35">
      <c r="L923" s="31">
        <v>921</v>
      </c>
      <c r="M923" s="31">
        <v>7</v>
      </c>
      <c r="O923" s="31">
        <f>MAX(N923:N1921)</f>
        <v>0</v>
      </c>
      <c r="Q923" s="31">
        <v>15</v>
      </c>
    </row>
    <row r="924" spans="12:17" x14ac:dyDescent="0.35">
      <c r="L924" s="31">
        <v>922</v>
      </c>
      <c r="M924" s="31">
        <v>12</v>
      </c>
      <c r="O924" s="31">
        <f>MAX(N924:N1922)</f>
        <v>0</v>
      </c>
      <c r="Q924" s="31">
        <v>13</v>
      </c>
    </row>
    <row r="925" spans="12:17" x14ac:dyDescent="0.35">
      <c r="L925" s="31">
        <v>923</v>
      </c>
      <c r="M925" s="31">
        <v>6</v>
      </c>
      <c r="O925" s="31">
        <f>MAX(N925:N1923)</f>
        <v>0</v>
      </c>
      <c r="Q925" s="31">
        <v>16</v>
      </c>
    </row>
    <row r="926" spans="12:17" x14ac:dyDescent="0.35">
      <c r="L926" s="31">
        <v>924</v>
      </c>
      <c r="M926" s="31">
        <v>7</v>
      </c>
      <c r="O926" s="31">
        <f>MAX(N926:N1924)</f>
        <v>0</v>
      </c>
      <c r="Q926" s="31">
        <v>23</v>
      </c>
    </row>
    <row r="927" spans="12:17" x14ac:dyDescent="0.35">
      <c r="L927" s="31">
        <v>925</v>
      </c>
      <c r="M927" s="31">
        <v>8</v>
      </c>
      <c r="O927" s="31">
        <f>MAX(N927:N1925)</f>
        <v>0</v>
      </c>
      <c r="Q927" s="31">
        <v>21</v>
      </c>
    </row>
    <row r="928" spans="12:17" x14ac:dyDescent="0.35">
      <c r="L928" s="31">
        <v>926</v>
      </c>
      <c r="M928" s="31">
        <v>6</v>
      </c>
      <c r="O928" s="31">
        <f>MAX(N928:N1926)</f>
        <v>0</v>
      </c>
      <c r="Q928" s="31">
        <v>27</v>
      </c>
    </row>
    <row r="929" spans="12:17" x14ac:dyDescent="0.35">
      <c r="L929" s="31">
        <v>927</v>
      </c>
      <c r="M929" s="31">
        <v>8</v>
      </c>
      <c r="O929" s="31">
        <f>MAX(N929:N1927)</f>
        <v>0</v>
      </c>
      <c r="Q929" s="31">
        <v>21</v>
      </c>
    </row>
    <row r="930" spans="12:17" x14ac:dyDescent="0.35">
      <c r="L930" s="31">
        <v>928</v>
      </c>
      <c r="M930" s="31">
        <v>11</v>
      </c>
      <c r="O930" s="31">
        <f>MAX(N930:N1928)</f>
        <v>0</v>
      </c>
      <c r="Q930" s="31">
        <v>18</v>
      </c>
    </row>
    <row r="931" spans="12:17" x14ac:dyDescent="0.35">
      <c r="L931" s="31">
        <v>929</v>
      </c>
      <c r="M931" s="31">
        <v>9</v>
      </c>
      <c r="O931" s="31">
        <f>MAX(N931:N1929)</f>
        <v>0</v>
      </c>
      <c r="Q931" s="31">
        <v>14</v>
      </c>
    </row>
    <row r="932" spans="12:17" x14ac:dyDescent="0.35">
      <c r="L932" s="31">
        <v>930</v>
      </c>
      <c r="M932" s="31">
        <v>10</v>
      </c>
      <c r="O932" s="31">
        <f>MAX(N932:N1930)</f>
        <v>0</v>
      </c>
      <c r="Q932" s="31">
        <v>23</v>
      </c>
    </row>
    <row r="933" spans="12:17" x14ac:dyDescent="0.35">
      <c r="L933" s="31">
        <v>931</v>
      </c>
      <c r="M933" s="31">
        <v>11</v>
      </c>
      <c r="O933" s="31">
        <f>MAX(N933:N1931)</f>
        <v>0</v>
      </c>
      <c r="Q933" s="31">
        <v>19</v>
      </c>
    </row>
    <row r="934" spans="12:17" x14ac:dyDescent="0.35">
      <c r="L934" s="31">
        <v>932</v>
      </c>
      <c r="M934" s="31">
        <v>6</v>
      </c>
      <c r="O934" s="31">
        <f>MAX(N934:N1932)</f>
        <v>0</v>
      </c>
      <c r="Q934" s="31">
        <v>19</v>
      </c>
    </row>
    <row r="935" spans="12:17" x14ac:dyDescent="0.35">
      <c r="L935" s="31">
        <v>933</v>
      </c>
      <c r="M935" s="31">
        <v>6</v>
      </c>
      <c r="O935" s="31">
        <f>MAX(N935:N1933)</f>
        <v>0</v>
      </c>
      <c r="Q935" s="31">
        <v>14</v>
      </c>
    </row>
    <row r="936" spans="12:17" x14ac:dyDescent="0.35">
      <c r="L936" s="31">
        <v>934</v>
      </c>
      <c r="M936" s="31">
        <v>11</v>
      </c>
      <c r="O936" s="31">
        <f>MAX(N936:N1934)</f>
        <v>0</v>
      </c>
      <c r="Q936" s="31">
        <v>18</v>
      </c>
    </row>
    <row r="937" spans="12:17" x14ac:dyDescent="0.35">
      <c r="L937" s="31">
        <v>935</v>
      </c>
      <c r="M937" s="31">
        <v>4</v>
      </c>
      <c r="O937" s="31">
        <f>MAX(N937:N1935)</f>
        <v>0</v>
      </c>
      <c r="Q937" s="31">
        <v>14</v>
      </c>
    </row>
    <row r="938" spans="12:17" x14ac:dyDescent="0.35">
      <c r="L938" s="31">
        <v>936</v>
      </c>
      <c r="M938" s="31">
        <v>9</v>
      </c>
      <c r="O938" s="31">
        <f>MAX(N938:N1936)</f>
        <v>0</v>
      </c>
      <c r="Q938" s="31">
        <v>22</v>
      </c>
    </row>
    <row r="939" spans="12:17" x14ac:dyDescent="0.35">
      <c r="L939" s="31">
        <v>937</v>
      </c>
      <c r="M939" s="31">
        <v>11</v>
      </c>
      <c r="O939" s="31">
        <f>MAX(N939:N1937)</f>
        <v>0</v>
      </c>
      <c r="Q939" s="31">
        <v>18</v>
      </c>
    </row>
    <row r="940" spans="12:17" x14ac:dyDescent="0.35">
      <c r="L940" s="31">
        <v>938</v>
      </c>
      <c r="M940" s="31">
        <v>5</v>
      </c>
      <c r="O940" s="31">
        <f>MAX(N940:N1938)</f>
        <v>0</v>
      </c>
      <c r="Q940" s="31">
        <v>14</v>
      </c>
    </row>
    <row r="941" spans="12:17" x14ac:dyDescent="0.35">
      <c r="L941" s="31">
        <v>939</v>
      </c>
      <c r="M941" s="31">
        <v>7</v>
      </c>
      <c r="O941" s="31">
        <f>MAX(N941:N1939)</f>
        <v>0</v>
      </c>
      <c r="Q941" s="31">
        <v>22</v>
      </c>
    </row>
    <row r="942" spans="12:17" x14ac:dyDescent="0.35">
      <c r="L942" s="31">
        <v>940</v>
      </c>
      <c r="M942" s="31">
        <v>14</v>
      </c>
      <c r="O942" s="31">
        <f>MAX(N942:N1940)</f>
        <v>0</v>
      </c>
      <c r="Q942" s="31">
        <v>14</v>
      </c>
    </row>
    <row r="943" spans="12:17" x14ac:dyDescent="0.35">
      <c r="L943" s="31">
        <v>941</v>
      </c>
      <c r="M943" s="31">
        <v>7</v>
      </c>
      <c r="O943" s="31">
        <f>MAX(N943:N1941)</f>
        <v>0</v>
      </c>
      <c r="Q943" s="31">
        <v>20</v>
      </c>
    </row>
    <row r="944" spans="12:17" x14ac:dyDescent="0.35">
      <c r="L944" s="31">
        <v>942</v>
      </c>
      <c r="M944" s="31">
        <v>16</v>
      </c>
      <c r="O944" s="31">
        <f>MAX(N944:N1942)</f>
        <v>0</v>
      </c>
      <c r="Q944" s="31">
        <v>9</v>
      </c>
    </row>
    <row r="945" spans="12:17" x14ac:dyDescent="0.35">
      <c r="L945" s="31">
        <v>943</v>
      </c>
      <c r="M945" s="31">
        <v>11</v>
      </c>
      <c r="O945" s="31">
        <f>MAX(N945:N1943)</f>
        <v>0</v>
      </c>
      <c r="Q945" s="31">
        <v>16</v>
      </c>
    </row>
    <row r="946" spans="12:17" x14ac:dyDescent="0.35">
      <c r="L946" s="31">
        <v>944</v>
      </c>
      <c r="M946" s="31">
        <v>9</v>
      </c>
      <c r="O946" s="31">
        <f>MAX(N946:N1944)</f>
        <v>0</v>
      </c>
      <c r="Q946" s="31">
        <v>16</v>
      </c>
    </row>
    <row r="947" spans="12:17" x14ac:dyDescent="0.35">
      <c r="L947" s="31">
        <v>945</v>
      </c>
      <c r="M947" s="31">
        <v>8</v>
      </c>
      <c r="O947" s="31">
        <f>MAX(N947:N1945)</f>
        <v>0</v>
      </c>
      <c r="Q947" s="31">
        <v>18</v>
      </c>
    </row>
    <row r="948" spans="12:17" x14ac:dyDescent="0.35">
      <c r="L948" s="31">
        <v>946</v>
      </c>
      <c r="M948" s="31">
        <v>12</v>
      </c>
      <c r="O948" s="31">
        <f>MAX(N948:N1946)</f>
        <v>0</v>
      </c>
      <c r="Q948" s="31">
        <v>16</v>
      </c>
    </row>
    <row r="949" spans="12:17" x14ac:dyDescent="0.35">
      <c r="L949" s="31">
        <v>947</v>
      </c>
      <c r="M949" s="31">
        <v>13</v>
      </c>
      <c r="O949" s="31">
        <f>MAX(N949:N1947)</f>
        <v>0</v>
      </c>
      <c r="Q949" s="31">
        <v>18</v>
      </c>
    </row>
    <row r="950" spans="12:17" x14ac:dyDescent="0.35">
      <c r="L950" s="31">
        <v>948</v>
      </c>
      <c r="M950" s="31">
        <v>13</v>
      </c>
      <c r="O950" s="31">
        <f>MAX(N950:N1948)</f>
        <v>0</v>
      </c>
      <c r="Q950" s="31">
        <v>19</v>
      </c>
    </row>
    <row r="951" spans="12:17" x14ac:dyDescent="0.35">
      <c r="L951" s="31">
        <v>949</v>
      </c>
      <c r="M951" s="31">
        <v>4</v>
      </c>
      <c r="O951" s="31">
        <f>MAX(N951:N1949)</f>
        <v>0</v>
      </c>
      <c r="Q951" s="31">
        <v>24</v>
      </c>
    </row>
    <row r="952" spans="12:17" x14ac:dyDescent="0.35">
      <c r="L952" s="31">
        <v>950</v>
      </c>
      <c r="M952" s="31">
        <v>18</v>
      </c>
      <c r="O952" s="31">
        <f>MAX(N952:N1950)</f>
        <v>0</v>
      </c>
      <c r="Q952" s="31">
        <v>20</v>
      </c>
    </row>
    <row r="953" spans="12:17" x14ac:dyDescent="0.35">
      <c r="L953" s="31">
        <v>951</v>
      </c>
      <c r="M953" s="31">
        <v>4</v>
      </c>
      <c r="O953" s="31">
        <f>MAX(N953:N1951)</f>
        <v>0</v>
      </c>
      <c r="Q953" s="31">
        <v>18</v>
      </c>
    </row>
    <row r="954" spans="12:17" x14ac:dyDescent="0.35">
      <c r="L954" s="31">
        <v>952</v>
      </c>
      <c r="M954" s="31">
        <v>12</v>
      </c>
      <c r="O954" s="31">
        <f>MAX(N954:N1952)</f>
        <v>0</v>
      </c>
      <c r="Q954" s="31">
        <v>8</v>
      </c>
    </row>
    <row r="955" spans="12:17" x14ac:dyDescent="0.35">
      <c r="L955" s="31">
        <v>953</v>
      </c>
      <c r="M955" s="31">
        <v>9</v>
      </c>
      <c r="O955" s="31">
        <f>MAX(N955:N1953)</f>
        <v>0</v>
      </c>
      <c r="Q955" s="31">
        <v>17</v>
      </c>
    </row>
    <row r="956" spans="12:17" x14ac:dyDescent="0.35">
      <c r="L956" s="31">
        <v>954</v>
      </c>
      <c r="M956" s="31">
        <v>9</v>
      </c>
      <c r="O956" s="31">
        <f>MAX(N956:N1954)</f>
        <v>0</v>
      </c>
      <c r="Q956" s="31">
        <v>16</v>
      </c>
    </row>
    <row r="957" spans="12:17" x14ac:dyDescent="0.35">
      <c r="L957" s="31">
        <v>955</v>
      </c>
      <c r="M957" s="31">
        <v>6</v>
      </c>
      <c r="O957" s="31">
        <f>MAX(N957:N1955)</f>
        <v>0</v>
      </c>
      <c r="Q957" s="31">
        <v>8</v>
      </c>
    </row>
    <row r="958" spans="12:17" x14ac:dyDescent="0.35">
      <c r="L958" s="31">
        <v>956</v>
      </c>
      <c r="M958" s="31">
        <v>7</v>
      </c>
      <c r="O958" s="31">
        <f>MAX(N958:N1956)</f>
        <v>0</v>
      </c>
      <c r="Q958" s="31">
        <v>13</v>
      </c>
    </row>
    <row r="959" spans="12:17" x14ac:dyDescent="0.35">
      <c r="L959" s="31">
        <v>957</v>
      </c>
      <c r="M959" s="31">
        <v>6</v>
      </c>
      <c r="O959" s="31">
        <f>MAX(N959:N1957)</f>
        <v>0</v>
      </c>
      <c r="Q959" s="31">
        <v>19</v>
      </c>
    </row>
    <row r="960" spans="12:17" x14ac:dyDescent="0.35">
      <c r="L960" s="31">
        <v>958</v>
      </c>
      <c r="M960" s="31">
        <v>6</v>
      </c>
      <c r="O960" s="31">
        <f>MAX(N960:N1958)</f>
        <v>0</v>
      </c>
      <c r="Q960" s="31">
        <v>20</v>
      </c>
    </row>
    <row r="961" spans="12:17" x14ac:dyDescent="0.35">
      <c r="L961" s="31">
        <v>959</v>
      </c>
      <c r="M961" s="31">
        <v>7</v>
      </c>
      <c r="O961" s="31">
        <f>MAX(N961:N1959)</f>
        <v>0</v>
      </c>
      <c r="Q961" s="31">
        <v>22</v>
      </c>
    </row>
    <row r="962" spans="12:17" x14ac:dyDescent="0.35">
      <c r="L962" s="31">
        <v>960</v>
      </c>
      <c r="M962" s="31">
        <v>7</v>
      </c>
      <c r="O962" s="31">
        <f>MAX(N962:N1960)</f>
        <v>0</v>
      </c>
      <c r="Q962" s="31">
        <v>17</v>
      </c>
    </row>
    <row r="963" spans="12:17" x14ac:dyDescent="0.35">
      <c r="L963" s="31">
        <v>961</v>
      </c>
      <c r="M963" s="31">
        <v>6</v>
      </c>
      <c r="O963" s="31">
        <f>MAX(N963:N1961)</f>
        <v>0</v>
      </c>
      <c r="Q963" s="31">
        <v>19</v>
      </c>
    </row>
    <row r="964" spans="12:17" x14ac:dyDescent="0.35">
      <c r="L964" s="31">
        <v>962</v>
      </c>
      <c r="M964" s="31">
        <v>7</v>
      </c>
      <c r="O964" s="31">
        <f>MAX(N964:N1962)</f>
        <v>0</v>
      </c>
      <c r="Q964" s="31">
        <v>18</v>
      </c>
    </row>
    <row r="965" spans="12:17" x14ac:dyDescent="0.35">
      <c r="L965" s="31">
        <v>963</v>
      </c>
      <c r="M965" s="31">
        <v>12</v>
      </c>
      <c r="O965" s="31">
        <f>MAX(N965:N1963)</f>
        <v>0</v>
      </c>
      <c r="Q965" s="31">
        <v>18</v>
      </c>
    </row>
    <row r="966" spans="12:17" x14ac:dyDescent="0.35">
      <c r="L966" s="31">
        <v>964</v>
      </c>
      <c r="M966" s="31">
        <v>6</v>
      </c>
      <c r="O966" s="31">
        <f>MAX(N966:N1964)</f>
        <v>0</v>
      </c>
      <c r="Q966" s="31">
        <v>19</v>
      </c>
    </row>
    <row r="967" spans="12:17" x14ac:dyDescent="0.35">
      <c r="L967" s="31">
        <v>965</v>
      </c>
      <c r="M967" s="31">
        <v>6</v>
      </c>
      <c r="O967" s="31">
        <f>MAX(N967:N1965)</f>
        <v>0</v>
      </c>
      <c r="Q967" s="31">
        <v>17</v>
      </c>
    </row>
    <row r="968" spans="12:17" x14ac:dyDescent="0.35">
      <c r="L968" s="31">
        <v>966</v>
      </c>
      <c r="M968" s="31">
        <v>7</v>
      </c>
      <c r="O968" s="31">
        <f>MAX(N968:N1966)</f>
        <v>0</v>
      </c>
      <c r="Q968" s="31">
        <v>13</v>
      </c>
    </row>
    <row r="969" spans="12:17" x14ac:dyDescent="0.35">
      <c r="L969" s="31">
        <v>967</v>
      </c>
      <c r="M969" s="31">
        <v>8</v>
      </c>
      <c r="O969" s="31">
        <f>MAX(N969:N1967)</f>
        <v>0</v>
      </c>
      <c r="Q969" s="31">
        <v>19</v>
      </c>
    </row>
    <row r="970" spans="12:17" x14ac:dyDescent="0.35">
      <c r="L970" s="31">
        <v>968</v>
      </c>
      <c r="M970" s="31">
        <v>6</v>
      </c>
      <c r="O970" s="31">
        <f>MAX(N970:N1968)</f>
        <v>0</v>
      </c>
      <c r="Q970" s="31">
        <v>19</v>
      </c>
    </row>
    <row r="971" spans="12:17" x14ac:dyDescent="0.35">
      <c r="L971" s="31">
        <v>969</v>
      </c>
      <c r="M971" s="31">
        <v>8</v>
      </c>
      <c r="O971" s="31">
        <f>MAX(N971:N1969)</f>
        <v>0</v>
      </c>
      <c r="Q971" s="31">
        <v>14</v>
      </c>
    </row>
    <row r="972" spans="12:17" x14ac:dyDescent="0.35">
      <c r="L972" s="31">
        <v>970</v>
      </c>
      <c r="M972" s="31">
        <v>4</v>
      </c>
      <c r="O972" s="31">
        <f>MAX(N972:N1970)</f>
        <v>0</v>
      </c>
      <c r="Q972" s="31">
        <v>28</v>
      </c>
    </row>
    <row r="973" spans="12:17" x14ac:dyDescent="0.35">
      <c r="L973" s="31">
        <v>971</v>
      </c>
      <c r="M973" s="31">
        <v>8</v>
      </c>
      <c r="O973" s="31">
        <f>MAX(N973:N1971)</f>
        <v>0</v>
      </c>
      <c r="Q973" s="31">
        <v>18</v>
      </c>
    </row>
    <row r="974" spans="12:17" x14ac:dyDescent="0.35">
      <c r="L974" s="31">
        <v>972</v>
      </c>
      <c r="M974" s="31">
        <v>12</v>
      </c>
      <c r="O974" s="31">
        <f>MAX(N974:N1972)</f>
        <v>0</v>
      </c>
      <c r="Q974" s="31">
        <v>27</v>
      </c>
    </row>
    <row r="975" spans="12:17" x14ac:dyDescent="0.35">
      <c r="L975" s="31">
        <v>973</v>
      </c>
      <c r="M975" s="31">
        <v>10</v>
      </c>
      <c r="O975" s="31">
        <f>MAX(N975:N1973)</f>
        <v>0</v>
      </c>
      <c r="Q975" s="31">
        <v>15</v>
      </c>
    </row>
    <row r="976" spans="12:17" x14ac:dyDescent="0.35">
      <c r="L976" s="31">
        <v>974</v>
      </c>
      <c r="M976" s="31">
        <v>7</v>
      </c>
      <c r="O976" s="31">
        <f>MAX(N976:N1974)</f>
        <v>0</v>
      </c>
      <c r="Q976" s="31">
        <v>21</v>
      </c>
    </row>
    <row r="977" spans="12:17" x14ac:dyDescent="0.35">
      <c r="L977" s="31">
        <v>975</v>
      </c>
      <c r="M977" s="31">
        <v>8</v>
      </c>
      <c r="O977" s="31">
        <f>MAX(N977:N1975)</f>
        <v>0</v>
      </c>
      <c r="Q977" s="31">
        <v>15</v>
      </c>
    </row>
    <row r="978" spans="12:17" x14ac:dyDescent="0.35">
      <c r="L978" s="31">
        <v>976</v>
      </c>
      <c r="M978" s="31">
        <v>12</v>
      </c>
      <c r="O978" s="31">
        <f>MAX(N978:N1976)</f>
        <v>0</v>
      </c>
      <c r="Q978" s="31">
        <v>12</v>
      </c>
    </row>
    <row r="979" spans="12:17" x14ac:dyDescent="0.35">
      <c r="L979" s="31">
        <v>977</v>
      </c>
      <c r="M979" s="31">
        <v>7</v>
      </c>
      <c r="O979" s="31">
        <f>MAX(N979:N1977)</f>
        <v>0</v>
      </c>
      <c r="Q979" s="31">
        <v>18</v>
      </c>
    </row>
    <row r="980" spans="12:17" x14ac:dyDescent="0.35">
      <c r="L980" s="31">
        <v>978</v>
      </c>
      <c r="M980" s="31">
        <v>9</v>
      </c>
      <c r="O980" s="31">
        <f>MAX(N980:N1978)</f>
        <v>0</v>
      </c>
      <c r="Q980" s="31">
        <v>19</v>
      </c>
    </row>
    <row r="981" spans="12:17" x14ac:dyDescent="0.35">
      <c r="L981" s="31">
        <v>979</v>
      </c>
      <c r="M981" s="31">
        <v>12</v>
      </c>
      <c r="O981" s="31">
        <f>MAX(N981:N1979)</f>
        <v>0</v>
      </c>
      <c r="Q981" s="31">
        <v>20</v>
      </c>
    </row>
    <row r="982" spans="12:17" x14ac:dyDescent="0.35">
      <c r="L982" s="31">
        <v>980</v>
      </c>
      <c r="M982" s="31">
        <v>6</v>
      </c>
      <c r="O982" s="31">
        <f>MAX(N982:N1980)</f>
        <v>0</v>
      </c>
      <c r="Q982" s="31">
        <v>19</v>
      </c>
    </row>
    <row r="983" spans="12:17" x14ac:dyDescent="0.35">
      <c r="L983" s="31">
        <v>981</v>
      </c>
      <c r="M983" s="31">
        <v>7</v>
      </c>
      <c r="O983" s="31">
        <f>MAX(N983:N1981)</f>
        <v>0</v>
      </c>
      <c r="Q983" s="31">
        <v>24</v>
      </c>
    </row>
    <row r="984" spans="12:17" x14ac:dyDescent="0.35">
      <c r="L984" s="31">
        <v>982</v>
      </c>
      <c r="M984" s="31">
        <v>10</v>
      </c>
      <c r="O984" s="31">
        <f>MAX(N984:N1982)</f>
        <v>0</v>
      </c>
      <c r="Q984" s="31">
        <v>17</v>
      </c>
    </row>
    <row r="985" spans="12:17" x14ac:dyDescent="0.35">
      <c r="L985" s="31">
        <v>983</v>
      </c>
      <c r="M985" s="31">
        <v>8</v>
      </c>
      <c r="O985" s="31">
        <f>MAX(N985:N1983)</f>
        <v>0</v>
      </c>
      <c r="Q985" s="31">
        <v>13</v>
      </c>
    </row>
    <row r="986" spans="12:17" x14ac:dyDescent="0.35">
      <c r="L986" s="31">
        <v>984</v>
      </c>
      <c r="M986" s="31">
        <v>8</v>
      </c>
      <c r="O986" s="31">
        <f>MAX(N986:N1984)</f>
        <v>0</v>
      </c>
      <c r="Q986" s="31">
        <v>20</v>
      </c>
    </row>
    <row r="987" spans="12:17" x14ac:dyDescent="0.35">
      <c r="L987" s="31">
        <v>985</v>
      </c>
      <c r="M987" s="31">
        <v>7</v>
      </c>
      <c r="O987" s="31">
        <f>MAX(N987:N1985)</f>
        <v>0</v>
      </c>
      <c r="Q987" s="31">
        <v>12</v>
      </c>
    </row>
    <row r="988" spans="12:17" x14ac:dyDescent="0.35">
      <c r="L988" s="31">
        <v>986</v>
      </c>
      <c r="M988" s="31">
        <v>15</v>
      </c>
      <c r="O988" s="31">
        <f>MAX(N988:N1986)</f>
        <v>0</v>
      </c>
      <c r="Q988" s="31">
        <v>20</v>
      </c>
    </row>
    <row r="989" spans="12:17" x14ac:dyDescent="0.35">
      <c r="L989" s="31">
        <v>987</v>
      </c>
      <c r="M989" s="31">
        <v>10</v>
      </c>
      <c r="O989" s="31">
        <f>MAX(N989:N1987)</f>
        <v>0</v>
      </c>
      <c r="Q989" s="31">
        <v>20</v>
      </c>
    </row>
    <row r="990" spans="12:17" x14ac:dyDescent="0.35">
      <c r="L990" s="31">
        <v>988</v>
      </c>
      <c r="M990" s="31">
        <v>14</v>
      </c>
      <c r="O990" s="31">
        <f>MAX(N990:N1988)</f>
        <v>0</v>
      </c>
      <c r="Q990" s="31">
        <v>23</v>
      </c>
    </row>
    <row r="991" spans="12:17" x14ac:dyDescent="0.35">
      <c r="L991" s="31">
        <v>989</v>
      </c>
      <c r="M991" s="31">
        <v>7</v>
      </c>
      <c r="O991" s="31">
        <f>MAX(N991:N1989)</f>
        <v>0</v>
      </c>
      <c r="Q991" s="31">
        <v>14</v>
      </c>
    </row>
    <row r="992" spans="12:17" x14ac:dyDescent="0.35">
      <c r="L992" s="31">
        <v>990</v>
      </c>
      <c r="M992" s="31">
        <v>4</v>
      </c>
      <c r="O992" s="31">
        <f>MAX(N992:N1990)</f>
        <v>0</v>
      </c>
      <c r="Q992" s="31">
        <v>16</v>
      </c>
    </row>
    <row r="993" spans="12:17" x14ac:dyDescent="0.35">
      <c r="L993" s="31">
        <v>991</v>
      </c>
      <c r="M993" s="31">
        <v>11</v>
      </c>
      <c r="O993" s="31">
        <f>MAX(N993:N1991)</f>
        <v>0</v>
      </c>
      <c r="Q993" s="31">
        <v>12</v>
      </c>
    </row>
    <row r="994" spans="12:17" x14ac:dyDescent="0.35">
      <c r="L994" s="31">
        <v>992</v>
      </c>
      <c r="M994" s="31">
        <v>9</v>
      </c>
      <c r="O994" s="31">
        <f>MAX(N994:N1992)</f>
        <v>0</v>
      </c>
      <c r="Q994" s="31">
        <v>23</v>
      </c>
    </row>
    <row r="995" spans="12:17" x14ac:dyDescent="0.35">
      <c r="L995" s="31">
        <v>993</v>
      </c>
      <c r="M995" s="31">
        <v>8</v>
      </c>
      <c r="O995" s="31">
        <f>MAX(N995:N1993)</f>
        <v>0</v>
      </c>
      <c r="Q995" s="31">
        <v>14</v>
      </c>
    </row>
    <row r="996" spans="12:17" x14ac:dyDescent="0.35">
      <c r="L996" s="31">
        <v>994</v>
      </c>
      <c r="M996" s="31">
        <v>15</v>
      </c>
      <c r="O996" s="31">
        <f>MAX(N996:N1994)</f>
        <v>0</v>
      </c>
      <c r="Q996" s="31">
        <v>19</v>
      </c>
    </row>
    <row r="997" spans="12:17" x14ac:dyDescent="0.35">
      <c r="L997" s="31">
        <v>995</v>
      </c>
      <c r="M997" s="31">
        <v>7</v>
      </c>
      <c r="O997" s="31">
        <f>MAX(N997:N1995)</f>
        <v>0</v>
      </c>
      <c r="Q997" s="31">
        <v>12</v>
      </c>
    </row>
    <row r="998" spans="12:17" x14ac:dyDescent="0.35">
      <c r="L998" s="31">
        <v>996</v>
      </c>
      <c r="M998" s="31">
        <v>8</v>
      </c>
      <c r="O998" s="31">
        <f>MAX(N998:N1996)</f>
        <v>0</v>
      </c>
      <c r="Q998" s="31">
        <v>18</v>
      </c>
    </row>
    <row r="999" spans="12:17" x14ac:dyDescent="0.35">
      <c r="L999" s="31">
        <v>997</v>
      </c>
      <c r="M999" s="31">
        <v>7</v>
      </c>
      <c r="O999" s="31">
        <f>MAX(N999:N1997)</f>
        <v>0</v>
      </c>
      <c r="Q999" s="31">
        <v>21</v>
      </c>
    </row>
    <row r="1000" spans="12:17" x14ac:dyDescent="0.35">
      <c r="L1000" s="31">
        <v>998</v>
      </c>
      <c r="M1000" s="31">
        <v>7</v>
      </c>
      <c r="O1000" s="31">
        <f>MAX(N1000:N1998)</f>
        <v>0</v>
      </c>
      <c r="Q1000" s="31">
        <v>21</v>
      </c>
    </row>
    <row r="1001" spans="12:17" x14ac:dyDescent="0.35">
      <c r="L1001" s="31">
        <v>999</v>
      </c>
      <c r="M1001" s="31">
        <v>9</v>
      </c>
      <c r="O1001" s="31">
        <f>MAX(N1001:N1999)</f>
        <v>0</v>
      </c>
      <c r="Q1001" s="31">
        <v>24</v>
      </c>
    </row>
    <row r="1002" spans="12:17" x14ac:dyDescent="0.35">
      <c r="L1002" s="31">
        <v>1000</v>
      </c>
      <c r="O1002" s="31">
        <f>MAX(N1002:N2000)</f>
        <v>0</v>
      </c>
    </row>
  </sheetData>
  <mergeCells count="2">
    <mergeCell ref="C1:H1"/>
    <mergeCell ref="R12:W12"/>
  </mergeCells>
  <conditionalFormatting sqref="A43">
    <cfRule type="cellIs" dxfId="1" priority="2" operator="lessThan">
      <formula>0.3</formula>
    </cfRule>
  </conditionalFormatting>
  <conditionalFormatting sqref="A45">
    <cfRule type="cellIs" dxfId="0" priority="1" operator="lessThan">
      <formula>0.15</formula>
    </cfRule>
  </conditionalFormatting>
  <pageMargins left="0.78749999999999998" right="0.78749999999999998" top="1.05277777777778" bottom="1.74166666666667" header="0.78749999999999998" footer="0.78749999999999998"/>
  <pageSetup paperSize="9" scale="110" orientation="landscape" horizontalDpi="300" verticalDpi="300" r:id="rId1"/>
  <headerFooter>
    <oddHeader>&amp;C&amp;"Times New Roman,Regular"&amp;12&amp;Kffffff&amp;A</oddHeader>
    <oddFooter>&amp;C&amp;"Times New Roman,Regular"&amp;12&amp;KffffffPage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D1 (2)</vt:lpstr>
      <vt:lpstr>Annex D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Devereux</dc:creator>
  <cp:lastModifiedBy>John Devereux</cp:lastModifiedBy>
  <dcterms:created xsi:type="dcterms:W3CDTF">2025-11-21T16:49:30Z</dcterms:created>
  <dcterms:modified xsi:type="dcterms:W3CDTF">2025-11-21T18:03:22Z</dcterms:modified>
</cp:coreProperties>
</file>