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2025-01-17-REFERENCE COUNTER\"/>
    </mc:Choice>
  </mc:AlternateContent>
  <xr:revisionPtr revIDLastSave="0" documentId="13_ncr:1_{447FA6C5-62C8-4D83-84FB-5144B23928FB}" xr6:coauthVersionLast="47" xr6:coauthVersionMax="47" xr10:uidLastSave="{00000000-0000-0000-0000-000000000000}"/>
  <bookViews>
    <workbookView xWindow="-98" yWindow="-98" windowWidth="28996" windowHeight="17745" xr2:uid="{3C7F9229-9F3D-4B48-99FF-930A2F81CB57}"/>
  </bookViews>
  <sheets>
    <sheet name="Clause 6" sheetId="1" r:id="rId1"/>
    <sheet name="6 - B1" sheetId="2" r:id="rId2"/>
    <sheet name="6 - B2" sheetId="3" r:id="rId3"/>
    <sheet name="6 - B3" sheetId="4" r:id="rId4"/>
    <sheet name="6 - Threshold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" i="5" l="1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L3" i="5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P52" i="4"/>
  <c r="O52" i="4"/>
  <c r="E8" i="4" s="1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F38" i="4"/>
  <c r="B37" i="4"/>
  <c r="F36" i="4"/>
  <c r="D36" i="4"/>
  <c r="B35" i="4"/>
  <c r="F34" i="4"/>
  <c r="B33" i="4"/>
  <c r="F32" i="4"/>
  <c r="D32" i="4"/>
  <c r="B31" i="4"/>
  <c r="F30" i="4"/>
  <c r="B29" i="4"/>
  <c r="F28" i="4"/>
  <c r="D28" i="4"/>
  <c r="B27" i="4"/>
  <c r="F26" i="4"/>
  <c r="B25" i="4"/>
  <c r="F24" i="4"/>
  <c r="D24" i="4"/>
  <c r="B23" i="4"/>
  <c r="F22" i="4"/>
  <c r="B21" i="4"/>
  <c r="F20" i="4"/>
  <c r="D20" i="4"/>
  <c r="B19" i="4"/>
  <c r="F18" i="4"/>
  <c r="B17" i="4"/>
  <c r="F16" i="4"/>
  <c r="D16" i="4"/>
  <c r="B15" i="4"/>
  <c r="F14" i="4"/>
  <c r="B13" i="4"/>
  <c r="F12" i="4"/>
  <c r="D12" i="4"/>
  <c r="B11" i="4"/>
  <c r="F10" i="4"/>
  <c r="C9" i="4"/>
  <c r="B9" i="4"/>
  <c r="F8" i="4"/>
  <c r="F37" i="4" s="1"/>
  <c r="D8" i="4"/>
  <c r="D37" i="4" s="1"/>
  <c r="C8" i="4"/>
  <c r="C36" i="4" s="1"/>
  <c r="B8" i="4"/>
  <c r="B36" i="4" s="1"/>
  <c r="B5" i="4"/>
  <c r="A5" i="4"/>
  <c r="B4" i="4"/>
  <c r="A4" i="4"/>
  <c r="B3" i="4"/>
  <c r="A3" i="4"/>
  <c r="A1" i="4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C38" i="3"/>
  <c r="F37" i="3"/>
  <c r="C36" i="3"/>
  <c r="B36" i="3"/>
  <c r="C34" i="3"/>
  <c r="F33" i="3"/>
  <c r="C32" i="3"/>
  <c r="B32" i="3"/>
  <c r="C30" i="3"/>
  <c r="F29" i="3"/>
  <c r="C28" i="3"/>
  <c r="B28" i="3"/>
  <c r="C26" i="3"/>
  <c r="F25" i="3"/>
  <c r="C24" i="3"/>
  <c r="B24" i="3"/>
  <c r="C22" i="3"/>
  <c r="F21" i="3"/>
  <c r="C20" i="3"/>
  <c r="B20" i="3"/>
  <c r="C18" i="3"/>
  <c r="F17" i="3"/>
  <c r="C16" i="3"/>
  <c r="B16" i="3"/>
  <c r="C14" i="3"/>
  <c r="F13" i="3"/>
  <c r="C12" i="3"/>
  <c r="B12" i="3"/>
  <c r="C10" i="3"/>
  <c r="F9" i="3"/>
  <c r="F8" i="3"/>
  <c r="F36" i="3" s="1"/>
  <c r="E8" i="3"/>
  <c r="D8" i="3"/>
  <c r="D35" i="3" s="1"/>
  <c r="C8" i="3"/>
  <c r="C35" i="3" s="1"/>
  <c r="B8" i="3"/>
  <c r="B35" i="3" s="1"/>
  <c r="B5" i="3"/>
  <c r="A5" i="3"/>
  <c r="B4" i="3"/>
  <c r="A4" i="3"/>
  <c r="B3" i="3"/>
  <c r="A3" i="3"/>
  <c r="A1" i="3"/>
  <c r="D37" i="2"/>
  <c r="D35" i="2"/>
  <c r="C35" i="2"/>
  <c r="F34" i="2"/>
  <c r="D33" i="2"/>
  <c r="D31" i="2"/>
  <c r="C31" i="2"/>
  <c r="F30" i="2"/>
  <c r="D29" i="2"/>
  <c r="D27" i="2"/>
  <c r="C27" i="2"/>
  <c r="F26" i="2"/>
  <c r="D25" i="2"/>
  <c r="D23" i="2"/>
  <c r="C23" i="2"/>
  <c r="F22" i="2"/>
  <c r="D21" i="2"/>
  <c r="D19" i="2"/>
  <c r="C19" i="2"/>
  <c r="F18" i="2"/>
  <c r="D17" i="2"/>
  <c r="D15" i="2"/>
  <c r="C15" i="2"/>
  <c r="F14" i="2"/>
  <c r="E14" i="2"/>
  <c r="D13" i="2"/>
  <c r="E11" i="2"/>
  <c r="D11" i="2"/>
  <c r="C11" i="2"/>
  <c r="F10" i="2"/>
  <c r="E10" i="2"/>
  <c r="E9" i="2"/>
  <c r="D9" i="2"/>
  <c r="F8" i="2"/>
  <c r="F35" i="2" s="1"/>
  <c r="E8" i="2"/>
  <c r="E38" i="2" s="1"/>
  <c r="D8" i="2"/>
  <c r="D38" i="2" s="1"/>
  <c r="C8" i="2"/>
  <c r="C38" i="2" s="1"/>
  <c r="B8" i="2"/>
  <c r="B6" i="2"/>
  <c r="B52" i="1"/>
  <c r="D48" i="1"/>
  <c r="F33" i="5" s="1"/>
  <c r="P34" i="1"/>
  <c r="Q34" i="1" s="1"/>
  <c r="Q33" i="1"/>
  <c r="P33" i="1"/>
  <c r="P32" i="1"/>
  <c r="Q32" i="1" s="1"/>
  <c r="P31" i="1"/>
  <c r="Q31" i="1" s="1"/>
  <c r="P30" i="1"/>
  <c r="Q30" i="1" s="1"/>
  <c r="P29" i="1"/>
  <c r="Q29" i="1" s="1"/>
  <c r="Q28" i="1"/>
  <c r="P28" i="1"/>
  <c r="P27" i="1"/>
  <c r="Q27" i="1" s="1"/>
  <c r="Q26" i="1"/>
  <c r="P26" i="1"/>
  <c r="P25" i="1"/>
  <c r="Q25" i="1" s="1"/>
  <c r="P24" i="1"/>
  <c r="Q24" i="1" s="1"/>
  <c r="Q23" i="1"/>
  <c r="P23" i="1"/>
  <c r="P22" i="1"/>
  <c r="Q22" i="1" s="1"/>
  <c r="Q21" i="1"/>
  <c r="P21" i="1"/>
  <c r="P20" i="1"/>
  <c r="Q20" i="1" s="1"/>
  <c r="P19" i="1"/>
  <c r="Q19" i="1" s="1"/>
  <c r="C19" i="1"/>
  <c r="B19" i="1"/>
  <c r="P18" i="1"/>
  <c r="Q18" i="1" s="1"/>
  <c r="Q17" i="1"/>
  <c r="P17" i="1"/>
  <c r="Q16" i="1"/>
  <c r="P16" i="1"/>
  <c r="Q15" i="1"/>
  <c r="P15" i="1"/>
  <c r="P14" i="1"/>
  <c r="Q14" i="1" s="1"/>
  <c r="B14" i="1"/>
  <c r="B16" i="1" s="1"/>
  <c r="B20" i="1" s="1"/>
  <c r="Q13" i="1"/>
  <c r="P13" i="1"/>
  <c r="Q12" i="1"/>
  <c r="P12" i="1"/>
  <c r="P11" i="1"/>
  <c r="Q11" i="1" s="1"/>
  <c r="I11" i="1"/>
  <c r="H11" i="1"/>
  <c r="G11" i="1"/>
  <c r="E3" i="2" s="1"/>
  <c r="F11" i="1"/>
  <c r="P10" i="1"/>
  <c r="Q10" i="1" s="1"/>
  <c r="Q9" i="1"/>
  <c r="P9" i="1"/>
  <c r="G9" i="1"/>
  <c r="Q8" i="1"/>
  <c r="P8" i="1"/>
  <c r="P7" i="1"/>
  <c r="Q7" i="1" s="1"/>
  <c r="P6" i="1"/>
  <c r="Q6" i="1" s="1"/>
  <c r="Q5" i="1"/>
  <c r="P5" i="1"/>
  <c r="F3" i="1"/>
  <c r="I7" i="1" s="1"/>
  <c r="C52" i="1" l="1"/>
  <c r="B21" i="1"/>
  <c r="C20" i="1"/>
  <c r="F9" i="1"/>
  <c r="M36" i="4"/>
  <c r="M27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M21" i="4" s="1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G36" i="4" s="1"/>
  <c r="E37" i="4"/>
  <c r="E38" i="4"/>
  <c r="H9" i="1"/>
  <c r="I9" i="1"/>
  <c r="B38" i="2"/>
  <c r="B34" i="2"/>
  <c r="B30" i="2"/>
  <c r="B26" i="2"/>
  <c r="B22" i="2"/>
  <c r="B18" i="2"/>
  <c r="B14" i="2"/>
  <c r="B10" i="2"/>
  <c r="B35" i="2"/>
  <c r="B31" i="2"/>
  <c r="B27" i="2"/>
  <c r="B23" i="2"/>
  <c r="B19" i="2"/>
  <c r="B15" i="2"/>
  <c r="B11" i="2"/>
  <c r="B36" i="2"/>
  <c r="B32" i="2"/>
  <c r="B28" i="2"/>
  <c r="B24" i="2"/>
  <c r="B20" i="2"/>
  <c r="B16" i="2"/>
  <c r="B12" i="2"/>
  <c r="B37" i="2"/>
  <c r="B33" i="2"/>
  <c r="B29" i="2"/>
  <c r="B25" i="2"/>
  <c r="B21" i="2"/>
  <c r="B17" i="2"/>
  <c r="B13" i="2"/>
  <c r="B9" i="2"/>
  <c r="E36" i="3"/>
  <c r="E32" i="3"/>
  <c r="E28" i="3"/>
  <c r="E24" i="3"/>
  <c r="E20" i="3"/>
  <c r="E16" i="3"/>
  <c r="E12" i="3"/>
  <c r="E37" i="3"/>
  <c r="E33" i="3"/>
  <c r="E29" i="3"/>
  <c r="E25" i="3"/>
  <c r="E21" i="3"/>
  <c r="E17" i="3"/>
  <c r="E13" i="3"/>
  <c r="E9" i="3"/>
  <c r="E38" i="3"/>
  <c r="E34" i="3"/>
  <c r="E30" i="3"/>
  <c r="E26" i="3"/>
  <c r="E22" i="3"/>
  <c r="E18" i="3"/>
  <c r="E14" i="3"/>
  <c r="E10" i="3"/>
  <c r="E35" i="3"/>
  <c r="M35" i="3" s="1"/>
  <c r="E31" i="3"/>
  <c r="E27" i="3"/>
  <c r="E23" i="3"/>
  <c r="E19" i="3"/>
  <c r="E15" i="3"/>
  <c r="E11" i="3"/>
  <c r="D47" i="1"/>
  <c r="I24" i="3"/>
  <c r="G31" i="4"/>
  <c r="F7" i="1"/>
  <c r="G8" i="2"/>
  <c r="G7" i="1"/>
  <c r="H7" i="1"/>
  <c r="M35" i="4"/>
  <c r="F38" i="2"/>
  <c r="C9" i="2"/>
  <c r="C13" i="2"/>
  <c r="C17" i="2"/>
  <c r="C21" i="2"/>
  <c r="C25" i="2"/>
  <c r="C29" i="2"/>
  <c r="C33" i="2"/>
  <c r="C37" i="2"/>
  <c r="B10" i="3"/>
  <c r="F11" i="3"/>
  <c r="B14" i="3"/>
  <c r="F15" i="3"/>
  <c r="B18" i="3"/>
  <c r="F19" i="3"/>
  <c r="B22" i="3"/>
  <c r="F23" i="3"/>
  <c r="B26" i="3"/>
  <c r="F27" i="3"/>
  <c r="B30" i="3"/>
  <c r="F31" i="3"/>
  <c r="B34" i="3"/>
  <c r="F35" i="3"/>
  <c r="I35" i="3" s="1"/>
  <c r="B38" i="3"/>
  <c r="E13" i="2"/>
  <c r="E17" i="2"/>
  <c r="E21" i="2"/>
  <c r="E25" i="2"/>
  <c r="E29" i="2"/>
  <c r="E33" i="2"/>
  <c r="E37" i="2"/>
  <c r="D10" i="3"/>
  <c r="D14" i="3"/>
  <c r="D18" i="3"/>
  <c r="D22" i="3"/>
  <c r="D26" i="3"/>
  <c r="D30" i="3"/>
  <c r="D34" i="3"/>
  <c r="D38" i="3"/>
  <c r="C11" i="4"/>
  <c r="M11" i="4" s="1"/>
  <c r="C15" i="4"/>
  <c r="M15" i="4" s="1"/>
  <c r="C19" i="4"/>
  <c r="M19" i="4" s="1"/>
  <c r="C23" i="4"/>
  <c r="M23" i="4" s="1"/>
  <c r="C27" i="4"/>
  <c r="G27" i="4" s="1"/>
  <c r="C31" i="4"/>
  <c r="C35" i="4"/>
  <c r="G35" i="4" s="1"/>
  <c r="F9" i="2"/>
  <c r="F13" i="2"/>
  <c r="F17" i="2"/>
  <c r="F21" i="2"/>
  <c r="F25" i="2"/>
  <c r="F29" i="2"/>
  <c r="F33" i="2"/>
  <c r="F37" i="2"/>
  <c r="G8" i="3"/>
  <c r="D11" i="4"/>
  <c r="D15" i="4"/>
  <c r="D19" i="4"/>
  <c r="D23" i="4"/>
  <c r="D27" i="4"/>
  <c r="D31" i="4"/>
  <c r="D35" i="4"/>
  <c r="C12" i="2"/>
  <c r="C16" i="2"/>
  <c r="C20" i="2"/>
  <c r="C24" i="2"/>
  <c r="C28" i="2"/>
  <c r="C32" i="2"/>
  <c r="C36" i="2"/>
  <c r="B9" i="3"/>
  <c r="F10" i="3"/>
  <c r="B13" i="3"/>
  <c r="F14" i="3"/>
  <c r="B17" i="3"/>
  <c r="F18" i="3"/>
  <c r="B21" i="3"/>
  <c r="F22" i="3"/>
  <c r="B25" i="3"/>
  <c r="F26" i="3"/>
  <c r="B29" i="3"/>
  <c r="F30" i="3"/>
  <c r="B33" i="3"/>
  <c r="F34" i="3"/>
  <c r="B37" i="3"/>
  <c r="F38" i="3"/>
  <c r="M25" i="4"/>
  <c r="M29" i="4"/>
  <c r="D12" i="2"/>
  <c r="D16" i="2"/>
  <c r="D20" i="2"/>
  <c r="D24" i="2"/>
  <c r="D28" i="2"/>
  <c r="D32" i="2"/>
  <c r="D36" i="2"/>
  <c r="C9" i="3"/>
  <c r="C13" i="3"/>
  <c r="C17" i="3"/>
  <c r="C21" i="3"/>
  <c r="C25" i="3"/>
  <c r="C29" i="3"/>
  <c r="C33" i="3"/>
  <c r="C37" i="3"/>
  <c r="B10" i="4"/>
  <c r="F11" i="4"/>
  <c r="B14" i="4"/>
  <c r="F15" i="4"/>
  <c r="B18" i="4"/>
  <c r="F19" i="4"/>
  <c r="B22" i="4"/>
  <c r="F23" i="4"/>
  <c r="B26" i="4"/>
  <c r="F27" i="4"/>
  <c r="B30" i="4"/>
  <c r="F31" i="4"/>
  <c r="M31" i="4" s="1"/>
  <c r="B34" i="4"/>
  <c r="F35" i="4"/>
  <c r="B38" i="4"/>
  <c r="E12" i="2"/>
  <c r="E16" i="2"/>
  <c r="E20" i="2"/>
  <c r="E24" i="2"/>
  <c r="E28" i="2"/>
  <c r="E32" i="2"/>
  <c r="E36" i="2"/>
  <c r="D9" i="3"/>
  <c r="D13" i="3"/>
  <c r="D17" i="3"/>
  <c r="D21" i="3"/>
  <c r="D25" i="3"/>
  <c r="D29" i="3"/>
  <c r="D33" i="3"/>
  <c r="D37" i="3"/>
  <c r="C10" i="4"/>
  <c r="C14" i="4"/>
  <c r="C18" i="4"/>
  <c r="C22" i="4"/>
  <c r="C26" i="4"/>
  <c r="C30" i="4"/>
  <c r="C34" i="4"/>
  <c r="C38" i="4"/>
  <c r="F12" i="2"/>
  <c r="F16" i="2"/>
  <c r="F20" i="2"/>
  <c r="F24" i="2"/>
  <c r="F28" i="2"/>
  <c r="F32" i="2"/>
  <c r="F36" i="2"/>
  <c r="D10" i="4"/>
  <c r="D14" i="4"/>
  <c r="D18" i="4"/>
  <c r="D22" i="4"/>
  <c r="D26" i="4"/>
  <c r="D30" i="4"/>
  <c r="D34" i="4"/>
  <c r="D38" i="4"/>
  <c r="G8" i="4"/>
  <c r="E15" i="2"/>
  <c r="E19" i="2"/>
  <c r="E23" i="2"/>
  <c r="E27" i="2"/>
  <c r="E31" i="2"/>
  <c r="E35" i="2"/>
  <c r="D12" i="3"/>
  <c r="I12" i="3" s="1"/>
  <c r="D16" i="3"/>
  <c r="G16" i="3" s="1"/>
  <c r="D20" i="3"/>
  <c r="G20" i="3" s="1"/>
  <c r="D24" i="3"/>
  <c r="M24" i="3" s="1"/>
  <c r="D28" i="3"/>
  <c r="G28" i="3" s="1"/>
  <c r="D32" i="3"/>
  <c r="G32" i="3" s="1"/>
  <c r="D36" i="3"/>
  <c r="G36" i="3" s="1"/>
  <c r="C13" i="4"/>
  <c r="C17" i="4"/>
  <c r="G17" i="4" s="1"/>
  <c r="C21" i="4"/>
  <c r="G21" i="4" s="1"/>
  <c r="C25" i="4"/>
  <c r="G25" i="4" s="1"/>
  <c r="C29" i="4"/>
  <c r="G29" i="4" s="1"/>
  <c r="C33" i="4"/>
  <c r="M33" i="4" s="1"/>
  <c r="C37" i="4"/>
  <c r="M37" i="4" s="1"/>
  <c r="F11" i="2"/>
  <c r="F15" i="2"/>
  <c r="F19" i="2"/>
  <c r="F23" i="2"/>
  <c r="F27" i="2"/>
  <c r="F31" i="2"/>
  <c r="D9" i="4"/>
  <c r="G9" i="4" s="1"/>
  <c r="D13" i="4"/>
  <c r="M13" i="4" s="1"/>
  <c r="D17" i="4"/>
  <c r="D21" i="4"/>
  <c r="D25" i="4"/>
  <c r="D29" i="4"/>
  <c r="D33" i="4"/>
  <c r="C10" i="2"/>
  <c r="C14" i="2"/>
  <c r="C18" i="2"/>
  <c r="C22" i="2"/>
  <c r="C26" i="2"/>
  <c r="C30" i="2"/>
  <c r="C34" i="2"/>
  <c r="B11" i="3"/>
  <c r="F12" i="3"/>
  <c r="B15" i="3"/>
  <c r="F16" i="3"/>
  <c r="B19" i="3"/>
  <c r="F20" i="3"/>
  <c r="B23" i="3"/>
  <c r="F24" i="3"/>
  <c r="G24" i="3" s="1"/>
  <c r="B27" i="3"/>
  <c r="F28" i="3"/>
  <c r="B31" i="3"/>
  <c r="F32" i="3"/>
  <c r="D10" i="2"/>
  <c r="D14" i="2"/>
  <c r="D18" i="2"/>
  <c r="D22" i="2"/>
  <c r="D26" i="2"/>
  <c r="D30" i="2"/>
  <c r="D34" i="2"/>
  <c r="C11" i="3"/>
  <c r="C15" i="3"/>
  <c r="C19" i="3"/>
  <c r="C23" i="3"/>
  <c r="C27" i="3"/>
  <c r="C31" i="3"/>
  <c r="F9" i="4"/>
  <c r="M9" i="4" s="1"/>
  <c r="B12" i="4"/>
  <c r="F13" i="4"/>
  <c r="B16" i="4"/>
  <c r="F17" i="4"/>
  <c r="M17" i="4" s="1"/>
  <c r="B20" i="4"/>
  <c r="F21" i="4"/>
  <c r="B24" i="4"/>
  <c r="F25" i="4"/>
  <c r="B28" i="4"/>
  <c r="F29" i="4"/>
  <c r="B32" i="4"/>
  <c r="F33" i="4"/>
  <c r="E18" i="2"/>
  <c r="E22" i="2"/>
  <c r="E26" i="2"/>
  <c r="E30" i="2"/>
  <c r="E34" i="2"/>
  <c r="D11" i="3"/>
  <c r="D15" i="3"/>
  <c r="D19" i="3"/>
  <c r="D23" i="3"/>
  <c r="D27" i="3"/>
  <c r="D31" i="3"/>
  <c r="C12" i="4"/>
  <c r="C16" i="4"/>
  <c r="C20" i="4"/>
  <c r="C24" i="4"/>
  <c r="C28" i="4"/>
  <c r="C32" i="4"/>
  <c r="H20" i="3" l="1"/>
  <c r="J20" i="3" s="1"/>
  <c r="L20" i="3"/>
  <c r="C22" i="5" s="1"/>
  <c r="K20" i="3"/>
  <c r="H16" i="3"/>
  <c r="J16" i="3" s="1"/>
  <c r="L16" i="3"/>
  <c r="C26" i="5" s="1"/>
  <c r="K16" i="3"/>
  <c r="L29" i="4"/>
  <c r="D13" i="5" s="1"/>
  <c r="K29" i="4"/>
  <c r="I29" i="4"/>
  <c r="H29" i="4"/>
  <c r="J29" i="4" s="1"/>
  <c r="L35" i="4"/>
  <c r="D7" i="5" s="1"/>
  <c r="K35" i="4"/>
  <c r="I35" i="4"/>
  <c r="H35" i="4"/>
  <c r="J35" i="4" s="1"/>
  <c r="L25" i="4"/>
  <c r="D17" i="5" s="1"/>
  <c r="K25" i="4"/>
  <c r="I25" i="4"/>
  <c r="H25" i="4"/>
  <c r="J25" i="4" s="1"/>
  <c r="H24" i="3"/>
  <c r="J24" i="3" s="1"/>
  <c r="L24" i="3"/>
  <c r="C18" i="5" s="1"/>
  <c r="K24" i="3"/>
  <c r="L21" i="4"/>
  <c r="D21" i="5" s="1"/>
  <c r="K21" i="4"/>
  <c r="I21" i="4"/>
  <c r="H21" i="4"/>
  <c r="J21" i="4" s="1"/>
  <c r="L27" i="4"/>
  <c r="D15" i="5" s="1"/>
  <c r="K27" i="4"/>
  <c r="I27" i="4"/>
  <c r="H27" i="4"/>
  <c r="J27" i="4" s="1"/>
  <c r="L17" i="4"/>
  <c r="D25" i="5" s="1"/>
  <c r="K17" i="4"/>
  <c r="I17" i="4"/>
  <c r="H17" i="4"/>
  <c r="J17" i="4" s="1"/>
  <c r="H36" i="3"/>
  <c r="J36" i="3" s="1"/>
  <c r="L36" i="3"/>
  <c r="C6" i="5" s="1"/>
  <c r="K36" i="3"/>
  <c r="H32" i="3"/>
  <c r="J32" i="3" s="1"/>
  <c r="L32" i="3"/>
  <c r="C10" i="5" s="1"/>
  <c r="K32" i="3"/>
  <c r="L36" i="4"/>
  <c r="D6" i="5" s="1"/>
  <c r="K36" i="4"/>
  <c r="I36" i="4"/>
  <c r="H36" i="4"/>
  <c r="J36" i="4" s="1"/>
  <c r="L9" i="4"/>
  <c r="D33" i="5" s="1"/>
  <c r="K9" i="4"/>
  <c r="I9" i="4"/>
  <c r="H9" i="4"/>
  <c r="J9" i="4" s="1"/>
  <c r="H28" i="3"/>
  <c r="J28" i="3" s="1"/>
  <c r="L28" i="3"/>
  <c r="C14" i="5" s="1"/>
  <c r="K28" i="3"/>
  <c r="M24" i="4"/>
  <c r="G24" i="4"/>
  <c r="M11" i="3"/>
  <c r="I11" i="3"/>
  <c r="G11" i="3"/>
  <c r="G38" i="4"/>
  <c r="M38" i="4"/>
  <c r="M21" i="2"/>
  <c r="I21" i="2"/>
  <c r="G21" i="2"/>
  <c r="I27" i="2"/>
  <c r="G27" i="2"/>
  <c r="M27" i="2"/>
  <c r="G15" i="5" s="1"/>
  <c r="H15" i="5" s="1"/>
  <c r="I17" i="3"/>
  <c r="M17" i="3"/>
  <c r="G17" i="3"/>
  <c r="M10" i="3"/>
  <c r="I10" i="3"/>
  <c r="G10" i="3"/>
  <c r="G13" i="4"/>
  <c r="M25" i="2"/>
  <c r="I25" i="2"/>
  <c r="G25" i="2"/>
  <c r="I31" i="2"/>
  <c r="G31" i="2"/>
  <c r="M31" i="2"/>
  <c r="G11" i="5" s="1"/>
  <c r="H11" i="5" s="1"/>
  <c r="I13" i="3"/>
  <c r="M13" i="3"/>
  <c r="G13" i="3"/>
  <c r="M38" i="3"/>
  <c r="I38" i="3"/>
  <c r="G38" i="3"/>
  <c r="M12" i="3"/>
  <c r="M33" i="2"/>
  <c r="I33" i="2"/>
  <c r="G33" i="2"/>
  <c r="M10" i="2"/>
  <c r="I10" i="2"/>
  <c r="G10" i="2"/>
  <c r="G35" i="3"/>
  <c r="I35" i="2"/>
  <c r="G35" i="2"/>
  <c r="M35" i="2"/>
  <c r="G7" i="5" s="1"/>
  <c r="H7" i="5" s="1"/>
  <c r="M16" i="4"/>
  <c r="G16" i="4"/>
  <c r="G30" i="4"/>
  <c r="M30" i="4"/>
  <c r="G12" i="3"/>
  <c r="M37" i="2"/>
  <c r="I37" i="2"/>
  <c r="G37" i="2"/>
  <c r="M14" i="2"/>
  <c r="I14" i="2"/>
  <c r="G14" i="2"/>
  <c r="I9" i="3"/>
  <c r="M9" i="3"/>
  <c r="G9" i="3"/>
  <c r="M34" i="3"/>
  <c r="I34" i="3"/>
  <c r="G34" i="3"/>
  <c r="G23" i="4"/>
  <c r="I12" i="2"/>
  <c r="M12" i="2"/>
  <c r="G12" i="2"/>
  <c r="M18" i="2"/>
  <c r="I18" i="2"/>
  <c r="G18" i="2"/>
  <c r="M12" i="4"/>
  <c r="G12" i="4"/>
  <c r="M31" i="3"/>
  <c r="I31" i="3"/>
  <c r="G31" i="3"/>
  <c r="G26" i="4"/>
  <c r="M26" i="4"/>
  <c r="M16" i="2"/>
  <c r="G26" i="5" s="1"/>
  <c r="H26" i="5" s="1"/>
  <c r="I16" i="2"/>
  <c r="G16" i="2"/>
  <c r="M22" i="2"/>
  <c r="G20" i="5" s="1"/>
  <c r="H20" i="5" s="1"/>
  <c r="I22" i="2"/>
  <c r="G22" i="2"/>
  <c r="G15" i="4"/>
  <c r="I37" i="3"/>
  <c r="M37" i="3"/>
  <c r="G37" i="3"/>
  <c r="M30" i="3"/>
  <c r="I30" i="3"/>
  <c r="G30" i="3"/>
  <c r="G33" i="4"/>
  <c r="F32" i="5"/>
  <c r="D46" i="1"/>
  <c r="M20" i="2"/>
  <c r="I20" i="2"/>
  <c r="G20" i="2"/>
  <c r="M26" i="2"/>
  <c r="G16" i="5" s="1"/>
  <c r="H16" i="5" s="1"/>
  <c r="I26" i="2"/>
  <c r="G26" i="2"/>
  <c r="M27" i="3"/>
  <c r="I27" i="3"/>
  <c r="G27" i="3"/>
  <c r="G22" i="4"/>
  <c r="M22" i="4"/>
  <c r="G19" i="4"/>
  <c r="M24" i="2"/>
  <c r="G18" i="5" s="1"/>
  <c r="H18" i="5" s="1"/>
  <c r="I24" i="2"/>
  <c r="G24" i="2"/>
  <c r="M30" i="2"/>
  <c r="G12" i="5" s="1"/>
  <c r="H12" i="5" s="1"/>
  <c r="I30" i="2"/>
  <c r="G30" i="2"/>
  <c r="G37" i="4"/>
  <c r="M29" i="2"/>
  <c r="G13" i="5" s="1"/>
  <c r="H13" i="5" s="1"/>
  <c r="I29" i="2"/>
  <c r="G29" i="2"/>
  <c r="I33" i="3"/>
  <c r="M33" i="3"/>
  <c r="G33" i="3"/>
  <c r="M26" i="3"/>
  <c r="I26" i="3"/>
  <c r="G26" i="3"/>
  <c r="G11" i="4"/>
  <c r="M28" i="2"/>
  <c r="I28" i="2"/>
  <c r="G28" i="2"/>
  <c r="M34" i="2"/>
  <c r="G8" i="5" s="1"/>
  <c r="H8" i="5" s="1"/>
  <c r="I34" i="2"/>
  <c r="G34" i="2"/>
  <c r="I28" i="3"/>
  <c r="M23" i="3"/>
  <c r="I23" i="3"/>
  <c r="G23" i="3"/>
  <c r="G18" i="4"/>
  <c r="M18" i="4"/>
  <c r="M32" i="2"/>
  <c r="I32" i="2"/>
  <c r="G32" i="2"/>
  <c r="M38" i="2"/>
  <c r="I38" i="2"/>
  <c r="G38" i="2"/>
  <c r="M28" i="3"/>
  <c r="L31" i="4"/>
  <c r="D11" i="5" s="1"/>
  <c r="K31" i="4"/>
  <c r="I31" i="4"/>
  <c r="H31" i="4"/>
  <c r="J31" i="4" s="1"/>
  <c r="I29" i="3"/>
  <c r="M29" i="3"/>
  <c r="G29" i="3"/>
  <c r="M22" i="3"/>
  <c r="I22" i="3"/>
  <c r="G22" i="3"/>
  <c r="I32" i="3"/>
  <c r="I16" i="3"/>
  <c r="M36" i="2"/>
  <c r="G6" i="5" s="1"/>
  <c r="H6" i="5" s="1"/>
  <c r="I36" i="2"/>
  <c r="G36" i="2"/>
  <c r="M32" i="4"/>
  <c r="G32" i="4"/>
  <c r="M19" i="3"/>
  <c r="I19" i="3"/>
  <c r="G19" i="3"/>
  <c r="G14" i="4"/>
  <c r="M14" i="4"/>
  <c r="I20" i="3"/>
  <c r="M32" i="3"/>
  <c r="M16" i="3"/>
  <c r="G11" i="2"/>
  <c r="M11" i="2"/>
  <c r="G31" i="5" s="1"/>
  <c r="H31" i="5" s="1"/>
  <c r="I11" i="2"/>
  <c r="I25" i="3"/>
  <c r="M25" i="3"/>
  <c r="G25" i="3"/>
  <c r="M18" i="3"/>
  <c r="I18" i="3"/>
  <c r="G18" i="3"/>
  <c r="M20" i="3"/>
  <c r="M9" i="2"/>
  <c r="G33" i="5" s="1"/>
  <c r="H33" i="5" s="1"/>
  <c r="I9" i="2"/>
  <c r="G9" i="2"/>
  <c r="G15" i="2"/>
  <c r="M15" i="2"/>
  <c r="I15" i="2"/>
  <c r="I36" i="3"/>
  <c r="M20" i="4"/>
  <c r="G20" i="4"/>
  <c r="M28" i="4"/>
  <c r="G28" i="4"/>
  <c r="M15" i="3"/>
  <c r="I15" i="3"/>
  <c r="G15" i="3"/>
  <c r="G10" i="4"/>
  <c r="M10" i="4"/>
  <c r="M13" i="2"/>
  <c r="G29" i="5" s="1"/>
  <c r="H29" i="5" s="1"/>
  <c r="I13" i="2"/>
  <c r="G13" i="2"/>
  <c r="I19" i="2"/>
  <c r="G19" i="2"/>
  <c r="M19" i="2"/>
  <c r="M36" i="3"/>
  <c r="D52" i="1"/>
  <c r="B22" i="1"/>
  <c r="C21" i="1"/>
  <c r="G34" i="4"/>
  <c r="M34" i="4"/>
  <c r="I21" i="3"/>
  <c r="M21" i="3"/>
  <c r="G21" i="3"/>
  <c r="M14" i="3"/>
  <c r="I14" i="3"/>
  <c r="G14" i="3"/>
  <c r="M17" i="2"/>
  <c r="G25" i="5" s="1"/>
  <c r="H25" i="5" s="1"/>
  <c r="I17" i="2"/>
  <c r="G17" i="2"/>
  <c r="I23" i="2"/>
  <c r="G23" i="2"/>
  <c r="M23" i="2"/>
  <c r="G19" i="5" s="1"/>
  <c r="H19" i="5" s="1"/>
  <c r="L16" i="4" l="1"/>
  <c r="D26" i="5" s="1"/>
  <c r="K16" i="4"/>
  <c r="I16" i="4"/>
  <c r="H16" i="4"/>
  <c r="J16" i="4" s="1"/>
  <c r="L21" i="3"/>
  <c r="C21" i="5" s="1"/>
  <c r="K21" i="3"/>
  <c r="H21" i="3"/>
  <c r="J21" i="3" s="1"/>
  <c r="K10" i="4"/>
  <c r="I10" i="4"/>
  <c r="H10" i="4"/>
  <c r="J10" i="4" s="1"/>
  <c r="L10" i="4"/>
  <c r="D32" i="5" s="1"/>
  <c r="L18" i="3"/>
  <c r="C24" i="5" s="1"/>
  <c r="H18" i="3"/>
  <c r="J18" i="3" s="1"/>
  <c r="K18" i="3"/>
  <c r="L30" i="2"/>
  <c r="B12" i="5" s="1"/>
  <c r="E12" i="5" s="1"/>
  <c r="K30" i="2"/>
  <c r="H30" i="2"/>
  <c r="J30" i="2" s="1"/>
  <c r="L34" i="3"/>
  <c r="C8" i="5" s="1"/>
  <c r="H34" i="3"/>
  <c r="J34" i="3" s="1"/>
  <c r="K34" i="3"/>
  <c r="H27" i="2"/>
  <c r="J27" i="2" s="1"/>
  <c r="K27" i="2"/>
  <c r="L27" i="2"/>
  <c r="B15" i="5" s="1"/>
  <c r="K30" i="4"/>
  <c r="I30" i="4"/>
  <c r="H30" i="4"/>
  <c r="J30" i="4" s="1"/>
  <c r="L30" i="4"/>
  <c r="D12" i="5" s="1"/>
  <c r="L15" i="3"/>
  <c r="C27" i="5" s="1"/>
  <c r="K15" i="3"/>
  <c r="H15" i="3"/>
  <c r="J15" i="3" s="1"/>
  <c r="L32" i="4"/>
  <c r="D10" i="5" s="1"/>
  <c r="K32" i="4"/>
  <c r="I32" i="4"/>
  <c r="H32" i="4"/>
  <c r="J32" i="4" s="1"/>
  <c r="G22" i="5"/>
  <c r="H22" i="5" s="1"/>
  <c r="L28" i="2"/>
  <c r="B14" i="5" s="1"/>
  <c r="E14" i="5" s="1"/>
  <c r="K28" i="2"/>
  <c r="H28" i="2"/>
  <c r="J28" i="2" s="1"/>
  <c r="F31" i="5"/>
  <c r="D45" i="1"/>
  <c r="H35" i="2"/>
  <c r="J35" i="2" s="1"/>
  <c r="K35" i="2"/>
  <c r="L35" i="2"/>
  <c r="B7" i="5" s="1"/>
  <c r="H21" i="2"/>
  <c r="J21" i="2" s="1"/>
  <c r="K21" i="2"/>
  <c r="L21" i="2"/>
  <c r="B21" i="5" s="1"/>
  <c r="E21" i="5" s="1"/>
  <c r="L37" i="4"/>
  <c r="D5" i="5" s="1"/>
  <c r="K37" i="4"/>
  <c r="I37" i="4"/>
  <c r="H37" i="4"/>
  <c r="J37" i="4" s="1"/>
  <c r="L25" i="3"/>
  <c r="C17" i="5" s="1"/>
  <c r="K25" i="3"/>
  <c r="H25" i="3"/>
  <c r="J25" i="3" s="1"/>
  <c r="L36" i="2"/>
  <c r="B6" i="5" s="1"/>
  <c r="E6" i="5" s="1"/>
  <c r="K36" i="2"/>
  <c r="H36" i="2"/>
  <c r="J36" i="2" s="1"/>
  <c r="L38" i="2"/>
  <c r="B4" i="5" s="1"/>
  <c r="K38" i="2"/>
  <c r="H38" i="2"/>
  <c r="J38" i="2" s="1"/>
  <c r="L24" i="2"/>
  <c r="B18" i="5" s="1"/>
  <c r="K24" i="2"/>
  <c r="H24" i="2"/>
  <c r="J24" i="2" s="1"/>
  <c r="K26" i="4"/>
  <c r="I26" i="4"/>
  <c r="H26" i="4"/>
  <c r="J26" i="4" s="1"/>
  <c r="L26" i="4"/>
  <c r="D16" i="5" s="1"/>
  <c r="L9" i="3"/>
  <c r="C33" i="5" s="1"/>
  <c r="K9" i="3"/>
  <c r="H9" i="3"/>
  <c r="J9" i="3" s="1"/>
  <c r="H31" i="2"/>
  <c r="J31" i="2" s="1"/>
  <c r="K31" i="2"/>
  <c r="L31" i="2"/>
  <c r="B11" i="5" s="1"/>
  <c r="E11" i="5" s="1"/>
  <c r="K34" i="4"/>
  <c r="I34" i="4"/>
  <c r="H34" i="4"/>
  <c r="J34" i="4" s="1"/>
  <c r="L34" i="4"/>
  <c r="D8" i="5" s="1"/>
  <c r="L28" i="4"/>
  <c r="D14" i="5" s="1"/>
  <c r="K28" i="4"/>
  <c r="I28" i="4"/>
  <c r="H28" i="4"/>
  <c r="J28" i="4" s="1"/>
  <c r="G14" i="5"/>
  <c r="H14" i="5" s="1"/>
  <c r="L33" i="4"/>
  <c r="D9" i="5" s="1"/>
  <c r="K33" i="4"/>
  <c r="I33" i="4"/>
  <c r="H33" i="4"/>
  <c r="J33" i="4" s="1"/>
  <c r="L31" i="3"/>
  <c r="C11" i="5" s="1"/>
  <c r="K31" i="3"/>
  <c r="H31" i="3"/>
  <c r="J31" i="3" s="1"/>
  <c r="L35" i="3"/>
  <c r="C7" i="5" s="1"/>
  <c r="K35" i="3"/>
  <c r="H35" i="3"/>
  <c r="J35" i="3" s="1"/>
  <c r="G21" i="5"/>
  <c r="H21" i="5" s="1"/>
  <c r="L20" i="2"/>
  <c r="B22" i="5" s="1"/>
  <c r="E22" i="5" s="1"/>
  <c r="K20" i="2"/>
  <c r="H20" i="2"/>
  <c r="J20" i="2" s="1"/>
  <c r="G4" i="5"/>
  <c r="H4" i="5" s="1"/>
  <c r="L11" i="4"/>
  <c r="D31" i="5" s="1"/>
  <c r="K11" i="4"/>
  <c r="I11" i="4"/>
  <c r="H11" i="4"/>
  <c r="J11" i="4" s="1"/>
  <c r="L30" i="3"/>
  <c r="C12" i="5" s="1"/>
  <c r="H30" i="3"/>
  <c r="J30" i="3" s="1"/>
  <c r="K30" i="3"/>
  <c r="L10" i="2"/>
  <c r="B32" i="5" s="1"/>
  <c r="K10" i="2"/>
  <c r="H10" i="2"/>
  <c r="J10" i="2" s="1"/>
  <c r="H25" i="2"/>
  <c r="J25" i="2" s="1"/>
  <c r="L25" i="2"/>
  <c r="B17" i="5" s="1"/>
  <c r="E17" i="5" s="1"/>
  <c r="K25" i="2"/>
  <c r="L19" i="3"/>
  <c r="C23" i="5" s="1"/>
  <c r="K19" i="3"/>
  <c r="H19" i="3"/>
  <c r="J19" i="3" s="1"/>
  <c r="L13" i="3"/>
  <c r="C29" i="5" s="1"/>
  <c r="K13" i="3"/>
  <c r="H13" i="3"/>
  <c r="J13" i="3" s="1"/>
  <c r="E52" i="1"/>
  <c r="C22" i="1"/>
  <c r="B23" i="1"/>
  <c r="L20" i="4"/>
  <c r="D22" i="5" s="1"/>
  <c r="K20" i="4"/>
  <c r="I20" i="4"/>
  <c r="H20" i="4"/>
  <c r="J20" i="4" s="1"/>
  <c r="L32" i="2"/>
  <c r="B10" i="5" s="1"/>
  <c r="E10" i="5" s="1"/>
  <c r="K32" i="2"/>
  <c r="H32" i="2"/>
  <c r="J32" i="2" s="1"/>
  <c r="L26" i="3"/>
  <c r="C16" i="5" s="1"/>
  <c r="H26" i="3"/>
  <c r="J26" i="3" s="1"/>
  <c r="K26" i="3"/>
  <c r="L19" i="4"/>
  <c r="D23" i="5" s="1"/>
  <c r="K19" i="4"/>
  <c r="I19" i="4"/>
  <c r="H19" i="4"/>
  <c r="J19" i="4" s="1"/>
  <c r="L14" i="2"/>
  <c r="B28" i="5" s="1"/>
  <c r="K14" i="2"/>
  <c r="H14" i="2"/>
  <c r="J14" i="2" s="1"/>
  <c r="K38" i="4"/>
  <c r="I38" i="4"/>
  <c r="H38" i="4"/>
  <c r="J38" i="4" s="1"/>
  <c r="L38" i="4"/>
  <c r="D4" i="5" s="1"/>
  <c r="L16" i="2"/>
  <c r="B26" i="5" s="1"/>
  <c r="E26" i="5" s="1"/>
  <c r="K16" i="2"/>
  <c r="H16" i="2"/>
  <c r="J16" i="2" s="1"/>
  <c r="L12" i="4"/>
  <c r="D30" i="5" s="1"/>
  <c r="K12" i="4"/>
  <c r="I12" i="4"/>
  <c r="H12" i="4"/>
  <c r="J12" i="4" s="1"/>
  <c r="G32" i="5"/>
  <c r="H32" i="5" s="1"/>
  <c r="G17" i="5"/>
  <c r="H17" i="5" s="1"/>
  <c r="L11" i="3"/>
  <c r="C31" i="5" s="1"/>
  <c r="K11" i="3"/>
  <c r="H11" i="3"/>
  <c r="J11" i="3" s="1"/>
  <c r="H23" i="2"/>
  <c r="J23" i="2" s="1"/>
  <c r="K23" i="2"/>
  <c r="L23" i="2"/>
  <c r="B19" i="5" s="1"/>
  <c r="H11" i="2"/>
  <c r="J11" i="2" s="1"/>
  <c r="K11" i="2"/>
  <c r="L11" i="2"/>
  <c r="B31" i="5" s="1"/>
  <c r="E31" i="5" s="1"/>
  <c r="L22" i="3"/>
  <c r="C20" i="5" s="1"/>
  <c r="H22" i="3"/>
  <c r="J22" i="3" s="1"/>
  <c r="K22" i="3"/>
  <c r="G10" i="5"/>
  <c r="H10" i="5" s="1"/>
  <c r="K22" i="4"/>
  <c r="I22" i="4"/>
  <c r="H22" i="4"/>
  <c r="J22" i="4" s="1"/>
  <c r="L22" i="4"/>
  <c r="D20" i="5" s="1"/>
  <c r="L37" i="3"/>
  <c r="C5" i="5" s="1"/>
  <c r="K37" i="3"/>
  <c r="H37" i="3"/>
  <c r="J37" i="3" s="1"/>
  <c r="G28" i="5"/>
  <c r="H28" i="5" s="1"/>
  <c r="H33" i="2"/>
  <c r="J33" i="2" s="1"/>
  <c r="L33" i="2"/>
  <c r="B9" i="5" s="1"/>
  <c r="E9" i="5" s="1"/>
  <c r="K33" i="2"/>
  <c r="L13" i="4"/>
  <c r="D29" i="5" s="1"/>
  <c r="K13" i="4"/>
  <c r="I13" i="4"/>
  <c r="H13" i="4"/>
  <c r="J13" i="4" s="1"/>
  <c r="G23" i="5"/>
  <c r="H23" i="5" s="1"/>
  <c r="L33" i="3"/>
  <c r="C9" i="5" s="1"/>
  <c r="K33" i="3"/>
  <c r="H33" i="3"/>
  <c r="J33" i="3" s="1"/>
  <c r="L27" i="3"/>
  <c r="C15" i="5" s="1"/>
  <c r="K27" i="3"/>
  <c r="H27" i="3"/>
  <c r="J27" i="3" s="1"/>
  <c r="L18" i="2"/>
  <c r="B24" i="5" s="1"/>
  <c r="K18" i="2"/>
  <c r="H18" i="2"/>
  <c r="J18" i="2" s="1"/>
  <c r="H37" i="2"/>
  <c r="J37" i="2" s="1"/>
  <c r="L37" i="2"/>
  <c r="B5" i="5" s="1"/>
  <c r="E5" i="5" s="1"/>
  <c r="K37" i="2"/>
  <c r="L10" i="3"/>
  <c r="C32" i="5" s="1"/>
  <c r="H10" i="3"/>
  <c r="J10" i="3" s="1"/>
  <c r="K10" i="3"/>
  <c r="L23" i="4"/>
  <c r="D19" i="5" s="1"/>
  <c r="K23" i="4"/>
  <c r="I23" i="4"/>
  <c r="H23" i="4"/>
  <c r="J23" i="4" s="1"/>
  <c r="H17" i="2"/>
  <c r="J17" i="2" s="1"/>
  <c r="L17" i="2"/>
  <c r="B25" i="5" s="1"/>
  <c r="K17" i="2"/>
  <c r="H19" i="2"/>
  <c r="J19" i="2" s="1"/>
  <c r="K19" i="2"/>
  <c r="L19" i="2"/>
  <c r="B23" i="5" s="1"/>
  <c r="G27" i="5"/>
  <c r="H27" i="5" s="1"/>
  <c r="K18" i="4"/>
  <c r="I18" i="4"/>
  <c r="H18" i="4"/>
  <c r="J18" i="4" s="1"/>
  <c r="L18" i="4"/>
  <c r="D24" i="5" s="1"/>
  <c r="G9" i="5"/>
  <c r="H9" i="5" s="1"/>
  <c r="L24" i="4"/>
  <c r="D18" i="5" s="1"/>
  <c r="K24" i="4"/>
  <c r="I24" i="4"/>
  <c r="H24" i="4"/>
  <c r="J24" i="4" s="1"/>
  <c r="L34" i="2"/>
  <c r="B8" i="5" s="1"/>
  <c r="E8" i="5" s="1"/>
  <c r="K34" i="2"/>
  <c r="H34" i="2"/>
  <c r="J34" i="2" s="1"/>
  <c r="H15" i="2"/>
  <c r="J15" i="2" s="1"/>
  <c r="K15" i="2"/>
  <c r="L15" i="2"/>
  <c r="B27" i="5" s="1"/>
  <c r="E27" i="5" s="1"/>
  <c r="L29" i="3"/>
  <c r="C13" i="5" s="1"/>
  <c r="K29" i="3"/>
  <c r="H29" i="3"/>
  <c r="J29" i="3" s="1"/>
  <c r="L23" i="3"/>
  <c r="C19" i="5" s="1"/>
  <c r="K23" i="3"/>
  <c r="H23" i="3"/>
  <c r="J23" i="3" s="1"/>
  <c r="L15" i="4"/>
  <c r="D27" i="5" s="1"/>
  <c r="K15" i="4"/>
  <c r="I15" i="4"/>
  <c r="H15" i="4"/>
  <c r="J15" i="4" s="1"/>
  <c r="G24" i="5"/>
  <c r="H24" i="5" s="1"/>
  <c r="G5" i="5"/>
  <c r="H5" i="5" s="1"/>
  <c r="H13" i="2"/>
  <c r="J13" i="2" s="1"/>
  <c r="L13" i="2"/>
  <c r="B29" i="5" s="1"/>
  <c r="E29" i="5" s="1"/>
  <c r="K13" i="2"/>
  <c r="H9" i="2"/>
  <c r="J9" i="2" s="1"/>
  <c r="L9" i="2"/>
  <c r="B33" i="5" s="1"/>
  <c r="E33" i="5" s="1"/>
  <c r="K9" i="2"/>
  <c r="H29" i="2"/>
  <c r="J29" i="2" s="1"/>
  <c r="L29" i="2"/>
  <c r="B13" i="5" s="1"/>
  <c r="E13" i="5" s="1"/>
  <c r="K29" i="2"/>
  <c r="L26" i="2"/>
  <c r="B16" i="5" s="1"/>
  <c r="E16" i="5" s="1"/>
  <c r="K26" i="2"/>
  <c r="H26" i="2"/>
  <c r="J26" i="2" s="1"/>
  <c r="L22" i="2"/>
  <c r="B20" i="5" s="1"/>
  <c r="K22" i="2"/>
  <c r="H22" i="2"/>
  <c r="J22" i="2" s="1"/>
  <c r="L12" i="2"/>
  <c r="B30" i="5" s="1"/>
  <c r="K12" i="2"/>
  <c r="H12" i="2"/>
  <c r="J12" i="2" s="1"/>
  <c r="H12" i="3"/>
  <c r="J12" i="3" s="1"/>
  <c r="L12" i="3"/>
  <c r="C30" i="5" s="1"/>
  <c r="K12" i="3"/>
  <c r="L38" i="3"/>
  <c r="C4" i="5" s="1"/>
  <c r="H38" i="3"/>
  <c r="J38" i="3" s="1"/>
  <c r="K38" i="3"/>
  <c r="L17" i="3"/>
  <c r="C25" i="5" s="1"/>
  <c r="K17" i="3"/>
  <c r="H17" i="3"/>
  <c r="J17" i="3" s="1"/>
  <c r="L14" i="3"/>
  <c r="C28" i="5" s="1"/>
  <c r="H14" i="3"/>
  <c r="J14" i="3" s="1"/>
  <c r="K14" i="3"/>
  <c r="K14" i="4"/>
  <c r="I14" i="4"/>
  <c r="H14" i="4"/>
  <c r="J14" i="4" s="1"/>
  <c r="L14" i="4"/>
  <c r="D28" i="5" s="1"/>
  <c r="G30" i="5"/>
  <c r="H30" i="5" s="1"/>
  <c r="E18" i="5" l="1"/>
  <c r="E7" i="5"/>
  <c r="E23" i="5"/>
  <c r="E19" i="5"/>
  <c r="E4" i="5"/>
  <c r="E24" i="5"/>
  <c r="E32" i="5"/>
  <c r="D44" i="1"/>
  <c r="F30" i="5"/>
  <c r="E15" i="5"/>
  <c r="E30" i="5"/>
  <c r="E25" i="5"/>
  <c r="F52" i="1"/>
  <c r="B24" i="1"/>
  <c r="C23" i="1"/>
  <c r="E28" i="5"/>
  <c r="E20" i="5"/>
  <c r="G52" i="1" l="1"/>
  <c r="B25" i="1"/>
  <c r="C24" i="1"/>
  <c r="F29" i="5"/>
  <c r="D43" i="1"/>
  <c r="F28" i="5" l="1"/>
  <c r="D42" i="1"/>
  <c r="H52" i="1"/>
  <c r="C25" i="1"/>
  <c r="B26" i="1"/>
  <c r="I52" i="1" l="1"/>
  <c r="B27" i="1"/>
  <c r="C26" i="1"/>
  <c r="F27" i="5"/>
  <c r="D41" i="1"/>
  <c r="F26" i="5" l="1"/>
  <c r="D40" i="1"/>
  <c r="J52" i="1"/>
  <c r="B28" i="1"/>
  <c r="C27" i="1"/>
  <c r="K52" i="1" l="1"/>
  <c r="B29" i="1"/>
  <c r="C28" i="1"/>
  <c r="F25" i="5"/>
  <c r="D39" i="1"/>
  <c r="D38" i="1" l="1"/>
  <c r="F24" i="5"/>
  <c r="L52" i="1"/>
  <c r="C29" i="1"/>
  <c r="B30" i="1"/>
  <c r="M52" i="1" l="1"/>
  <c r="B31" i="1"/>
  <c r="C30" i="1"/>
  <c r="F23" i="5"/>
  <c r="D37" i="1"/>
  <c r="F22" i="5" l="1"/>
  <c r="D36" i="1"/>
  <c r="N52" i="1"/>
  <c r="B32" i="1"/>
  <c r="C31" i="1"/>
  <c r="O52" i="1" l="1"/>
  <c r="C32" i="1"/>
  <c r="B33" i="1"/>
  <c r="F21" i="5"/>
  <c r="D35" i="1"/>
  <c r="F20" i="5" l="1"/>
  <c r="D34" i="1"/>
  <c r="P52" i="1"/>
  <c r="B34" i="1"/>
  <c r="C33" i="1"/>
  <c r="B35" i="1" l="1"/>
  <c r="Q52" i="1"/>
  <c r="C34" i="1"/>
  <c r="F19" i="5"/>
  <c r="D33" i="1"/>
  <c r="F18" i="5" l="1"/>
  <c r="D32" i="1"/>
  <c r="B36" i="1"/>
  <c r="C35" i="1"/>
  <c r="R52" i="1"/>
  <c r="S52" i="1" l="1"/>
  <c r="C36" i="1"/>
  <c r="B37" i="1"/>
  <c r="F17" i="5"/>
  <c r="D31" i="1"/>
  <c r="T52" i="1" l="1"/>
  <c r="B38" i="1"/>
  <c r="C37" i="1"/>
  <c r="F16" i="5"/>
  <c r="D30" i="1"/>
  <c r="F15" i="5" l="1"/>
  <c r="D29" i="1"/>
  <c r="U52" i="1"/>
  <c r="B39" i="1"/>
  <c r="C38" i="1"/>
  <c r="V52" i="1" l="1"/>
  <c r="B40" i="1"/>
  <c r="C39" i="1"/>
  <c r="F14" i="5"/>
  <c r="D28" i="1"/>
  <c r="F13" i="5" l="1"/>
  <c r="D27" i="1"/>
  <c r="C40" i="1"/>
  <c r="B41" i="1"/>
  <c r="W52" i="1"/>
  <c r="C41" i="1" l="1"/>
  <c r="X52" i="1"/>
  <c r="B42" i="1"/>
  <c r="F12" i="5"/>
  <c r="D26" i="1"/>
  <c r="Y52" i="1" l="1"/>
  <c r="C42" i="1"/>
  <c r="B43" i="1"/>
  <c r="F11" i="5"/>
  <c r="D25" i="1"/>
  <c r="F10" i="5" l="1"/>
  <c r="D24" i="1"/>
  <c r="B44" i="1"/>
  <c r="Z52" i="1"/>
  <c r="C43" i="1"/>
  <c r="B45" i="1" l="1"/>
  <c r="AA52" i="1"/>
  <c r="C44" i="1"/>
  <c r="F9" i="5"/>
  <c r="D23" i="1"/>
  <c r="F8" i="5" l="1"/>
  <c r="D22" i="1"/>
  <c r="AB52" i="1"/>
  <c r="B46" i="1"/>
  <c r="C45" i="1"/>
  <c r="AC52" i="1" l="1"/>
  <c r="B47" i="1"/>
  <c r="C46" i="1"/>
  <c r="F7" i="5"/>
  <c r="D21" i="1"/>
  <c r="F6" i="5" l="1"/>
  <c r="D20" i="1"/>
  <c r="AD52" i="1"/>
  <c r="B48" i="1"/>
  <c r="C47" i="1"/>
  <c r="C48" i="1" l="1"/>
  <c r="AE52" i="1"/>
  <c r="F5" i="5"/>
  <c r="D19" i="1"/>
  <c r="F4" i="5" s="1"/>
</calcChain>
</file>

<file path=xl/sharedStrings.xml><?xml version="1.0" encoding="utf-8"?>
<sst xmlns="http://schemas.openxmlformats.org/spreadsheetml/2006/main" count="259" uniqueCount="126">
  <si>
    <t>Clause 6 - Sizing Calibration - Initial Threshold Setting</t>
  </si>
  <si>
    <t>Reference Fluid Dilution Calculator</t>
  </si>
  <si>
    <t>Diluted</t>
  </si>
  <si>
    <t>Captured</t>
  </si>
  <si>
    <t>RM</t>
  </si>
  <si>
    <t>Partistan 34D Lot 34D</t>
  </si>
  <si>
    <t>Target Concentration</t>
  </si>
  <si>
    <t>ml</t>
  </si>
  <si>
    <t>Date</t>
  </si>
  <si>
    <t>Fluid Density</t>
  </si>
  <si>
    <t>um(c)</t>
  </si>
  <si>
    <t>SRM2806D</t>
  </si>
  <si>
    <t>34D</t>
  </si>
  <si>
    <t>RM USED</t>
  </si>
  <si>
    <t>Counted</t>
  </si>
  <si>
    <t>Operator</t>
  </si>
  <si>
    <t>JMD</t>
  </si>
  <si>
    <t>APC Model</t>
  </si>
  <si>
    <t>REF</t>
  </si>
  <si>
    <t>Bottle Number</t>
  </si>
  <si>
    <t>B0</t>
  </si>
  <si>
    <t>B1</t>
  </si>
  <si>
    <t>B2</t>
  </si>
  <si>
    <t>B3</t>
  </si>
  <si>
    <t>APC S/N</t>
  </si>
  <si>
    <t>11171-00001</t>
  </si>
  <si>
    <t>Ref Fluid to Add / g</t>
  </si>
  <si>
    <t>Sensor Model</t>
  </si>
  <si>
    <t>Ref Fluid Added / g</t>
  </si>
  <si>
    <t>Sensor S/N</t>
  </si>
  <si>
    <t>Diluent to add / g</t>
  </si>
  <si>
    <t>Bottle Sampler</t>
  </si>
  <si>
    <t>BS110-HP D2 BS2044</t>
  </si>
  <si>
    <t>Diluent Added / g</t>
  </si>
  <si>
    <t>Final Concentration</t>
  </si>
  <si>
    <t>Threshold Noise</t>
  </si>
  <si>
    <t>Lowest threshold J</t>
  </si>
  <si>
    <t>Highest threshold H</t>
  </si>
  <si>
    <t>Threshold Factor K</t>
  </si>
  <si>
    <t>Threshold#</t>
  </si>
  <si>
    <t>Initial Value</t>
  </si>
  <si>
    <t>INT</t>
  </si>
  <si>
    <t>Reversed</t>
  </si>
  <si>
    <t>1.5x noise</t>
  </si>
  <si>
    <t>~30um</t>
  </si>
  <si>
    <t>INITIAL Thresholds to Load into Instrument</t>
  </si>
  <si>
    <t>Number</t>
  </si>
  <si>
    <t>Value</t>
  </si>
  <si>
    <t>TURN ON RAW COUNTS AND COINCIDENCE CORRECTION FOR THRESHOLD CALIBRATION</t>
  </si>
  <si>
    <t>Data Preprocessing and Quality Assessment per ISO 11171 Clause 6.6</t>
  </si>
  <si>
    <t>BOTTLE 1</t>
  </si>
  <si>
    <t>CHECK CALIBRATION THRESHOLDS ENTERED ON PARTICLE COUNTER</t>
  </si>
  <si>
    <t>Serial #</t>
  </si>
  <si>
    <t>11171-00009</t>
  </si>
  <si>
    <t>Dilution Ratio</t>
  </si>
  <si>
    <t>BOTTLE</t>
  </si>
  <si>
    <t>Portion 1</t>
  </si>
  <si>
    <t>Portion 2</t>
  </si>
  <si>
    <t>Portion 3</t>
  </si>
  <si>
    <t>Portion 4</t>
  </si>
  <si>
    <t>Portion 5</t>
  </si>
  <si>
    <t>X / ml</t>
  </si>
  <si>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TOTAL</t>
    </r>
  </si>
  <si>
    <t>CV</t>
  </si>
  <si>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QMAX</t>
    </r>
  </si>
  <si>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Q</t>
    </r>
  </si>
  <si>
    <r>
      <t>X̅</t>
    </r>
    <r>
      <rPr>
        <b/>
        <vertAlign val="subscript"/>
        <sz val="10"/>
        <rFont val="Arial"/>
        <family val="2"/>
      </rPr>
      <t>N</t>
    </r>
  </si>
  <si>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C</t>
    </r>
  </si>
  <si>
    <t>Scanned ml</t>
  </si>
  <si>
    <t>count_4</t>
  </si>
  <si>
    <t>count_5</t>
  </si>
  <si>
    <t>count_6</t>
  </si>
  <si>
    <t>count_7</t>
  </si>
  <si>
    <t>count_8</t>
  </si>
  <si>
    <t>count_9</t>
  </si>
  <si>
    <t>count_10</t>
  </si>
  <si>
    <t>count_11</t>
  </si>
  <si>
    <t>count_12</t>
  </si>
  <si>
    <t>count_13</t>
  </si>
  <si>
    <t>count_14</t>
  </si>
  <si>
    <t>count_15</t>
  </si>
  <si>
    <t>count_16</t>
  </si>
  <si>
    <t>count_17</t>
  </si>
  <si>
    <t>count_18</t>
  </si>
  <si>
    <t>count_19</t>
  </si>
  <si>
    <t>count_20</t>
  </si>
  <si>
    <t>count_21</t>
  </si>
  <si>
    <t>count_22</t>
  </si>
  <si>
    <t>count_23</t>
  </si>
  <si>
    <t>count_24</t>
  </si>
  <si>
    <t>count_25</t>
  </si>
  <si>
    <t>count_26</t>
  </si>
  <si>
    <t>count_27</t>
  </si>
  <si>
    <t>count_28</t>
  </si>
  <si>
    <t>count_29</t>
  </si>
  <si>
    <t>count_30</t>
  </si>
  <si>
    <t>count_38</t>
  </si>
  <si>
    <t>count_50</t>
  </si>
  <si>
    <t>count_70</t>
  </si>
  <si>
    <t>Table C.2</t>
  </si>
  <si>
    <t>Mean counted X</t>
  </si>
  <si>
    <r>
      <rPr>
        <sz val="10"/>
        <rFont val="Arial"/>
        <family val="2"/>
      </rPr>
      <t>C</t>
    </r>
    <r>
      <rPr>
        <vertAlign val="subscript"/>
        <sz val="10"/>
        <rFont val="Arial"/>
        <family val="2"/>
      </rPr>
      <t>V_MAX</t>
    </r>
  </si>
  <si>
    <t>X &gt;=</t>
  </si>
  <si>
    <t>X &lt;</t>
  </si>
  <si>
    <r>
      <rPr>
        <sz val="10"/>
        <rFont val="Arial"/>
        <family val="2"/>
      </rPr>
      <t>D</t>
    </r>
    <r>
      <rPr>
        <vertAlign val="subscript"/>
        <sz val="10"/>
        <rFont val="Arial"/>
        <family val="2"/>
      </rPr>
      <t>QMAX / SAMPLE</t>
    </r>
  </si>
  <si>
    <t>N=3</t>
  </si>
  <si>
    <t>N=6</t>
  </si>
  <si>
    <t>N=10</t>
  </si>
  <si>
    <t>N=20</t>
  </si>
  <si>
    <t>N=40</t>
  </si>
  <si>
    <t>NAME\mL</t>
  </si>
  <si>
    <t>BOTTLE 2</t>
  </si>
  <si>
    <t>BOTTLE 3</t>
  </si>
  <si>
    <r>
      <rPr>
        <sz val="10"/>
        <rFont val="Arial"/>
        <family val="2"/>
      </rPr>
      <t>X̅</t>
    </r>
    <r>
      <rPr>
        <vertAlign val="subscript"/>
        <sz val="11"/>
        <color rgb="FF000000"/>
        <rFont val="Calibri"/>
        <family val="2"/>
      </rPr>
      <t>N</t>
    </r>
    <r>
      <rPr>
        <sz val="11"/>
        <color rgb="FF000000"/>
        <rFont val="Calibri"/>
        <family val="2"/>
      </rPr>
      <t xml:space="preserve"> for First Sample</t>
    </r>
  </si>
  <si>
    <r>
      <rPr>
        <sz val="10"/>
        <rFont val="Arial"/>
        <family val="2"/>
      </rPr>
      <t>X̅</t>
    </r>
    <r>
      <rPr>
        <vertAlign val="subscript"/>
        <sz val="11"/>
        <color rgb="FF000000"/>
        <rFont val="Calibri"/>
        <family val="2"/>
      </rPr>
      <t>N</t>
    </r>
    <r>
      <rPr>
        <sz val="11"/>
        <color rgb="FF000000"/>
        <rFont val="Calibri"/>
        <family val="2"/>
      </rPr>
      <t xml:space="preserve"> for Second Sample</t>
    </r>
  </si>
  <si>
    <r>
      <rPr>
        <sz val="10"/>
        <rFont val="Arial"/>
        <family val="2"/>
      </rPr>
      <t>X̅</t>
    </r>
    <r>
      <rPr>
        <vertAlign val="subscript"/>
        <sz val="11"/>
        <color rgb="FF000000"/>
        <rFont val="Calibri"/>
        <family val="2"/>
      </rPr>
      <t>N</t>
    </r>
    <r>
      <rPr>
        <sz val="11"/>
        <color rgb="FF000000"/>
        <rFont val="Calibri"/>
        <family val="2"/>
      </rPr>
      <t xml:space="preserve"> for Third Sample</t>
    </r>
  </si>
  <si>
    <r>
      <t>Mean X̅</t>
    </r>
    <r>
      <rPr>
        <vertAlign val="subscript"/>
        <sz val="11"/>
        <color rgb="FF000000"/>
        <rFont val="Calibri"/>
        <family val="2"/>
      </rPr>
      <t>N</t>
    </r>
    <r>
      <rPr>
        <sz val="11"/>
        <color rgb="FF000000"/>
        <rFont val="Calibri"/>
        <family val="2"/>
      </rPr>
      <t xml:space="preserve"> </t>
    </r>
  </si>
  <si>
    <t>Threshold Voltage Setting</t>
  </si>
  <si>
    <t>Uncertainty
S</t>
  </si>
  <si>
    <t xml:space="preserve"> Particle Size</t>
  </si>
  <si>
    <t>Undiluted Particle Concentration</t>
  </si>
  <si>
    <t>Interpolated Threshold Voltage Setting</t>
  </si>
  <si>
    <t>particles per millilitre</t>
  </si>
  <si>
    <t>samples</t>
  </si>
  <si>
    <t>/ml</t>
  </si>
  <si>
    <t xml:space="preserve">µm(c)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</si>
</sst>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0.000"/>
    <numFmt numFmtId="167" formatCode="0.0"/>
  </numFmts>
  <fonts count="22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24"/>
      <color rgb="FFC00000"/>
      <name val="Arial Black"/>
      <family val="2"/>
    </font>
    <font>
      <sz val="12"/>
      <name val="Arial Black"/>
      <family val="2"/>
    </font>
    <font>
      <b/>
      <sz val="10"/>
      <name val="Arial"/>
      <family val="2"/>
    </font>
    <font>
      <b/>
      <sz val="12"/>
      <name val="Calibri"/>
      <family val="2"/>
    </font>
    <font>
      <sz val="10"/>
      <name val="Calibri"/>
      <family val="2"/>
    </font>
    <font>
      <sz val="10"/>
      <color theme="1"/>
      <name val="Arial"/>
      <family val="2"/>
      <scheme val="minor"/>
    </font>
    <font>
      <b/>
      <sz val="10"/>
      <name val="Calibri"/>
      <family val="2"/>
    </font>
    <font>
      <sz val="10"/>
      <color rgb="FF006600"/>
      <name val="Arial"/>
      <family val="2"/>
    </font>
    <font>
      <sz val="32"/>
      <name val="Arial"/>
      <family val="2"/>
    </font>
    <font>
      <b/>
      <sz val="10"/>
      <color rgb="FFFC5C0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i/>
      <sz val="10"/>
      <color rgb="FF808080"/>
      <name val="Arial"/>
      <family val="2"/>
    </font>
    <font>
      <b/>
      <i/>
      <sz val="10"/>
      <color rgb="FF808080"/>
      <name val="Arial"/>
      <family val="2"/>
    </font>
    <font>
      <b/>
      <sz val="20"/>
      <color rgb="FFFF0000"/>
      <name val="Arial"/>
      <family val="2"/>
    </font>
    <font>
      <vertAlign val="subscript"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0"/>
      <name val="Arial"/>
      <family val="2"/>
    </font>
    <font>
      <b/>
      <u/>
      <sz val="10"/>
      <color theme="4" tint="0.399975585192419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CCFFCC"/>
        <bgColor rgb="FFCCF4C6"/>
      </patternFill>
    </fill>
    <fill>
      <patternFill patternType="solid">
        <fgColor theme="2" tint="-4.9989318521683403E-2"/>
        <bgColor rgb="FFB3B3B3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5" tint="0.79998168889431442"/>
        <bgColor rgb="FFC0C0C0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0" fillId="3" borderId="0" applyBorder="0" applyAlignment="0" applyProtection="0"/>
    <xf numFmtId="0" fontId="1" fillId="2" borderId="0" applyNumberFormat="0" applyBorder="0" applyAlignment="0" applyProtection="0"/>
  </cellStyleXfs>
  <cellXfs count="9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64" fontId="5" fillId="0" borderId="3" xfId="1" applyNumberFormat="1" applyFont="1" applyBorder="1" applyAlignment="1">
      <alignment horizontal="right"/>
    </xf>
    <xf numFmtId="0" fontId="0" fillId="0" borderId="4" xfId="0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 vertical="center"/>
    </xf>
    <xf numFmtId="0" fontId="8" fillId="2" borderId="0" xfId="3" applyFont="1"/>
    <xf numFmtId="0" fontId="2" fillId="0" borderId="0" xfId="0" applyFont="1"/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6" xfId="0" applyBorder="1"/>
    <xf numFmtId="165" fontId="9" fillId="0" borderId="0" xfId="0" applyNumberFormat="1" applyFont="1" applyAlignment="1">
      <alignment horizontal="left"/>
    </xf>
    <xf numFmtId="0" fontId="5" fillId="0" borderId="5" xfId="0" applyFont="1" applyBorder="1" applyAlignment="1">
      <alignment horizontal="right"/>
    </xf>
    <xf numFmtId="165" fontId="7" fillId="0" borderId="0" xfId="0" applyNumberFormat="1" applyFont="1" applyAlignment="1">
      <alignment horizontal="left"/>
    </xf>
    <xf numFmtId="0" fontId="0" fillId="0" borderId="5" xfId="0" applyBorder="1"/>
    <xf numFmtId="1" fontId="0" fillId="0" borderId="0" xfId="0" applyNumberFormat="1"/>
    <xf numFmtId="0" fontId="9" fillId="0" borderId="0" xfId="0" applyFont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left"/>
    </xf>
    <xf numFmtId="165" fontId="0" fillId="0" borderId="0" xfId="0" applyNumberFormat="1" applyAlignment="1">
      <alignment horizontal="right" vertical="center"/>
    </xf>
    <xf numFmtId="2" fontId="2" fillId="0" borderId="0" xfId="0" applyNumberFormat="1" applyFont="1"/>
    <xf numFmtId="2" fontId="8" fillId="2" borderId="0" xfId="3" applyNumberFormat="1" applyFont="1"/>
    <xf numFmtId="0" fontId="0" fillId="0" borderId="0" xfId="0" applyAlignment="1">
      <alignment horizontal="left"/>
    </xf>
    <xf numFmtId="166" fontId="10" fillId="3" borderId="0" xfId="2" applyNumberFormat="1"/>
    <xf numFmtId="0" fontId="1" fillId="2" borderId="0" xfId="3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/>
    <xf numFmtId="0" fontId="0" fillId="0" borderId="7" xfId="0" applyBorder="1"/>
    <xf numFmtId="1" fontId="0" fillId="0" borderId="8" xfId="0" applyNumberFormat="1" applyBorder="1"/>
    <xf numFmtId="0" fontId="0" fillId="0" borderId="9" xfId="0" applyBorder="1"/>
    <xf numFmtId="0" fontId="10" fillId="3" borderId="1" xfId="2" applyBorder="1"/>
    <xf numFmtId="167" fontId="10" fillId="3" borderId="1" xfId="2" applyNumberFormat="1" applyBorder="1"/>
    <xf numFmtId="0" fontId="12" fillId="0" borderId="0" xfId="0" applyFont="1"/>
    <xf numFmtId="0" fontId="5" fillId="0" borderId="10" xfId="0" applyFont="1" applyBorder="1"/>
    <xf numFmtId="0" fontId="5" fillId="0" borderId="0" xfId="0" applyFont="1"/>
    <xf numFmtId="165" fontId="5" fillId="0" borderId="11" xfId="0" applyNumberFormat="1" applyFont="1" applyBorder="1"/>
    <xf numFmtId="0" fontId="11" fillId="0" borderId="0" xfId="0" applyFont="1"/>
    <xf numFmtId="0" fontId="5" fillId="0" borderId="11" xfId="0" applyFont="1" applyBorder="1" applyAlignment="1">
      <alignment horizontal="right"/>
    </xf>
    <xf numFmtId="165" fontId="0" fillId="0" borderId="0" xfId="0" applyNumberFormat="1"/>
    <xf numFmtId="0" fontId="5" fillId="0" borderId="12" xfId="0" applyFont="1" applyBorder="1" applyAlignment="1">
      <alignment horizontal="right" wrapText="1"/>
    </xf>
    <xf numFmtId="166" fontId="0" fillId="0" borderId="0" xfId="0" applyNumberFormat="1"/>
    <xf numFmtId="167" fontId="5" fillId="0" borderId="0" xfId="0" applyNumberFormat="1" applyFont="1" applyAlignment="1">
      <alignment horizontal="right"/>
    </xf>
    <xf numFmtId="164" fontId="0" fillId="0" borderId="0" xfId="0" applyNumberFormat="1"/>
    <xf numFmtId="167" fontId="5" fillId="0" borderId="0" xfId="0" applyNumberFormat="1" applyFont="1"/>
    <xf numFmtId="1" fontId="0" fillId="0" borderId="0" xfId="0" applyNumberFormat="1" applyAlignment="1">
      <alignment horizontal="right"/>
    </xf>
    <xf numFmtId="10" fontId="0" fillId="0" borderId="0" xfId="0" applyNumberFormat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12" xfId="0" applyFont="1" applyBorder="1" applyAlignment="1">
      <alignment horizontal="right"/>
    </xf>
    <xf numFmtId="0" fontId="15" fillId="0" borderId="0" xfId="0" applyFont="1"/>
    <xf numFmtId="0" fontId="16" fillId="0" borderId="0" xfId="0" applyFont="1" applyAlignment="1">
      <alignment horizontal="right"/>
    </xf>
    <xf numFmtId="0" fontId="16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0" fillId="4" borderId="21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wrapText="1"/>
    </xf>
    <xf numFmtId="0" fontId="5" fillId="5" borderId="21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 wrapText="1"/>
    </xf>
    <xf numFmtId="0" fontId="0" fillId="5" borderId="2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wrapText="1"/>
    </xf>
    <xf numFmtId="0" fontId="0" fillId="5" borderId="21" xfId="0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10" fontId="21" fillId="0" borderId="0" xfId="0" applyNumberFormat="1" applyFont="1" applyAlignment="1">
      <alignment horizontal="right"/>
    </xf>
    <xf numFmtId="167" fontId="0" fillId="6" borderId="12" xfId="0" applyNumberFormat="1" applyFill="1" applyBorder="1"/>
    <xf numFmtId="0" fontId="0" fillId="7" borderId="21" xfId="0" applyFill="1" applyBorder="1"/>
    <xf numFmtId="0" fontId="0" fillId="0" borderId="21" xfId="0" applyBorder="1"/>
    <xf numFmtId="1" fontId="5" fillId="0" borderId="21" xfId="0" applyNumberFormat="1" applyFont="1" applyBorder="1"/>
    <xf numFmtId="167" fontId="0" fillId="6" borderId="21" xfId="0" applyNumberFormat="1" applyFill="1" applyBorder="1"/>
    <xf numFmtId="3" fontId="0" fillId="0" borderId="0" xfId="0" applyNumberFormat="1"/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4">
    <cellStyle name="20% - Accent2" xfId="3" builtinId="34"/>
    <cellStyle name="Good" xfId="2" builtinId="26"/>
    <cellStyle name="Normal" xfId="0" builtinId="0"/>
    <cellStyle name="Percent" xfId="1" builtinId="5"/>
  </cellStyles>
  <dxfs count="7"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520560</xdr:colOff>
      <xdr:row>102</xdr:row>
      <xdr:rowOff>11880</xdr:rowOff>
    </xdr:from>
    <xdr:to>
      <xdr:col>10</xdr:col>
      <xdr:colOff>507600</xdr:colOff>
      <xdr:row>110</xdr:row>
      <xdr:rowOff>59760</xdr:rowOff>
    </xdr:to>
    <xdr:sp macro="" textlink="">
      <xdr:nvSpPr>
        <xdr:cNvPr id="2" name="Text Frame 1">
          <a:extLst>
            <a:ext uri="{FF2B5EF4-FFF2-40B4-BE49-F238E27FC236}">
              <a16:creationId xmlns:a16="http://schemas.microsoft.com/office/drawing/2014/main" id="{50435B8F-D841-4D12-998E-9C3F1EF884FC}"/>
            </a:ext>
          </a:extLst>
        </xdr:cNvPr>
        <xdr:cNvSpPr txBox="1"/>
      </xdr:nvSpPr>
      <xdr:spPr>
        <a:xfrm>
          <a:off x="520560" y="17337855"/>
          <a:ext cx="8226165" cy="134328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n-GB" sz="1200" b="0" strike="noStrike" spc="-1">
              <a:latin typeface="Times New Roman"/>
            </a:rPr>
            <a:t>Export into temportary CSV file 15 results from LPA-View, consisting of 3x bottles 5 portion samples. Exclude the portion 0 averages.</a:t>
          </a:r>
        </a:p>
        <a:p>
          <a:endParaRPr lang="en-GB" sz="1200" b="0" strike="noStrike" spc="-1">
            <a:latin typeface="Times New Roman"/>
          </a:endParaRPr>
        </a:p>
        <a:p>
          <a:r>
            <a:rPr lang="en-GB" sz="1200" b="0" strike="noStrike" spc="-1">
              <a:latin typeface="Times New Roman"/>
            </a:rPr>
            <a:t>Autofilter, sort by ascending date.</a:t>
          </a:r>
        </a:p>
        <a:p>
          <a:r>
            <a:rPr lang="en-GB" sz="1200" b="0" strike="noStrike" spc="-1">
              <a:latin typeface="Times New Roman"/>
            </a:rPr>
            <a:t>Copy / special paste the data block into this page below, ensuring appears in correct slots</a:t>
          </a:r>
        </a:p>
        <a:p>
          <a:r>
            <a:rPr lang="en-GB" sz="1200" b="0" strike="noStrike" spc="-1">
              <a:latin typeface="Times New Roman"/>
            </a:rPr>
            <a:t>Bottle 2 and 3 pages should be linked to correct regions of pasted data block.</a:t>
          </a:r>
        </a:p>
        <a:p>
          <a:r>
            <a:rPr lang="en-GB" sz="1200" b="0" strike="noStrike" spc="-1">
              <a:latin typeface="Times New Roman"/>
            </a:rPr>
            <a:t>Data quality evalution tables should pick up correct regions of pasted data block</a:t>
          </a:r>
        </a:p>
        <a:p>
          <a:r>
            <a:rPr lang="en-GB" sz="1200" b="0" strike="noStrike" spc="-1">
              <a:latin typeface="Times New Roman"/>
            </a:rPr>
            <a:t>If needed, on each bottle page can delete one indivual portion result per size line in order tp meet data quality requirements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8688-7335-4D0A-92B8-FB1C4F0D7071}">
  <sheetPr codeName="Sheet4"/>
  <dimension ref="A1:AMJ54"/>
  <sheetViews>
    <sheetView tabSelected="1" zoomScale="70" zoomScaleNormal="70" workbookViewId="0">
      <selection activeCell="M40" sqref="M40"/>
    </sheetView>
  </sheetViews>
  <sheetFormatPr defaultColWidth="11.53125" defaultRowHeight="12.75" x14ac:dyDescent="0.35"/>
  <cols>
    <col min="1" max="1" width="22.9296875" customWidth="1"/>
    <col min="2" max="2" width="17.1328125" customWidth="1"/>
  </cols>
  <sheetData>
    <row r="1" spans="1:1024" ht="67.150000000000006" customHeight="1" thickBot="1" x14ac:dyDescent="0.4">
      <c r="A1" s="1" t="s">
        <v>0</v>
      </c>
      <c r="B1" s="2"/>
      <c r="C1" s="3"/>
      <c r="D1" s="3"/>
      <c r="E1" s="3"/>
      <c r="F1" s="3"/>
      <c r="G1" s="3"/>
      <c r="H1" s="2"/>
      <c r="I1" s="2"/>
      <c r="J1" s="2"/>
      <c r="K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spans="1:1024" ht="18.399999999999999" x14ac:dyDescent="0.7">
      <c r="D2" s="4" t="s">
        <v>1</v>
      </c>
      <c r="L2" s="5"/>
      <c r="M2" s="6"/>
      <c r="N2" s="6"/>
      <c r="O2" s="6"/>
      <c r="P2" s="6" t="s">
        <v>2</v>
      </c>
      <c r="Q2" s="7">
        <v>0.89</v>
      </c>
      <c r="R2" s="8" t="s">
        <v>3</v>
      </c>
    </row>
    <row r="3" spans="1:1024" ht="15.75" x14ac:dyDescent="0.5">
      <c r="A3" s="9" t="s">
        <v>4</v>
      </c>
      <c r="B3" s="10" t="s">
        <v>5</v>
      </c>
      <c r="C3" s="10"/>
      <c r="E3" s="11" t="s">
        <v>6</v>
      </c>
      <c r="F3" s="12">
        <f>P3</f>
        <v>0.3</v>
      </c>
      <c r="G3" s="13"/>
      <c r="H3" s="13"/>
      <c r="L3" s="14"/>
      <c r="M3" s="15"/>
      <c r="N3" s="15"/>
      <c r="O3" s="15"/>
      <c r="P3" s="16">
        <v>0.3</v>
      </c>
      <c r="Q3" s="16">
        <v>50</v>
      </c>
      <c r="R3" s="17" t="s">
        <v>7</v>
      </c>
    </row>
    <row r="4" spans="1:1024" ht="13.15" x14ac:dyDescent="0.4">
      <c r="A4" s="10" t="s">
        <v>8</v>
      </c>
      <c r="B4" s="18">
        <v>45988</v>
      </c>
      <c r="C4" s="10"/>
      <c r="E4" s="11" t="s">
        <v>9</v>
      </c>
      <c r="F4" s="13">
        <v>0.86799999999999999</v>
      </c>
      <c r="G4" s="13"/>
      <c r="H4" s="13"/>
      <c r="L4" s="19" t="s">
        <v>10</v>
      </c>
      <c r="M4" s="16" t="s">
        <v>11</v>
      </c>
      <c r="N4" s="16" t="s">
        <v>12</v>
      </c>
      <c r="O4" s="16" t="s">
        <v>13</v>
      </c>
      <c r="P4" s="16" t="s">
        <v>2</v>
      </c>
      <c r="Q4" s="16" t="s">
        <v>14</v>
      </c>
      <c r="R4" s="17"/>
    </row>
    <row r="5" spans="1:1024" ht="13.15" x14ac:dyDescent="0.4">
      <c r="A5" s="10" t="s">
        <v>15</v>
      </c>
      <c r="B5" s="20" t="s">
        <v>16</v>
      </c>
      <c r="C5" s="10"/>
      <c r="L5" s="21">
        <v>1.5</v>
      </c>
      <c r="M5" s="22">
        <v>67392.070000000007</v>
      </c>
      <c r="N5" s="22"/>
      <c r="O5" s="22">
        <v>67392.070000000007</v>
      </c>
      <c r="P5" s="22">
        <f>O5*P$3</f>
        <v>20217.621000000003</v>
      </c>
      <c r="Q5" s="22">
        <f>P5*Q$2*Q$3</f>
        <v>899684.13450000004</v>
      </c>
      <c r="R5" s="17"/>
    </row>
    <row r="6" spans="1:1024" ht="13.15" x14ac:dyDescent="0.4">
      <c r="A6" s="10" t="s">
        <v>17</v>
      </c>
      <c r="B6" s="23" t="s">
        <v>18</v>
      </c>
      <c r="C6" s="24"/>
      <c r="E6" s="15" t="s">
        <v>19</v>
      </c>
      <c r="F6" s="16" t="s">
        <v>20</v>
      </c>
      <c r="G6" s="16" t="s">
        <v>21</v>
      </c>
      <c r="H6" s="16" t="s">
        <v>22</v>
      </c>
      <c r="I6" s="16" t="s">
        <v>23</v>
      </c>
      <c r="L6" s="21">
        <v>2</v>
      </c>
      <c r="M6" s="22">
        <v>41165</v>
      </c>
      <c r="N6" s="22"/>
      <c r="O6" s="22">
        <v>41165</v>
      </c>
      <c r="P6" s="22">
        <f t="shared" ref="P6:P34" si="0">O6*P$3</f>
        <v>12349.5</v>
      </c>
      <c r="Q6" s="22">
        <f t="shared" ref="Q6:Q34" si="1">P6*Q$2*Q$3</f>
        <v>549552.75</v>
      </c>
      <c r="R6" s="17"/>
    </row>
    <row r="7" spans="1:1024" ht="13.15" x14ac:dyDescent="0.4">
      <c r="A7" s="10" t="s">
        <v>24</v>
      </c>
      <c r="B7" s="25" t="s">
        <v>25</v>
      </c>
      <c r="C7" s="10"/>
      <c r="E7" s="11" t="s">
        <v>26</v>
      </c>
      <c r="F7" s="13">
        <f>$F3*$F4*100</f>
        <v>26.039999999999996</v>
      </c>
      <c r="G7" s="13">
        <f>$F3*$F4*100</f>
        <v>26.039999999999996</v>
      </c>
      <c r="H7" s="13">
        <f>$F3*$F4*100</f>
        <v>26.039999999999996</v>
      </c>
      <c r="I7" s="13">
        <f>$F3*$F4*100</f>
        <v>26.039999999999996</v>
      </c>
      <c r="L7" s="21">
        <v>3</v>
      </c>
      <c r="M7" s="22">
        <v>17975.47</v>
      </c>
      <c r="N7" s="22">
        <v>17634.099999999999</v>
      </c>
      <c r="O7" s="22">
        <v>17975.47</v>
      </c>
      <c r="P7" s="22">
        <f t="shared" si="0"/>
        <v>5392.6410000000005</v>
      </c>
      <c r="Q7" s="22">
        <f t="shared" si="1"/>
        <v>239972.5245</v>
      </c>
      <c r="R7" s="17"/>
    </row>
    <row r="8" spans="1:1024" ht="13.15" x14ac:dyDescent="0.4">
      <c r="A8" s="10" t="s">
        <v>27</v>
      </c>
      <c r="B8" s="23" t="s">
        <v>18</v>
      </c>
      <c r="C8" s="10"/>
      <c r="E8" s="11" t="s">
        <v>28</v>
      </c>
      <c r="F8" s="12">
        <v>26.08</v>
      </c>
      <c r="G8" s="12">
        <v>26.08</v>
      </c>
      <c r="H8" s="12">
        <v>26.11</v>
      </c>
      <c r="I8" s="12">
        <v>26.16</v>
      </c>
      <c r="L8" s="21">
        <v>4</v>
      </c>
      <c r="M8" s="22">
        <v>10898.56</v>
      </c>
      <c r="N8" s="22">
        <v>10750.3</v>
      </c>
      <c r="O8" s="22">
        <v>10898.56</v>
      </c>
      <c r="P8" s="22">
        <f t="shared" si="0"/>
        <v>3269.5679999999998</v>
      </c>
      <c r="Q8" s="22">
        <f t="shared" si="1"/>
        <v>145495.77600000001</v>
      </c>
      <c r="R8" s="17"/>
    </row>
    <row r="9" spans="1:1024" ht="13.15" x14ac:dyDescent="0.4">
      <c r="A9" s="10" t="s">
        <v>29</v>
      </c>
      <c r="B9" s="25" t="s">
        <v>25</v>
      </c>
      <c r="C9" s="10"/>
      <c r="E9" s="26" t="s">
        <v>30</v>
      </c>
      <c r="F9" s="27">
        <f>(1/$F$3-1)*F8</f>
        <v>60.853333333333332</v>
      </c>
      <c r="G9" s="27">
        <f>(1/$F$3-1)*G8</f>
        <v>60.853333333333332</v>
      </c>
      <c r="H9" s="27">
        <f>(1/$F$3-1)*H8</f>
        <v>60.923333333333339</v>
      </c>
      <c r="I9" s="27">
        <f>(1/$F$3-1)*I8</f>
        <v>61.040000000000006</v>
      </c>
      <c r="L9" s="21">
        <v>5</v>
      </c>
      <c r="M9" s="22">
        <v>6986.32</v>
      </c>
      <c r="N9" s="22">
        <v>7121.1</v>
      </c>
      <c r="O9" s="22">
        <v>6986.32</v>
      </c>
      <c r="P9" s="22">
        <f t="shared" si="0"/>
        <v>2095.8959999999997</v>
      </c>
      <c r="Q9" s="22">
        <f t="shared" si="1"/>
        <v>93267.371999999988</v>
      </c>
      <c r="R9" s="17"/>
    </row>
    <row r="10" spans="1:1024" ht="13.15" x14ac:dyDescent="0.4">
      <c r="A10" s="24" t="s">
        <v>31</v>
      </c>
      <c r="B10" s="25" t="s">
        <v>32</v>
      </c>
      <c r="C10" s="10"/>
      <c r="E10" s="11" t="s">
        <v>33</v>
      </c>
      <c r="F10" s="28">
        <v>61</v>
      </c>
      <c r="G10" s="28">
        <v>61.18</v>
      </c>
      <c r="H10" s="28">
        <v>61.2</v>
      </c>
      <c r="I10" s="28">
        <v>61.09</v>
      </c>
      <c r="L10" s="21">
        <v>6</v>
      </c>
      <c r="M10" s="22">
        <v>4679.6499999999996</v>
      </c>
      <c r="N10" s="22">
        <v>4729.1000000000004</v>
      </c>
      <c r="O10" s="22">
        <v>4679.6499999999996</v>
      </c>
      <c r="P10" s="22">
        <f t="shared" si="0"/>
        <v>1403.8949999999998</v>
      </c>
      <c r="Q10" s="22">
        <f t="shared" si="1"/>
        <v>62473.327499999992</v>
      </c>
      <c r="R10" s="17"/>
    </row>
    <row r="11" spans="1:1024" x14ac:dyDescent="0.35">
      <c r="B11" s="29"/>
      <c r="E11" s="11" t="s">
        <v>34</v>
      </c>
      <c r="F11" s="30">
        <f>F8/(F8+F10)</f>
        <v>0.29949471750114837</v>
      </c>
      <c r="G11" s="30">
        <f>G8/(G8+G10)</f>
        <v>0.29887691955076784</v>
      </c>
      <c r="H11" s="30">
        <f>H8/(H8+H10)</f>
        <v>0.29904936433398233</v>
      </c>
      <c r="I11" s="30">
        <f>I8/(I8+I10)</f>
        <v>0.29982808022922636</v>
      </c>
      <c r="L11" s="21">
        <v>7</v>
      </c>
      <c r="M11" s="22">
        <v>3163.23</v>
      </c>
      <c r="N11" s="22">
        <v>3199.3</v>
      </c>
      <c r="O11" s="22">
        <v>3163.23</v>
      </c>
      <c r="P11" s="22">
        <f t="shared" si="0"/>
        <v>948.96899999999994</v>
      </c>
      <c r="Q11" s="22">
        <f t="shared" si="1"/>
        <v>42229.120499999997</v>
      </c>
      <c r="R11" s="17"/>
    </row>
    <row r="12" spans="1:1024" ht="13.9" x14ac:dyDescent="0.4">
      <c r="A12" s="10" t="s">
        <v>35</v>
      </c>
      <c r="B12" s="31">
        <v>110</v>
      </c>
      <c r="C12" s="10"/>
      <c r="L12" s="21">
        <v>8</v>
      </c>
      <c r="M12" s="22">
        <v>2175.4699999999998</v>
      </c>
      <c r="N12" s="22">
        <v>2280.6</v>
      </c>
      <c r="O12" s="22">
        <v>2175.4699999999998</v>
      </c>
      <c r="P12" s="22">
        <f t="shared" si="0"/>
        <v>652.64099999999996</v>
      </c>
      <c r="Q12" s="22">
        <f t="shared" si="1"/>
        <v>29042.524499999996</v>
      </c>
      <c r="R12" s="17"/>
    </row>
    <row r="13" spans="1:1024" hidden="1" x14ac:dyDescent="0.35">
      <c r="B13" s="29"/>
      <c r="L13" s="14">
        <v>9</v>
      </c>
      <c r="M13" s="22">
        <v>1512.11</v>
      </c>
      <c r="N13" s="22">
        <v>1615</v>
      </c>
      <c r="O13" s="22">
        <v>1512.11</v>
      </c>
      <c r="P13" s="22">
        <f t="shared" si="0"/>
        <v>453.63299999999998</v>
      </c>
      <c r="Q13" s="22">
        <f t="shared" si="1"/>
        <v>20186.6685</v>
      </c>
      <c r="R13" s="17"/>
    </row>
    <row r="14" spans="1:1024" x14ac:dyDescent="0.35">
      <c r="A14" t="s">
        <v>36</v>
      </c>
      <c r="B14" s="29">
        <f>B12*1.5</f>
        <v>165</v>
      </c>
      <c r="L14" s="21">
        <v>10</v>
      </c>
      <c r="M14" s="22">
        <v>1079.78</v>
      </c>
      <c r="N14" s="22">
        <v>1130.5</v>
      </c>
      <c r="O14" s="22">
        <v>1079.78</v>
      </c>
      <c r="P14" s="22">
        <f t="shared" si="0"/>
        <v>323.93399999999997</v>
      </c>
      <c r="Q14" s="22">
        <f t="shared" si="1"/>
        <v>14415.062999999998</v>
      </c>
      <c r="R14" s="17"/>
    </row>
    <row r="15" spans="1:1024" ht="13.5" x14ac:dyDescent="0.35">
      <c r="A15" t="s">
        <v>37</v>
      </c>
      <c r="B15" s="31">
        <v>14000</v>
      </c>
      <c r="L15" s="21">
        <v>11</v>
      </c>
      <c r="M15" s="22">
        <v>786.62</v>
      </c>
      <c r="N15" s="22">
        <v>816.2</v>
      </c>
      <c r="O15" s="22">
        <v>786.62</v>
      </c>
      <c r="P15" s="22">
        <f t="shared" si="0"/>
        <v>235.98599999999999</v>
      </c>
      <c r="Q15" s="22">
        <f t="shared" si="1"/>
        <v>10501.376999999999</v>
      </c>
      <c r="R15" s="17"/>
    </row>
    <row r="16" spans="1:1024" x14ac:dyDescent="0.35">
      <c r="A16" t="s">
        <v>38</v>
      </c>
      <c r="B16" s="32">
        <f>10^((LOG(B15)-LOG(B14))/(30-1))</f>
        <v>1.1654803847751551</v>
      </c>
      <c r="L16" s="21">
        <v>12</v>
      </c>
      <c r="M16" s="22">
        <v>586.05999999999995</v>
      </c>
      <c r="N16" s="22">
        <v>618.6</v>
      </c>
      <c r="O16" s="22">
        <v>586.05999999999995</v>
      </c>
      <c r="P16" s="22">
        <f t="shared" si="0"/>
        <v>175.81799999999998</v>
      </c>
      <c r="Q16" s="22">
        <f t="shared" si="1"/>
        <v>7823.9009999999989</v>
      </c>
      <c r="R16" s="17"/>
    </row>
    <row r="17" spans="1:18" x14ac:dyDescent="0.35">
      <c r="L17" s="21">
        <v>13</v>
      </c>
      <c r="M17" s="22">
        <v>449.93</v>
      </c>
      <c r="N17" s="22">
        <v>481.9</v>
      </c>
      <c r="O17" s="22">
        <v>449.93</v>
      </c>
      <c r="P17" s="22">
        <f t="shared" si="0"/>
        <v>134.97899999999998</v>
      </c>
      <c r="Q17" s="22">
        <f t="shared" si="1"/>
        <v>6006.5654999999988</v>
      </c>
      <c r="R17" s="17"/>
    </row>
    <row r="18" spans="1:18" x14ac:dyDescent="0.35">
      <c r="A18" s="15" t="s">
        <v>39</v>
      </c>
      <c r="B18" s="15" t="s">
        <v>40</v>
      </c>
      <c r="C18" s="15" t="s">
        <v>41</v>
      </c>
      <c r="D18" s="15" t="s">
        <v>42</v>
      </c>
      <c r="L18" s="21">
        <v>14</v>
      </c>
      <c r="M18" s="22">
        <v>352.62</v>
      </c>
      <c r="N18" s="22">
        <v>384.7</v>
      </c>
      <c r="O18" s="22">
        <v>352.62</v>
      </c>
      <c r="P18" s="22">
        <f t="shared" si="0"/>
        <v>105.786</v>
      </c>
      <c r="Q18" s="22">
        <f t="shared" si="1"/>
        <v>4707.4769999999999</v>
      </c>
      <c r="R18" s="17"/>
    </row>
    <row r="19" spans="1:18" x14ac:dyDescent="0.35">
      <c r="A19">
        <v>4</v>
      </c>
      <c r="B19" s="33">
        <f>B12*1.5</f>
        <v>165</v>
      </c>
      <c r="C19" s="22">
        <f t="shared" ref="C19:C48" si="2">INT($B19+0.5)</f>
        <v>165</v>
      </c>
      <c r="D19" s="22">
        <f t="shared" ref="D19:D47" si="3">D20*B$16</f>
        <v>14000.000000000007</v>
      </c>
      <c r="E19" s="15" t="s">
        <v>43</v>
      </c>
      <c r="L19" s="21">
        <v>15</v>
      </c>
      <c r="M19" s="22">
        <v>282.04000000000002</v>
      </c>
      <c r="N19" s="22">
        <v>314.60000000000002</v>
      </c>
      <c r="O19" s="22">
        <v>282.04000000000002</v>
      </c>
      <c r="P19" s="22">
        <f t="shared" si="0"/>
        <v>84.612000000000009</v>
      </c>
      <c r="Q19" s="22">
        <f t="shared" si="1"/>
        <v>3765.2340000000004</v>
      </c>
      <c r="R19" s="17"/>
    </row>
    <row r="20" spans="1:18" x14ac:dyDescent="0.35">
      <c r="A20">
        <v>5</v>
      </c>
      <c r="B20" s="33">
        <f t="shared" ref="B20:B48" si="4">B19*B$16</f>
        <v>192.30426348790058</v>
      </c>
      <c r="C20" s="22">
        <f t="shared" si="2"/>
        <v>192</v>
      </c>
      <c r="D20" s="22">
        <f t="shared" si="3"/>
        <v>12012.214176132095</v>
      </c>
      <c r="L20" s="21">
        <v>16</v>
      </c>
      <c r="M20" s="22">
        <v>229.42</v>
      </c>
      <c r="N20" s="22">
        <v>261.8</v>
      </c>
      <c r="O20" s="22">
        <v>229.42</v>
      </c>
      <c r="P20" s="22">
        <f t="shared" si="0"/>
        <v>68.825999999999993</v>
      </c>
      <c r="Q20" s="22">
        <f t="shared" si="1"/>
        <v>3062.7570000000001</v>
      </c>
      <c r="R20" s="17"/>
    </row>
    <row r="21" spans="1:18" x14ac:dyDescent="0.35">
      <c r="A21">
        <v>6</v>
      </c>
      <c r="B21" s="33">
        <f t="shared" si="4"/>
        <v>224.12684700378119</v>
      </c>
      <c r="C21" s="22">
        <f t="shared" si="2"/>
        <v>224</v>
      </c>
      <c r="D21" s="22">
        <f t="shared" si="3"/>
        <v>10306.663529519199</v>
      </c>
      <c r="L21" s="21">
        <v>17</v>
      </c>
      <c r="M21" s="22">
        <v>186.1</v>
      </c>
      <c r="N21" s="22">
        <v>221.2</v>
      </c>
      <c r="O21" s="22">
        <v>186.1</v>
      </c>
      <c r="P21" s="22">
        <f t="shared" si="0"/>
        <v>55.83</v>
      </c>
      <c r="Q21" s="22">
        <f t="shared" si="1"/>
        <v>2484.4349999999999</v>
      </c>
      <c r="R21" s="17"/>
    </row>
    <row r="22" spans="1:18" x14ac:dyDescent="0.35">
      <c r="A22">
        <v>7</v>
      </c>
      <c r="B22" s="33">
        <f t="shared" si="4"/>
        <v>261.21544388440924</v>
      </c>
      <c r="C22" s="22">
        <f t="shared" si="2"/>
        <v>261</v>
      </c>
      <c r="D22" s="22">
        <f t="shared" si="3"/>
        <v>8843.2749827081516</v>
      </c>
      <c r="L22" s="21">
        <v>18</v>
      </c>
      <c r="M22" s="22">
        <v>153.87</v>
      </c>
      <c r="N22" s="22">
        <v>188.7</v>
      </c>
      <c r="O22" s="22">
        <v>153.87</v>
      </c>
      <c r="P22" s="22">
        <f t="shared" si="0"/>
        <v>46.161000000000001</v>
      </c>
      <c r="Q22" s="22">
        <f t="shared" si="1"/>
        <v>2054.1645000000003</v>
      </c>
      <c r="R22" s="17"/>
    </row>
    <row r="23" spans="1:18" x14ac:dyDescent="0.35">
      <c r="A23">
        <v>8</v>
      </c>
      <c r="B23" s="33">
        <f t="shared" si="4"/>
        <v>304.44147604761423</v>
      </c>
      <c r="C23" s="22">
        <f t="shared" si="2"/>
        <v>304</v>
      </c>
      <c r="D23" s="22">
        <f t="shared" si="3"/>
        <v>7587.665222194365</v>
      </c>
      <c r="L23" s="21">
        <v>19</v>
      </c>
      <c r="M23" s="22">
        <v>128.62</v>
      </c>
      <c r="N23" s="22">
        <v>161</v>
      </c>
      <c r="O23" s="22">
        <v>128.62</v>
      </c>
      <c r="P23" s="22">
        <f t="shared" si="0"/>
        <v>38.585999999999999</v>
      </c>
      <c r="Q23" s="22">
        <f t="shared" si="1"/>
        <v>1717.077</v>
      </c>
      <c r="R23" s="17"/>
    </row>
    <row r="24" spans="1:18" x14ac:dyDescent="0.35">
      <c r="A24">
        <v>9</v>
      </c>
      <c r="B24" s="33">
        <f t="shared" si="4"/>
        <v>354.82056864548963</v>
      </c>
      <c r="C24" s="22">
        <f t="shared" si="2"/>
        <v>355</v>
      </c>
      <c r="D24" s="22">
        <f t="shared" si="3"/>
        <v>6510.3328389848275</v>
      </c>
      <c r="L24" s="21">
        <v>20</v>
      </c>
      <c r="M24" s="22">
        <v>107.35</v>
      </c>
      <c r="N24" s="22">
        <v>136.4</v>
      </c>
      <c r="O24" s="22">
        <v>107.35</v>
      </c>
      <c r="P24" s="22">
        <f t="shared" si="0"/>
        <v>32.204999999999998</v>
      </c>
      <c r="Q24" s="22">
        <f t="shared" si="1"/>
        <v>1433.1224999999999</v>
      </c>
      <c r="R24" s="17"/>
    </row>
    <row r="25" spans="1:18" x14ac:dyDescent="0.35">
      <c r="A25">
        <v>10</v>
      </c>
      <c r="B25" s="33">
        <f t="shared" si="4"/>
        <v>413.53641287108462</v>
      </c>
      <c r="C25" s="22">
        <f t="shared" si="2"/>
        <v>414</v>
      </c>
      <c r="D25" s="22">
        <f t="shared" si="3"/>
        <v>5585.9651728422723</v>
      </c>
      <c r="L25" s="21">
        <v>21</v>
      </c>
      <c r="M25" s="22">
        <v>88.64</v>
      </c>
      <c r="N25" s="22">
        <v>114.4</v>
      </c>
      <c r="O25" s="22">
        <v>88.64</v>
      </c>
      <c r="P25" s="22">
        <f t="shared" si="0"/>
        <v>26.591999999999999</v>
      </c>
      <c r="Q25" s="22">
        <f t="shared" si="1"/>
        <v>1183.3440000000001</v>
      </c>
      <c r="R25" s="17"/>
    </row>
    <row r="26" spans="1:18" x14ac:dyDescent="0.35">
      <c r="A26">
        <v>11</v>
      </c>
      <c r="B26" s="33">
        <f t="shared" si="4"/>
        <v>481.96857759152914</v>
      </c>
      <c r="C26" s="22">
        <f t="shared" si="2"/>
        <v>482</v>
      </c>
      <c r="D26" s="22">
        <f t="shared" si="3"/>
        <v>4792.8435740425766</v>
      </c>
      <c r="L26" s="21">
        <v>22</v>
      </c>
      <c r="M26" s="22">
        <v>75.56</v>
      </c>
      <c r="N26" s="22">
        <v>95.3</v>
      </c>
      <c r="O26" s="22">
        <v>75.56</v>
      </c>
      <c r="P26" s="22">
        <f t="shared" si="0"/>
        <v>22.667999999999999</v>
      </c>
      <c r="Q26" s="22">
        <f t="shared" si="1"/>
        <v>1008.7260000000001</v>
      </c>
      <c r="R26" s="17"/>
    </row>
    <row r="27" spans="1:18" x14ac:dyDescent="0.35">
      <c r="A27">
        <v>12</v>
      </c>
      <c r="B27" s="33">
        <f t="shared" si="4"/>
        <v>561.72492326090958</v>
      </c>
      <c r="C27" s="22">
        <f t="shared" si="2"/>
        <v>562</v>
      </c>
      <c r="D27" s="22">
        <f t="shared" si="3"/>
        <v>4112.3331088641307</v>
      </c>
      <c r="L27" s="21">
        <v>23</v>
      </c>
      <c r="M27" s="22">
        <v>61.94</v>
      </c>
      <c r="N27" s="22">
        <v>79</v>
      </c>
      <c r="O27" s="22">
        <v>61.94</v>
      </c>
      <c r="P27" s="22">
        <f t="shared" si="0"/>
        <v>18.581999999999997</v>
      </c>
      <c r="Q27" s="22">
        <f t="shared" si="1"/>
        <v>826.89899999999989</v>
      </c>
      <c r="R27" s="17"/>
    </row>
    <row r="28" spans="1:18" x14ac:dyDescent="0.35">
      <c r="A28">
        <v>13</v>
      </c>
      <c r="B28" s="33">
        <f t="shared" si="4"/>
        <v>654.67937969991942</v>
      </c>
      <c r="C28" s="22">
        <f t="shared" si="2"/>
        <v>655</v>
      </c>
      <c r="D28" s="22">
        <f t="shared" si="3"/>
        <v>3528.4447190910755</v>
      </c>
      <c r="L28" s="21">
        <v>24</v>
      </c>
      <c r="M28" s="22">
        <v>50.86</v>
      </c>
      <c r="N28" s="22">
        <v>65.3</v>
      </c>
      <c r="O28" s="22">
        <v>50.86</v>
      </c>
      <c r="P28" s="22">
        <f t="shared" si="0"/>
        <v>15.257999999999999</v>
      </c>
      <c r="Q28" s="22">
        <f t="shared" si="1"/>
        <v>678.98099999999999</v>
      </c>
      <c r="R28" s="17"/>
    </row>
    <row r="29" spans="1:18" x14ac:dyDescent="0.35">
      <c r="A29">
        <v>14</v>
      </c>
      <c r="B29" s="33">
        <f t="shared" si="4"/>
        <v>763.01597535702194</v>
      </c>
      <c r="C29" s="22">
        <f t="shared" si="2"/>
        <v>763</v>
      </c>
      <c r="D29" s="22">
        <f t="shared" si="3"/>
        <v>3027.459548168873</v>
      </c>
      <c r="L29" s="21">
        <v>25</v>
      </c>
      <c r="M29" s="22">
        <v>41.61</v>
      </c>
      <c r="N29" s="22">
        <v>53.8</v>
      </c>
      <c r="O29" s="22">
        <v>41.61</v>
      </c>
      <c r="P29" s="22">
        <f t="shared" si="0"/>
        <v>12.482999999999999</v>
      </c>
      <c r="Q29" s="22">
        <f t="shared" si="1"/>
        <v>555.49349999999993</v>
      </c>
      <c r="R29" s="17"/>
    </row>
    <row r="30" spans="1:18" x14ac:dyDescent="0.35">
      <c r="A30">
        <v>15</v>
      </c>
      <c r="B30" s="33">
        <f t="shared" si="4"/>
        <v>889.28015254869229</v>
      </c>
      <c r="C30" s="22">
        <f t="shared" si="2"/>
        <v>889</v>
      </c>
      <c r="D30" s="22">
        <f t="shared" si="3"/>
        <v>2597.6066072986132</v>
      </c>
      <c r="L30" s="21">
        <v>26</v>
      </c>
      <c r="M30" s="22">
        <v>33.44</v>
      </c>
      <c r="N30" s="22">
        <v>44.6</v>
      </c>
      <c r="O30" s="22">
        <v>33.44</v>
      </c>
      <c r="P30" s="22">
        <f t="shared" si="0"/>
        <v>10.031999999999998</v>
      </c>
      <c r="Q30" s="22">
        <f t="shared" si="1"/>
        <v>446.42399999999992</v>
      </c>
      <c r="R30" s="17"/>
    </row>
    <row r="31" spans="1:18" x14ac:dyDescent="0.35">
      <c r="A31">
        <v>16</v>
      </c>
      <c r="B31" s="33">
        <f t="shared" si="4"/>
        <v>1036.4385743653586</v>
      </c>
      <c r="C31" s="22">
        <f t="shared" si="2"/>
        <v>1036</v>
      </c>
      <c r="D31" s="22">
        <f t="shared" si="3"/>
        <v>2228.7862080147702</v>
      </c>
      <c r="L31" s="21">
        <v>27</v>
      </c>
      <c r="M31" s="22">
        <v>26.08</v>
      </c>
      <c r="N31" s="22">
        <v>37</v>
      </c>
      <c r="O31" s="22">
        <v>26.08</v>
      </c>
      <c r="P31" s="22">
        <f t="shared" si="0"/>
        <v>7.823999999999999</v>
      </c>
      <c r="Q31" s="22">
        <f t="shared" si="1"/>
        <v>348.16799999999995</v>
      </c>
      <c r="R31" s="17"/>
    </row>
    <row r="32" spans="1:18" x14ac:dyDescent="0.35">
      <c r="A32">
        <v>17</v>
      </c>
      <c r="B32" s="33">
        <f t="shared" si="4"/>
        <v>1207.9488284471513</v>
      </c>
      <c r="C32" s="22">
        <f t="shared" si="2"/>
        <v>1208</v>
      </c>
      <c r="D32" s="22">
        <f t="shared" si="3"/>
        <v>1912.3326631059074</v>
      </c>
      <c r="L32" s="21">
        <v>28</v>
      </c>
      <c r="M32" s="22">
        <v>20.41</v>
      </c>
      <c r="N32" s="22">
        <v>30.7</v>
      </c>
      <c r="O32" s="22">
        <v>20.41</v>
      </c>
      <c r="P32" s="22">
        <f t="shared" si="0"/>
        <v>6.1230000000000002</v>
      </c>
      <c r="Q32" s="22">
        <f t="shared" si="1"/>
        <v>272.47350000000006</v>
      </c>
      <c r="R32" s="17"/>
    </row>
    <row r="33" spans="1:18" x14ac:dyDescent="0.35">
      <c r="A33">
        <v>18</v>
      </c>
      <c r="B33" s="33">
        <f t="shared" si="4"/>
        <v>1407.8406653672837</v>
      </c>
      <c r="C33" s="22">
        <f t="shared" si="2"/>
        <v>1408</v>
      </c>
      <c r="D33" s="22">
        <f t="shared" si="3"/>
        <v>1640.8106803743722</v>
      </c>
      <c r="L33" s="21">
        <v>29</v>
      </c>
      <c r="M33" s="22">
        <v>16.39</v>
      </c>
      <c r="N33" s="22">
        <v>25.2</v>
      </c>
      <c r="O33" s="22">
        <v>16.39</v>
      </c>
      <c r="P33" s="22">
        <f t="shared" si="0"/>
        <v>4.9169999999999998</v>
      </c>
      <c r="Q33" s="22">
        <f t="shared" si="1"/>
        <v>218.8065</v>
      </c>
      <c r="R33" s="17"/>
    </row>
    <row r="34" spans="1:18" ht="13.15" thickBot="1" x14ac:dyDescent="0.4">
      <c r="A34">
        <v>19</v>
      </c>
      <c r="B34" s="33">
        <f t="shared" si="4"/>
        <v>1640.8106803743722</v>
      </c>
      <c r="C34" s="22">
        <f t="shared" si="2"/>
        <v>1641</v>
      </c>
      <c r="D34" s="22">
        <f t="shared" si="3"/>
        <v>1407.8406653672837</v>
      </c>
      <c r="L34" s="34">
        <v>30</v>
      </c>
      <c r="M34" s="35">
        <v>13.94</v>
      </c>
      <c r="N34" s="35">
        <v>20.100000000000001</v>
      </c>
      <c r="O34" s="35">
        <v>13.94</v>
      </c>
      <c r="P34" s="22">
        <f t="shared" si="0"/>
        <v>4.1819999999999995</v>
      </c>
      <c r="Q34" s="22">
        <f t="shared" si="1"/>
        <v>186.09899999999996</v>
      </c>
      <c r="R34" s="36"/>
    </row>
    <row r="35" spans="1:18" x14ac:dyDescent="0.35">
      <c r="A35">
        <v>20</v>
      </c>
      <c r="B35" s="33">
        <f t="shared" si="4"/>
        <v>1912.3326631059074</v>
      </c>
      <c r="C35" s="22">
        <f t="shared" si="2"/>
        <v>1912</v>
      </c>
      <c r="D35" s="22">
        <f t="shared" si="3"/>
        <v>1207.9488284471513</v>
      </c>
    </row>
    <row r="36" spans="1:18" x14ac:dyDescent="0.35">
      <c r="A36">
        <v>21</v>
      </c>
      <c r="B36" s="33">
        <f t="shared" si="4"/>
        <v>2228.7862080147702</v>
      </c>
      <c r="C36" s="22">
        <f t="shared" si="2"/>
        <v>2229</v>
      </c>
      <c r="D36" s="22">
        <f t="shared" si="3"/>
        <v>1036.4385743653586</v>
      </c>
    </row>
    <row r="37" spans="1:18" x14ac:dyDescent="0.35">
      <c r="A37">
        <v>22</v>
      </c>
      <c r="B37" s="33">
        <f t="shared" si="4"/>
        <v>2597.6066072986132</v>
      </c>
      <c r="C37" s="22">
        <f t="shared" si="2"/>
        <v>2598</v>
      </c>
      <c r="D37" s="22">
        <f t="shared" si="3"/>
        <v>889.28015254869229</v>
      </c>
    </row>
    <row r="38" spans="1:18" x14ac:dyDescent="0.35">
      <c r="A38">
        <v>23</v>
      </c>
      <c r="B38" s="33">
        <f t="shared" si="4"/>
        <v>3027.459548168873</v>
      </c>
      <c r="C38" s="22">
        <f t="shared" si="2"/>
        <v>3027</v>
      </c>
      <c r="D38" s="22">
        <f t="shared" si="3"/>
        <v>763.01597535702194</v>
      </c>
    </row>
    <row r="39" spans="1:18" x14ac:dyDescent="0.35">
      <c r="A39">
        <v>24</v>
      </c>
      <c r="B39" s="33">
        <f t="shared" si="4"/>
        <v>3528.4447190910755</v>
      </c>
      <c r="C39" s="22">
        <f t="shared" si="2"/>
        <v>3528</v>
      </c>
      <c r="D39" s="22">
        <f t="shared" si="3"/>
        <v>654.67937969991942</v>
      </c>
    </row>
    <row r="40" spans="1:18" x14ac:dyDescent="0.35">
      <c r="A40">
        <v>25</v>
      </c>
      <c r="B40" s="33">
        <f t="shared" si="4"/>
        <v>4112.3331088641307</v>
      </c>
      <c r="C40" s="22">
        <f t="shared" si="2"/>
        <v>4112</v>
      </c>
      <c r="D40" s="22">
        <f t="shared" si="3"/>
        <v>561.72492326090958</v>
      </c>
    </row>
    <row r="41" spans="1:18" x14ac:dyDescent="0.35">
      <c r="A41">
        <v>26</v>
      </c>
      <c r="B41" s="33">
        <f t="shared" si="4"/>
        <v>4792.8435740425766</v>
      </c>
      <c r="C41" s="22">
        <f t="shared" si="2"/>
        <v>4793</v>
      </c>
      <c r="D41" s="22">
        <f t="shared" si="3"/>
        <v>481.96857759152914</v>
      </c>
    </row>
    <row r="42" spans="1:18" x14ac:dyDescent="0.35">
      <c r="A42">
        <v>27</v>
      </c>
      <c r="B42" s="33">
        <f t="shared" si="4"/>
        <v>5585.9651728422723</v>
      </c>
      <c r="C42" s="22">
        <f t="shared" si="2"/>
        <v>5586</v>
      </c>
      <c r="D42" s="22">
        <f t="shared" si="3"/>
        <v>413.53641287108462</v>
      </c>
    </row>
    <row r="43" spans="1:18" x14ac:dyDescent="0.35">
      <c r="A43">
        <v>28</v>
      </c>
      <c r="B43" s="33">
        <f t="shared" si="4"/>
        <v>6510.3328389848275</v>
      </c>
      <c r="C43" s="22">
        <f t="shared" si="2"/>
        <v>6510</v>
      </c>
      <c r="D43" s="22">
        <f t="shared" si="3"/>
        <v>354.82056864548963</v>
      </c>
    </row>
    <row r="44" spans="1:18" x14ac:dyDescent="0.35">
      <c r="A44">
        <v>29</v>
      </c>
      <c r="B44" s="33">
        <f t="shared" si="4"/>
        <v>7587.665222194365</v>
      </c>
      <c r="C44" s="22">
        <f t="shared" si="2"/>
        <v>7588</v>
      </c>
      <c r="D44" s="22">
        <f t="shared" si="3"/>
        <v>304.44147604761423</v>
      </c>
    </row>
    <row r="45" spans="1:18" x14ac:dyDescent="0.35">
      <c r="A45">
        <v>30</v>
      </c>
      <c r="B45" s="33">
        <f t="shared" si="4"/>
        <v>8843.2749827081516</v>
      </c>
      <c r="C45" s="22">
        <f t="shared" si="2"/>
        <v>8843</v>
      </c>
      <c r="D45" s="22">
        <f t="shared" si="3"/>
        <v>261.21544388440924</v>
      </c>
    </row>
    <row r="46" spans="1:18" x14ac:dyDescent="0.35">
      <c r="A46">
        <v>38</v>
      </c>
      <c r="B46" s="33">
        <f t="shared" si="4"/>
        <v>10306.663529519199</v>
      </c>
      <c r="C46" s="22">
        <f t="shared" si="2"/>
        <v>10307</v>
      </c>
      <c r="D46" s="22">
        <f t="shared" si="3"/>
        <v>224.12684700378119</v>
      </c>
    </row>
    <row r="47" spans="1:18" x14ac:dyDescent="0.35">
      <c r="A47">
        <v>50</v>
      </c>
      <c r="B47" s="33">
        <f t="shared" si="4"/>
        <v>12012.214176132095</v>
      </c>
      <c r="C47" s="22">
        <f t="shared" si="2"/>
        <v>12012</v>
      </c>
      <c r="D47" s="22">
        <f t="shared" si="3"/>
        <v>192.30426348790058</v>
      </c>
    </row>
    <row r="48" spans="1:18" x14ac:dyDescent="0.35">
      <c r="A48">
        <v>70</v>
      </c>
      <c r="B48" s="33">
        <f t="shared" si="4"/>
        <v>14000.000000000007</v>
      </c>
      <c r="C48" s="22">
        <f t="shared" si="2"/>
        <v>14000</v>
      </c>
      <c r="D48" s="22">
        <f>$B$12*1.5</f>
        <v>165</v>
      </c>
      <c r="E48" s="15" t="s">
        <v>44</v>
      </c>
    </row>
    <row r="49" spans="1:31" x14ac:dyDescent="0.35">
      <c r="C49" s="15"/>
      <c r="E49" s="33"/>
      <c r="F49" s="22"/>
      <c r="G49" s="22"/>
    </row>
    <row r="50" spans="1:31" ht="13.15" x14ac:dyDescent="0.4">
      <c r="B50" s="16" t="s">
        <v>45</v>
      </c>
      <c r="E50" s="22"/>
    </row>
    <row r="51" spans="1:31" x14ac:dyDescent="0.35">
      <c r="A51" s="15" t="s">
        <v>46</v>
      </c>
      <c r="B51" s="22">
        <v>4</v>
      </c>
      <c r="C51" s="22">
        <v>5</v>
      </c>
      <c r="D51" s="22">
        <v>6</v>
      </c>
      <c r="E51" s="22">
        <v>7</v>
      </c>
      <c r="F51" s="22">
        <v>8</v>
      </c>
      <c r="G51" s="22">
        <v>9</v>
      </c>
      <c r="H51" s="22">
        <v>10</v>
      </c>
      <c r="I51" s="22">
        <v>11</v>
      </c>
      <c r="J51" s="22">
        <v>12</v>
      </c>
      <c r="K51" s="22">
        <v>13</v>
      </c>
      <c r="L51" s="22">
        <v>14</v>
      </c>
      <c r="M51" s="22">
        <v>15</v>
      </c>
      <c r="N51" s="22">
        <v>16</v>
      </c>
      <c r="O51" s="22">
        <v>17</v>
      </c>
      <c r="P51" s="22">
        <v>18</v>
      </c>
      <c r="Q51" s="22">
        <v>19</v>
      </c>
      <c r="R51" s="22">
        <v>20</v>
      </c>
      <c r="S51" s="22">
        <v>21</v>
      </c>
      <c r="T51" s="22">
        <v>22</v>
      </c>
      <c r="U51" s="22">
        <v>23</v>
      </c>
      <c r="V51" s="22">
        <v>24</v>
      </c>
      <c r="W51" s="22">
        <v>25</v>
      </c>
      <c r="X51" s="22">
        <v>26</v>
      </c>
      <c r="Y51" s="22">
        <v>27</v>
      </c>
      <c r="Z51" s="22">
        <v>28</v>
      </c>
      <c r="AA51" s="22">
        <v>29</v>
      </c>
      <c r="AB51" s="22">
        <v>30</v>
      </c>
      <c r="AC51" s="22">
        <v>38</v>
      </c>
      <c r="AD51" s="22">
        <v>50</v>
      </c>
      <c r="AE51" s="22">
        <v>70</v>
      </c>
    </row>
    <row r="52" spans="1:31" x14ac:dyDescent="0.35">
      <c r="A52" s="15" t="s">
        <v>47</v>
      </c>
      <c r="B52" s="37">
        <f>INT($B19+0.5)</f>
        <v>165</v>
      </c>
      <c r="C52" s="37">
        <f>INT($B20+0.5)</f>
        <v>192</v>
      </c>
      <c r="D52" s="37">
        <f>INT($B21+0.5)</f>
        <v>224</v>
      </c>
      <c r="E52" s="37">
        <f>INT($B22+0.5)</f>
        <v>261</v>
      </c>
      <c r="F52" s="37">
        <f>INT($B23+0.5)</f>
        <v>304</v>
      </c>
      <c r="G52" s="37">
        <f>INT($B24+0.5)</f>
        <v>355</v>
      </c>
      <c r="H52" s="37">
        <f>INT($B25+0.5)</f>
        <v>414</v>
      </c>
      <c r="I52" s="37">
        <f>INT($B26+0.5)</f>
        <v>482</v>
      </c>
      <c r="J52" s="37">
        <f>INT($B27+0.5)</f>
        <v>562</v>
      </c>
      <c r="K52" s="37">
        <f>INT($B28+0.5)</f>
        <v>655</v>
      </c>
      <c r="L52" s="37">
        <f>INT($B29+0.5)</f>
        <v>763</v>
      </c>
      <c r="M52" s="37">
        <f>INT($B30+0.5)</f>
        <v>889</v>
      </c>
      <c r="N52" s="37">
        <f>INT($B31+0.5)</f>
        <v>1036</v>
      </c>
      <c r="O52" s="37">
        <f>INT($B32+0.5)</f>
        <v>1208</v>
      </c>
      <c r="P52" s="37">
        <f>INT($B33+0.5)</f>
        <v>1408</v>
      </c>
      <c r="Q52" s="37">
        <f>INT($B34+0.5)</f>
        <v>1641</v>
      </c>
      <c r="R52" s="37">
        <f>INT($B35+0.5)</f>
        <v>1912</v>
      </c>
      <c r="S52" s="37">
        <f>INT($B36+0.5)</f>
        <v>2229</v>
      </c>
      <c r="T52" s="37">
        <f>INT($B37+0.5)</f>
        <v>2598</v>
      </c>
      <c r="U52" s="37">
        <f>INT($B38+0.5)</f>
        <v>3027</v>
      </c>
      <c r="V52" s="37">
        <f>INT($B39+0.5)</f>
        <v>3528</v>
      </c>
      <c r="W52" s="37">
        <f>INT($B40+0.5)</f>
        <v>4112</v>
      </c>
      <c r="X52" s="37">
        <f>INT($B41+0.5)</f>
        <v>4793</v>
      </c>
      <c r="Y52" s="37">
        <f>INT($B42+0.5)</f>
        <v>5586</v>
      </c>
      <c r="Z52" s="37">
        <f>INT($B43+0.5)</f>
        <v>6510</v>
      </c>
      <c r="AA52" s="37">
        <f>INT($B44+0.5)</f>
        <v>7588</v>
      </c>
      <c r="AB52" s="37">
        <f>INT($B45+0.5)</f>
        <v>8843</v>
      </c>
      <c r="AC52" s="37">
        <f>INT($B46+0.5)</f>
        <v>10307</v>
      </c>
      <c r="AD52" s="38">
        <f>INT($B47+0.5)</f>
        <v>12012</v>
      </c>
      <c r="AE52" s="38">
        <f>INT($B48+0.5)</f>
        <v>14000</v>
      </c>
    </row>
    <row r="54" spans="1:31" x14ac:dyDescent="0.35">
      <c r="B54" t="s">
        <v>48</v>
      </c>
    </row>
  </sheetData>
  <conditionalFormatting sqref="Q5:Q34">
    <cfRule type="cellIs" dxfId="6" priority="1" operator="greaterThan">
      <formula>1000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/>
  <headerFooter>
    <oddHeader>&amp;CISO11171:2020 Summary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A2DF-3458-44C8-B7F8-96C339D013EE}">
  <sheetPr codeName="Sheet5"/>
  <dimension ref="A1:AW119"/>
  <sheetViews>
    <sheetView zoomScale="70" zoomScaleNormal="70" workbookViewId="0">
      <selection activeCell="B5" sqref="B5"/>
    </sheetView>
  </sheetViews>
  <sheetFormatPr defaultColWidth="11.53125" defaultRowHeight="12.75" x14ac:dyDescent="0.35"/>
  <cols>
    <col min="12" max="12" width="12.3984375" customWidth="1"/>
  </cols>
  <sheetData>
    <row r="1" spans="1:49" x14ac:dyDescent="0.35">
      <c r="A1" t="s">
        <v>49</v>
      </c>
    </row>
    <row r="2" spans="1:49" ht="40.15" x14ac:dyDescent="0.4">
      <c r="A2" s="88" t="s">
        <v>50</v>
      </c>
      <c r="B2" s="88"/>
      <c r="C2" s="88"/>
      <c r="D2" s="88"/>
      <c r="E2" s="88"/>
      <c r="H2" s="39" t="s">
        <v>51</v>
      </c>
    </row>
    <row r="3" spans="1:49" ht="13.15" x14ac:dyDescent="0.4">
      <c r="A3" t="s">
        <v>52</v>
      </c>
      <c r="B3" s="40" t="s">
        <v>53</v>
      </c>
      <c r="D3" t="s">
        <v>54</v>
      </c>
      <c r="E3" s="41">
        <f>'Clause 6'!$G$11</f>
        <v>0.29887691955076784</v>
      </c>
    </row>
    <row r="4" spans="1:49" ht="18.100000000000001" customHeight="1" x14ac:dyDescent="1.05">
      <c r="A4" s="41" t="s">
        <v>8</v>
      </c>
      <c r="B4" s="42">
        <v>45989</v>
      </c>
      <c r="O4" s="43"/>
    </row>
    <row r="5" spans="1:49" ht="13.15" x14ac:dyDescent="0.4">
      <c r="A5" s="41" t="s">
        <v>4</v>
      </c>
      <c r="B5" s="44" t="s">
        <v>12</v>
      </c>
      <c r="O5" s="45"/>
    </row>
    <row r="6" spans="1:49" ht="13.15" x14ac:dyDescent="0.4">
      <c r="A6" t="s">
        <v>55</v>
      </c>
      <c r="B6" s="46" t="str">
        <f ca="1">RIGHT(CELL("filename"),1)</f>
        <v>1</v>
      </c>
      <c r="C6" s="41"/>
      <c r="D6" s="41"/>
      <c r="E6" s="41"/>
      <c r="F6" s="41"/>
    </row>
    <row r="7" spans="1:49" ht="14.65" x14ac:dyDescent="0.5">
      <c r="B7" s="16" t="s">
        <v>56</v>
      </c>
      <c r="C7" s="16" t="s">
        <v>57</v>
      </c>
      <c r="D7" s="16" t="s">
        <v>58</v>
      </c>
      <c r="E7" s="16" t="s">
        <v>59</v>
      </c>
      <c r="F7" s="16" t="s">
        <v>60</v>
      </c>
      <c r="G7" s="16" t="s">
        <v>61</v>
      </c>
      <c r="H7" s="16" t="s">
        <v>62</v>
      </c>
      <c r="I7" s="16" t="s">
        <v>63</v>
      </c>
      <c r="J7" s="16" t="s">
        <v>64</v>
      </c>
      <c r="K7" s="16" t="s">
        <v>65</v>
      </c>
      <c r="L7" s="16" t="s">
        <v>66</v>
      </c>
      <c r="M7" s="16" t="s">
        <v>67</v>
      </c>
      <c r="P7" s="16"/>
    </row>
    <row r="8" spans="1:49" ht="13.15" x14ac:dyDescent="0.4">
      <c r="A8" s="15" t="s">
        <v>68</v>
      </c>
      <c r="B8" s="47">
        <f>B52</f>
        <v>8.2826989999999991</v>
      </c>
      <c r="C8" s="47">
        <f>C52</f>
        <v>8.7278669999999998</v>
      </c>
      <c r="D8" s="47">
        <f>D52</f>
        <v>8.6684219999999996</v>
      </c>
      <c r="E8" s="47">
        <f>E52</f>
        <v>8.7221320000000002</v>
      </c>
      <c r="F8" s="47">
        <f>F52</f>
        <v>8.721622</v>
      </c>
      <c r="G8" s="48">
        <f>AVERAGE(B$8:F$8)*5</f>
        <v>43.122742000000002</v>
      </c>
      <c r="I8" s="49"/>
      <c r="K8" s="49"/>
    </row>
    <row r="9" spans="1:49" ht="13.15" x14ac:dyDescent="0.4">
      <c r="A9" s="15" t="s">
        <v>69</v>
      </c>
      <c r="B9" s="22">
        <f t="shared" ref="B9:F24" si="0">B53/B$8</f>
        <v>4082.3649392547045</v>
      </c>
      <c r="C9" s="22">
        <f t="shared" si="0"/>
        <v>4059.9839571340858</v>
      </c>
      <c r="D9" s="22">
        <f t="shared" si="0"/>
        <v>4137.4312418107938</v>
      </c>
      <c r="E9" s="22">
        <f t="shared" si="0"/>
        <v>4038.5768066798346</v>
      </c>
      <c r="F9" s="22">
        <f t="shared" si="0"/>
        <v>4238.2024811439887</v>
      </c>
      <c r="G9" s="50">
        <f t="shared" ref="G9:G38" si="1">AVERAGE(B9:F9)</f>
        <v>4111.3118852046809</v>
      </c>
      <c r="H9" s="51">
        <f t="shared" ref="H9:H38" si="2">G9*G$8</f>
        <v>177291.04170721507</v>
      </c>
      <c r="I9" s="49">
        <f t="shared" ref="I9:I38" si="3">STDEVP(B9:F9)/AVERAGE(B9:F9)</f>
        <v>1.7385962083777826E-2</v>
      </c>
      <c r="J9" s="49">
        <f t="shared" ref="J9:J38" si="4">IF(H9&gt;$A$43, $C$43, IF(H9&gt;$A$44, $C$44, IF(H9&gt;$A$45,$C$45,IF(H9&gt;$A$46,$C$46, IF(H9&gt;$A$47,$C$47,IF(H9&gt;$A$48,$C$48,$C$49))))))/100</f>
        <v>0.11</v>
      </c>
      <c r="K9" s="49">
        <f t="shared" ref="K9:K38" si="5">(MAX(B9:F9)-MIN(B9:F9))/G9</f>
        <v>4.8555225202579301E-2</v>
      </c>
      <c r="L9" s="22">
        <f>G9/'Clause 6'!$G$11</f>
        <v>13755.869444131918</v>
      </c>
      <c r="M9">
        <f t="shared" ref="M9:M38" si="6">COUNTA(B9:F9)</f>
        <v>5</v>
      </c>
      <c r="P9" s="22"/>
    </row>
    <row r="10" spans="1:49" ht="13.15" x14ac:dyDescent="0.4">
      <c r="A10" s="15" t="s">
        <v>70</v>
      </c>
      <c r="B10" s="22">
        <f t="shared" si="0"/>
        <v>3566.349567936732</v>
      </c>
      <c r="C10" s="22">
        <f t="shared" si="0"/>
        <v>3548.7479357785814</v>
      </c>
      <c r="D10" s="22">
        <f t="shared" si="0"/>
        <v>3605.0390717018622</v>
      </c>
      <c r="E10" s="22">
        <f t="shared" si="0"/>
        <v>3518.520471829594</v>
      </c>
      <c r="F10" s="22">
        <f t="shared" si="0"/>
        <v>3680.9666825734939</v>
      </c>
      <c r="G10" s="50">
        <f t="shared" si="1"/>
        <v>3583.9247459640524</v>
      </c>
      <c r="H10" s="51">
        <f t="shared" si="2"/>
        <v>154548.66216762338</v>
      </c>
      <c r="I10" s="49">
        <f t="shared" si="3"/>
        <v>1.5628798630920749E-2</v>
      </c>
      <c r="J10" s="49">
        <f t="shared" si="4"/>
        <v>0.11</v>
      </c>
      <c r="K10" s="49">
        <f t="shared" si="5"/>
        <v>4.53263453499783E-2</v>
      </c>
      <c r="L10" s="22">
        <f>G10/'Clause 6'!$G$11</f>
        <v>11991.306492822974</v>
      </c>
      <c r="M10">
        <f t="shared" si="6"/>
        <v>5</v>
      </c>
      <c r="P10" s="22"/>
    </row>
    <row r="11" spans="1:49" ht="13.15" x14ac:dyDescent="0.4">
      <c r="A11" s="15" t="s">
        <v>71</v>
      </c>
      <c r="B11" s="22">
        <f t="shared" si="0"/>
        <v>3102.370374681007</v>
      </c>
      <c r="C11" s="22">
        <f t="shared" si="0"/>
        <v>3091.5915652701856</v>
      </c>
      <c r="D11" s="22">
        <f t="shared" si="0"/>
        <v>3126.1745217295606</v>
      </c>
      <c r="E11" s="22">
        <f t="shared" si="0"/>
        <v>3046.8468030522813</v>
      </c>
      <c r="F11" s="22">
        <f t="shared" si="0"/>
        <v>3206.2843356430717</v>
      </c>
      <c r="G11" s="50">
        <f t="shared" si="1"/>
        <v>3114.6535200752214</v>
      </c>
      <c r="H11" s="51">
        <f t="shared" si="2"/>
        <v>134312.40016559561</v>
      </c>
      <c r="I11" s="49">
        <f t="shared" si="3"/>
        <v>1.6873026058252284E-2</v>
      </c>
      <c r="J11" s="49">
        <f t="shared" si="4"/>
        <v>0.11</v>
      </c>
      <c r="K11" s="49">
        <f t="shared" si="5"/>
        <v>5.1189492366695045E-2</v>
      </c>
      <c r="L11" s="22">
        <f>G11/'Clause 6'!$G$11</f>
        <v>10421.191187184195</v>
      </c>
      <c r="M11">
        <f t="shared" si="6"/>
        <v>5</v>
      </c>
      <c r="P11" s="22"/>
    </row>
    <row r="12" spans="1:49" ht="13.15" x14ac:dyDescent="0.4">
      <c r="A12" s="15" t="s">
        <v>72</v>
      </c>
      <c r="B12" s="22">
        <f t="shared" si="0"/>
        <v>2692.9627649151566</v>
      </c>
      <c r="C12" s="22">
        <f t="shared" si="0"/>
        <v>2685.4213062595936</v>
      </c>
      <c r="D12" s="22">
        <f t="shared" si="0"/>
        <v>2694.0312781265147</v>
      </c>
      <c r="E12" s="22">
        <f t="shared" si="0"/>
        <v>2648.6643403241319</v>
      </c>
      <c r="F12" s="22">
        <f t="shared" si="0"/>
        <v>2779.2995385491367</v>
      </c>
      <c r="G12" s="50">
        <f t="shared" si="1"/>
        <v>2700.0758456349067</v>
      </c>
      <c r="H12" s="51">
        <f t="shared" si="2"/>
        <v>116434.67407174592</v>
      </c>
      <c r="I12" s="49">
        <f t="shared" si="3"/>
        <v>1.5905160087428063E-2</v>
      </c>
      <c r="J12" s="49">
        <f t="shared" si="4"/>
        <v>0.11</v>
      </c>
      <c r="K12" s="49">
        <f t="shared" si="5"/>
        <v>4.8382047651067649E-2</v>
      </c>
      <c r="L12" s="22">
        <f>G12/'Clause 6'!$G$11</f>
        <v>9034.0727871971612</v>
      </c>
      <c r="M12">
        <f t="shared" si="6"/>
        <v>5</v>
      </c>
      <c r="P12" s="22"/>
    </row>
    <row r="13" spans="1:49" ht="13.15" x14ac:dyDescent="0.4">
      <c r="A13" s="15" t="s">
        <v>73</v>
      </c>
      <c r="B13" s="22">
        <f t="shared" si="0"/>
        <v>2317.6020280345815</v>
      </c>
      <c r="C13" s="22">
        <f t="shared" si="0"/>
        <v>2304.6868152321754</v>
      </c>
      <c r="D13" s="22">
        <f t="shared" si="0"/>
        <v>2314.2620421571542</v>
      </c>
      <c r="E13" s="22">
        <f t="shared" si="0"/>
        <v>2272.6094950179613</v>
      </c>
      <c r="F13" s="22">
        <f t="shared" si="0"/>
        <v>2402.5347578695796</v>
      </c>
      <c r="G13" s="50">
        <f t="shared" si="1"/>
        <v>2322.3390276622904</v>
      </c>
      <c r="H13" s="51">
        <f t="shared" si="2"/>
        <v>100145.62672641182</v>
      </c>
      <c r="I13" s="49">
        <f t="shared" si="3"/>
        <v>1.8574463124227374E-2</v>
      </c>
      <c r="J13" s="49">
        <f t="shared" si="4"/>
        <v>0.11</v>
      </c>
      <c r="K13" s="49">
        <f t="shared" si="5"/>
        <v>5.594586376236526E-2</v>
      </c>
      <c r="L13" s="22">
        <f>G13/'Clause 6'!$G$11</f>
        <v>7770.2186945479853</v>
      </c>
      <c r="M13">
        <f t="shared" si="6"/>
        <v>5</v>
      </c>
      <c r="P13" s="22"/>
    </row>
    <row r="14" spans="1:49" ht="13.15" x14ac:dyDescent="0.4">
      <c r="A14" s="15" t="s">
        <v>74</v>
      </c>
      <c r="B14" s="22">
        <f t="shared" si="0"/>
        <v>1977.7369671407837</v>
      </c>
      <c r="C14" s="22">
        <f t="shared" si="0"/>
        <v>1973.5635293250916</v>
      </c>
      <c r="D14" s="22">
        <f t="shared" si="0"/>
        <v>1988.4818713256</v>
      </c>
      <c r="E14" s="22">
        <f t="shared" si="0"/>
        <v>1947.1156822666751</v>
      </c>
      <c r="F14" s="22">
        <f t="shared" si="0"/>
        <v>2045.0324492393731</v>
      </c>
      <c r="G14" s="50">
        <f t="shared" si="1"/>
        <v>1986.3860998595046</v>
      </c>
      <c r="H14" s="51">
        <f t="shared" si="2"/>
        <v>85658.41529662766</v>
      </c>
      <c r="I14" s="49">
        <f t="shared" si="3"/>
        <v>1.62742835226421E-2</v>
      </c>
      <c r="J14" s="49">
        <f t="shared" si="4"/>
        <v>0.11</v>
      </c>
      <c r="K14" s="49">
        <f t="shared" si="5"/>
        <v>4.9293924771031984E-2</v>
      </c>
      <c r="L14" s="22">
        <f>G14/'Clause 6'!$G$11</f>
        <v>6646.1676025207198</v>
      </c>
      <c r="M14">
        <f t="shared" si="6"/>
        <v>5</v>
      </c>
      <c r="P14" s="22"/>
    </row>
    <row r="15" spans="1:49" ht="13.15" x14ac:dyDescent="0.4">
      <c r="A15" s="15" t="s">
        <v>75</v>
      </c>
      <c r="B15" s="22">
        <f t="shared" si="0"/>
        <v>1676.2651884367647</v>
      </c>
      <c r="C15" s="22">
        <f t="shared" si="0"/>
        <v>1677.6149315749199</v>
      </c>
      <c r="D15" s="22">
        <f t="shared" si="0"/>
        <v>1685.3125055517603</v>
      </c>
      <c r="E15" s="22">
        <f t="shared" si="0"/>
        <v>1653.6094615399079</v>
      </c>
      <c r="F15" s="22">
        <f t="shared" si="0"/>
        <v>1737.6354994518222</v>
      </c>
      <c r="G15" s="50">
        <f t="shared" si="1"/>
        <v>1686.0875173110348</v>
      </c>
      <c r="H15" s="51">
        <f t="shared" si="2"/>
        <v>72708.716998424294</v>
      </c>
      <c r="I15" s="49">
        <f t="shared" si="3"/>
        <v>1.6523426288206289E-2</v>
      </c>
      <c r="J15" s="49">
        <f t="shared" si="4"/>
        <v>0.11</v>
      </c>
      <c r="K15" s="49">
        <f t="shared" si="5"/>
        <v>4.9834920814738393E-2</v>
      </c>
      <c r="L15" s="22">
        <f>G15/'Clause 6'!$G$11</f>
        <v>5641.4109187331633</v>
      </c>
      <c r="M15">
        <f t="shared" si="6"/>
        <v>5</v>
      </c>
      <c r="P15" s="2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ht="13.15" x14ac:dyDescent="0.4">
      <c r="A16" s="15" t="s">
        <v>76</v>
      </c>
      <c r="B16" s="22">
        <f t="shared" si="0"/>
        <v>1410.2890857195223</v>
      </c>
      <c r="C16" s="22">
        <f t="shared" si="0"/>
        <v>1415.5806911356462</v>
      </c>
      <c r="D16" s="22">
        <f t="shared" si="0"/>
        <v>1409.0223110965296</v>
      </c>
      <c r="E16" s="22">
        <f t="shared" si="0"/>
        <v>1387.6194490062751</v>
      </c>
      <c r="F16" s="22">
        <f t="shared" si="0"/>
        <v>1458.3296547362406</v>
      </c>
      <c r="G16" s="50">
        <f t="shared" si="1"/>
        <v>1416.1682383388429</v>
      </c>
      <c r="H16" s="51">
        <f t="shared" si="2"/>
        <v>61069.057570480436</v>
      </c>
      <c r="I16" s="49">
        <f t="shared" si="3"/>
        <v>1.6343815773456175E-2</v>
      </c>
      <c r="J16" s="49">
        <f t="shared" si="4"/>
        <v>0.11</v>
      </c>
      <c r="K16" s="49">
        <f t="shared" si="5"/>
        <v>4.9930653587393119E-2</v>
      </c>
      <c r="L16" s="22">
        <f>G16/'Clause 6'!$G$11</f>
        <v>4738.2990980616341</v>
      </c>
      <c r="M16">
        <f t="shared" si="6"/>
        <v>5</v>
      </c>
      <c r="P16" s="22"/>
      <c r="Q16" s="41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ht="13.15" x14ac:dyDescent="0.4">
      <c r="A17" s="15" t="s">
        <v>77</v>
      </c>
      <c r="B17" s="22">
        <f t="shared" si="0"/>
        <v>1168.3389677688397</v>
      </c>
      <c r="C17" s="22">
        <f t="shared" si="0"/>
        <v>1165.3477304363139</v>
      </c>
      <c r="D17" s="22">
        <f t="shared" si="0"/>
        <v>1164.5718217225697</v>
      </c>
      <c r="E17" s="22">
        <f t="shared" si="0"/>
        <v>1151.4386620152045</v>
      </c>
      <c r="F17" s="22">
        <f t="shared" si="0"/>
        <v>1208.376148381574</v>
      </c>
      <c r="G17" s="50">
        <f t="shared" si="1"/>
        <v>1171.6146660649003</v>
      </c>
      <c r="H17" s="51">
        <f t="shared" si="2"/>
        <v>50523.236968132856</v>
      </c>
      <c r="I17" s="49">
        <f t="shared" si="3"/>
        <v>1.6453673577136566E-2</v>
      </c>
      <c r="J17" s="49">
        <f t="shared" si="4"/>
        <v>0.11</v>
      </c>
      <c r="K17" s="49">
        <f t="shared" si="5"/>
        <v>4.859745103533513E-2</v>
      </c>
      <c r="L17" s="22">
        <f>G17/'Clause 6'!$G$11</f>
        <v>3920.0573527923007</v>
      </c>
      <c r="M17">
        <f t="shared" si="6"/>
        <v>5</v>
      </c>
      <c r="P17" s="22"/>
      <c r="Q17" s="41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ht="13.15" x14ac:dyDescent="0.4">
      <c r="A18" s="15" t="s">
        <v>78</v>
      </c>
      <c r="B18" s="22">
        <f t="shared" si="0"/>
        <v>952.46730564517691</v>
      </c>
      <c r="C18" s="22">
        <f t="shared" si="0"/>
        <v>953.95587490047683</v>
      </c>
      <c r="D18" s="22">
        <f t="shared" si="0"/>
        <v>956.92157119254239</v>
      </c>
      <c r="E18" s="22">
        <f t="shared" si="0"/>
        <v>948.62127745830946</v>
      </c>
      <c r="F18" s="22">
        <f t="shared" si="0"/>
        <v>982.50073208859544</v>
      </c>
      <c r="G18" s="50">
        <f t="shared" si="1"/>
        <v>958.8933522570203</v>
      </c>
      <c r="H18" s="51">
        <f t="shared" si="2"/>
        <v>41350.110634894605</v>
      </c>
      <c r="I18" s="49">
        <f t="shared" si="3"/>
        <v>1.2621596334575489E-2</v>
      </c>
      <c r="J18" s="49">
        <f t="shared" si="4"/>
        <v>0.11</v>
      </c>
      <c r="K18" s="49">
        <f t="shared" si="5"/>
        <v>3.5331827622478898E-2</v>
      </c>
      <c r="L18" s="22">
        <f>G18/'Clause 6'!$G$11</f>
        <v>3208.3218526820392</v>
      </c>
      <c r="M18">
        <f t="shared" si="6"/>
        <v>5</v>
      </c>
      <c r="P18" s="22"/>
      <c r="Q18" s="41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3.15" x14ac:dyDescent="0.4">
      <c r="A19" s="15" t="s">
        <v>79</v>
      </c>
      <c r="B19" s="22">
        <f t="shared" si="0"/>
        <v>767.98637738737102</v>
      </c>
      <c r="C19" s="22">
        <f t="shared" si="0"/>
        <v>766.39572990743329</v>
      </c>
      <c r="D19" s="22">
        <f t="shared" si="0"/>
        <v>774.30471197641282</v>
      </c>
      <c r="E19" s="22">
        <f t="shared" si="0"/>
        <v>767.70220858845062</v>
      </c>
      <c r="F19" s="22">
        <f t="shared" si="0"/>
        <v>788.04149044753376</v>
      </c>
      <c r="G19" s="50">
        <f t="shared" si="1"/>
        <v>772.8861036614403</v>
      </c>
      <c r="H19" s="51">
        <f t="shared" si="2"/>
        <v>33328.968043577544</v>
      </c>
      <c r="I19" s="49">
        <f t="shared" si="3"/>
        <v>1.0426602259902353E-2</v>
      </c>
      <c r="J19" s="49">
        <f t="shared" si="4"/>
        <v>0.11</v>
      </c>
      <c r="K19" s="49">
        <f t="shared" si="5"/>
        <v>2.8006404097003029E-2</v>
      </c>
      <c r="L19" s="22">
        <f>G19/'Clause 6'!$G$11</f>
        <v>2585.9678453028096</v>
      </c>
      <c r="M19">
        <f t="shared" si="6"/>
        <v>5</v>
      </c>
      <c r="P19" s="22"/>
      <c r="Q19" s="41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ht="13.15" x14ac:dyDescent="0.4">
      <c r="A20" s="15" t="s">
        <v>80</v>
      </c>
      <c r="B20" s="22">
        <f t="shared" si="0"/>
        <v>618.7596579327585</v>
      </c>
      <c r="C20" s="22">
        <f t="shared" si="0"/>
        <v>611.71876244218663</v>
      </c>
      <c r="D20" s="22">
        <f t="shared" si="0"/>
        <v>616.02907657241428</v>
      </c>
      <c r="E20" s="22">
        <f t="shared" si="0"/>
        <v>613.26749010448361</v>
      </c>
      <c r="F20" s="22">
        <f t="shared" si="0"/>
        <v>615.25252986199132</v>
      </c>
      <c r="G20" s="50">
        <f t="shared" si="1"/>
        <v>615.00550338276685</v>
      </c>
      <c r="H20" s="51">
        <f t="shared" si="2"/>
        <v>26520.723650955184</v>
      </c>
      <c r="I20" s="49">
        <f t="shared" si="3"/>
        <v>3.9176692796988122E-3</v>
      </c>
      <c r="J20" s="49">
        <f t="shared" si="4"/>
        <v>0.11</v>
      </c>
      <c r="K20" s="49">
        <f t="shared" si="5"/>
        <v>1.1448508105771797E-2</v>
      </c>
      <c r="L20" s="22">
        <f>G20/'Clause 6'!$G$11</f>
        <v>2057.7216344010826</v>
      </c>
      <c r="M20">
        <f t="shared" si="6"/>
        <v>5</v>
      </c>
      <c r="P20" s="22"/>
      <c r="Q20" s="4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3.15" x14ac:dyDescent="0.4">
      <c r="A21" s="15" t="s">
        <v>81</v>
      </c>
      <c r="B21" s="22">
        <f t="shared" si="0"/>
        <v>484.74537104390737</v>
      </c>
      <c r="C21" s="22">
        <f t="shared" si="0"/>
        <v>475.48845554131384</v>
      </c>
      <c r="D21" s="22">
        <f t="shared" si="0"/>
        <v>479.32599497347962</v>
      </c>
      <c r="E21" s="22">
        <f t="shared" si="0"/>
        <v>486.34897981365106</v>
      </c>
      <c r="F21" s="22">
        <f t="shared" si="0"/>
        <v>479.26864979931486</v>
      </c>
      <c r="G21" s="50">
        <f t="shared" si="1"/>
        <v>481.03549023433334</v>
      </c>
      <c r="H21" s="51">
        <f t="shared" si="2"/>
        <v>20743.569338218676</v>
      </c>
      <c r="I21" s="49">
        <f t="shared" si="3"/>
        <v>8.2533215052795639E-3</v>
      </c>
      <c r="J21" s="49">
        <f t="shared" si="4"/>
        <v>0.11</v>
      </c>
      <c r="K21" s="49">
        <f t="shared" si="5"/>
        <v>2.2577386685224788E-2</v>
      </c>
      <c r="L21" s="22">
        <f>G21/'Clause 6'!$G$11</f>
        <v>1609.4768741506107</v>
      </c>
      <c r="M21">
        <f t="shared" si="6"/>
        <v>5</v>
      </c>
      <c r="P21" s="22"/>
      <c r="R21" s="16"/>
      <c r="S21" s="16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3.15" x14ac:dyDescent="0.4">
      <c r="A22" s="15" t="s">
        <v>82</v>
      </c>
      <c r="B22" s="22">
        <f t="shared" si="0"/>
        <v>373.91193377907376</v>
      </c>
      <c r="C22" s="22">
        <f t="shared" si="0"/>
        <v>372.48505276260511</v>
      </c>
      <c r="D22" s="22">
        <f t="shared" si="0"/>
        <v>370.07889094462638</v>
      </c>
      <c r="E22" s="22">
        <f t="shared" si="0"/>
        <v>377.65995745077004</v>
      </c>
      <c r="F22" s="22">
        <f t="shared" si="0"/>
        <v>369.08272337416139</v>
      </c>
      <c r="G22" s="50">
        <f t="shared" si="1"/>
        <v>372.64371166224731</v>
      </c>
      <c r="H22" s="51">
        <f t="shared" si="2"/>
        <v>16069.418635933484</v>
      </c>
      <c r="I22" s="49">
        <f t="shared" si="3"/>
        <v>8.144429225104579E-3</v>
      </c>
      <c r="J22" s="49">
        <f t="shared" si="4"/>
        <v>0.11</v>
      </c>
      <c r="K22" s="49">
        <f t="shared" si="5"/>
        <v>2.3017251621792523E-2</v>
      </c>
      <c r="L22" s="22">
        <f>G22/'Clause 6'!$G$11</f>
        <v>1246.8132775938534</v>
      </c>
      <c r="M22">
        <f t="shared" si="6"/>
        <v>5</v>
      </c>
      <c r="P22" s="2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</row>
    <row r="23" spans="1:49" ht="13.15" x14ac:dyDescent="0.4">
      <c r="A23" s="15" t="s">
        <v>83</v>
      </c>
      <c r="B23" s="22">
        <f t="shared" si="0"/>
        <v>290.00208748380209</v>
      </c>
      <c r="C23" s="22">
        <f t="shared" si="0"/>
        <v>290.21982117738503</v>
      </c>
      <c r="D23" s="22">
        <f t="shared" si="0"/>
        <v>288.8645707373268</v>
      </c>
      <c r="E23" s="22">
        <f t="shared" si="0"/>
        <v>292.81831552193887</v>
      </c>
      <c r="F23" s="22">
        <f t="shared" si="0"/>
        <v>286.29995659064332</v>
      </c>
      <c r="G23" s="50">
        <f t="shared" si="1"/>
        <v>289.64095030221927</v>
      </c>
      <c r="H23" s="51">
        <f t="shared" si="2"/>
        <v>12490.111972517425</v>
      </c>
      <c r="I23" s="49">
        <f t="shared" si="3"/>
        <v>7.2956182999975982E-3</v>
      </c>
      <c r="J23" s="49">
        <f t="shared" si="4"/>
        <v>0.11</v>
      </c>
      <c r="K23" s="49">
        <f t="shared" si="5"/>
        <v>2.2504963212191226E-2</v>
      </c>
      <c r="L23" s="22">
        <f>G23/'Clause 6'!$G$11</f>
        <v>969.09775012928117</v>
      </c>
      <c r="M23">
        <f t="shared" si="6"/>
        <v>5</v>
      </c>
      <c r="P23" s="2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49" ht="13.15" x14ac:dyDescent="0.4">
      <c r="A24" s="15" t="s">
        <v>84</v>
      </c>
      <c r="B24" s="22">
        <f t="shared" si="0"/>
        <v>221.78760812145899</v>
      </c>
      <c r="C24" s="22">
        <f t="shared" si="0"/>
        <v>229.49478950584376</v>
      </c>
      <c r="D24" s="22">
        <f t="shared" si="0"/>
        <v>223.80082557125161</v>
      </c>
      <c r="E24" s="22">
        <f t="shared" si="0"/>
        <v>226.77941585841626</v>
      </c>
      <c r="F24" s="22">
        <f t="shared" si="0"/>
        <v>220.83048313719627</v>
      </c>
      <c r="G24" s="50">
        <f t="shared" si="1"/>
        <v>224.53862443883341</v>
      </c>
      <c r="H24" s="51">
        <f t="shared" si="2"/>
        <v>9682.721170710709</v>
      </c>
      <c r="I24" s="49">
        <f t="shared" si="3"/>
        <v>1.4285845331864095E-2</v>
      </c>
      <c r="J24" s="49">
        <f t="shared" si="4"/>
        <v>0.113</v>
      </c>
      <c r="K24" s="49">
        <f t="shared" si="5"/>
        <v>3.8587153503328475E-2</v>
      </c>
      <c r="L24" s="22">
        <f>G24/'Clause 6'!$G$11</f>
        <v>751.27455400815188</v>
      </c>
      <c r="M24">
        <f t="shared" si="6"/>
        <v>5</v>
      </c>
      <c r="P24" s="22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</row>
    <row r="25" spans="1:49" ht="13.15" x14ac:dyDescent="0.4">
      <c r="A25" s="15" t="s">
        <v>85</v>
      </c>
      <c r="B25" s="22">
        <f t="shared" ref="B25:F38" si="7">B69/B$8</f>
        <v>171.44170034429601</v>
      </c>
      <c r="C25" s="22">
        <f t="shared" si="7"/>
        <v>177.47749822493859</v>
      </c>
      <c r="D25" s="22">
        <f t="shared" si="7"/>
        <v>176.50271295052318</v>
      </c>
      <c r="E25" s="22">
        <f t="shared" si="7"/>
        <v>174.26931855651804</v>
      </c>
      <c r="F25" s="22">
        <f t="shared" si="7"/>
        <v>171.87170001176386</v>
      </c>
      <c r="G25" s="50">
        <f t="shared" si="1"/>
        <v>174.31258601760794</v>
      </c>
      <c r="H25" s="51">
        <f t="shared" si="2"/>
        <v>7516.8366741901154</v>
      </c>
      <c r="I25" s="49">
        <f t="shared" si="3"/>
        <v>1.3819691092581035E-2</v>
      </c>
      <c r="J25" s="49">
        <f t="shared" si="4"/>
        <v>0.113</v>
      </c>
      <c r="K25" s="49">
        <f t="shared" si="5"/>
        <v>3.4626288431248896E-2</v>
      </c>
      <c r="L25" s="22">
        <f>G25/'Clause 6'!$G$11</f>
        <v>583.22531656044737</v>
      </c>
      <c r="M25">
        <f t="shared" si="6"/>
        <v>5</v>
      </c>
      <c r="P25" s="2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49" ht="13.15" x14ac:dyDescent="0.4">
      <c r="A26" s="15" t="s">
        <v>86</v>
      </c>
      <c r="B26" s="22">
        <f t="shared" si="7"/>
        <v>137.51556105081207</v>
      </c>
      <c r="C26" s="22">
        <f t="shared" si="7"/>
        <v>140.01129943891218</v>
      </c>
      <c r="D26" s="22">
        <f t="shared" si="7"/>
        <v>138.89494535452934</v>
      </c>
      <c r="E26" s="22">
        <f t="shared" si="7"/>
        <v>139.07150224280028</v>
      </c>
      <c r="F26" s="22">
        <f t="shared" si="7"/>
        <v>135.63990734750945</v>
      </c>
      <c r="G26" s="50">
        <f t="shared" si="1"/>
        <v>138.22664308691265</v>
      </c>
      <c r="H26" s="51">
        <f t="shared" si="2"/>
        <v>5960.7118673630175</v>
      </c>
      <c r="I26" s="49">
        <f t="shared" si="3"/>
        <v>1.0991792596128832E-2</v>
      </c>
      <c r="J26" s="49">
        <f t="shared" si="4"/>
        <v>0.113</v>
      </c>
      <c r="K26" s="49">
        <f t="shared" si="5"/>
        <v>3.1624815547709781E-2</v>
      </c>
      <c r="L26" s="22">
        <f>G26/'Clause 6'!$G$11</f>
        <v>462.48684339585878</v>
      </c>
      <c r="M26">
        <f t="shared" si="6"/>
        <v>5</v>
      </c>
      <c r="P26" s="22"/>
    </row>
    <row r="27" spans="1:49" ht="13.15" x14ac:dyDescent="0.4">
      <c r="A27" s="15" t="s">
        <v>87</v>
      </c>
      <c r="B27" s="22">
        <f t="shared" si="7"/>
        <v>106.48702796033034</v>
      </c>
      <c r="C27" s="22">
        <f t="shared" si="7"/>
        <v>110.10708572896448</v>
      </c>
      <c r="D27" s="22">
        <f t="shared" si="7"/>
        <v>108.2088527762031</v>
      </c>
      <c r="E27" s="22">
        <f t="shared" si="7"/>
        <v>107.54251368816706</v>
      </c>
      <c r="F27" s="22">
        <f t="shared" si="7"/>
        <v>103.76510240870334</v>
      </c>
      <c r="G27" s="50">
        <f t="shared" si="1"/>
        <v>107.22211651247366</v>
      </c>
      <c r="H27" s="51">
        <f t="shared" si="2"/>
        <v>4623.7116670613414</v>
      </c>
      <c r="I27" s="49">
        <f t="shared" si="3"/>
        <v>1.9514614180933684E-2</v>
      </c>
      <c r="J27" s="49">
        <f t="shared" si="4"/>
        <v>0.11900000000000001</v>
      </c>
      <c r="K27" s="49">
        <f t="shared" si="5"/>
        <v>5.9148089279914023E-2</v>
      </c>
      <c r="L27" s="22">
        <f>G27/'Clause 6'!$G$11</f>
        <v>358.75007234963385</v>
      </c>
      <c r="M27">
        <f t="shared" si="6"/>
        <v>5</v>
      </c>
      <c r="P27" s="22"/>
    </row>
    <row r="28" spans="1:49" ht="13.15" x14ac:dyDescent="0.4">
      <c r="A28" s="15" t="s">
        <v>88</v>
      </c>
      <c r="B28" s="22">
        <f t="shared" si="7"/>
        <v>81.495174459436484</v>
      </c>
      <c r="C28" s="22">
        <f t="shared" si="7"/>
        <v>86.504526249082389</v>
      </c>
      <c r="D28" s="22">
        <f t="shared" si="7"/>
        <v>83.175461462305364</v>
      </c>
      <c r="E28" s="22">
        <f t="shared" si="7"/>
        <v>83.121878916760252</v>
      </c>
      <c r="F28" s="22">
        <f t="shared" si="7"/>
        <v>78.769751773236678</v>
      </c>
      <c r="G28" s="50">
        <f t="shared" si="1"/>
        <v>82.613358572164231</v>
      </c>
      <c r="H28" s="51">
        <f t="shared" si="2"/>
        <v>3562.5145474609267</v>
      </c>
      <c r="I28" s="49">
        <f t="shared" si="3"/>
        <v>3.0497482426678494E-2</v>
      </c>
      <c r="J28" s="49">
        <f t="shared" si="4"/>
        <v>0.11900000000000001</v>
      </c>
      <c r="K28" s="49">
        <f t="shared" si="5"/>
        <v>9.3626195684675478E-2</v>
      </c>
      <c r="L28" s="22">
        <f>G28/'Clause 6'!$G$11</f>
        <v>276.41264068278565</v>
      </c>
      <c r="M28">
        <f t="shared" si="6"/>
        <v>5</v>
      </c>
      <c r="P28" s="22"/>
    </row>
    <row r="29" spans="1:49" ht="13.15" x14ac:dyDescent="0.4">
      <c r="A29" s="15" t="s">
        <v>89</v>
      </c>
      <c r="B29" s="22">
        <f t="shared" si="7"/>
        <v>65.920541118299724</v>
      </c>
      <c r="C29" s="22">
        <f t="shared" si="7"/>
        <v>68.287016747620015</v>
      </c>
      <c r="D29" s="22">
        <f t="shared" si="7"/>
        <v>66.678802670197641</v>
      </c>
      <c r="E29" s="22">
        <f t="shared" si="7"/>
        <v>67.070757470765173</v>
      </c>
      <c r="F29" s="22">
        <f t="shared" si="7"/>
        <v>60.768513012831789</v>
      </c>
      <c r="G29" s="50">
        <f t="shared" si="1"/>
        <v>65.745126203942874</v>
      </c>
      <c r="H29" s="51">
        <f t="shared" si="2"/>
        <v>2835.1101150500681</v>
      </c>
      <c r="I29" s="49">
        <f t="shared" si="3"/>
        <v>3.9597933756432696E-2</v>
      </c>
      <c r="J29" s="49">
        <f t="shared" si="4"/>
        <v>0.11900000000000001</v>
      </c>
      <c r="K29" s="49">
        <f t="shared" si="5"/>
        <v>0.11435834363547583</v>
      </c>
      <c r="L29" s="22">
        <f>G29/'Clause 6'!$G$11</f>
        <v>219.97391535874442</v>
      </c>
      <c r="M29">
        <f t="shared" si="6"/>
        <v>5</v>
      </c>
      <c r="P29" s="22"/>
    </row>
    <row r="30" spans="1:49" ht="13.15" x14ac:dyDescent="0.4">
      <c r="A30" s="15" t="s">
        <v>90</v>
      </c>
      <c r="B30" s="22">
        <f t="shared" si="7"/>
        <v>48.776371083870131</v>
      </c>
      <c r="C30" s="22">
        <f t="shared" si="7"/>
        <v>52.017291280905177</v>
      </c>
      <c r="D30" s="22">
        <f t="shared" si="7"/>
        <v>49.720698876912088</v>
      </c>
      <c r="E30" s="22">
        <f t="shared" si="7"/>
        <v>51.248937759712874</v>
      </c>
      <c r="F30" s="22">
        <f t="shared" si="7"/>
        <v>44.945768115151061</v>
      </c>
      <c r="G30" s="50">
        <f t="shared" si="1"/>
        <v>49.341813423310263</v>
      </c>
      <c r="H30" s="51">
        <f t="shared" si="2"/>
        <v>2127.7542900655453</v>
      </c>
      <c r="I30" s="49">
        <f t="shared" si="3"/>
        <v>5.0123986400689012E-2</v>
      </c>
      <c r="J30" s="49">
        <f t="shared" si="4"/>
        <v>0.11900000000000001</v>
      </c>
      <c r="K30" s="49">
        <f t="shared" si="5"/>
        <v>0.14331705049197396</v>
      </c>
      <c r="L30" s="22">
        <f>G30/'Clause 6'!$G$11</f>
        <v>165.09074537262475</v>
      </c>
      <c r="M30">
        <f t="shared" si="6"/>
        <v>5</v>
      </c>
      <c r="P30" s="22"/>
    </row>
    <row r="31" spans="1:49" ht="13.15" x14ac:dyDescent="0.4">
      <c r="A31" s="15" t="s">
        <v>91</v>
      </c>
      <c r="B31" s="22">
        <f t="shared" si="7"/>
        <v>36.823745496486112</v>
      </c>
      <c r="C31" s="22">
        <f t="shared" si="7"/>
        <v>40.330587072419874</v>
      </c>
      <c r="D31" s="22">
        <f t="shared" si="7"/>
        <v>38.415296348055044</v>
      </c>
      <c r="E31" s="22">
        <f t="shared" si="7"/>
        <v>38.637342337859593</v>
      </c>
      <c r="F31" s="22">
        <f t="shared" si="7"/>
        <v>32.333435225695403</v>
      </c>
      <c r="G31" s="50">
        <f t="shared" si="1"/>
        <v>37.308081296103204</v>
      </c>
      <c r="H31" s="51">
        <f t="shared" si="2"/>
        <v>1608.8267642468841</v>
      </c>
      <c r="I31" s="49">
        <f t="shared" si="3"/>
        <v>7.3022729698244027E-2</v>
      </c>
      <c r="J31" s="49">
        <f t="shared" si="4"/>
        <v>0.13400000000000001</v>
      </c>
      <c r="K31" s="49">
        <f t="shared" si="5"/>
        <v>0.21435441247308973</v>
      </c>
      <c r="L31" s="22">
        <f>G31/'Clause 6'!$G$11</f>
        <v>124.82757568627167</v>
      </c>
      <c r="M31">
        <f t="shared" si="6"/>
        <v>5</v>
      </c>
      <c r="P31" s="22"/>
    </row>
    <row r="32" spans="1:49" ht="13.15" x14ac:dyDescent="0.4">
      <c r="A32" s="15" t="s">
        <v>92</v>
      </c>
      <c r="B32" s="22">
        <f t="shared" si="7"/>
        <v>28.613861254646586</v>
      </c>
      <c r="C32" s="22">
        <f t="shared" si="7"/>
        <v>32.53945093342967</v>
      </c>
      <c r="D32" s="22">
        <f t="shared" si="7"/>
        <v>29.993925076559496</v>
      </c>
      <c r="E32" s="22">
        <f t="shared" si="7"/>
        <v>29.923876410033692</v>
      </c>
      <c r="F32" s="22">
        <f t="shared" si="7"/>
        <v>23.275487059631796</v>
      </c>
      <c r="G32" s="50">
        <f t="shared" si="1"/>
        <v>28.869320146860247</v>
      </c>
      <c r="H32" s="51">
        <f t="shared" si="2"/>
        <v>1244.9242444084566</v>
      </c>
      <c r="I32" s="49">
        <f t="shared" si="3"/>
        <v>0.10642970088174236</v>
      </c>
      <c r="J32" s="49">
        <f t="shared" si="4"/>
        <v>0.13400000000000001</v>
      </c>
      <c r="K32" s="49">
        <f t="shared" si="5"/>
        <v>0.32089303893099813</v>
      </c>
      <c r="L32" s="22">
        <f>G32/'Clause 6'!$G$11</f>
        <v>96.592671626342977</v>
      </c>
      <c r="M32">
        <f t="shared" si="6"/>
        <v>5</v>
      </c>
      <c r="P32" s="22"/>
    </row>
    <row r="33" spans="1:16" ht="13.15" x14ac:dyDescent="0.4">
      <c r="A33" s="15" t="s">
        <v>93</v>
      </c>
      <c r="B33" s="22">
        <f t="shared" si="7"/>
        <v>23.060116032225729</v>
      </c>
      <c r="C33" s="22">
        <f t="shared" si="7"/>
        <v>23.717135011337824</v>
      </c>
      <c r="D33" s="22">
        <f t="shared" si="7"/>
        <v>22.841527558303</v>
      </c>
      <c r="E33" s="22">
        <f t="shared" si="7"/>
        <v>22.700871759335904</v>
      </c>
      <c r="F33" s="22">
        <f t="shared" si="7"/>
        <v>17.313293330070945</v>
      </c>
      <c r="G33" s="50">
        <f t="shared" si="1"/>
        <v>21.926588738254683</v>
      </c>
      <c r="H33" s="51">
        <f t="shared" si="2"/>
        <v>945.53462909986229</v>
      </c>
      <c r="I33" s="49">
        <f t="shared" si="3"/>
        <v>0.10639193100257076</v>
      </c>
      <c r="J33" s="49">
        <f t="shared" si="4"/>
        <v>0.156</v>
      </c>
      <c r="K33" s="49">
        <f t="shared" si="5"/>
        <v>0.29205827489682801</v>
      </c>
      <c r="L33" s="22">
        <f>G33/'Clause 6'!$G$11</f>
        <v>73.36327198236593</v>
      </c>
      <c r="M33">
        <f t="shared" si="6"/>
        <v>5</v>
      </c>
      <c r="P33" s="22"/>
    </row>
    <row r="34" spans="1:16" ht="13.15" x14ac:dyDescent="0.4">
      <c r="A34" s="15" t="s">
        <v>94</v>
      </c>
      <c r="B34" s="22">
        <f t="shared" si="7"/>
        <v>15.816100524720264</v>
      </c>
      <c r="C34" s="22">
        <f t="shared" si="7"/>
        <v>18.102933970006646</v>
      </c>
      <c r="D34" s="22">
        <f t="shared" si="7"/>
        <v>17.073465043580022</v>
      </c>
      <c r="E34" s="22">
        <f t="shared" si="7"/>
        <v>16.739026650823444</v>
      </c>
      <c r="F34" s="22">
        <f t="shared" si="7"/>
        <v>13.300278319789598</v>
      </c>
      <c r="G34" s="50">
        <f t="shared" si="1"/>
        <v>16.206360901783995</v>
      </c>
      <c r="H34" s="51">
        <f t="shared" si="2"/>
        <v>698.86271992651859</v>
      </c>
      <c r="I34" s="49">
        <f t="shared" si="3"/>
        <v>0.10037206886918353</v>
      </c>
      <c r="J34" s="49">
        <f t="shared" si="4"/>
        <v>0.156</v>
      </c>
      <c r="K34" s="49">
        <f t="shared" si="5"/>
        <v>0.29634386641904115</v>
      </c>
      <c r="L34" s="22">
        <f>G34/'Clause 6'!$G$11</f>
        <v>54.224196790248136</v>
      </c>
      <c r="M34">
        <f t="shared" si="6"/>
        <v>5</v>
      </c>
      <c r="P34" s="22"/>
    </row>
    <row r="35" spans="1:16" ht="13.15" x14ac:dyDescent="0.4">
      <c r="A35" s="15" t="s">
        <v>95</v>
      </c>
      <c r="B35" s="22">
        <f t="shared" si="7"/>
        <v>10.624556077674681</v>
      </c>
      <c r="C35" s="22">
        <f t="shared" si="7"/>
        <v>13.749063774688592</v>
      </c>
      <c r="D35" s="22">
        <f t="shared" si="7"/>
        <v>13.035821283273934</v>
      </c>
      <c r="E35" s="22">
        <f t="shared" si="7"/>
        <v>11.694388482082132</v>
      </c>
      <c r="F35" s="22">
        <f t="shared" si="7"/>
        <v>9.1726057377859309</v>
      </c>
      <c r="G35" s="50">
        <f t="shared" si="1"/>
        <v>11.655287071101053</v>
      </c>
      <c r="H35" s="51">
        <f t="shared" si="2"/>
        <v>502.6079373030264</v>
      </c>
      <c r="I35" s="49">
        <f t="shared" si="3"/>
        <v>0.14107137096374267</v>
      </c>
      <c r="J35" s="49">
        <f t="shared" si="4"/>
        <v>0.156</v>
      </c>
      <c r="K35" s="49">
        <f t="shared" si="5"/>
        <v>0.39265082095230897</v>
      </c>
      <c r="L35" s="22">
        <f>G35/'Clause 6'!$G$11</f>
        <v>38.996945928845008</v>
      </c>
      <c r="M35">
        <f t="shared" si="6"/>
        <v>5</v>
      </c>
      <c r="P35" s="22"/>
    </row>
    <row r="36" spans="1:16" ht="13.15" x14ac:dyDescent="0.4">
      <c r="A36" s="15" t="s">
        <v>96</v>
      </c>
      <c r="B36" s="22">
        <f t="shared" si="7"/>
        <v>7.9684170582560112</v>
      </c>
      <c r="C36" s="22">
        <f t="shared" si="7"/>
        <v>10.426373362472182</v>
      </c>
      <c r="D36" s="22">
        <f t="shared" si="7"/>
        <v>9.8057062750290651</v>
      </c>
      <c r="E36" s="22">
        <f t="shared" si="7"/>
        <v>8.598815060354509</v>
      </c>
      <c r="F36" s="22">
        <f>F80/F$8</f>
        <v>6.1915088730055032</v>
      </c>
      <c r="G36" s="50">
        <f t="shared" si="1"/>
        <v>8.5981641258234554</v>
      </c>
      <c r="H36" s="51">
        <f t="shared" si="2"/>
        <v>370.77641327154043</v>
      </c>
      <c r="I36" s="49">
        <f t="shared" si="3"/>
        <v>0.17242089772017347</v>
      </c>
      <c r="J36" s="49">
        <f t="shared" si="4"/>
        <v>0.193</v>
      </c>
      <c r="K36" s="49">
        <f t="shared" si="5"/>
        <v>0.4925312459142086</v>
      </c>
      <c r="L36" s="22">
        <f>G36/'Clause 6'!$G$11</f>
        <v>28.768243927122494</v>
      </c>
      <c r="M36">
        <f t="shared" si="6"/>
        <v>5</v>
      </c>
      <c r="P36" s="22"/>
    </row>
    <row r="37" spans="1:16" ht="13.15" x14ac:dyDescent="0.4">
      <c r="A37" s="15" t="s">
        <v>97</v>
      </c>
      <c r="B37" s="22">
        <f t="shared" si="7"/>
        <v>5.7952124060043717</v>
      </c>
      <c r="C37" s="22">
        <f t="shared" si="7"/>
        <v>7.6765606075344639</v>
      </c>
      <c r="D37" s="22">
        <f t="shared" si="7"/>
        <v>7.383120018845414</v>
      </c>
      <c r="E37" s="22">
        <f t="shared" si="7"/>
        <v>5.8471942410410662</v>
      </c>
      <c r="F37" s="22">
        <f>F81/F$8</f>
        <v>3.8983574385590205</v>
      </c>
      <c r="G37" s="50">
        <f t="shared" si="1"/>
        <v>6.1200889423968672</v>
      </c>
      <c r="H37" s="51">
        <f t="shared" si="2"/>
        <v>263.91501648003299</v>
      </c>
      <c r="I37" s="49">
        <f t="shared" si="3"/>
        <v>0.2208446007049531</v>
      </c>
      <c r="J37" s="49">
        <f t="shared" si="4"/>
        <v>0.193</v>
      </c>
      <c r="K37" s="49">
        <f t="shared" si="5"/>
        <v>0.61734448707141676</v>
      </c>
      <c r="L37" s="22">
        <f>G37/'Clause 6'!$G$11</f>
        <v>20.476954030427553</v>
      </c>
      <c r="M37">
        <f t="shared" si="6"/>
        <v>5</v>
      </c>
    </row>
    <row r="38" spans="1:16" ht="13.15" x14ac:dyDescent="0.4">
      <c r="A38" s="15" t="s">
        <v>98</v>
      </c>
      <c r="B38" s="22">
        <f t="shared" si="7"/>
        <v>4.2256757127115208</v>
      </c>
      <c r="C38" s="22">
        <f t="shared" si="7"/>
        <v>5.3850499784196986</v>
      </c>
      <c r="D38" s="22">
        <f t="shared" si="7"/>
        <v>4.7298112620728432</v>
      </c>
      <c r="E38" s="22">
        <f t="shared" si="7"/>
        <v>4.3567329639129513</v>
      </c>
      <c r="F38" s="22">
        <f>F82/F$8</f>
        <v>3.0957544365027516</v>
      </c>
      <c r="G38" s="50">
        <f t="shared" si="1"/>
        <v>4.3586048707239531</v>
      </c>
      <c r="H38" s="51">
        <f t="shared" si="2"/>
        <v>187.95499332017241</v>
      </c>
      <c r="I38" s="49">
        <f t="shared" si="3"/>
        <v>0.17180855286553112</v>
      </c>
      <c r="J38" s="49">
        <f t="shared" si="4"/>
        <v>0.27500000000000002</v>
      </c>
      <c r="K38" s="49">
        <f t="shared" si="5"/>
        <v>0.52523585179601306</v>
      </c>
      <c r="L38" s="22">
        <f>G38/'Clause 6'!$G$11</f>
        <v>14.583276879577152</v>
      </c>
      <c r="M38">
        <f t="shared" si="6"/>
        <v>5</v>
      </c>
    </row>
    <row r="40" spans="1:16" x14ac:dyDescent="0.35">
      <c r="A40" t="s">
        <v>99</v>
      </c>
    </row>
    <row r="41" spans="1:16" ht="15" x14ac:dyDescent="0.5">
      <c r="A41" s="53"/>
      <c r="B41" s="54" t="s">
        <v>100</v>
      </c>
      <c r="C41" s="53"/>
      <c r="D41" s="55" t="s">
        <v>101</v>
      </c>
      <c r="E41" s="56"/>
      <c r="F41" s="56"/>
      <c r="G41" s="56"/>
      <c r="H41" s="57"/>
    </row>
    <row r="42" spans="1:16" ht="15" x14ac:dyDescent="0.5">
      <c r="A42" s="58" t="s">
        <v>102</v>
      </c>
      <c r="B42" s="59" t="s">
        <v>103</v>
      </c>
      <c r="C42" s="58" t="s">
        <v>104</v>
      </c>
      <c r="D42" s="58" t="s">
        <v>105</v>
      </c>
      <c r="E42" s="59" t="s">
        <v>106</v>
      </c>
      <c r="F42" s="59" t="s">
        <v>107</v>
      </c>
      <c r="G42" s="59" t="s">
        <v>108</v>
      </c>
      <c r="H42" s="60" t="s">
        <v>109</v>
      </c>
    </row>
    <row r="43" spans="1:16" x14ac:dyDescent="0.35">
      <c r="A43" s="61">
        <v>10000</v>
      </c>
      <c r="C43" s="61">
        <v>11</v>
      </c>
      <c r="D43" s="61">
        <v>7.8</v>
      </c>
      <c r="E43">
        <v>5.3</v>
      </c>
      <c r="F43">
        <v>4</v>
      </c>
      <c r="G43">
        <v>2.7</v>
      </c>
      <c r="H43" s="62">
        <v>1.8</v>
      </c>
    </row>
    <row r="44" spans="1:16" x14ac:dyDescent="0.35">
      <c r="A44" s="61">
        <v>5000</v>
      </c>
      <c r="B44">
        <v>10000</v>
      </c>
      <c r="C44" s="61">
        <v>11.3</v>
      </c>
      <c r="D44" s="61">
        <v>7.8</v>
      </c>
      <c r="E44">
        <v>5.3</v>
      </c>
      <c r="F44">
        <v>4</v>
      </c>
      <c r="G44">
        <v>2.7</v>
      </c>
      <c r="H44" s="62">
        <v>1.9</v>
      </c>
    </row>
    <row r="45" spans="1:16" x14ac:dyDescent="0.35">
      <c r="A45" s="61">
        <v>2000</v>
      </c>
      <c r="B45">
        <v>5000</v>
      </c>
      <c r="C45" s="61">
        <v>11.9</v>
      </c>
      <c r="D45" s="61">
        <v>7.9</v>
      </c>
      <c r="E45">
        <v>5.4</v>
      </c>
      <c r="F45">
        <v>4.0999999999999996</v>
      </c>
      <c r="G45">
        <v>2.9</v>
      </c>
      <c r="H45" s="62">
        <v>2.1</v>
      </c>
    </row>
    <row r="46" spans="1:16" x14ac:dyDescent="0.35">
      <c r="A46" s="61">
        <v>1000</v>
      </c>
      <c r="B46">
        <v>2000</v>
      </c>
      <c r="C46" s="61">
        <v>13.4</v>
      </c>
      <c r="D46" s="61">
        <v>8</v>
      </c>
      <c r="E46">
        <v>5.6</v>
      </c>
      <c r="F46">
        <v>4.3</v>
      </c>
      <c r="G46">
        <v>3.1</v>
      </c>
      <c r="H46" s="62">
        <v>2.4</v>
      </c>
    </row>
    <row r="47" spans="1:16" x14ac:dyDescent="0.35">
      <c r="A47" s="61">
        <v>500</v>
      </c>
      <c r="B47">
        <v>1000</v>
      </c>
      <c r="C47" s="61">
        <v>15.6</v>
      </c>
      <c r="D47" s="61">
        <v>8.1999999999999993</v>
      </c>
      <c r="E47">
        <v>5.9</v>
      </c>
      <c r="F47">
        <v>4.7</v>
      </c>
      <c r="G47">
        <v>3.6</v>
      </c>
      <c r="H47" s="62">
        <v>2.9</v>
      </c>
    </row>
    <row r="48" spans="1:16" x14ac:dyDescent="0.35">
      <c r="A48" s="61">
        <v>200</v>
      </c>
      <c r="B48">
        <v>500</v>
      </c>
      <c r="C48" s="61">
        <v>19.3</v>
      </c>
      <c r="D48" s="61">
        <v>8.9</v>
      </c>
      <c r="E48">
        <v>6.8</v>
      </c>
      <c r="F48">
        <v>5.7</v>
      </c>
      <c r="G48">
        <v>4.7</v>
      </c>
      <c r="H48" s="62">
        <v>4.0999999999999996</v>
      </c>
    </row>
    <row r="49" spans="1:16" x14ac:dyDescent="0.35">
      <c r="A49" s="63">
        <v>100</v>
      </c>
      <c r="B49" s="64">
        <v>200</v>
      </c>
      <c r="C49" s="63">
        <v>27.5</v>
      </c>
      <c r="D49" s="63">
        <v>10</v>
      </c>
      <c r="E49" s="64">
        <v>8</v>
      </c>
      <c r="F49" s="64">
        <v>7</v>
      </c>
      <c r="G49" s="64">
        <v>6.1</v>
      </c>
      <c r="H49" s="65">
        <v>5.5</v>
      </c>
    </row>
    <row r="51" spans="1:16" ht="13.15" x14ac:dyDescent="0.4">
      <c r="B51" s="16" t="s">
        <v>56</v>
      </c>
      <c r="C51" s="16" t="s">
        <v>57</v>
      </c>
      <c r="D51" s="16" t="s">
        <v>58</v>
      </c>
      <c r="E51" s="16" t="s">
        <v>59</v>
      </c>
      <c r="F51" s="16" t="s">
        <v>60</v>
      </c>
      <c r="G51" s="16" t="s">
        <v>56</v>
      </c>
      <c r="H51" s="16" t="s">
        <v>57</v>
      </c>
      <c r="I51" s="16" t="s">
        <v>58</v>
      </c>
      <c r="J51" s="16" t="s">
        <v>59</v>
      </c>
      <c r="K51" s="16" t="s">
        <v>60</v>
      </c>
      <c r="L51" s="16" t="s">
        <v>56</v>
      </c>
      <c r="M51" s="16" t="s">
        <v>57</v>
      </c>
      <c r="N51" s="16" t="s">
        <v>58</v>
      </c>
      <c r="O51" s="16" t="s">
        <v>59</v>
      </c>
      <c r="P51" s="16" t="s">
        <v>60</v>
      </c>
    </row>
    <row r="52" spans="1:16" ht="13.15" x14ac:dyDescent="0.4">
      <c r="A52" s="16" t="s">
        <v>110</v>
      </c>
      <c r="B52">
        <v>8.2826989999999991</v>
      </c>
      <c r="C52">
        <v>8.7278669999999998</v>
      </c>
      <c r="D52">
        <v>8.6684219999999996</v>
      </c>
      <c r="E52">
        <v>8.7221320000000002</v>
      </c>
      <c r="F52">
        <v>8.721622</v>
      </c>
      <c r="G52">
        <v>8.2826989999999991</v>
      </c>
      <c r="H52">
        <v>8.7278669999999998</v>
      </c>
      <c r="I52">
        <v>8.6684219999999996</v>
      </c>
      <c r="J52">
        <v>8.7221320000000002</v>
      </c>
      <c r="K52">
        <v>8.721622</v>
      </c>
      <c r="L52">
        <v>8.2826989999999991</v>
      </c>
      <c r="M52">
        <v>8.7278669999999998</v>
      </c>
      <c r="N52">
        <v>8.6684219999999996</v>
      </c>
      <c r="O52">
        <v>8.7221320000000002</v>
      </c>
      <c r="P52">
        <v>8.721622</v>
      </c>
    </row>
    <row r="53" spans="1:16" ht="13.15" x14ac:dyDescent="0.4">
      <c r="A53" s="41">
        <v>4</v>
      </c>
      <c r="B53">
        <v>33813</v>
      </c>
      <c r="C53">
        <v>35435</v>
      </c>
      <c r="D53">
        <v>35865</v>
      </c>
      <c r="E53">
        <v>35225</v>
      </c>
      <c r="F53">
        <v>36964</v>
      </c>
      <c r="G53">
        <v>33813</v>
      </c>
      <c r="H53">
        <v>35435</v>
      </c>
      <c r="I53">
        <v>35865</v>
      </c>
      <c r="J53">
        <v>35225</v>
      </c>
      <c r="K53">
        <v>36964</v>
      </c>
      <c r="L53">
        <v>33813</v>
      </c>
      <c r="M53">
        <v>35435</v>
      </c>
      <c r="N53">
        <v>35865</v>
      </c>
      <c r="O53">
        <v>35225</v>
      </c>
      <c r="P53">
        <v>36964</v>
      </c>
    </row>
    <row r="54" spans="1:16" ht="13.15" x14ac:dyDescent="0.4">
      <c r="A54" s="41">
        <v>5</v>
      </c>
      <c r="B54">
        <v>29539</v>
      </c>
      <c r="C54">
        <v>30973</v>
      </c>
      <c r="D54">
        <v>31250</v>
      </c>
      <c r="E54">
        <v>30689</v>
      </c>
      <c r="F54">
        <v>32104</v>
      </c>
      <c r="G54">
        <v>29539</v>
      </c>
      <c r="H54">
        <v>30973</v>
      </c>
      <c r="I54">
        <v>31250</v>
      </c>
      <c r="J54">
        <v>30689</v>
      </c>
      <c r="K54">
        <v>32104</v>
      </c>
      <c r="L54">
        <v>29539</v>
      </c>
      <c r="M54">
        <v>30973</v>
      </c>
      <c r="N54">
        <v>31250</v>
      </c>
      <c r="O54">
        <v>30689</v>
      </c>
      <c r="P54">
        <v>32104</v>
      </c>
    </row>
    <row r="55" spans="1:16" ht="13.15" x14ac:dyDescent="0.4">
      <c r="A55" s="41">
        <v>6</v>
      </c>
      <c r="B55">
        <v>25696</v>
      </c>
      <c r="C55">
        <v>26983</v>
      </c>
      <c r="D55">
        <v>27099</v>
      </c>
      <c r="E55">
        <v>26575</v>
      </c>
      <c r="F55">
        <v>27964</v>
      </c>
      <c r="G55">
        <v>25696</v>
      </c>
      <c r="H55">
        <v>26983</v>
      </c>
      <c r="I55">
        <v>27099</v>
      </c>
      <c r="J55">
        <v>26575</v>
      </c>
      <c r="K55">
        <v>27964</v>
      </c>
      <c r="L55">
        <v>25696</v>
      </c>
      <c r="M55">
        <v>26983</v>
      </c>
      <c r="N55">
        <v>27099</v>
      </c>
      <c r="O55">
        <v>26575</v>
      </c>
      <c r="P55">
        <v>27964</v>
      </c>
    </row>
    <row r="56" spans="1:16" ht="13.15" x14ac:dyDescent="0.4">
      <c r="A56" s="41">
        <v>7</v>
      </c>
      <c r="B56">
        <v>22305</v>
      </c>
      <c r="C56">
        <v>23438</v>
      </c>
      <c r="D56">
        <v>23353</v>
      </c>
      <c r="E56">
        <v>23102</v>
      </c>
      <c r="F56">
        <v>24240</v>
      </c>
      <c r="G56">
        <v>22305</v>
      </c>
      <c r="H56">
        <v>23438</v>
      </c>
      <c r="I56">
        <v>23353</v>
      </c>
      <c r="J56">
        <v>23102</v>
      </c>
      <c r="K56">
        <v>24240</v>
      </c>
      <c r="L56">
        <v>22305</v>
      </c>
      <c r="M56">
        <v>23438</v>
      </c>
      <c r="N56">
        <v>23353</v>
      </c>
      <c r="O56">
        <v>23102</v>
      </c>
      <c r="P56">
        <v>24240</v>
      </c>
    </row>
    <row r="57" spans="1:16" ht="13.15" x14ac:dyDescent="0.4">
      <c r="A57" s="41">
        <v>8</v>
      </c>
      <c r="B57">
        <v>19196</v>
      </c>
      <c r="C57">
        <v>20115</v>
      </c>
      <c r="D57">
        <v>20061</v>
      </c>
      <c r="E57">
        <v>19822</v>
      </c>
      <c r="F57">
        <v>20954</v>
      </c>
      <c r="G57">
        <v>19196</v>
      </c>
      <c r="H57">
        <v>20115</v>
      </c>
      <c r="I57">
        <v>20061</v>
      </c>
      <c r="J57">
        <v>19822</v>
      </c>
      <c r="K57">
        <v>20954</v>
      </c>
      <c r="L57">
        <v>19196</v>
      </c>
      <c r="M57">
        <v>20115</v>
      </c>
      <c r="N57">
        <v>20061</v>
      </c>
      <c r="O57">
        <v>19822</v>
      </c>
      <c r="P57">
        <v>20954</v>
      </c>
    </row>
    <row r="58" spans="1:16" ht="13.15" x14ac:dyDescent="0.4">
      <c r="A58" s="41">
        <v>9</v>
      </c>
      <c r="B58">
        <v>16381</v>
      </c>
      <c r="C58">
        <v>17225</v>
      </c>
      <c r="D58">
        <v>17237</v>
      </c>
      <c r="E58">
        <v>16983</v>
      </c>
      <c r="F58">
        <v>17836</v>
      </c>
      <c r="G58">
        <v>16381</v>
      </c>
      <c r="H58">
        <v>17225</v>
      </c>
      <c r="I58">
        <v>17237</v>
      </c>
      <c r="J58">
        <v>16983</v>
      </c>
      <c r="K58">
        <v>17836</v>
      </c>
      <c r="L58">
        <v>16381</v>
      </c>
      <c r="M58">
        <v>17225</v>
      </c>
      <c r="N58">
        <v>17237</v>
      </c>
      <c r="O58">
        <v>16983</v>
      </c>
      <c r="P58">
        <v>17836</v>
      </c>
    </row>
    <row r="59" spans="1:16" ht="13.15" x14ac:dyDescent="0.4">
      <c r="A59" s="41">
        <v>10</v>
      </c>
      <c r="B59">
        <v>13884</v>
      </c>
      <c r="C59">
        <v>14642</v>
      </c>
      <c r="D59">
        <v>14609</v>
      </c>
      <c r="E59">
        <v>14423</v>
      </c>
      <c r="F59">
        <v>15155</v>
      </c>
      <c r="G59">
        <v>13884</v>
      </c>
      <c r="H59">
        <v>14642</v>
      </c>
      <c r="I59">
        <v>14609</v>
      </c>
      <c r="J59">
        <v>14423</v>
      </c>
      <c r="K59">
        <v>15155</v>
      </c>
      <c r="L59">
        <v>13884</v>
      </c>
      <c r="M59">
        <v>14642</v>
      </c>
      <c r="N59">
        <v>14609</v>
      </c>
      <c r="O59">
        <v>14423</v>
      </c>
      <c r="P59">
        <v>15155</v>
      </c>
    </row>
    <row r="60" spans="1:16" ht="13.15" x14ac:dyDescent="0.4">
      <c r="A60" s="41">
        <v>11</v>
      </c>
      <c r="B60">
        <v>11681</v>
      </c>
      <c r="C60">
        <v>12355</v>
      </c>
      <c r="D60">
        <v>12214</v>
      </c>
      <c r="E60">
        <v>12103</v>
      </c>
      <c r="F60">
        <v>12719</v>
      </c>
      <c r="G60">
        <v>11681</v>
      </c>
      <c r="H60">
        <v>12355</v>
      </c>
      <c r="I60">
        <v>12214</v>
      </c>
      <c r="J60">
        <v>12103</v>
      </c>
      <c r="K60">
        <v>12719</v>
      </c>
      <c r="L60">
        <v>11681</v>
      </c>
      <c r="M60">
        <v>12355</v>
      </c>
      <c r="N60">
        <v>12214</v>
      </c>
      <c r="O60">
        <v>12103</v>
      </c>
      <c r="P60">
        <v>12719</v>
      </c>
    </row>
    <row r="61" spans="1:16" ht="13.15" x14ac:dyDescent="0.4">
      <c r="A61" s="41">
        <v>12</v>
      </c>
      <c r="B61">
        <v>9677</v>
      </c>
      <c r="C61">
        <v>10171</v>
      </c>
      <c r="D61">
        <v>10095</v>
      </c>
      <c r="E61">
        <v>10043</v>
      </c>
      <c r="F61">
        <v>10539</v>
      </c>
      <c r="G61">
        <v>9677</v>
      </c>
      <c r="H61">
        <v>10171</v>
      </c>
      <c r="I61">
        <v>10095</v>
      </c>
      <c r="J61">
        <v>10043</v>
      </c>
      <c r="K61">
        <v>10539</v>
      </c>
      <c r="L61">
        <v>9677</v>
      </c>
      <c r="M61">
        <v>10171</v>
      </c>
      <c r="N61">
        <v>10095</v>
      </c>
      <c r="O61">
        <v>10043</v>
      </c>
      <c r="P61">
        <v>10539</v>
      </c>
    </row>
    <row r="62" spans="1:16" ht="13.15" x14ac:dyDescent="0.4">
      <c r="A62" s="41">
        <v>13</v>
      </c>
      <c r="B62">
        <v>7889</v>
      </c>
      <c r="C62">
        <v>8326</v>
      </c>
      <c r="D62">
        <v>8295</v>
      </c>
      <c r="E62">
        <v>8274</v>
      </c>
      <c r="F62">
        <v>8569</v>
      </c>
      <c r="G62">
        <v>7889</v>
      </c>
      <c r="H62">
        <v>8326</v>
      </c>
      <c r="I62">
        <v>8295</v>
      </c>
      <c r="J62">
        <v>8274</v>
      </c>
      <c r="K62">
        <v>8569</v>
      </c>
      <c r="L62">
        <v>7889</v>
      </c>
      <c r="M62">
        <v>8326</v>
      </c>
      <c r="N62">
        <v>8295</v>
      </c>
      <c r="O62">
        <v>8274</v>
      </c>
      <c r="P62">
        <v>8569</v>
      </c>
    </row>
    <row r="63" spans="1:16" ht="13.15" x14ac:dyDescent="0.4">
      <c r="A63" s="41">
        <v>14</v>
      </c>
      <c r="B63">
        <v>6361</v>
      </c>
      <c r="C63">
        <v>6689</v>
      </c>
      <c r="D63">
        <v>6712</v>
      </c>
      <c r="E63">
        <v>6696</v>
      </c>
      <c r="F63">
        <v>6873</v>
      </c>
      <c r="G63">
        <v>6361</v>
      </c>
      <c r="H63">
        <v>6689</v>
      </c>
      <c r="I63">
        <v>6712</v>
      </c>
      <c r="J63">
        <v>6696</v>
      </c>
      <c r="K63">
        <v>6873</v>
      </c>
      <c r="L63">
        <v>6361</v>
      </c>
      <c r="M63">
        <v>6689</v>
      </c>
      <c r="N63">
        <v>6712</v>
      </c>
      <c r="O63">
        <v>6696</v>
      </c>
      <c r="P63">
        <v>6873</v>
      </c>
    </row>
    <row r="64" spans="1:16" ht="13.15" x14ac:dyDescent="0.4">
      <c r="A64" s="41">
        <v>15</v>
      </c>
      <c r="B64">
        <v>5125</v>
      </c>
      <c r="C64">
        <v>5339</v>
      </c>
      <c r="D64">
        <v>5340</v>
      </c>
      <c r="E64">
        <v>5349</v>
      </c>
      <c r="F64">
        <v>5366</v>
      </c>
      <c r="G64">
        <v>5125</v>
      </c>
      <c r="H64">
        <v>5339</v>
      </c>
      <c r="I64">
        <v>5340</v>
      </c>
      <c r="J64">
        <v>5349</v>
      </c>
      <c r="K64">
        <v>5366</v>
      </c>
      <c r="L64">
        <v>5125</v>
      </c>
      <c r="M64">
        <v>5339</v>
      </c>
      <c r="N64">
        <v>5340</v>
      </c>
      <c r="O64">
        <v>5349</v>
      </c>
      <c r="P64">
        <v>5366</v>
      </c>
    </row>
    <row r="65" spans="1:16" ht="13.15" x14ac:dyDescent="0.4">
      <c r="A65" s="41">
        <v>16</v>
      </c>
      <c r="B65">
        <v>4015</v>
      </c>
      <c r="C65">
        <v>4150</v>
      </c>
      <c r="D65">
        <v>4155</v>
      </c>
      <c r="E65">
        <v>4242</v>
      </c>
      <c r="F65">
        <v>4180</v>
      </c>
      <c r="G65">
        <v>4015</v>
      </c>
      <c r="H65">
        <v>4150</v>
      </c>
      <c r="I65">
        <v>4155</v>
      </c>
      <c r="J65">
        <v>4242</v>
      </c>
      <c r="K65">
        <v>4180</v>
      </c>
      <c r="L65">
        <v>4015</v>
      </c>
      <c r="M65">
        <v>4150</v>
      </c>
      <c r="N65">
        <v>4155</v>
      </c>
      <c r="O65">
        <v>4242</v>
      </c>
      <c r="P65">
        <v>4180</v>
      </c>
    </row>
    <row r="66" spans="1:16" ht="13.15" x14ac:dyDescent="0.4">
      <c r="A66" s="41">
        <v>17</v>
      </c>
      <c r="B66">
        <v>3097</v>
      </c>
      <c r="C66">
        <v>3251</v>
      </c>
      <c r="D66">
        <v>3208</v>
      </c>
      <c r="E66">
        <v>3294</v>
      </c>
      <c r="F66">
        <v>3219</v>
      </c>
      <c r="G66">
        <v>3097</v>
      </c>
      <c r="H66">
        <v>3251</v>
      </c>
      <c r="I66">
        <v>3208</v>
      </c>
      <c r="J66">
        <v>3294</v>
      </c>
      <c r="K66">
        <v>3219</v>
      </c>
      <c r="L66">
        <v>3097</v>
      </c>
      <c r="M66">
        <v>3251</v>
      </c>
      <c r="N66">
        <v>3208</v>
      </c>
      <c r="O66">
        <v>3294</v>
      </c>
      <c r="P66">
        <v>3219</v>
      </c>
    </row>
    <row r="67" spans="1:16" ht="13.15" x14ac:dyDescent="0.4">
      <c r="A67" s="41">
        <v>18</v>
      </c>
      <c r="B67">
        <v>2402</v>
      </c>
      <c r="C67">
        <v>2533</v>
      </c>
      <c r="D67">
        <v>2504</v>
      </c>
      <c r="E67">
        <v>2554</v>
      </c>
      <c r="F67">
        <v>2497</v>
      </c>
      <c r="G67">
        <v>2402</v>
      </c>
      <c r="H67">
        <v>2533</v>
      </c>
      <c r="I67">
        <v>2504</v>
      </c>
      <c r="J67">
        <v>2554</v>
      </c>
      <c r="K67">
        <v>2497</v>
      </c>
      <c r="L67">
        <v>2402</v>
      </c>
      <c r="M67">
        <v>2533</v>
      </c>
      <c r="N67">
        <v>2504</v>
      </c>
      <c r="O67">
        <v>2554</v>
      </c>
      <c r="P67">
        <v>2497</v>
      </c>
    </row>
    <row r="68" spans="1:16" ht="13.15" x14ac:dyDescent="0.4">
      <c r="A68" s="41">
        <v>19</v>
      </c>
      <c r="B68">
        <v>1837</v>
      </c>
      <c r="C68">
        <v>2003</v>
      </c>
      <c r="D68">
        <v>1940</v>
      </c>
      <c r="E68">
        <v>1978</v>
      </c>
      <c r="F68">
        <v>1926</v>
      </c>
      <c r="G68">
        <v>1837</v>
      </c>
      <c r="H68">
        <v>2003</v>
      </c>
      <c r="I68">
        <v>1940</v>
      </c>
      <c r="J68">
        <v>1978</v>
      </c>
      <c r="K68">
        <v>1926</v>
      </c>
      <c r="L68">
        <v>1837</v>
      </c>
      <c r="M68">
        <v>2003</v>
      </c>
      <c r="N68">
        <v>1940</v>
      </c>
      <c r="O68">
        <v>1978</v>
      </c>
      <c r="P68">
        <v>1926</v>
      </c>
    </row>
    <row r="69" spans="1:16" ht="13.15" x14ac:dyDescent="0.4">
      <c r="A69" s="41">
        <v>20</v>
      </c>
      <c r="B69">
        <v>1420</v>
      </c>
      <c r="C69">
        <v>1549</v>
      </c>
      <c r="D69">
        <v>1530</v>
      </c>
      <c r="E69">
        <v>1520</v>
      </c>
      <c r="F69">
        <v>1499</v>
      </c>
      <c r="G69">
        <v>1420</v>
      </c>
      <c r="H69">
        <v>1549</v>
      </c>
      <c r="I69">
        <v>1530</v>
      </c>
      <c r="J69">
        <v>1520</v>
      </c>
      <c r="K69">
        <v>1499</v>
      </c>
      <c r="L69">
        <v>1420</v>
      </c>
      <c r="M69">
        <v>1549</v>
      </c>
      <c r="N69">
        <v>1530</v>
      </c>
      <c r="O69">
        <v>1520</v>
      </c>
      <c r="P69">
        <v>1499</v>
      </c>
    </row>
    <row r="70" spans="1:16" ht="13.15" x14ac:dyDescent="0.4">
      <c r="A70" s="41">
        <v>21</v>
      </c>
      <c r="B70">
        <v>1139</v>
      </c>
      <c r="C70">
        <v>1222</v>
      </c>
      <c r="D70">
        <v>1204</v>
      </c>
      <c r="E70">
        <v>1213</v>
      </c>
      <c r="F70">
        <v>1183</v>
      </c>
      <c r="G70">
        <v>1139</v>
      </c>
      <c r="H70">
        <v>1222</v>
      </c>
      <c r="I70">
        <v>1204</v>
      </c>
      <c r="J70">
        <v>1213</v>
      </c>
      <c r="K70">
        <v>1183</v>
      </c>
      <c r="L70">
        <v>1139</v>
      </c>
      <c r="M70">
        <v>1222</v>
      </c>
      <c r="N70">
        <v>1204</v>
      </c>
      <c r="O70">
        <v>1213</v>
      </c>
      <c r="P70">
        <v>1183</v>
      </c>
    </row>
    <row r="71" spans="1:16" ht="13.15" x14ac:dyDescent="0.4">
      <c r="A71" s="41">
        <v>22</v>
      </c>
      <c r="B71">
        <v>882</v>
      </c>
      <c r="C71">
        <v>961</v>
      </c>
      <c r="D71">
        <v>938</v>
      </c>
      <c r="E71">
        <v>938</v>
      </c>
      <c r="F71">
        <v>905</v>
      </c>
      <c r="G71">
        <v>882</v>
      </c>
      <c r="H71">
        <v>961</v>
      </c>
      <c r="I71">
        <v>938</v>
      </c>
      <c r="J71">
        <v>938</v>
      </c>
      <c r="K71">
        <v>905</v>
      </c>
      <c r="L71">
        <v>882</v>
      </c>
      <c r="M71">
        <v>961</v>
      </c>
      <c r="N71">
        <v>938</v>
      </c>
      <c r="O71">
        <v>938</v>
      </c>
      <c r="P71">
        <v>905</v>
      </c>
    </row>
    <row r="72" spans="1:16" ht="13.15" x14ac:dyDescent="0.4">
      <c r="A72" s="41">
        <v>23</v>
      </c>
      <c r="B72">
        <v>675</v>
      </c>
      <c r="C72">
        <v>755</v>
      </c>
      <c r="D72">
        <v>721</v>
      </c>
      <c r="E72">
        <v>725</v>
      </c>
      <c r="F72">
        <v>687</v>
      </c>
      <c r="G72">
        <v>675</v>
      </c>
      <c r="H72">
        <v>755</v>
      </c>
      <c r="I72">
        <v>721</v>
      </c>
      <c r="J72">
        <v>725</v>
      </c>
      <c r="K72">
        <v>687</v>
      </c>
      <c r="L72">
        <v>675</v>
      </c>
      <c r="M72">
        <v>755</v>
      </c>
      <c r="N72">
        <v>721</v>
      </c>
      <c r="O72">
        <v>725</v>
      </c>
      <c r="P72">
        <v>687</v>
      </c>
    </row>
    <row r="73" spans="1:16" ht="13.15" x14ac:dyDescent="0.4">
      <c r="A73" s="41">
        <v>24</v>
      </c>
      <c r="B73">
        <v>546</v>
      </c>
      <c r="C73">
        <v>596</v>
      </c>
      <c r="D73">
        <v>578</v>
      </c>
      <c r="E73">
        <v>585</v>
      </c>
      <c r="F73">
        <v>530</v>
      </c>
      <c r="G73">
        <v>546</v>
      </c>
      <c r="H73">
        <v>596</v>
      </c>
      <c r="I73">
        <v>578</v>
      </c>
      <c r="J73">
        <v>585</v>
      </c>
      <c r="K73">
        <v>530</v>
      </c>
      <c r="L73">
        <v>546</v>
      </c>
      <c r="M73">
        <v>596</v>
      </c>
      <c r="N73">
        <v>578</v>
      </c>
      <c r="O73">
        <v>585</v>
      </c>
      <c r="P73">
        <v>530</v>
      </c>
    </row>
    <row r="74" spans="1:16" ht="13.15" x14ac:dyDescent="0.4">
      <c r="A74" s="41">
        <v>25</v>
      </c>
      <c r="B74">
        <v>404</v>
      </c>
      <c r="C74">
        <v>454</v>
      </c>
      <c r="D74">
        <v>431</v>
      </c>
      <c r="E74">
        <v>447</v>
      </c>
      <c r="F74">
        <v>392</v>
      </c>
      <c r="G74">
        <v>404</v>
      </c>
      <c r="H74">
        <v>454</v>
      </c>
      <c r="I74">
        <v>431</v>
      </c>
      <c r="J74">
        <v>447</v>
      </c>
      <c r="K74">
        <v>392</v>
      </c>
      <c r="L74">
        <v>404</v>
      </c>
      <c r="M74">
        <v>454</v>
      </c>
      <c r="N74">
        <v>431</v>
      </c>
      <c r="O74">
        <v>447</v>
      </c>
      <c r="P74">
        <v>392</v>
      </c>
    </row>
    <row r="75" spans="1:16" ht="13.15" x14ac:dyDescent="0.4">
      <c r="A75" s="41">
        <v>26</v>
      </c>
      <c r="B75">
        <v>305</v>
      </c>
      <c r="C75">
        <v>352</v>
      </c>
      <c r="D75">
        <v>333</v>
      </c>
      <c r="E75">
        <v>337</v>
      </c>
      <c r="F75">
        <v>282</v>
      </c>
      <c r="G75">
        <v>305</v>
      </c>
      <c r="H75">
        <v>352</v>
      </c>
      <c r="I75">
        <v>333</v>
      </c>
      <c r="J75">
        <v>337</v>
      </c>
      <c r="K75">
        <v>282</v>
      </c>
      <c r="L75">
        <v>305</v>
      </c>
      <c r="M75">
        <v>352</v>
      </c>
      <c r="N75">
        <v>333</v>
      </c>
      <c r="O75">
        <v>337</v>
      </c>
      <c r="P75">
        <v>282</v>
      </c>
    </row>
    <row r="76" spans="1:16" ht="13.15" x14ac:dyDescent="0.4">
      <c r="A76" s="41">
        <v>27</v>
      </c>
      <c r="B76">
        <v>237</v>
      </c>
      <c r="C76">
        <v>284</v>
      </c>
      <c r="D76">
        <v>260</v>
      </c>
      <c r="E76">
        <v>261</v>
      </c>
      <c r="F76">
        <v>203</v>
      </c>
      <c r="G76">
        <v>237</v>
      </c>
      <c r="H76">
        <v>284</v>
      </c>
      <c r="I76">
        <v>260</v>
      </c>
      <c r="J76">
        <v>261</v>
      </c>
      <c r="K76">
        <v>203</v>
      </c>
      <c r="L76">
        <v>237</v>
      </c>
      <c r="M76">
        <v>284</v>
      </c>
      <c r="N76">
        <v>260</v>
      </c>
      <c r="O76">
        <v>261</v>
      </c>
      <c r="P76">
        <v>203</v>
      </c>
    </row>
    <row r="77" spans="1:16" ht="13.15" x14ac:dyDescent="0.4">
      <c r="A77" s="41">
        <v>28</v>
      </c>
      <c r="B77">
        <v>191</v>
      </c>
      <c r="C77">
        <v>207</v>
      </c>
      <c r="D77">
        <v>198</v>
      </c>
      <c r="E77">
        <v>198</v>
      </c>
      <c r="F77">
        <v>151</v>
      </c>
      <c r="G77">
        <v>191</v>
      </c>
      <c r="H77">
        <v>207</v>
      </c>
      <c r="I77">
        <v>198</v>
      </c>
      <c r="J77">
        <v>198</v>
      </c>
      <c r="K77">
        <v>151</v>
      </c>
      <c r="L77">
        <v>191</v>
      </c>
      <c r="M77">
        <v>207</v>
      </c>
      <c r="N77">
        <v>198</v>
      </c>
      <c r="O77">
        <v>198</v>
      </c>
      <c r="P77">
        <v>151</v>
      </c>
    </row>
    <row r="78" spans="1:16" ht="13.15" x14ac:dyDescent="0.4">
      <c r="A78" s="41">
        <v>29</v>
      </c>
      <c r="B78">
        <v>131</v>
      </c>
      <c r="C78">
        <v>158</v>
      </c>
      <c r="D78">
        <v>148</v>
      </c>
      <c r="E78">
        <v>146</v>
      </c>
      <c r="F78">
        <v>116</v>
      </c>
      <c r="G78">
        <v>131</v>
      </c>
      <c r="H78">
        <v>158</v>
      </c>
      <c r="I78">
        <v>148</v>
      </c>
      <c r="J78">
        <v>146</v>
      </c>
      <c r="K78">
        <v>116</v>
      </c>
      <c r="L78">
        <v>131</v>
      </c>
      <c r="M78">
        <v>158</v>
      </c>
      <c r="N78">
        <v>148</v>
      </c>
      <c r="O78">
        <v>146</v>
      </c>
      <c r="P78">
        <v>116</v>
      </c>
    </row>
    <row r="79" spans="1:16" ht="13.15" x14ac:dyDescent="0.4">
      <c r="A79" s="41">
        <v>30</v>
      </c>
      <c r="B79">
        <v>88</v>
      </c>
      <c r="C79">
        <v>120</v>
      </c>
      <c r="D79">
        <v>113</v>
      </c>
      <c r="E79">
        <v>102</v>
      </c>
      <c r="F79">
        <v>80</v>
      </c>
      <c r="G79">
        <v>88</v>
      </c>
      <c r="H79">
        <v>120</v>
      </c>
      <c r="I79">
        <v>113</v>
      </c>
      <c r="J79">
        <v>102</v>
      </c>
      <c r="K79">
        <v>80</v>
      </c>
      <c r="L79">
        <v>88</v>
      </c>
      <c r="M79">
        <v>120</v>
      </c>
      <c r="N79">
        <v>113</v>
      </c>
      <c r="O79">
        <v>102</v>
      </c>
      <c r="P79">
        <v>80</v>
      </c>
    </row>
    <row r="80" spans="1:16" ht="13.15" x14ac:dyDescent="0.4">
      <c r="A80" s="41">
        <v>38</v>
      </c>
      <c r="B80">
        <v>66</v>
      </c>
      <c r="C80">
        <v>91</v>
      </c>
      <c r="D80">
        <v>85</v>
      </c>
      <c r="E80">
        <v>75</v>
      </c>
      <c r="F80">
        <v>54</v>
      </c>
      <c r="G80">
        <v>66</v>
      </c>
      <c r="H80">
        <v>91</v>
      </c>
      <c r="I80">
        <v>85</v>
      </c>
      <c r="J80">
        <v>75</v>
      </c>
      <c r="K80">
        <v>54</v>
      </c>
      <c r="L80">
        <v>66</v>
      </c>
      <c r="M80">
        <v>91</v>
      </c>
      <c r="N80">
        <v>85</v>
      </c>
      <c r="O80">
        <v>75</v>
      </c>
      <c r="P80">
        <v>54</v>
      </c>
    </row>
    <row r="81" spans="1:16" ht="13.15" x14ac:dyDescent="0.4">
      <c r="A81" s="41">
        <v>50</v>
      </c>
      <c r="B81">
        <v>48</v>
      </c>
      <c r="C81">
        <v>67</v>
      </c>
      <c r="D81">
        <v>64</v>
      </c>
      <c r="E81">
        <v>51</v>
      </c>
      <c r="F81">
        <v>34</v>
      </c>
      <c r="G81">
        <v>48</v>
      </c>
      <c r="H81">
        <v>67</v>
      </c>
      <c r="I81">
        <v>64</v>
      </c>
      <c r="J81">
        <v>51</v>
      </c>
      <c r="K81">
        <v>34</v>
      </c>
      <c r="L81">
        <v>48</v>
      </c>
      <c r="M81">
        <v>67</v>
      </c>
      <c r="N81">
        <v>64</v>
      </c>
      <c r="O81">
        <v>51</v>
      </c>
      <c r="P81">
        <v>34</v>
      </c>
    </row>
    <row r="82" spans="1:16" ht="13.15" x14ac:dyDescent="0.4">
      <c r="A82" s="41">
        <v>70</v>
      </c>
      <c r="B82">
        <v>35</v>
      </c>
      <c r="C82">
        <v>47</v>
      </c>
      <c r="D82">
        <v>41</v>
      </c>
      <c r="E82">
        <v>38</v>
      </c>
      <c r="F82">
        <v>27</v>
      </c>
      <c r="G82">
        <v>35</v>
      </c>
      <c r="H82">
        <v>47</v>
      </c>
      <c r="I82">
        <v>41</v>
      </c>
      <c r="J82">
        <v>38</v>
      </c>
      <c r="K82">
        <v>27</v>
      </c>
      <c r="L82">
        <v>35</v>
      </c>
      <c r="M82">
        <v>47</v>
      </c>
      <c r="N82">
        <v>41</v>
      </c>
      <c r="O82">
        <v>38</v>
      </c>
      <c r="P82">
        <v>27</v>
      </c>
    </row>
    <row r="114" spans="1:31" x14ac:dyDescent="0.35">
      <c r="A114">
        <v>8.2826989999999991</v>
      </c>
      <c r="B114">
        <v>33813</v>
      </c>
      <c r="C114">
        <v>29539</v>
      </c>
      <c r="D114">
        <v>25696</v>
      </c>
      <c r="E114">
        <v>22305</v>
      </c>
      <c r="F114">
        <v>19196</v>
      </c>
      <c r="G114">
        <v>16381</v>
      </c>
      <c r="H114">
        <v>13884</v>
      </c>
      <c r="I114">
        <v>11681</v>
      </c>
      <c r="J114">
        <v>9677</v>
      </c>
      <c r="K114">
        <v>7889</v>
      </c>
      <c r="L114">
        <v>6361</v>
      </c>
      <c r="M114">
        <v>5125</v>
      </c>
      <c r="N114">
        <v>4015</v>
      </c>
      <c r="O114">
        <v>3097</v>
      </c>
      <c r="P114">
        <v>2402</v>
      </c>
      <c r="Q114">
        <v>1837</v>
      </c>
      <c r="R114">
        <v>1420</v>
      </c>
      <c r="S114">
        <v>1139</v>
      </c>
      <c r="T114">
        <v>882</v>
      </c>
      <c r="U114">
        <v>675</v>
      </c>
      <c r="V114">
        <v>546</v>
      </c>
      <c r="W114">
        <v>404</v>
      </c>
      <c r="X114">
        <v>305</v>
      </c>
      <c r="Y114">
        <v>237</v>
      </c>
      <c r="Z114">
        <v>191</v>
      </c>
      <c r="AA114">
        <v>131</v>
      </c>
      <c r="AB114">
        <v>88</v>
      </c>
      <c r="AC114">
        <v>66</v>
      </c>
      <c r="AD114">
        <v>48</v>
      </c>
      <c r="AE114">
        <v>35</v>
      </c>
    </row>
    <row r="115" spans="1:31" x14ac:dyDescent="0.35">
      <c r="A115">
        <v>8.7278669999999998</v>
      </c>
      <c r="B115">
        <v>35435</v>
      </c>
      <c r="C115">
        <v>30973</v>
      </c>
      <c r="D115">
        <v>26983</v>
      </c>
      <c r="E115">
        <v>23438</v>
      </c>
      <c r="F115">
        <v>20115</v>
      </c>
      <c r="G115">
        <v>17225</v>
      </c>
      <c r="H115">
        <v>14642</v>
      </c>
      <c r="I115">
        <v>12355</v>
      </c>
      <c r="J115">
        <v>10171</v>
      </c>
      <c r="K115">
        <v>8326</v>
      </c>
      <c r="L115">
        <v>6689</v>
      </c>
      <c r="M115">
        <v>5339</v>
      </c>
      <c r="N115">
        <v>4150</v>
      </c>
      <c r="O115">
        <v>3251</v>
      </c>
      <c r="P115">
        <v>2533</v>
      </c>
      <c r="Q115">
        <v>2003</v>
      </c>
      <c r="R115">
        <v>1549</v>
      </c>
      <c r="S115">
        <v>1222</v>
      </c>
      <c r="T115">
        <v>961</v>
      </c>
      <c r="U115">
        <v>755</v>
      </c>
      <c r="V115">
        <v>596</v>
      </c>
      <c r="W115">
        <v>454</v>
      </c>
      <c r="X115">
        <v>352</v>
      </c>
      <c r="Y115">
        <v>284</v>
      </c>
      <c r="Z115">
        <v>207</v>
      </c>
      <c r="AA115">
        <v>158</v>
      </c>
      <c r="AB115">
        <v>120</v>
      </c>
      <c r="AC115">
        <v>91</v>
      </c>
      <c r="AD115">
        <v>67</v>
      </c>
      <c r="AE115">
        <v>47</v>
      </c>
    </row>
    <row r="116" spans="1:31" x14ac:dyDescent="0.35">
      <c r="A116">
        <v>8.6684219999999996</v>
      </c>
      <c r="B116">
        <v>35865</v>
      </c>
      <c r="C116">
        <v>31250</v>
      </c>
      <c r="D116">
        <v>27099</v>
      </c>
      <c r="E116">
        <v>23353</v>
      </c>
      <c r="F116">
        <v>20061</v>
      </c>
      <c r="G116">
        <v>17237</v>
      </c>
      <c r="H116">
        <v>14609</v>
      </c>
      <c r="I116">
        <v>12214</v>
      </c>
      <c r="J116">
        <v>10095</v>
      </c>
      <c r="K116">
        <v>8295</v>
      </c>
      <c r="L116">
        <v>6712</v>
      </c>
      <c r="M116">
        <v>5340</v>
      </c>
      <c r="N116">
        <v>4155</v>
      </c>
      <c r="O116">
        <v>3208</v>
      </c>
      <c r="P116">
        <v>2504</v>
      </c>
      <c r="Q116">
        <v>1940</v>
      </c>
      <c r="R116">
        <v>1530</v>
      </c>
      <c r="S116">
        <v>1204</v>
      </c>
      <c r="T116">
        <v>938</v>
      </c>
      <c r="U116">
        <v>721</v>
      </c>
      <c r="V116">
        <v>578</v>
      </c>
      <c r="W116">
        <v>431</v>
      </c>
      <c r="X116">
        <v>333</v>
      </c>
      <c r="Y116">
        <v>260</v>
      </c>
      <c r="Z116">
        <v>198</v>
      </c>
      <c r="AA116">
        <v>148</v>
      </c>
      <c r="AB116">
        <v>113</v>
      </c>
      <c r="AC116">
        <v>85</v>
      </c>
      <c r="AD116">
        <v>64</v>
      </c>
      <c r="AE116">
        <v>41</v>
      </c>
    </row>
    <row r="117" spans="1:31" x14ac:dyDescent="0.35">
      <c r="A117">
        <v>8.7221320000000002</v>
      </c>
      <c r="B117">
        <v>35225</v>
      </c>
      <c r="C117">
        <v>30689</v>
      </c>
      <c r="D117">
        <v>26575</v>
      </c>
      <c r="E117">
        <v>23102</v>
      </c>
      <c r="F117">
        <v>19822</v>
      </c>
      <c r="G117">
        <v>16983</v>
      </c>
      <c r="H117">
        <v>14423</v>
      </c>
      <c r="I117">
        <v>12103</v>
      </c>
      <c r="J117">
        <v>10043</v>
      </c>
      <c r="K117">
        <v>8274</v>
      </c>
      <c r="L117">
        <v>6696</v>
      </c>
      <c r="M117">
        <v>5349</v>
      </c>
      <c r="N117">
        <v>4242</v>
      </c>
      <c r="O117">
        <v>3294</v>
      </c>
      <c r="P117">
        <v>2554</v>
      </c>
      <c r="Q117">
        <v>1978</v>
      </c>
      <c r="R117">
        <v>1520</v>
      </c>
      <c r="S117">
        <v>1213</v>
      </c>
      <c r="T117">
        <v>938</v>
      </c>
      <c r="U117">
        <v>725</v>
      </c>
      <c r="V117">
        <v>585</v>
      </c>
      <c r="W117">
        <v>447</v>
      </c>
      <c r="X117">
        <v>337</v>
      </c>
      <c r="Y117">
        <v>261</v>
      </c>
      <c r="Z117">
        <v>198</v>
      </c>
      <c r="AA117">
        <v>146</v>
      </c>
      <c r="AB117">
        <v>102</v>
      </c>
      <c r="AC117">
        <v>75</v>
      </c>
      <c r="AD117">
        <v>51</v>
      </c>
      <c r="AE117">
        <v>38</v>
      </c>
    </row>
    <row r="118" spans="1:31" x14ac:dyDescent="0.35">
      <c r="A118">
        <v>8.721622</v>
      </c>
      <c r="B118">
        <v>36964</v>
      </c>
      <c r="C118">
        <v>32104</v>
      </c>
      <c r="D118">
        <v>27964</v>
      </c>
      <c r="E118">
        <v>24240</v>
      </c>
      <c r="F118">
        <v>20954</v>
      </c>
      <c r="G118">
        <v>17836</v>
      </c>
      <c r="H118">
        <v>15155</v>
      </c>
      <c r="I118">
        <v>12719</v>
      </c>
      <c r="J118">
        <v>10539</v>
      </c>
      <c r="K118">
        <v>8569</v>
      </c>
      <c r="L118">
        <v>6873</v>
      </c>
      <c r="M118">
        <v>5366</v>
      </c>
      <c r="N118">
        <v>4180</v>
      </c>
      <c r="O118">
        <v>3219</v>
      </c>
      <c r="P118">
        <v>2497</v>
      </c>
      <c r="Q118">
        <v>1926</v>
      </c>
      <c r="R118">
        <v>1499</v>
      </c>
      <c r="S118">
        <v>1183</v>
      </c>
      <c r="T118">
        <v>905</v>
      </c>
      <c r="U118">
        <v>687</v>
      </c>
      <c r="V118">
        <v>530</v>
      </c>
      <c r="W118">
        <v>392</v>
      </c>
      <c r="X118">
        <v>282</v>
      </c>
      <c r="Y118">
        <v>203</v>
      </c>
      <c r="Z118">
        <v>151</v>
      </c>
      <c r="AA118">
        <v>116</v>
      </c>
      <c r="AB118">
        <v>80</v>
      </c>
      <c r="AC118">
        <v>54</v>
      </c>
      <c r="AD118">
        <v>34</v>
      </c>
      <c r="AE118">
        <v>27</v>
      </c>
    </row>
    <row r="119" spans="1:31" x14ac:dyDescent="0.35">
      <c r="A119">
        <v>8.6735530000000001</v>
      </c>
      <c r="B119">
        <v>33986</v>
      </c>
      <c r="C119">
        <v>29686</v>
      </c>
      <c r="D119">
        <v>25849</v>
      </c>
      <c r="E119">
        <v>22427</v>
      </c>
      <c r="F119">
        <v>19306</v>
      </c>
      <c r="G119">
        <v>16497</v>
      </c>
      <c r="H119">
        <v>13917</v>
      </c>
      <c r="I119">
        <v>11670</v>
      </c>
      <c r="J119">
        <v>9608</v>
      </c>
      <c r="K119">
        <v>7881</v>
      </c>
      <c r="L119">
        <v>6344</v>
      </c>
      <c r="M119">
        <v>5001</v>
      </c>
      <c r="N119">
        <v>3881</v>
      </c>
      <c r="O119">
        <v>2987</v>
      </c>
      <c r="P119">
        <v>2311</v>
      </c>
      <c r="Q119">
        <v>1766</v>
      </c>
      <c r="R119">
        <v>1370</v>
      </c>
      <c r="S119">
        <v>1058</v>
      </c>
      <c r="T119">
        <v>811</v>
      </c>
      <c r="U119">
        <v>647</v>
      </c>
      <c r="V119">
        <v>489</v>
      </c>
      <c r="W119">
        <v>367</v>
      </c>
      <c r="X119">
        <v>271</v>
      </c>
      <c r="Y119">
        <v>190</v>
      </c>
      <c r="Z119">
        <v>131</v>
      </c>
      <c r="AA119">
        <v>99</v>
      </c>
      <c r="AB119">
        <v>74</v>
      </c>
      <c r="AC119">
        <v>59</v>
      </c>
      <c r="AD119">
        <v>35</v>
      </c>
      <c r="AE119">
        <v>22</v>
      </c>
    </row>
  </sheetData>
  <mergeCells count="1">
    <mergeCell ref="A2:E2"/>
  </mergeCells>
  <conditionalFormatting sqref="H9:H40">
    <cfRule type="cellIs" dxfId="5" priority="1" operator="greaterThan">
      <formula>1000</formula>
    </cfRule>
  </conditionalFormatting>
  <conditionalFormatting sqref="K9:K40">
    <cfRule type="cellIs" dxfId="4" priority="2" operator="lessThan">
      <formula>J11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 r:id="rId1"/>
  <headerFooter>
    <oddHeader>&amp;CISO11171:2020 Summary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7B28-9493-4317-A2C0-4F7F49F92785}">
  <sheetPr codeName="Sheet6"/>
  <dimension ref="A1:AW82"/>
  <sheetViews>
    <sheetView zoomScale="70" zoomScaleNormal="70" workbookViewId="0">
      <selection activeCell="H16" sqref="H16"/>
    </sheetView>
  </sheetViews>
  <sheetFormatPr defaultColWidth="11.53125" defaultRowHeight="12.75" x14ac:dyDescent="0.35"/>
  <sheetData>
    <row r="1" spans="1:49" x14ac:dyDescent="0.35">
      <c r="A1" t="str">
        <f>'6 - B1'!$A$1</f>
        <v>Data Preprocessing and Quality Assessment per ISO 11171 Clause 6.6</v>
      </c>
    </row>
    <row r="2" spans="1:49" ht="40.15" x14ac:dyDescent="1.05">
      <c r="A2" s="43" t="s">
        <v>111</v>
      </c>
      <c r="O2" s="43"/>
    </row>
    <row r="3" spans="1:49" ht="13.15" x14ac:dyDescent="0.4">
      <c r="A3" t="str">
        <f>'6 - B1'!$A$3</f>
        <v>Serial #</v>
      </c>
      <c r="B3" s="40" t="str">
        <f>'6 - B1'!$B$3</f>
        <v>11171-00009</v>
      </c>
    </row>
    <row r="4" spans="1:49" ht="19.149999999999999" customHeight="1" x14ac:dyDescent="1.05">
      <c r="A4" s="41" t="str">
        <f>'6 - B1'!$A$4</f>
        <v>Date</v>
      </c>
      <c r="B4" s="42">
        <f>'6 - B1'!$B$4</f>
        <v>45989</v>
      </c>
      <c r="O4" s="43"/>
    </row>
    <row r="5" spans="1:49" ht="13.15" x14ac:dyDescent="0.4">
      <c r="A5" s="41" t="str">
        <f>'6 - B1'!$A$5</f>
        <v>RM</v>
      </c>
      <c r="B5" s="66" t="str">
        <f>'6 - B1'!$B$5</f>
        <v>34D</v>
      </c>
      <c r="O5" s="45"/>
    </row>
    <row r="6" spans="1:49" ht="13.15" x14ac:dyDescent="0.4">
      <c r="B6" s="41"/>
      <c r="C6" s="41"/>
      <c r="D6" s="41"/>
      <c r="E6" s="41"/>
      <c r="F6" s="41"/>
    </row>
    <row r="7" spans="1:49" ht="14.65" x14ac:dyDescent="0.5">
      <c r="B7" s="16" t="s">
        <v>56</v>
      </c>
      <c r="C7" s="16" t="s">
        <v>57</v>
      </c>
      <c r="D7" s="16" t="s">
        <v>58</v>
      </c>
      <c r="E7" s="16" t="s">
        <v>59</v>
      </c>
      <c r="F7" s="16" t="s">
        <v>60</v>
      </c>
      <c r="G7" s="16" t="s">
        <v>61</v>
      </c>
      <c r="H7" s="16" t="s">
        <v>62</v>
      </c>
      <c r="I7" s="16" t="s">
        <v>63</v>
      </c>
      <c r="J7" s="16" t="s">
        <v>64</v>
      </c>
      <c r="K7" s="16" t="s">
        <v>65</v>
      </c>
      <c r="L7" s="16" t="s">
        <v>66</v>
      </c>
      <c r="M7" s="16" t="s">
        <v>67</v>
      </c>
      <c r="O7" s="16"/>
    </row>
    <row r="8" spans="1:49" ht="13.15" x14ac:dyDescent="0.4">
      <c r="A8" s="15" t="s">
        <v>68</v>
      </c>
      <c r="B8" s="47">
        <f>G52</f>
        <v>8.2826989999999991</v>
      </c>
      <c r="C8" s="47">
        <f>H52</f>
        <v>8.7278669999999998</v>
      </c>
      <c r="D8" s="47">
        <f>I52</f>
        <v>8.6684219999999996</v>
      </c>
      <c r="E8" s="47">
        <f>J52</f>
        <v>8.7221320000000002</v>
      </c>
      <c r="F8" s="47">
        <f>K52</f>
        <v>8.721622</v>
      </c>
      <c r="G8" s="48">
        <f>AVERAGE(B$8:F$8)*5</f>
        <v>43.122742000000002</v>
      </c>
      <c r="I8" s="49"/>
      <c r="K8" s="49"/>
    </row>
    <row r="9" spans="1:49" ht="13.15" x14ac:dyDescent="0.4">
      <c r="A9" s="15" t="s">
        <v>69</v>
      </c>
      <c r="B9" s="22">
        <f t="shared" ref="B9:F38" si="0">G53/B$8</f>
        <v>4082.3649392547045</v>
      </c>
      <c r="C9" s="22">
        <f t="shared" si="0"/>
        <v>4059.9839571340858</v>
      </c>
      <c r="D9" s="22">
        <f t="shared" si="0"/>
        <v>4137.4312418107938</v>
      </c>
      <c r="E9" s="22">
        <f t="shared" si="0"/>
        <v>4038.5768066798346</v>
      </c>
      <c r="F9" s="22">
        <f t="shared" si="0"/>
        <v>4238.2024811439887</v>
      </c>
      <c r="G9" s="50">
        <f t="shared" ref="G9:G38" si="1">AVERAGE(B9:F9)</f>
        <v>4111.3118852046809</v>
      </c>
      <c r="H9" s="51">
        <f t="shared" ref="H9:H38" si="2">G9*G$8</f>
        <v>177291.04170721507</v>
      </c>
      <c r="I9" s="49">
        <f t="shared" ref="I9:I38" si="3">STDEVP(B9:F9)/AVERAGE(B9:F9)</f>
        <v>1.7385962083777826E-2</v>
      </c>
      <c r="J9" s="49">
        <f t="shared" ref="J9:J38" si="4">IF(H9&gt;$A$43, $C$43, IF(H9&gt;$A$44, $C$44, IF(H9&gt;$A$45,$C$45,IF(H9&gt;$A$46,$C$46, IF(H9&gt;$A$47,$C$47,IF(H9&gt;$A$48,$C$48,$C$49))))))/100</f>
        <v>0.11</v>
      </c>
      <c r="K9" s="49">
        <f t="shared" ref="K9:K38" si="5">(MAX(B9:F9)-MIN(B9:F9))/G9</f>
        <v>4.8555225202579301E-2</v>
      </c>
      <c r="L9" s="22">
        <f>G9/'Clause 6'!$H$11</f>
        <v>13747.937215519752</v>
      </c>
      <c r="M9">
        <f t="shared" ref="M9:M38" si="6">COUNTA(B9:F9)</f>
        <v>5</v>
      </c>
      <c r="O9" s="22"/>
    </row>
    <row r="10" spans="1:49" ht="13.15" x14ac:dyDescent="0.4">
      <c r="A10" s="15" t="s">
        <v>70</v>
      </c>
      <c r="B10" s="22">
        <f t="shared" si="0"/>
        <v>3566.349567936732</v>
      </c>
      <c r="C10" s="22">
        <f t="shared" si="0"/>
        <v>3548.7479357785814</v>
      </c>
      <c r="D10" s="22">
        <f t="shared" si="0"/>
        <v>3605.0390717018622</v>
      </c>
      <c r="E10" s="22">
        <f t="shared" si="0"/>
        <v>3518.520471829594</v>
      </c>
      <c r="F10" s="22">
        <f t="shared" si="0"/>
        <v>3680.9666825734939</v>
      </c>
      <c r="G10" s="50">
        <f t="shared" si="1"/>
        <v>3583.9247459640524</v>
      </c>
      <c r="H10" s="51">
        <f t="shared" si="2"/>
        <v>154548.66216762338</v>
      </c>
      <c r="I10" s="49">
        <f t="shared" si="3"/>
        <v>1.5628798630920749E-2</v>
      </c>
      <c r="J10" s="49">
        <f t="shared" si="4"/>
        <v>0.11</v>
      </c>
      <c r="K10" s="49">
        <f t="shared" si="5"/>
        <v>4.53263453499783E-2</v>
      </c>
      <c r="L10" s="22">
        <f>G10/'Clause 6'!$H$11</f>
        <v>11984.391787442415</v>
      </c>
      <c r="M10">
        <f t="shared" si="6"/>
        <v>5</v>
      </c>
      <c r="O10" s="22"/>
    </row>
    <row r="11" spans="1:49" ht="13.15" x14ac:dyDescent="0.4">
      <c r="A11" s="15" t="s">
        <v>71</v>
      </c>
      <c r="B11" s="22">
        <f t="shared" si="0"/>
        <v>3102.370374681007</v>
      </c>
      <c r="C11" s="22">
        <f t="shared" si="0"/>
        <v>3091.5915652701856</v>
      </c>
      <c r="D11" s="22">
        <f t="shared" si="0"/>
        <v>3126.1745217295606</v>
      </c>
      <c r="E11" s="22">
        <f t="shared" si="0"/>
        <v>3046.8468030522813</v>
      </c>
      <c r="F11" s="22">
        <f t="shared" si="0"/>
        <v>3206.2843356430717</v>
      </c>
      <c r="G11" s="50">
        <f t="shared" si="1"/>
        <v>3114.6535200752214</v>
      </c>
      <c r="H11" s="51">
        <f t="shared" si="2"/>
        <v>134312.40016559561</v>
      </c>
      <c r="I11" s="49">
        <f t="shared" si="3"/>
        <v>1.6873026058252284E-2</v>
      </c>
      <c r="J11" s="49">
        <f t="shared" si="4"/>
        <v>0.11</v>
      </c>
      <c r="K11" s="49">
        <f t="shared" si="5"/>
        <v>5.1189492366695045E-2</v>
      </c>
      <c r="L11" s="22">
        <f>G11/'Clause 6'!$H$11</f>
        <v>10415.181878122085</v>
      </c>
      <c r="M11">
        <f t="shared" si="6"/>
        <v>5</v>
      </c>
      <c r="O11" s="22"/>
    </row>
    <row r="12" spans="1:49" ht="13.15" x14ac:dyDescent="0.4">
      <c r="A12" s="15" t="s">
        <v>72</v>
      </c>
      <c r="B12" s="22">
        <f t="shared" si="0"/>
        <v>2692.9627649151566</v>
      </c>
      <c r="C12" s="22">
        <f t="shared" si="0"/>
        <v>2685.4213062595936</v>
      </c>
      <c r="D12" s="22">
        <f t="shared" si="0"/>
        <v>2694.0312781265147</v>
      </c>
      <c r="E12" s="22">
        <f t="shared" si="0"/>
        <v>2648.6643403241319</v>
      </c>
      <c r="F12" s="22">
        <f t="shared" si="0"/>
        <v>2779.2995385491367</v>
      </c>
      <c r="G12" s="50">
        <f t="shared" si="1"/>
        <v>2700.0758456349067</v>
      </c>
      <c r="H12" s="51">
        <f t="shared" si="2"/>
        <v>116434.67407174592</v>
      </c>
      <c r="I12" s="49">
        <f t="shared" si="3"/>
        <v>1.5905160087428063E-2</v>
      </c>
      <c r="J12" s="49">
        <f t="shared" si="4"/>
        <v>0.11</v>
      </c>
      <c r="K12" s="49">
        <f t="shared" si="5"/>
        <v>4.8382047651067649E-2</v>
      </c>
      <c r="L12" s="22">
        <f>G12/'Clause 6'!$H$11</f>
        <v>9028.8633505317393</v>
      </c>
      <c r="M12">
        <f t="shared" si="6"/>
        <v>5</v>
      </c>
      <c r="O12" s="22"/>
    </row>
    <row r="13" spans="1:49" ht="13.15" x14ac:dyDescent="0.4">
      <c r="A13" s="15" t="s">
        <v>73</v>
      </c>
      <c r="B13" s="22">
        <f t="shared" si="0"/>
        <v>2317.6020280345815</v>
      </c>
      <c r="C13" s="22">
        <f t="shared" si="0"/>
        <v>2304.6868152321754</v>
      </c>
      <c r="D13" s="22">
        <f t="shared" si="0"/>
        <v>2314.2620421571542</v>
      </c>
      <c r="E13" s="22">
        <f t="shared" si="0"/>
        <v>2272.6094950179613</v>
      </c>
      <c r="F13" s="22">
        <f t="shared" si="0"/>
        <v>2402.5347578695796</v>
      </c>
      <c r="G13" s="50">
        <f t="shared" si="1"/>
        <v>2322.3390276622904</v>
      </c>
      <c r="H13" s="51">
        <f t="shared" si="2"/>
        <v>100145.62672641182</v>
      </c>
      <c r="I13" s="49">
        <f t="shared" si="3"/>
        <v>1.8574463124227374E-2</v>
      </c>
      <c r="J13" s="49">
        <f t="shared" si="4"/>
        <v>0.11</v>
      </c>
      <c r="K13" s="49">
        <f t="shared" si="5"/>
        <v>5.594586376236526E-2</v>
      </c>
      <c r="L13" s="22">
        <f>G13/'Clause 6'!$H$11</f>
        <v>7765.738050754293</v>
      </c>
      <c r="M13">
        <f t="shared" si="6"/>
        <v>5</v>
      </c>
      <c r="O13" s="22"/>
    </row>
    <row r="14" spans="1:49" ht="13.15" x14ac:dyDescent="0.4">
      <c r="A14" s="15" t="s">
        <v>74</v>
      </c>
      <c r="B14" s="22">
        <f t="shared" si="0"/>
        <v>1977.7369671407837</v>
      </c>
      <c r="C14" s="22">
        <f t="shared" si="0"/>
        <v>1973.5635293250916</v>
      </c>
      <c r="D14" s="22">
        <f t="shared" si="0"/>
        <v>1988.4818713256</v>
      </c>
      <c r="E14" s="22">
        <f t="shared" si="0"/>
        <v>1947.1156822666751</v>
      </c>
      <c r="F14" s="22">
        <f t="shared" si="0"/>
        <v>2045.0324492393731</v>
      </c>
      <c r="G14" s="50">
        <f t="shared" si="1"/>
        <v>1986.3860998595046</v>
      </c>
      <c r="H14" s="51">
        <f t="shared" si="2"/>
        <v>85658.41529662766</v>
      </c>
      <c r="I14" s="49">
        <f t="shared" si="3"/>
        <v>1.62742835226421E-2</v>
      </c>
      <c r="J14" s="49">
        <f t="shared" si="4"/>
        <v>0.11</v>
      </c>
      <c r="K14" s="49">
        <f t="shared" si="5"/>
        <v>4.9293924771031984E-2</v>
      </c>
      <c r="L14" s="22">
        <f>G14/'Clause 6'!$H$11</f>
        <v>6642.3351351487308</v>
      </c>
      <c r="M14">
        <f t="shared" si="6"/>
        <v>5</v>
      </c>
      <c r="O14" s="22"/>
    </row>
    <row r="15" spans="1:49" ht="13.15" x14ac:dyDescent="0.4">
      <c r="A15" s="15" t="s">
        <v>75</v>
      </c>
      <c r="B15" s="22">
        <f t="shared" si="0"/>
        <v>1676.2651884367647</v>
      </c>
      <c r="C15" s="22">
        <f t="shared" si="0"/>
        <v>1677.6149315749199</v>
      </c>
      <c r="D15" s="22">
        <f t="shared" si="0"/>
        <v>1685.3125055517603</v>
      </c>
      <c r="E15" s="22">
        <f t="shared" si="0"/>
        <v>1653.6094615399079</v>
      </c>
      <c r="F15" s="22">
        <f t="shared" si="0"/>
        <v>1737.6354994518222</v>
      </c>
      <c r="G15" s="50">
        <f t="shared" si="1"/>
        <v>1686.0875173110348</v>
      </c>
      <c r="H15" s="51">
        <f t="shared" si="2"/>
        <v>72708.716998424294</v>
      </c>
      <c r="I15" s="49">
        <f t="shared" si="3"/>
        <v>1.6523426288206289E-2</v>
      </c>
      <c r="J15" s="49">
        <f t="shared" si="4"/>
        <v>0.11</v>
      </c>
      <c r="K15" s="49">
        <f t="shared" si="5"/>
        <v>4.9834920814738393E-2</v>
      </c>
      <c r="L15" s="22">
        <f>G15/'Clause 6'!$H$11</f>
        <v>5638.1578374732462</v>
      </c>
      <c r="M15">
        <f t="shared" si="6"/>
        <v>5</v>
      </c>
      <c r="O15" s="2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ht="13.15" x14ac:dyDescent="0.4">
      <c r="A16" s="15" t="s">
        <v>76</v>
      </c>
      <c r="B16" s="22">
        <f t="shared" si="0"/>
        <v>1410.2890857195223</v>
      </c>
      <c r="C16" s="22">
        <f t="shared" si="0"/>
        <v>1415.5806911356462</v>
      </c>
      <c r="D16" s="22">
        <f t="shared" si="0"/>
        <v>1409.0223110965296</v>
      </c>
      <c r="E16" s="22">
        <f t="shared" si="0"/>
        <v>1387.6194490062751</v>
      </c>
      <c r="F16" s="22">
        <f t="shared" si="0"/>
        <v>1458.3296547362406</v>
      </c>
      <c r="G16" s="50">
        <f t="shared" si="1"/>
        <v>1416.1682383388429</v>
      </c>
      <c r="H16" s="51">
        <f t="shared" si="2"/>
        <v>61069.057570480436</v>
      </c>
      <c r="I16" s="49">
        <f t="shared" si="3"/>
        <v>1.6343815773456175E-2</v>
      </c>
      <c r="J16" s="49">
        <f t="shared" si="4"/>
        <v>0.11</v>
      </c>
      <c r="K16" s="49">
        <f t="shared" si="5"/>
        <v>4.9930653587393119E-2</v>
      </c>
      <c r="L16" s="22">
        <f>G16/'Clause 6'!$H$11</f>
        <v>4735.5667900943845</v>
      </c>
      <c r="M16">
        <f t="shared" si="6"/>
        <v>5</v>
      </c>
      <c r="O16" s="22"/>
      <c r="P16" s="41"/>
      <c r="Q16" s="41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ht="13.15" x14ac:dyDescent="0.4">
      <c r="A17" s="15" t="s">
        <v>77</v>
      </c>
      <c r="B17" s="22">
        <f t="shared" si="0"/>
        <v>1168.3389677688397</v>
      </c>
      <c r="C17" s="22">
        <f t="shared" si="0"/>
        <v>1165.3477304363139</v>
      </c>
      <c r="D17" s="22">
        <f t="shared" si="0"/>
        <v>1164.5718217225697</v>
      </c>
      <c r="E17" s="22">
        <f t="shared" si="0"/>
        <v>1151.4386620152045</v>
      </c>
      <c r="F17" s="22">
        <f t="shared" si="0"/>
        <v>1208.376148381574</v>
      </c>
      <c r="G17" s="50">
        <f t="shared" si="1"/>
        <v>1171.6146660649003</v>
      </c>
      <c r="H17" s="51">
        <f t="shared" si="2"/>
        <v>50523.236968132856</v>
      </c>
      <c r="I17" s="49">
        <f t="shared" si="3"/>
        <v>1.6453673577136566E-2</v>
      </c>
      <c r="J17" s="49">
        <f t="shared" si="4"/>
        <v>0.11</v>
      </c>
      <c r="K17" s="49">
        <f t="shared" si="5"/>
        <v>4.859745103533513E-2</v>
      </c>
      <c r="L17" s="22">
        <f>G17/'Clause 6'!$H$11</f>
        <v>3917.7968783656247</v>
      </c>
      <c r="M17">
        <f t="shared" si="6"/>
        <v>5</v>
      </c>
      <c r="O17" s="22"/>
      <c r="P17" s="41"/>
      <c r="Q17" s="41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ht="13.15" x14ac:dyDescent="0.4">
      <c r="A18" s="15" t="s">
        <v>78</v>
      </c>
      <c r="B18" s="22">
        <f t="shared" si="0"/>
        <v>952.46730564517691</v>
      </c>
      <c r="C18" s="22">
        <f t="shared" si="0"/>
        <v>953.95587490047683</v>
      </c>
      <c r="D18" s="22">
        <f t="shared" si="0"/>
        <v>956.92157119254239</v>
      </c>
      <c r="E18" s="22">
        <f t="shared" si="0"/>
        <v>948.62127745830946</v>
      </c>
      <c r="F18" s="22">
        <f t="shared" si="0"/>
        <v>982.50073208859544</v>
      </c>
      <c r="G18" s="50">
        <f t="shared" si="1"/>
        <v>958.8933522570203</v>
      </c>
      <c r="H18" s="51">
        <f t="shared" si="2"/>
        <v>41350.110634894605</v>
      </c>
      <c r="I18" s="49">
        <f t="shared" si="3"/>
        <v>1.2621596334575489E-2</v>
      </c>
      <c r="J18" s="49">
        <f t="shared" si="4"/>
        <v>0.11</v>
      </c>
      <c r="K18" s="49">
        <f t="shared" si="5"/>
        <v>3.5331827622478898E-2</v>
      </c>
      <c r="L18" s="22">
        <f>G18/'Clause 6'!$H$11</f>
        <v>3206.4717956936215</v>
      </c>
      <c r="M18">
        <f t="shared" si="6"/>
        <v>5</v>
      </c>
      <c r="O18" s="22"/>
      <c r="P18" s="41"/>
      <c r="Q18" s="41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3.15" x14ac:dyDescent="0.4">
      <c r="A19" s="15" t="s">
        <v>79</v>
      </c>
      <c r="B19" s="22">
        <f t="shared" si="0"/>
        <v>767.98637738737102</v>
      </c>
      <c r="C19" s="22">
        <f t="shared" si="0"/>
        <v>766.39572990743329</v>
      </c>
      <c r="D19" s="22">
        <f t="shared" si="0"/>
        <v>774.30471197641282</v>
      </c>
      <c r="E19" s="22">
        <f t="shared" si="0"/>
        <v>767.70220858845062</v>
      </c>
      <c r="F19" s="22">
        <f t="shared" si="0"/>
        <v>788.04149044753376</v>
      </c>
      <c r="G19" s="50">
        <f t="shared" si="1"/>
        <v>772.8861036614403</v>
      </c>
      <c r="H19" s="51">
        <f t="shared" si="2"/>
        <v>33328.968043577544</v>
      </c>
      <c r="I19" s="49">
        <f t="shared" si="3"/>
        <v>1.0426602259902353E-2</v>
      </c>
      <c r="J19" s="49">
        <f t="shared" si="4"/>
        <v>0.11</v>
      </c>
      <c r="K19" s="49">
        <f t="shared" si="5"/>
        <v>2.8006404097003029E-2</v>
      </c>
      <c r="L19" s="22">
        <f>G19/'Clause 6'!$H$11</f>
        <v>2584.476664522419</v>
      </c>
      <c r="M19">
        <f t="shared" si="6"/>
        <v>5</v>
      </c>
      <c r="O19" s="22"/>
      <c r="P19" s="41"/>
      <c r="Q19" s="41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ht="13.15" x14ac:dyDescent="0.4">
      <c r="A20" s="15" t="s">
        <v>80</v>
      </c>
      <c r="B20" s="22">
        <f t="shared" si="0"/>
        <v>618.7596579327585</v>
      </c>
      <c r="C20" s="22">
        <f t="shared" si="0"/>
        <v>611.71876244218663</v>
      </c>
      <c r="D20" s="22">
        <f t="shared" si="0"/>
        <v>616.02907657241428</v>
      </c>
      <c r="E20" s="22">
        <f t="shared" si="0"/>
        <v>613.26749010448361</v>
      </c>
      <c r="F20" s="22">
        <f t="shared" si="0"/>
        <v>615.25252986199132</v>
      </c>
      <c r="G20" s="50">
        <f t="shared" si="1"/>
        <v>615.00550338276685</v>
      </c>
      <c r="H20" s="51">
        <f t="shared" si="2"/>
        <v>26520.723650955184</v>
      </c>
      <c r="I20" s="49">
        <f t="shared" si="3"/>
        <v>3.9176692796988122E-3</v>
      </c>
      <c r="J20" s="49">
        <f t="shared" si="4"/>
        <v>0.11</v>
      </c>
      <c r="K20" s="49">
        <f t="shared" si="5"/>
        <v>1.1448508105771797E-2</v>
      </c>
      <c r="L20" s="22">
        <f>G20/'Clause 6'!$H$11</f>
        <v>2056.5350632075597</v>
      </c>
      <c r="M20">
        <f t="shared" si="6"/>
        <v>5</v>
      </c>
      <c r="O20" s="22"/>
      <c r="P20" s="41"/>
      <c r="Q20" s="4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3.15" x14ac:dyDescent="0.4">
      <c r="A21" s="15" t="s">
        <v>81</v>
      </c>
      <c r="B21" s="22">
        <f t="shared" si="0"/>
        <v>484.74537104390737</v>
      </c>
      <c r="C21" s="22">
        <f t="shared" si="0"/>
        <v>475.48845554131384</v>
      </c>
      <c r="D21" s="22">
        <f t="shared" si="0"/>
        <v>479.32599497347962</v>
      </c>
      <c r="E21" s="22">
        <f t="shared" si="0"/>
        <v>486.34897981365106</v>
      </c>
      <c r="F21" s="22">
        <f t="shared" si="0"/>
        <v>479.26864979931486</v>
      </c>
      <c r="G21" s="50">
        <f t="shared" si="1"/>
        <v>481.03549023433334</v>
      </c>
      <c r="H21" s="51">
        <f t="shared" si="2"/>
        <v>20743.569338218676</v>
      </c>
      <c r="I21" s="49">
        <f t="shared" si="3"/>
        <v>8.2533215052795639E-3</v>
      </c>
      <c r="J21" s="49">
        <f t="shared" si="4"/>
        <v>0.11</v>
      </c>
      <c r="K21" s="49">
        <f t="shared" si="5"/>
        <v>2.2577386685224788E-2</v>
      </c>
      <c r="L21" s="22">
        <f>G21/'Clause 6'!$H$11</f>
        <v>1608.5487802512314</v>
      </c>
      <c r="M21">
        <f t="shared" si="6"/>
        <v>5</v>
      </c>
      <c r="O21" s="22"/>
      <c r="R21" s="16"/>
      <c r="S21" s="16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3.15" x14ac:dyDescent="0.4">
      <c r="A22" s="15" t="s">
        <v>82</v>
      </c>
      <c r="B22" s="22">
        <f t="shared" si="0"/>
        <v>373.91193377907376</v>
      </c>
      <c r="C22" s="22">
        <f t="shared" si="0"/>
        <v>372.48505276260511</v>
      </c>
      <c r="D22" s="22">
        <f t="shared" si="0"/>
        <v>370.07889094462638</v>
      </c>
      <c r="E22" s="22">
        <f t="shared" si="0"/>
        <v>377.65995745077004</v>
      </c>
      <c r="F22" s="22">
        <f t="shared" si="0"/>
        <v>369.08272337416139</v>
      </c>
      <c r="G22" s="50">
        <f t="shared" si="1"/>
        <v>372.64371166224731</v>
      </c>
      <c r="H22" s="51">
        <f t="shared" si="2"/>
        <v>16069.418635933484</v>
      </c>
      <c r="I22" s="49">
        <f t="shared" si="3"/>
        <v>8.144429225104579E-3</v>
      </c>
      <c r="J22" s="49">
        <f t="shared" si="4"/>
        <v>0.11</v>
      </c>
      <c r="K22" s="49">
        <f t="shared" si="5"/>
        <v>2.3017251621792523E-2</v>
      </c>
      <c r="L22" s="22">
        <f>G22/'Clause 6'!$H$11</f>
        <v>1246.0943111922948</v>
      </c>
      <c r="M22">
        <f t="shared" si="6"/>
        <v>5</v>
      </c>
      <c r="O22" s="22"/>
      <c r="P22" s="1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</row>
    <row r="23" spans="1:49" ht="13.15" x14ac:dyDescent="0.4">
      <c r="A23" s="15" t="s">
        <v>83</v>
      </c>
      <c r="B23" s="22">
        <f t="shared" si="0"/>
        <v>290.00208748380209</v>
      </c>
      <c r="C23" s="22">
        <f t="shared" si="0"/>
        <v>290.21982117738503</v>
      </c>
      <c r="D23" s="22">
        <f t="shared" si="0"/>
        <v>288.8645707373268</v>
      </c>
      <c r="E23" s="22">
        <f t="shared" si="0"/>
        <v>292.81831552193887</v>
      </c>
      <c r="F23" s="22">
        <f t="shared" si="0"/>
        <v>286.29995659064332</v>
      </c>
      <c r="G23" s="50">
        <f t="shared" si="1"/>
        <v>289.64095030221927</v>
      </c>
      <c r="H23" s="51">
        <f t="shared" si="2"/>
        <v>12490.111972517425</v>
      </c>
      <c r="I23" s="49">
        <f t="shared" si="3"/>
        <v>7.2956182999975982E-3</v>
      </c>
      <c r="J23" s="49">
        <f t="shared" si="4"/>
        <v>0.11</v>
      </c>
      <c r="K23" s="49">
        <f t="shared" si="5"/>
        <v>2.2504963212191226E-2</v>
      </c>
      <c r="L23" s="22">
        <f>G23/'Clause 6'!$H$11</f>
        <v>968.53892649891873</v>
      </c>
      <c r="M23">
        <f t="shared" si="6"/>
        <v>5</v>
      </c>
      <c r="O23" s="2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49" ht="13.15" x14ac:dyDescent="0.4">
      <c r="A24" s="15" t="s">
        <v>84</v>
      </c>
      <c r="B24" s="22">
        <f t="shared" si="0"/>
        <v>221.78760812145899</v>
      </c>
      <c r="C24" s="22">
        <f t="shared" si="0"/>
        <v>229.49478950584376</v>
      </c>
      <c r="D24" s="22">
        <f t="shared" si="0"/>
        <v>223.80082557125161</v>
      </c>
      <c r="E24" s="22">
        <f t="shared" si="0"/>
        <v>226.77941585841626</v>
      </c>
      <c r="F24" s="22">
        <f t="shared" si="0"/>
        <v>220.83048313719627</v>
      </c>
      <c r="G24" s="50">
        <f t="shared" si="1"/>
        <v>224.53862443883341</v>
      </c>
      <c r="H24" s="51">
        <f t="shared" si="2"/>
        <v>9682.721170710709</v>
      </c>
      <c r="I24" s="49">
        <f t="shared" si="3"/>
        <v>1.4285845331864095E-2</v>
      </c>
      <c r="J24" s="49">
        <f t="shared" si="4"/>
        <v>0.113</v>
      </c>
      <c r="K24" s="49">
        <f t="shared" si="5"/>
        <v>3.8587153503328475E-2</v>
      </c>
      <c r="L24" s="22">
        <f>G24/'Clause 6'!$H$11</f>
        <v>750.8413366432228</v>
      </c>
      <c r="M24">
        <f t="shared" si="6"/>
        <v>5</v>
      </c>
      <c r="O24" s="22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</row>
    <row r="25" spans="1:49" ht="13.15" x14ac:dyDescent="0.4">
      <c r="A25" s="15" t="s">
        <v>85</v>
      </c>
      <c r="B25" s="22">
        <f t="shared" si="0"/>
        <v>171.44170034429601</v>
      </c>
      <c r="C25" s="22">
        <f t="shared" si="0"/>
        <v>177.47749822493859</v>
      </c>
      <c r="D25" s="22">
        <f t="shared" si="0"/>
        <v>176.50271295052318</v>
      </c>
      <c r="E25" s="22">
        <f t="shared" si="0"/>
        <v>174.26931855651804</v>
      </c>
      <c r="F25" s="22">
        <f t="shared" si="0"/>
        <v>171.87170001176386</v>
      </c>
      <c r="G25" s="50">
        <f t="shared" si="1"/>
        <v>174.31258601760794</v>
      </c>
      <c r="H25" s="51">
        <f t="shared" si="2"/>
        <v>7516.8366741901154</v>
      </c>
      <c r="I25" s="49">
        <f t="shared" si="3"/>
        <v>1.3819691092581035E-2</v>
      </c>
      <c r="J25" s="49">
        <f t="shared" si="4"/>
        <v>0.113</v>
      </c>
      <c r="K25" s="49">
        <f t="shared" si="5"/>
        <v>3.4626288431248896E-2</v>
      </c>
      <c r="L25" s="22">
        <f>G25/'Clause 6'!$H$11</f>
        <v>582.88900364601113</v>
      </c>
      <c r="M25">
        <f t="shared" si="6"/>
        <v>5</v>
      </c>
      <c r="O25" s="2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49" ht="13.15" x14ac:dyDescent="0.4">
      <c r="A26" s="15" t="s">
        <v>86</v>
      </c>
      <c r="B26" s="22">
        <f t="shared" si="0"/>
        <v>137.51556105081207</v>
      </c>
      <c r="C26" s="22">
        <f t="shared" si="0"/>
        <v>140.01129943891218</v>
      </c>
      <c r="D26" s="22">
        <f t="shared" si="0"/>
        <v>138.89494535452934</v>
      </c>
      <c r="E26" s="22">
        <f t="shared" si="0"/>
        <v>139.07150224280028</v>
      </c>
      <c r="F26" s="22">
        <f t="shared" si="0"/>
        <v>135.63990734750945</v>
      </c>
      <c r="G26" s="50">
        <f t="shared" si="1"/>
        <v>138.22664308691265</v>
      </c>
      <c r="H26" s="51">
        <f t="shared" si="2"/>
        <v>5960.7118673630175</v>
      </c>
      <c r="I26" s="49">
        <f t="shared" si="3"/>
        <v>1.0991792596128832E-2</v>
      </c>
      <c r="J26" s="49">
        <f t="shared" si="4"/>
        <v>0.113</v>
      </c>
      <c r="K26" s="49">
        <f t="shared" si="5"/>
        <v>3.1624815547709781E-2</v>
      </c>
      <c r="L26" s="22">
        <f>G26/'Clause 6'!$H$11</f>
        <v>462.22015350127708</v>
      </c>
      <c r="M26">
        <f t="shared" si="6"/>
        <v>5</v>
      </c>
      <c r="O26" s="22"/>
    </row>
    <row r="27" spans="1:49" ht="13.15" x14ac:dyDescent="0.4">
      <c r="A27" s="15" t="s">
        <v>87</v>
      </c>
      <c r="B27" s="22">
        <f t="shared" si="0"/>
        <v>106.48702796033034</v>
      </c>
      <c r="C27" s="22">
        <f t="shared" si="0"/>
        <v>110.10708572896448</v>
      </c>
      <c r="D27" s="22">
        <f t="shared" si="0"/>
        <v>108.2088527762031</v>
      </c>
      <c r="E27" s="22">
        <f t="shared" si="0"/>
        <v>107.54251368816706</v>
      </c>
      <c r="F27" s="22">
        <f t="shared" si="0"/>
        <v>103.76510240870334</v>
      </c>
      <c r="G27" s="50">
        <f t="shared" si="1"/>
        <v>107.22211651247366</v>
      </c>
      <c r="H27" s="51">
        <f t="shared" si="2"/>
        <v>4623.7116670613414</v>
      </c>
      <c r="I27" s="49">
        <f t="shared" si="3"/>
        <v>1.9514614180933684E-2</v>
      </c>
      <c r="J27" s="49">
        <f t="shared" si="4"/>
        <v>0.11900000000000001</v>
      </c>
      <c r="K27" s="49">
        <f t="shared" si="5"/>
        <v>5.9148089279914023E-2</v>
      </c>
      <c r="L27" s="22">
        <f>G27/'Clause 6'!$H$11</f>
        <v>358.54320155894584</v>
      </c>
      <c r="M27">
        <f t="shared" si="6"/>
        <v>5</v>
      </c>
      <c r="O27" s="22"/>
    </row>
    <row r="28" spans="1:49" ht="13.15" x14ac:dyDescent="0.4">
      <c r="A28" s="15" t="s">
        <v>88</v>
      </c>
      <c r="B28" s="22">
        <f t="shared" si="0"/>
        <v>81.495174459436484</v>
      </c>
      <c r="C28" s="22">
        <f t="shared" si="0"/>
        <v>86.504526249082389</v>
      </c>
      <c r="D28" s="22">
        <f t="shared" si="0"/>
        <v>83.175461462305364</v>
      </c>
      <c r="E28" s="22">
        <f t="shared" si="0"/>
        <v>83.121878916760252</v>
      </c>
      <c r="F28" s="22">
        <f t="shared" si="0"/>
        <v>78.769751773236678</v>
      </c>
      <c r="G28" s="50">
        <f t="shared" si="1"/>
        <v>82.613358572164231</v>
      </c>
      <c r="H28" s="51">
        <f t="shared" si="2"/>
        <v>3562.5145474609267</v>
      </c>
      <c r="I28" s="49">
        <f t="shared" si="3"/>
        <v>3.0497482426678494E-2</v>
      </c>
      <c r="J28" s="49">
        <f t="shared" si="4"/>
        <v>0.11900000000000001</v>
      </c>
      <c r="K28" s="49">
        <f t="shared" si="5"/>
        <v>9.3626195684675478E-2</v>
      </c>
      <c r="L28" s="22">
        <f>G28/'Clause 6'!$H$11</f>
        <v>276.25324921239599</v>
      </c>
      <c r="M28">
        <f t="shared" si="6"/>
        <v>5</v>
      </c>
      <c r="O28" s="22"/>
    </row>
    <row r="29" spans="1:49" ht="13.15" x14ac:dyDescent="0.4">
      <c r="A29" s="15" t="s">
        <v>89</v>
      </c>
      <c r="B29" s="22">
        <f t="shared" si="0"/>
        <v>65.920541118299724</v>
      </c>
      <c r="C29" s="22">
        <f t="shared" si="0"/>
        <v>68.287016747620015</v>
      </c>
      <c r="D29" s="22">
        <f t="shared" si="0"/>
        <v>66.678802670197641</v>
      </c>
      <c r="E29" s="22">
        <f t="shared" si="0"/>
        <v>67.070757470765173</v>
      </c>
      <c r="F29" s="22">
        <f t="shared" si="0"/>
        <v>60.768513012831789</v>
      </c>
      <c r="G29" s="50">
        <f t="shared" si="1"/>
        <v>65.745126203942874</v>
      </c>
      <c r="H29" s="51">
        <f t="shared" si="2"/>
        <v>2835.1101150500681</v>
      </c>
      <c r="I29" s="49">
        <f t="shared" si="3"/>
        <v>3.9597933756432696E-2</v>
      </c>
      <c r="J29" s="49">
        <f t="shared" si="4"/>
        <v>0.11900000000000001</v>
      </c>
      <c r="K29" s="49">
        <f t="shared" si="5"/>
        <v>0.11435834363547583</v>
      </c>
      <c r="L29" s="22">
        <f>G29/'Clause 6'!$H$11</f>
        <v>219.84706889568184</v>
      </c>
      <c r="M29">
        <f t="shared" si="6"/>
        <v>5</v>
      </c>
      <c r="O29" s="22"/>
    </row>
    <row r="30" spans="1:49" ht="13.15" x14ac:dyDescent="0.4">
      <c r="A30" s="15" t="s">
        <v>90</v>
      </c>
      <c r="B30" s="22">
        <f t="shared" si="0"/>
        <v>48.776371083870131</v>
      </c>
      <c r="C30" s="22">
        <f t="shared" si="0"/>
        <v>52.017291280905177</v>
      </c>
      <c r="D30" s="22">
        <f t="shared" si="0"/>
        <v>49.720698876912088</v>
      </c>
      <c r="E30" s="22">
        <f t="shared" si="0"/>
        <v>51.248937759712874</v>
      </c>
      <c r="F30" s="22">
        <f t="shared" si="0"/>
        <v>44.945768115151061</v>
      </c>
      <c r="G30" s="50">
        <f t="shared" si="1"/>
        <v>49.341813423310263</v>
      </c>
      <c r="H30" s="51">
        <f t="shared" si="2"/>
        <v>2127.7542900655453</v>
      </c>
      <c r="I30" s="49">
        <f t="shared" si="3"/>
        <v>5.0123986400689012E-2</v>
      </c>
      <c r="J30" s="49">
        <f t="shared" si="4"/>
        <v>0.11900000000000001</v>
      </c>
      <c r="K30" s="49">
        <f t="shared" si="5"/>
        <v>0.14331705049197396</v>
      </c>
      <c r="L30" s="22">
        <f>G30/'Clause 6'!$H$11</f>
        <v>164.9955469164772</v>
      </c>
      <c r="M30">
        <f t="shared" si="6"/>
        <v>5</v>
      </c>
      <c r="O30" s="22"/>
    </row>
    <row r="31" spans="1:49" ht="13.15" x14ac:dyDescent="0.4">
      <c r="A31" s="15" t="s">
        <v>91</v>
      </c>
      <c r="B31" s="22">
        <f t="shared" si="0"/>
        <v>36.823745496486112</v>
      </c>
      <c r="C31" s="22">
        <f t="shared" si="0"/>
        <v>40.330587072419874</v>
      </c>
      <c r="D31" s="22">
        <f t="shared" si="0"/>
        <v>38.415296348055044</v>
      </c>
      <c r="E31" s="22">
        <f t="shared" si="0"/>
        <v>38.637342337859593</v>
      </c>
      <c r="F31" s="22">
        <f t="shared" si="0"/>
        <v>32.333435225695403</v>
      </c>
      <c r="G31" s="50">
        <f t="shared" si="1"/>
        <v>37.308081296103204</v>
      </c>
      <c r="H31" s="51">
        <f t="shared" si="2"/>
        <v>1608.8267642468841</v>
      </c>
      <c r="I31" s="49">
        <f t="shared" si="3"/>
        <v>7.3022729698244027E-2</v>
      </c>
      <c r="J31" s="49">
        <f t="shared" si="4"/>
        <v>0.13400000000000001</v>
      </c>
      <c r="K31" s="49">
        <f t="shared" si="5"/>
        <v>0.21435441247308973</v>
      </c>
      <c r="L31" s="22">
        <f>G31/'Clause 6'!$H$11</f>
        <v>124.75559471324286</v>
      </c>
      <c r="M31">
        <f t="shared" si="6"/>
        <v>5</v>
      </c>
      <c r="O31" s="22"/>
    </row>
    <row r="32" spans="1:49" ht="13.15" x14ac:dyDescent="0.4">
      <c r="A32" s="15" t="s">
        <v>92</v>
      </c>
      <c r="B32" s="22">
        <f t="shared" si="0"/>
        <v>28.613861254646586</v>
      </c>
      <c r="C32" s="22">
        <f t="shared" si="0"/>
        <v>32.53945093342967</v>
      </c>
      <c r="D32" s="22">
        <f t="shared" si="0"/>
        <v>29.993925076559496</v>
      </c>
      <c r="E32" s="22">
        <f t="shared" si="0"/>
        <v>29.923876410033692</v>
      </c>
      <c r="F32" s="22">
        <f t="shared" si="0"/>
        <v>23.275487059631796</v>
      </c>
      <c r="G32" s="50">
        <f t="shared" si="1"/>
        <v>28.869320146860247</v>
      </c>
      <c r="H32" s="51">
        <f t="shared" si="2"/>
        <v>1244.9242444084566</v>
      </c>
      <c r="I32" s="49">
        <f t="shared" si="3"/>
        <v>0.10642970088174236</v>
      </c>
      <c r="J32" s="49">
        <f t="shared" si="4"/>
        <v>0.13400000000000001</v>
      </c>
      <c r="K32" s="49">
        <f t="shared" si="5"/>
        <v>0.32089303893099813</v>
      </c>
      <c r="L32" s="22">
        <f>G32/'Clause 6'!$H$11</f>
        <v>96.536972118819165</v>
      </c>
      <c r="M32">
        <f t="shared" si="6"/>
        <v>5</v>
      </c>
      <c r="O32" s="22"/>
    </row>
    <row r="33" spans="1:15" ht="13.15" x14ac:dyDescent="0.4">
      <c r="A33" s="15" t="s">
        <v>93</v>
      </c>
      <c r="B33" s="22">
        <f t="shared" si="0"/>
        <v>23.060116032225729</v>
      </c>
      <c r="C33" s="22">
        <f t="shared" si="0"/>
        <v>23.717135011337824</v>
      </c>
      <c r="D33" s="22">
        <f t="shared" si="0"/>
        <v>22.841527558303</v>
      </c>
      <c r="E33" s="22">
        <f t="shared" si="0"/>
        <v>22.700871759335904</v>
      </c>
      <c r="F33" s="22">
        <f t="shared" si="0"/>
        <v>17.313293330070945</v>
      </c>
      <c r="G33" s="50">
        <f t="shared" si="1"/>
        <v>21.926588738254683</v>
      </c>
      <c r="H33" s="51">
        <f t="shared" si="2"/>
        <v>945.53462909986229</v>
      </c>
      <c r="I33" s="49">
        <f t="shared" si="3"/>
        <v>0.10639193100257076</v>
      </c>
      <c r="J33" s="49">
        <f t="shared" si="4"/>
        <v>0.156</v>
      </c>
      <c r="K33" s="49">
        <f t="shared" si="5"/>
        <v>0.29205827489682801</v>
      </c>
      <c r="L33" s="22">
        <f>G33/'Clause 6'!$H$11</f>
        <v>73.320967550249577</v>
      </c>
      <c r="M33">
        <f t="shared" si="6"/>
        <v>5</v>
      </c>
      <c r="O33" s="22"/>
    </row>
    <row r="34" spans="1:15" ht="13.15" x14ac:dyDescent="0.4">
      <c r="A34" s="15" t="s">
        <v>94</v>
      </c>
      <c r="B34" s="22">
        <f t="shared" si="0"/>
        <v>15.816100524720264</v>
      </c>
      <c r="C34" s="22">
        <f t="shared" si="0"/>
        <v>18.102933970006646</v>
      </c>
      <c r="D34" s="22">
        <f t="shared" si="0"/>
        <v>17.073465043580022</v>
      </c>
      <c r="E34" s="22">
        <f t="shared" si="0"/>
        <v>16.739026650823444</v>
      </c>
      <c r="F34" s="22">
        <f t="shared" si="0"/>
        <v>13.300278319789598</v>
      </c>
      <c r="G34" s="50">
        <f t="shared" si="1"/>
        <v>16.206360901783995</v>
      </c>
      <c r="H34" s="51">
        <f t="shared" si="2"/>
        <v>698.86271992651859</v>
      </c>
      <c r="I34" s="49">
        <f t="shared" si="3"/>
        <v>0.10037206886918353</v>
      </c>
      <c r="J34" s="49">
        <f t="shared" si="4"/>
        <v>0.156</v>
      </c>
      <c r="K34" s="49">
        <f t="shared" si="5"/>
        <v>0.29634386641904115</v>
      </c>
      <c r="L34" s="22">
        <f>G34/'Clause 6'!$H$11</f>
        <v>54.192928775747255</v>
      </c>
      <c r="M34">
        <f t="shared" si="6"/>
        <v>5</v>
      </c>
      <c r="O34" s="22"/>
    </row>
    <row r="35" spans="1:15" ht="13.15" x14ac:dyDescent="0.4">
      <c r="A35" s="15" t="s">
        <v>95</v>
      </c>
      <c r="B35" s="22">
        <f t="shared" si="0"/>
        <v>10.624556077674681</v>
      </c>
      <c r="C35" s="22">
        <f t="shared" si="0"/>
        <v>13.749063774688592</v>
      </c>
      <c r="D35" s="22">
        <f t="shared" si="0"/>
        <v>13.035821283273934</v>
      </c>
      <c r="E35" s="22">
        <f t="shared" si="0"/>
        <v>11.694388482082132</v>
      </c>
      <c r="F35" s="22">
        <f t="shared" si="0"/>
        <v>9.1726057377859309</v>
      </c>
      <c r="G35" s="50">
        <f t="shared" si="1"/>
        <v>11.655287071101053</v>
      </c>
      <c r="H35" s="51">
        <f t="shared" si="2"/>
        <v>502.6079373030264</v>
      </c>
      <c r="I35" s="49">
        <f t="shared" si="3"/>
        <v>0.14107137096374267</v>
      </c>
      <c r="J35" s="49">
        <f t="shared" si="4"/>
        <v>0.156</v>
      </c>
      <c r="K35" s="49">
        <f t="shared" si="5"/>
        <v>0.39265082095230897</v>
      </c>
      <c r="L35" s="22">
        <f>G35/'Clause 6'!$H$11</f>
        <v>38.974458605049144</v>
      </c>
      <c r="M35">
        <f t="shared" si="6"/>
        <v>5</v>
      </c>
      <c r="O35" s="22"/>
    </row>
    <row r="36" spans="1:15" ht="13.15" x14ac:dyDescent="0.4">
      <c r="A36" s="15" t="s">
        <v>96</v>
      </c>
      <c r="B36" s="22">
        <f t="shared" si="0"/>
        <v>7.9684170582560112</v>
      </c>
      <c r="C36" s="22">
        <f t="shared" si="0"/>
        <v>10.426373362472182</v>
      </c>
      <c r="D36" s="22">
        <f t="shared" si="0"/>
        <v>9.8057062750290651</v>
      </c>
      <c r="E36" s="22">
        <f t="shared" si="0"/>
        <v>8.598815060354509</v>
      </c>
      <c r="F36" s="22">
        <f t="shared" si="0"/>
        <v>6.1915088730055032</v>
      </c>
      <c r="G36" s="50">
        <f t="shared" si="1"/>
        <v>8.5981641258234554</v>
      </c>
      <c r="H36" s="51">
        <f t="shared" si="2"/>
        <v>370.77641327154043</v>
      </c>
      <c r="I36" s="49">
        <f t="shared" si="3"/>
        <v>0.17242089772017347</v>
      </c>
      <c r="J36" s="49">
        <f t="shared" si="4"/>
        <v>0.193</v>
      </c>
      <c r="K36" s="49">
        <f t="shared" si="5"/>
        <v>0.4925312459142086</v>
      </c>
      <c r="L36" s="22">
        <f>G36/'Clause 6'!$H$11</f>
        <v>28.751654914808348</v>
      </c>
      <c r="M36">
        <f t="shared" si="6"/>
        <v>5</v>
      </c>
      <c r="O36" s="22"/>
    </row>
    <row r="37" spans="1:15" ht="13.15" x14ac:dyDescent="0.4">
      <c r="A37" s="15" t="s">
        <v>97</v>
      </c>
      <c r="B37" s="22">
        <f t="shared" si="0"/>
        <v>5.7952124060043717</v>
      </c>
      <c r="C37" s="22">
        <f t="shared" si="0"/>
        <v>7.6765606075344639</v>
      </c>
      <c r="D37" s="22">
        <f t="shared" si="0"/>
        <v>7.383120018845414</v>
      </c>
      <c r="E37" s="22">
        <f t="shared" si="0"/>
        <v>5.8471942410410662</v>
      </c>
      <c r="F37" s="22">
        <f t="shared" si="0"/>
        <v>3.8983574385590205</v>
      </c>
      <c r="G37" s="50">
        <f t="shared" si="1"/>
        <v>6.1200889423968672</v>
      </c>
      <c r="H37" s="51">
        <f t="shared" si="2"/>
        <v>263.91501648003299</v>
      </c>
      <c r="I37" s="49">
        <f t="shared" si="3"/>
        <v>0.2208446007049531</v>
      </c>
      <c r="J37" s="49">
        <f t="shared" si="4"/>
        <v>0.193</v>
      </c>
      <c r="K37" s="49">
        <f t="shared" si="5"/>
        <v>0.61734448707141676</v>
      </c>
      <c r="L37" s="22">
        <f>G37/'Clause 6'!$H$11</f>
        <v>20.46514613407394</v>
      </c>
      <c r="M37">
        <f t="shared" si="6"/>
        <v>5</v>
      </c>
    </row>
    <row r="38" spans="1:15" ht="13.15" x14ac:dyDescent="0.4">
      <c r="A38" s="15" t="s">
        <v>98</v>
      </c>
      <c r="B38" s="22">
        <f t="shared" si="0"/>
        <v>4.2256757127115208</v>
      </c>
      <c r="C38" s="22">
        <f t="shared" si="0"/>
        <v>5.3850499784196986</v>
      </c>
      <c r="D38" s="22">
        <f t="shared" si="0"/>
        <v>4.7298112620728432</v>
      </c>
      <c r="E38" s="22">
        <f t="shared" si="0"/>
        <v>4.3567329639129513</v>
      </c>
      <c r="F38" s="22">
        <f t="shared" si="0"/>
        <v>3.0957544365027516</v>
      </c>
      <c r="G38" s="50">
        <f t="shared" si="1"/>
        <v>4.3586048707239531</v>
      </c>
      <c r="H38" s="51">
        <f t="shared" si="2"/>
        <v>187.95499332017241</v>
      </c>
      <c r="I38" s="49">
        <f t="shared" si="3"/>
        <v>0.17180855286553112</v>
      </c>
      <c r="J38" s="49">
        <f t="shared" si="4"/>
        <v>0.27500000000000002</v>
      </c>
      <c r="K38" s="49">
        <f t="shared" si="5"/>
        <v>0.52523585179601306</v>
      </c>
      <c r="L38" s="22">
        <f>G38/'Clause 6'!$H$11</f>
        <v>14.574867532091474</v>
      </c>
      <c r="M38">
        <f t="shared" si="6"/>
        <v>5</v>
      </c>
    </row>
    <row r="40" spans="1:15" x14ac:dyDescent="0.35">
      <c r="A40" t="s">
        <v>99</v>
      </c>
    </row>
    <row r="41" spans="1:15" ht="15" x14ac:dyDescent="0.5">
      <c r="A41" s="53"/>
      <c r="B41" s="54" t="s">
        <v>100</v>
      </c>
      <c r="C41" s="53"/>
      <c r="D41" s="55" t="s">
        <v>101</v>
      </c>
      <c r="E41" s="56"/>
      <c r="F41" s="56"/>
      <c r="G41" s="56"/>
      <c r="H41" s="57"/>
    </row>
    <row r="42" spans="1:15" ht="15" x14ac:dyDescent="0.5">
      <c r="A42" s="58" t="s">
        <v>102</v>
      </c>
      <c r="B42" s="59" t="s">
        <v>103</v>
      </c>
      <c r="C42" s="58" t="s">
        <v>104</v>
      </c>
      <c r="D42" s="58" t="s">
        <v>105</v>
      </c>
      <c r="E42" s="59" t="s">
        <v>106</v>
      </c>
      <c r="F42" s="59" t="s">
        <v>107</v>
      </c>
      <c r="G42" s="59" t="s">
        <v>108</v>
      </c>
      <c r="H42" s="60" t="s">
        <v>109</v>
      </c>
    </row>
    <row r="43" spans="1:15" x14ac:dyDescent="0.35">
      <c r="A43" s="61">
        <v>10000</v>
      </c>
      <c r="C43" s="61">
        <v>11</v>
      </c>
      <c r="D43" s="61">
        <v>7.8</v>
      </c>
      <c r="E43">
        <v>5.3</v>
      </c>
      <c r="F43">
        <v>4</v>
      </c>
      <c r="G43">
        <v>2.7</v>
      </c>
      <c r="H43" s="62">
        <v>1.8</v>
      </c>
    </row>
    <row r="44" spans="1:15" x14ac:dyDescent="0.35">
      <c r="A44" s="61">
        <v>5000</v>
      </c>
      <c r="B44">
        <v>10000</v>
      </c>
      <c r="C44" s="61">
        <v>11.3</v>
      </c>
      <c r="D44" s="61">
        <v>7.8</v>
      </c>
      <c r="E44">
        <v>5.3</v>
      </c>
      <c r="F44">
        <v>4</v>
      </c>
      <c r="G44">
        <v>2.7</v>
      </c>
      <c r="H44" s="62">
        <v>1.9</v>
      </c>
    </row>
    <row r="45" spans="1:15" x14ac:dyDescent="0.35">
      <c r="A45" s="61">
        <v>2000</v>
      </c>
      <c r="B45">
        <v>5000</v>
      </c>
      <c r="C45" s="61">
        <v>11.9</v>
      </c>
      <c r="D45" s="61">
        <v>7.9</v>
      </c>
      <c r="E45">
        <v>5.4</v>
      </c>
      <c r="F45">
        <v>4.0999999999999996</v>
      </c>
      <c r="G45">
        <v>2.9</v>
      </c>
      <c r="H45" s="62">
        <v>2.1</v>
      </c>
    </row>
    <row r="46" spans="1:15" x14ac:dyDescent="0.35">
      <c r="A46" s="61">
        <v>1000</v>
      </c>
      <c r="B46">
        <v>2000</v>
      </c>
      <c r="C46" s="61">
        <v>13.4</v>
      </c>
      <c r="D46" s="61">
        <v>8</v>
      </c>
      <c r="E46">
        <v>5.6</v>
      </c>
      <c r="F46">
        <v>4.3</v>
      </c>
      <c r="G46">
        <v>3.1</v>
      </c>
      <c r="H46" s="62">
        <v>2.4</v>
      </c>
    </row>
    <row r="47" spans="1:15" x14ac:dyDescent="0.35">
      <c r="A47" s="61">
        <v>500</v>
      </c>
      <c r="B47">
        <v>1000</v>
      </c>
      <c r="C47" s="61">
        <v>15.6</v>
      </c>
      <c r="D47" s="61">
        <v>8.1999999999999993</v>
      </c>
      <c r="E47">
        <v>5.9</v>
      </c>
      <c r="F47">
        <v>4.7</v>
      </c>
      <c r="G47">
        <v>3.6</v>
      </c>
      <c r="H47" s="62">
        <v>2.9</v>
      </c>
    </row>
    <row r="48" spans="1:15" x14ac:dyDescent="0.35">
      <c r="A48" s="61">
        <v>200</v>
      </c>
      <c r="B48">
        <v>500</v>
      </c>
      <c r="C48" s="61">
        <v>19.3</v>
      </c>
      <c r="D48" s="61">
        <v>8.9</v>
      </c>
      <c r="E48">
        <v>6.8</v>
      </c>
      <c r="F48">
        <v>5.7</v>
      </c>
      <c r="G48">
        <v>4.7</v>
      </c>
      <c r="H48" s="62">
        <v>4.0999999999999996</v>
      </c>
    </row>
    <row r="49" spans="1:16" x14ac:dyDescent="0.35">
      <c r="A49" s="63">
        <v>100</v>
      </c>
      <c r="B49" s="64">
        <v>200</v>
      </c>
      <c r="C49" s="63">
        <v>27.5</v>
      </c>
      <c r="D49" s="63">
        <v>10</v>
      </c>
      <c r="E49" s="64">
        <v>8</v>
      </c>
      <c r="F49" s="64">
        <v>7</v>
      </c>
      <c r="G49" s="64">
        <v>6.1</v>
      </c>
      <c r="H49" s="65">
        <v>5.5</v>
      </c>
    </row>
    <row r="51" spans="1:16" x14ac:dyDescent="0.35">
      <c r="A51" s="67">
        <f>'6 - B1'!A51</f>
        <v>0</v>
      </c>
      <c r="B51" s="68" t="str">
        <f>'6 - B1'!B51</f>
        <v>Portion 1</v>
      </c>
      <c r="C51" s="68" t="str">
        <f>'6 - B1'!C51</f>
        <v>Portion 2</v>
      </c>
      <c r="D51" s="68" t="str">
        <f>'6 - B1'!D51</f>
        <v>Portion 3</v>
      </c>
      <c r="E51" s="68" t="str">
        <f>'6 - B1'!E51</f>
        <v>Portion 4</v>
      </c>
      <c r="F51" s="68" t="str">
        <f>'6 - B1'!F51</f>
        <v>Portion 5</v>
      </c>
      <c r="G51" s="68" t="str">
        <f>'6 - B1'!G51</f>
        <v>Portion 1</v>
      </c>
      <c r="H51" s="68" t="str">
        <f>'6 - B1'!H51</f>
        <v>Portion 2</v>
      </c>
      <c r="I51" s="68" t="str">
        <f>'6 - B1'!I51</f>
        <v>Portion 3</v>
      </c>
      <c r="J51" s="68" t="str">
        <f>'6 - B1'!J51</f>
        <v>Portion 4</v>
      </c>
      <c r="K51" s="68" t="str">
        <f>'6 - B1'!K51</f>
        <v>Portion 5</v>
      </c>
      <c r="L51" s="68" t="str">
        <f>'6 - B1'!L51</f>
        <v>Portion 1</v>
      </c>
      <c r="M51" s="68" t="str">
        <f>'6 - B1'!M51</f>
        <v>Portion 2</v>
      </c>
      <c r="N51" s="68" t="str">
        <f>'6 - B1'!N51</f>
        <v>Portion 3</v>
      </c>
      <c r="O51" s="68" t="str">
        <f>'6 - B1'!O51</f>
        <v>Portion 4</v>
      </c>
      <c r="P51" s="68" t="str">
        <f>'6 - B1'!P51</f>
        <v>Portion 5</v>
      </c>
    </row>
    <row r="52" spans="1:16" x14ac:dyDescent="0.35">
      <c r="A52" s="69" t="str">
        <f>'6 - B1'!A52</f>
        <v>NAME\mL</v>
      </c>
      <c r="B52" s="67">
        <f>'6 - B1'!B52</f>
        <v>8.2826989999999991</v>
      </c>
      <c r="C52" s="67">
        <f>'6 - B1'!C52</f>
        <v>8.7278669999999998</v>
      </c>
      <c r="D52" s="67">
        <f>'6 - B1'!D52</f>
        <v>8.6684219999999996</v>
      </c>
      <c r="E52" s="67">
        <f>'6 - B1'!E52</f>
        <v>8.7221320000000002</v>
      </c>
      <c r="F52" s="67">
        <f>'6 - B1'!F52</f>
        <v>8.721622</v>
      </c>
      <c r="G52" s="67">
        <f>'6 - B1'!G52</f>
        <v>8.2826989999999991</v>
      </c>
      <c r="H52" s="67">
        <f>'6 - B1'!H52</f>
        <v>8.7278669999999998</v>
      </c>
      <c r="I52" s="67">
        <f>'6 - B1'!I52</f>
        <v>8.6684219999999996</v>
      </c>
      <c r="J52" s="67">
        <f>'6 - B1'!J52</f>
        <v>8.7221320000000002</v>
      </c>
      <c r="K52" s="67">
        <f>'6 - B1'!K52</f>
        <v>8.721622</v>
      </c>
      <c r="L52" s="67">
        <f>'6 - B1'!L52</f>
        <v>8.2826989999999991</v>
      </c>
      <c r="M52" s="67">
        <f>'6 - B1'!M52</f>
        <v>8.7278669999999998</v>
      </c>
      <c r="N52" s="67">
        <f>'6 - B1'!N52</f>
        <v>8.6684219999999996</v>
      </c>
      <c r="O52" s="67">
        <f>'6 - B1'!O52</f>
        <v>8.7221320000000002</v>
      </c>
      <c r="P52" s="67">
        <f>'6 - B1'!P52</f>
        <v>8.721622</v>
      </c>
    </row>
    <row r="53" spans="1:16" x14ac:dyDescent="0.35">
      <c r="A53" s="69">
        <f>'6 - B1'!A53</f>
        <v>4</v>
      </c>
      <c r="B53" s="67">
        <f>'6 - B1'!B53</f>
        <v>33813</v>
      </c>
      <c r="C53" s="67">
        <f>'6 - B1'!C53</f>
        <v>35435</v>
      </c>
      <c r="D53" s="67">
        <f>'6 - B1'!D53</f>
        <v>35865</v>
      </c>
      <c r="E53" s="67">
        <f>'6 - B1'!E53</f>
        <v>35225</v>
      </c>
      <c r="F53" s="67">
        <f>'6 - B1'!F53</f>
        <v>36964</v>
      </c>
      <c r="G53" s="67">
        <f>'6 - B1'!G53</f>
        <v>33813</v>
      </c>
      <c r="H53" s="67">
        <f>'6 - B1'!H53</f>
        <v>35435</v>
      </c>
      <c r="I53" s="67">
        <f>'6 - B1'!I53</f>
        <v>35865</v>
      </c>
      <c r="J53" s="67">
        <f>'6 - B1'!J53</f>
        <v>35225</v>
      </c>
      <c r="K53" s="67">
        <f>'6 - B1'!K53</f>
        <v>36964</v>
      </c>
      <c r="L53" s="67">
        <f>'6 - B1'!L53</f>
        <v>33813</v>
      </c>
      <c r="M53" s="67">
        <f>'6 - B1'!M53</f>
        <v>35435</v>
      </c>
      <c r="N53" s="67">
        <f>'6 - B1'!N53</f>
        <v>35865</v>
      </c>
      <c r="O53" s="67">
        <f>'6 - B1'!O53</f>
        <v>35225</v>
      </c>
      <c r="P53" s="67">
        <f>'6 - B1'!P53</f>
        <v>36964</v>
      </c>
    </row>
    <row r="54" spans="1:16" x14ac:dyDescent="0.35">
      <c r="A54" s="69">
        <f>'6 - B1'!A54</f>
        <v>5</v>
      </c>
      <c r="B54" s="67">
        <f>'6 - B1'!B54</f>
        <v>29539</v>
      </c>
      <c r="C54" s="67">
        <f>'6 - B1'!C54</f>
        <v>30973</v>
      </c>
      <c r="D54" s="67">
        <f>'6 - B1'!D54</f>
        <v>31250</v>
      </c>
      <c r="E54" s="67">
        <f>'6 - B1'!E54</f>
        <v>30689</v>
      </c>
      <c r="F54" s="67">
        <f>'6 - B1'!F54</f>
        <v>32104</v>
      </c>
      <c r="G54" s="67">
        <f>'6 - B1'!G54</f>
        <v>29539</v>
      </c>
      <c r="H54" s="67">
        <f>'6 - B1'!H54</f>
        <v>30973</v>
      </c>
      <c r="I54" s="67">
        <f>'6 - B1'!I54</f>
        <v>31250</v>
      </c>
      <c r="J54" s="67">
        <f>'6 - B1'!J54</f>
        <v>30689</v>
      </c>
      <c r="K54" s="67">
        <f>'6 - B1'!K54</f>
        <v>32104</v>
      </c>
      <c r="L54" s="67">
        <f>'6 - B1'!L54</f>
        <v>29539</v>
      </c>
      <c r="M54" s="67">
        <f>'6 - B1'!M54</f>
        <v>30973</v>
      </c>
      <c r="N54" s="67">
        <f>'6 - B1'!N54</f>
        <v>31250</v>
      </c>
      <c r="O54" s="67">
        <f>'6 - B1'!O54</f>
        <v>30689</v>
      </c>
      <c r="P54" s="67">
        <f>'6 - B1'!P54</f>
        <v>32104</v>
      </c>
    </row>
    <row r="55" spans="1:16" x14ac:dyDescent="0.35">
      <c r="A55" s="69">
        <f>'6 - B1'!A55</f>
        <v>6</v>
      </c>
      <c r="B55" s="67">
        <f>'6 - B1'!B55</f>
        <v>25696</v>
      </c>
      <c r="C55" s="67">
        <f>'6 - B1'!C55</f>
        <v>26983</v>
      </c>
      <c r="D55" s="67">
        <f>'6 - B1'!D55</f>
        <v>27099</v>
      </c>
      <c r="E55" s="67">
        <f>'6 - B1'!E55</f>
        <v>26575</v>
      </c>
      <c r="F55" s="67">
        <f>'6 - B1'!F55</f>
        <v>27964</v>
      </c>
      <c r="G55" s="67">
        <f>'6 - B1'!G55</f>
        <v>25696</v>
      </c>
      <c r="H55" s="67">
        <f>'6 - B1'!H55</f>
        <v>26983</v>
      </c>
      <c r="I55" s="67">
        <f>'6 - B1'!I55</f>
        <v>27099</v>
      </c>
      <c r="J55" s="67">
        <f>'6 - B1'!J55</f>
        <v>26575</v>
      </c>
      <c r="K55" s="67">
        <f>'6 - B1'!K55</f>
        <v>27964</v>
      </c>
      <c r="L55" s="67">
        <f>'6 - B1'!L55</f>
        <v>25696</v>
      </c>
      <c r="M55" s="67">
        <f>'6 - B1'!M55</f>
        <v>26983</v>
      </c>
      <c r="N55" s="67">
        <f>'6 - B1'!N55</f>
        <v>27099</v>
      </c>
      <c r="O55" s="67">
        <f>'6 - B1'!O55</f>
        <v>26575</v>
      </c>
      <c r="P55" s="67">
        <f>'6 - B1'!P55</f>
        <v>27964</v>
      </c>
    </row>
    <row r="56" spans="1:16" x14ac:dyDescent="0.35">
      <c r="A56" s="69">
        <f>'6 - B1'!A56</f>
        <v>7</v>
      </c>
      <c r="B56" s="67">
        <f>'6 - B1'!B56</f>
        <v>22305</v>
      </c>
      <c r="C56" s="67">
        <f>'6 - B1'!C56</f>
        <v>23438</v>
      </c>
      <c r="D56" s="67">
        <f>'6 - B1'!D56</f>
        <v>23353</v>
      </c>
      <c r="E56" s="67">
        <f>'6 - B1'!E56</f>
        <v>23102</v>
      </c>
      <c r="F56" s="67">
        <f>'6 - B1'!F56</f>
        <v>24240</v>
      </c>
      <c r="G56" s="67">
        <f>'6 - B1'!G56</f>
        <v>22305</v>
      </c>
      <c r="H56" s="67">
        <f>'6 - B1'!H56</f>
        <v>23438</v>
      </c>
      <c r="I56" s="67">
        <f>'6 - B1'!I56</f>
        <v>23353</v>
      </c>
      <c r="J56" s="67">
        <f>'6 - B1'!J56</f>
        <v>23102</v>
      </c>
      <c r="K56" s="67">
        <f>'6 - B1'!K56</f>
        <v>24240</v>
      </c>
      <c r="L56" s="67">
        <f>'6 - B1'!L56</f>
        <v>22305</v>
      </c>
      <c r="M56" s="67">
        <f>'6 - B1'!M56</f>
        <v>23438</v>
      </c>
      <c r="N56" s="67">
        <f>'6 - B1'!N56</f>
        <v>23353</v>
      </c>
      <c r="O56" s="67">
        <f>'6 - B1'!O56</f>
        <v>23102</v>
      </c>
      <c r="P56" s="67">
        <f>'6 - B1'!P56</f>
        <v>24240</v>
      </c>
    </row>
    <row r="57" spans="1:16" x14ac:dyDescent="0.35">
      <c r="A57" s="69">
        <f>'6 - B1'!A57</f>
        <v>8</v>
      </c>
      <c r="B57" s="67">
        <f>'6 - B1'!B57</f>
        <v>19196</v>
      </c>
      <c r="C57" s="67">
        <f>'6 - B1'!C57</f>
        <v>20115</v>
      </c>
      <c r="D57" s="67">
        <f>'6 - B1'!D57</f>
        <v>20061</v>
      </c>
      <c r="E57" s="67">
        <f>'6 - B1'!E57</f>
        <v>19822</v>
      </c>
      <c r="F57" s="67">
        <f>'6 - B1'!F57</f>
        <v>20954</v>
      </c>
      <c r="G57" s="67">
        <f>'6 - B1'!G57</f>
        <v>19196</v>
      </c>
      <c r="H57" s="67">
        <f>'6 - B1'!H57</f>
        <v>20115</v>
      </c>
      <c r="I57" s="67">
        <f>'6 - B1'!I57</f>
        <v>20061</v>
      </c>
      <c r="J57" s="67">
        <f>'6 - B1'!J57</f>
        <v>19822</v>
      </c>
      <c r="K57" s="67">
        <f>'6 - B1'!K57</f>
        <v>20954</v>
      </c>
      <c r="L57" s="67">
        <f>'6 - B1'!L57</f>
        <v>19196</v>
      </c>
      <c r="M57" s="67">
        <f>'6 - B1'!M57</f>
        <v>20115</v>
      </c>
      <c r="N57" s="67">
        <f>'6 - B1'!N57</f>
        <v>20061</v>
      </c>
      <c r="O57" s="67">
        <f>'6 - B1'!O57</f>
        <v>19822</v>
      </c>
      <c r="P57" s="67">
        <f>'6 - B1'!P57</f>
        <v>20954</v>
      </c>
    </row>
    <row r="58" spans="1:16" x14ac:dyDescent="0.35">
      <c r="A58" s="69">
        <f>'6 - B1'!A58</f>
        <v>9</v>
      </c>
      <c r="B58" s="67">
        <f>'6 - B1'!B58</f>
        <v>16381</v>
      </c>
      <c r="C58" s="67">
        <f>'6 - B1'!C58</f>
        <v>17225</v>
      </c>
      <c r="D58" s="67">
        <f>'6 - B1'!D58</f>
        <v>17237</v>
      </c>
      <c r="E58" s="67">
        <f>'6 - B1'!E58</f>
        <v>16983</v>
      </c>
      <c r="F58" s="67">
        <f>'6 - B1'!F58</f>
        <v>17836</v>
      </c>
      <c r="G58" s="67">
        <f>'6 - B1'!G58</f>
        <v>16381</v>
      </c>
      <c r="H58" s="67">
        <f>'6 - B1'!H58</f>
        <v>17225</v>
      </c>
      <c r="I58" s="67">
        <f>'6 - B1'!I58</f>
        <v>17237</v>
      </c>
      <c r="J58" s="67">
        <f>'6 - B1'!J58</f>
        <v>16983</v>
      </c>
      <c r="K58" s="67">
        <f>'6 - B1'!K58</f>
        <v>17836</v>
      </c>
      <c r="L58" s="67">
        <f>'6 - B1'!L58</f>
        <v>16381</v>
      </c>
      <c r="M58" s="67">
        <f>'6 - B1'!M58</f>
        <v>17225</v>
      </c>
      <c r="N58" s="67">
        <f>'6 - B1'!N58</f>
        <v>17237</v>
      </c>
      <c r="O58" s="67">
        <f>'6 - B1'!O58</f>
        <v>16983</v>
      </c>
      <c r="P58" s="67">
        <f>'6 - B1'!P58</f>
        <v>17836</v>
      </c>
    </row>
    <row r="59" spans="1:16" x14ac:dyDescent="0.35">
      <c r="A59" s="69">
        <f>'6 - B1'!A59</f>
        <v>10</v>
      </c>
      <c r="B59" s="67">
        <f>'6 - B1'!B59</f>
        <v>13884</v>
      </c>
      <c r="C59" s="67">
        <f>'6 - B1'!C59</f>
        <v>14642</v>
      </c>
      <c r="D59" s="67">
        <f>'6 - B1'!D59</f>
        <v>14609</v>
      </c>
      <c r="E59" s="67">
        <f>'6 - B1'!E59</f>
        <v>14423</v>
      </c>
      <c r="F59" s="67">
        <f>'6 - B1'!F59</f>
        <v>15155</v>
      </c>
      <c r="G59" s="67">
        <f>'6 - B1'!G59</f>
        <v>13884</v>
      </c>
      <c r="H59" s="67">
        <f>'6 - B1'!H59</f>
        <v>14642</v>
      </c>
      <c r="I59" s="67">
        <f>'6 - B1'!I59</f>
        <v>14609</v>
      </c>
      <c r="J59" s="67">
        <f>'6 - B1'!J59</f>
        <v>14423</v>
      </c>
      <c r="K59" s="67">
        <f>'6 - B1'!K59</f>
        <v>15155</v>
      </c>
      <c r="L59" s="67">
        <f>'6 - B1'!L59</f>
        <v>13884</v>
      </c>
      <c r="M59" s="67">
        <f>'6 - B1'!M59</f>
        <v>14642</v>
      </c>
      <c r="N59" s="67">
        <f>'6 - B1'!N59</f>
        <v>14609</v>
      </c>
      <c r="O59" s="67">
        <f>'6 - B1'!O59</f>
        <v>14423</v>
      </c>
      <c r="P59" s="67">
        <f>'6 - B1'!P59</f>
        <v>15155</v>
      </c>
    </row>
    <row r="60" spans="1:16" x14ac:dyDescent="0.35">
      <c r="A60" s="69">
        <f>'6 - B1'!A60</f>
        <v>11</v>
      </c>
      <c r="B60" s="67">
        <f>'6 - B1'!B60</f>
        <v>11681</v>
      </c>
      <c r="C60" s="67">
        <f>'6 - B1'!C60</f>
        <v>12355</v>
      </c>
      <c r="D60" s="67">
        <f>'6 - B1'!D60</f>
        <v>12214</v>
      </c>
      <c r="E60" s="67">
        <f>'6 - B1'!E60</f>
        <v>12103</v>
      </c>
      <c r="F60" s="67">
        <f>'6 - B1'!F60</f>
        <v>12719</v>
      </c>
      <c r="G60" s="67">
        <f>'6 - B1'!G60</f>
        <v>11681</v>
      </c>
      <c r="H60" s="67">
        <f>'6 - B1'!H60</f>
        <v>12355</v>
      </c>
      <c r="I60" s="67">
        <f>'6 - B1'!I60</f>
        <v>12214</v>
      </c>
      <c r="J60" s="67">
        <f>'6 - B1'!J60</f>
        <v>12103</v>
      </c>
      <c r="K60" s="67">
        <f>'6 - B1'!K60</f>
        <v>12719</v>
      </c>
      <c r="L60" s="67">
        <f>'6 - B1'!L60</f>
        <v>11681</v>
      </c>
      <c r="M60" s="67">
        <f>'6 - B1'!M60</f>
        <v>12355</v>
      </c>
      <c r="N60" s="67">
        <f>'6 - B1'!N60</f>
        <v>12214</v>
      </c>
      <c r="O60" s="67">
        <f>'6 - B1'!O60</f>
        <v>12103</v>
      </c>
      <c r="P60" s="67">
        <f>'6 - B1'!P60</f>
        <v>12719</v>
      </c>
    </row>
    <row r="61" spans="1:16" x14ac:dyDescent="0.35">
      <c r="A61" s="69">
        <f>'6 - B1'!A61</f>
        <v>12</v>
      </c>
      <c r="B61" s="67">
        <f>'6 - B1'!B61</f>
        <v>9677</v>
      </c>
      <c r="C61" s="67">
        <f>'6 - B1'!C61</f>
        <v>10171</v>
      </c>
      <c r="D61" s="67">
        <f>'6 - B1'!D61</f>
        <v>10095</v>
      </c>
      <c r="E61" s="67">
        <f>'6 - B1'!E61</f>
        <v>10043</v>
      </c>
      <c r="F61" s="67">
        <f>'6 - B1'!F61</f>
        <v>10539</v>
      </c>
      <c r="G61" s="67">
        <f>'6 - B1'!G61</f>
        <v>9677</v>
      </c>
      <c r="H61" s="67">
        <f>'6 - B1'!H61</f>
        <v>10171</v>
      </c>
      <c r="I61" s="67">
        <f>'6 - B1'!I61</f>
        <v>10095</v>
      </c>
      <c r="J61" s="67">
        <f>'6 - B1'!J61</f>
        <v>10043</v>
      </c>
      <c r="K61" s="67">
        <f>'6 - B1'!K61</f>
        <v>10539</v>
      </c>
      <c r="L61" s="67">
        <f>'6 - B1'!L61</f>
        <v>9677</v>
      </c>
      <c r="M61" s="67">
        <f>'6 - B1'!M61</f>
        <v>10171</v>
      </c>
      <c r="N61" s="67">
        <f>'6 - B1'!N61</f>
        <v>10095</v>
      </c>
      <c r="O61" s="67">
        <f>'6 - B1'!O61</f>
        <v>10043</v>
      </c>
      <c r="P61" s="67">
        <f>'6 - B1'!P61</f>
        <v>10539</v>
      </c>
    </row>
    <row r="62" spans="1:16" x14ac:dyDescent="0.35">
      <c r="A62" s="69">
        <f>'6 - B1'!A62</f>
        <v>13</v>
      </c>
      <c r="B62" s="67">
        <f>'6 - B1'!B62</f>
        <v>7889</v>
      </c>
      <c r="C62" s="67">
        <f>'6 - B1'!C62</f>
        <v>8326</v>
      </c>
      <c r="D62" s="67">
        <f>'6 - B1'!D62</f>
        <v>8295</v>
      </c>
      <c r="E62" s="67">
        <f>'6 - B1'!E62</f>
        <v>8274</v>
      </c>
      <c r="F62" s="67">
        <f>'6 - B1'!F62</f>
        <v>8569</v>
      </c>
      <c r="G62" s="67">
        <f>'6 - B1'!G62</f>
        <v>7889</v>
      </c>
      <c r="H62" s="67">
        <f>'6 - B1'!H62</f>
        <v>8326</v>
      </c>
      <c r="I62" s="67">
        <f>'6 - B1'!I62</f>
        <v>8295</v>
      </c>
      <c r="J62" s="67">
        <f>'6 - B1'!J62</f>
        <v>8274</v>
      </c>
      <c r="K62" s="67">
        <f>'6 - B1'!K62</f>
        <v>8569</v>
      </c>
      <c r="L62" s="67">
        <f>'6 - B1'!L62</f>
        <v>7889</v>
      </c>
      <c r="M62" s="67">
        <f>'6 - B1'!M62</f>
        <v>8326</v>
      </c>
      <c r="N62" s="67">
        <f>'6 - B1'!N62</f>
        <v>8295</v>
      </c>
      <c r="O62" s="67">
        <f>'6 - B1'!O62</f>
        <v>8274</v>
      </c>
      <c r="P62" s="67">
        <f>'6 - B1'!P62</f>
        <v>8569</v>
      </c>
    </row>
    <row r="63" spans="1:16" x14ac:dyDescent="0.35">
      <c r="A63" s="69">
        <f>'6 - B1'!A63</f>
        <v>14</v>
      </c>
      <c r="B63" s="67">
        <f>'6 - B1'!B63</f>
        <v>6361</v>
      </c>
      <c r="C63" s="67">
        <f>'6 - B1'!C63</f>
        <v>6689</v>
      </c>
      <c r="D63" s="67">
        <f>'6 - B1'!D63</f>
        <v>6712</v>
      </c>
      <c r="E63" s="67">
        <f>'6 - B1'!E63</f>
        <v>6696</v>
      </c>
      <c r="F63" s="67">
        <f>'6 - B1'!F63</f>
        <v>6873</v>
      </c>
      <c r="G63" s="67">
        <f>'6 - B1'!G63</f>
        <v>6361</v>
      </c>
      <c r="H63" s="67">
        <f>'6 - B1'!H63</f>
        <v>6689</v>
      </c>
      <c r="I63" s="67">
        <f>'6 - B1'!I63</f>
        <v>6712</v>
      </c>
      <c r="J63" s="67">
        <f>'6 - B1'!J63</f>
        <v>6696</v>
      </c>
      <c r="K63" s="67">
        <f>'6 - B1'!K63</f>
        <v>6873</v>
      </c>
      <c r="L63" s="67">
        <f>'6 - B1'!L63</f>
        <v>6361</v>
      </c>
      <c r="M63" s="67">
        <f>'6 - B1'!M63</f>
        <v>6689</v>
      </c>
      <c r="N63" s="67">
        <f>'6 - B1'!N63</f>
        <v>6712</v>
      </c>
      <c r="O63" s="67">
        <f>'6 - B1'!O63</f>
        <v>6696</v>
      </c>
      <c r="P63" s="67">
        <f>'6 - B1'!P63</f>
        <v>6873</v>
      </c>
    </row>
    <row r="64" spans="1:16" x14ac:dyDescent="0.35">
      <c r="A64" s="69">
        <f>'6 - B1'!A64</f>
        <v>15</v>
      </c>
      <c r="B64" s="67">
        <f>'6 - B1'!B64</f>
        <v>5125</v>
      </c>
      <c r="C64" s="67">
        <f>'6 - B1'!C64</f>
        <v>5339</v>
      </c>
      <c r="D64" s="67">
        <f>'6 - B1'!D64</f>
        <v>5340</v>
      </c>
      <c r="E64" s="67">
        <f>'6 - B1'!E64</f>
        <v>5349</v>
      </c>
      <c r="F64" s="67">
        <f>'6 - B1'!F64</f>
        <v>5366</v>
      </c>
      <c r="G64" s="67">
        <f>'6 - B1'!G64</f>
        <v>5125</v>
      </c>
      <c r="H64" s="67">
        <f>'6 - B1'!H64</f>
        <v>5339</v>
      </c>
      <c r="I64" s="67">
        <f>'6 - B1'!I64</f>
        <v>5340</v>
      </c>
      <c r="J64" s="67">
        <f>'6 - B1'!J64</f>
        <v>5349</v>
      </c>
      <c r="K64" s="67">
        <f>'6 - B1'!K64</f>
        <v>5366</v>
      </c>
      <c r="L64" s="67">
        <f>'6 - B1'!L64</f>
        <v>5125</v>
      </c>
      <c r="M64" s="67">
        <f>'6 - B1'!M64</f>
        <v>5339</v>
      </c>
      <c r="N64" s="67">
        <f>'6 - B1'!N64</f>
        <v>5340</v>
      </c>
      <c r="O64" s="67">
        <f>'6 - B1'!O64</f>
        <v>5349</v>
      </c>
      <c r="P64" s="67">
        <f>'6 - B1'!P64</f>
        <v>5366</v>
      </c>
    </row>
    <row r="65" spans="1:16" x14ac:dyDescent="0.35">
      <c r="A65" s="69">
        <f>'6 - B1'!A65</f>
        <v>16</v>
      </c>
      <c r="B65" s="67">
        <f>'6 - B1'!B65</f>
        <v>4015</v>
      </c>
      <c r="C65" s="67">
        <f>'6 - B1'!C65</f>
        <v>4150</v>
      </c>
      <c r="D65" s="67">
        <f>'6 - B1'!D65</f>
        <v>4155</v>
      </c>
      <c r="E65" s="67">
        <f>'6 - B1'!E65</f>
        <v>4242</v>
      </c>
      <c r="F65" s="67">
        <f>'6 - B1'!F65</f>
        <v>4180</v>
      </c>
      <c r="G65" s="67">
        <f>'6 - B1'!G65</f>
        <v>4015</v>
      </c>
      <c r="H65" s="67">
        <f>'6 - B1'!H65</f>
        <v>4150</v>
      </c>
      <c r="I65" s="67">
        <f>'6 - B1'!I65</f>
        <v>4155</v>
      </c>
      <c r="J65" s="67">
        <f>'6 - B1'!J65</f>
        <v>4242</v>
      </c>
      <c r="K65" s="67">
        <f>'6 - B1'!K65</f>
        <v>4180</v>
      </c>
      <c r="L65" s="67">
        <f>'6 - B1'!L65</f>
        <v>4015</v>
      </c>
      <c r="M65" s="67">
        <f>'6 - B1'!M65</f>
        <v>4150</v>
      </c>
      <c r="N65" s="67">
        <f>'6 - B1'!N65</f>
        <v>4155</v>
      </c>
      <c r="O65" s="67">
        <f>'6 - B1'!O65</f>
        <v>4242</v>
      </c>
      <c r="P65" s="67">
        <f>'6 - B1'!P65</f>
        <v>4180</v>
      </c>
    </row>
    <row r="66" spans="1:16" x14ac:dyDescent="0.35">
      <c r="A66" s="69">
        <f>'6 - B1'!A66</f>
        <v>17</v>
      </c>
      <c r="B66" s="67">
        <f>'6 - B1'!B66</f>
        <v>3097</v>
      </c>
      <c r="C66" s="67">
        <f>'6 - B1'!C66</f>
        <v>3251</v>
      </c>
      <c r="D66" s="67">
        <f>'6 - B1'!D66</f>
        <v>3208</v>
      </c>
      <c r="E66" s="67">
        <f>'6 - B1'!E66</f>
        <v>3294</v>
      </c>
      <c r="F66" s="67">
        <f>'6 - B1'!F66</f>
        <v>3219</v>
      </c>
      <c r="G66" s="67">
        <f>'6 - B1'!G66</f>
        <v>3097</v>
      </c>
      <c r="H66" s="67">
        <f>'6 - B1'!H66</f>
        <v>3251</v>
      </c>
      <c r="I66" s="67">
        <f>'6 - B1'!I66</f>
        <v>3208</v>
      </c>
      <c r="J66" s="67">
        <f>'6 - B1'!J66</f>
        <v>3294</v>
      </c>
      <c r="K66" s="67">
        <f>'6 - B1'!K66</f>
        <v>3219</v>
      </c>
      <c r="L66" s="67">
        <f>'6 - B1'!L66</f>
        <v>3097</v>
      </c>
      <c r="M66" s="67">
        <f>'6 - B1'!M66</f>
        <v>3251</v>
      </c>
      <c r="N66" s="67">
        <f>'6 - B1'!N66</f>
        <v>3208</v>
      </c>
      <c r="O66" s="67">
        <f>'6 - B1'!O66</f>
        <v>3294</v>
      </c>
      <c r="P66" s="67">
        <f>'6 - B1'!P66</f>
        <v>3219</v>
      </c>
    </row>
    <row r="67" spans="1:16" x14ac:dyDescent="0.35">
      <c r="A67" s="69">
        <f>'6 - B1'!A67</f>
        <v>18</v>
      </c>
      <c r="B67" s="67">
        <f>'6 - B1'!B67</f>
        <v>2402</v>
      </c>
      <c r="C67" s="67">
        <f>'6 - B1'!C67</f>
        <v>2533</v>
      </c>
      <c r="D67" s="67">
        <f>'6 - B1'!D67</f>
        <v>2504</v>
      </c>
      <c r="E67" s="67">
        <f>'6 - B1'!E67</f>
        <v>2554</v>
      </c>
      <c r="F67" s="67">
        <f>'6 - B1'!F67</f>
        <v>2497</v>
      </c>
      <c r="G67" s="67">
        <f>'6 - B1'!G67</f>
        <v>2402</v>
      </c>
      <c r="H67" s="67">
        <f>'6 - B1'!H67</f>
        <v>2533</v>
      </c>
      <c r="I67" s="67">
        <f>'6 - B1'!I67</f>
        <v>2504</v>
      </c>
      <c r="J67" s="67">
        <f>'6 - B1'!J67</f>
        <v>2554</v>
      </c>
      <c r="K67" s="67">
        <f>'6 - B1'!K67</f>
        <v>2497</v>
      </c>
      <c r="L67" s="67">
        <f>'6 - B1'!L67</f>
        <v>2402</v>
      </c>
      <c r="M67" s="67">
        <f>'6 - B1'!M67</f>
        <v>2533</v>
      </c>
      <c r="N67" s="67">
        <f>'6 - B1'!N67</f>
        <v>2504</v>
      </c>
      <c r="O67" s="67">
        <f>'6 - B1'!O67</f>
        <v>2554</v>
      </c>
      <c r="P67" s="67">
        <f>'6 - B1'!P67</f>
        <v>2497</v>
      </c>
    </row>
    <row r="68" spans="1:16" x14ac:dyDescent="0.35">
      <c r="A68" s="69">
        <f>'6 - B1'!A68</f>
        <v>19</v>
      </c>
      <c r="B68" s="67">
        <f>'6 - B1'!B68</f>
        <v>1837</v>
      </c>
      <c r="C68" s="67">
        <f>'6 - B1'!C68</f>
        <v>2003</v>
      </c>
      <c r="D68" s="67">
        <f>'6 - B1'!D68</f>
        <v>1940</v>
      </c>
      <c r="E68" s="67">
        <f>'6 - B1'!E68</f>
        <v>1978</v>
      </c>
      <c r="F68" s="67">
        <f>'6 - B1'!F68</f>
        <v>1926</v>
      </c>
      <c r="G68" s="67">
        <f>'6 - B1'!G68</f>
        <v>1837</v>
      </c>
      <c r="H68" s="67">
        <f>'6 - B1'!H68</f>
        <v>2003</v>
      </c>
      <c r="I68" s="67">
        <f>'6 - B1'!I68</f>
        <v>1940</v>
      </c>
      <c r="J68" s="67">
        <f>'6 - B1'!J68</f>
        <v>1978</v>
      </c>
      <c r="K68" s="67">
        <f>'6 - B1'!K68</f>
        <v>1926</v>
      </c>
      <c r="L68" s="67">
        <f>'6 - B1'!L68</f>
        <v>1837</v>
      </c>
      <c r="M68" s="67">
        <f>'6 - B1'!M68</f>
        <v>2003</v>
      </c>
      <c r="N68" s="67">
        <f>'6 - B1'!N68</f>
        <v>1940</v>
      </c>
      <c r="O68" s="67">
        <f>'6 - B1'!O68</f>
        <v>1978</v>
      </c>
      <c r="P68" s="67">
        <f>'6 - B1'!P68</f>
        <v>1926</v>
      </c>
    </row>
    <row r="69" spans="1:16" x14ac:dyDescent="0.35">
      <c r="A69" s="69">
        <f>'6 - B1'!A69</f>
        <v>20</v>
      </c>
      <c r="B69" s="67">
        <f>'6 - B1'!B69</f>
        <v>1420</v>
      </c>
      <c r="C69" s="67">
        <f>'6 - B1'!C69</f>
        <v>1549</v>
      </c>
      <c r="D69" s="67">
        <f>'6 - B1'!D69</f>
        <v>1530</v>
      </c>
      <c r="E69" s="67">
        <f>'6 - B1'!E69</f>
        <v>1520</v>
      </c>
      <c r="F69" s="67">
        <f>'6 - B1'!F69</f>
        <v>1499</v>
      </c>
      <c r="G69" s="67">
        <f>'6 - B1'!G69</f>
        <v>1420</v>
      </c>
      <c r="H69" s="67">
        <f>'6 - B1'!H69</f>
        <v>1549</v>
      </c>
      <c r="I69" s="67">
        <f>'6 - B1'!I69</f>
        <v>1530</v>
      </c>
      <c r="J69" s="67">
        <f>'6 - B1'!J69</f>
        <v>1520</v>
      </c>
      <c r="K69" s="67">
        <f>'6 - B1'!K69</f>
        <v>1499</v>
      </c>
      <c r="L69" s="67">
        <f>'6 - B1'!L69</f>
        <v>1420</v>
      </c>
      <c r="M69" s="67">
        <f>'6 - B1'!M69</f>
        <v>1549</v>
      </c>
      <c r="N69" s="67">
        <f>'6 - B1'!N69</f>
        <v>1530</v>
      </c>
      <c r="O69" s="67">
        <f>'6 - B1'!O69</f>
        <v>1520</v>
      </c>
      <c r="P69" s="67">
        <f>'6 - B1'!P69</f>
        <v>1499</v>
      </c>
    </row>
    <row r="70" spans="1:16" x14ac:dyDescent="0.35">
      <c r="A70" s="69">
        <f>'6 - B1'!A70</f>
        <v>21</v>
      </c>
      <c r="B70" s="67">
        <f>'6 - B1'!B70</f>
        <v>1139</v>
      </c>
      <c r="C70" s="67">
        <f>'6 - B1'!C70</f>
        <v>1222</v>
      </c>
      <c r="D70" s="67">
        <f>'6 - B1'!D70</f>
        <v>1204</v>
      </c>
      <c r="E70" s="67">
        <f>'6 - B1'!E70</f>
        <v>1213</v>
      </c>
      <c r="F70" s="67">
        <f>'6 - B1'!F70</f>
        <v>1183</v>
      </c>
      <c r="G70" s="67">
        <f>'6 - B1'!G70</f>
        <v>1139</v>
      </c>
      <c r="H70" s="67">
        <f>'6 - B1'!H70</f>
        <v>1222</v>
      </c>
      <c r="I70" s="67">
        <f>'6 - B1'!I70</f>
        <v>1204</v>
      </c>
      <c r="J70" s="67">
        <f>'6 - B1'!J70</f>
        <v>1213</v>
      </c>
      <c r="K70" s="67">
        <f>'6 - B1'!K70</f>
        <v>1183</v>
      </c>
      <c r="L70" s="67">
        <f>'6 - B1'!L70</f>
        <v>1139</v>
      </c>
      <c r="M70" s="67">
        <f>'6 - B1'!M70</f>
        <v>1222</v>
      </c>
      <c r="N70" s="67">
        <f>'6 - B1'!N70</f>
        <v>1204</v>
      </c>
      <c r="O70" s="67">
        <f>'6 - B1'!O70</f>
        <v>1213</v>
      </c>
      <c r="P70" s="67">
        <f>'6 - B1'!P70</f>
        <v>1183</v>
      </c>
    </row>
    <row r="71" spans="1:16" x14ac:dyDescent="0.35">
      <c r="A71" s="69">
        <f>'6 - B1'!A71</f>
        <v>22</v>
      </c>
      <c r="B71" s="67">
        <f>'6 - B1'!B71</f>
        <v>882</v>
      </c>
      <c r="C71" s="67">
        <f>'6 - B1'!C71</f>
        <v>961</v>
      </c>
      <c r="D71" s="67">
        <f>'6 - B1'!D71</f>
        <v>938</v>
      </c>
      <c r="E71" s="67">
        <f>'6 - B1'!E71</f>
        <v>938</v>
      </c>
      <c r="F71" s="67">
        <f>'6 - B1'!F71</f>
        <v>905</v>
      </c>
      <c r="G71" s="67">
        <f>'6 - B1'!G71</f>
        <v>882</v>
      </c>
      <c r="H71" s="67">
        <f>'6 - B1'!H71</f>
        <v>961</v>
      </c>
      <c r="I71" s="67">
        <f>'6 - B1'!I71</f>
        <v>938</v>
      </c>
      <c r="J71" s="67">
        <f>'6 - B1'!J71</f>
        <v>938</v>
      </c>
      <c r="K71" s="67">
        <f>'6 - B1'!K71</f>
        <v>905</v>
      </c>
      <c r="L71" s="67">
        <f>'6 - B1'!L71</f>
        <v>882</v>
      </c>
      <c r="M71" s="67">
        <f>'6 - B1'!M71</f>
        <v>961</v>
      </c>
      <c r="N71" s="67">
        <f>'6 - B1'!N71</f>
        <v>938</v>
      </c>
      <c r="O71" s="67">
        <f>'6 - B1'!O71</f>
        <v>938</v>
      </c>
      <c r="P71" s="67">
        <f>'6 - B1'!P71</f>
        <v>905</v>
      </c>
    </row>
    <row r="72" spans="1:16" x14ac:dyDescent="0.35">
      <c r="A72" s="69">
        <f>'6 - B1'!A72</f>
        <v>23</v>
      </c>
      <c r="B72" s="67">
        <f>'6 - B1'!B72</f>
        <v>675</v>
      </c>
      <c r="C72" s="67">
        <f>'6 - B1'!C72</f>
        <v>755</v>
      </c>
      <c r="D72" s="67">
        <f>'6 - B1'!D72</f>
        <v>721</v>
      </c>
      <c r="E72" s="67">
        <f>'6 - B1'!E72</f>
        <v>725</v>
      </c>
      <c r="F72" s="67">
        <f>'6 - B1'!F72</f>
        <v>687</v>
      </c>
      <c r="G72" s="67">
        <f>'6 - B1'!G72</f>
        <v>675</v>
      </c>
      <c r="H72" s="67">
        <f>'6 - B1'!H72</f>
        <v>755</v>
      </c>
      <c r="I72" s="67">
        <f>'6 - B1'!I72</f>
        <v>721</v>
      </c>
      <c r="J72" s="67">
        <f>'6 - B1'!J72</f>
        <v>725</v>
      </c>
      <c r="K72" s="67">
        <f>'6 - B1'!K72</f>
        <v>687</v>
      </c>
      <c r="L72" s="67">
        <f>'6 - B1'!L72</f>
        <v>675</v>
      </c>
      <c r="M72" s="67">
        <f>'6 - B1'!M72</f>
        <v>755</v>
      </c>
      <c r="N72" s="67">
        <f>'6 - B1'!N72</f>
        <v>721</v>
      </c>
      <c r="O72" s="67">
        <f>'6 - B1'!O72</f>
        <v>725</v>
      </c>
      <c r="P72" s="67">
        <f>'6 - B1'!P72</f>
        <v>687</v>
      </c>
    </row>
    <row r="73" spans="1:16" x14ac:dyDescent="0.35">
      <c r="A73" s="69">
        <f>'6 - B1'!A73</f>
        <v>24</v>
      </c>
      <c r="B73" s="67">
        <f>'6 - B1'!B73</f>
        <v>546</v>
      </c>
      <c r="C73" s="67">
        <f>'6 - B1'!C73</f>
        <v>596</v>
      </c>
      <c r="D73" s="67">
        <f>'6 - B1'!D73</f>
        <v>578</v>
      </c>
      <c r="E73" s="67">
        <f>'6 - B1'!E73</f>
        <v>585</v>
      </c>
      <c r="F73" s="67">
        <f>'6 - B1'!F73</f>
        <v>530</v>
      </c>
      <c r="G73" s="67">
        <f>'6 - B1'!G73</f>
        <v>546</v>
      </c>
      <c r="H73" s="67">
        <f>'6 - B1'!H73</f>
        <v>596</v>
      </c>
      <c r="I73" s="67">
        <f>'6 - B1'!I73</f>
        <v>578</v>
      </c>
      <c r="J73" s="67">
        <f>'6 - B1'!J73</f>
        <v>585</v>
      </c>
      <c r="K73" s="67">
        <f>'6 - B1'!K73</f>
        <v>530</v>
      </c>
      <c r="L73" s="67">
        <f>'6 - B1'!L73</f>
        <v>546</v>
      </c>
      <c r="M73" s="67">
        <f>'6 - B1'!M73</f>
        <v>596</v>
      </c>
      <c r="N73" s="67">
        <f>'6 - B1'!N73</f>
        <v>578</v>
      </c>
      <c r="O73" s="67">
        <f>'6 - B1'!O73</f>
        <v>585</v>
      </c>
      <c r="P73" s="67">
        <f>'6 - B1'!P73</f>
        <v>530</v>
      </c>
    </row>
    <row r="74" spans="1:16" x14ac:dyDescent="0.35">
      <c r="A74" s="69">
        <f>'6 - B1'!A74</f>
        <v>25</v>
      </c>
      <c r="B74" s="67">
        <f>'6 - B1'!B74</f>
        <v>404</v>
      </c>
      <c r="C74" s="67">
        <f>'6 - B1'!C74</f>
        <v>454</v>
      </c>
      <c r="D74" s="67">
        <f>'6 - B1'!D74</f>
        <v>431</v>
      </c>
      <c r="E74" s="67">
        <f>'6 - B1'!E74</f>
        <v>447</v>
      </c>
      <c r="F74" s="67">
        <f>'6 - B1'!F74</f>
        <v>392</v>
      </c>
      <c r="G74" s="67">
        <f>'6 - B1'!G74</f>
        <v>404</v>
      </c>
      <c r="H74" s="67">
        <f>'6 - B1'!H74</f>
        <v>454</v>
      </c>
      <c r="I74" s="67">
        <f>'6 - B1'!I74</f>
        <v>431</v>
      </c>
      <c r="J74" s="67">
        <f>'6 - B1'!J74</f>
        <v>447</v>
      </c>
      <c r="K74" s="67">
        <f>'6 - B1'!K74</f>
        <v>392</v>
      </c>
      <c r="L74" s="67">
        <f>'6 - B1'!L74</f>
        <v>404</v>
      </c>
      <c r="M74" s="67">
        <f>'6 - B1'!M74</f>
        <v>454</v>
      </c>
      <c r="N74" s="67">
        <f>'6 - B1'!N74</f>
        <v>431</v>
      </c>
      <c r="O74" s="67">
        <f>'6 - B1'!O74</f>
        <v>447</v>
      </c>
      <c r="P74" s="67">
        <f>'6 - B1'!P74</f>
        <v>392</v>
      </c>
    </row>
    <row r="75" spans="1:16" x14ac:dyDescent="0.35">
      <c r="A75" s="69">
        <f>'6 - B1'!A75</f>
        <v>26</v>
      </c>
      <c r="B75" s="67">
        <f>'6 - B1'!B75</f>
        <v>305</v>
      </c>
      <c r="C75" s="67">
        <f>'6 - B1'!C75</f>
        <v>352</v>
      </c>
      <c r="D75" s="67">
        <f>'6 - B1'!D75</f>
        <v>333</v>
      </c>
      <c r="E75" s="67">
        <f>'6 - B1'!E75</f>
        <v>337</v>
      </c>
      <c r="F75" s="67">
        <f>'6 - B1'!F75</f>
        <v>282</v>
      </c>
      <c r="G75" s="67">
        <f>'6 - B1'!G75</f>
        <v>305</v>
      </c>
      <c r="H75" s="67">
        <f>'6 - B1'!H75</f>
        <v>352</v>
      </c>
      <c r="I75" s="67">
        <f>'6 - B1'!I75</f>
        <v>333</v>
      </c>
      <c r="J75" s="67">
        <f>'6 - B1'!J75</f>
        <v>337</v>
      </c>
      <c r="K75" s="67">
        <f>'6 - B1'!K75</f>
        <v>282</v>
      </c>
      <c r="L75" s="67">
        <f>'6 - B1'!L75</f>
        <v>305</v>
      </c>
      <c r="M75" s="67">
        <f>'6 - B1'!M75</f>
        <v>352</v>
      </c>
      <c r="N75" s="67">
        <f>'6 - B1'!N75</f>
        <v>333</v>
      </c>
      <c r="O75" s="67">
        <f>'6 - B1'!O75</f>
        <v>337</v>
      </c>
      <c r="P75" s="67">
        <f>'6 - B1'!P75</f>
        <v>282</v>
      </c>
    </row>
    <row r="76" spans="1:16" x14ac:dyDescent="0.35">
      <c r="A76" s="69">
        <f>'6 - B1'!A76</f>
        <v>27</v>
      </c>
      <c r="B76" s="67">
        <f>'6 - B1'!B76</f>
        <v>237</v>
      </c>
      <c r="C76" s="67">
        <f>'6 - B1'!C76</f>
        <v>284</v>
      </c>
      <c r="D76" s="67">
        <f>'6 - B1'!D76</f>
        <v>260</v>
      </c>
      <c r="E76" s="67">
        <f>'6 - B1'!E76</f>
        <v>261</v>
      </c>
      <c r="F76" s="67">
        <f>'6 - B1'!F76</f>
        <v>203</v>
      </c>
      <c r="G76" s="67">
        <f>'6 - B1'!G76</f>
        <v>237</v>
      </c>
      <c r="H76" s="67">
        <f>'6 - B1'!H76</f>
        <v>284</v>
      </c>
      <c r="I76" s="67">
        <f>'6 - B1'!I76</f>
        <v>260</v>
      </c>
      <c r="J76" s="67">
        <f>'6 - B1'!J76</f>
        <v>261</v>
      </c>
      <c r="K76" s="67">
        <f>'6 - B1'!K76</f>
        <v>203</v>
      </c>
      <c r="L76" s="67">
        <f>'6 - B1'!L76</f>
        <v>237</v>
      </c>
      <c r="M76" s="67">
        <f>'6 - B1'!M76</f>
        <v>284</v>
      </c>
      <c r="N76" s="67">
        <f>'6 - B1'!N76</f>
        <v>260</v>
      </c>
      <c r="O76" s="67">
        <f>'6 - B1'!O76</f>
        <v>261</v>
      </c>
      <c r="P76" s="67">
        <f>'6 - B1'!P76</f>
        <v>203</v>
      </c>
    </row>
    <row r="77" spans="1:16" x14ac:dyDescent="0.35">
      <c r="A77" s="69">
        <f>'6 - B1'!A77</f>
        <v>28</v>
      </c>
      <c r="B77" s="67">
        <f>'6 - B1'!B77</f>
        <v>191</v>
      </c>
      <c r="C77" s="67">
        <f>'6 - B1'!C77</f>
        <v>207</v>
      </c>
      <c r="D77" s="67">
        <f>'6 - B1'!D77</f>
        <v>198</v>
      </c>
      <c r="E77" s="67">
        <f>'6 - B1'!E77</f>
        <v>198</v>
      </c>
      <c r="F77" s="67">
        <f>'6 - B1'!F77</f>
        <v>151</v>
      </c>
      <c r="G77" s="67">
        <f>'6 - B1'!G77</f>
        <v>191</v>
      </c>
      <c r="H77" s="67">
        <f>'6 - B1'!H77</f>
        <v>207</v>
      </c>
      <c r="I77" s="67">
        <f>'6 - B1'!I77</f>
        <v>198</v>
      </c>
      <c r="J77" s="67">
        <f>'6 - B1'!J77</f>
        <v>198</v>
      </c>
      <c r="K77" s="67">
        <f>'6 - B1'!K77</f>
        <v>151</v>
      </c>
      <c r="L77" s="67">
        <f>'6 - B1'!L77</f>
        <v>191</v>
      </c>
      <c r="M77" s="67">
        <f>'6 - B1'!M77</f>
        <v>207</v>
      </c>
      <c r="N77" s="67">
        <f>'6 - B1'!N77</f>
        <v>198</v>
      </c>
      <c r="O77" s="67">
        <f>'6 - B1'!O77</f>
        <v>198</v>
      </c>
      <c r="P77" s="67">
        <f>'6 - B1'!P77</f>
        <v>151</v>
      </c>
    </row>
    <row r="78" spans="1:16" x14ac:dyDescent="0.35">
      <c r="A78" s="69">
        <f>'6 - B1'!A78</f>
        <v>29</v>
      </c>
      <c r="B78" s="67">
        <f>'6 - B1'!B78</f>
        <v>131</v>
      </c>
      <c r="C78" s="67">
        <f>'6 - B1'!C78</f>
        <v>158</v>
      </c>
      <c r="D78" s="67">
        <f>'6 - B1'!D78</f>
        <v>148</v>
      </c>
      <c r="E78" s="67">
        <f>'6 - B1'!E78</f>
        <v>146</v>
      </c>
      <c r="F78" s="67">
        <f>'6 - B1'!F78</f>
        <v>116</v>
      </c>
      <c r="G78" s="67">
        <f>'6 - B1'!G78</f>
        <v>131</v>
      </c>
      <c r="H78" s="67">
        <f>'6 - B1'!H78</f>
        <v>158</v>
      </c>
      <c r="I78" s="67">
        <f>'6 - B1'!I78</f>
        <v>148</v>
      </c>
      <c r="J78" s="67">
        <f>'6 - B1'!J78</f>
        <v>146</v>
      </c>
      <c r="K78" s="67">
        <f>'6 - B1'!K78</f>
        <v>116</v>
      </c>
      <c r="L78" s="67">
        <f>'6 - B1'!L78</f>
        <v>131</v>
      </c>
      <c r="M78" s="67">
        <f>'6 - B1'!M78</f>
        <v>158</v>
      </c>
      <c r="N78" s="67">
        <f>'6 - B1'!N78</f>
        <v>148</v>
      </c>
      <c r="O78" s="67">
        <f>'6 - B1'!O78</f>
        <v>146</v>
      </c>
      <c r="P78" s="67">
        <f>'6 - B1'!P78</f>
        <v>116</v>
      </c>
    </row>
    <row r="79" spans="1:16" x14ac:dyDescent="0.35">
      <c r="A79" s="69">
        <f>'6 - B1'!A79</f>
        <v>30</v>
      </c>
      <c r="B79" s="67">
        <f>'6 - B1'!B79</f>
        <v>88</v>
      </c>
      <c r="C79" s="67">
        <f>'6 - B1'!C79</f>
        <v>120</v>
      </c>
      <c r="D79" s="67">
        <f>'6 - B1'!D79</f>
        <v>113</v>
      </c>
      <c r="E79" s="67">
        <f>'6 - B1'!E79</f>
        <v>102</v>
      </c>
      <c r="F79" s="67">
        <f>'6 - B1'!F79</f>
        <v>80</v>
      </c>
      <c r="G79" s="67">
        <f>'6 - B1'!G79</f>
        <v>88</v>
      </c>
      <c r="H79" s="67">
        <f>'6 - B1'!H79</f>
        <v>120</v>
      </c>
      <c r="I79" s="67">
        <f>'6 - B1'!I79</f>
        <v>113</v>
      </c>
      <c r="J79" s="67">
        <f>'6 - B1'!J79</f>
        <v>102</v>
      </c>
      <c r="K79" s="70">
        <f>'6 - B1'!K79</f>
        <v>80</v>
      </c>
      <c r="L79" s="67">
        <f>'6 - B1'!L79</f>
        <v>88</v>
      </c>
      <c r="M79" s="67">
        <f>'6 - B1'!M79</f>
        <v>120</v>
      </c>
      <c r="N79" s="67">
        <f>'6 - B1'!N79</f>
        <v>113</v>
      </c>
      <c r="O79" s="67">
        <f>'6 - B1'!O79</f>
        <v>102</v>
      </c>
      <c r="P79" s="67">
        <f>'6 - B1'!P79</f>
        <v>80</v>
      </c>
    </row>
    <row r="80" spans="1:16" x14ac:dyDescent="0.35">
      <c r="A80" s="69">
        <f>'6 - B1'!A80</f>
        <v>38</v>
      </c>
      <c r="B80" s="67">
        <f>'6 - B1'!B80</f>
        <v>66</v>
      </c>
      <c r="C80" s="67">
        <f>'6 - B1'!C80</f>
        <v>91</v>
      </c>
      <c r="D80" s="67">
        <f>'6 - B1'!D80</f>
        <v>85</v>
      </c>
      <c r="E80" s="67">
        <f>'6 - B1'!E80</f>
        <v>75</v>
      </c>
      <c r="F80" s="67">
        <f>'6 - B1'!F80</f>
        <v>54</v>
      </c>
      <c r="G80" s="67">
        <f>'6 - B1'!G80</f>
        <v>66</v>
      </c>
      <c r="H80" s="67">
        <f>'6 - B1'!H80</f>
        <v>91</v>
      </c>
      <c r="I80" s="67">
        <f>'6 - B1'!I80</f>
        <v>85</v>
      </c>
      <c r="J80" s="67">
        <f>'6 - B1'!J80</f>
        <v>75</v>
      </c>
      <c r="K80" s="67">
        <f>'6 - B1'!K80</f>
        <v>54</v>
      </c>
      <c r="L80" s="67">
        <f>'6 - B1'!L80</f>
        <v>66</v>
      </c>
      <c r="M80" s="67">
        <f>'6 - B1'!M80</f>
        <v>91</v>
      </c>
      <c r="N80" s="67">
        <f>'6 - B1'!N80</f>
        <v>85</v>
      </c>
      <c r="O80" s="67">
        <f>'6 - B1'!O80</f>
        <v>75</v>
      </c>
      <c r="P80" s="67">
        <f>'6 - B1'!P80</f>
        <v>54</v>
      </c>
    </row>
    <row r="81" spans="1:16" x14ac:dyDescent="0.35">
      <c r="A81" s="69">
        <f>'6 - B1'!A81</f>
        <v>50</v>
      </c>
      <c r="B81" s="67">
        <f>'6 - B1'!B81</f>
        <v>48</v>
      </c>
      <c r="C81" s="67">
        <f>'6 - B1'!C81</f>
        <v>67</v>
      </c>
      <c r="D81" s="67">
        <f>'6 - B1'!D81</f>
        <v>64</v>
      </c>
      <c r="E81" s="67">
        <f>'6 - B1'!E81</f>
        <v>51</v>
      </c>
      <c r="F81" s="67">
        <f>'6 - B1'!F81</f>
        <v>34</v>
      </c>
      <c r="G81" s="67">
        <f>'6 - B1'!G81</f>
        <v>48</v>
      </c>
      <c r="H81" s="67">
        <f>'6 - B1'!H81</f>
        <v>67</v>
      </c>
      <c r="I81" s="67">
        <f>'6 - B1'!I81</f>
        <v>64</v>
      </c>
      <c r="J81" s="67">
        <f>'6 - B1'!J81</f>
        <v>51</v>
      </c>
      <c r="K81" s="67">
        <f>'6 - B1'!K81</f>
        <v>34</v>
      </c>
      <c r="L81" s="67">
        <f>'6 - B1'!L81</f>
        <v>48</v>
      </c>
      <c r="M81" s="67">
        <f>'6 - B1'!M81</f>
        <v>67</v>
      </c>
      <c r="N81" s="67">
        <f>'6 - B1'!N81</f>
        <v>64</v>
      </c>
      <c r="O81" s="67">
        <f>'6 - B1'!O81</f>
        <v>51</v>
      </c>
      <c r="P81" s="67">
        <f>'6 - B1'!P81</f>
        <v>34</v>
      </c>
    </row>
    <row r="82" spans="1:16" x14ac:dyDescent="0.35">
      <c r="A82" s="69">
        <f>'6 - B1'!A82</f>
        <v>70</v>
      </c>
      <c r="B82" s="67">
        <f>'6 - B1'!B82</f>
        <v>35</v>
      </c>
      <c r="C82" s="67">
        <f>'6 - B1'!C82</f>
        <v>47</v>
      </c>
      <c r="D82" s="67">
        <f>'6 - B1'!D82</f>
        <v>41</v>
      </c>
      <c r="E82" s="67">
        <f>'6 - B1'!E82</f>
        <v>38</v>
      </c>
      <c r="F82" s="67">
        <f>'6 - B1'!F82</f>
        <v>27</v>
      </c>
      <c r="G82" s="67">
        <f>'6 - B1'!G82</f>
        <v>35</v>
      </c>
      <c r="H82" s="67">
        <f>'6 - B1'!H82</f>
        <v>47</v>
      </c>
      <c r="I82" s="67">
        <f>'6 - B1'!I82</f>
        <v>41</v>
      </c>
      <c r="J82" s="67">
        <f>'6 - B1'!J82</f>
        <v>38</v>
      </c>
      <c r="K82" s="67">
        <f>'6 - B1'!K82</f>
        <v>27</v>
      </c>
      <c r="L82" s="67">
        <f>'6 - B1'!L82</f>
        <v>35</v>
      </c>
      <c r="M82" s="67">
        <f>'6 - B1'!M82</f>
        <v>47</v>
      </c>
      <c r="N82" s="67">
        <f>'6 - B1'!N82</f>
        <v>41</v>
      </c>
      <c r="O82" s="67">
        <f>'6 - B1'!O82</f>
        <v>38</v>
      </c>
      <c r="P82" s="67">
        <f>'6 - B1'!P82</f>
        <v>27</v>
      </c>
    </row>
  </sheetData>
  <conditionalFormatting sqref="H9:H40">
    <cfRule type="cellIs" dxfId="3" priority="1" operator="greaterThan">
      <formula>1000</formula>
    </cfRule>
  </conditionalFormatting>
  <conditionalFormatting sqref="K9:K40">
    <cfRule type="cellIs" dxfId="2" priority="2" operator="lessThan">
      <formula>J11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/>
  <headerFooter>
    <oddHeader>&amp;CISO11171:2020 Summary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7BD4-0402-45C3-8628-9DEB88ECF912}">
  <sheetPr codeName="Sheet7"/>
  <dimension ref="A1:AW82"/>
  <sheetViews>
    <sheetView zoomScale="70" zoomScaleNormal="70" workbookViewId="0">
      <selection activeCell="H16" sqref="H16"/>
    </sheetView>
  </sheetViews>
  <sheetFormatPr defaultColWidth="11.53125" defaultRowHeight="12.75" x14ac:dyDescent="0.35"/>
  <sheetData>
    <row r="1" spans="1:49" x14ac:dyDescent="0.35">
      <c r="A1" t="str">
        <f>'6 - B1'!$A$1</f>
        <v>Data Preprocessing and Quality Assessment per ISO 11171 Clause 6.6</v>
      </c>
    </row>
    <row r="2" spans="1:49" ht="40.15" x14ac:dyDescent="1.05">
      <c r="A2" s="43" t="s">
        <v>112</v>
      </c>
      <c r="O2" s="43"/>
    </row>
    <row r="3" spans="1:49" ht="13.15" x14ac:dyDescent="0.4">
      <c r="A3" t="str">
        <f>'6 - B1'!$A$3</f>
        <v>Serial #</v>
      </c>
      <c r="B3" s="40" t="str">
        <f>'6 - B1'!$B$3</f>
        <v>11171-00009</v>
      </c>
    </row>
    <row r="4" spans="1:49" ht="17.100000000000001" customHeight="1" x14ac:dyDescent="1.05">
      <c r="A4" s="41" t="str">
        <f>'6 - B1'!$A$4</f>
        <v>Date</v>
      </c>
      <c r="B4" s="42">
        <f>'6 - B1'!$B$4</f>
        <v>45989</v>
      </c>
      <c r="O4" s="43"/>
    </row>
    <row r="5" spans="1:49" ht="13.15" x14ac:dyDescent="0.4">
      <c r="A5" s="41" t="str">
        <f>'6 - B1'!$A$5</f>
        <v>RM</v>
      </c>
      <c r="B5" s="66" t="str">
        <f>'6 - B1'!$B$5</f>
        <v>34D</v>
      </c>
    </row>
    <row r="6" spans="1:49" ht="13.15" x14ac:dyDescent="0.4">
      <c r="B6" s="41"/>
      <c r="C6" s="41"/>
      <c r="D6" s="41"/>
      <c r="E6" s="41"/>
      <c r="F6" s="41"/>
    </row>
    <row r="7" spans="1:49" ht="14.65" x14ac:dyDescent="0.5">
      <c r="B7" s="16" t="s">
        <v>56</v>
      </c>
      <c r="C7" s="16" t="s">
        <v>57</v>
      </c>
      <c r="D7" s="16" t="s">
        <v>58</v>
      </c>
      <c r="E7" s="16" t="s">
        <v>59</v>
      </c>
      <c r="F7" s="16" t="s">
        <v>60</v>
      </c>
      <c r="G7" s="16" t="s">
        <v>61</v>
      </c>
      <c r="H7" s="16" t="s">
        <v>62</v>
      </c>
      <c r="I7" s="16" t="s">
        <v>63</v>
      </c>
      <c r="J7" s="16" t="s">
        <v>64</v>
      </c>
      <c r="K7" s="16" t="s">
        <v>65</v>
      </c>
      <c r="L7" s="16" t="s">
        <v>66</v>
      </c>
      <c r="M7" s="16" t="s">
        <v>67</v>
      </c>
      <c r="O7" s="16"/>
    </row>
    <row r="8" spans="1:49" ht="13.15" x14ac:dyDescent="0.4">
      <c r="A8" s="15" t="s">
        <v>68</v>
      </c>
      <c r="B8" s="47">
        <f>L52</f>
        <v>8.2826989999999991</v>
      </c>
      <c r="C8" s="47">
        <f>M52</f>
        <v>8.7278669999999998</v>
      </c>
      <c r="D8" s="47">
        <f>N52</f>
        <v>8.6684219999999996</v>
      </c>
      <c r="E8" s="47">
        <f>O52</f>
        <v>8.7221320000000002</v>
      </c>
      <c r="F8" s="47">
        <f>P52</f>
        <v>8.721622</v>
      </c>
      <c r="G8" s="48">
        <f>AVERAGE(B$8:F$8)*5</f>
        <v>43.122742000000002</v>
      </c>
      <c r="I8" s="49"/>
      <c r="K8" s="49"/>
    </row>
    <row r="9" spans="1:49" x14ac:dyDescent="0.35">
      <c r="A9" s="15" t="s">
        <v>69</v>
      </c>
      <c r="B9" s="22">
        <f t="shared" ref="B9:F37" si="0">L53/B$8</f>
        <v>4082.3649392547045</v>
      </c>
      <c r="C9" s="22">
        <f t="shared" si="0"/>
        <v>4059.9839571340858</v>
      </c>
      <c r="D9" s="22">
        <f t="shared" si="0"/>
        <v>4137.4312418107938</v>
      </c>
      <c r="E9" s="22">
        <f t="shared" si="0"/>
        <v>4038.5768066798346</v>
      </c>
      <c r="F9" s="22">
        <f t="shared" si="0"/>
        <v>4238.2024811439887</v>
      </c>
      <c r="G9" s="33">
        <f t="shared" ref="G9:G38" si="1">AVERAGE(B9:F9)</f>
        <v>4111.3118852046809</v>
      </c>
      <c r="H9" s="51">
        <f t="shared" ref="H9:H38" si="2">G9*G$8</f>
        <v>177291.04170721507</v>
      </c>
      <c r="I9" s="49">
        <f t="shared" ref="I9:I38" si="3">STDEVP(B9:F9)/G9</f>
        <v>1.7385962083777826E-2</v>
      </c>
      <c r="J9" s="49">
        <f t="shared" ref="J9:J38" si="4">IF(H9&gt;$A$43, $C$43, IF(H9&gt;$A$44, $C$44, IF(H9&gt;$A$45,$C$45,IF(H9&gt;$A$46,$C$46, IF(H9&gt;$A$47,$C$47,IF(H9&gt;$A$48,$C$48,$C$49))))))/100</f>
        <v>0.11</v>
      </c>
      <c r="K9" s="49">
        <f t="shared" ref="K9:K38" si="5">(MAX(B9:F9)-MIN(B9:F9))/G9</f>
        <v>4.8555225202579301E-2</v>
      </c>
      <c r="L9" s="22">
        <f>G9/'Clause 6'!$I$11</f>
        <v>13712.230962695276</v>
      </c>
      <c r="M9">
        <f t="shared" ref="M9:M38" si="6">COUNTA(B9:F9)</f>
        <v>5</v>
      </c>
      <c r="O9" s="22"/>
    </row>
    <row r="10" spans="1:49" x14ac:dyDescent="0.35">
      <c r="A10" s="15" t="s">
        <v>70</v>
      </c>
      <c r="B10" s="22">
        <f t="shared" si="0"/>
        <v>3566.349567936732</v>
      </c>
      <c r="C10" s="22">
        <f t="shared" si="0"/>
        <v>3548.7479357785814</v>
      </c>
      <c r="D10" s="22">
        <f t="shared" si="0"/>
        <v>3605.0390717018622</v>
      </c>
      <c r="E10" s="22">
        <f t="shared" si="0"/>
        <v>3518.520471829594</v>
      </c>
      <c r="F10" s="22">
        <f t="shared" si="0"/>
        <v>3680.9666825734939</v>
      </c>
      <c r="G10" s="33">
        <f t="shared" si="1"/>
        <v>3583.9247459640524</v>
      </c>
      <c r="H10" s="51">
        <f t="shared" si="2"/>
        <v>154548.66216762338</v>
      </c>
      <c r="I10" s="49">
        <f t="shared" si="3"/>
        <v>1.5628798630920749E-2</v>
      </c>
      <c r="J10" s="49">
        <f t="shared" si="4"/>
        <v>0.11</v>
      </c>
      <c r="K10" s="49">
        <f t="shared" si="5"/>
        <v>4.53263453499783E-2</v>
      </c>
      <c r="L10" s="22">
        <f>G10/'Clause 6'!$I$11</f>
        <v>11953.265828951207</v>
      </c>
      <c r="M10">
        <f t="shared" si="6"/>
        <v>5</v>
      </c>
      <c r="O10" s="22"/>
    </row>
    <row r="11" spans="1:49" x14ac:dyDescent="0.35">
      <c r="A11" s="15" t="s">
        <v>71</v>
      </c>
      <c r="B11" s="22">
        <f t="shared" si="0"/>
        <v>3102.370374681007</v>
      </c>
      <c r="C11" s="22">
        <f t="shared" si="0"/>
        <v>3091.5915652701856</v>
      </c>
      <c r="D11" s="22">
        <f t="shared" si="0"/>
        <v>3126.1745217295606</v>
      </c>
      <c r="E11" s="22">
        <f t="shared" si="0"/>
        <v>3046.8468030522813</v>
      </c>
      <c r="F11" s="22">
        <f t="shared" si="0"/>
        <v>3206.2843356430717</v>
      </c>
      <c r="G11" s="33">
        <f t="shared" si="1"/>
        <v>3114.6535200752214</v>
      </c>
      <c r="H11" s="51">
        <f t="shared" si="2"/>
        <v>134312.40016559561</v>
      </c>
      <c r="I11" s="49">
        <f t="shared" si="3"/>
        <v>1.6873026058252284E-2</v>
      </c>
      <c r="J11" s="49">
        <f t="shared" si="4"/>
        <v>0.11</v>
      </c>
      <c r="K11" s="49">
        <f t="shared" si="5"/>
        <v>5.1189492366695045E-2</v>
      </c>
      <c r="L11" s="22">
        <f>G11/'Clause 6'!$I$11</f>
        <v>10388.131484195836</v>
      </c>
      <c r="M11">
        <f t="shared" si="6"/>
        <v>5</v>
      </c>
      <c r="O11" s="22"/>
    </row>
    <row r="12" spans="1:49" x14ac:dyDescent="0.35">
      <c r="A12" s="15" t="s">
        <v>72</v>
      </c>
      <c r="B12" s="22">
        <f t="shared" si="0"/>
        <v>2692.9627649151566</v>
      </c>
      <c r="C12" s="22">
        <f t="shared" si="0"/>
        <v>2685.4213062595936</v>
      </c>
      <c r="D12" s="22">
        <f t="shared" si="0"/>
        <v>2694.0312781265147</v>
      </c>
      <c r="E12" s="22">
        <f t="shared" si="0"/>
        <v>2648.6643403241319</v>
      </c>
      <c r="F12" s="22">
        <f t="shared" si="0"/>
        <v>2779.2995385491367</v>
      </c>
      <c r="G12" s="33">
        <f t="shared" si="1"/>
        <v>2700.0758456349067</v>
      </c>
      <c r="H12" s="51">
        <f t="shared" si="2"/>
        <v>116434.67407174592</v>
      </c>
      <c r="I12" s="49">
        <f t="shared" si="3"/>
        <v>1.5905160087428063E-2</v>
      </c>
      <c r="J12" s="49">
        <f t="shared" si="4"/>
        <v>0.11</v>
      </c>
      <c r="K12" s="49">
        <f t="shared" si="5"/>
        <v>4.8382047651067649E-2</v>
      </c>
      <c r="L12" s="22">
        <f>G12/'Clause 6'!$I$11</f>
        <v>9005.413514206637</v>
      </c>
      <c r="M12">
        <f t="shared" si="6"/>
        <v>5</v>
      </c>
      <c r="O12" s="22"/>
    </row>
    <row r="13" spans="1:49" x14ac:dyDescent="0.35">
      <c r="A13" s="15" t="s">
        <v>73</v>
      </c>
      <c r="B13" s="22">
        <f t="shared" si="0"/>
        <v>2317.6020280345815</v>
      </c>
      <c r="C13" s="22">
        <f t="shared" si="0"/>
        <v>2304.6868152321754</v>
      </c>
      <c r="D13" s="22">
        <f t="shared" si="0"/>
        <v>2314.2620421571542</v>
      </c>
      <c r="E13" s="22">
        <f t="shared" si="0"/>
        <v>2272.6094950179613</v>
      </c>
      <c r="F13" s="22">
        <f t="shared" si="0"/>
        <v>2402.5347578695796</v>
      </c>
      <c r="G13" s="33">
        <f t="shared" si="1"/>
        <v>2322.3390276622904</v>
      </c>
      <c r="H13" s="51">
        <f t="shared" si="2"/>
        <v>100145.62672641182</v>
      </c>
      <c r="I13" s="49">
        <f t="shared" si="3"/>
        <v>1.8574463124227374E-2</v>
      </c>
      <c r="J13" s="49">
        <f t="shared" si="4"/>
        <v>0.11</v>
      </c>
      <c r="K13" s="49">
        <f t="shared" si="5"/>
        <v>5.594586376236526E-2</v>
      </c>
      <c r="L13" s="22">
        <f>G13/'Clause 6'!$I$11</f>
        <v>7745.5688135907812</v>
      </c>
      <c r="M13">
        <f t="shared" si="6"/>
        <v>5</v>
      </c>
      <c r="O13" s="22"/>
    </row>
    <row r="14" spans="1:49" x14ac:dyDescent="0.35">
      <c r="A14" s="15" t="s">
        <v>74</v>
      </c>
      <c r="B14" s="22">
        <f t="shared" si="0"/>
        <v>1977.7369671407837</v>
      </c>
      <c r="C14" s="22">
        <f t="shared" si="0"/>
        <v>1973.5635293250916</v>
      </c>
      <c r="D14" s="22">
        <f t="shared" si="0"/>
        <v>1988.4818713256</v>
      </c>
      <c r="E14" s="22">
        <f t="shared" si="0"/>
        <v>1947.1156822666751</v>
      </c>
      <c r="F14" s="22">
        <f t="shared" si="0"/>
        <v>2045.0324492393731</v>
      </c>
      <c r="G14" s="33">
        <f t="shared" si="1"/>
        <v>1986.3860998595046</v>
      </c>
      <c r="H14" s="51">
        <f t="shared" si="2"/>
        <v>85658.41529662766</v>
      </c>
      <c r="I14" s="49">
        <f t="shared" si="3"/>
        <v>1.62742835226421E-2</v>
      </c>
      <c r="J14" s="49">
        <f t="shared" si="4"/>
        <v>0.11</v>
      </c>
      <c r="K14" s="49">
        <f t="shared" si="5"/>
        <v>4.9293924771031984E-2</v>
      </c>
      <c r="L14" s="22">
        <f>G14/'Clause 6'!$I$11</f>
        <v>6625.0836090497623</v>
      </c>
      <c r="M14">
        <f t="shared" si="6"/>
        <v>5</v>
      </c>
      <c r="O14" s="22"/>
    </row>
    <row r="15" spans="1:49" x14ac:dyDescent="0.35">
      <c r="A15" s="15" t="s">
        <v>75</v>
      </c>
      <c r="B15" s="22">
        <f t="shared" si="0"/>
        <v>1676.2651884367647</v>
      </c>
      <c r="C15" s="22">
        <f t="shared" si="0"/>
        <v>1677.6149315749199</v>
      </c>
      <c r="D15" s="22">
        <f t="shared" si="0"/>
        <v>1685.3125055517603</v>
      </c>
      <c r="E15" s="22">
        <f t="shared" si="0"/>
        <v>1653.6094615399079</v>
      </c>
      <c r="F15" s="22">
        <f t="shared" si="0"/>
        <v>1737.6354994518222</v>
      </c>
      <c r="G15" s="33">
        <f t="shared" si="1"/>
        <v>1686.0875173110348</v>
      </c>
      <c r="H15" s="51">
        <f t="shared" si="2"/>
        <v>72708.716998424294</v>
      </c>
      <c r="I15" s="49">
        <f t="shared" si="3"/>
        <v>1.6523426288206289E-2</v>
      </c>
      <c r="J15" s="49">
        <f t="shared" si="4"/>
        <v>0.11</v>
      </c>
      <c r="K15" s="49">
        <f t="shared" si="5"/>
        <v>4.9834920814738393E-2</v>
      </c>
      <c r="L15" s="22">
        <f>G15/'Clause 6'!$I$11</f>
        <v>5623.5143687074842</v>
      </c>
      <c r="M15">
        <f t="shared" si="6"/>
        <v>5</v>
      </c>
      <c r="O15" s="2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ht="13.15" x14ac:dyDescent="0.4">
      <c r="A16" s="15" t="s">
        <v>76</v>
      </c>
      <c r="B16" s="22">
        <f t="shared" si="0"/>
        <v>1410.2890857195223</v>
      </c>
      <c r="C16" s="22">
        <f t="shared" si="0"/>
        <v>1415.5806911356462</v>
      </c>
      <c r="D16" s="22">
        <f t="shared" si="0"/>
        <v>1409.0223110965296</v>
      </c>
      <c r="E16" s="22">
        <f t="shared" si="0"/>
        <v>1387.6194490062751</v>
      </c>
      <c r="F16" s="22">
        <f t="shared" si="0"/>
        <v>1458.3296547362406</v>
      </c>
      <c r="G16" s="33">
        <f t="shared" si="1"/>
        <v>1416.1682383388429</v>
      </c>
      <c r="H16" s="51">
        <f t="shared" si="2"/>
        <v>61069.057570480436</v>
      </c>
      <c r="I16" s="49">
        <f t="shared" si="3"/>
        <v>1.6343815773456175E-2</v>
      </c>
      <c r="J16" s="49">
        <f t="shared" si="4"/>
        <v>0.11</v>
      </c>
      <c r="K16" s="49">
        <f t="shared" si="5"/>
        <v>4.9930653587393119E-2</v>
      </c>
      <c r="L16" s="22">
        <f>G16/'Clause 6'!$I$11</f>
        <v>4723.2675380376168</v>
      </c>
      <c r="M16">
        <f t="shared" si="6"/>
        <v>5</v>
      </c>
      <c r="O16" s="22"/>
      <c r="P16" s="41"/>
      <c r="Q16" s="41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ht="13.15" x14ac:dyDescent="0.4">
      <c r="A17" s="15" t="s">
        <v>77</v>
      </c>
      <c r="B17" s="22">
        <f t="shared" si="0"/>
        <v>1168.3389677688397</v>
      </c>
      <c r="C17" s="22">
        <f t="shared" si="0"/>
        <v>1165.3477304363139</v>
      </c>
      <c r="D17" s="22">
        <f t="shared" si="0"/>
        <v>1164.5718217225697</v>
      </c>
      <c r="E17" s="22">
        <f t="shared" si="0"/>
        <v>1151.4386620152045</v>
      </c>
      <c r="F17" s="22">
        <f t="shared" si="0"/>
        <v>1208.376148381574</v>
      </c>
      <c r="G17" s="33">
        <f t="shared" si="1"/>
        <v>1171.6146660649003</v>
      </c>
      <c r="H17" s="51">
        <f t="shared" si="2"/>
        <v>50523.236968132856</v>
      </c>
      <c r="I17" s="49">
        <f t="shared" si="3"/>
        <v>1.6453673577136566E-2</v>
      </c>
      <c r="J17" s="49">
        <f t="shared" si="4"/>
        <v>0.11</v>
      </c>
      <c r="K17" s="49">
        <f t="shared" si="5"/>
        <v>4.859745103533513E-2</v>
      </c>
      <c r="L17" s="22">
        <f>G17/'Clause 6'!$I$11</f>
        <v>3907.6215448838898</v>
      </c>
      <c r="M17">
        <f t="shared" si="6"/>
        <v>5</v>
      </c>
      <c r="O17" s="22"/>
      <c r="P17" s="41"/>
      <c r="Q17" s="41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ht="13.15" x14ac:dyDescent="0.4">
      <c r="A18" s="15" t="s">
        <v>78</v>
      </c>
      <c r="B18" s="22">
        <f t="shared" si="0"/>
        <v>952.46730564517691</v>
      </c>
      <c r="C18" s="22">
        <f t="shared" si="0"/>
        <v>953.95587490047683</v>
      </c>
      <c r="D18" s="22">
        <f t="shared" si="0"/>
        <v>956.92157119254239</v>
      </c>
      <c r="E18" s="22">
        <f t="shared" si="0"/>
        <v>948.62127745830946</v>
      </c>
      <c r="F18" s="22">
        <f t="shared" si="0"/>
        <v>982.50073208859544</v>
      </c>
      <c r="G18" s="33">
        <f t="shared" si="1"/>
        <v>958.8933522570203</v>
      </c>
      <c r="H18" s="51">
        <f t="shared" si="2"/>
        <v>41350.110634894605</v>
      </c>
      <c r="I18" s="49">
        <f t="shared" si="3"/>
        <v>1.2621596334575489E-2</v>
      </c>
      <c r="J18" s="49">
        <f t="shared" si="4"/>
        <v>0.11</v>
      </c>
      <c r="K18" s="49">
        <f t="shared" si="5"/>
        <v>3.5331827622478898E-2</v>
      </c>
      <c r="L18" s="22">
        <f>G18/'Clause 6'!$I$11</f>
        <v>3198.1439214229749</v>
      </c>
      <c r="M18">
        <f t="shared" si="6"/>
        <v>5</v>
      </c>
      <c r="O18" s="22"/>
      <c r="P18" s="41"/>
      <c r="Q18" s="41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3.15" x14ac:dyDescent="0.4">
      <c r="A19" s="15" t="s">
        <v>79</v>
      </c>
      <c r="B19" s="22">
        <f t="shared" si="0"/>
        <v>767.98637738737102</v>
      </c>
      <c r="C19" s="22">
        <f t="shared" si="0"/>
        <v>766.39572990743329</v>
      </c>
      <c r="D19" s="22">
        <f t="shared" si="0"/>
        <v>774.30471197641282</v>
      </c>
      <c r="E19" s="22">
        <f t="shared" si="0"/>
        <v>767.70220858845062</v>
      </c>
      <c r="F19" s="22">
        <f t="shared" si="0"/>
        <v>788.04149044753376</v>
      </c>
      <c r="G19" s="33">
        <f t="shared" si="1"/>
        <v>772.8861036614403</v>
      </c>
      <c r="H19" s="51">
        <f t="shared" si="2"/>
        <v>33328.968043577544</v>
      </c>
      <c r="I19" s="49">
        <f t="shared" si="3"/>
        <v>1.0426602259902353E-2</v>
      </c>
      <c r="J19" s="49">
        <f t="shared" si="4"/>
        <v>0.11</v>
      </c>
      <c r="K19" s="49">
        <f t="shared" si="5"/>
        <v>2.8006404097003029E-2</v>
      </c>
      <c r="L19" s="22">
        <f>G19/'Clause 6'!$I$11</f>
        <v>2577.7642409962027</v>
      </c>
      <c r="M19">
        <f t="shared" si="6"/>
        <v>5</v>
      </c>
      <c r="O19" s="22"/>
      <c r="P19" s="41"/>
      <c r="Q19" s="41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ht="13.15" x14ac:dyDescent="0.4">
      <c r="A20" s="15" t="s">
        <v>80</v>
      </c>
      <c r="B20" s="22">
        <f t="shared" si="0"/>
        <v>618.7596579327585</v>
      </c>
      <c r="C20" s="22">
        <f t="shared" si="0"/>
        <v>611.71876244218663</v>
      </c>
      <c r="D20" s="22">
        <f t="shared" si="0"/>
        <v>616.02907657241428</v>
      </c>
      <c r="E20" s="22">
        <f t="shared" si="0"/>
        <v>613.26749010448361</v>
      </c>
      <c r="F20" s="22">
        <f t="shared" si="0"/>
        <v>615.25252986199132</v>
      </c>
      <c r="G20" s="33">
        <f t="shared" si="1"/>
        <v>615.00550338276685</v>
      </c>
      <c r="H20" s="51">
        <f t="shared" si="2"/>
        <v>26520.723650955184</v>
      </c>
      <c r="I20" s="49">
        <f t="shared" si="3"/>
        <v>3.9176692796988122E-3</v>
      </c>
      <c r="J20" s="49">
        <f t="shared" si="4"/>
        <v>0.11</v>
      </c>
      <c r="K20" s="49">
        <f t="shared" si="5"/>
        <v>1.1448508105771797E-2</v>
      </c>
      <c r="L20" s="22">
        <f>G20/'Clause 6'!$I$11</f>
        <v>2051.1938138435171</v>
      </c>
      <c r="M20">
        <f t="shared" si="6"/>
        <v>5</v>
      </c>
      <c r="O20" s="22"/>
      <c r="P20" s="41"/>
      <c r="Q20" s="4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3.15" x14ac:dyDescent="0.4">
      <c r="A21" s="15" t="s">
        <v>81</v>
      </c>
      <c r="B21" s="22">
        <f t="shared" si="0"/>
        <v>484.74537104390737</v>
      </c>
      <c r="C21" s="22">
        <f t="shared" si="0"/>
        <v>475.48845554131384</v>
      </c>
      <c r="D21" s="22">
        <f t="shared" si="0"/>
        <v>479.32599497347962</v>
      </c>
      <c r="E21" s="22">
        <f t="shared" si="0"/>
        <v>486.34897981365106</v>
      </c>
      <c r="F21" s="22">
        <f t="shared" si="0"/>
        <v>479.26864979931486</v>
      </c>
      <c r="G21" s="33">
        <f t="shared" si="1"/>
        <v>481.03549023433334</v>
      </c>
      <c r="H21" s="51">
        <f t="shared" si="2"/>
        <v>20743.569338218676</v>
      </c>
      <c r="I21" s="49">
        <f t="shared" si="3"/>
        <v>8.2533215052795639E-3</v>
      </c>
      <c r="J21" s="49">
        <f t="shared" si="4"/>
        <v>0.11</v>
      </c>
      <c r="K21" s="49">
        <f t="shared" si="5"/>
        <v>2.2577386685224788E-2</v>
      </c>
      <c r="L21" s="22">
        <f>G21/'Clause 6'!$I$11</f>
        <v>1604.3710444551064</v>
      </c>
      <c r="M21">
        <f t="shared" si="6"/>
        <v>5</v>
      </c>
      <c r="O21" s="22"/>
      <c r="R21" s="16"/>
      <c r="S21" s="16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x14ac:dyDescent="0.35">
      <c r="A22" s="15" t="s">
        <v>82</v>
      </c>
      <c r="B22" s="22">
        <f t="shared" si="0"/>
        <v>373.91193377907376</v>
      </c>
      <c r="C22" s="22">
        <f t="shared" si="0"/>
        <v>372.48505276260511</v>
      </c>
      <c r="D22" s="22">
        <f t="shared" si="0"/>
        <v>370.07889094462638</v>
      </c>
      <c r="E22" s="22">
        <f t="shared" si="0"/>
        <v>377.65995745077004</v>
      </c>
      <c r="F22" s="22">
        <f t="shared" si="0"/>
        <v>369.08272337416139</v>
      </c>
      <c r="G22" s="33">
        <f t="shared" si="1"/>
        <v>372.64371166224731</v>
      </c>
      <c r="H22" s="51">
        <f t="shared" si="2"/>
        <v>16069.418635933484</v>
      </c>
      <c r="I22" s="49">
        <f t="shared" si="3"/>
        <v>8.144429225104579E-3</v>
      </c>
      <c r="J22" s="49">
        <f t="shared" si="4"/>
        <v>0.11</v>
      </c>
      <c r="K22" s="49">
        <f t="shared" si="5"/>
        <v>2.3017251621792523E-2</v>
      </c>
      <c r="L22" s="22">
        <f>G22/'Clause 6'!$I$11</f>
        <v>1242.8579450508821</v>
      </c>
      <c r="M22">
        <f t="shared" si="6"/>
        <v>5</v>
      </c>
      <c r="O22" s="22"/>
      <c r="P22" s="1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</row>
    <row r="23" spans="1:49" x14ac:dyDescent="0.35">
      <c r="A23" s="15" t="s">
        <v>83</v>
      </c>
      <c r="B23" s="22">
        <f t="shared" si="0"/>
        <v>290.00208748380209</v>
      </c>
      <c r="C23" s="22">
        <f t="shared" si="0"/>
        <v>290.21982117738503</v>
      </c>
      <c r="D23" s="22">
        <f t="shared" si="0"/>
        <v>288.8645707373268</v>
      </c>
      <c r="E23" s="22">
        <f t="shared" si="0"/>
        <v>292.81831552193887</v>
      </c>
      <c r="F23" s="22">
        <f t="shared" si="0"/>
        <v>286.29995659064332</v>
      </c>
      <c r="G23" s="33">
        <f t="shared" si="1"/>
        <v>289.64095030221927</v>
      </c>
      <c r="H23" s="51">
        <f t="shared" si="2"/>
        <v>12490.111972517425</v>
      </c>
      <c r="I23" s="49">
        <f t="shared" si="3"/>
        <v>7.2956182999975982E-3</v>
      </c>
      <c r="J23" s="49">
        <f t="shared" si="4"/>
        <v>0.11</v>
      </c>
      <c r="K23" s="49">
        <f t="shared" si="5"/>
        <v>2.2504963212191226E-2</v>
      </c>
      <c r="L23" s="22">
        <f>G23/'Clause 6'!$I$11</f>
        <v>966.02342942922905</v>
      </c>
      <c r="M23">
        <f t="shared" si="6"/>
        <v>5</v>
      </c>
      <c r="O23" s="2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49" x14ac:dyDescent="0.35">
      <c r="A24" s="15" t="s">
        <v>84</v>
      </c>
      <c r="B24" s="22">
        <f t="shared" si="0"/>
        <v>221.78760812145899</v>
      </c>
      <c r="C24" s="22">
        <f t="shared" si="0"/>
        <v>229.49478950584376</v>
      </c>
      <c r="D24" s="22">
        <f t="shared" si="0"/>
        <v>223.80082557125161</v>
      </c>
      <c r="E24" s="22">
        <f t="shared" si="0"/>
        <v>226.77941585841626</v>
      </c>
      <c r="F24" s="22">
        <f t="shared" si="0"/>
        <v>220.83048313719627</v>
      </c>
      <c r="G24" s="33">
        <f t="shared" si="1"/>
        <v>224.53862443883341</v>
      </c>
      <c r="H24" s="51">
        <f t="shared" si="2"/>
        <v>9682.721170710709</v>
      </c>
      <c r="I24" s="49">
        <f t="shared" si="3"/>
        <v>1.4285845331864095E-2</v>
      </c>
      <c r="J24" s="49">
        <f t="shared" si="4"/>
        <v>0.113</v>
      </c>
      <c r="K24" s="49">
        <f t="shared" si="5"/>
        <v>3.8587153503328475E-2</v>
      </c>
      <c r="L24" s="22">
        <f>G24/'Clause 6'!$I$11</f>
        <v>748.89124550031408</v>
      </c>
      <c r="M24">
        <f t="shared" si="6"/>
        <v>5</v>
      </c>
      <c r="O24" s="22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</row>
    <row r="25" spans="1:49" x14ac:dyDescent="0.35">
      <c r="A25" s="15" t="s">
        <v>85</v>
      </c>
      <c r="B25" s="22">
        <f t="shared" si="0"/>
        <v>171.44170034429601</v>
      </c>
      <c r="C25" s="22">
        <f t="shared" si="0"/>
        <v>177.47749822493859</v>
      </c>
      <c r="D25" s="22">
        <f t="shared" si="0"/>
        <v>176.50271295052318</v>
      </c>
      <c r="E25" s="22">
        <f t="shared" si="0"/>
        <v>174.26931855651804</v>
      </c>
      <c r="F25" s="22">
        <f t="shared" si="0"/>
        <v>171.87170001176386</v>
      </c>
      <c r="G25" s="33">
        <f t="shared" si="1"/>
        <v>174.31258601760794</v>
      </c>
      <c r="H25" s="51">
        <f t="shared" si="2"/>
        <v>7516.8366741901154</v>
      </c>
      <c r="I25" s="49">
        <f t="shared" si="3"/>
        <v>1.3819691092581035E-2</v>
      </c>
      <c r="J25" s="49">
        <f t="shared" si="4"/>
        <v>0.113</v>
      </c>
      <c r="K25" s="49">
        <f t="shared" si="5"/>
        <v>3.4626288431248896E-2</v>
      </c>
      <c r="L25" s="22">
        <f>G25/'Clause 6'!$I$11</f>
        <v>581.37511964970543</v>
      </c>
      <c r="M25">
        <f t="shared" si="6"/>
        <v>5</v>
      </c>
      <c r="O25" s="2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49" x14ac:dyDescent="0.35">
      <c r="A26" s="15" t="s">
        <v>86</v>
      </c>
      <c r="B26" s="22">
        <f t="shared" si="0"/>
        <v>137.51556105081207</v>
      </c>
      <c r="C26" s="22">
        <f t="shared" si="0"/>
        <v>140.01129943891218</v>
      </c>
      <c r="D26" s="22">
        <f t="shared" si="0"/>
        <v>138.89494535452934</v>
      </c>
      <c r="E26" s="22">
        <f t="shared" si="0"/>
        <v>139.07150224280028</v>
      </c>
      <c r="F26" s="22">
        <f t="shared" si="0"/>
        <v>135.63990734750945</v>
      </c>
      <c r="G26" s="33">
        <f t="shared" si="1"/>
        <v>138.22664308691265</v>
      </c>
      <c r="H26" s="51">
        <f t="shared" si="2"/>
        <v>5960.7118673630175</v>
      </c>
      <c r="I26" s="49">
        <f t="shared" si="3"/>
        <v>1.0991792596128832E-2</v>
      </c>
      <c r="J26" s="49">
        <f t="shared" si="4"/>
        <v>0.113</v>
      </c>
      <c r="K26" s="49">
        <f t="shared" si="5"/>
        <v>3.1624815547709781E-2</v>
      </c>
      <c r="L26" s="22">
        <f>G26/'Clause 6'!$I$11</f>
        <v>461.0196716105936</v>
      </c>
      <c r="M26">
        <f t="shared" si="6"/>
        <v>5</v>
      </c>
      <c r="O26" s="22"/>
    </row>
    <row r="27" spans="1:49" x14ac:dyDescent="0.35">
      <c r="A27" s="15" t="s">
        <v>87</v>
      </c>
      <c r="B27" s="22">
        <f t="shared" si="0"/>
        <v>106.48702796033034</v>
      </c>
      <c r="C27" s="22">
        <f t="shared" si="0"/>
        <v>110.10708572896448</v>
      </c>
      <c r="D27" s="22">
        <f t="shared" si="0"/>
        <v>108.2088527762031</v>
      </c>
      <c r="E27" s="22">
        <f t="shared" si="0"/>
        <v>107.54251368816706</v>
      </c>
      <c r="F27" s="22">
        <f t="shared" si="0"/>
        <v>103.76510240870334</v>
      </c>
      <c r="G27" s="33">
        <f t="shared" si="1"/>
        <v>107.22211651247366</v>
      </c>
      <c r="H27" s="51">
        <f t="shared" si="2"/>
        <v>4623.7116670613414</v>
      </c>
      <c r="I27" s="49">
        <f t="shared" si="3"/>
        <v>1.9514614180933684E-2</v>
      </c>
      <c r="J27" s="49">
        <f t="shared" si="4"/>
        <v>0.11900000000000001</v>
      </c>
      <c r="K27" s="49">
        <f t="shared" si="5"/>
        <v>5.9148089279914023E-2</v>
      </c>
      <c r="L27" s="22">
        <f>G27/'Clause 6'!$I$11</f>
        <v>357.61199027956144</v>
      </c>
      <c r="M27">
        <f t="shared" si="6"/>
        <v>5</v>
      </c>
      <c r="O27" s="22"/>
    </row>
    <row r="28" spans="1:49" x14ac:dyDescent="0.35">
      <c r="A28" s="15" t="s">
        <v>88</v>
      </c>
      <c r="B28" s="22">
        <f t="shared" si="0"/>
        <v>81.495174459436484</v>
      </c>
      <c r="C28" s="22">
        <f t="shared" si="0"/>
        <v>86.504526249082389</v>
      </c>
      <c r="D28" s="22">
        <f t="shared" si="0"/>
        <v>83.175461462305364</v>
      </c>
      <c r="E28" s="22">
        <f t="shared" si="0"/>
        <v>83.121878916760252</v>
      </c>
      <c r="F28" s="22">
        <f t="shared" si="0"/>
        <v>78.769751773236678</v>
      </c>
      <c r="G28" s="33">
        <f t="shared" si="1"/>
        <v>82.613358572164231</v>
      </c>
      <c r="H28" s="51">
        <f t="shared" si="2"/>
        <v>3562.5145474609267</v>
      </c>
      <c r="I28" s="49">
        <f t="shared" si="3"/>
        <v>3.0497482426678494E-2</v>
      </c>
      <c r="J28" s="49">
        <f t="shared" si="4"/>
        <v>0.11900000000000001</v>
      </c>
      <c r="K28" s="49">
        <f t="shared" si="5"/>
        <v>9.3626195684675478E-2</v>
      </c>
      <c r="L28" s="22">
        <f>G28/'Clause 6'!$I$11</f>
        <v>275.53576205739029</v>
      </c>
      <c r="M28">
        <f t="shared" si="6"/>
        <v>5</v>
      </c>
      <c r="O28" s="22"/>
    </row>
    <row r="29" spans="1:49" x14ac:dyDescent="0.35">
      <c r="A29" s="15" t="s">
        <v>89</v>
      </c>
      <c r="B29" s="22">
        <f t="shared" si="0"/>
        <v>65.920541118299724</v>
      </c>
      <c r="C29" s="22">
        <f t="shared" si="0"/>
        <v>68.287016747620015</v>
      </c>
      <c r="D29" s="22">
        <f t="shared" si="0"/>
        <v>66.678802670197641</v>
      </c>
      <c r="E29" s="22">
        <f t="shared" si="0"/>
        <v>67.070757470765173</v>
      </c>
      <c r="F29" s="22">
        <f t="shared" si="0"/>
        <v>60.768513012831789</v>
      </c>
      <c r="G29" s="33">
        <f t="shared" si="1"/>
        <v>65.745126203942874</v>
      </c>
      <c r="H29" s="51">
        <f t="shared" si="2"/>
        <v>2835.1101150500681</v>
      </c>
      <c r="I29" s="49">
        <f t="shared" si="3"/>
        <v>3.9597933756432696E-2</v>
      </c>
      <c r="J29" s="49">
        <f t="shared" si="4"/>
        <v>0.11900000000000001</v>
      </c>
      <c r="K29" s="49">
        <f t="shared" si="5"/>
        <v>0.11435834363547583</v>
      </c>
      <c r="L29" s="22">
        <f>G29/'Clause 6'!$I$11</f>
        <v>219.27608032469479</v>
      </c>
      <c r="M29">
        <f t="shared" si="6"/>
        <v>5</v>
      </c>
      <c r="O29" s="22"/>
    </row>
    <row r="30" spans="1:49" x14ac:dyDescent="0.35">
      <c r="A30" s="15" t="s">
        <v>90</v>
      </c>
      <c r="B30" s="22">
        <f t="shared" si="0"/>
        <v>48.776371083870131</v>
      </c>
      <c r="C30" s="22">
        <f t="shared" si="0"/>
        <v>52.017291280905177</v>
      </c>
      <c r="D30" s="22">
        <f t="shared" si="0"/>
        <v>49.720698876912088</v>
      </c>
      <c r="E30" s="22">
        <f t="shared" si="0"/>
        <v>51.248937759712874</v>
      </c>
      <c r="F30" s="22">
        <f t="shared" si="0"/>
        <v>44.945768115151061</v>
      </c>
      <c r="G30" s="33">
        <f t="shared" si="1"/>
        <v>49.341813423310263</v>
      </c>
      <c r="H30" s="51">
        <f t="shared" si="2"/>
        <v>2127.7542900655453</v>
      </c>
      <c r="I30" s="49">
        <f t="shared" si="3"/>
        <v>5.0123986400689012E-2</v>
      </c>
      <c r="J30" s="49">
        <f t="shared" si="4"/>
        <v>0.11900000000000001</v>
      </c>
      <c r="K30" s="49">
        <f t="shared" si="5"/>
        <v>0.14331705049197396</v>
      </c>
      <c r="L30" s="22">
        <f>G30/'Clause 6'!$I$11</f>
        <v>164.56701915840293</v>
      </c>
      <c r="M30">
        <f t="shared" si="6"/>
        <v>5</v>
      </c>
      <c r="O30" s="22"/>
    </row>
    <row r="31" spans="1:49" x14ac:dyDescent="0.35">
      <c r="A31" s="15" t="s">
        <v>91</v>
      </c>
      <c r="B31" s="22">
        <f t="shared" si="0"/>
        <v>36.823745496486112</v>
      </c>
      <c r="C31" s="22">
        <f t="shared" si="0"/>
        <v>40.330587072419874</v>
      </c>
      <c r="D31" s="22">
        <f t="shared" si="0"/>
        <v>38.415296348055044</v>
      </c>
      <c r="E31" s="22">
        <f t="shared" si="0"/>
        <v>38.637342337859593</v>
      </c>
      <c r="F31" s="22">
        <f t="shared" si="0"/>
        <v>32.333435225695403</v>
      </c>
      <c r="G31" s="33">
        <f t="shared" si="1"/>
        <v>37.308081296103204</v>
      </c>
      <c r="H31" s="51">
        <f t="shared" si="2"/>
        <v>1608.8267642468841</v>
      </c>
      <c r="I31" s="49">
        <f t="shared" si="3"/>
        <v>7.3022729698244027E-2</v>
      </c>
      <c r="J31" s="49">
        <f t="shared" si="4"/>
        <v>0.13400000000000001</v>
      </c>
      <c r="K31" s="49">
        <f t="shared" si="5"/>
        <v>0.21435441247308973</v>
      </c>
      <c r="L31" s="22">
        <f>G31/'Clause 6'!$I$11</f>
        <v>124.43157848184268</v>
      </c>
      <c r="M31">
        <f t="shared" si="6"/>
        <v>5</v>
      </c>
      <c r="O31" s="22"/>
    </row>
    <row r="32" spans="1:49" x14ac:dyDescent="0.35">
      <c r="A32" s="15" t="s">
        <v>92</v>
      </c>
      <c r="B32" s="22">
        <f t="shared" si="0"/>
        <v>28.613861254646586</v>
      </c>
      <c r="C32" s="22">
        <f t="shared" si="0"/>
        <v>32.53945093342967</v>
      </c>
      <c r="D32" s="22">
        <f t="shared" si="0"/>
        <v>29.993925076559496</v>
      </c>
      <c r="E32" s="22">
        <f t="shared" si="0"/>
        <v>29.923876410033692</v>
      </c>
      <c r="F32" s="22">
        <f t="shared" si="0"/>
        <v>23.275487059631796</v>
      </c>
      <c r="G32" s="33">
        <f t="shared" si="1"/>
        <v>28.869320146860247</v>
      </c>
      <c r="H32" s="51">
        <f t="shared" si="2"/>
        <v>1244.9242444084566</v>
      </c>
      <c r="I32" s="49">
        <f t="shared" si="3"/>
        <v>0.10642970088174236</v>
      </c>
      <c r="J32" s="49">
        <f t="shared" si="4"/>
        <v>0.13400000000000001</v>
      </c>
      <c r="K32" s="49">
        <f t="shared" si="5"/>
        <v>0.32089303893099813</v>
      </c>
      <c r="L32" s="22">
        <f>G32/'Clause 6'!$I$11</f>
        <v>96.286245520395894</v>
      </c>
      <c r="M32">
        <f t="shared" si="6"/>
        <v>5</v>
      </c>
      <c r="O32" s="22"/>
    </row>
    <row r="33" spans="1:15" x14ac:dyDescent="0.35">
      <c r="A33" s="15" t="s">
        <v>93</v>
      </c>
      <c r="B33" s="22">
        <f t="shared" si="0"/>
        <v>23.060116032225729</v>
      </c>
      <c r="C33" s="22">
        <f t="shared" si="0"/>
        <v>23.717135011337824</v>
      </c>
      <c r="D33" s="22">
        <f t="shared" si="0"/>
        <v>22.841527558303</v>
      </c>
      <c r="E33" s="22">
        <f t="shared" si="0"/>
        <v>22.700871759335904</v>
      </c>
      <c r="F33" s="22">
        <f t="shared" si="0"/>
        <v>17.313293330070945</v>
      </c>
      <c r="G33" s="33">
        <f t="shared" si="1"/>
        <v>21.926588738254683</v>
      </c>
      <c r="H33" s="51">
        <f t="shared" si="2"/>
        <v>945.53462909986229</v>
      </c>
      <c r="I33" s="49">
        <f t="shared" si="3"/>
        <v>0.10639193100257076</v>
      </c>
      <c r="J33" s="49">
        <f t="shared" si="4"/>
        <v>0.156</v>
      </c>
      <c r="K33" s="49">
        <f t="shared" si="5"/>
        <v>0.29205827489682801</v>
      </c>
      <c r="L33" s="22">
        <f>G33/'Clause 6'!$I$11</f>
        <v>73.130537745134603</v>
      </c>
      <c r="M33">
        <f t="shared" si="6"/>
        <v>5</v>
      </c>
      <c r="O33" s="22"/>
    </row>
    <row r="34" spans="1:15" x14ac:dyDescent="0.35">
      <c r="A34" s="15" t="s">
        <v>94</v>
      </c>
      <c r="B34" s="22">
        <f t="shared" si="0"/>
        <v>15.816100524720264</v>
      </c>
      <c r="C34" s="22">
        <f t="shared" si="0"/>
        <v>18.102933970006646</v>
      </c>
      <c r="D34" s="22">
        <f t="shared" si="0"/>
        <v>17.073465043580022</v>
      </c>
      <c r="E34" s="22">
        <f t="shared" si="0"/>
        <v>16.739026650823444</v>
      </c>
      <c r="F34" s="22">
        <f t="shared" si="0"/>
        <v>13.300278319789598</v>
      </c>
      <c r="G34" s="33">
        <f t="shared" si="1"/>
        <v>16.206360901783995</v>
      </c>
      <c r="H34" s="51">
        <f t="shared" si="2"/>
        <v>698.86271992651859</v>
      </c>
      <c r="I34" s="49">
        <f t="shared" si="3"/>
        <v>0.10037206886918353</v>
      </c>
      <c r="J34" s="49">
        <f t="shared" si="4"/>
        <v>0.156</v>
      </c>
      <c r="K34" s="49">
        <f t="shared" si="5"/>
        <v>0.29634386641904115</v>
      </c>
      <c r="L34" s="22">
        <f>G34/'Clause 6'!$I$11</f>
        <v>54.05217846638584</v>
      </c>
      <c r="M34">
        <f t="shared" si="6"/>
        <v>5</v>
      </c>
      <c r="O34" s="22"/>
    </row>
    <row r="35" spans="1:15" x14ac:dyDescent="0.35">
      <c r="A35" s="15" t="s">
        <v>95</v>
      </c>
      <c r="B35" s="22">
        <f t="shared" si="0"/>
        <v>10.624556077674681</v>
      </c>
      <c r="C35" s="22">
        <f t="shared" si="0"/>
        <v>13.749063774688592</v>
      </c>
      <c r="D35" s="22">
        <f t="shared" si="0"/>
        <v>13.035821283273934</v>
      </c>
      <c r="E35" s="22">
        <f t="shared" si="0"/>
        <v>11.694388482082132</v>
      </c>
      <c r="F35" s="22">
        <f t="shared" si="0"/>
        <v>9.1726057377859309</v>
      </c>
      <c r="G35" s="33">
        <f t="shared" si="1"/>
        <v>11.655287071101053</v>
      </c>
      <c r="H35" s="51">
        <f t="shared" si="2"/>
        <v>502.6079373030264</v>
      </c>
      <c r="I35" s="49">
        <f t="shared" si="3"/>
        <v>0.14107137096374267</v>
      </c>
      <c r="J35" s="49">
        <f t="shared" si="4"/>
        <v>0.156</v>
      </c>
      <c r="K35" s="49">
        <f t="shared" si="5"/>
        <v>0.39265082095230897</v>
      </c>
      <c r="L35" s="22">
        <f>G35/'Clause 6'!$I$11</f>
        <v>38.873233828500268</v>
      </c>
      <c r="M35">
        <f t="shared" si="6"/>
        <v>5</v>
      </c>
      <c r="O35" s="22"/>
    </row>
    <row r="36" spans="1:15" x14ac:dyDescent="0.35">
      <c r="A36" s="15" t="s">
        <v>96</v>
      </c>
      <c r="B36" s="22">
        <f t="shared" si="0"/>
        <v>7.9684170582560112</v>
      </c>
      <c r="C36" s="22">
        <f t="shared" si="0"/>
        <v>10.426373362472182</v>
      </c>
      <c r="D36" s="22">
        <f t="shared" si="0"/>
        <v>9.8057062750290651</v>
      </c>
      <c r="E36" s="22">
        <f t="shared" si="0"/>
        <v>8.598815060354509</v>
      </c>
      <c r="F36" s="22">
        <f t="shared" si="0"/>
        <v>6.1915088730055032</v>
      </c>
      <c r="G36" s="33">
        <f t="shared" si="1"/>
        <v>8.5981641258234554</v>
      </c>
      <c r="H36" s="51">
        <f t="shared" si="2"/>
        <v>370.77641327154043</v>
      </c>
      <c r="I36" s="49">
        <f t="shared" si="3"/>
        <v>0.17242089772017347</v>
      </c>
      <c r="J36" s="49">
        <f t="shared" si="4"/>
        <v>0.193</v>
      </c>
      <c r="K36" s="49">
        <f t="shared" si="5"/>
        <v>0.4925312459142086</v>
      </c>
      <c r="L36" s="22">
        <f>G36/'Clause 6'!$I$11</f>
        <v>28.676980886012863</v>
      </c>
      <c r="M36">
        <f t="shared" si="6"/>
        <v>5</v>
      </c>
      <c r="O36" s="22"/>
    </row>
    <row r="37" spans="1:15" x14ac:dyDescent="0.35">
      <c r="A37" s="15" t="s">
        <v>97</v>
      </c>
      <c r="B37" s="22">
        <f t="shared" si="0"/>
        <v>5.7952124060043717</v>
      </c>
      <c r="C37" s="22">
        <f t="shared" si="0"/>
        <v>7.6765606075344639</v>
      </c>
      <c r="D37" s="22">
        <f t="shared" si="0"/>
        <v>7.383120018845414</v>
      </c>
      <c r="E37" s="22">
        <f t="shared" si="0"/>
        <v>5.8471942410410662</v>
      </c>
      <c r="F37" s="22">
        <f t="shared" si="0"/>
        <v>3.8983574385590205</v>
      </c>
      <c r="G37" s="33">
        <f t="shared" si="1"/>
        <v>6.1200889423968672</v>
      </c>
      <c r="H37" s="51">
        <f t="shared" si="2"/>
        <v>263.91501648003299</v>
      </c>
      <c r="I37" s="49">
        <f t="shared" si="3"/>
        <v>0.2208446007049531</v>
      </c>
      <c r="J37" s="49">
        <f t="shared" si="4"/>
        <v>0.193</v>
      </c>
      <c r="K37" s="49">
        <f t="shared" si="5"/>
        <v>0.61734448707141676</v>
      </c>
      <c r="L37" s="22">
        <f>G37/'Clause 6'!$I$11</f>
        <v>20.411993892359583</v>
      </c>
      <c r="M37">
        <f t="shared" si="6"/>
        <v>5</v>
      </c>
    </row>
    <row r="38" spans="1:15" x14ac:dyDescent="0.35">
      <c r="A38" s="15" t="s">
        <v>98</v>
      </c>
      <c r="B38" s="22">
        <f t="shared" ref="B38:F38" si="7">L82/B$8</f>
        <v>4.2256757127115208</v>
      </c>
      <c r="C38" s="22">
        <f t="shared" si="7"/>
        <v>5.3850499784196986</v>
      </c>
      <c r="D38" s="22">
        <f t="shared" si="7"/>
        <v>4.7298112620728432</v>
      </c>
      <c r="E38" s="22">
        <f t="shared" si="7"/>
        <v>4.3567329639129513</v>
      </c>
      <c r="F38" s="22">
        <f t="shared" si="7"/>
        <v>3.0957544365027516</v>
      </c>
      <c r="G38" s="33">
        <f t="shared" si="1"/>
        <v>4.3586048707239531</v>
      </c>
      <c r="H38" s="51">
        <f t="shared" si="2"/>
        <v>187.95499332017241</v>
      </c>
      <c r="I38" s="49">
        <f t="shared" si="3"/>
        <v>0.17180855286553112</v>
      </c>
      <c r="J38" s="49">
        <f t="shared" si="4"/>
        <v>0.27500000000000002</v>
      </c>
      <c r="K38" s="49">
        <f t="shared" si="5"/>
        <v>0.52523585179601306</v>
      </c>
      <c r="L38" s="22">
        <f>G38/'Clause 6'!$I$11</f>
        <v>14.53701356921502</v>
      </c>
      <c r="M38">
        <f t="shared" si="6"/>
        <v>5</v>
      </c>
    </row>
    <row r="40" spans="1:15" x14ac:dyDescent="0.35">
      <c r="A40" t="s">
        <v>99</v>
      </c>
    </row>
    <row r="41" spans="1:15" ht="15" x14ac:dyDescent="0.5">
      <c r="A41" s="53"/>
      <c r="B41" s="54" t="s">
        <v>100</v>
      </c>
      <c r="C41" s="53"/>
      <c r="D41" s="55" t="s">
        <v>101</v>
      </c>
      <c r="E41" s="56"/>
      <c r="F41" s="56"/>
      <c r="G41" s="56"/>
      <c r="H41" s="57"/>
    </row>
    <row r="42" spans="1:15" ht="15" x14ac:dyDescent="0.5">
      <c r="A42" s="58" t="s">
        <v>102</v>
      </c>
      <c r="B42" s="59" t="s">
        <v>103</v>
      </c>
      <c r="C42" s="58" t="s">
        <v>104</v>
      </c>
      <c r="D42" s="58" t="s">
        <v>105</v>
      </c>
      <c r="E42" s="59" t="s">
        <v>106</v>
      </c>
      <c r="F42" s="59" t="s">
        <v>107</v>
      </c>
      <c r="G42" s="59" t="s">
        <v>108</v>
      </c>
      <c r="H42" s="60" t="s">
        <v>109</v>
      </c>
    </row>
    <row r="43" spans="1:15" x14ac:dyDescent="0.35">
      <c r="A43" s="61">
        <v>10000</v>
      </c>
      <c r="C43" s="61">
        <v>11</v>
      </c>
      <c r="D43" s="61">
        <v>7.8</v>
      </c>
      <c r="E43">
        <v>5.3</v>
      </c>
      <c r="F43">
        <v>4</v>
      </c>
      <c r="G43">
        <v>2.7</v>
      </c>
      <c r="H43" s="62">
        <v>1.8</v>
      </c>
    </row>
    <row r="44" spans="1:15" x14ac:dyDescent="0.35">
      <c r="A44" s="61">
        <v>5000</v>
      </c>
      <c r="B44">
        <v>10000</v>
      </c>
      <c r="C44" s="61">
        <v>11.3</v>
      </c>
      <c r="D44" s="61">
        <v>7.8</v>
      </c>
      <c r="E44">
        <v>5.3</v>
      </c>
      <c r="F44">
        <v>4</v>
      </c>
      <c r="G44">
        <v>2.7</v>
      </c>
      <c r="H44" s="62">
        <v>1.9</v>
      </c>
    </row>
    <row r="45" spans="1:15" x14ac:dyDescent="0.35">
      <c r="A45" s="61">
        <v>2000</v>
      </c>
      <c r="B45">
        <v>5000</v>
      </c>
      <c r="C45" s="61">
        <v>11.9</v>
      </c>
      <c r="D45" s="61">
        <v>7.9</v>
      </c>
      <c r="E45">
        <v>5.4</v>
      </c>
      <c r="F45">
        <v>4.0999999999999996</v>
      </c>
      <c r="G45">
        <v>2.9</v>
      </c>
      <c r="H45" s="62">
        <v>2.1</v>
      </c>
    </row>
    <row r="46" spans="1:15" x14ac:dyDescent="0.35">
      <c r="A46" s="61">
        <v>1000</v>
      </c>
      <c r="B46">
        <v>2000</v>
      </c>
      <c r="C46" s="61">
        <v>13.4</v>
      </c>
      <c r="D46" s="61">
        <v>8</v>
      </c>
      <c r="E46">
        <v>5.6</v>
      </c>
      <c r="F46">
        <v>4.3</v>
      </c>
      <c r="G46">
        <v>3.1</v>
      </c>
      <c r="H46" s="62">
        <v>2.4</v>
      </c>
    </row>
    <row r="47" spans="1:15" x14ac:dyDescent="0.35">
      <c r="A47" s="61">
        <v>500</v>
      </c>
      <c r="B47">
        <v>1000</v>
      </c>
      <c r="C47" s="61">
        <v>15.6</v>
      </c>
      <c r="D47" s="61">
        <v>8.1999999999999993</v>
      </c>
      <c r="E47">
        <v>5.9</v>
      </c>
      <c r="F47">
        <v>4.7</v>
      </c>
      <c r="G47">
        <v>3.6</v>
      </c>
      <c r="H47" s="62">
        <v>2.9</v>
      </c>
    </row>
    <row r="48" spans="1:15" x14ac:dyDescent="0.35">
      <c r="A48" s="61">
        <v>200</v>
      </c>
      <c r="B48">
        <v>500</v>
      </c>
      <c r="C48" s="61">
        <v>19.3</v>
      </c>
      <c r="D48" s="61">
        <v>8.9</v>
      </c>
      <c r="E48">
        <v>6.8</v>
      </c>
      <c r="F48">
        <v>5.7</v>
      </c>
      <c r="G48">
        <v>4.7</v>
      </c>
      <c r="H48" s="62">
        <v>4.0999999999999996</v>
      </c>
    </row>
    <row r="49" spans="1:16" x14ac:dyDescent="0.35">
      <c r="A49" s="63">
        <v>100</v>
      </c>
      <c r="B49" s="64">
        <v>200</v>
      </c>
      <c r="C49" s="63">
        <v>27.5</v>
      </c>
      <c r="D49" s="63">
        <v>10</v>
      </c>
      <c r="E49" s="64">
        <v>8</v>
      </c>
      <c r="F49" s="64">
        <v>7</v>
      </c>
      <c r="G49" s="64">
        <v>6.1</v>
      </c>
      <c r="H49" s="65">
        <v>5.5</v>
      </c>
    </row>
    <row r="51" spans="1:16" x14ac:dyDescent="0.35">
      <c r="A51" s="67">
        <f>'6 - B1'!A51</f>
        <v>0</v>
      </c>
      <c r="B51" s="68" t="str">
        <f>'6 - B1'!B51</f>
        <v>Portion 1</v>
      </c>
      <c r="C51" s="68" t="str">
        <f>'6 - B1'!C51</f>
        <v>Portion 2</v>
      </c>
      <c r="D51" s="68" t="str">
        <f>'6 - B1'!D51</f>
        <v>Portion 3</v>
      </c>
      <c r="E51" s="68" t="str">
        <f>'6 - B1'!E51</f>
        <v>Portion 4</v>
      </c>
      <c r="F51" s="68" t="str">
        <f>'6 - B1'!F51</f>
        <v>Portion 5</v>
      </c>
      <c r="G51" s="68" t="str">
        <f>'6 - B1'!G51</f>
        <v>Portion 1</v>
      </c>
      <c r="H51" s="68" t="str">
        <f>'6 - B1'!H51</f>
        <v>Portion 2</v>
      </c>
      <c r="I51" s="68" t="str">
        <f>'6 - B1'!I51</f>
        <v>Portion 3</v>
      </c>
      <c r="J51" s="68" t="str">
        <f>'6 - B1'!J51</f>
        <v>Portion 4</v>
      </c>
      <c r="K51" s="68" t="str">
        <f>'6 - B1'!K51</f>
        <v>Portion 5</v>
      </c>
      <c r="L51" s="68" t="str">
        <f>'6 - B1'!L51</f>
        <v>Portion 1</v>
      </c>
      <c r="M51" s="68" t="str">
        <f>'6 - B1'!M51</f>
        <v>Portion 2</v>
      </c>
      <c r="N51" s="68" t="str">
        <f>'6 - B1'!N51</f>
        <v>Portion 3</v>
      </c>
      <c r="O51" s="68" t="str">
        <f>'6 - B1'!O51</f>
        <v>Portion 4</v>
      </c>
      <c r="P51" s="68" t="str">
        <f>'6 - B1'!P51</f>
        <v>Portion 5</v>
      </c>
    </row>
    <row r="52" spans="1:16" x14ac:dyDescent="0.35">
      <c r="A52" s="67" t="str">
        <f>'6 - B1'!A52</f>
        <v>NAME\mL</v>
      </c>
      <c r="B52" s="67">
        <f>'6 - B1'!B52</f>
        <v>8.2826989999999991</v>
      </c>
      <c r="C52" s="67">
        <f>'6 - B1'!C52</f>
        <v>8.7278669999999998</v>
      </c>
      <c r="D52" s="67">
        <f>'6 - B1'!D52</f>
        <v>8.6684219999999996</v>
      </c>
      <c r="E52" s="67">
        <f>'6 - B1'!E52</f>
        <v>8.7221320000000002</v>
      </c>
      <c r="F52" s="67">
        <f>'6 - B1'!F52</f>
        <v>8.721622</v>
      </c>
      <c r="G52" s="67">
        <f>'6 - B1'!G52</f>
        <v>8.2826989999999991</v>
      </c>
      <c r="H52" s="67">
        <f>'6 - B1'!H52</f>
        <v>8.7278669999999998</v>
      </c>
      <c r="I52" s="67">
        <f>'6 - B1'!I52</f>
        <v>8.6684219999999996</v>
      </c>
      <c r="J52" s="67">
        <f>'6 - B1'!J52</f>
        <v>8.7221320000000002</v>
      </c>
      <c r="K52" s="67">
        <f>'6 - B1'!K52</f>
        <v>8.721622</v>
      </c>
      <c r="L52" s="67">
        <f>'6 - B1'!L52</f>
        <v>8.2826989999999991</v>
      </c>
      <c r="M52" s="67">
        <f>'6 - B1'!M52</f>
        <v>8.7278669999999998</v>
      </c>
      <c r="N52" s="67">
        <f>'6 - B1'!N52</f>
        <v>8.6684219999999996</v>
      </c>
      <c r="O52" s="67">
        <f>'6 - B1'!O52</f>
        <v>8.7221320000000002</v>
      </c>
      <c r="P52" s="67">
        <f>'6 - B1'!P52</f>
        <v>8.721622</v>
      </c>
    </row>
    <row r="53" spans="1:16" x14ac:dyDescent="0.35">
      <c r="A53" s="67">
        <f>'6 - B1'!A53</f>
        <v>4</v>
      </c>
      <c r="B53" s="67">
        <f>'6 - B1'!B53</f>
        <v>33813</v>
      </c>
      <c r="C53" s="67">
        <f>'6 - B1'!C53</f>
        <v>35435</v>
      </c>
      <c r="D53" s="67">
        <f>'6 - B1'!D53</f>
        <v>35865</v>
      </c>
      <c r="E53" s="67">
        <f>'6 - B1'!E53</f>
        <v>35225</v>
      </c>
      <c r="F53" s="67">
        <f>'6 - B1'!F53</f>
        <v>36964</v>
      </c>
      <c r="G53" s="67">
        <f>'6 - B1'!G53</f>
        <v>33813</v>
      </c>
      <c r="H53" s="67">
        <f>'6 - B1'!H53</f>
        <v>35435</v>
      </c>
      <c r="I53" s="67">
        <f>'6 - B1'!I53</f>
        <v>35865</v>
      </c>
      <c r="J53" s="67">
        <f>'6 - B1'!J53</f>
        <v>35225</v>
      </c>
      <c r="K53" s="67">
        <f>'6 - B1'!K53</f>
        <v>36964</v>
      </c>
      <c r="L53" s="67">
        <f>'6 - B1'!L53</f>
        <v>33813</v>
      </c>
      <c r="M53" s="67">
        <f>'6 - B1'!M53</f>
        <v>35435</v>
      </c>
      <c r="N53" s="67">
        <f>'6 - B1'!N53</f>
        <v>35865</v>
      </c>
      <c r="O53" s="67">
        <f>'6 - B1'!O53</f>
        <v>35225</v>
      </c>
      <c r="P53" s="67">
        <f>'6 - B1'!P53</f>
        <v>36964</v>
      </c>
    </row>
    <row r="54" spans="1:16" x14ac:dyDescent="0.35">
      <c r="A54" s="67">
        <f>'6 - B1'!A54</f>
        <v>5</v>
      </c>
      <c r="B54" s="67">
        <f>'6 - B1'!B54</f>
        <v>29539</v>
      </c>
      <c r="C54" s="67">
        <f>'6 - B1'!C54</f>
        <v>30973</v>
      </c>
      <c r="D54" s="67">
        <f>'6 - B1'!D54</f>
        <v>31250</v>
      </c>
      <c r="E54" s="67">
        <f>'6 - B1'!E54</f>
        <v>30689</v>
      </c>
      <c r="F54" s="67">
        <f>'6 - B1'!F54</f>
        <v>32104</v>
      </c>
      <c r="G54" s="67">
        <f>'6 - B1'!G54</f>
        <v>29539</v>
      </c>
      <c r="H54" s="67">
        <f>'6 - B1'!H54</f>
        <v>30973</v>
      </c>
      <c r="I54" s="67">
        <f>'6 - B1'!I54</f>
        <v>31250</v>
      </c>
      <c r="J54" s="67">
        <f>'6 - B1'!J54</f>
        <v>30689</v>
      </c>
      <c r="K54" s="67">
        <f>'6 - B1'!K54</f>
        <v>32104</v>
      </c>
      <c r="L54" s="67">
        <f>'6 - B1'!L54</f>
        <v>29539</v>
      </c>
      <c r="M54" s="67">
        <f>'6 - B1'!M54</f>
        <v>30973</v>
      </c>
      <c r="N54" s="67">
        <f>'6 - B1'!N54</f>
        <v>31250</v>
      </c>
      <c r="O54" s="67">
        <f>'6 - B1'!O54</f>
        <v>30689</v>
      </c>
      <c r="P54" s="67">
        <f>'6 - B1'!P54</f>
        <v>32104</v>
      </c>
    </row>
    <row r="55" spans="1:16" x14ac:dyDescent="0.35">
      <c r="A55" s="67">
        <f>'6 - B1'!A55</f>
        <v>6</v>
      </c>
      <c r="B55" s="67">
        <f>'6 - B1'!B55</f>
        <v>25696</v>
      </c>
      <c r="C55" s="67">
        <f>'6 - B1'!C55</f>
        <v>26983</v>
      </c>
      <c r="D55" s="67">
        <f>'6 - B1'!D55</f>
        <v>27099</v>
      </c>
      <c r="E55" s="67">
        <f>'6 - B1'!E55</f>
        <v>26575</v>
      </c>
      <c r="F55" s="67">
        <f>'6 - B1'!F55</f>
        <v>27964</v>
      </c>
      <c r="G55" s="67">
        <f>'6 - B1'!G55</f>
        <v>25696</v>
      </c>
      <c r="H55" s="67">
        <f>'6 - B1'!H55</f>
        <v>26983</v>
      </c>
      <c r="I55" s="67">
        <f>'6 - B1'!I55</f>
        <v>27099</v>
      </c>
      <c r="J55" s="67">
        <f>'6 - B1'!J55</f>
        <v>26575</v>
      </c>
      <c r="K55" s="67">
        <f>'6 - B1'!K55</f>
        <v>27964</v>
      </c>
      <c r="L55" s="67">
        <f>'6 - B1'!L55</f>
        <v>25696</v>
      </c>
      <c r="M55" s="67">
        <f>'6 - B1'!M55</f>
        <v>26983</v>
      </c>
      <c r="N55" s="67">
        <f>'6 - B1'!N55</f>
        <v>27099</v>
      </c>
      <c r="O55" s="67">
        <f>'6 - B1'!O55</f>
        <v>26575</v>
      </c>
      <c r="P55" s="67">
        <f>'6 - B1'!P55</f>
        <v>27964</v>
      </c>
    </row>
    <row r="56" spans="1:16" x14ac:dyDescent="0.35">
      <c r="A56" s="67">
        <f>'6 - B1'!A56</f>
        <v>7</v>
      </c>
      <c r="B56" s="67">
        <f>'6 - B1'!B56</f>
        <v>22305</v>
      </c>
      <c r="C56" s="67">
        <f>'6 - B1'!C56</f>
        <v>23438</v>
      </c>
      <c r="D56" s="67">
        <f>'6 - B1'!D56</f>
        <v>23353</v>
      </c>
      <c r="E56" s="67">
        <f>'6 - B1'!E56</f>
        <v>23102</v>
      </c>
      <c r="F56" s="67">
        <f>'6 - B1'!F56</f>
        <v>24240</v>
      </c>
      <c r="G56" s="67">
        <f>'6 - B1'!G56</f>
        <v>22305</v>
      </c>
      <c r="H56" s="67">
        <f>'6 - B1'!H56</f>
        <v>23438</v>
      </c>
      <c r="I56" s="67">
        <f>'6 - B1'!I56</f>
        <v>23353</v>
      </c>
      <c r="J56" s="67">
        <f>'6 - B1'!J56</f>
        <v>23102</v>
      </c>
      <c r="K56" s="67">
        <f>'6 - B1'!K56</f>
        <v>24240</v>
      </c>
      <c r="L56" s="67">
        <f>'6 - B1'!L56</f>
        <v>22305</v>
      </c>
      <c r="M56" s="67">
        <f>'6 - B1'!M56</f>
        <v>23438</v>
      </c>
      <c r="N56" s="67">
        <f>'6 - B1'!N56</f>
        <v>23353</v>
      </c>
      <c r="O56" s="67">
        <f>'6 - B1'!O56</f>
        <v>23102</v>
      </c>
      <c r="P56" s="67">
        <f>'6 - B1'!P56</f>
        <v>24240</v>
      </c>
    </row>
    <row r="57" spans="1:16" x14ac:dyDescent="0.35">
      <c r="A57" s="67">
        <f>'6 - B1'!A57</f>
        <v>8</v>
      </c>
      <c r="B57" s="67">
        <f>'6 - B1'!B57</f>
        <v>19196</v>
      </c>
      <c r="C57" s="67">
        <f>'6 - B1'!C57</f>
        <v>20115</v>
      </c>
      <c r="D57" s="67">
        <f>'6 - B1'!D57</f>
        <v>20061</v>
      </c>
      <c r="E57" s="67">
        <f>'6 - B1'!E57</f>
        <v>19822</v>
      </c>
      <c r="F57" s="67">
        <f>'6 - B1'!F57</f>
        <v>20954</v>
      </c>
      <c r="G57" s="67">
        <f>'6 - B1'!G57</f>
        <v>19196</v>
      </c>
      <c r="H57" s="67">
        <f>'6 - B1'!H57</f>
        <v>20115</v>
      </c>
      <c r="I57" s="67">
        <f>'6 - B1'!I57</f>
        <v>20061</v>
      </c>
      <c r="J57" s="67">
        <f>'6 - B1'!J57</f>
        <v>19822</v>
      </c>
      <c r="K57" s="67">
        <f>'6 - B1'!K57</f>
        <v>20954</v>
      </c>
      <c r="L57" s="67">
        <f>'6 - B1'!L57</f>
        <v>19196</v>
      </c>
      <c r="M57" s="67">
        <f>'6 - B1'!M57</f>
        <v>20115</v>
      </c>
      <c r="N57" s="67">
        <f>'6 - B1'!N57</f>
        <v>20061</v>
      </c>
      <c r="O57" s="67">
        <f>'6 - B1'!O57</f>
        <v>19822</v>
      </c>
      <c r="P57" s="67">
        <f>'6 - B1'!P57</f>
        <v>20954</v>
      </c>
    </row>
    <row r="58" spans="1:16" x14ac:dyDescent="0.35">
      <c r="A58" s="67">
        <f>'6 - B1'!A58</f>
        <v>9</v>
      </c>
      <c r="B58" s="67">
        <f>'6 - B1'!B58</f>
        <v>16381</v>
      </c>
      <c r="C58" s="67">
        <f>'6 - B1'!C58</f>
        <v>17225</v>
      </c>
      <c r="D58" s="67">
        <f>'6 - B1'!D58</f>
        <v>17237</v>
      </c>
      <c r="E58" s="67">
        <f>'6 - B1'!E58</f>
        <v>16983</v>
      </c>
      <c r="F58" s="67">
        <f>'6 - B1'!F58</f>
        <v>17836</v>
      </c>
      <c r="G58" s="67">
        <f>'6 - B1'!G58</f>
        <v>16381</v>
      </c>
      <c r="H58" s="67">
        <f>'6 - B1'!H58</f>
        <v>17225</v>
      </c>
      <c r="I58" s="67">
        <f>'6 - B1'!I58</f>
        <v>17237</v>
      </c>
      <c r="J58" s="67">
        <f>'6 - B1'!J58</f>
        <v>16983</v>
      </c>
      <c r="K58" s="67">
        <f>'6 - B1'!K58</f>
        <v>17836</v>
      </c>
      <c r="L58" s="67">
        <f>'6 - B1'!L58</f>
        <v>16381</v>
      </c>
      <c r="M58" s="67">
        <f>'6 - B1'!M58</f>
        <v>17225</v>
      </c>
      <c r="N58" s="67">
        <f>'6 - B1'!N58</f>
        <v>17237</v>
      </c>
      <c r="O58" s="67">
        <f>'6 - B1'!O58</f>
        <v>16983</v>
      </c>
      <c r="P58" s="67">
        <f>'6 - B1'!P58</f>
        <v>17836</v>
      </c>
    </row>
    <row r="59" spans="1:16" x14ac:dyDescent="0.35">
      <c r="A59" s="67">
        <f>'6 - B1'!A59</f>
        <v>10</v>
      </c>
      <c r="B59" s="67">
        <f>'6 - B1'!B59</f>
        <v>13884</v>
      </c>
      <c r="C59" s="67">
        <f>'6 - B1'!C59</f>
        <v>14642</v>
      </c>
      <c r="D59" s="67">
        <f>'6 - B1'!D59</f>
        <v>14609</v>
      </c>
      <c r="E59" s="67">
        <f>'6 - B1'!E59</f>
        <v>14423</v>
      </c>
      <c r="F59" s="67">
        <f>'6 - B1'!F59</f>
        <v>15155</v>
      </c>
      <c r="G59" s="67">
        <f>'6 - B1'!G59</f>
        <v>13884</v>
      </c>
      <c r="H59" s="67">
        <f>'6 - B1'!H59</f>
        <v>14642</v>
      </c>
      <c r="I59" s="67">
        <f>'6 - B1'!I59</f>
        <v>14609</v>
      </c>
      <c r="J59" s="67">
        <f>'6 - B1'!J59</f>
        <v>14423</v>
      </c>
      <c r="K59" s="67">
        <f>'6 - B1'!K59</f>
        <v>15155</v>
      </c>
      <c r="L59" s="67">
        <f>'6 - B1'!L59</f>
        <v>13884</v>
      </c>
      <c r="M59" s="67">
        <f>'6 - B1'!M59</f>
        <v>14642</v>
      </c>
      <c r="N59" s="67">
        <f>'6 - B1'!N59</f>
        <v>14609</v>
      </c>
      <c r="O59" s="67">
        <f>'6 - B1'!O59</f>
        <v>14423</v>
      </c>
      <c r="P59" s="67">
        <f>'6 - B1'!P59</f>
        <v>15155</v>
      </c>
    </row>
    <row r="60" spans="1:16" x14ac:dyDescent="0.35">
      <c r="A60" s="67">
        <f>'6 - B1'!A60</f>
        <v>11</v>
      </c>
      <c r="B60" s="67">
        <f>'6 - B1'!B60</f>
        <v>11681</v>
      </c>
      <c r="C60" s="67">
        <f>'6 - B1'!C60</f>
        <v>12355</v>
      </c>
      <c r="D60" s="67">
        <f>'6 - B1'!D60</f>
        <v>12214</v>
      </c>
      <c r="E60" s="67">
        <f>'6 - B1'!E60</f>
        <v>12103</v>
      </c>
      <c r="F60" s="67">
        <f>'6 - B1'!F60</f>
        <v>12719</v>
      </c>
      <c r="G60" s="67">
        <f>'6 - B1'!G60</f>
        <v>11681</v>
      </c>
      <c r="H60" s="67">
        <f>'6 - B1'!H60</f>
        <v>12355</v>
      </c>
      <c r="I60" s="67">
        <f>'6 - B1'!I60</f>
        <v>12214</v>
      </c>
      <c r="J60" s="67">
        <f>'6 - B1'!J60</f>
        <v>12103</v>
      </c>
      <c r="K60" s="67">
        <f>'6 - B1'!K60</f>
        <v>12719</v>
      </c>
      <c r="L60" s="67">
        <f>'6 - B1'!L60</f>
        <v>11681</v>
      </c>
      <c r="M60" s="67">
        <f>'6 - B1'!M60</f>
        <v>12355</v>
      </c>
      <c r="N60" s="67">
        <f>'6 - B1'!N60</f>
        <v>12214</v>
      </c>
      <c r="O60" s="67">
        <f>'6 - B1'!O60</f>
        <v>12103</v>
      </c>
      <c r="P60" s="67">
        <f>'6 - B1'!P60</f>
        <v>12719</v>
      </c>
    </row>
    <row r="61" spans="1:16" x14ac:dyDescent="0.35">
      <c r="A61" s="67">
        <f>'6 - B1'!A61</f>
        <v>12</v>
      </c>
      <c r="B61" s="67">
        <f>'6 - B1'!B61</f>
        <v>9677</v>
      </c>
      <c r="C61" s="67">
        <f>'6 - B1'!C61</f>
        <v>10171</v>
      </c>
      <c r="D61" s="67">
        <f>'6 - B1'!D61</f>
        <v>10095</v>
      </c>
      <c r="E61" s="67">
        <f>'6 - B1'!E61</f>
        <v>10043</v>
      </c>
      <c r="F61" s="67">
        <f>'6 - B1'!F61</f>
        <v>10539</v>
      </c>
      <c r="G61" s="67">
        <f>'6 - B1'!G61</f>
        <v>9677</v>
      </c>
      <c r="H61" s="67">
        <f>'6 - B1'!H61</f>
        <v>10171</v>
      </c>
      <c r="I61" s="67">
        <f>'6 - B1'!I61</f>
        <v>10095</v>
      </c>
      <c r="J61" s="67">
        <f>'6 - B1'!J61</f>
        <v>10043</v>
      </c>
      <c r="K61" s="67">
        <f>'6 - B1'!K61</f>
        <v>10539</v>
      </c>
      <c r="L61" s="67">
        <f>'6 - B1'!L61</f>
        <v>9677</v>
      </c>
      <c r="M61" s="67">
        <f>'6 - B1'!M61</f>
        <v>10171</v>
      </c>
      <c r="N61" s="67">
        <f>'6 - B1'!N61</f>
        <v>10095</v>
      </c>
      <c r="O61" s="67">
        <f>'6 - B1'!O61</f>
        <v>10043</v>
      </c>
      <c r="P61" s="67">
        <f>'6 - B1'!P61</f>
        <v>10539</v>
      </c>
    </row>
    <row r="62" spans="1:16" x14ac:dyDescent="0.35">
      <c r="A62" s="67">
        <f>'6 - B1'!A62</f>
        <v>13</v>
      </c>
      <c r="B62" s="67">
        <f>'6 - B1'!B62</f>
        <v>7889</v>
      </c>
      <c r="C62" s="67">
        <f>'6 - B1'!C62</f>
        <v>8326</v>
      </c>
      <c r="D62" s="67">
        <f>'6 - B1'!D62</f>
        <v>8295</v>
      </c>
      <c r="E62" s="67">
        <f>'6 - B1'!E62</f>
        <v>8274</v>
      </c>
      <c r="F62" s="67">
        <f>'6 - B1'!F62</f>
        <v>8569</v>
      </c>
      <c r="G62" s="67">
        <f>'6 - B1'!G62</f>
        <v>7889</v>
      </c>
      <c r="H62" s="67">
        <f>'6 - B1'!H62</f>
        <v>8326</v>
      </c>
      <c r="I62" s="67">
        <f>'6 - B1'!I62</f>
        <v>8295</v>
      </c>
      <c r="J62" s="67">
        <f>'6 - B1'!J62</f>
        <v>8274</v>
      </c>
      <c r="K62" s="67">
        <f>'6 - B1'!K62</f>
        <v>8569</v>
      </c>
      <c r="L62" s="67">
        <f>'6 - B1'!L62</f>
        <v>7889</v>
      </c>
      <c r="M62" s="67">
        <f>'6 - B1'!M62</f>
        <v>8326</v>
      </c>
      <c r="N62" s="67">
        <f>'6 - B1'!N62</f>
        <v>8295</v>
      </c>
      <c r="O62" s="67">
        <f>'6 - B1'!O62</f>
        <v>8274</v>
      </c>
      <c r="P62" s="67">
        <f>'6 - B1'!P62</f>
        <v>8569</v>
      </c>
    </row>
    <row r="63" spans="1:16" x14ac:dyDescent="0.35">
      <c r="A63" s="67">
        <f>'6 - B1'!A63</f>
        <v>14</v>
      </c>
      <c r="B63" s="67">
        <f>'6 - B1'!B63</f>
        <v>6361</v>
      </c>
      <c r="C63" s="67">
        <f>'6 - B1'!C63</f>
        <v>6689</v>
      </c>
      <c r="D63" s="67">
        <f>'6 - B1'!D63</f>
        <v>6712</v>
      </c>
      <c r="E63" s="67">
        <f>'6 - B1'!E63</f>
        <v>6696</v>
      </c>
      <c r="F63" s="67">
        <f>'6 - B1'!F63</f>
        <v>6873</v>
      </c>
      <c r="G63" s="67">
        <f>'6 - B1'!G63</f>
        <v>6361</v>
      </c>
      <c r="H63" s="67">
        <f>'6 - B1'!H63</f>
        <v>6689</v>
      </c>
      <c r="I63" s="67">
        <f>'6 - B1'!I63</f>
        <v>6712</v>
      </c>
      <c r="J63" s="67">
        <f>'6 - B1'!J63</f>
        <v>6696</v>
      </c>
      <c r="K63" s="67">
        <f>'6 - B1'!K63</f>
        <v>6873</v>
      </c>
      <c r="L63" s="67">
        <f>'6 - B1'!L63</f>
        <v>6361</v>
      </c>
      <c r="M63" s="67">
        <f>'6 - B1'!M63</f>
        <v>6689</v>
      </c>
      <c r="N63" s="67">
        <f>'6 - B1'!N63</f>
        <v>6712</v>
      </c>
      <c r="O63" s="67">
        <f>'6 - B1'!O63</f>
        <v>6696</v>
      </c>
      <c r="P63" s="67">
        <f>'6 - B1'!P63</f>
        <v>6873</v>
      </c>
    </row>
    <row r="64" spans="1:16" x14ac:dyDescent="0.35">
      <c r="A64" s="67">
        <f>'6 - B1'!A64</f>
        <v>15</v>
      </c>
      <c r="B64" s="67">
        <f>'6 - B1'!B64</f>
        <v>5125</v>
      </c>
      <c r="C64" s="67">
        <f>'6 - B1'!C64</f>
        <v>5339</v>
      </c>
      <c r="D64" s="67">
        <f>'6 - B1'!D64</f>
        <v>5340</v>
      </c>
      <c r="E64" s="67">
        <f>'6 - B1'!E64</f>
        <v>5349</v>
      </c>
      <c r="F64" s="67">
        <f>'6 - B1'!F64</f>
        <v>5366</v>
      </c>
      <c r="G64" s="67">
        <f>'6 - B1'!G64</f>
        <v>5125</v>
      </c>
      <c r="H64" s="67">
        <f>'6 - B1'!H64</f>
        <v>5339</v>
      </c>
      <c r="I64" s="67">
        <f>'6 - B1'!I64</f>
        <v>5340</v>
      </c>
      <c r="J64" s="67">
        <f>'6 - B1'!J64</f>
        <v>5349</v>
      </c>
      <c r="K64" s="67">
        <f>'6 - B1'!K64</f>
        <v>5366</v>
      </c>
      <c r="L64" s="67">
        <f>'6 - B1'!L64</f>
        <v>5125</v>
      </c>
      <c r="M64" s="67">
        <f>'6 - B1'!M64</f>
        <v>5339</v>
      </c>
      <c r="N64" s="67">
        <f>'6 - B1'!N64</f>
        <v>5340</v>
      </c>
      <c r="O64" s="67">
        <f>'6 - B1'!O64</f>
        <v>5349</v>
      </c>
      <c r="P64" s="67">
        <f>'6 - B1'!P64</f>
        <v>5366</v>
      </c>
    </row>
    <row r="65" spans="1:16" x14ac:dyDescent="0.35">
      <c r="A65" s="67">
        <f>'6 - B1'!A65</f>
        <v>16</v>
      </c>
      <c r="B65" s="67">
        <f>'6 - B1'!B65</f>
        <v>4015</v>
      </c>
      <c r="C65" s="67">
        <f>'6 - B1'!C65</f>
        <v>4150</v>
      </c>
      <c r="D65" s="67">
        <f>'6 - B1'!D65</f>
        <v>4155</v>
      </c>
      <c r="E65" s="67">
        <f>'6 - B1'!E65</f>
        <v>4242</v>
      </c>
      <c r="F65" s="67">
        <f>'6 - B1'!F65</f>
        <v>4180</v>
      </c>
      <c r="G65" s="67">
        <f>'6 - B1'!G65</f>
        <v>4015</v>
      </c>
      <c r="H65" s="67">
        <f>'6 - B1'!H65</f>
        <v>4150</v>
      </c>
      <c r="I65" s="67">
        <f>'6 - B1'!I65</f>
        <v>4155</v>
      </c>
      <c r="J65" s="67">
        <f>'6 - B1'!J65</f>
        <v>4242</v>
      </c>
      <c r="K65" s="67">
        <f>'6 - B1'!K65</f>
        <v>4180</v>
      </c>
      <c r="L65" s="67">
        <f>'6 - B1'!L65</f>
        <v>4015</v>
      </c>
      <c r="M65" s="67">
        <f>'6 - B1'!M65</f>
        <v>4150</v>
      </c>
      <c r="N65" s="67">
        <f>'6 - B1'!N65</f>
        <v>4155</v>
      </c>
      <c r="O65" s="67">
        <f>'6 - B1'!O65</f>
        <v>4242</v>
      </c>
      <c r="P65" s="67">
        <f>'6 - B1'!P65</f>
        <v>4180</v>
      </c>
    </row>
    <row r="66" spans="1:16" x14ac:dyDescent="0.35">
      <c r="A66" s="67">
        <f>'6 - B1'!A66</f>
        <v>17</v>
      </c>
      <c r="B66" s="67">
        <f>'6 - B1'!B66</f>
        <v>3097</v>
      </c>
      <c r="C66" s="67">
        <f>'6 - B1'!C66</f>
        <v>3251</v>
      </c>
      <c r="D66" s="67">
        <f>'6 - B1'!D66</f>
        <v>3208</v>
      </c>
      <c r="E66" s="67">
        <f>'6 - B1'!E66</f>
        <v>3294</v>
      </c>
      <c r="F66" s="67">
        <f>'6 - B1'!F66</f>
        <v>3219</v>
      </c>
      <c r="G66" s="67">
        <f>'6 - B1'!G66</f>
        <v>3097</v>
      </c>
      <c r="H66" s="67">
        <f>'6 - B1'!H66</f>
        <v>3251</v>
      </c>
      <c r="I66" s="67">
        <f>'6 - B1'!I66</f>
        <v>3208</v>
      </c>
      <c r="J66" s="67">
        <f>'6 - B1'!J66</f>
        <v>3294</v>
      </c>
      <c r="K66" s="67">
        <f>'6 - B1'!K66</f>
        <v>3219</v>
      </c>
      <c r="L66" s="67">
        <f>'6 - B1'!L66</f>
        <v>3097</v>
      </c>
      <c r="M66" s="67">
        <f>'6 - B1'!M66</f>
        <v>3251</v>
      </c>
      <c r="N66" s="67">
        <f>'6 - B1'!N66</f>
        <v>3208</v>
      </c>
      <c r="O66" s="67">
        <f>'6 - B1'!O66</f>
        <v>3294</v>
      </c>
      <c r="P66" s="67">
        <f>'6 - B1'!P66</f>
        <v>3219</v>
      </c>
    </row>
    <row r="67" spans="1:16" x14ac:dyDescent="0.35">
      <c r="A67" s="67">
        <f>'6 - B1'!A67</f>
        <v>18</v>
      </c>
      <c r="B67" s="67">
        <f>'6 - B1'!B67</f>
        <v>2402</v>
      </c>
      <c r="C67" s="67">
        <f>'6 - B1'!C67</f>
        <v>2533</v>
      </c>
      <c r="D67" s="67">
        <f>'6 - B1'!D67</f>
        <v>2504</v>
      </c>
      <c r="E67" s="67">
        <f>'6 - B1'!E67</f>
        <v>2554</v>
      </c>
      <c r="F67" s="67">
        <f>'6 - B1'!F67</f>
        <v>2497</v>
      </c>
      <c r="G67" s="67">
        <f>'6 - B1'!G67</f>
        <v>2402</v>
      </c>
      <c r="H67" s="67">
        <f>'6 - B1'!H67</f>
        <v>2533</v>
      </c>
      <c r="I67" s="67">
        <f>'6 - B1'!I67</f>
        <v>2504</v>
      </c>
      <c r="J67" s="67">
        <f>'6 - B1'!J67</f>
        <v>2554</v>
      </c>
      <c r="K67" s="67">
        <f>'6 - B1'!K67</f>
        <v>2497</v>
      </c>
      <c r="L67" s="67">
        <f>'6 - B1'!L67</f>
        <v>2402</v>
      </c>
      <c r="M67" s="67">
        <f>'6 - B1'!M67</f>
        <v>2533</v>
      </c>
      <c r="N67" s="67">
        <f>'6 - B1'!N67</f>
        <v>2504</v>
      </c>
      <c r="O67" s="67">
        <f>'6 - B1'!O67</f>
        <v>2554</v>
      </c>
      <c r="P67" s="67">
        <f>'6 - B1'!P67</f>
        <v>2497</v>
      </c>
    </row>
    <row r="68" spans="1:16" x14ac:dyDescent="0.35">
      <c r="A68" s="67">
        <f>'6 - B1'!A68</f>
        <v>19</v>
      </c>
      <c r="B68" s="67">
        <f>'6 - B1'!B68</f>
        <v>1837</v>
      </c>
      <c r="C68" s="67">
        <f>'6 - B1'!C68</f>
        <v>2003</v>
      </c>
      <c r="D68" s="67">
        <f>'6 - B1'!D68</f>
        <v>1940</v>
      </c>
      <c r="E68" s="67">
        <f>'6 - B1'!E68</f>
        <v>1978</v>
      </c>
      <c r="F68" s="67">
        <f>'6 - B1'!F68</f>
        <v>1926</v>
      </c>
      <c r="G68" s="67">
        <f>'6 - B1'!G68</f>
        <v>1837</v>
      </c>
      <c r="H68" s="67">
        <f>'6 - B1'!H68</f>
        <v>2003</v>
      </c>
      <c r="I68" s="67">
        <f>'6 - B1'!I68</f>
        <v>1940</v>
      </c>
      <c r="J68" s="67">
        <f>'6 - B1'!J68</f>
        <v>1978</v>
      </c>
      <c r="K68" s="67">
        <f>'6 - B1'!K68</f>
        <v>1926</v>
      </c>
      <c r="L68" s="67">
        <f>'6 - B1'!L68</f>
        <v>1837</v>
      </c>
      <c r="M68" s="67">
        <f>'6 - B1'!M68</f>
        <v>2003</v>
      </c>
      <c r="N68" s="67">
        <f>'6 - B1'!N68</f>
        <v>1940</v>
      </c>
      <c r="O68" s="67">
        <f>'6 - B1'!O68</f>
        <v>1978</v>
      </c>
      <c r="P68" s="67">
        <f>'6 - B1'!P68</f>
        <v>1926</v>
      </c>
    </row>
    <row r="69" spans="1:16" x14ac:dyDescent="0.35">
      <c r="A69" s="67">
        <f>'6 - B1'!A69</f>
        <v>20</v>
      </c>
      <c r="B69" s="67">
        <f>'6 - B1'!B69</f>
        <v>1420</v>
      </c>
      <c r="C69" s="67">
        <f>'6 - B1'!C69</f>
        <v>1549</v>
      </c>
      <c r="D69" s="67">
        <f>'6 - B1'!D69</f>
        <v>1530</v>
      </c>
      <c r="E69" s="67">
        <f>'6 - B1'!E69</f>
        <v>1520</v>
      </c>
      <c r="F69" s="67">
        <f>'6 - B1'!F69</f>
        <v>1499</v>
      </c>
      <c r="G69" s="67">
        <f>'6 - B1'!G69</f>
        <v>1420</v>
      </c>
      <c r="H69" s="67">
        <f>'6 - B1'!H69</f>
        <v>1549</v>
      </c>
      <c r="I69" s="67">
        <f>'6 - B1'!I69</f>
        <v>1530</v>
      </c>
      <c r="J69" s="67">
        <f>'6 - B1'!J69</f>
        <v>1520</v>
      </c>
      <c r="K69" s="67">
        <f>'6 - B1'!K69</f>
        <v>1499</v>
      </c>
      <c r="L69" s="67">
        <f>'6 - B1'!L69</f>
        <v>1420</v>
      </c>
      <c r="M69" s="67">
        <f>'6 - B1'!M69</f>
        <v>1549</v>
      </c>
      <c r="N69" s="67">
        <f>'6 - B1'!N69</f>
        <v>1530</v>
      </c>
      <c r="O69" s="67">
        <f>'6 - B1'!O69</f>
        <v>1520</v>
      </c>
      <c r="P69" s="67">
        <f>'6 - B1'!P69</f>
        <v>1499</v>
      </c>
    </row>
    <row r="70" spans="1:16" x14ac:dyDescent="0.35">
      <c r="A70" s="67">
        <f>'6 - B1'!A70</f>
        <v>21</v>
      </c>
      <c r="B70" s="67">
        <f>'6 - B1'!B70</f>
        <v>1139</v>
      </c>
      <c r="C70" s="67">
        <f>'6 - B1'!C70</f>
        <v>1222</v>
      </c>
      <c r="D70" s="67">
        <f>'6 - B1'!D70</f>
        <v>1204</v>
      </c>
      <c r="E70" s="67">
        <f>'6 - B1'!E70</f>
        <v>1213</v>
      </c>
      <c r="F70" s="67">
        <f>'6 - B1'!F70</f>
        <v>1183</v>
      </c>
      <c r="G70" s="67">
        <f>'6 - B1'!G70</f>
        <v>1139</v>
      </c>
      <c r="H70" s="67">
        <f>'6 - B1'!H70</f>
        <v>1222</v>
      </c>
      <c r="I70" s="67">
        <f>'6 - B1'!I70</f>
        <v>1204</v>
      </c>
      <c r="J70" s="67">
        <f>'6 - B1'!J70</f>
        <v>1213</v>
      </c>
      <c r="K70" s="67">
        <f>'6 - B1'!K70</f>
        <v>1183</v>
      </c>
      <c r="L70" s="67">
        <f>'6 - B1'!L70</f>
        <v>1139</v>
      </c>
      <c r="M70" s="67">
        <f>'6 - B1'!M70</f>
        <v>1222</v>
      </c>
      <c r="N70" s="67">
        <f>'6 - B1'!N70</f>
        <v>1204</v>
      </c>
      <c r="O70" s="67">
        <f>'6 - B1'!O70</f>
        <v>1213</v>
      </c>
      <c r="P70" s="67">
        <f>'6 - B1'!P70</f>
        <v>1183</v>
      </c>
    </row>
    <row r="71" spans="1:16" x14ac:dyDescent="0.35">
      <c r="A71" s="67">
        <f>'6 - B1'!A71</f>
        <v>22</v>
      </c>
      <c r="B71" s="67">
        <f>'6 - B1'!B71</f>
        <v>882</v>
      </c>
      <c r="C71" s="67">
        <f>'6 - B1'!C71</f>
        <v>961</v>
      </c>
      <c r="D71" s="67">
        <f>'6 - B1'!D71</f>
        <v>938</v>
      </c>
      <c r="E71" s="67">
        <f>'6 - B1'!E71</f>
        <v>938</v>
      </c>
      <c r="F71" s="67">
        <f>'6 - B1'!F71</f>
        <v>905</v>
      </c>
      <c r="G71" s="67">
        <f>'6 - B1'!G71</f>
        <v>882</v>
      </c>
      <c r="H71" s="67">
        <f>'6 - B1'!H71</f>
        <v>961</v>
      </c>
      <c r="I71" s="67">
        <f>'6 - B1'!I71</f>
        <v>938</v>
      </c>
      <c r="J71" s="67">
        <f>'6 - B1'!J71</f>
        <v>938</v>
      </c>
      <c r="K71" s="67">
        <f>'6 - B1'!K71</f>
        <v>905</v>
      </c>
      <c r="L71" s="67">
        <f>'6 - B1'!L71</f>
        <v>882</v>
      </c>
      <c r="M71" s="67">
        <f>'6 - B1'!M71</f>
        <v>961</v>
      </c>
      <c r="N71" s="67">
        <f>'6 - B1'!N71</f>
        <v>938</v>
      </c>
      <c r="O71" s="67">
        <f>'6 - B1'!O71</f>
        <v>938</v>
      </c>
      <c r="P71" s="67">
        <f>'6 - B1'!P71</f>
        <v>905</v>
      </c>
    </row>
    <row r="72" spans="1:16" x14ac:dyDescent="0.35">
      <c r="A72" s="67">
        <f>'6 - B1'!A72</f>
        <v>23</v>
      </c>
      <c r="B72" s="67">
        <f>'6 - B1'!B72</f>
        <v>675</v>
      </c>
      <c r="C72" s="67">
        <f>'6 - B1'!C72</f>
        <v>755</v>
      </c>
      <c r="D72" s="67">
        <f>'6 - B1'!D72</f>
        <v>721</v>
      </c>
      <c r="E72" s="67">
        <f>'6 - B1'!E72</f>
        <v>725</v>
      </c>
      <c r="F72" s="67">
        <f>'6 - B1'!F72</f>
        <v>687</v>
      </c>
      <c r="G72" s="67">
        <f>'6 - B1'!G72</f>
        <v>675</v>
      </c>
      <c r="H72" s="67">
        <f>'6 - B1'!H72</f>
        <v>755</v>
      </c>
      <c r="I72" s="67">
        <f>'6 - B1'!I72</f>
        <v>721</v>
      </c>
      <c r="J72" s="67">
        <f>'6 - B1'!J72</f>
        <v>725</v>
      </c>
      <c r="K72" s="67">
        <f>'6 - B1'!K72</f>
        <v>687</v>
      </c>
      <c r="L72" s="67">
        <f>'6 - B1'!L72</f>
        <v>675</v>
      </c>
      <c r="M72" s="67">
        <f>'6 - B1'!M72</f>
        <v>755</v>
      </c>
      <c r="N72" s="67">
        <f>'6 - B1'!N72</f>
        <v>721</v>
      </c>
      <c r="O72" s="67">
        <f>'6 - B1'!O72</f>
        <v>725</v>
      </c>
      <c r="P72" s="67">
        <f>'6 - B1'!P72</f>
        <v>687</v>
      </c>
    </row>
    <row r="73" spans="1:16" x14ac:dyDescent="0.35">
      <c r="A73" s="67">
        <f>'6 - B1'!A73</f>
        <v>24</v>
      </c>
      <c r="B73" s="67">
        <f>'6 - B1'!B73</f>
        <v>546</v>
      </c>
      <c r="C73" s="67">
        <f>'6 - B1'!C73</f>
        <v>596</v>
      </c>
      <c r="D73" s="67">
        <f>'6 - B1'!D73</f>
        <v>578</v>
      </c>
      <c r="E73" s="67">
        <f>'6 - B1'!E73</f>
        <v>585</v>
      </c>
      <c r="F73" s="67">
        <f>'6 - B1'!F73</f>
        <v>530</v>
      </c>
      <c r="G73" s="67">
        <f>'6 - B1'!G73</f>
        <v>546</v>
      </c>
      <c r="H73" s="67">
        <f>'6 - B1'!H73</f>
        <v>596</v>
      </c>
      <c r="I73" s="67">
        <f>'6 - B1'!I73</f>
        <v>578</v>
      </c>
      <c r="J73" s="67">
        <f>'6 - B1'!J73</f>
        <v>585</v>
      </c>
      <c r="K73" s="67">
        <f>'6 - B1'!K73</f>
        <v>530</v>
      </c>
      <c r="L73" s="67">
        <f>'6 - B1'!L73</f>
        <v>546</v>
      </c>
      <c r="M73" s="67">
        <f>'6 - B1'!M73</f>
        <v>596</v>
      </c>
      <c r="N73" s="67">
        <f>'6 - B1'!N73</f>
        <v>578</v>
      </c>
      <c r="O73" s="67">
        <f>'6 - B1'!O73</f>
        <v>585</v>
      </c>
      <c r="P73" s="67">
        <f>'6 - B1'!P73</f>
        <v>530</v>
      </c>
    </row>
    <row r="74" spans="1:16" x14ac:dyDescent="0.35">
      <c r="A74" s="67">
        <f>'6 - B1'!A74</f>
        <v>25</v>
      </c>
      <c r="B74" s="67">
        <f>'6 - B1'!B74</f>
        <v>404</v>
      </c>
      <c r="C74" s="67">
        <f>'6 - B1'!C74</f>
        <v>454</v>
      </c>
      <c r="D74" s="67">
        <f>'6 - B1'!D74</f>
        <v>431</v>
      </c>
      <c r="E74" s="67">
        <f>'6 - B1'!E74</f>
        <v>447</v>
      </c>
      <c r="F74" s="67">
        <f>'6 - B1'!F74</f>
        <v>392</v>
      </c>
      <c r="G74" s="67">
        <f>'6 - B1'!G74</f>
        <v>404</v>
      </c>
      <c r="H74" s="67">
        <f>'6 - B1'!H74</f>
        <v>454</v>
      </c>
      <c r="I74" s="67">
        <f>'6 - B1'!I74</f>
        <v>431</v>
      </c>
      <c r="J74" s="67">
        <f>'6 - B1'!J74</f>
        <v>447</v>
      </c>
      <c r="K74" s="67">
        <f>'6 - B1'!K74</f>
        <v>392</v>
      </c>
      <c r="L74" s="67">
        <f>'6 - B1'!L74</f>
        <v>404</v>
      </c>
      <c r="M74" s="67">
        <f>'6 - B1'!M74</f>
        <v>454</v>
      </c>
      <c r="N74" s="67">
        <f>'6 - B1'!N74</f>
        <v>431</v>
      </c>
      <c r="O74" s="67">
        <f>'6 - B1'!O74</f>
        <v>447</v>
      </c>
      <c r="P74" s="67">
        <f>'6 - B1'!P74</f>
        <v>392</v>
      </c>
    </row>
    <row r="75" spans="1:16" x14ac:dyDescent="0.35">
      <c r="A75" s="67">
        <f>'6 - B1'!A75</f>
        <v>26</v>
      </c>
      <c r="B75" s="67">
        <f>'6 - B1'!B75</f>
        <v>305</v>
      </c>
      <c r="C75" s="67">
        <f>'6 - B1'!C75</f>
        <v>352</v>
      </c>
      <c r="D75" s="67">
        <f>'6 - B1'!D75</f>
        <v>333</v>
      </c>
      <c r="E75" s="67">
        <f>'6 - B1'!E75</f>
        <v>337</v>
      </c>
      <c r="F75" s="67">
        <f>'6 - B1'!F75</f>
        <v>282</v>
      </c>
      <c r="G75" s="67">
        <f>'6 - B1'!G75</f>
        <v>305</v>
      </c>
      <c r="H75" s="67">
        <f>'6 - B1'!H75</f>
        <v>352</v>
      </c>
      <c r="I75" s="67">
        <f>'6 - B1'!I75</f>
        <v>333</v>
      </c>
      <c r="J75" s="67">
        <f>'6 - B1'!J75</f>
        <v>337</v>
      </c>
      <c r="K75" s="67">
        <f>'6 - B1'!K75</f>
        <v>282</v>
      </c>
      <c r="L75" s="67">
        <f>'6 - B1'!L75</f>
        <v>305</v>
      </c>
      <c r="M75" s="67">
        <f>'6 - B1'!M75</f>
        <v>352</v>
      </c>
      <c r="N75" s="67">
        <f>'6 - B1'!N75</f>
        <v>333</v>
      </c>
      <c r="O75" s="67">
        <f>'6 - B1'!O75</f>
        <v>337</v>
      </c>
      <c r="P75" s="67">
        <f>'6 - B1'!P75</f>
        <v>282</v>
      </c>
    </row>
    <row r="76" spans="1:16" x14ac:dyDescent="0.35">
      <c r="A76" s="67">
        <f>'6 - B1'!A76</f>
        <v>27</v>
      </c>
      <c r="B76" s="67">
        <f>'6 - B1'!B76</f>
        <v>237</v>
      </c>
      <c r="C76" s="67">
        <f>'6 - B1'!C76</f>
        <v>284</v>
      </c>
      <c r="D76" s="67">
        <f>'6 - B1'!D76</f>
        <v>260</v>
      </c>
      <c r="E76" s="67">
        <f>'6 - B1'!E76</f>
        <v>261</v>
      </c>
      <c r="F76" s="67">
        <f>'6 - B1'!F76</f>
        <v>203</v>
      </c>
      <c r="G76" s="67">
        <f>'6 - B1'!G76</f>
        <v>237</v>
      </c>
      <c r="H76" s="67">
        <f>'6 - B1'!H76</f>
        <v>284</v>
      </c>
      <c r="I76" s="67">
        <f>'6 - B1'!I76</f>
        <v>260</v>
      </c>
      <c r="J76" s="67">
        <f>'6 - B1'!J76</f>
        <v>261</v>
      </c>
      <c r="K76" s="67">
        <f>'6 - B1'!K76</f>
        <v>203</v>
      </c>
      <c r="L76" s="67">
        <f>'6 - B1'!L76</f>
        <v>237</v>
      </c>
      <c r="M76" s="67">
        <f>'6 - B1'!M76</f>
        <v>284</v>
      </c>
      <c r="N76" s="67">
        <f>'6 - B1'!N76</f>
        <v>260</v>
      </c>
      <c r="O76" s="67">
        <f>'6 - B1'!O76</f>
        <v>261</v>
      </c>
      <c r="P76" s="67">
        <f>'6 - B1'!P76</f>
        <v>203</v>
      </c>
    </row>
    <row r="77" spans="1:16" x14ac:dyDescent="0.35">
      <c r="A77" s="67">
        <f>'6 - B1'!A77</f>
        <v>28</v>
      </c>
      <c r="B77" s="67">
        <f>'6 - B1'!B77</f>
        <v>191</v>
      </c>
      <c r="C77" s="67">
        <f>'6 - B1'!C77</f>
        <v>207</v>
      </c>
      <c r="D77" s="67">
        <f>'6 - B1'!D77</f>
        <v>198</v>
      </c>
      <c r="E77" s="67">
        <f>'6 - B1'!E77</f>
        <v>198</v>
      </c>
      <c r="F77" s="67">
        <f>'6 - B1'!F77</f>
        <v>151</v>
      </c>
      <c r="G77" s="67">
        <f>'6 - B1'!G77</f>
        <v>191</v>
      </c>
      <c r="H77" s="67">
        <f>'6 - B1'!H77</f>
        <v>207</v>
      </c>
      <c r="I77" s="67">
        <f>'6 - B1'!I77</f>
        <v>198</v>
      </c>
      <c r="J77" s="67">
        <f>'6 - B1'!J77</f>
        <v>198</v>
      </c>
      <c r="K77" s="67">
        <f>'6 - B1'!K77</f>
        <v>151</v>
      </c>
      <c r="L77" s="67">
        <f>'6 - B1'!L77</f>
        <v>191</v>
      </c>
      <c r="M77" s="67">
        <f>'6 - B1'!M77</f>
        <v>207</v>
      </c>
      <c r="N77" s="67">
        <f>'6 - B1'!N77</f>
        <v>198</v>
      </c>
      <c r="O77" s="67">
        <f>'6 - B1'!O77</f>
        <v>198</v>
      </c>
      <c r="P77" s="67">
        <f>'6 - B1'!P77</f>
        <v>151</v>
      </c>
    </row>
    <row r="78" spans="1:16" x14ac:dyDescent="0.35">
      <c r="A78" s="67">
        <f>'6 - B1'!A78</f>
        <v>29</v>
      </c>
      <c r="B78" s="67">
        <f>'6 - B1'!B78</f>
        <v>131</v>
      </c>
      <c r="C78" s="67">
        <f>'6 - B1'!C78</f>
        <v>158</v>
      </c>
      <c r="D78" s="67">
        <f>'6 - B1'!D78</f>
        <v>148</v>
      </c>
      <c r="E78" s="67">
        <f>'6 - B1'!E78</f>
        <v>146</v>
      </c>
      <c r="F78" s="67">
        <f>'6 - B1'!F78</f>
        <v>116</v>
      </c>
      <c r="G78" s="67">
        <f>'6 - B1'!G78</f>
        <v>131</v>
      </c>
      <c r="H78" s="67">
        <f>'6 - B1'!H78</f>
        <v>158</v>
      </c>
      <c r="I78" s="67">
        <f>'6 - B1'!I78</f>
        <v>148</v>
      </c>
      <c r="J78" s="67">
        <f>'6 - B1'!J78</f>
        <v>146</v>
      </c>
      <c r="K78" s="67">
        <f>'6 - B1'!K78</f>
        <v>116</v>
      </c>
      <c r="L78" s="67">
        <f>'6 - B1'!L78</f>
        <v>131</v>
      </c>
      <c r="M78" s="67">
        <f>'6 - B1'!M78</f>
        <v>158</v>
      </c>
      <c r="N78" s="67">
        <f>'6 - B1'!N78</f>
        <v>148</v>
      </c>
      <c r="O78" s="67">
        <f>'6 - B1'!O78</f>
        <v>146</v>
      </c>
      <c r="P78" s="67">
        <f>'6 - B1'!P78</f>
        <v>116</v>
      </c>
    </row>
    <row r="79" spans="1:16" x14ac:dyDescent="0.35">
      <c r="A79" s="67">
        <f>'6 - B1'!A79</f>
        <v>30</v>
      </c>
      <c r="B79" s="67">
        <f>'6 - B1'!B79</f>
        <v>88</v>
      </c>
      <c r="C79" s="67">
        <f>'6 - B1'!C79</f>
        <v>120</v>
      </c>
      <c r="D79" s="67">
        <f>'6 - B1'!D79</f>
        <v>113</v>
      </c>
      <c r="E79" s="67">
        <f>'6 - B1'!E79</f>
        <v>102</v>
      </c>
      <c r="F79" s="67">
        <f>'6 - B1'!F79</f>
        <v>80</v>
      </c>
      <c r="G79" s="67">
        <f>'6 - B1'!G79</f>
        <v>88</v>
      </c>
      <c r="H79" s="67">
        <f>'6 - B1'!H79</f>
        <v>120</v>
      </c>
      <c r="I79" s="67">
        <f>'6 - B1'!I79</f>
        <v>113</v>
      </c>
      <c r="J79" s="67">
        <f>'6 - B1'!J79</f>
        <v>102</v>
      </c>
      <c r="K79" s="70">
        <f>'6 - B1'!K79</f>
        <v>80</v>
      </c>
      <c r="L79" s="67">
        <f>'6 - B1'!L79</f>
        <v>88</v>
      </c>
      <c r="M79" s="67">
        <f>'6 - B1'!M79</f>
        <v>120</v>
      </c>
      <c r="N79" s="67">
        <f>'6 - B1'!N79</f>
        <v>113</v>
      </c>
      <c r="O79" s="67">
        <f>'6 - B1'!O79</f>
        <v>102</v>
      </c>
      <c r="P79" s="67">
        <f>'6 - B1'!P79</f>
        <v>80</v>
      </c>
    </row>
    <row r="80" spans="1:16" x14ac:dyDescent="0.35">
      <c r="A80" s="67">
        <f>'6 - B1'!A80</f>
        <v>38</v>
      </c>
      <c r="B80" s="67">
        <f>'6 - B1'!B80</f>
        <v>66</v>
      </c>
      <c r="C80" s="67">
        <f>'6 - B1'!C80</f>
        <v>91</v>
      </c>
      <c r="D80" s="67">
        <f>'6 - B1'!D80</f>
        <v>85</v>
      </c>
      <c r="E80" s="67">
        <f>'6 - B1'!E80</f>
        <v>75</v>
      </c>
      <c r="F80" s="67">
        <f>'6 - B1'!F80</f>
        <v>54</v>
      </c>
      <c r="G80" s="67">
        <f>'6 - B1'!G80</f>
        <v>66</v>
      </c>
      <c r="H80" s="67">
        <f>'6 - B1'!H80</f>
        <v>91</v>
      </c>
      <c r="I80" s="67">
        <f>'6 - B1'!I80</f>
        <v>85</v>
      </c>
      <c r="J80" s="67">
        <f>'6 - B1'!J80</f>
        <v>75</v>
      </c>
      <c r="K80" s="67">
        <f>'6 - B1'!K80</f>
        <v>54</v>
      </c>
      <c r="L80" s="67">
        <f>'6 - B1'!L80</f>
        <v>66</v>
      </c>
      <c r="M80" s="67">
        <f>'6 - B1'!M80</f>
        <v>91</v>
      </c>
      <c r="N80" s="67">
        <f>'6 - B1'!N80</f>
        <v>85</v>
      </c>
      <c r="O80" s="67">
        <f>'6 - B1'!O80</f>
        <v>75</v>
      </c>
      <c r="P80" s="67">
        <f>'6 - B1'!P80</f>
        <v>54</v>
      </c>
    </row>
    <row r="81" spans="1:16" x14ac:dyDescent="0.35">
      <c r="A81" s="67">
        <f>'6 - B1'!A81</f>
        <v>50</v>
      </c>
      <c r="B81" s="67">
        <f>'6 - B1'!B81</f>
        <v>48</v>
      </c>
      <c r="C81" s="67">
        <f>'6 - B1'!C81</f>
        <v>67</v>
      </c>
      <c r="D81" s="67">
        <f>'6 - B1'!D81</f>
        <v>64</v>
      </c>
      <c r="E81" s="67">
        <f>'6 - B1'!E81</f>
        <v>51</v>
      </c>
      <c r="F81" s="67">
        <f>'6 - B1'!F81</f>
        <v>34</v>
      </c>
      <c r="G81" s="67">
        <f>'6 - B1'!G81</f>
        <v>48</v>
      </c>
      <c r="H81" s="67">
        <f>'6 - B1'!H81</f>
        <v>67</v>
      </c>
      <c r="I81" s="67">
        <f>'6 - B1'!I81</f>
        <v>64</v>
      </c>
      <c r="J81" s="67">
        <f>'6 - B1'!J81</f>
        <v>51</v>
      </c>
      <c r="K81" s="67">
        <f>'6 - B1'!K81</f>
        <v>34</v>
      </c>
      <c r="L81" s="67">
        <f>'6 - B1'!L81</f>
        <v>48</v>
      </c>
      <c r="M81" s="67">
        <f>'6 - B1'!M81</f>
        <v>67</v>
      </c>
      <c r="N81" s="67">
        <f>'6 - B1'!N81</f>
        <v>64</v>
      </c>
      <c r="O81" s="67">
        <f>'6 - B1'!O81</f>
        <v>51</v>
      </c>
      <c r="P81" s="67">
        <f>'6 - B1'!P81</f>
        <v>34</v>
      </c>
    </row>
    <row r="82" spans="1:16" x14ac:dyDescent="0.35">
      <c r="A82" s="67">
        <f>'6 - B1'!A82</f>
        <v>70</v>
      </c>
      <c r="B82" s="67">
        <f>'6 - B1'!B82</f>
        <v>35</v>
      </c>
      <c r="C82" s="67">
        <f>'6 - B1'!C82</f>
        <v>47</v>
      </c>
      <c r="D82" s="67">
        <f>'6 - B1'!D82</f>
        <v>41</v>
      </c>
      <c r="E82" s="67">
        <f>'6 - B1'!E82</f>
        <v>38</v>
      </c>
      <c r="F82" s="67">
        <f>'6 - B1'!F82</f>
        <v>27</v>
      </c>
      <c r="G82" s="67">
        <f>'6 - B1'!G82</f>
        <v>35</v>
      </c>
      <c r="H82" s="67">
        <f>'6 - B1'!H82</f>
        <v>47</v>
      </c>
      <c r="I82" s="67">
        <f>'6 - B1'!I82</f>
        <v>41</v>
      </c>
      <c r="J82" s="67">
        <f>'6 - B1'!J82</f>
        <v>38</v>
      </c>
      <c r="K82" s="67">
        <f>'6 - B1'!K82</f>
        <v>27</v>
      </c>
      <c r="L82" s="67">
        <f>'6 - B1'!L82</f>
        <v>35</v>
      </c>
      <c r="M82" s="67">
        <f>'6 - B1'!M82</f>
        <v>47</v>
      </c>
      <c r="N82" s="67">
        <f>'6 - B1'!N82</f>
        <v>41</v>
      </c>
      <c r="O82" s="67">
        <f>'6 - B1'!O82</f>
        <v>38</v>
      </c>
      <c r="P82" s="67">
        <f>'6 - B1'!P82</f>
        <v>27</v>
      </c>
    </row>
  </sheetData>
  <conditionalFormatting sqref="H9:H40">
    <cfRule type="cellIs" dxfId="1" priority="1" operator="greaterThan">
      <formula>1000</formula>
    </cfRule>
  </conditionalFormatting>
  <conditionalFormatting sqref="K9:K40">
    <cfRule type="cellIs" dxfId="0" priority="2" operator="lessThan">
      <formula>J11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/>
  <headerFooter>
    <oddHeader>&amp;CISO11171:2020 Summary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64B3-A6B2-4594-8B08-FC8E6CBC2C38}">
  <sheetPr codeName="Sheet8"/>
  <dimension ref="A1:AN72"/>
  <sheetViews>
    <sheetView zoomScale="85" zoomScaleNormal="85" workbookViewId="0">
      <selection activeCell="H16" sqref="H16"/>
    </sheetView>
  </sheetViews>
  <sheetFormatPr defaultColWidth="11.53125" defaultRowHeight="12.75" x14ac:dyDescent="0.35"/>
  <cols>
    <col min="11" max="11" width="27.6640625" customWidth="1"/>
    <col min="12" max="12" width="15.3984375" customWidth="1"/>
  </cols>
  <sheetData>
    <row r="1" spans="1:16" ht="37.25" customHeight="1" x14ac:dyDescent="0.7">
      <c r="B1" s="71"/>
      <c r="K1" s="89"/>
      <c r="L1" s="89"/>
      <c r="M1" s="89"/>
      <c r="N1" s="89"/>
      <c r="O1" s="89"/>
    </row>
    <row r="2" spans="1:16" ht="52.15" x14ac:dyDescent="0.5">
      <c r="B2" s="72" t="s">
        <v>113</v>
      </c>
      <c r="C2" s="72" t="s">
        <v>114</v>
      </c>
      <c r="D2" s="72" t="s">
        <v>115</v>
      </c>
      <c r="E2" s="72" t="s">
        <v>116</v>
      </c>
      <c r="F2" s="73" t="s">
        <v>117</v>
      </c>
      <c r="G2" s="74" t="s">
        <v>67</v>
      </c>
      <c r="H2" s="75" t="s">
        <v>118</v>
      </c>
      <c r="K2" s="76" t="s">
        <v>119</v>
      </c>
      <c r="L2" s="77" t="s">
        <v>120</v>
      </c>
      <c r="M2" s="77" t="s">
        <v>121</v>
      </c>
      <c r="O2" s="15"/>
      <c r="P2" s="15"/>
    </row>
    <row r="3" spans="1:16" ht="26.25" x14ac:dyDescent="0.45">
      <c r="B3" s="73" t="s">
        <v>122</v>
      </c>
      <c r="C3" s="73" t="s">
        <v>122</v>
      </c>
      <c r="D3" s="73" t="s">
        <v>122</v>
      </c>
      <c r="E3" s="73" t="s">
        <v>122</v>
      </c>
      <c r="F3" s="73"/>
      <c r="G3" s="78" t="s">
        <v>123</v>
      </c>
      <c r="H3" s="78" t="s">
        <v>124</v>
      </c>
      <c r="K3" s="79" t="s">
        <v>125</v>
      </c>
      <c r="L3" s="77" t="str">
        <f>"/ml"</f>
        <v>/ml</v>
      </c>
      <c r="M3" s="77"/>
      <c r="O3" s="80"/>
      <c r="P3" s="81"/>
    </row>
    <row r="4" spans="1:16" ht="13.15" x14ac:dyDescent="0.4">
      <c r="A4">
        <v>30</v>
      </c>
      <c r="B4" s="33">
        <f>'6 - B1'!$L38</f>
        <v>14.583276879577152</v>
      </c>
      <c r="C4" s="33">
        <f>'6 - B2'!$L38</f>
        <v>14.574867532091474</v>
      </c>
      <c r="D4" s="33">
        <f>'6 - B3'!$L38</f>
        <v>14.53701356921502</v>
      </c>
      <c r="E4" s="82">
        <f t="shared" ref="E4:E33" si="0">AVERAGE(B4:D4)</f>
        <v>14.565052660294549</v>
      </c>
      <c r="F4" s="22">
        <f>'Clause 6'!D19</f>
        <v>14000.000000000007</v>
      </c>
      <c r="G4">
        <f>'6 - B1'!$M38+'6 - B2'!$M38+'6 - B3'!$M38</f>
        <v>15</v>
      </c>
      <c r="H4" s="33">
        <f>STDEVP('6 - B1'!$B38:F38,'6 - B2'!B38:F38,'6 - B3'!B38:F38)/SQRT(G4)</f>
        <v>0.19335110131186978</v>
      </c>
      <c r="K4" s="83">
        <v>4</v>
      </c>
      <c r="L4" s="84">
        <v>10750.3</v>
      </c>
      <c r="M4" s="85" t="e">
        <f t="shared" ref="M4:M9" ca="1" si="1">CubicSpline(L4,$E$4:$E$33,$F$4:$F$33)</f>
        <v>#NAME?</v>
      </c>
    </row>
    <row r="5" spans="1:16" ht="13.15" x14ac:dyDescent="0.4">
      <c r="A5">
        <v>29</v>
      </c>
      <c r="B5" s="33">
        <f>'6 - B1'!$L37</f>
        <v>20.476954030427553</v>
      </c>
      <c r="C5" s="33">
        <f>'6 - B2'!$L37</f>
        <v>20.46514613407394</v>
      </c>
      <c r="D5" s="33">
        <f>'6 - B3'!$L37</f>
        <v>20.411993892359583</v>
      </c>
      <c r="E5" s="86">
        <f t="shared" si="0"/>
        <v>20.451364685620359</v>
      </c>
      <c r="F5" s="22">
        <f>'Clause 6'!D20</f>
        <v>12012.214176132095</v>
      </c>
      <c r="G5">
        <f>'6 - B1'!$M37+'6 - B2'!$M37+'6 - B3'!$M37</f>
        <v>15</v>
      </c>
      <c r="H5" s="33">
        <f>STDEVP('6 - B1'!$B37:F37,'6 - B2'!B37:F37,'6 - B3'!B37:F37)/SQRT(G5)</f>
        <v>0.34897867559538243</v>
      </c>
      <c r="K5" s="83">
        <v>5</v>
      </c>
      <c r="L5" s="84">
        <v>7121.1</v>
      </c>
      <c r="M5" s="85" t="e">
        <f t="shared" ca="1" si="1"/>
        <v>#NAME?</v>
      </c>
    </row>
    <row r="6" spans="1:16" ht="13.15" x14ac:dyDescent="0.4">
      <c r="A6">
        <v>28</v>
      </c>
      <c r="B6" s="33">
        <f>'6 - B1'!$L36</f>
        <v>28.768243927122494</v>
      </c>
      <c r="C6" s="33">
        <f>'6 - B2'!$L36</f>
        <v>28.751654914808348</v>
      </c>
      <c r="D6" s="33">
        <f>'6 - B3'!$L36</f>
        <v>28.676980886012863</v>
      </c>
      <c r="E6" s="86">
        <f t="shared" si="0"/>
        <v>28.732293242647899</v>
      </c>
      <c r="F6" s="22">
        <f>'Clause 6'!D21</f>
        <v>10306.663529519199</v>
      </c>
      <c r="G6">
        <f>'6 - B1'!$M36+'6 - B2'!$M36+'6 - B3'!$M36</f>
        <v>15</v>
      </c>
      <c r="H6" s="33">
        <f>STDEVP('6 - B1'!$B36:F36,'6 - B2'!B36:F36,'6 - B3'!B36:F36)/SQRT(G6)</f>
        <v>0.38278067443063152</v>
      </c>
      <c r="K6" s="83">
        <v>6</v>
      </c>
      <c r="L6" s="84">
        <v>4729.1000000000004</v>
      </c>
      <c r="M6" s="85" t="e">
        <f t="shared" ca="1" si="1"/>
        <v>#NAME?</v>
      </c>
    </row>
    <row r="7" spans="1:16" ht="13.15" x14ac:dyDescent="0.4">
      <c r="A7">
        <v>27</v>
      </c>
      <c r="B7" s="33">
        <f>'6 - B1'!$L35</f>
        <v>38.996945928845008</v>
      </c>
      <c r="C7" s="33">
        <f>'6 - B2'!$L35</f>
        <v>38.974458605049144</v>
      </c>
      <c r="D7" s="33">
        <f>'6 - B3'!$L35</f>
        <v>38.873233828500268</v>
      </c>
      <c r="E7" s="86">
        <f t="shared" si="0"/>
        <v>38.948212787464804</v>
      </c>
      <c r="F7" s="22">
        <f>'Clause 6'!D22</f>
        <v>8843.2749827081516</v>
      </c>
      <c r="G7">
        <f>'6 - B1'!$M35+'6 - B2'!$M35+'6 - B3'!$M35</f>
        <v>15</v>
      </c>
      <c r="H7" s="33">
        <f>STDEVP('6 - B1'!$B35:F35,'6 - B2'!B35:F35,'6 - B3'!B35:F35)/SQRT(G7)</f>
        <v>0.424537670089983</v>
      </c>
      <c r="K7" s="83">
        <v>7</v>
      </c>
      <c r="L7" s="84">
        <v>3199.3</v>
      </c>
      <c r="M7" s="85" t="e">
        <f t="shared" ca="1" si="1"/>
        <v>#NAME?</v>
      </c>
    </row>
    <row r="8" spans="1:16" ht="13.15" x14ac:dyDescent="0.4">
      <c r="A8">
        <v>26</v>
      </c>
      <c r="B8" s="33">
        <f>'6 - B1'!$L34</f>
        <v>54.224196790248136</v>
      </c>
      <c r="C8" s="33">
        <f>'6 - B2'!$L34</f>
        <v>54.192928775747255</v>
      </c>
      <c r="D8" s="33">
        <f>'6 - B3'!$L34</f>
        <v>54.05217846638584</v>
      </c>
      <c r="E8" s="86">
        <f t="shared" si="0"/>
        <v>54.156434677460403</v>
      </c>
      <c r="F8" s="22">
        <f>'Clause 6'!D23</f>
        <v>7587.665222194365</v>
      </c>
      <c r="G8">
        <f>'6 - B1'!$M34+'6 - B2'!$M34+'6 - B3'!$M34</f>
        <v>15</v>
      </c>
      <c r="H8" s="33">
        <f>STDEVP('6 - B1'!$B34:F34,'6 - B2'!B34:F34,'6 - B3'!B34:F34)/SQRT(G8)</f>
        <v>0.42000334810259482</v>
      </c>
      <c r="K8" s="83">
        <v>8</v>
      </c>
      <c r="L8" s="84">
        <v>2280.6</v>
      </c>
      <c r="M8" s="85" t="e">
        <f t="shared" ca="1" si="1"/>
        <v>#NAME?</v>
      </c>
    </row>
    <row r="9" spans="1:16" ht="13.15" x14ac:dyDescent="0.4">
      <c r="A9">
        <v>25</v>
      </c>
      <c r="B9" s="33">
        <f>'6 - B1'!$L33</f>
        <v>73.36327198236593</v>
      </c>
      <c r="C9" s="33">
        <f>'6 - B2'!$L33</f>
        <v>73.320967550249577</v>
      </c>
      <c r="D9" s="33">
        <f>'6 - B3'!$L33</f>
        <v>73.130537745134603</v>
      </c>
      <c r="E9" s="86">
        <f t="shared" si="0"/>
        <v>73.271592425916694</v>
      </c>
      <c r="F9" s="22">
        <f>'Clause 6'!D24</f>
        <v>6510.3328389848275</v>
      </c>
      <c r="G9">
        <f>'6 - B1'!$M33+'6 - B2'!$M33+'6 - B3'!$M33</f>
        <v>15</v>
      </c>
      <c r="H9" s="33">
        <f>STDEVP('6 - B1'!$B33:F33,'6 - B2'!B33:F33,'6 - B3'!B33:F33)/SQRT(G9)</f>
        <v>0.60232949838179117</v>
      </c>
      <c r="K9" s="83">
        <v>9</v>
      </c>
      <c r="L9" s="84">
        <v>1615</v>
      </c>
      <c r="M9" s="85" t="e">
        <f t="shared" ca="1" si="1"/>
        <v>#NAME?</v>
      </c>
    </row>
    <row r="10" spans="1:16" ht="13.15" x14ac:dyDescent="0.4">
      <c r="A10">
        <v>24</v>
      </c>
      <c r="B10" s="33">
        <f>'6 - B1'!$L32</f>
        <v>96.592671626342977</v>
      </c>
      <c r="C10" s="33">
        <f>'6 - B2'!$L32</f>
        <v>96.536972118819165</v>
      </c>
      <c r="D10" s="33">
        <f>'6 - B3'!$L32</f>
        <v>96.286245520395894</v>
      </c>
      <c r="E10" s="86">
        <f t="shared" si="0"/>
        <v>96.471963088519331</v>
      </c>
      <c r="F10" s="22">
        <f>'Clause 6'!D25</f>
        <v>5585.9651728422723</v>
      </c>
      <c r="G10">
        <f>'6 - B1'!$M32+'6 - B2'!$M32+'6 - B3'!$M32</f>
        <v>15</v>
      </c>
      <c r="H10" s="33">
        <f>STDEVP('6 - B1'!$B32:F32,'6 - B2'!B32:F32,'6 - B3'!B32:F32)/SQRT(G10)</f>
        <v>0.79332980114627594</v>
      </c>
      <c r="K10" s="83">
        <v>10</v>
      </c>
      <c r="L10" s="84">
        <v>1130.5</v>
      </c>
      <c r="M10" s="85" t="e">
        <f t="shared" ref="M10:M30" ca="1" si="2">CubicSpline(L10,$E$4:$E$33,$F$4:$F$33)</f>
        <v>#NAME?</v>
      </c>
    </row>
    <row r="11" spans="1:16" ht="13.15" x14ac:dyDescent="0.4">
      <c r="A11">
        <v>23</v>
      </c>
      <c r="B11" s="33">
        <f>'6 - B1'!$L31</f>
        <v>124.82757568627167</v>
      </c>
      <c r="C11" s="33">
        <f>'6 - B2'!$L31</f>
        <v>124.75559471324286</v>
      </c>
      <c r="D11" s="33">
        <f>'6 - B3'!$L31</f>
        <v>124.43157848184268</v>
      </c>
      <c r="E11" s="86">
        <f t="shared" si="0"/>
        <v>124.6715829604524</v>
      </c>
      <c r="F11" s="22">
        <f>'Clause 6'!D26</f>
        <v>4792.8435740425766</v>
      </c>
      <c r="G11">
        <f>'6 - B1'!$M31+'6 - B2'!$M31+'6 - B3'!$M31</f>
        <v>15</v>
      </c>
      <c r="H11" s="33">
        <f>STDEVP('6 - B1'!$B31:F31,'6 - B2'!B31:F31,'6 - B3'!B31:F31)/SQRT(G11)</f>
        <v>0.70342103038300974</v>
      </c>
      <c r="K11" s="83">
        <v>11</v>
      </c>
      <c r="L11" s="84">
        <v>816.2</v>
      </c>
      <c r="M11" s="85" t="e">
        <f t="shared" ca="1" si="2"/>
        <v>#NAME?</v>
      </c>
    </row>
    <row r="12" spans="1:16" ht="13.15" x14ac:dyDescent="0.4">
      <c r="A12">
        <v>22</v>
      </c>
      <c r="B12" s="33">
        <f>'6 - B1'!$L30</f>
        <v>165.09074537262475</v>
      </c>
      <c r="C12" s="33">
        <f>'6 - B2'!$L30</f>
        <v>164.9955469164772</v>
      </c>
      <c r="D12" s="33">
        <f>'6 - B3'!$L30</f>
        <v>164.56701915840293</v>
      </c>
      <c r="E12" s="86">
        <f t="shared" si="0"/>
        <v>164.88443714916829</v>
      </c>
      <c r="F12" s="22">
        <f>'Clause 6'!D27</f>
        <v>4112.3331088641307</v>
      </c>
      <c r="G12">
        <f>'6 - B1'!$M30+'6 - B2'!$M30+'6 - B3'!$M30</f>
        <v>15</v>
      </c>
      <c r="H12" s="33">
        <f>STDEVP('6 - B1'!$B30:F30,'6 - B2'!B30:F30,'6 - B3'!B30:F30)/SQRT(G12)</f>
        <v>0.63857965912432979</v>
      </c>
      <c r="K12" s="83">
        <v>12</v>
      </c>
      <c r="L12" s="84">
        <v>618.6</v>
      </c>
      <c r="M12" s="85" t="e">
        <f t="shared" ca="1" si="2"/>
        <v>#NAME?</v>
      </c>
    </row>
    <row r="13" spans="1:16" ht="13.15" x14ac:dyDescent="0.4">
      <c r="A13">
        <v>21</v>
      </c>
      <c r="B13" s="33">
        <f>'6 - B1'!$L29</f>
        <v>219.97391535874442</v>
      </c>
      <c r="C13" s="33">
        <f>'6 - B2'!$L29</f>
        <v>219.84706889568184</v>
      </c>
      <c r="D13" s="33">
        <f>'6 - B3'!$L29</f>
        <v>219.27608032469479</v>
      </c>
      <c r="E13" s="86">
        <f t="shared" si="0"/>
        <v>219.69902152637368</v>
      </c>
      <c r="F13" s="22">
        <f>'Clause 6'!D28</f>
        <v>3528.4447190910755</v>
      </c>
      <c r="G13">
        <f>'6 - B1'!$M29+'6 - B2'!$M29+'6 - B3'!$M29</f>
        <v>15</v>
      </c>
      <c r="H13" s="33">
        <f>STDEVP('6 - B1'!$B29:F29,'6 - B2'!B29:F29,'6 - B3'!B29:F29)/SQRT(G13)</f>
        <v>0.67218754110609957</v>
      </c>
      <c r="K13" s="83">
        <v>13</v>
      </c>
      <c r="L13" s="84">
        <v>481.9</v>
      </c>
      <c r="M13" s="85" t="e">
        <f t="shared" ca="1" si="2"/>
        <v>#NAME?</v>
      </c>
    </row>
    <row r="14" spans="1:16" ht="13.15" x14ac:dyDescent="0.4">
      <c r="A14">
        <v>20</v>
      </c>
      <c r="B14" s="33">
        <f>'6 - B1'!$L28</f>
        <v>276.41264068278565</v>
      </c>
      <c r="C14" s="33">
        <f>'6 - B2'!$L28</f>
        <v>276.25324921239599</v>
      </c>
      <c r="D14" s="33">
        <f>'6 - B3'!$L28</f>
        <v>275.53576205739029</v>
      </c>
      <c r="E14" s="86">
        <f t="shared" si="0"/>
        <v>276.06721731752395</v>
      </c>
      <c r="F14" s="22">
        <f>'Clause 6'!D29</f>
        <v>3027.459548168873</v>
      </c>
      <c r="G14">
        <f>'6 - B1'!$M28+'6 - B2'!$M28+'6 - B3'!$M28</f>
        <v>15</v>
      </c>
      <c r="H14" s="33">
        <f>STDEVP('6 - B1'!$B28:F28,'6 - B2'!B28:F28,'6 - B3'!B28:F28)/SQRT(G14)</f>
        <v>0.65053196103480904</v>
      </c>
      <c r="K14" s="83">
        <v>14</v>
      </c>
      <c r="L14" s="84">
        <v>384.7</v>
      </c>
      <c r="M14" s="85" t="e">
        <f t="shared" ca="1" si="2"/>
        <v>#NAME?</v>
      </c>
    </row>
    <row r="15" spans="1:16" ht="13.15" x14ac:dyDescent="0.4">
      <c r="A15">
        <v>19</v>
      </c>
      <c r="B15" s="33">
        <f>'6 - B1'!$L27</f>
        <v>358.75007234963385</v>
      </c>
      <c r="C15" s="33">
        <f>'6 - B2'!$L27</f>
        <v>358.54320155894584</v>
      </c>
      <c r="D15" s="33">
        <f>'6 - B3'!$L27</f>
        <v>357.61199027956144</v>
      </c>
      <c r="E15" s="86">
        <f t="shared" si="0"/>
        <v>358.30175472938043</v>
      </c>
      <c r="F15" s="22">
        <f>'Clause 6'!D30</f>
        <v>2597.6066072986132</v>
      </c>
      <c r="G15">
        <f>'6 - B1'!$M27+'6 - B2'!$M27+'6 - B3'!$M27</f>
        <v>15</v>
      </c>
      <c r="H15" s="33">
        <f>STDEVP('6 - B1'!$B27:F27,'6 - B2'!B27:F27,'6 - B3'!B27:F27)/SQRT(G15)</f>
        <v>0.54025490129024278</v>
      </c>
      <c r="K15" s="83">
        <v>15</v>
      </c>
      <c r="L15" s="84">
        <v>314.60000000000002</v>
      </c>
      <c r="M15" s="85" t="e">
        <f t="shared" ca="1" si="2"/>
        <v>#NAME?</v>
      </c>
    </row>
    <row r="16" spans="1:16" ht="13.15" x14ac:dyDescent="0.4">
      <c r="A16">
        <v>18</v>
      </c>
      <c r="B16" s="33">
        <f>'6 - B1'!$L26</f>
        <v>462.48684339585878</v>
      </c>
      <c r="C16" s="33">
        <f>'6 - B2'!$L26</f>
        <v>462.22015350127708</v>
      </c>
      <c r="D16" s="33">
        <f>'6 - B3'!$L26</f>
        <v>461.0196716105936</v>
      </c>
      <c r="E16" s="86">
        <f t="shared" si="0"/>
        <v>461.90888950257653</v>
      </c>
      <c r="F16" s="22">
        <f>'Clause 6'!D31</f>
        <v>2228.7862080147702</v>
      </c>
      <c r="G16">
        <f>'6 - B1'!$M26+'6 - B2'!$M26+'6 - B3'!$M26</f>
        <v>15</v>
      </c>
      <c r="H16" s="33">
        <f>STDEVP('6 - B1'!$B26:F26,'6 - B2'!B26:F26,'6 - B3'!B26:F26)/SQRT(G16)</f>
        <v>0.39229670160040497</v>
      </c>
      <c r="K16" s="83">
        <v>16</v>
      </c>
      <c r="L16" s="84">
        <v>261.8</v>
      </c>
      <c r="M16" s="85" t="e">
        <f t="shared" ca="1" si="2"/>
        <v>#NAME?</v>
      </c>
    </row>
    <row r="17" spans="1:13" ht="13.15" x14ac:dyDescent="0.4">
      <c r="A17">
        <v>17</v>
      </c>
      <c r="B17" s="33">
        <f>'6 - B1'!$L25</f>
        <v>583.22531656044737</v>
      </c>
      <c r="C17" s="33">
        <f>'6 - B2'!$L25</f>
        <v>582.88900364601113</v>
      </c>
      <c r="D17" s="33">
        <f>'6 - B3'!$L25</f>
        <v>581.37511964970543</v>
      </c>
      <c r="E17" s="86">
        <f t="shared" si="0"/>
        <v>582.49647995205476</v>
      </c>
      <c r="F17" s="22">
        <f>'Clause 6'!D32</f>
        <v>1912.3326631059074</v>
      </c>
      <c r="G17">
        <f>'6 - B1'!$M25+'6 - B2'!$M25+'6 - B3'!$M25</f>
        <v>15</v>
      </c>
      <c r="H17" s="33">
        <f>STDEVP('6 - B1'!$B25:F25,'6 - B2'!B25:F25,'6 - B3'!B25:F25)/SQRT(G17)</f>
        <v>0.62198720649579864</v>
      </c>
      <c r="K17" s="83">
        <v>17</v>
      </c>
      <c r="L17" s="84">
        <v>221.2</v>
      </c>
      <c r="M17" s="85" t="e">
        <f t="shared" ca="1" si="2"/>
        <v>#NAME?</v>
      </c>
    </row>
    <row r="18" spans="1:13" ht="13.15" x14ac:dyDescent="0.4">
      <c r="A18">
        <v>16</v>
      </c>
      <c r="B18" s="33">
        <f>'6 - B1'!$L24</f>
        <v>751.27455400815188</v>
      </c>
      <c r="C18" s="33">
        <f>'6 - B2'!$L24</f>
        <v>750.8413366432228</v>
      </c>
      <c r="D18" s="33">
        <f>'6 - B3'!$L24</f>
        <v>748.89124550031408</v>
      </c>
      <c r="E18" s="86">
        <f t="shared" si="0"/>
        <v>750.33571205056296</v>
      </c>
      <c r="F18" s="22">
        <f>'Clause 6'!D33</f>
        <v>1640.8106803743722</v>
      </c>
      <c r="G18">
        <f>'6 - B1'!$M24+'6 - B2'!$M24+'6 - B3'!$M24</f>
        <v>15</v>
      </c>
      <c r="H18" s="33">
        <f>STDEVP('6 - B1'!$B24:F24,'6 - B2'!B24:F24,'6 - B3'!B24:F24)/SQRT(G18)</f>
        <v>0.82823079084598394</v>
      </c>
      <c r="K18" s="83">
        <v>18</v>
      </c>
      <c r="L18" s="84">
        <v>188.7</v>
      </c>
      <c r="M18" s="85" t="e">
        <f t="shared" ca="1" si="2"/>
        <v>#NAME?</v>
      </c>
    </row>
    <row r="19" spans="1:13" ht="13.15" x14ac:dyDescent="0.4">
      <c r="A19">
        <v>15</v>
      </c>
      <c r="B19" s="33">
        <f>'6 - B1'!$L23</f>
        <v>969.09775012928117</v>
      </c>
      <c r="C19" s="33">
        <f>'6 - B2'!$L23</f>
        <v>968.53892649891873</v>
      </c>
      <c r="D19" s="33">
        <f>'6 - B3'!$L23</f>
        <v>966.02342942922905</v>
      </c>
      <c r="E19" s="86">
        <f t="shared" si="0"/>
        <v>967.88670201914294</v>
      </c>
      <c r="F19" s="22">
        <f>'Clause 6'!D34</f>
        <v>1407.8406653672837</v>
      </c>
      <c r="G19">
        <f>'6 - B1'!$M23+'6 - B2'!$M23+'6 - B3'!$M23</f>
        <v>15</v>
      </c>
      <c r="H19" s="33">
        <f>STDEVP('6 - B1'!$B23:F23,'6 - B2'!B23:F23,'6 - B3'!B23:F23)/SQRT(G19)</f>
        <v>0.54560260878033695</v>
      </c>
      <c r="K19" s="83">
        <v>19</v>
      </c>
      <c r="L19" s="84">
        <v>161</v>
      </c>
      <c r="M19" s="85" t="e">
        <f t="shared" ca="1" si="2"/>
        <v>#NAME?</v>
      </c>
    </row>
    <row r="20" spans="1:13" ht="13.15" x14ac:dyDescent="0.4">
      <c r="A20">
        <v>14</v>
      </c>
      <c r="B20" s="33">
        <f>'6 - B1'!$L22</f>
        <v>1246.8132775938534</v>
      </c>
      <c r="C20" s="33">
        <f>'6 - B2'!$L22</f>
        <v>1246.0943111922948</v>
      </c>
      <c r="D20" s="33">
        <f>'6 - B3'!$L22</f>
        <v>1242.8579450508821</v>
      </c>
      <c r="E20" s="86">
        <f t="shared" si="0"/>
        <v>1245.2551779456769</v>
      </c>
      <c r="F20" s="22">
        <f>'Clause 6'!D35</f>
        <v>1207.9488284471513</v>
      </c>
      <c r="G20">
        <f>'6 - B1'!$M22+'6 - B2'!$M22+'6 - B3'!$M22</f>
        <v>15</v>
      </c>
      <c r="H20" s="33">
        <f>STDEVP('6 - B1'!$B22:F22,'6 - B2'!B22:F22,'6 - B3'!B22:F22)/SQRT(G20)</f>
        <v>0.78362597112260191</v>
      </c>
      <c r="K20" s="83">
        <v>20</v>
      </c>
      <c r="L20" s="84">
        <v>136.4</v>
      </c>
      <c r="M20" s="85" t="e">
        <f t="shared" ca="1" si="2"/>
        <v>#NAME?</v>
      </c>
    </row>
    <row r="21" spans="1:13" ht="13.15" x14ac:dyDescent="0.4">
      <c r="A21">
        <v>13</v>
      </c>
      <c r="B21" s="33">
        <f>'6 - B1'!$L21</f>
        <v>1609.4768741506107</v>
      </c>
      <c r="C21" s="33">
        <f>'6 - B2'!$L21</f>
        <v>1608.5487802512314</v>
      </c>
      <c r="D21" s="33">
        <f>'6 - B3'!$L21</f>
        <v>1604.3710444551064</v>
      </c>
      <c r="E21" s="86">
        <f t="shared" si="0"/>
        <v>1607.4655662856494</v>
      </c>
      <c r="F21" s="22">
        <f>'Clause 6'!D36</f>
        <v>1036.4385743653586</v>
      </c>
      <c r="G21">
        <f>'6 - B1'!$M21+'6 - B2'!$M21+'6 - B3'!$M21</f>
        <v>15</v>
      </c>
      <c r="H21" s="33">
        <f>STDEVP('6 - B1'!$B21:F21,'6 - B2'!B21:F21,'6 - B3'!B21:F21)/SQRT(G21)</f>
        <v>1.0250858837907073</v>
      </c>
      <c r="K21" s="83">
        <v>21</v>
      </c>
      <c r="L21" s="84">
        <v>114.4</v>
      </c>
      <c r="M21" s="85" t="e">
        <f t="shared" ca="1" si="2"/>
        <v>#NAME?</v>
      </c>
    </row>
    <row r="22" spans="1:13" ht="13.15" x14ac:dyDescent="0.4">
      <c r="A22">
        <v>12</v>
      </c>
      <c r="B22" s="33">
        <f>'6 - B1'!$L20</f>
        <v>2057.7216344010826</v>
      </c>
      <c r="C22" s="33">
        <f>'6 - B2'!$L20</f>
        <v>2056.5350632075597</v>
      </c>
      <c r="D22" s="33">
        <f>'6 - B3'!$L20</f>
        <v>2051.1938138435171</v>
      </c>
      <c r="E22" s="86">
        <f t="shared" si="0"/>
        <v>2055.150170484053</v>
      </c>
      <c r="F22" s="22">
        <f>'Clause 6'!D37</f>
        <v>889.28015254869229</v>
      </c>
      <c r="G22">
        <f>'6 - B1'!$M20+'6 - B2'!$M20+'6 - B3'!$M20</f>
        <v>15</v>
      </c>
      <c r="H22" s="33">
        <f>STDEVP('6 - B1'!$B20:F20,'6 - B2'!B20:F20,'6 - B3'!B20:F20)/SQRT(G22)</f>
        <v>0.62210134980511622</v>
      </c>
      <c r="K22" s="83">
        <v>22</v>
      </c>
      <c r="L22" s="84">
        <v>95.3</v>
      </c>
      <c r="M22" s="85" t="e">
        <f t="shared" ca="1" si="2"/>
        <v>#NAME?</v>
      </c>
    </row>
    <row r="23" spans="1:13" ht="13.15" x14ac:dyDescent="0.4">
      <c r="A23">
        <v>11</v>
      </c>
      <c r="B23" s="33">
        <f>'6 - B1'!$L19</f>
        <v>2585.9678453028096</v>
      </c>
      <c r="C23" s="33">
        <f>'6 - B2'!$L19</f>
        <v>2584.476664522419</v>
      </c>
      <c r="D23" s="33">
        <f>'6 - B3'!$L19</f>
        <v>2577.7642409962027</v>
      </c>
      <c r="E23" s="86">
        <f t="shared" si="0"/>
        <v>2582.7362502738106</v>
      </c>
      <c r="F23" s="22">
        <f>'Clause 6'!D38</f>
        <v>763.01597535702194</v>
      </c>
      <c r="G23">
        <f>'6 - B1'!$M19+'6 - B2'!$M19+'6 - B3'!$M19</f>
        <v>15</v>
      </c>
      <c r="H23" s="33">
        <f>STDEVP('6 - B1'!$B19:F19,'6 - B2'!B19:F19,'6 - B3'!B19:F19)/SQRT(G23)</f>
        <v>2.0807153748736833</v>
      </c>
      <c r="K23" s="83">
        <v>23</v>
      </c>
      <c r="L23" s="84">
        <v>79</v>
      </c>
      <c r="M23" s="85" t="e">
        <f t="shared" ca="1" si="2"/>
        <v>#NAME?</v>
      </c>
    </row>
    <row r="24" spans="1:13" ht="13.15" x14ac:dyDescent="0.4">
      <c r="A24">
        <v>10</v>
      </c>
      <c r="B24" s="33">
        <f>'6 - B1'!$L18</f>
        <v>3208.3218526820392</v>
      </c>
      <c r="C24" s="33">
        <f>'6 - B2'!$L18</f>
        <v>3206.4717956936215</v>
      </c>
      <c r="D24" s="33">
        <f>'6 - B3'!$L18</f>
        <v>3198.1439214229749</v>
      </c>
      <c r="E24" s="86">
        <f t="shared" si="0"/>
        <v>3204.3125232662119</v>
      </c>
      <c r="F24" s="22">
        <f>'Clause 6'!D39</f>
        <v>654.67937969991942</v>
      </c>
      <c r="G24">
        <f>'6 - B1'!$M18+'6 - B2'!$M18+'6 - B3'!$M18</f>
        <v>15</v>
      </c>
      <c r="H24" s="33">
        <f>STDEVP('6 - B1'!$B18:F18,'6 - B2'!B18:F18,'6 - B3'!B18:F18)/SQRT(G24)</f>
        <v>3.1249204394197903</v>
      </c>
      <c r="K24" s="83">
        <v>24</v>
      </c>
      <c r="L24" s="84">
        <v>65.3</v>
      </c>
      <c r="M24" s="85" t="e">
        <f t="shared" ca="1" si="2"/>
        <v>#NAME?</v>
      </c>
    </row>
    <row r="25" spans="1:13" ht="13.15" x14ac:dyDescent="0.4">
      <c r="A25">
        <v>9</v>
      </c>
      <c r="B25" s="33">
        <f>'6 - B1'!$L17</f>
        <v>3920.0573527923007</v>
      </c>
      <c r="C25" s="33">
        <f>'6 - B2'!$L17</f>
        <v>3917.7968783656247</v>
      </c>
      <c r="D25" s="33">
        <f>'6 - B3'!$L17</f>
        <v>3907.6215448838898</v>
      </c>
      <c r="E25" s="86">
        <f t="shared" si="0"/>
        <v>3915.1585920139387</v>
      </c>
      <c r="F25" s="22">
        <f>'Clause 6'!D40</f>
        <v>561.72492326090958</v>
      </c>
      <c r="G25">
        <f>'6 - B1'!$M17+'6 - B2'!$M17+'6 - B3'!$M17</f>
        <v>15</v>
      </c>
      <c r="H25" s="33">
        <f>STDEVP('6 - B1'!$B17:F17,'6 - B2'!B17:F17,'6 - B3'!B17:F17)/SQRT(G25)</f>
        <v>4.9773943108985774</v>
      </c>
      <c r="K25" s="83">
        <v>25</v>
      </c>
      <c r="L25" s="84">
        <v>53.8</v>
      </c>
      <c r="M25" s="85" t="e">
        <f t="shared" ca="1" si="2"/>
        <v>#NAME?</v>
      </c>
    </row>
    <row r="26" spans="1:13" ht="13.15" x14ac:dyDescent="0.4">
      <c r="A26">
        <v>8</v>
      </c>
      <c r="B26" s="33">
        <f>'6 - B1'!$L16</f>
        <v>4738.2990980616341</v>
      </c>
      <c r="C26" s="33">
        <f>'6 - B2'!$L16</f>
        <v>4735.5667900943845</v>
      </c>
      <c r="D26" s="33">
        <f>'6 - B3'!$L16</f>
        <v>4723.2675380376168</v>
      </c>
      <c r="E26" s="86">
        <f t="shared" si="0"/>
        <v>4732.3778087312121</v>
      </c>
      <c r="F26" s="22">
        <f>'Clause 6'!D41</f>
        <v>481.96857759152914</v>
      </c>
      <c r="G26">
        <f>'6 - B1'!$M16+'6 - B2'!$M16+'6 - B3'!$M16</f>
        <v>15</v>
      </c>
      <c r="H26" s="33">
        <f>STDEVP('6 - B1'!$B16:F16,'6 - B2'!B16:F16,'6 - B3'!B16:F16)/SQRT(G26)</f>
        <v>5.9761663613387679</v>
      </c>
      <c r="K26" s="83">
        <v>26</v>
      </c>
      <c r="L26" s="84">
        <v>44.6</v>
      </c>
      <c r="M26" s="85" t="e">
        <f t="shared" ca="1" si="2"/>
        <v>#NAME?</v>
      </c>
    </row>
    <row r="27" spans="1:13" ht="13.15" x14ac:dyDescent="0.4">
      <c r="A27">
        <v>7</v>
      </c>
      <c r="B27" s="33">
        <f>'6 - B1'!$L15</f>
        <v>5641.4109187331633</v>
      </c>
      <c r="C27" s="33">
        <f>'6 - B2'!$L15</f>
        <v>5638.1578374732462</v>
      </c>
      <c r="D27" s="33">
        <f>'6 - B3'!$L15</f>
        <v>5623.5143687074842</v>
      </c>
      <c r="E27" s="86">
        <f t="shared" si="0"/>
        <v>5634.3610416379643</v>
      </c>
      <c r="F27" s="22">
        <f>'Clause 6'!D42</f>
        <v>413.53641287108462</v>
      </c>
      <c r="G27">
        <f>'6 - B1'!$M15+'6 - B2'!$M15+'6 - B3'!$M15</f>
        <v>15</v>
      </c>
      <c r="H27" s="33">
        <f>STDEVP('6 - B1'!$B15:F15,'6 - B2'!B15:F15,'6 - B3'!B15:F15)/SQRT(G27)</f>
        <v>7.193406301381394</v>
      </c>
      <c r="K27" s="83">
        <v>27</v>
      </c>
      <c r="L27" s="84">
        <v>37</v>
      </c>
      <c r="M27" s="85" t="e">
        <f t="shared" ca="1" si="2"/>
        <v>#NAME?</v>
      </c>
    </row>
    <row r="28" spans="1:13" ht="13.15" x14ac:dyDescent="0.4">
      <c r="A28">
        <v>6</v>
      </c>
      <c r="B28" s="33">
        <f>'6 - B1'!$L14</f>
        <v>6646.1676025207198</v>
      </c>
      <c r="C28" s="33">
        <f>'6 - B2'!$L14</f>
        <v>6642.3351351487308</v>
      </c>
      <c r="D28" s="33">
        <f>'6 - B3'!$L14</f>
        <v>6625.0836090497623</v>
      </c>
      <c r="E28" s="86">
        <f t="shared" si="0"/>
        <v>6637.8621155730716</v>
      </c>
      <c r="F28" s="22">
        <f>'Clause 6'!D43</f>
        <v>354.82056864548963</v>
      </c>
      <c r="G28">
        <f>'6 - B1'!$M14+'6 - B2'!$M14+'6 - B3'!$M14</f>
        <v>15</v>
      </c>
      <c r="H28" s="33">
        <f>STDEVP('6 - B1'!$B14:F14,'6 - B2'!B14:F14,'6 - B3'!B14:F14)/SQRT(G28)</f>
        <v>8.346798239193248</v>
      </c>
      <c r="K28" s="83">
        <v>28</v>
      </c>
      <c r="L28" s="84">
        <v>30.7</v>
      </c>
      <c r="M28" s="85" t="e">
        <f t="shared" ca="1" si="2"/>
        <v>#NAME?</v>
      </c>
    </row>
    <row r="29" spans="1:13" ht="13.15" x14ac:dyDescent="0.4">
      <c r="A29">
        <v>5</v>
      </c>
      <c r="B29" s="33">
        <f>'6 - B1'!$L13</f>
        <v>7770.2186945479853</v>
      </c>
      <c r="C29" s="33">
        <f>'6 - B2'!$L13</f>
        <v>7765.738050754293</v>
      </c>
      <c r="D29" s="33">
        <f>'6 - B3'!$L13</f>
        <v>7745.5688135907812</v>
      </c>
      <c r="E29" s="86">
        <f t="shared" si="0"/>
        <v>7760.5085196310201</v>
      </c>
      <c r="F29" s="22">
        <f>'Clause 6'!D44</f>
        <v>304.44147604761423</v>
      </c>
      <c r="G29">
        <f>'6 - B1'!$M13+'6 - B2'!$M13+'6 - B3'!$M13</f>
        <v>15</v>
      </c>
      <c r="H29" s="33">
        <f>STDEVP('6 - B1'!$B13:F13,'6 - B2'!B13:F13,'6 - B3'!B13:F13)/SQRT(G29)</f>
        <v>11.137719110903999</v>
      </c>
      <c r="K29" s="83">
        <v>29</v>
      </c>
      <c r="L29" s="84">
        <v>25.2</v>
      </c>
      <c r="M29" s="85" t="e">
        <f t="shared" ca="1" si="2"/>
        <v>#NAME?</v>
      </c>
    </row>
    <row r="30" spans="1:13" ht="13.15" x14ac:dyDescent="0.4">
      <c r="A30">
        <v>4</v>
      </c>
      <c r="B30" s="33">
        <f>'6 - B1'!$L12</f>
        <v>9034.0727871971612</v>
      </c>
      <c r="C30" s="33">
        <f>'6 - B2'!$L12</f>
        <v>9028.8633505317393</v>
      </c>
      <c r="D30" s="33">
        <f>'6 - B3'!$L12</f>
        <v>9005.413514206637</v>
      </c>
      <c r="E30" s="86">
        <f t="shared" si="0"/>
        <v>9022.7832173118459</v>
      </c>
      <c r="F30" s="22">
        <f>'Clause 6'!D45</f>
        <v>261.21544388440924</v>
      </c>
      <c r="G30">
        <f>'6 - B1'!$M12+'6 - B2'!$M12+'6 - B3'!$M12</f>
        <v>15</v>
      </c>
      <c r="H30" s="33">
        <f>STDEVP('6 - B1'!$B12:F12,'6 - B2'!B12:F12,'6 - B3'!B12:F12)/SQRT(G30)</f>
        <v>11.088387099591978</v>
      </c>
      <c r="K30" s="83">
        <v>30</v>
      </c>
      <c r="L30" s="84">
        <v>20.100000000000001</v>
      </c>
      <c r="M30" s="85" t="e">
        <f t="shared" ca="1" si="2"/>
        <v>#NAME?</v>
      </c>
    </row>
    <row r="31" spans="1:13" x14ac:dyDescent="0.35">
      <c r="A31">
        <v>3</v>
      </c>
      <c r="B31" s="33">
        <f>'6 - B1'!$L11</f>
        <v>10421.191187184195</v>
      </c>
      <c r="C31" s="33">
        <f>'6 - B2'!$L11</f>
        <v>10415.181878122085</v>
      </c>
      <c r="D31" s="33">
        <f>'6 - B3'!$L11</f>
        <v>10388.131484195836</v>
      </c>
      <c r="E31" s="86">
        <f t="shared" si="0"/>
        <v>10408.168183167372</v>
      </c>
      <c r="F31" s="22">
        <f>'Clause 6'!D46</f>
        <v>224.12684700378119</v>
      </c>
      <c r="G31">
        <f>'6 - B1'!$M11+'6 - B2'!$M11+'6 - B3'!$M11</f>
        <v>15</v>
      </c>
      <c r="H31" s="33">
        <f>STDEVP('6 - B1'!$B11:F11,'6 - B2'!B11:F11,'6 - B3'!B11:F11)/SQRT(G31)</f>
        <v>13.569288919901776</v>
      </c>
    </row>
    <row r="32" spans="1:13" x14ac:dyDescent="0.35">
      <c r="A32">
        <v>2</v>
      </c>
      <c r="B32" s="33">
        <f>'6 - B1'!$L10</f>
        <v>11991.306492822974</v>
      </c>
      <c r="C32" s="33">
        <f>'6 - B2'!$L10</f>
        <v>11984.391787442415</v>
      </c>
      <c r="D32" s="33">
        <f>'6 - B3'!$L10</f>
        <v>11953.265828951207</v>
      </c>
      <c r="E32" s="86">
        <f t="shared" si="0"/>
        <v>11976.321369738866</v>
      </c>
      <c r="F32" s="22">
        <f>'Clause 6'!D47</f>
        <v>192.30426348790058</v>
      </c>
      <c r="G32">
        <f>'6 - B1'!$M10+'6 - B2'!$M10+'6 - B3'!$M10</f>
        <v>15</v>
      </c>
      <c r="H32" s="33">
        <f>STDEVP('6 - B1'!$B10:F10,'6 - B2'!B10:F10,'6 - B3'!B10:F10)/SQRT(G32)</f>
        <v>14.462349345729988</v>
      </c>
    </row>
    <row r="33" spans="1:40" x14ac:dyDescent="0.35">
      <c r="A33">
        <v>1</v>
      </c>
      <c r="B33" s="33">
        <f>'6 - B1'!$L9</f>
        <v>13755.869444131918</v>
      </c>
      <c r="C33" s="33">
        <f>'6 - B2'!$L9</f>
        <v>13747.937215519752</v>
      </c>
      <c r="D33" s="33">
        <f>'6 - B3'!$L9</f>
        <v>13712.230962695276</v>
      </c>
      <c r="E33" s="86">
        <f t="shared" si="0"/>
        <v>13738.679207448984</v>
      </c>
      <c r="F33" s="22">
        <f>'Clause 6'!D48</f>
        <v>165</v>
      </c>
      <c r="G33">
        <f>'6 - B1'!$M9+'6 - B2'!$M9+'6 - B3'!$M9</f>
        <v>15</v>
      </c>
      <c r="H33" s="33">
        <f>STDEVP('6 - B1'!$B9:F9,'6 - B2'!B9:F9,'6 - B3'!B9:F9)/SQRT(G33)</f>
        <v>18.455827500716978</v>
      </c>
    </row>
    <row r="42" spans="1:40" x14ac:dyDescent="0.35"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</row>
    <row r="45" spans="1:40" x14ac:dyDescent="0.35">
      <c r="M45" s="87"/>
    </row>
    <row r="46" spans="1:40" x14ac:dyDescent="0.35">
      <c r="M46" s="87"/>
    </row>
    <row r="47" spans="1:40" x14ac:dyDescent="0.35">
      <c r="M47" s="87"/>
    </row>
    <row r="48" spans="1:40" x14ac:dyDescent="0.35">
      <c r="M48" s="87"/>
    </row>
    <row r="49" spans="13:13" x14ac:dyDescent="0.35">
      <c r="M49" s="87"/>
    </row>
    <row r="50" spans="13:13" x14ac:dyDescent="0.35">
      <c r="M50" s="87"/>
    </row>
    <row r="51" spans="13:13" x14ac:dyDescent="0.35">
      <c r="M51" s="87"/>
    </row>
    <row r="52" spans="13:13" x14ac:dyDescent="0.35">
      <c r="M52" s="87"/>
    </row>
    <row r="53" spans="13:13" x14ac:dyDescent="0.35">
      <c r="M53" s="87"/>
    </row>
    <row r="54" spans="13:13" x14ac:dyDescent="0.35">
      <c r="M54" s="87"/>
    </row>
    <row r="55" spans="13:13" x14ac:dyDescent="0.35">
      <c r="M55" s="87"/>
    </row>
    <row r="56" spans="13:13" x14ac:dyDescent="0.35">
      <c r="M56" s="87"/>
    </row>
    <row r="57" spans="13:13" x14ac:dyDescent="0.35">
      <c r="M57" s="87"/>
    </row>
    <row r="58" spans="13:13" x14ac:dyDescent="0.35">
      <c r="M58" s="87"/>
    </row>
    <row r="59" spans="13:13" x14ac:dyDescent="0.35">
      <c r="M59" s="87"/>
    </row>
    <row r="60" spans="13:13" x14ac:dyDescent="0.35">
      <c r="M60" s="87"/>
    </row>
    <row r="61" spans="13:13" x14ac:dyDescent="0.35">
      <c r="M61" s="87"/>
    </row>
    <row r="62" spans="13:13" x14ac:dyDescent="0.35">
      <c r="M62" s="87"/>
    </row>
    <row r="63" spans="13:13" x14ac:dyDescent="0.35">
      <c r="M63" s="87"/>
    </row>
    <row r="64" spans="13:13" x14ac:dyDescent="0.35">
      <c r="M64" s="87"/>
    </row>
    <row r="65" spans="13:13" x14ac:dyDescent="0.35">
      <c r="M65" s="87"/>
    </row>
    <row r="66" spans="13:13" x14ac:dyDescent="0.35">
      <c r="M66" s="87"/>
    </row>
    <row r="67" spans="13:13" x14ac:dyDescent="0.35">
      <c r="M67" s="87"/>
    </row>
    <row r="68" spans="13:13" x14ac:dyDescent="0.35">
      <c r="M68" s="87"/>
    </row>
    <row r="69" spans="13:13" x14ac:dyDescent="0.35">
      <c r="M69" s="87"/>
    </row>
    <row r="70" spans="13:13" x14ac:dyDescent="0.35">
      <c r="M70" s="87"/>
    </row>
    <row r="71" spans="13:13" x14ac:dyDescent="0.35">
      <c r="M71" s="87"/>
    </row>
    <row r="72" spans="13:13" x14ac:dyDescent="0.35">
      <c r="M72" s="87"/>
    </row>
  </sheetData>
  <mergeCells count="1">
    <mergeCell ref="K1:O1"/>
  </mergeCells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/>
  <headerFooter>
    <oddHeader>&amp;CISO11171:2020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Clause 6</vt:lpstr>
      <vt:lpstr>6 - B1</vt:lpstr>
      <vt:lpstr>6 - B2</vt:lpstr>
      <vt:lpstr>6 - B3</vt:lpstr>
      <vt:lpstr>6 - 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2025-11-28T13:38:43Z</dcterms:created>
  <dcterms:modified xsi:type="dcterms:W3CDTF">2025-12-16T14:47:32Z</dcterms:modified>
</cp:coreProperties>
</file>