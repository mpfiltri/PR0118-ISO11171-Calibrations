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d:\mp\projects\PR0118 - ISO 11171 Calibrations\results\2025-01-17-REFERERENCE COUNTER\"/>
    </mc:Choice>
  </mc:AlternateContent>
  <xr:revisionPtr revIDLastSave="0" documentId="13_ncr:1_{DFBCEC89-3F92-4EEC-9FFD-9EA19DE18303}" xr6:coauthVersionLast="47" xr6:coauthVersionMax="47" xr10:uidLastSave="{00000000-0000-0000-0000-000000000000}"/>
  <bookViews>
    <workbookView xWindow="-103" yWindow="-103" windowWidth="33120" windowHeight="20332" tabRatio="601" activeTab="1" xr2:uid="{00000000-000D-0000-FFFF-FFFF00000000}"/>
  </bookViews>
  <sheets>
    <sheet name="Clause 6.9" sheetId="3" r:id="rId1"/>
    <sheet name="Clause 6.15" sheetId="4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2" i="3" l="1"/>
  <c r="F107" i="3"/>
  <c r="F106" i="3"/>
  <c r="F105" i="3"/>
  <c r="F104" i="3"/>
  <c r="F103" i="3"/>
  <c r="F102" i="3"/>
  <c r="F101" i="3"/>
  <c r="F100" i="3"/>
  <c r="F99" i="3"/>
  <c r="F98" i="3"/>
  <c r="F97" i="3"/>
  <c r="F96" i="3"/>
  <c r="F95" i="3"/>
  <c r="F94" i="3"/>
  <c r="F93" i="3"/>
  <c r="F92" i="3"/>
  <c r="F91" i="3"/>
  <c r="F90" i="3"/>
  <c r="F89" i="3"/>
  <c r="F88" i="3"/>
  <c r="F87" i="3"/>
  <c r="F86" i="3"/>
  <c r="F85" i="3"/>
  <c r="F84" i="3"/>
  <c r="F83" i="3"/>
  <c r="F82" i="3"/>
  <c r="F81" i="3"/>
  <c r="F80" i="3"/>
  <c r="F79" i="3"/>
  <c r="F78" i="3"/>
  <c r="F77" i="3"/>
  <c r="F76" i="3"/>
  <c r="F75" i="3"/>
  <c r="F74" i="3"/>
  <c r="F73" i="3"/>
  <c r="F72" i="3"/>
  <c r="F71" i="3"/>
  <c r="F70" i="3"/>
  <c r="F69" i="3"/>
  <c r="F68" i="3"/>
  <c r="F67" i="3"/>
  <c r="F66" i="3"/>
  <c r="F65" i="3"/>
  <c r="F64" i="3"/>
  <c r="F63" i="3"/>
  <c r="F62" i="3"/>
  <c r="F61" i="3"/>
  <c r="F60" i="3"/>
  <c r="F59" i="3"/>
  <c r="F58" i="3"/>
  <c r="F57" i="3"/>
  <c r="F56" i="3"/>
  <c r="F55" i="3"/>
  <c r="F54" i="3"/>
  <c r="F53" i="3"/>
  <c r="F52" i="3"/>
  <c r="F51" i="3"/>
  <c r="F50" i="3"/>
  <c r="F49" i="3"/>
  <c r="F48" i="3"/>
  <c r="F47" i="3"/>
  <c r="F46" i="3"/>
  <c r="F45" i="3"/>
  <c r="F44" i="3"/>
  <c r="F43" i="3"/>
  <c r="F42" i="3"/>
  <c r="F41" i="3"/>
  <c r="F40" i="3"/>
  <c r="F39" i="3"/>
  <c r="F38" i="3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5" i="3"/>
  <c r="I34" i="3"/>
  <c r="I39" i="3"/>
  <c r="I24" i="3"/>
  <c r="I89" i="3"/>
  <c r="I15" i="3"/>
  <c r="I29" i="3"/>
  <c r="I48" i="3"/>
  <c r="I59" i="3"/>
  <c r="I57" i="3"/>
  <c r="I5" i="3"/>
  <c r="I101" i="3"/>
  <c r="I104" i="3"/>
  <c r="I84" i="3"/>
  <c r="I85" i="3"/>
  <c r="I56" i="3"/>
  <c r="I21" i="3"/>
  <c r="I69" i="3"/>
  <c r="I13" i="3"/>
  <c r="I103" i="3"/>
  <c r="I23" i="3"/>
  <c r="I86" i="3"/>
  <c r="I70" i="3"/>
  <c r="I72" i="3"/>
  <c r="I87" i="3"/>
  <c r="I102" i="3"/>
  <c r="I75" i="3"/>
  <c r="I8" i="3"/>
  <c r="I47" i="3"/>
  <c r="I61" i="3"/>
  <c r="I6" i="3"/>
  <c r="I95" i="3"/>
  <c r="I31" i="3"/>
  <c r="I90" i="3"/>
  <c r="I96" i="3"/>
  <c r="I42" i="3"/>
  <c r="I93" i="3"/>
  <c r="I53" i="3"/>
  <c r="I16" i="3"/>
  <c r="I37" i="3"/>
  <c r="I45" i="3"/>
  <c r="I99" i="3"/>
  <c r="I25" i="3"/>
  <c r="I66" i="3"/>
  <c r="I41" i="3"/>
  <c r="I67" i="3"/>
  <c r="I81" i="3"/>
  <c r="I55" i="3"/>
  <c r="I71" i="3"/>
  <c r="I77" i="3"/>
  <c r="I22" i="3"/>
  <c r="I94" i="3"/>
  <c r="I98" i="3"/>
  <c r="I54" i="3"/>
  <c r="I88" i="3"/>
  <c r="I18" i="3"/>
  <c r="I49" i="3"/>
  <c r="I76" i="3"/>
  <c r="I28" i="3"/>
  <c r="I83" i="3"/>
  <c r="I73" i="3"/>
  <c r="I9" i="3"/>
  <c r="I46" i="3"/>
  <c r="I17" i="3"/>
  <c r="I36" i="3"/>
  <c r="I38" i="3"/>
  <c r="I97" i="3"/>
  <c r="I50" i="3"/>
  <c r="I100" i="3"/>
  <c r="I78" i="3"/>
  <c r="I51" i="3"/>
  <c r="I60" i="3"/>
  <c r="I7" i="3"/>
  <c r="I44" i="3"/>
  <c r="I52" i="3"/>
  <c r="I92" i="3"/>
  <c r="I19" i="3"/>
  <c r="I91" i="3"/>
  <c r="I106" i="3"/>
  <c r="I62" i="3"/>
  <c r="I14" i="3"/>
  <c r="I20" i="3"/>
  <c r="I12" i="3"/>
  <c r="I26" i="3"/>
  <c r="I80" i="3"/>
  <c r="I11" i="3"/>
  <c r="I40" i="3"/>
  <c r="I68" i="3"/>
  <c r="I63" i="3"/>
  <c r="I74" i="3"/>
  <c r="I82" i="3"/>
  <c r="I33" i="3"/>
  <c r="I64" i="3"/>
  <c r="I65" i="3"/>
  <c r="I58" i="3"/>
  <c r="I43" i="3"/>
  <c r="I10" i="3"/>
  <c r="I35" i="3"/>
  <c r="I79" i="3"/>
  <c r="I105" i="3"/>
  <c r="I27" i="3"/>
  <c r="I107" i="3"/>
  <c r="I30" i="3"/>
  <c r="B5" i="4"/>
  <c r="D5" i="4"/>
  <c r="D80" i="4"/>
  <c r="D18" i="4"/>
  <c r="D97" i="4"/>
  <c r="D21" i="4"/>
  <c r="D87" i="4"/>
  <c r="D26" i="4"/>
  <c r="D86" i="4"/>
  <c r="D39" i="4"/>
  <c r="D44" i="4"/>
  <c r="D28" i="4"/>
  <c r="D106" i="4"/>
  <c r="D83" i="4"/>
  <c r="D29" i="4"/>
  <c r="D42" i="4"/>
  <c r="D71" i="4"/>
  <c r="D7" i="4"/>
  <c r="D77" i="4"/>
  <c r="D60" i="4"/>
  <c r="D53" i="4"/>
  <c r="D99" i="4"/>
  <c r="D30" i="4"/>
  <c r="D98" i="4"/>
  <c r="D93" i="4"/>
  <c r="D52" i="4"/>
  <c r="D46" i="4"/>
  <c r="D102" i="4"/>
  <c r="D72" i="4"/>
  <c r="D23" i="4"/>
  <c r="D13" i="4"/>
  <c r="D36" i="4"/>
  <c r="D78" i="4"/>
  <c r="D56" i="4"/>
  <c r="D61" i="4"/>
  <c r="D34" i="4"/>
  <c r="D40" i="4"/>
  <c r="D105" i="4"/>
  <c r="D104" i="4"/>
  <c r="D69" i="4"/>
  <c r="D57" i="4"/>
  <c r="D12" i="4"/>
  <c r="D79" i="4"/>
  <c r="D10" i="4"/>
  <c r="D11" i="4"/>
  <c r="D82" i="4"/>
  <c r="D94" i="4"/>
  <c r="D48" i="4"/>
  <c r="D81" i="4"/>
  <c r="D33" i="4"/>
  <c r="D16" i="4"/>
  <c r="D15" i="4"/>
  <c r="D62" i="4"/>
  <c r="D85" i="4"/>
  <c r="D91" i="4"/>
  <c r="D8" i="4"/>
  <c r="D9" i="4"/>
  <c r="D70" i="4"/>
  <c r="D67" i="4"/>
  <c r="D55" i="4"/>
  <c r="D59" i="4"/>
  <c r="D19" i="4"/>
  <c r="D14" i="4"/>
  <c r="D17" i="4"/>
  <c r="D38" i="4"/>
  <c r="D58" i="4"/>
  <c r="D65" i="4"/>
  <c r="D41" i="4"/>
  <c r="D64" i="4"/>
  <c r="D31" i="4"/>
  <c r="D32" i="4"/>
  <c r="D25" i="4"/>
  <c r="D49" i="4"/>
  <c r="D54" i="4"/>
  <c r="D51" i="4"/>
  <c r="D88" i="4"/>
  <c r="D101" i="4"/>
  <c r="D107" i="4"/>
  <c r="D20" i="4"/>
  <c r="D63" i="4"/>
  <c r="D76" i="4"/>
  <c r="D37" i="4"/>
  <c r="D100" i="4"/>
  <c r="D68" i="4"/>
  <c r="D84" i="4"/>
  <c r="D24" i="4"/>
  <c r="D95" i="4"/>
  <c r="D6" i="4"/>
  <c r="D50" i="4"/>
  <c r="D75" i="4"/>
  <c r="D96" i="4"/>
  <c r="D35" i="4"/>
  <c r="D89" i="4"/>
  <c r="D27" i="4"/>
  <c r="D66" i="4"/>
  <c r="D90" i="4"/>
  <c r="D103" i="4"/>
  <c r="D74" i="4"/>
  <c r="D92" i="4"/>
  <c r="D47" i="4"/>
  <c r="D73" i="4"/>
  <c r="D22" i="4"/>
  <c r="D45" i="4"/>
  <c r="D43" i="4"/>
  <c r="B16" i="4"/>
  <c r="B19" i="4"/>
  <c r="B17" i="4"/>
  <c r="B20" i="4"/>
  <c r="B21" i="4"/>
  <c r="B18" i="4"/>
  <c r="B6" i="4"/>
  <c r="B22" i="4"/>
  <c r="B7" i="4"/>
  <c r="B23" i="4"/>
  <c r="B8" i="4"/>
  <c r="B24" i="4"/>
  <c r="B9" i="4"/>
  <c r="B25" i="4"/>
  <c r="B10" i="4"/>
  <c r="B26" i="4"/>
  <c r="B12" i="4"/>
  <c r="B28" i="4"/>
  <c r="B13" i="4"/>
  <c r="B29" i="4"/>
  <c r="B11" i="4"/>
  <c r="B27" i="4"/>
  <c r="B14" i="4"/>
  <c r="B30" i="4"/>
  <c r="B31" i="4"/>
  <c r="B15" i="4"/>
</calcChain>
</file>

<file path=xl/sharedStrings.xml><?xml version="1.0" encoding="utf-8"?>
<sst xmlns="http://schemas.openxmlformats.org/spreadsheetml/2006/main" count="32" uniqueCount="20">
  <si>
    <t>mV</t>
  </si>
  <si>
    <t>Threshold Voltage Setting</t>
  </si>
  <si>
    <t>particles per millilitre</t>
  </si>
  <si>
    <t>Interpolated Threshold Voltage Setting</t>
  </si>
  <si>
    <t xml:space="preserve">µm(c) </t>
  </si>
  <si>
    <r>
      <t>Mean X̅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</t>
    </r>
  </si>
  <si>
    <r>
      <t>X̅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for First Sample</t>
    </r>
  </si>
  <si>
    <r>
      <t>X̅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for Second Sample</t>
    </r>
  </si>
  <si>
    <r>
      <t>X̅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for Third Sample</t>
    </r>
  </si>
  <si>
    <t>Data from Table 4</t>
  </si>
  <si>
    <t>Threshold Setting</t>
  </si>
  <si>
    <t xml:space="preserve"> Particle Size</t>
  </si>
  <si>
    <t>Threshold Settings corresponding to Sizes of Interest</t>
  </si>
  <si>
    <t>Particle Concentration</t>
  </si>
  <si>
    <t>Particle Size</t>
  </si>
  <si>
    <t>Data from Table 3</t>
  </si>
  <si>
    <r>
      <t xml:space="preserve">Enter all of the threshold  settings determined in 6.3 in column A </t>
    </r>
    <r>
      <rPr>
        <u/>
        <sz val="11"/>
        <color theme="1"/>
        <rFont val="Calibri"/>
        <family val="2"/>
        <scheme val="minor"/>
      </rPr>
      <t>in order of decreasing value of threshold  setting</t>
    </r>
    <r>
      <rPr>
        <sz val="11"/>
        <color theme="1"/>
        <rFont val="Calibri"/>
        <family val="2"/>
        <scheme val="minor"/>
      </rPr>
      <t>. For each calibration suspension sample, enter the  values of X̅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obtained for each threshold setting actually used for a sample in the appropriate cells of columns B, C or D.  If a threshold setting was not used for a particular sample, leave the cell for that sample blank. </t>
    </r>
  </si>
  <si>
    <t>Enter the  particle size and concentration data from the Particle Size Calibration Summary portion of Table 4  in columns F and G.  Enter in Table 4 the corresponding  interpolated threshold voltage setting displayed in column  H of this worksheet.</t>
  </si>
  <si>
    <r>
      <t xml:space="preserve">Enter the particle sizes and corresponding threshold settings from Table 4 (also columns F and H of the Clause 6.9 worksheet) </t>
    </r>
    <r>
      <rPr>
        <u/>
        <sz val="11"/>
        <color theme="1"/>
        <rFont val="Calibri"/>
        <family val="2"/>
        <scheme val="minor"/>
      </rPr>
      <t>in order of increasing value of particle size</t>
    </r>
    <r>
      <rPr>
        <sz val="11"/>
        <color theme="1"/>
        <rFont val="Calibri"/>
        <family val="2"/>
        <scheme val="minor"/>
      </rPr>
      <t>.</t>
    </r>
  </si>
  <si>
    <r>
      <t xml:space="preserve">Enter particle sizes of interest (that lie within the range of the data in column A) </t>
    </r>
    <r>
      <rPr>
        <u/>
        <sz val="11"/>
        <color theme="1"/>
        <rFont val="Calibri"/>
        <family val="2"/>
        <scheme val="minor"/>
      </rPr>
      <t>in order of increasing particle size</t>
    </r>
    <r>
      <rPr>
        <sz val="11"/>
        <color theme="1"/>
        <rFont val="Calibri"/>
        <family val="2"/>
        <scheme val="minor"/>
      </rPr>
      <t>. The corresponding interpolated threshold voltage settings are displayed in column D.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</si>
</sst>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6" x14ac:knownFonts="1"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u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DEEBF7"/>
        <bgColor rgb="FFD9D9D9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3" borderId="0" xfId="0" applyFill="1"/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wrapText="1"/>
    </xf>
    <xf numFmtId="0" fontId="2" fillId="3" borderId="1" xfId="0" applyFont="1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 vertical="center" wrapText="1"/>
    </xf>
    <xf numFmtId="0" fontId="0" fillId="2" borderId="1" xfId="0" applyFill="1" applyBorder="1" applyProtection="1">
      <protection locked="0"/>
    </xf>
    <xf numFmtId="0" fontId="0" fillId="0" borderId="1" xfId="0" applyBorder="1"/>
    <xf numFmtId="0" fontId="0" fillId="7" borderId="1" xfId="0" applyFill="1" applyBorder="1"/>
    <xf numFmtId="0" fontId="3" fillId="3" borderId="0" xfId="0" applyFont="1" applyFill="1"/>
    <xf numFmtId="0" fontId="3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wrapText="1"/>
    </xf>
    <xf numFmtId="0" fontId="3" fillId="3" borderId="0" xfId="0" applyFont="1" applyFill="1" applyAlignment="1">
      <alignment horizontal="center" wrapText="1"/>
    </xf>
    <xf numFmtId="0" fontId="4" fillId="3" borderId="1" xfId="0" applyFont="1" applyFill="1" applyBorder="1" applyAlignment="1">
      <alignment horizontal="center"/>
    </xf>
    <xf numFmtId="164" fontId="3" fillId="6" borderId="1" xfId="0" applyNumberFormat="1" applyFont="1" applyFill="1" applyBorder="1"/>
    <xf numFmtId="1" fontId="3" fillId="2" borderId="1" xfId="0" applyNumberFormat="1" applyFont="1" applyFill="1" applyBorder="1" applyProtection="1">
      <protection locked="0"/>
    </xf>
    <xf numFmtId="0" fontId="3" fillId="4" borderId="1" xfId="0" applyFont="1" applyFill="1" applyBorder="1"/>
    <xf numFmtId="0" fontId="3" fillId="6" borderId="1" xfId="0" applyFont="1" applyFill="1" applyBorder="1"/>
    <xf numFmtId="0" fontId="3" fillId="3" borderId="2" xfId="0" applyFont="1" applyFill="1" applyBorder="1"/>
    <xf numFmtId="0" fontId="3" fillId="3" borderId="3" xfId="0" applyFont="1" applyFill="1" applyBorder="1"/>
    <xf numFmtId="0" fontId="3" fillId="3" borderId="1" xfId="0" applyFont="1" applyFill="1" applyBorder="1" applyAlignment="1">
      <alignment horizontal="center" vertical="center" wrapText="1"/>
    </xf>
    <xf numFmtId="164" fontId="0" fillId="8" borderId="1" xfId="0" applyNumberFormat="1" applyFill="1" applyBorder="1"/>
    <xf numFmtId="0" fontId="0" fillId="3" borderId="1" xfId="0" applyFill="1" applyBorder="1" applyAlignment="1">
      <alignment vertical="center" wrapText="1"/>
    </xf>
    <xf numFmtId="0" fontId="0" fillId="3" borderId="1" xfId="0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0" fillId="3" borderId="1" xfId="0" applyFill="1" applyBorder="1" applyAlignment="1">
      <alignment wrapText="1"/>
    </xf>
    <xf numFmtId="0" fontId="3" fillId="3" borderId="1" xfId="0" applyFont="1" applyFill="1" applyBorder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APC Calibration Curve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'Clause 6.15'!$D$4</c:f>
              <c:strCache>
                <c:ptCount val="1"/>
                <c:pt idx="0">
                  <c:v>mV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'Clause 6.15'!$C$5:$C$106</c:f>
              <c:numCache>
                <c:formatCode>0.0</c:formatCode>
                <c:ptCount val="102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16</c:v>
                </c:pt>
                <c:pt idx="12">
                  <c:v>15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  <c:pt idx="18">
                  <c:v>21</c:v>
                </c:pt>
                <c:pt idx="19">
                  <c:v>22</c:v>
                </c:pt>
                <c:pt idx="20">
                  <c:v>23</c:v>
                </c:pt>
                <c:pt idx="21">
                  <c:v>24</c:v>
                </c:pt>
                <c:pt idx="22">
                  <c:v>25</c:v>
                </c:pt>
                <c:pt idx="23">
                  <c:v>26</c:v>
                </c:pt>
                <c:pt idx="24">
                  <c:v>27</c:v>
                </c:pt>
                <c:pt idx="25">
                  <c:v>28</c:v>
                </c:pt>
                <c:pt idx="26">
                  <c:v>29</c:v>
                </c:pt>
                <c:pt idx="27">
                  <c:v>30</c:v>
                </c:pt>
                <c:pt idx="28">
                  <c:v>38</c:v>
                </c:pt>
                <c:pt idx="29">
                  <c:v>50</c:v>
                </c:pt>
                <c:pt idx="30">
                  <c:v>70</c:v>
                </c:pt>
              </c:numCache>
            </c:numRef>
          </c:xVal>
          <c:yVal>
            <c:numRef>
              <c:f>'Clause 6.15'!$D$5:$D$106</c:f>
              <c:numCache>
                <c:formatCode>0</c:formatCode>
                <c:ptCount val="102"/>
                <c:pt idx="0">
                  <c:v>0</c:v>
                </c:pt>
                <c:pt idx="1">
                  <c:v>162.49432704785599</c:v>
                </c:pt>
                <c:pt idx="2">
                  <c:v>192.592314534906</c:v>
                </c:pt>
                <c:pt idx="3">
                  <c:v>228.26519726432301</c:v>
                </c:pt>
                <c:pt idx="4">
                  <c:v>270.54558437572803</c:v>
                </c:pt>
                <c:pt idx="5">
                  <c:v>320.65734988258799</c:v>
                </c:pt>
                <c:pt idx="6">
                  <c:v>380.05105967994302</c:v>
                </c:pt>
                <c:pt idx="7">
                  <c:v>450.44596051434701</c:v>
                </c:pt>
                <c:pt idx="8">
                  <c:v>533.87974635451496</c:v>
                </c:pt>
                <c:pt idx="9">
                  <c:v>632.76754273054007</c:v>
                </c:pt>
                <c:pt idx="10">
                  <c:v>749.97181643854606</c:v>
                </c:pt>
                <c:pt idx="11">
                  <c:v>1053.52886917467</c:v>
                </c:pt>
                <c:pt idx="12">
                  <c:v>888.88523425995504</c:v>
                </c:pt>
                <c:pt idx="13">
                  <c:v>1053.52886917467</c:v>
                </c:pt>
                <c:pt idx="14">
                  <c:v>1248.6685968054501</c:v>
                </c:pt>
                <c:pt idx="15">
                  <c:v>1479.9530513763098</c:v>
                </c:pt>
                <c:pt idx="16">
                  <c:v>1754.0771345427802</c:v>
                </c:pt>
                <c:pt idx="17">
                  <c:v>2078.9758101207904</c:v>
                </c:pt>
                <c:pt idx="18">
                  <c:v>2464.0537944153903</c:v>
                </c:pt>
                <c:pt idx="19">
                  <c:v>2920.4577909062409</c:v>
                </c:pt>
                <c:pt idx="20">
                  <c:v>3461.3991495622004</c:v>
                </c:pt>
                <c:pt idx="21">
                  <c:v>4102.5362906792998</c:v>
                </c:pt>
                <c:pt idx="22">
                  <c:v>4862.427963117002</c:v>
                </c:pt>
                <c:pt idx="23">
                  <c:v>5763.0704572237391</c:v>
                </c:pt>
                <c:pt idx="24">
                  <c:v>6830.5343229464106</c:v>
                </c:pt>
                <c:pt idx="25">
                  <c:v>8095.7190239566771</c:v>
                </c:pt>
                <c:pt idx="26">
                  <c:v>9595.2473724753363</c:v>
                </c:pt>
                <c:pt idx="27">
                  <c:v>11372.525635656588</c:v>
                </c:pt>
                <c:pt idx="28">
                  <c:v>13478.999999999993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8A-4E22-8529-676EB2ACC6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2606608"/>
        <c:axId val="422602296"/>
      </c:scatterChart>
      <c:valAx>
        <c:axId val="42260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Particle</a:t>
                </a:r>
                <a:r>
                  <a:rPr lang="en-US" b="1" baseline="0">
                    <a:solidFill>
                      <a:sysClr val="windowText" lastClr="000000"/>
                    </a:solidFill>
                  </a:rPr>
                  <a:t> Size, µm(c) </a:t>
                </a:r>
                <a:endParaRPr lang="en-US" b="1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602296"/>
        <c:crosses val="autoZero"/>
        <c:crossBetween val="midCat"/>
      </c:valAx>
      <c:valAx>
        <c:axId val="42260229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Threshold Voltage Setting, mV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606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34925</xdr:colOff>
      <xdr:row>4</xdr:row>
      <xdr:rowOff>66675</xdr:rowOff>
    </xdr:from>
    <xdr:to>
      <xdr:col>12</xdr:col>
      <xdr:colOff>603250</xdr:colOff>
      <xdr:row>24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I107"/>
  <sheetViews>
    <sheetView zoomScaleNormal="100" workbookViewId="0">
      <pane ySplit="4" topLeftCell="A5" activePane="bottomLeft" state="frozen"/>
      <selection pane="bottomLeft" activeCell="G33" sqref="G33"/>
    </sheetView>
  </sheetViews>
  <sheetFormatPr defaultColWidth="8.921875" defaultRowHeight="14.6" x14ac:dyDescent="0.4"/>
  <cols>
    <col min="1" max="1" width="8.921875" style="1"/>
    <col min="2" max="9" width="20.53515625" style="1" customWidth="1"/>
    <col min="10" max="11" width="14.53515625" style="1" customWidth="1"/>
    <col min="12" max="16384" width="8.921875" style="1"/>
  </cols>
  <sheetData>
    <row r="1" spans="1:9" x14ac:dyDescent="0.4">
      <c r="B1" s="25" t="s">
        <v>15</v>
      </c>
      <c r="C1" s="25"/>
      <c r="D1" s="25"/>
      <c r="E1" s="25"/>
      <c r="F1" s="25"/>
      <c r="G1" s="25" t="s">
        <v>9</v>
      </c>
      <c r="H1" s="25"/>
      <c r="I1" s="25"/>
    </row>
    <row r="2" spans="1:9" ht="59.4" customHeight="1" x14ac:dyDescent="0.4">
      <c r="B2" s="24" t="s">
        <v>16</v>
      </c>
      <c r="C2" s="24"/>
      <c r="D2" s="24"/>
      <c r="E2" s="24"/>
      <c r="F2" s="24"/>
      <c r="G2" s="24" t="s">
        <v>17</v>
      </c>
      <c r="H2" s="24"/>
      <c r="I2" s="24"/>
    </row>
    <row r="3" spans="1:9" ht="29.15" x14ac:dyDescent="0.4">
      <c r="B3" s="3" t="s">
        <v>1</v>
      </c>
      <c r="C3" s="7" t="s">
        <v>6</v>
      </c>
      <c r="D3" s="7" t="s">
        <v>7</v>
      </c>
      <c r="E3" s="7" t="s">
        <v>8</v>
      </c>
      <c r="F3" s="7" t="s">
        <v>5</v>
      </c>
      <c r="G3" s="2" t="s">
        <v>11</v>
      </c>
      <c r="H3" s="3" t="s">
        <v>13</v>
      </c>
      <c r="I3" s="3" t="s">
        <v>3</v>
      </c>
    </row>
    <row r="4" spans="1:9" x14ac:dyDescent="0.4">
      <c r="B4" s="3" t="s">
        <v>0</v>
      </c>
      <c r="C4" s="3" t="s">
        <v>2</v>
      </c>
      <c r="D4" s="3" t="s">
        <v>2</v>
      </c>
      <c r="E4" s="3" t="s">
        <v>2</v>
      </c>
      <c r="F4" s="3" t="s">
        <v>2</v>
      </c>
      <c r="G4" s="4" t="s">
        <v>4</v>
      </c>
      <c r="H4" s="3" t="s">
        <v>2</v>
      </c>
      <c r="I4" s="3" t="s">
        <v>0</v>
      </c>
    </row>
    <row r="5" spans="1:9" x14ac:dyDescent="0.4">
      <c r="A5" s="1">
        <v>28</v>
      </c>
      <c r="B5" s="5">
        <v>13479</v>
      </c>
      <c r="C5" s="9">
        <v>12.700889948972501</v>
      </c>
      <c r="D5" s="9">
        <v>12.700889948972501</v>
      </c>
      <c r="E5" s="9">
        <v>12.700889948972501</v>
      </c>
      <c r="F5" s="10">
        <f>AVERAGE(C5:E5)</f>
        <v>12.700889948972501</v>
      </c>
      <c r="G5" s="6">
        <v>4</v>
      </c>
      <c r="H5" s="6">
        <v>10898.56</v>
      </c>
      <c r="I5" s="8">
        <f>CubicSpline(H5,$F$5:$F$107,$B$5:$B$107)</f>
        <v>224.31204123300404</v>
      </c>
    </row>
    <row r="6" spans="1:9" x14ac:dyDescent="0.4">
      <c r="A6" s="1">
        <v>27</v>
      </c>
      <c r="B6" s="5">
        <v>11372.525635653499</v>
      </c>
      <c r="C6" s="9">
        <v>20.222186693482598</v>
      </c>
      <c r="D6" s="9">
        <v>20.222186693482598</v>
      </c>
      <c r="E6" s="9">
        <v>20.222186693482598</v>
      </c>
      <c r="F6" s="10">
        <f t="shared" ref="F6:F69" si="0">AVERAGE(C6:E6)</f>
        <v>20.222186693482598</v>
      </c>
      <c r="G6" s="6">
        <v>5</v>
      </c>
      <c r="H6" s="6">
        <v>6986.32</v>
      </c>
      <c r="I6" s="8">
        <f t="shared" ref="I6:I69" si="1">CubicSpline(H6,$F$5:$F$107,$B$5:$B$107)</f>
        <v>363.42514557856543</v>
      </c>
    </row>
    <row r="7" spans="1:9" x14ac:dyDescent="0.4">
      <c r="A7" s="1">
        <v>26</v>
      </c>
      <c r="B7" s="5">
        <v>9595.2473724753308</v>
      </c>
      <c r="C7" s="9">
        <v>30.634513060343298</v>
      </c>
      <c r="D7" s="9">
        <v>30.634513060343298</v>
      </c>
      <c r="E7" s="9">
        <v>30.634513060343298</v>
      </c>
      <c r="F7" s="10">
        <f t="shared" si="0"/>
        <v>30.634513060343298</v>
      </c>
      <c r="G7" s="6">
        <v>6</v>
      </c>
      <c r="H7" s="6">
        <v>4679.6499999999996</v>
      </c>
      <c r="I7" s="8">
        <f t="shared" si="1"/>
        <v>503.85946258291057</v>
      </c>
    </row>
    <row r="8" spans="1:9" x14ac:dyDescent="0.4">
      <c r="A8" s="1">
        <v>25</v>
      </c>
      <c r="B8" s="5">
        <v>8095.7190239566798</v>
      </c>
      <c r="C8" s="9">
        <v>45.419944430913702</v>
      </c>
      <c r="D8" s="9">
        <v>45.419944430913702</v>
      </c>
      <c r="E8" s="9">
        <v>45.419944430913702</v>
      </c>
      <c r="F8" s="10">
        <f t="shared" si="0"/>
        <v>45.419944430913709</v>
      </c>
      <c r="G8" s="6">
        <v>7</v>
      </c>
      <c r="H8" s="6">
        <v>3163.23</v>
      </c>
      <c r="I8" s="8">
        <f t="shared" si="1"/>
        <v>695.99300356658739</v>
      </c>
    </row>
    <row r="9" spans="1:9" x14ac:dyDescent="0.4">
      <c r="A9" s="1">
        <v>24</v>
      </c>
      <c r="B9" s="5">
        <v>6830.5343229464097</v>
      </c>
      <c r="C9" s="9">
        <v>65.515580629266296</v>
      </c>
      <c r="D9" s="9">
        <v>65.515580629266296</v>
      </c>
      <c r="E9" s="9">
        <v>65.515580629266296</v>
      </c>
      <c r="F9" s="10">
        <f t="shared" si="0"/>
        <v>65.515580629266296</v>
      </c>
      <c r="G9" s="6">
        <v>8</v>
      </c>
      <c r="H9" s="6">
        <v>2175.4699999999998</v>
      </c>
      <c r="I9" s="8">
        <f t="shared" si="1"/>
        <v>904.50203939946675</v>
      </c>
    </row>
    <row r="10" spans="1:9" x14ac:dyDescent="0.4">
      <c r="A10" s="1">
        <v>23</v>
      </c>
      <c r="B10" s="5">
        <v>5763.07045722374</v>
      </c>
      <c r="C10" s="9">
        <v>92.994133605231099</v>
      </c>
      <c r="D10" s="9">
        <v>92.994133605231099</v>
      </c>
      <c r="E10" s="9">
        <v>92.994133605231099</v>
      </c>
      <c r="F10" s="10">
        <f t="shared" si="0"/>
        <v>92.994133605231085</v>
      </c>
      <c r="G10" s="6">
        <v>9</v>
      </c>
      <c r="H10" s="6">
        <v>1512.11</v>
      </c>
      <c r="I10" s="8">
        <f t="shared" si="1"/>
        <v>1139.4345469507964</v>
      </c>
    </row>
    <row r="11" spans="1:9" x14ac:dyDescent="0.4">
      <c r="A11" s="1">
        <v>22</v>
      </c>
      <c r="B11" s="5">
        <v>4862.4279631170002</v>
      </c>
      <c r="C11" s="9">
        <v>129.20508073638601</v>
      </c>
      <c r="D11" s="9">
        <v>129.20508073638601</v>
      </c>
      <c r="E11" s="9">
        <v>129.20508073638601</v>
      </c>
      <c r="F11" s="10">
        <f t="shared" si="0"/>
        <v>129.20508073638601</v>
      </c>
      <c r="G11" s="6">
        <v>10</v>
      </c>
      <c r="H11" s="6">
        <v>1079.78</v>
      </c>
      <c r="I11" s="8">
        <f t="shared" si="1"/>
        <v>1399.5803341796095</v>
      </c>
    </row>
    <row r="12" spans="1:9" x14ac:dyDescent="0.4">
      <c r="A12" s="1">
        <v>21</v>
      </c>
      <c r="B12" s="5">
        <v>4102.5362906792998</v>
      </c>
      <c r="C12" s="9">
        <v>177.03983029582099</v>
      </c>
      <c r="D12" s="9">
        <v>177.03983029582099</v>
      </c>
      <c r="E12" s="9">
        <v>177.03983029582099</v>
      </c>
      <c r="F12" s="10">
        <f t="shared" si="0"/>
        <v>177.03983029582096</v>
      </c>
      <c r="G12" s="6">
        <v>11</v>
      </c>
      <c r="H12" s="6">
        <v>786.62</v>
      </c>
      <c r="I12" s="8">
        <f t="shared" si="1"/>
        <v>1692.2965010143421</v>
      </c>
    </row>
    <row r="13" spans="1:9" x14ac:dyDescent="0.4">
      <c r="A13" s="1">
        <v>20</v>
      </c>
      <c r="B13" s="5">
        <v>3461.3991495621999</v>
      </c>
      <c r="C13" s="9">
        <v>217.59303432236001</v>
      </c>
      <c r="D13" s="9">
        <v>217.59303432236001</v>
      </c>
      <c r="E13" s="9">
        <v>217.59303432236001</v>
      </c>
      <c r="F13" s="10">
        <f t="shared" si="0"/>
        <v>217.59303432236001</v>
      </c>
      <c r="G13" s="6">
        <v>12</v>
      </c>
      <c r="H13" s="6">
        <v>586.05999999999995</v>
      </c>
      <c r="I13" s="8">
        <f t="shared" si="1"/>
        <v>2017.0639954078283</v>
      </c>
    </row>
    <row r="14" spans="1:9" x14ac:dyDescent="0.4">
      <c r="A14" s="1">
        <v>19</v>
      </c>
      <c r="B14" s="5">
        <v>2920.45779090624</v>
      </c>
      <c r="C14" s="9">
        <v>316.91961139703898</v>
      </c>
      <c r="D14" s="9">
        <v>316.91961139703898</v>
      </c>
      <c r="E14" s="9">
        <v>316.91961139703898</v>
      </c>
      <c r="F14" s="10">
        <f t="shared" si="0"/>
        <v>316.91961139703898</v>
      </c>
      <c r="G14" s="6">
        <v>13</v>
      </c>
      <c r="H14" s="6">
        <v>449.93</v>
      </c>
      <c r="I14" s="8">
        <f t="shared" si="1"/>
        <v>2357.5789225397834</v>
      </c>
    </row>
    <row r="15" spans="1:9" x14ac:dyDescent="0.4">
      <c r="A15" s="1">
        <v>18</v>
      </c>
      <c r="B15" s="5">
        <v>2464.0537944153898</v>
      </c>
      <c r="C15" s="9">
        <v>417.37622034948402</v>
      </c>
      <c r="D15" s="9">
        <v>417.37622034948402</v>
      </c>
      <c r="E15" s="9">
        <v>417.37622034948402</v>
      </c>
      <c r="F15" s="10">
        <f t="shared" si="0"/>
        <v>417.37622034948407</v>
      </c>
      <c r="G15" s="6">
        <v>14</v>
      </c>
      <c r="H15" s="6">
        <v>352.62</v>
      </c>
      <c r="I15" s="8">
        <f t="shared" si="1"/>
        <v>2743.1418268544408</v>
      </c>
    </row>
    <row r="16" spans="1:9" x14ac:dyDescent="0.4">
      <c r="A16" s="1">
        <v>17</v>
      </c>
      <c r="B16" s="5">
        <v>2078.9758101207899</v>
      </c>
      <c r="C16" s="9">
        <v>556.53466309970895</v>
      </c>
      <c r="D16" s="9">
        <v>556.53466309970895</v>
      </c>
      <c r="E16" s="9">
        <v>556.53466309970895</v>
      </c>
      <c r="F16" s="10">
        <f t="shared" si="0"/>
        <v>556.53466309970895</v>
      </c>
      <c r="G16" s="6">
        <v>15</v>
      </c>
      <c r="H16" s="6">
        <v>282.04000000000002</v>
      </c>
      <c r="I16" s="8">
        <f t="shared" si="1"/>
        <v>3082.085324520112</v>
      </c>
    </row>
    <row r="17" spans="1:9" x14ac:dyDescent="0.4">
      <c r="A17" s="1">
        <v>16</v>
      </c>
      <c r="B17" s="5">
        <v>1754.07713454278</v>
      </c>
      <c r="C17" s="9">
        <v>740.10328477359599</v>
      </c>
      <c r="D17" s="9">
        <v>740.10328477359599</v>
      </c>
      <c r="E17" s="9">
        <v>740.10328477359599</v>
      </c>
      <c r="F17" s="10">
        <f t="shared" si="0"/>
        <v>740.10328477359599</v>
      </c>
      <c r="G17" s="6">
        <v>16</v>
      </c>
      <c r="H17" s="6">
        <v>229.42</v>
      </c>
      <c r="I17" s="8">
        <f t="shared" si="1"/>
        <v>3372.0067566412322</v>
      </c>
    </row>
    <row r="18" spans="1:9" x14ac:dyDescent="0.4">
      <c r="A18" s="1">
        <v>15</v>
      </c>
      <c r="B18" s="5">
        <v>1479.95305137631</v>
      </c>
      <c r="C18" s="9">
        <v>983.40114205326495</v>
      </c>
      <c r="D18" s="9">
        <v>983.40114205326495</v>
      </c>
      <c r="E18" s="9">
        <v>983.40114205326495</v>
      </c>
      <c r="F18" s="10">
        <f t="shared" si="0"/>
        <v>983.40114205326483</v>
      </c>
      <c r="G18" s="6">
        <v>17</v>
      </c>
      <c r="H18" s="6">
        <v>186.1</v>
      </c>
      <c r="I18" s="8">
        <f t="shared" si="1"/>
        <v>3946.9728306211814</v>
      </c>
    </row>
    <row r="19" spans="1:9" x14ac:dyDescent="0.4">
      <c r="A19" s="1">
        <v>14</v>
      </c>
      <c r="B19" s="5">
        <v>1248.6685968054501</v>
      </c>
      <c r="C19" s="9">
        <v>1302.3152857790301</v>
      </c>
      <c r="D19" s="9">
        <v>1302.3152857790301</v>
      </c>
      <c r="E19" s="9">
        <v>1302.3152857790301</v>
      </c>
      <c r="F19" s="10">
        <f t="shared" si="0"/>
        <v>1302.3152857790301</v>
      </c>
      <c r="G19" s="6">
        <v>18</v>
      </c>
      <c r="H19" s="6">
        <v>153.87</v>
      </c>
      <c r="I19" s="8">
        <f t="shared" si="1"/>
        <v>4450.1038696693849</v>
      </c>
    </row>
    <row r="20" spans="1:9" x14ac:dyDescent="0.4">
      <c r="A20" s="1">
        <v>13</v>
      </c>
      <c r="B20" s="5">
        <v>1053.52886917467</v>
      </c>
      <c r="C20" s="9">
        <v>1714.6181784171499</v>
      </c>
      <c r="D20" s="9">
        <v>1714.6181784171499</v>
      </c>
      <c r="E20" s="9">
        <v>1714.6181784171499</v>
      </c>
      <c r="F20" s="10">
        <f t="shared" si="0"/>
        <v>1714.6181784171501</v>
      </c>
      <c r="G20" s="6">
        <v>19</v>
      </c>
      <c r="H20" s="6">
        <v>128.62</v>
      </c>
      <c r="I20" s="8">
        <f t="shared" si="1"/>
        <v>4873.8237800059942</v>
      </c>
    </row>
    <row r="21" spans="1:9" x14ac:dyDescent="0.4">
      <c r="A21" s="1">
        <v>12</v>
      </c>
      <c r="B21" s="5">
        <v>888.88523425995504</v>
      </c>
      <c r="C21" s="9">
        <v>2233.8663885953802</v>
      </c>
      <c r="D21" s="9">
        <v>2233.8663885953802</v>
      </c>
      <c r="E21" s="9">
        <v>2233.8663885953802</v>
      </c>
      <c r="F21" s="10">
        <f t="shared" si="0"/>
        <v>2233.8663885953802</v>
      </c>
      <c r="G21" s="6">
        <v>20</v>
      </c>
      <c r="H21" s="6">
        <v>107.35</v>
      </c>
      <c r="I21" s="8">
        <f t="shared" si="1"/>
        <v>5358.6460895461259</v>
      </c>
    </row>
    <row r="22" spans="1:9" x14ac:dyDescent="0.4">
      <c r="A22" s="1">
        <v>11</v>
      </c>
      <c r="B22" s="5">
        <v>749.97181643854606</v>
      </c>
      <c r="C22" s="9">
        <v>2856.2224659356698</v>
      </c>
      <c r="D22" s="9">
        <v>2856.2224659356698</v>
      </c>
      <c r="E22" s="9">
        <v>2856.2224659356698</v>
      </c>
      <c r="F22" s="10">
        <f t="shared" si="0"/>
        <v>2856.2224659356702</v>
      </c>
      <c r="G22" s="6">
        <v>21</v>
      </c>
      <c r="H22" s="6">
        <v>88.64</v>
      </c>
      <c r="I22" s="8">
        <f t="shared" si="1"/>
        <v>5900.6020735560596</v>
      </c>
    </row>
    <row r="23" spans="1:9" x14ac:dyDescent="0.4">
      <c r="A23" s="1">
        <v>10</v>
      </c>
      <c r="B23" s="5">
        <v>632.76754273053996</v>
      </c>
      <c r="C23" s="9">
        <v>3581.04319909892</v>
      </c>
      <c r="D23" s="9">
        <v>3581.04319909892</v>
      </c>
      <c r="E23" s="9">
        <v>3581.04319909892</v>
      </c>
      <c r="F23" s="10">
        <f t="shared" si="0"/>
        <v>3581.04319909892</v>
      </c>
      <c r="G23" s="6">
        <v>22</v>
      </c>
      <c r="H23" s="6">
        <v>75.56</v>
      </c>
      <c r="I23" s="8">
        <f t="shared" si="1"/>
        <v>6383.2897415644575</v>
      </c>
    </row>
    <row r="24" spans="1:9" x14ac:dyDescent="0.4">
      <c r="A24" s="1">
        <v>9</v>
      </c>
      <c r="B24" s="5">
        <v>533.87974635451496</v>
      </c>
      <c r="C24" s="9">
        <v>4392.0572595448803</v>
      </c>
      <c r="D24" s="9">
        <v>4392.0572595448803</v>
      </c>
      <c r="E24" s="9">
        <v>4392.0572595448803</v>
      </c>
      <c r="F24" s="10">
        <f t="shared" si="0"/>
        <v>4392.0572595448803</v>
      </c>
      <c r="G24" s="6">
        <v>23</v>
      </c>
      <c r="H24" s="6">
        <v>61.94</v>
      </c>
      <c r="I24" s="8">
        <f t="shared" si="1"/>
        <v>7011.9121679874679</v>
      </c>
    </row>
    <row r="25" spans="1:9" x14ac:dyDescent="0.4">
      <c r="A25" s="1">
        <v>8</v>
      </c>
      <c r="B25" s="5">
        <v>450.44596051434701</v>
      </c>
      <c r="C25" s="9">
        <v>5291.4402137608804</v>
      </c>
      <c r="D25" s="9">
        <v>5291.4402137608804</v>
      </c>
      <c r="E25" s="9">
        <v>5291.4402137608804</v>
      </c>
      <c r="F25" s="10">
        <f t="shared" si="0"/>
        <v>5291.4402137608804</v>
      </c>
      <c r="G25" s="6">
        <v>24</v>
      </c>
      <c r="H25" s="6">
        <v>50.86</v>
      </c>
      <c r="I25" s="8">
        <f t="shared" si="1"/>
        <v>7694.5865040915305</v>
      </c>
    </row>
    <row r="26" spans="1:9" x14ac:dyDescent="0.4">
      <c r="A26" s="1">
        <v>7</v>
      </c>
      <c r="B26" s="5">
        <v>380.05105967994302</v>
      </c>
      <c r="C26" s="9">
        <v>6660.4235993333496</v>
      </c>
      <c r="D26" s="9">
        <v>6660.4235993333496</v>
      </c>
      <c r="E26" s="9">
        <v>6660.4235993333496</v>
      </c>
      <c r="F26" s="10">
        <f t="shared" si="0"/>
        <v>6660.4235993333496</v>
      </c>
      <c r="G26" s="6">
        <v>25</v>
      </c>
      <c r="H26" s="6">
        <v>41.61</v>
      </c>
      <c r="I26" s="8">
        <f t="shared" si="1"/>
        <v>8413.4859241512495</v>
      </c>
    </row>
    <row r="27" spans="1:9" x14ac:dyDescent="0.4">
      <c r="A27" s="1">
        <v>6</v>
      </c>
      <c r="B27" s="5">
        <v>320.65734988258799</v>
      </c>
      <c r="C27" s="9">
        <v>7870.0778033198203</v>
      </c>
      <c r="D27" s="9">
        <v>7870.0778033198203</v>
      </c>
      <c r="E27" s="9">
        <v>7870.0778033198203</v>
      </c>
      <c r="F27" s="10">
        <f t="shared" si="0"/>
        <v>7870.0778033198194</v>
      </c>
      <c r="G27" s="6">
        <v>26</v>
      </c>
      <c r="H27" s="6">
        <v>33.44</v>
      </c>
      <c r="I27" s="8">
        <f t="shared" si="1"/>
        <v>9252.9286589473686</v>
      </c>
    </row>
    <row r="28" spans="1:9" x14ac:dyDescent="0.4">
      <c r="A28" s="1">
        <v>5</v>
      </c>
      <c r="B28" s="5">
        <v>270.54558437572803</v>
      </c>
      <c r="C28" s="9">
        <v>9211.0313615630203</v>
      </c>
      <c r="D28" s="9">
        <v>9211.0313615630203</v>
      </c>
      <c r="E28" s="9">
        <v>9211.0313615630203</v>
      </c>
      <c r="F28" s="10">
        <f t="shared" si="0"/>
        <v>9211.0313615630203</v>
      </c>
      <c r="G28" s="6">
        <v>27</v>
      </c>
      <c r="H28" s="6">
        <v>26.08</v>
      </c>
      <c r="I28" s="8">
        <f t="shared" si="1"/>
        <v>10263.598068237025</v>
      </c>
    </row>
    <row r="29" spans="1:9" x14ac:dyDescent="0.4">
      <c r="A29" s="1">
        <v>4</v>
      </c>
      <c r="B29" s="5">
        <v>228.26519726432301</v>
      </c>
      <c r="C29" s="9">
        <v>10734.688908870099</v>
      </c>
      <c r="D29" s="9">
        <v>10734.688908870099</v>
      </c>
      <c r="E29" s="9">
        <v>10734.688908870099</v>
      </c>
      <c r="F29" s="10">
        <f t="shared" si="0"/>
        <v>10734.688908870099</v>
      </c>
      <c r="G29" s="6">
        <v>28</v>
      </c>
      <c r="H29" s="6">
        <v>20.41</v>
      </c>
      <c r="I29" s="8">
        <f t="shared" si="1"/>
        <v>11332.822405896972</v>
      </c>
    </row>
    <row r="30" spans="1:9" x14ac:dyDescent="0.4">
      <c r="A30" s="1">
        <v>3</v>
      </c>
      <c r="B30" s="5">
        <v>192.592314534906</v>
      </c>
      <c r="C30" s="9">
        <v>12383.8248895995</v>
      </c>
      <c r="D30" s="9">
        <v>12383.8248895995</v>
      </c>
      <c r="E30" s="9">
        <v>12383.8248895995</v>
      </c>
      <c r="F30" s="10">
        <f t="shared" si="0"/>
        <v>12383.8248895995</v>
      </c>
      <c r="G30" s="6">
        <v>29</v>
      </c>
      <c r="H30" s="6">
        <v>16.39</v>
      </c>
      <c r="I30" s="8">
        <f t="shared" si="1"/>
        <v>12350.60104381722</v>
      </c>
    </row>
    <row r="31" spans="1:9" x14ac:dyDescent="0.4">
      <c r="A31" s="1">
        <v>2</v>
      </c>
      <c r="B31" s="5">
        <v>162.49432704785599</v>
      </c>
      <c r="C31" s="9">
        <v>14323.1547737773</v>
      </c>
      <c r="D31" s="9">
        <v>14323.1547737773</v>
      </c>
      <c r="E31" s="9">
        <v>14323.1547737773</v>
      </c>
      <c r="F31" s="10">
        <f t="shared" si="0"/>
        <v>14323.1547737773</v>
      </c>
      <c r="G31" s="6">
        <v>30</v>
      </c>
      <c r="H31" s="6">
        <v>13.94</v>
      </c>
      <c r="I31" s="8">
        <f t="shared" si="1"/>
        <v>13091.0030363842</v>
      </c>
    </row>
    <row r="32" spans="1:9" x14ac:dyDescent="0.4">
      <c r="A32" s="1">
        <v>1</v>
      </c>
      <c r="B32" s="5">
        <v>137.1</v>
      </c>
      <c r="C32" s="9">
        <v>16444.2173710842</v>
      </c>
      <c r="D32" s="9">
        <v>16444.2173710842</v>
      </c>
      <c r="E32" s="9">
        <v>16444.2173710842</v>
      </c>
      <c r="F32" s="10">
        <f t="shared" si="0"/>
        <v>16444.2173710842</v>
      </c>
      <c r="G32" s="6"/>
      <c r="H32" s="6"/>
      <c r="I32" s="8">
        <f t="shared" si="1"/>
        <v>0</v>
      </c>
    </row>
    <row r="33" spans="2:9" x14ac:dyDescent="0.4">
      <c r="B33" s="5"/>
      <c r="C33" s="9"/>
      <c r="D33" s="9"/>
      <c r="E33" s="9"/>
      <c r="F33" s="10" t="e">
        <f t="shared" si="0"/>
        <v>#DIV/0!</v>
      </c>
      <c r="G33" s="6"/>
      <c r="H33" s="6"/>
      <c r="I33" s="8">
        <f t="shared" si="1"/>
        <v>0</v>
      </c>
    </row>
    <row r="34" spans="2:9" x14ac:dyDescent="0.4">
      <c r="B34" s="5"/>
      <c r="C34" s="9"/>
      <c r="D34" s="9"/>
      <c r="E34" s="9"/>
      <c r="F34" s="10" t="e">
        <f t="shared" si="0"/>
        <v>#DIV/0!</v>
      </c>
      <c r="G34" s="6"/>
      <c r="H34" s="6"/>
      <c r="I34" s="8">
        <f t="shared" si="1"/>
        <v>0</v>
      </c>
    </row>
    <row r="35" spans="2:9" x14ac:dyDescent="0.4">
      <c r="B35" s="5"/>
      <c r="C35" s="9"/>
      <c r="D35" s="9"/>
      <c r="E35" s="9"/>
      <c r="F35" s="10" t="e">
        <f t="shared" si="0"/>
        <v>#DIV/0!</v>
      </c>
      <c r="G35" s="6"/>
      <c r="H35" s="6"/>
      <c r="I35" s="8">
        <f t="shared" si="1"/>
        <v>0</v>
      </c>
    </row>
    <row r="36" spans="2:9" x14ac:dyDescent="0.4">
      <c r="B36" s="5"/>
      <c r="C36" s="9"/>
      <c r="D36" s="9"/>
      <c r="E36" s="9"/>
      <c r="F36" s="10" t="e">
        <f t="shared" si="0"/>
        <v>#DIV/0!</v>
      </c>
      <c r="G36" s="6"/>
      <c r="H36" s="6"/>
      <c r="I36" s="8">
        <f t="shared" si="1"/>
        <v>0</v>
      </c>
    </row>
    <row r="37" spans="2:9" x14ac:dyDescent="0.4">
      <c r="B37" s="5"/>
      <c r="C37" s="9"/>
      <c r="D37" s="9"/>
      <c r="E37" s="9"/>
      <c r="F37" s="10" t="e">
        <f t="shared" si="0"/>
        <v>#DIV/0!</v>
      </c>
      <c r="G37" s="6"/>
      <c r="H37" s="6"/>
      <c r="I37" s="8">
        <f t="shared" si="1"/>
        <v>0</v>
      </c>
    </row>
    <row r="38" spans="2:9" x14ac:dyDescent="0.4">
      <c r="B38" s="5"/>
      <c r="C38" s="9"/>
      <c r="D38" s="9"/>
      <c r="E38" s="9"/>
      <c r="F38" s="10" t="e">
        <f t="shared" si="0"/>
        <v>#DIV/0!</v>
      </c>
      <c r="G38" s="6"/>
      <c r="H38" s="6"/>
      <c r="I38" s="8">
        <f t="shared" si="1"/>
        <v>0</v>
      </c>
    </row>
    <row r="39" spans="2:9" x14ac:dyDescent="0.4">
      <c r="B39" s="5"/>
      <c r="C39" s="9"/>
      <c r="D39" s="9"/>
      <c r="E39" s="9"/>
      <c r="F39" s="10" t="e">
        <f t="shared" si="0"/>
        <v>#DIV/0!</v>
      </c>
      <c r="G39" s="6"/>
      <c r="H39" s="6"/>
      <c r="I39" s="8">
        <f t="shared" si="1"/>
        <v>0</v>
      </c>
    </row>
    <row r="40" spans="2:9" x14ac:dyDescent="0.4">
      <c r="B40" s="5"/>
      <c r="C40" s="9"/>
      <c r="D40" s="9"/>
      <c r="E40" s="9"/>
      <c r="F40" s="10" t="e">
        <f t="shared" si="0"/>
        <v>#DIV/0!</v>
      </c>
      <c r="G40" s="6"/>
      <c r="H40" s="6"/>
      <c r="I40" s="8">
        <f t="shared" si="1"/>
        <v>0</v>
      </c>
    </row>
    <row r="41" spans="2:9" x14ac:dyDescent="0.4">
      <c r="B41" s="5"/>
      <c r="C41" s="9"/>
      <c r="D41" s="9"/>
      <c r="E41" s="9"/>
      <c r="F41" s="10" t="e">
        <f t="shared" si="0"/>
        <v>#DIV/0!</v>
      </c>
      <c r="G41" s="6"/>
      <c r="H41" s="6"/>
      <c r="I41" s="8">
        <f t="shared" si="1"/>
        <v>0</v>
      </c>
    </row>
    <row r="42" spans="2:9" x14ac:dyDescent="0.4">
      <c r="B42" s="5"/>
      <c r="C42" s="9"/>
      <c r="D42" s="9"/>
      <c r="E42" s="9"/>
      <c r="F42" s="10" t="e">
        <f t="shared" si="0"/>
        <v>#DIV/0!</v>
      </c>
      <c r="G42" s="6"/>
      <c r="H42" s="6"/>
      <c r="I42" s="8">
        <f t="shared" si="1"/>
        <v>0</v>
      </c>
    </row>
    <row r="43" spans="2:9" x14ac:dyDescent="0.4">
      <c r="B43" s="5"/>
      <c r="C43" s="9"/>
      <c r="D43" s="9"/>
      <c r="E43" s="9"/>
      <c r="F43" s="10" t="e">
        <f t="shared" si="0"/>
        <v>#DIV/0!</v>
      </c>
      <c r="G43" s="6"/>
      <c r="H43" s="6"/>
      <c r="I43" s="8">
        <f t="shared" si="1"/>
        <v>0</v>
      </c>
    </row>
    <row r="44" spans="2:9" x14ac:dyDescent="0.4">
      <c r="B44" s="5"/>
      <c r="C44" s="9"/>
      <c r="D44" s="9"/>
      <c r="E44" s="9"/>
      <c r="F44" s="10" t="e">
        <f t="shared" si="0"/>
        <v>#DIV/0!</v>
      </c>
      <c r="G44" s="6"/>
      <c r="H44" s="6"/>
      <c r="I44" s="8">
        <f t="shared" si="1"/>
        <v>0</v>
      </c>
    </row>
    <row r="45" spans="2:9" x14ac:dyDescent="0.4">
      <c r="B45" s="5"/>
      <c r="C45" s="9"/>
      <c r="D45" s="9"/>
      <c r="E45" s="9"/>
      <c r="F45" s="10" t="e">
        <f t="shared" si="0"/>
        <v>#DIV/0!</v>
      </c>
      <c r="G45" s="6"/>
      <c r="H45" s="6"/>
      <c r="I45" s="8">
        <f t="shared" si="1"/>
        <v>0</v>
      </c>
    </row>
    <row r="46" spans="2:9" x14ac:dyDescent="0.4">
      <c r="B46" s="5"/>
      <c r="C46" s="9"/>
      <c r="D46" s="9"/>
      <c r="E46" s="9"/>
      <c r="F46" s="10" t="e">
        <f t="shared" si="0"/>
        <v>#DIV/0!</v>
      </c>
      <c r="G46" s="6"/>
      <c r="H46" s="6"/>
      <c r="I46" s="8">
        <f t="shared" si="1"/>
        <v>0</v>
      </c>
    </row>
    <row r="47" spans="2:9" x14ac:dyDescent="0.4">
      <c r="B47" s="5"/>
      <c r="C47" s="9"/>
      <c r="D47" s="9"/>
      <c r="E47" s="9"/>
      <c r="F47" s="10" t="e">
        <f t="shared" si="0"/>
        <v>#DIV/0!</v>
      </c>
      <c r="G47" s="6"/>
      <c r="H47" s="6"/>
      <c r="I47" s="8">
        <f t="shared" si="1"/>
        <v>0</v>
      </c>
    </row>
    <row r="48" spans="2:9" x14ac:dyDescent="0.4">
      <c r="B48" s="5"/>
      <c r="C48" s="9"/>
      <c r="D48" s="9"/>
      <c r="E48" s="9"/>
      <c r="F48" s="10" t="e">
        <f t="shared" si="0"/>
        <v>#DIV/0!</v>
      </c>
      <c r="G48" s="6"/>
      <c r="H48" s="6"/>
      <c r="I48" s="8">
        <f t="shared" si="1"/>
        <v>0</v>
      </c>
    </row>
    <row r="49" spans="2:9" x14ac:dyDescent="0.4">
      <c r="B49" s="5"/>
      <c r="C49" s="9"/>
      <c r="D49" s="9"/>
      <c r="E49" s="9"/>
      <c r="F49" s="10" t="e">
        <f t="shared" si="0"/>
        <v>#DIV/0!</v>
      </c>
      <c r="G49" s="6"/>
      <c r="H49" s="6"/>
      <c r="I49" s="8">
        <f t="shared" si="1"/>
        <v>0</v>
      </c>
    </row>
    <row r="50" spans="2:9" x14ac:dyDescent="0.4">
      <c r="B50" s="5"/>
      <c r="C50" s="9"/>
      <c r="D50" s="9"/>
      <c r="E50" s="9"/>
      <c r="F50" s="10" t="e">
        <f t="shared" si="0"/>
        <v>#DIV/0!</v>
      </c>
      <c r="G50" s="6"/>
      <c r="H50" s="6"/>
      <c r="I50" s="8">
        <f t="shared" si="1"/>
        <v>0</v>
      </c>
    </row>
    <row r="51" spans="2:9" x14ac:dyDescent="0.4">
      <c r="B51" s="5"/>
      <c r="C51" s="9"/>
      <c r="D51" s="9"/>
      <c r="E51" s="9"/>
      <c r="F51" s="10" t="e">
        <f t="shared" si="0"/>
        <v>#DIV/0!</v>
      </c>
      <c r="G51" s="6"/>
      <c r="H51" s="6"/>
      <c r="I51" s="8">
        <f t="shared" si="1"/>
        <v>0</v>
      </c>
    </row>
    <row r="52" spans="2:9" x14ac:dyDescent="0.4">
      <c r="B52" s="5"/>
      <c r="C52" s="9"/>
      <c r="D52" s="9"/>
      <c r="E52" s="9"/>
      <c r="F52" s="10" t="e">
        <f t="shared" si="0"/>
        <v>#DIV/0!</v>
      </c>
      <c r="G52" s="6"/>
      <c r="H52" s="6"/>
      <c r="I52" s="8">
        <f t="shared" si="1"/>
        <v>0</v>
      </c>
    </row>
    <row r="53" spans="2:9" x14ac:dyDescent="0.4">
      <c r="B53" s="5"/>
      <c r="C53" s="9"/>
      <c r="D53" s="9"/>
      <c r="E53" s="9"/>
      <c r="F53" s="10" t="e">
        <f t="shared" si="0"/>
        <v>#DIV/0!</v>
      </c>
      <c r="G53" s="6"/>
      <c r="H53" s="6"/>
      <c r="I53" s="8">
        <f t="shared" si="1"/>
        <v>0</v>
      </c>
    </row>
    <row r="54" spans="2:9" x14ac:dyDescent="0.4">
      <c r="B54" s="5"/>
      <c r="C54" s="9"/>
      <c r="D54" s="9"/>
      <c r="E54" s="9"/>
      <c r="F54" s="10" t="e">
        <f t="shared" si="0"/>
        <v>#DIV/0!</v>
      </c>
      <c r="G54" s="6"/>
      <c r="H54" s="6"/>
      <c r="I54" s="8">
        <f t="shared" si="1"/>
        <v>0</v>
      </c>
    </row>
    <row r="55" spans="2:9" x14ac:dyDescent="0.4">
      <c r="B55" s="5"/>
      <c r="C55" s="9"/>
      <c r="D55" s="9"/>
      <c r="E55" s="9"/>
      <c r="F55" s="10" t="e">
        <f t="shared" si="0"/>
        <v>#DIV/0!</v>
      </c>
      <c r="G55" s="6"/>
      <c r="H55" s="6"/>
      <c r="I55" s="8">
        <f t="shared" si="1"/>
        <v>0</v>
      </c>
    </row>
    <row r="56" spans="2:9" x14ac:dyDescent="0.4">
      <c r="B56" s="5"/>
      <c r="C56" s="9"/>
      <c r="D56" s="9"/>
      <c r="E56" s="9"/>
      <c r="F56" s="10" t="e">
        <f t="shared" si="0"/>
        <v>#DIV/0!</v>
      </c>
      <c r="G56" s="6"/>
      <c r="H56" s="6"/>
      <c r="I56" s="8">
        <f t="shared" si="1"/>
        <v>0</v>
      </c>
    </row>
    <row r="57" spans="2:9" x14ac:dyDescent="0.4">
      <c r="B57" s="5"/>
      <c r="C57" s="9"/>
      <c r="D57" s="9"/>
      <c r="E57" s="9"/>
      <c r="F57" s="10" t="e">
        <f t="shared" si="0"/>
        <v>#DIV/0!</v>
      </c>
      <c r="G57" s="6"/>
      <c r="H57" s="6"/>
      <c r="I57" s="8">
        <f t="shared" si="1"/>
        <v>0</v>
      </c>
    </row>
    <row r="58" spans="2:9" x14ac:dyDescent="0.4">
      <c r="B58" s="5"/>
      <c r="C58" s="9"/>
      <c r="D58" s="9"/>
      <c r="E58" s="9"/>
      <c r="F58" s="10" t="e">
        <f t="shared" si="0"/>
        <v>#DIV/0!</v>
      </c>
      <c r="G58" s="6"/>
      <c r="H58" s="6"/>
      <c r="I58" s="8">
        <f t="shared" si="1"/>
        <v>0</v>
      </c>
    </row>
    <row r="59" spans="2:9" x14ac:dyDescent="0.4">
      <c r="B59" s="5"/>
      <c r="C59" s="9"/>
      <c r="D59" s="9"/>
      <c r="E59" s="9"/>
      <c r="F59" s="10" t="e">
        <f t="shared" si="0"/>
        <v>#DIV/0!</v>
      </c>
      <c r="G59" s="6"/>
      <c r="H59" s="6"/>
      <c r="I59" s="8">
        <f t="shared" si="1"/>
        <v>0</v>
      </c>
    </row>
    <row r="60" spans="2:9" x14ac:dyDescent="0.4">
      <c r="B60" s="5"/>
      <c r="C60" s="9"/>
      <c r="D60" s="9"/>
      <c r="E60" s="9"/>
      <c r="F60" s="10" t="e">
        <f t="shared" si="0"/>
        <v>#DIV/0!</v>
      </c>
      <c r="G60" s="6"/>
      <c r="H60" s="6"/>
      <c r="I60" s="8">
        <f t="shared" si="1"/>
        <v>0</v>
      </c>
    </row>
    <row r="61" spans="2:9" x14ac:dyDescent="0.4">
      <c r="B61" s="5"/>
      <c r="C61" s="9"/>
      <c r="D61" s="9"/>
      <c r="E61" s="9"/>
      <c r="F61" s="10" t="e">
        <f t="shared" si="0"/>
        <v>#DIV/0!</v>
      </c>
      <c r="G61" s="6"/>
      <c r="H61" s="6"/>
      <c r="I61" s="8">
        <f t="shared" si="1"/>
        <v>0</v>
      </c>
    </row>
    <row r="62" spans="2:9" x14ac:dyDescent="0.4">
      <c r="B62" s="5"/>
      <c r="C62" s="9"/>
      <c r="D62" s="9"/>
      <c r="E62" s="9"/>
      <c r="F62" s="10" t="e">
        <f t="shared" si="0"/>
        <v>#DIV/0!</v>
      </c>
      <c r="G62" s="6"/>
      <c r="H62" s="6"/>
      <c r="I62" s="8">
        <f t="shared" si="1"/>
        <v>0</v>
      </c>
    </row>
    <row r="63" spans="2:9" x14ac:dyDescent="0.4">
      <c r="B63" s="5"/>
      <c r="C63" s="9"/>
      <c r="D63" s="9"/>
      <c r="E63" s="9"/>
      <c r="F63" s="10" t="e">
        <f t="shared" si="0"/>
        <v>#DIV/0!</v>
      </c>
      <c r="G63" s="6"/>
      <c r="H63" s="6"/>
      <c r="I63" s="8">
        <f t="shared" si="1"/>
        <v>0</v>
      </c>
    </row>
    <row r="64" spans="2:9" x14ac:dyDescent="0.4">
      <c r="B64" s="5"/>
      <c r="C64" s="9"/>
      <c r="D64" s="9"/>
      <c r="E64" s="9"/>
      <c r="F64" s="10" t="e">
        <f t="shared" si="0"/>
        <v>#DIV/0!</v>
      </c>
      <c r="G64" s="6"/>
      <c r="H64" s="6"/>
      <c r="I64" s="8">
        <f t="shared" si="1"/>
        <v>0</v>
      </c>
    </row>
    <row r="65" spans="2:9" x14ac:dyDescent="0.4">
      <c r="B65" s="5"/>
      <c r="C65" s="9"/>
      <c r="D65" s="9"/>
      <c r="E65" s="9"/>
      <c r="F65" s="10" t="e">
        <f t="shared" si="0"/>
        <v>#DIV/0!</v>
      </c>
      <c r="G65" s="6"/>
      <c r="H65" s="6"/>
      <c r="I65" s="8">
        <f t="shared" si="1"/>
        <v>0</v>
      </c>
    </row>
    <row r="66" spans="2:9" x14ac:dyDescent="0.4">
      <c r="B66" s="5"/>
      <c r="C66" s="9"/>
      <c r="D66" s="9"/>
      <c r="E66" s="9"/>
      <c r="F66" s="10" t="e">
        <f t="shared" si="0"/>
        <v>#DIV/0!</v>
      </c>
      <c r="G66" s="6"/>
      <c r="H66" s="6"/>
      <c r="I66" s="8">
        <f t="shared" si="1"/>
        <v>0</v>
      </c>
    </row>
    <row r="67" spans="2:9" x14ac:dyDescent="0.4">
      <c r="B67" s="5"/>
      <c r="C67" s="9"/>
      <c r="D67" s="9"/>
      <c r="E67" s="9"/>
      <c r="F67" s="10" t="e">
        <f t="shared" si="0"/>
        <v>#DIV/0!</v>
      </c>
      <c r="G67" s="6"/>
      <c r="H67" s="6"/>
      <c r="I67" s="8">
        <f t="shared" si="1"/>
        <v>0</v>
      </c>
    </row>
    <row r="68" spans="2:9" x14ac:dyDescent="0.4">
      <c r="B68" s="5"/>
      <c r="C68" s="9"/>
      <c r="D68" s="9"/>
      <c r="E68" s="9"/>
      <c r="F68" s="10" t="e">
        <f t="shared" si="0"/>
        <v>#DIV/0!</v>
      </c>
      <c r="G68" s="6"/>
      <c r="H68" s="6"/>
      <c r="I68" s="8">
        <f t="shared" si="1"/>
        <v>0</v>
      </c>
    </row>
    <row r="69" spans="2:9" x14ac:dyDescent="0.4">
      <c r="B69" s="5"/>
      <c r="C69" s="9"/>
      <c r="D69" s="9"/>
      <c r="E69" s="9"/>
      <c r="F69" s="10" t="e">
        <f t="shared" si="0"/>
        <v>#DIV/0!</v>
      </c>
      <c r="G69" s="6"/>
      <c r="H69" s="6"/>
      <c r="I69" s="8">
        <f t="shared" si="1"/>
        <v>0</v>
      </c>
    </row>
    <row r="70" spans="2:9" x14ac:dyDescent="0.4">
      <c r="B70" s="5"/>
      <c r="C70" s="9"/>
      <c r="D70" s="9"/>
      <c r="E70" s="9"/>
      <c r="F70" s="10" t="e">
        <f t="shared" ref="F70:F107" si="2">AVERAGE(C70:E70)</f>
        <v>#DIV/0!</v>
      </c>
      <c r="G70" s="6"/>
      <c r="H70" s="6"/>
      <c r="I70" s="8">
        <f t="shared" ref="I70:I107" si="3">CubicSpline(H70,$F$5:$F$107,$B$5:$B$107)</f>
        <v>0</v>
      </c>
    </row>
    <row r="71" spans="2:9" x14ac:dyDescent="0.4">
      <c r="B71" s="5"/>
      <c r="C71" s="9"/>
      <c r="D71" s="9"/>
      <c r="E71" s="9"/>
      <c r="F71" s="10" t="e">
        <f t="shared" si="2"/>
        <v>#DIV/0!</v>
      </c>
      <c r="G71" s="6"/>
      <c r="H71" s="6"/>
      <c r="I71" s="8">
        <f t="shared" si="3"/>
        <v>0</v>
      </c>
    </row>
    <row r="72" spans="2:9" x14ac:dyDescent="0.4">
      <c r="B72" s="5"/>
      <c r="C72" s="9"/>
      <c r="D72" s="9"/>
      <c r="E72" s="9"/>
      <c r="F72" s="10" t="e">
        <f t="shared" si="2"/>
        <v>#DIV/0!</v>
      </c>
      <c r="G72" s="6"/>
      <c r="H72" s="6"/>
      <c r="I72" s="8">
        <f t="shared" si="3"/>
        <v>0</v>
      </c>
    </row>
    <row r="73" spans="2:9" x14ac:dyDescent="0.4">
      <c r="B73" s="5"/>
      <c r="C73" s="9"/>
      <c r="D73" s="9"/>
      <c r="E73" s="9"/>
      <c r="F73" s="10" t="e">
        <f t="shared" si="2"/>
        <v>#DIV/0!</v>
      </c>
      <c r="G73" s="6"/>
      <c r="H73" s="6"/>
      <c r="I73" s="8">
        <f t="shared" si="3"/>
        <v>0</v>
      </c>
    </row>
    <row r="74" spans="2:9" x14ac:dyDescent="0.4">
      <c r="B74" s="5"/>
      <c r="C74" s="9"/>
      <c r="D74" s="9"/>
      <c r="E74" s="9"/>
      <c r="F74" s="10" t="e">
        <f t="shared" si="2"/>
        <v>#DIV/0!</v>
      </c>
      <c r="G74" s="6"/>
      <c r="H74" s="6"/>
      <c r="I74" s="8">
        <f t="shared" si="3"/>
        <v>0</v>
      </c>
    </row>
    <row r="75" spans="2:9" x14ac:dyDescent="0.4">
      <c r="B75" s="5"/>
      <c r="C75" s="9"/>
      <c r="D75" s="9"/>
      <c r="E75" s="9"/>
      <c r="F75" s="10" t="e">
        <f t="shared" si="2"/>
        <v>#DIV/0!</v>
      </c>
      <c r="G75" s="6"/>
      <c r="H75" s="6"/>
      <c r="I75" s="8">
        <f t="shared" si="3"/>
        <v>0</v>
      </c>
    </row>
    <row r="76" spans="2:9" x14ac:dyDescent="0.4">
      <c r="B76" s="5"/>
      <c r="C76" s="9"/>
      <c r="D76" s="9"/>
      <c r="E76" s="9"/>
      <c r="F76" s="10" t="e">
        <f t="shared" si="2"/>
        <v>#DIV/0!</v>
      </c>
      <c r="G76" s="6"/>
      <c r="H76" s="6"/>
      <c r="I76" s="8">
        <f t="shared" si="3"/>
        <v>0</v>
      </c>
    </row>
    <row r="77" spans="2:9" x14ac:dyDescent="0.4">
      <c r="B77" s="5"/>
      <c r="C77" s="9"/>
      <c r="D77" s="9"/>
      <c r="E77" s="9"/>
      <c r="F77" s="10" t="e">
        <f t="shared" si="2"/>
        <v>#DIV/0!</v>
      </c>
      <c r="G77" s="6"/>
      <c r="H77" s="6"/>
      <c r="I77" s="8">
        <f t="shared" si="3"/>
        <v>0</v>
      </c>
    </row>
    <row r="78" spans="2:9" x14ac:dyDescent="0.4">
      <c r="B78" s="5"/>
      <c r="C78" s="9"/>
      <c r="D78" s="9"/>
      <c r="E78" s="9"/>
      <c r="F78" s="10" t="e">
        <f t="shared" si="2"/>
        <v>#DIV/0!</v>
      </c>
      <c r="G78" s="6"/>
      <c r="H78" s="6"/>
      <c r="I78" s="8">
        <f t="shared" si="3"/>
        <v>0</v>
      </c>
    </row>
    <row r="79" spans="2:9" x14ac:dyDescent="0.4">
      <c r="B79" s="5"/>
      <c r="C79" s="9"/>
      <c r="D79" s="9"/>
      <c r="E79" s="9"/>
      <c r="F79" s="10" t="e">
        <f t="shared" si="2"/>
        <v>#DIV/0!</v>
      </c>
      <c r="G79" s="6"/>
      <c r="H79" s="6"/>
      <c r="I79" s="8">
        <f t="shared" si="3"/>
        <v>0</v>
      </c>
    </row>
    <row r="80" spans="2:9" x14ac:dyDescent="0.4">
      <c r="B80" s="5"/>
      <c r="C80" s="9"/>
      <c r="D80" s="9"/>
      <c r="E80" s="9"/>
      <c r="F80" s="10" t="e">
        <f t="shared" si="2"/>
        <v>#DIV/0!</v>
      </c>
      <c r="G80" s="6"/>
      <c r="H80" s="6"/>
      <c r="I80" s="8">
        <f t="shared" si="3"/>
        <v>0</v>
      </c>
    </row>
    <row r="81" spans="2:9" x14ac:dyDescent="0.4">
      <c r="B81" s="5"/>
      <c r="C81" s="9"/>
      <c r="D81" s="9"/>
      <c r="E81" s="9"/>
      <c r="F81" s="10" t="e">
        <f t="shared" si="2"/>
        <v>#DIV/0!</v>
      </c>
      <c r="G81" s="6"/>
      <c r="H81" s="6"/>
      <c r="I81" s="8">
        <f t="shared" si="3"/>
        <v>0</v>
      </c>
    </row>
    <row r="82" spans="2:9" x14ac:dyDescent="0.4">
      <c r="B82" s="5"/>
      <c r="C82" s="9"/>
      <c r="D82" s="9"/>
      <c r="E82" s="9"/>
      <c r="F82" s="10" t="e">
        <f t="shared" si="2"/>
        <v>#DIV/0!</v>
      </c>
      <c r="G82" s="6"/>
      <c r="H82" s="6"/>
      <c r="I82" s="8">
        <f t="shared" si="3"/>
        <v>0</v>
      </c>
    </row>
    <row r="83" spans="2:9" x14ac:dyDescent="0.4">
      <c r="B83" s="5"/>
      <c r="C83" s="9"/>
      <c r="D83" s="9"/>
      <c r="E83" s="9"/>
      <c r="F83" s="10" t="e">
        <f t="shared" si="2"/>
        <v>#DIV/0!</v>
      </c>
      <c r="G83" s="6"/>
      <c r="H83" s="6"/>
      <c r="I83" s="8">
        <f t="shared" si="3"/>
        <v>0</v>
      </c>
    </row>
    <row r="84" spans="2:9" x14ac:dyDescent="0.4">
      <c r="B84" s="5"/>
      <c r="C84" s="9"/>
      <c r="D84" s="9"/>
      <c r="E84" s="9"/>
      <c r="F84" s="10" t="e">
        <f t="shared" si="2"/>
        <v>#DIV/0!</v>
      </c>
      <c r="G84" s="6"/>
      <c r="H84" s="6"/>
      <c r="I84" s="8">
        <f t="shared" si="3"/>
        <v>0</v>
      </c>
    </row>
    <row r="85" spans="2:9" x14ac:dyDescent="0.4">
      <c r="B85" s="5"/>
      <c r="C85" s="9"/>
      <c r="D85" s="9"/>
      <c r="E85" s="9"/>
      <c r="F85" s="10" t="e">
        <f t="shared" si="2"/>
        <v>#DIV/0!</v>
      </c>
      <c r="G85" s="6"/>
      <c r="H85" s="6"/>
      <c r="I85" s="8">
        <f t="shared" si="3"/>
        <v>0</v>
      </c>
    </row>
    <row r="86" spans="2:9" x14ac:dyDescent="0.4">
      <c r="B86" s="5"/>
      <c r="C86" s="9"/>
      <c r="D86" s="9"/>
      <c r="E86" s="9"/>
      <c r="F86" s="10" t="e">
        <f t="shared" si="2"/>
        <v>#DIV/0!</v>
      </c>
      <c r="G86" s="6"/>
      <c r="H86" s="6"/>
      <c r="I86" s="8">
        <f t="shared" si="3"/>
        <v>0</v>
      </c>
    </row>
    <row r="87" spans="2:9" x14ac:dyDescent="0.4">
      <c r="B87" s="5"/>
      <c r="C87" s="9"/>
      <c r="D87" s="9"/>
      <c r="E87" s="9"/>
      <c r="F87" s="10" t="e">
        <f t="shared" si="2"/>
        <v>#DIV/0!</v>
      </c>
      <c r="G87" s="6"/>
      <c r="H87" s="6"/>
      <c r="I87" s="8">
        <f t="shared" si="3"/>
        <v>0</v>
      </c>
    </row>
    <row r="88" spans="2:9" x14ac:dyDescent="0.4">
      <c r="B88" s="5"/>
      <c r="C88" s="9"/>
      <c r="D88" s="9"/>
      <c r="E88" s="9"/>
      <c r="F88" s="10" t="e">
        <f t="shared" si="2"/>
        <v>#DIV/0!</v>
      </c>
      <c r="G88" s="6"/>
      <c r="H88" s="6"/>
      <c r="I88" s="8">
        <f t="shared" si="3"/>
        <v>0</v>
      </c>
    </row>
    <row r="89" spans="2:9" x14ac:dyDescent="0.4">
      <c r="B89" s="5"/>
      <c r="C89" s="9"/>
      <c r="D89" s="9"/>
      <c r="E89" s="9"/>
      <c r="F89" s="10" t="e">
        <f t="shared" si="2"/>
        <v>#DIV/0!</v>
      </c>
      <c r="G89" s="6"/>
      <c r="H89" s="6"/>
      <c r="I89" s="8">
        <f t="shared" si="3"/>
        <v>0</v>
      </c>
    </row>
    <row r="90" spans="2:9" x14ac:dyDescent="0.4">
      <c r="B90" s="5"/>
      <c r="C90" s="9"/>
      <c r="D90" s="9"/>
      <c r="E90" s="9"/>
      <c r="F90" s="10" t="e">
        <f t="shared" si="2"/>
        <v>#DIV/0!</v>
      </c>
      <c r="G90" s="6"/>
      <c r="H90" s="6"/>
      <c r="I90" s="8">
        <f t="shared" si="3"/>
        <v>0</v>
      </c>
    </row>
    <row r="91" spans="2:9" x14ac:dyDescent="0.4">
      <c r="B91" s="5"/>
      <c r="C91" s="9"/>
      <c r="D91" s="9"/>
      <c r="E91" s="9"/>
      <c r="F91" s="10" t="e">
        <f t="shared" si="2"/>
        <v>#DIV/0!</v>
      </c>
      <c r="G91" s="6"/>
      <c r="H91" s="6"/>
      <c r="I91" s="8">
        <f t="shared" si="3"/>
        <v>0</v>
      </c>
    </row>
    <row r="92" spans="2:9" x14ac:dyDescent="0.4">
      <c r="B92" s="5"/>
      <c r="C92" s="9"/>
      <c r="D92" s="9"/>
      <c r="E92" s="9"/>
      <c r="F92" s="10" t="e">
        <f t="shared" si="2"/>
        <v>#DIV/0!</v>
      </c>
      <c r="G92" s="6"/>
      <c r="H92" s="6"/>
      <c r="I92" s="8">
        <f t="shared" si="3"/>
        <v>0</v>
      </c>
    </row>
    <row r="93" spans="2:9" x14ac:dyDescent="0.4">
      <c r="B93" s="5"/>
      <c r="C93" s="9"/>
      <c r="D93" s="9"/>
      <c r="E93" s="9"/>
      <c r="F93" s="10" t="e">
        <f t="shared" si="2"/>
        <v>#DIV/0!</v>
      </c>
      <c r="G93" s="6"/>
      <c r="H93" s="6"/>
      <c r="I93" s="8">
        <f t="shared" si="3"/>
        <v>0</v>
      </c>
    </row>
    <row r="94" spans="2:9" x14ac:dyDescent="0.4">
      <c r="B94" s="5"/>
      <c r="C94" s="9"/>
      <c r="D94" s="9"/>
      <c r="E94" s="9"/>
      <c r="F94" s="10" t="e">
        <f t="shared" si="2"/>
        <v>#DIV/0!</v>
      </c>
      <c r="G94" s="6"/>
      <c r="H94" s="6"/>
      <c r="I94" s="8">
        <f t="shared" si="3"/>
        <v>0</v>
      </c>
    </row>
    <row r="95" spans="2:9" x14ac:dyDescent="0.4">
      <c r="B95" s="5"/>
      <c r="C95" s="9"/>
      <c r="D95" s="9"/>
      <c r="E95" s="9"/>
      <c r="F95" s="10" t="e">
        <f t="shared" si="2"/>
        <v>#DIV/0!</v>
      </c>
      <c r="G95" s="6"/>
      <c r="H95" s="6"/>
      <c r="I95" s="8">
        <f t="shared" si="3"/>
        <v>0</v>
      </c>
    </row>
    <row r="96" spans="2:9" x14ac:dyDescent="0.4">
      <c r="B96" s="5"/>
      <c r="C96" s="9"/>
      <c r="D96" s="9"/>
      <c r="E96" s="9"/>
      <c r="F96" s="10" t="e">
        <f t="shared" si="2"/>
        <v>#DIV/0!</v>
      </c>
      <c r="G96" s="6"/>
      <c r="H96" s="6"/>
      <c r="I96" s="8">
        <f t="shared" si="3"/>
        <v>0</v>
      </c>
    </row>
    <row r="97" spans="2:9" x14ac:dyDescent="0.4">
      <c r="B97" s="5"/>
      <c r="C97" s="9"/>
      <c r="D97" s="9"/>
      <c r="E97" s="9"/>
      <c r="F97" s="10" t="e">
        <f t="shared" si="2"/>
        <v>#DIV/0!</v>
      </c>
      <c r="G97" s="6"/>
      <c r="H97" s="6"/>
      <c r="I97" s="8">
        <f t="shared" si="3"/>
        <v>0</v>
      </c>
    </row>
    <row r="98" spans="2:9" x14ac:dyDescent="0.4">
      <c r="B98" s="5"/>
      <c r="C98" s="9"/>
      <c r="D98" s="9"/>
      <c r="E98" s="9"/>
      <c r="F98" s="10" t="e">
        <f t="shared" si="2"/>
        <v>#DIV/0!</v>
      </c>
      <c r="G98" s="6"/>
      <c r="H98" s="6"/>
      <c r="I98" s="8">
        <f t="shared" si="3"/>
        <v>0</v>
      </c>
    </row>
    <row r="99" spans="2:9" x14ac:dyDescent="0.4">
      <c r="B99" s="5"/>
      <c r="C99" s="9"/>
      <c r="D99" s="9"/>
      <c r="E99" s="9"/>
      <c r="F99" s="10" t="e">
        <f t="shared" si="2"/>
        <v>#DIV/0!</v>
      </c>
      <c r="G99" s="6"/>
      <c r="H99" s="6"/>
      <c r="I99" s="8">
        <f t="shared" si="3"/>
        <v>0</v>
      </c>
    </row>
    <row r="100" spans="2:9" x14ac:dyDescent="0.4">
      <c r="B100" s="5"/>
      <c r="C100" s="9"/>
      <c r="D100" s="9"/>
      <c r="E100" s="9"/>
      <c r="F100" s="10" t="e">
        <f t="shared" si="2"/>
        <v>#DIV/0!</v>
      </c>
      <c r="G100" s="6"/>
      <c r="H100" s="6"/>
      <c r="I100" s="8">
        <f t="shared" si="3"/>
        <v>0</v>
      </c>
    </row>
    <row r="101" spans="2:9" x14ac:dyDescent="0.4">
      <c r="B101" s="5"/>
      <c r="C101" s="9"/>
      <c r="D101" s="9"/>
      <c r="E101" s="9"/>
      <c r="F101" s="10" t="e">
        <f t="shared" si="2"/>
        <v>#DIV/0!</v>
      </c>
      <c r="G101" s="6"/>
      <c r="H101" s="6"/>
      <c r="I101" s="8">
        <f t="shared" si="3"/>
        <v>0</v>
      </c>
    </row>
    <row r="102" spans="2:9" x14ac:dyDescent="0.4">
      <c r="B102" s="5"/>
      <c r="C102" s="9"/>
      <c r="D102" s="9"/>
      <c r="E102" s="9"/>
      <c r="F102" s="10" t="e">
        <f t="shared" si="2"/>
        <v>#DIV/0!</v>
      </c>
      <c r="G102" s="6"/>
      <c r="H102" s="6"/>
      <c r="I102" s="8">
        <f t="shared" si="3"/>
        <v>0</v>
      </c>
    </row>
    <row r="103" spans="2:9" x14ac:dyDescent="0.4">
      <c r="B103" s="5"/>
      <c r="C103" s="9"/>
      <c r="D103" s="9"/>
      <c r="E103" s="9"/>
      <c r="F103" s="10" t="e">
        <f t="shared" si="2"/>
        <v>#DIV/0!</v>
      </c>
      <c r="G103" s="6"/>
      <c r="H103" s="6"/>
      <c r="I103" s="8">
        <f t="shared" si="3"/>
        <v>0</v>
      </c>
    </row>
    <row r="104" spans="2:9" x14ac:dyDescent="0.4">
      <c r="B104" s="5"/>
      <c r="C104" s="9"/>
      <c r="D104" s="9"/>
      <c r="E104" s="9"/>
      <c r="F104" s="10" t="e">
        <f t="shared" si="2"/>
        <v>#DIV/0!</v>
      </c>
      <c r="G104" s="6"/>
      <c r="H104" s="6"/>
      <c r="I104" s="8">
        <f t="shared" si="3"/>
        <v>0</v>
      </c>
    </row>
    <row r="105" spans="2:9" x14ac:dyDescent="0.4">
      <c r="B105" s="5"/>
      <c r="C105" s="9"/>
      <c r="D105" s="9"/>
      <c r="E105" s="9"/>
      <c r="F105" s="10" t="e">
        <f t="shared" si="2"/>
        <v>#DIV/0!</v>
      </c>
      <c r="G105" s="6"/>
      <c r="H105" s="6"/>
      <c r="I105" s="8">
        <f t="shared" si="3"/>
        <v>0</v>
      </c>
    </row>
    <row r="106" spans="2:9" x14ac:dyDescent="0.4">
      <c r="B106" s="5"/>
      <c r="C106" s="9"/>
      <c r="D106" s="9"/>
      <c r="E106" s="9"/>
      <c r="F106" s="10" t="e">
        <f t="shared" si="2"/>
        <v>#DIV/0!</v>
      </c>
      <c r="G106" s="6"/>
      <c r="H106" s="6"/>
      <c r="I106" s="8">
        <f t="shared" si="3"/>
        <v>0</v>
      </c>
    </row>
    <row r="107" spans="2:9" x14ac:dyDescent="0.4">
      <c r="B107" s="5"/>
      <c r="C107" s="9"/>
      <c r="D107" s="9"/>
      <c r="E107" s="9"/>
      <c r="F107" s="10" t="e">
        <f t="shared" si="2"/>
        <v>#DIV/0!</v>
      </c>
      <c r="G107" s="6"/>
      <c r="H107" s="6"/>
      <c r="I107" s="8">
        <f t="shared" si="3"/>
        <v>0</v>
      </c>
    </row>
  </sheetData>
  <sortState xmlns:xlrd2="http://schemas.microsoft.com/office/spreadsheetml/2017/richdata2" ref="A5:E32">
    <sortCondition descending="1" ref="A5:A32"/>
  </sortState>
  <mergeCells count="4">
    <mergeCell ref="B2:F2"/>
    <mergeCell ref="G2:I2"/>
    <mergeCell ref="B1:F1"/>
    <mergeCell ref="G1:I1"/>
  </mergeCells>
  <pageMargins left="0.7" right="0.7" top="0.75" bottom="0.75" header="0.3" footer="0.3"/>
  <pageSetup orientation="portrait" verticalDpi="598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E107"/>
  <sheetViews>
    <sheetView tabSelected="1" workbookViewId="0">
      <pane ySplit="4" topLeftCell="A5" activePane="bottomLeft" state="frozen"/>
      <selection pane="bottomLeft" activeCell="E37" sqref="E37"/>
    </sheetView>
  </sheetViews>
  <sheetFormatPr defaultColWidth="8.921875" defaultRowHeight="14.6" x14ac:dyDescent="0.4"/>
  <cols>
    <col min="1" max="1" width="20.53515625" style="20" customWidth="1"/>
    <col min="2" max="2" width="20.53515625" style="11" customWidth="1"/>
    <col min="3" max="3" width="26.15234375" style="11" customWidth="1"/>
    <col min="4" max="4" width="24.61328125" style="21" customWidth="1"/>
    <col min="5" max="6" width="14.53515625" style="11" customWidth="1"/>
    <col min="7" max="16384" width="8.921875" style="11"/>
  </cols>
  <sheetData>
    <row r="1" spans="1:5" x14ac:dyDescent="0.4">
      <c r="A1" s="26" t="s">
        <v>9</v>
      </c>
      <c r="B1" s="26"/>
      <c r="C1" s="26" t="s">
        <v>12</v>
      </c>
      <c r="D1" s="26"/>
    </row>
    <row r="2" spans="1:5" ht="57.65" customHeight="1" x14ac:dyDescent="0.4">
      <c r="A2" s="27" t="s">
        <v>18</v>
      </c>
      <c r="B2" s="28"/>
      <c r="C2" s="27" t="s">
        <v>19</v>
      </c>
      <c r="D2" s="28"/>
    </row>
    <row r="3" spans="1:5" ht="29.15" x14ac:dyDescent="0.4">
      <c r="A3" s="12" t="s">
        <v>14</v>
      </c>
      <c r="B3" s="22" t="s">
        <v>10</v>
      </c>
      <c r="C3" s="12" t="s">
        <v>11</v>
      </c>
      <c r="D3" s="13" t="s">
        <v>3</v>
      </c>
      <c r="E3" s="14"/>
    </row>
    <row r="4" spans="1:5" x14ac:dyDescent="0.4">
      <c r="A4" s="15" t="s">
        <v>4</v>
      </c>
      <c r="B4" s="13" t="s">
        <v>0</v>
      </c>
      <c r="C4" s="15" t="s">
        <v>4</v>
      </c>
      <c r="D4" s="13" t="s">
        <v>0</v>
      </c>
      <c r="E4" s="14"/>
    </row>
    <row r="5" spans="1:5" x14ac:dyDescent="0.4">
      <c r="A5" s="6">
        <v>4</v>
      </c>
      <c r="B5" s="8">
        <f ca="1">CubicSpline(A5,$F$5:$F$107,$B$5:$B$107)</f>
        <v>224.31204123300404</v>
      </c>
      <c r="C5" s="23">
        <v>4</v>
      </c>
      <c r="D5" s="17">
        <f ca="1">CubicSpline(C5,$A$5:$A$107,$B$5:$B$107)</f>
        <v>0</v>
      </c>
    </row>
    <row r="6" spans="1:5" x14ac:dyDescent="0.4">
      <c r="A6" s="6">
        <v>5</v>
      </c>
      <c r="B6" s="8">
        <f t="shared" ref="B6:B31" ca="1" si="0">CubicSpline(A6,$F$5:$F$107,$B$5:$B$107)</f>
        <v>363.42514557856543</v>
      </c>
      <c r="C6" s="23">
        <v>5</v>
      </c>
      <c r="D6" s="17">
        <f t="shared" ref="D6:D69" ca="1" si="1">CubicSpline(C6,$A$5:$A$107,$B$5:$B$107)</f>
        <v>162.49432704785599</v>
      </c>
    </row>
    <row r="7" spans="1:5" x14ac:dyDescent="0.4">
      <c r="A7" s="6">
        <v>6</v>
      </c>
      <c r="B7" s="8">
        <f t="shared" ca="1" si="0"/>
        <v>503.85946258291057</v>
      </c>
      <c r="C7" s="23">
        <v>6</v>
      </c>
      <c r="D7" s="17">
        <f t="shared" ca="1" si="1"/>
        <v>192.592314534906</v>
      </c>
    </row>
    <row r="8" spans="1:5" x14ac:dyDescent="0.4">
      <c r="A8" s="6">
        <v>7</v>
      </c>
      <c r="B8" s="8">
        <f t="shared" ca="1" si="0"/>
        <v>695.99300356658739</v>
      </c>
      <c r="C8" s="23">
        <v>7</v>
      </c>
      <c r="D8" s="17">
        <f t="shared" ca="1" si="1"/>
        <v>228.26519726432301</v>
      </c>
    </row>
    <row r="9" spans="1:5" x14ac:dyDescent="0.4">
      <c r="A9" s="6">
        <v>8</v>
      </c>
      <c r="B9" s="8">
        <f t="shared" ca="1" si="0"/>
        <v>904.50203939946675</v>
      </c>
      <c r="C9" s="23">
        <v>8</v>
      </c>
      <c r="D9" s="17">
        <f t="shared" ca="1" si="1"/>
        <v>270.54558437572803</v>
      </c>
    </row>
    <row r="10" spans="1:5" x14ac:dyDescent="0.4">
      <c r="A10" s="6">
        <v>9</v>
      </c>
      <c r="B10" s="8">
        <f t="shared" ca="1" si="0"/>
        <v>1139.4345469507964</v>
      </c>
      <c r="C10" s="23">
        <v>9</v>
      </c>
      <c r="D10" s="17">
        <f t="shared" ca="1" si="1"/>
        <v>320.65734988258799</v>
      </c>
    </row>
    <row r="11" spans="1:5" x14ac:dyDescent="0.4">
      <c r="A11" s="6">
        <v>10</v>
      </c>
      <c r="B11" s="8">
        <f t="shared" ca="1" si="0"/>
        <v>1399.5803341796095</v>
      </c>
      <c r="C11" s="23">
        <v>10</v>
      </c>
      <c r="D11" s="17">
        <f t="shared" ca="1" si="1"/>
        <v>380.05105967994302</v>
      </c>
    </row>
    <row r="12" spans="1:5" x14ac:dyDescent="0.4">
      <c r="A12" s="6">
        <v>11</v>
      </c>
      <c r="B12" s="8">
        <f t="shared" ca="1" si="0"/>
        <v>1692.2965010143421</v>
      </c>
      <c r="C12" s="23">
        <v>11</v>
      </c>
      <c r="D12" s="17">
        <f t="shared" ca="1" si="1"/>
        <v>450.44596051434701</v>
      </c>
    </row>
    <row r="13" spans="1:5" x14ac:dyDescent="0.4">
      <c r="A13" s="6">
        <v>12</v>
      </c>
      <c r="B13" s="8">
        <f t="shared" ca="1" si="0"/>
        <v>2017.0639954078283</v>
      </c>
      <c r="C13" s="23">
        <v>12</v>
      </c>
      <c r="D13" s="17">
        <f t="shared" ca="1" si="1"/>
        <v>533.87974635451496</v>
      </c>
    </row>
    <row r="14" spans="1:5" x14ac:dyDescent="0.4">
      <c r="A14" s="6">
        <v>13</v>
      </c>
      <c r="B14" s="8">
        <f t="shared" ca="1" si="0"/>
        <v>2357.5789225397834</v>
      </c>
      <c r="C14" s="23">
        <v>13</v>
      </c>
      <c r="D14" s="17">
        <f t="shared" ca="1" si="1"/>
        <v>632.76754273054007</v>
      </c>
    </row>
    <row r="15" spans="1:5" x14ac:dyDescent="0.4">
      <c r="A15" s="6">
        <v>14</v>
      </c>
      <c r="B15" s="8">
        <f t="shared" ca="1" si="0"/>
        <v>2743.1418268544408</v>
      </c>
      <c r="C15" s="23">
        <v>14</v>
      </c>
      <c r="D15" s="17">
        <f t="shared" ca="1" si="1"/>
        <v>749.97181643854606</v>
      </c>
    </row>
    <row r="16" spans="1:5" x14ac:dyDescent="0.4">
      <c r="A16" s="6">
        <v>15</v>
      </c>
      <c r="B16" s="8">
        <f t="shared" ca="1" si="0"/>
        <v>3082.085324520112</v>
      </c>
      <c r="C16" s="23">
        <v>16</v>
      </c>
      <c r="D16" s="17">
        <f t="shared" ca="1" si="1"/>
        <v>1053.52886917467</v>
      </c>
    </row>
    <row r="17" spans="1:4" x14ac:dyDescent="0.4">
      <c r="A17" s="6">
        <v>16</v>
      </c>
      <c r="B17" s="8">
        <f t="shared" ca="1" si="0"/>
        <v>3372.0067566412322</v>
      </c>
      <c r="C17" s="23">
        <v>15</v>
      </c>
      <c r="D17" s="17">
        <f t="shared" ca="1" si="1"/>
        <v>888.88523425995504</v>
      </c>
    </row>
    <row r="18" spans="1:4" x14ac:dyDescent="0.4">
      <c r="A18" s="6">
        <v>17</v>
      </c>
      <c r="B18" s="8">
        <f t="shared" ca="1" si="0"/>
        <v>3946.9728306211814</v>
      </c>
      <c r="C18" s="23">
        <v>16</v>
      </c>
      <c r="D18" s="17">
        <f t="shared" ca="1" si="1"/>
        <v>1053.52886917467</v>
      </c>
    </row>
    <row r="19" spans="1:4" x14ac:dyDescent="0.4">
      <c r="A19" s="6">
        <v>18</v>
      </c>
      <c r="B19" s="8">
        <f t="shared" ca="1" si="0"/>
        <v>4450.1038696693849</v>
      </c>
      <c r="C19" s="23">
        <v>17</v>
      </c>
      <c r="D19" s="17">
        <f t="shared" ca="1" si="1"/>
        <v>1248.6685968054501</v>
      </c>
    </row>
    <row r="20" spans="1:4" x14ac:dyDescent="0.4">
      <c r="A20" s="6">
        <v>19</v>
      </c>
      <c r="B20" s="8">
        <f t="shared" ca="1" si="0"/>
        <v>4873.8237800059942</v>
      </c>
      <c r="C20" s="23">
        <v>18</v>
      </c>
      <c r="D20" s="17">
        <f t="shared" ca="1" si="1"/>
        <v>1479.9530513763098</v>
      </c>
    </row>
    <row r="21" spans="1:4" x14ac:dyDescent="0.4">
      <c r="A21" s="6">
        <v>20</v>
      </c>
      <c r="B21" s="8">
        <f t="shared" ca="1" si="0"/>
        <v>5358.6460895461259</v>
      </c>
      <c r="C21" s="23">
        <v>19</v>
      </c>
      <c r="D21" s="17">
        <f t="shared" ca="1" si="1"/>
        <v>1754.0771345427802</v>
      </c>
    </row>
    <row r="22" spans="1:4" x14ac:dyDescent="0.4">
      <c r="A22" s="6">
        <v>21</v>
      </c>
      <c r="B22" s="8">
        <f t="shared" ca="1" si="0"/>
        <v>5900.6020735560596</v>
      </c>
      <c r="C22" s="23">
        <v>20</v>
      </c>
      <c r="D22" s="17">
        <f t="shared" ca="1" si="1"/>
        <v>2078.9758101207904</v>
      </c>
    </row>
    <row r="23" spans="1:4" x14ac:dyDescent="0.4">
      <c r="A23" s="6">
        <v>22</v>
      </c>
      <c r="B23" s="8">
        <f t="shared" ca="1" si="0"/>
        <v>6383.2897415644575</v>
      </c>
      <c r="C23" s="23">
        <v>21</v>
      </c>
      <c r="D23" s="17">
        <f t="shared" ca="1" si="1"/>
        <v>2464.0537944153903</v>
      </c>
    </row>
    <row r="24" spans="1:4" x14ac:dyDescent="0.4">
      <c r="A24" s="6">
        <v>23</v>
      </c>
      <c r="B24" s="8">
        <f t="shared" ca="1" si="0"/>
        <v>7011.9121679874679</v>
      </c>
      <c r="C24" s="23">
        <v>22</v>
      </c>
      <c r="D24" s="17">
        <f t="shared" ca="1" si="1"/>
        <v>2920.4577909062409</v>
      </c>
    </row>
    <row r="25" spans="1:4" x14ac:dyDescent="0.4">
      <c r="A25" s="6">
        <v>24</v>
      </c>
      <c r="B25" s="8">
        <f t="shared" ca="1" si="0"/>
        <v>7694.5865040915305</v>
      </c>
      <c r="C25" s="23">
        <v>23</v>
      </c>
      <c r="D25" s="17">
        <f t="shared" ca="1" si="1"/>
        <v>3461.3991495622004</v>
      </c>
    </row>
    <row r="26" spans="1:4" x14ac:dyDescent="0.4">
      <c r="A26" s="6">
        <v>25</v>
      </c>
      <c r="B26" s="8">
        <f t="shared" ca="1" si="0"/>
        <v>8413.4859241512495</v>
      </c>
      <c r="C26" s="23">
        <v>24</v>
      </c>
      <c r="D26" s="17">
        <f t="shared" ca="1" si="1"/>
        <v>4102.5362906792998</v>
      </c>
    </row>
    <row r="27" spans="1:4" x14ac:dyDescent="0.4">
      <c r="A27" s="6">
        <v>26</v>
      </c>
      <c r="B27" s="8">
        <f t="shared" ca="1" si="0"/>
        <v>9252.9286589473686</v>
      </c>
      <c r="C27" s="23">
        <v>25</v>
      </c>
      <c r="D27" s="17">
        <f t="shared" ca="1" si="1"/>
        <v>4862.427963117002</v>
      </c>
    </row>
    <row r="28" spans="1:4" x14ac:dyDescent="0.4">
      <c r="A28" s="6">
        <v>27</v>
      </c>
      <c r="B28" s="8">
        <f t="shared" ca="1" si="0"/>
        <v>10263.598068237025</v>
      </c>
      <c r="C28" s="23">
        <v>26</v>
      </c>
      <c r="D28" s="17">
        <f t="shared" ca="1" si="1"/>
        <v>5763.0704572237391</v>
      </c>
    </row>
    <row r="29" spans="1:4" x14ac:dyDescent="0.4">
      <c r="A29" s="6">
        <v>28</v>
      </c>
      <c r="B29" s="8">
        <f t="shared" ca="1" si="0"/>
        <v>11332.822405896972</v>
      </c>
      <c r="C29" s="23">
        <v>27</v>
      </c>
      <c r="D29" s="17">
        <f t="shared" ca="1" si="1"/>
        <v>6830.5343229464106</v>
      </c>
    </row>
    <row r="30" spans="1:4" x14ac:dyDescent="0.4">
      <c r="A30" s="6">
        <v>29</v>
      </c>
      <c r="B30" s="8">
        <f t="shared" ca="1" si="0"/>
        <v>12350.60104381722</v>
      </c>
      <c r="C30" s="23">
        <v>28</v>
      </c>
      <c r="D30" s="17">
        <f t="shared" ca="1" si="1"/>
        <v>8095.7190239566771</v>
      </c>
    </row>
    <row r="31" spans="1:4" x14ac:dyDescent="0.4">
      <c r="A31" s="6">
        <v>30</v>
      </c>
      <c r="B31" s="8">
        <f t="shared" ca="1" si="0"/>
        <v>13091.0030363842</v>
      </c>
      <c r="C31" s="23">
        <v>29</v>
      </c>
      <c r="D31" s="17">
        <f t="shared" ca="1" si="1"/>
        <v>9595.2473724753363</v>
      </c>
    </row>
    <row r="32" spans="1:4" x14ac:dyDescent="0.4">
      <c r="A32" s="18"/>
      <c r="B32" s="18"/>
      <c r="C32" s="23">
        <v>30</v>
      </c>
      <c r="D32" s="17">
        <f t="shared" ca="1" si="1"/>
        <v>11372.525635656588</v>
      </c>
    </row>
    <row r="33" spans="1:4" x14ac:dyDescent="0.4">
      <c r="A33" s="18"/>
      <c r="B33" s="18"/>
      <c r="C33" s="23">
        <v>38</v>
      </c>
      <c r="D33" s="17">
        <f t="shared" ca="1" si="1"/>
        <v>13478.999999999993</v>
      </c>
    </row>
    <row r="34" spans="1:4" x14ac:dyDescent="0.4">
      <c r="A34" s="18"/>
      <c r="B34" s="18"/>
      <c r="C34" s="23">
        <v>50</v>
      </c>
      <c r="D34" s="17">
        <f t="shared" ca="1" si="1"/>
        <v>0</v>
      </c>
    </row>
    <row r="35" spans="1:4" x14ac:dyDescent="0.4">
      <c r="A35" s="18"/>
      <c r="B35" s="18"/>
      <c r="C35" s="23">
        <v>70</v>
      </c>
      <c r="D35" s="17">
        <f t="shared" ca="1" si="1"/>
        <v>0</v>
      </c>
    </row>
    <row r="36" spans="1:4" x14ac:dyDescent="0.4">
      <c r="A36" s="18"/>
      <c r="B36" s="18"/>
      <c r="C36" s="16"/>
      <c r="D36" s="17">
        <f t="shared" ca="1" si="1"/>
        <v>0</v>
      </c>
    </row>
    <row r="37" spans="1:4" x14ac:dyDescent="0.4">
      <c r="A37" s="18"/>
      <c r="B37" s="18"/>
      <c r="C37" s="16"/>
      <c r="D37" s="17">
        <f t="shared" ca="1" si="1"/>
        <v>0</v>
      </c>
    </row>
    <row r="38" spans="1:4" x14ac:dyDescent="0.4">
      <c r="A38" s="18"/>
      <c r="B38" s="18"/>
      <c r="C38" s="16"/>
      <c r="D38" s="17">
        <f t="shared" ca="1" si="1"/>
        <v>0</v>
      </c>
    </row>
    <row r="39" spans="1:4" x14ac:dyDescent="0.4">
      <c r="A39" s="18"/>
      <c r="B39" s="18"/>
      <c r="C39" s="16"/>
      <c r="D39" s="17">
        <f t="shared" ca="1" si="1"/>
        <v>0</v>
      </c>
    </row>
    <row r="40" spans="1:4" x14ac:dyDescent="0.4">
      <c r="A40" s="18"/>
      <c r="B40" s="18"/>
      <c r="C40" s="16"/>
      <c r="D40" s="17">
        <f t="shared" ca="1" si="1"/>
        <v>0</v>
      </c>
    </row>
    <row r="41" spans="1:4" x14ac:dyDescent="0.4">
      <c r="A41" s="18"/>
      <c r="B41" s="18"/>
      <c r="C41" s="16"/>
      <c r="D41" s="17">
        <f t="shared" ca="1" si="1"/>
        <v>0</v>
      </c>
    </row>
    <row r="42" spans="1:4" x14ac:dyDescent="0.4">
      <c r="A42" s="18"/>
      <c r="B42" s="18"/>
      <c r="C42" s="16"/>
      <c r="D42" s="17">
        <f t="shared" ca="1" si="1"/>
        <v>0</v>
      </c>
    </row>
    <row r="43" spans="1:4" x14ac:dyDescent="0.4">
      <c r="A43" s="18"/>
      <c r="B43" s="18"/>
      <c r="C43" s="16"/>
      <c r="D43" s="17">
        <f t="shared" ca="1" si="1"/>
        <v>0</v>
      </c>
    </row>
    <row r="44" spans="1:4" x14ac:dyDescent="0.4">
      <c r="A44" s="18"/>
      <c r="B44" s="18"/>
      <c r="C44" s="16"/>
      <c r="D44" s="17">
        <f t="shared" ca="1" si="1"/>
        <v>0</v>
      </c>
    </row>
    <row r="45" spans="1:4" x14ac:dyDescent="0.4">
      <c r="A45" s="18"/>
      <c r="B45" s="18"/>
      <c r="C45" s="16"/>
      <c r="D45" s="17">
        <f t="shared" ca="1" si="1"/>
        <v>0</v>
      </c>
    </row>
    <row r="46" spans="1:4" x14ac:dyDescent="0.4">
      <c r="A46" s="18"/>
      <c r="B46" s="18"/>
      <c r="C46" s="16"/>
      <c r="D46" s="17">
        <f t="shared" ca="1" si="1"/>
        <v>0</v>
      </c>
    </row>
    <row r="47" spans="1:4" x14ac:dyDescent="0.4">
      <c r="A47" s="18"/>
      <c r="B47" s="18"/>
      <c r="C47" s="16"/>
      <c r="D47" s="17">
        <f t="shared" ca="1" si="1"/>
        <v>0</v>
      </c>
    </row>
    <row r="48" spans="1:4" x14ac:dyDescent="0.4">
      <c r="A48" s="18"/>
      <c r="B48" s="18"/>
      <c r="C48" s="16"/>
      <c r="D48" s="17">
        <f t="shared" ca="1" si="1"/>
        <v>0</v>
      </c>
    </row>
    <row r="49" spans="1:4" x14ac:dyDescent="0.4">
      <c r="A49" s="18"/>
      <c r="B49" s="18"/>
      <c r="C49" s="16"/>
      <c r="D49" s="17">
        <f t="shared" ca="1" si="1"/>
        <v>0</v>
      </c>
    </row>
    <row r="50" spans="1:4" x14ac:dyDescent="0.4">
      <c r="A50" s="18"/>
      <c r="B50" s="18"/>
      <c r="C50" s="16"/>
      <c r="D50" s="17">
        <f t="shared" ca="1" si="1"/>
        <v>0</v>
      </c>
    </row>
    <row r="51" spans="1:4" x14ac:dyDescent="0.4">
      <c r="A51" s="18"/>
      <c r="B51" s="18"/>
      <c r="C51" s="16"/>
      <c r="D51" s="17">
        <f t="shared" ca="1" si="1"/>
        <v>0</v>
      </c>
    </row>
    <row r="52" spans="1:4" x14ac:dyDescent="0.4">
      <c r="A52" s="18"/>
      <c r="B52" s="18"/>
      <c r="C52" s="19"/>
      <c r="D52" s="17">
        <f t="shared" ca="1" si="1"/>
        <v>0</v>
      </c>
    </row>
    <row r="53" spans="1:4" x14ac:dyDescent="0.4">
      <c r="A53" s="18"/>
      <c r="B53" s="18"/>
      <c r="C53" s="19"/>
      <c r="D53" s="17">
        <f t="shared" ca="1" si="1"/>
        <v>0</v>
      </c>
    </row>
    <row r="54" spans="1:4" x14ac:dyDescent="0.4">
      <c r="A54" s="18"/>
      <c r="B54" s="18"/>
      <c r="C54" s="19"/>
      <c r="D54" s="17">
        <f t="shared" ca="1" si="1"/>
        <v>0</v>
      </c>
    </row>
    <row r="55" spans="1:4" x14ac:dyDescent="0.4">
      <c r="A55" s="18"/>
      <c r="B55" s="18"/>
      <c r="C55" s="19"/>
      <c r="D55" s="17">
        <f t="shared" ca="1" si="1"/>
        <v>0</v>
      </c>
    </row>
    <row r="56" spans="1:4" x14ac:dyDescent="0.4">
      <c r="A56" s="18"/>
      <c r="B56" s="18"/>
      <c r="C56" s="19"/>
      <c r="D56" s="17">
        <f t="shared" ca="1" si="1"/>
        <v>0</v>
      </c>
    </row>
    <row r="57" spans="1:4" x14ac:dyDescent="0.4">
      <c r="A57" s="18"/>
      <c r="B57" s="18"/>
      <c r="C57" s="19"/>
      <c r="D57" s="17">
        <f t="shared" ca="1" si="1"/>
        <v>0</v>
      </c>
    </row>
    <row r="58" spans="1:4" x14ac:dyDescent="0.4">
      <c r="A58" s="18"/>
      <c r="B58" s="18"/>
      <c r="C58" s="19"/>
      <c r="D58" s="17">
        <f t="shared" ca="1" si="1"/>
        <v>0</v>
      </c>
    </row>
    <row r="59" spans="1:4" x14ac:dyDescent="0.4">
      <c r="A59" s="18"/>
      <c r="B59" s="18"/>
      <c r="C59" s="19"/>
      <c r="D59" s="17">
        <f t="shared" ca="1" si="1"/>
        <v>0</v>
      </c>
    </row>
    <row r="60" spans="1:4" x14ac:dyDescent="0.4">
      <c r="A60" s="18"/>
      <c r="B60" s="18"/>
      <c r="C60" s="19"/>
      <c r="D60" s="17">
        <f t="shared" ca="1" si="1"/>
        <v>0</v>
      </c>
    </row>
    <row r="61" spans="1:4" x14ac:dyDescent="0.4">
      <c r="A61" s="18"/>
      <c r="B61" s="18"/>
      <c r="C61" s="19"/>
      <c r="D61" s="17">
        <f t="shared" ca="1" si="1"/>
        <v>0</v>
      </c>
    </row>
    <row r="62" spans="1:4" x14ac:dyDescent="0.4">
      <c r="A62" s="18"/>
      <c r="B62" s="18"/>
      <c r="C62" s="19"/>
      <c r="D62" s="17">
        <f t="shared" ca="1" si="1"/>
        <v>0</v>
      </c>
    </row>
    <row r="63" spans="1:4" x14ac:dyDescent="0.4">
      <c r="A63" s="18"/>
      <c r="B63" s="18"/>
      <c r="C63" s="19"/>
      <c r="D63" s="17">
        <f t="shared" ca="1" si="1"/>
        <v>0</v>
      </c>
    </row>
    <row r="64" spans="1:4" x14ac:dyDescent="0.4">
      <c r="A64" s="18"/>
      <c r="B64" s="18"/>
      <c r="C64" s="19"/>
      <c r="D64" s="17">
        <f t="shared" ca="1" si="1"/>
        <v>0</v>
      </c>
    </row>
    <row r="65" spans="1:4" x14ac:dyDescent="0.4">
      <c r="A65" s="18"/>
      <c r="B65" s="18"/>
      <c r="C65" s="19"/>
      <c r="D65" s="17">
        <f t="shared" ca="1" si="1"/>
        <v>0</v>
      </c>
    </row>
    <row r="66" spans="1:4" x14ac:dyDescent="0.4">
      <c r="A66" s="18"/>
      <c r="B66" s="18"/>
      <c r="C66" s="19"/>
      <c r="D66" s="17">
        <f t="shared" ca="1" si="1"/>
        <v>0</v>
      </c>
    </row>
    <row r="67" spans="1:4" x14ac:dyDescent="0.4">
      <c r="A67" s="18"/>
      <c r="B67" s="18"/>
      <c r="C67" s="19"/>
      <c r="D67" s="17">
        <f t="shared" ca="1" si="1"/>
        <v>0</v>
      </c>
    </row>
    <row r="68" spans="1:4" x14ac:dyDescent="0.4">
      <c r="A68" s="18"/>
      <c r="B68" s="18"/>
      <c r="C68" s="19"/>
      <c r="D68" s="17">
        <f t="shared" ca="1" si="1"/>
        <v>0</v>
      </c>
    </row>
    <row r="69" spans="1:4" x14ac:dyDescent="0.4">
      <c r="A69" s="18"/>
      <c r="B69" s="18"/>
      <c r="C69" s="19"/>
      <c r="D69" s="17">
        <f t="shared" ca="1" si="1"/>
        <v>0</v>
      </c>
    </row>
    <row r="70" spans="1:4" x14ac:dyDescent="0.4">
      <c r="A70" s="18"/>
      <c r="B70" s="18"/>
      <c r="C70" s="19"/>
      <c r="D70" s="17">
        <f t="shared" ref="D70:D107" ca="1" si="2">CubicSpline(C70,$A$5:$A$107,$B$5:$B$107)</f>
        <v>0</v>
      </c>
    </row>
    <row r="71" spans="1:4" x14ac:dyDescent="0.4">
      <c r="A71" s="18"/>
      <c r="B71" s="18"/>
      <c r="C71" s="19"/>
      <c r="D71" s="17">
        <f t="shared" ca="1" si="2"/>
        <v>0</v>
      </c>
    </row>
    <row r="72" spans="1:4" x14ac:dyDescent="0.4">
      <c r="A72" s="18"/>
      <c r="B72" s="18"/>
      <c r="C72" s="19"/>
      <c r="D72" s="17">
        <f t="shared" ca="1" si="2"/>
        <v>0</v>
      </c>
    </row>
    <row r="73" spans="1:4" x14ac:dyDescent="0.4">
      <c r="A73" s="18"/>
      <c r="B73" s="18"/>
      <c r="C73" s="19"/>
      <c r="D73" s="17">
        <f t="shared" ca="1" si="2"/>
        <v>0</v>
      </c>
    </row>
    <row r="74" spans="1:4" x14ac:dyDescent="0.4">
      <c r="A74" s="18"/>
      <c r="B74" s="18"/>
      <c r="C74" s="19"/>
      <c r="D74" s="17">
        <f t="shared" ca="1" si="2"/>
        <v>0</v>
      </c>
    </row>
    <row r="75" spans="1:4" x14ac:dyDescent="0.4">
      <c r="A75" s="18"/>
      <c r="B75" s="18"/>
      <c r="C75" s="19"/>
      <c r="D75" s="17">
        <f t="shared" ca="1" si="2"/>
        <v>0</v>
      </c>
    </row>
    <row r="76" spans="1:4" x14ac:dyDescent="0.4">
      <c r="A76" s="18"/>
      <c r="B76" s="18"/>
      <c r="C76" s="19"/>
      <c r="D76" s="17">
        <f t="shared" ca="1" si="2"/>
        <v>0</v>
      </c>
    </row>
    <row r="77" spans="1:4" x14ac:dyDescent="0.4">
      <c r="A77" s="18"/>
      <c r="B77" s="18"/>
      <c r="C77" s="19"/>
      <c r="D77" s="17">
        <f t="shared" ca="1" si="2"/>
        <v>0</v>
      </c>
    </row>
    <row r="78" spans="1:4" x14ac:dyDescent="0.4">
      <c r="A78" s="18"/>
      <c r="B78" s="18"/>
      <c r="C78" s="19"/>
      <c r="D78" s="17">
        <f t="shared" ca="1" si="2"/>
        <v>0</v>
      </c>
    </row>
    <row r="79" spans="1:4" x14ac:dyDescent="0.4">
      <c r="A79" s="18"/>
      <c r="B79" s="18"/>
      <c r="C79" s="19"/>
      <c r="D79" s="17">
        <f t="shared" ca="1" si="2"/>
        <v>0</v>
      </c>
    </row>
    <row r="80" spans="1:4" x14ac:dyDescent="0.4">
      <c r="A80" s="18"/>
      <c r="B80" s="18"/>
      <c r="C80" s="19"/>
      <c r="D80" s="17">
        <f t="shared" ca="1" si="2"/>
        <v>0</v>
      </c>
    </row>
    <row r="81" spans="1:4" x14ac:dyDescent="0.4">
      <c r="A81" s="18"/>
      <c r="B81" s="18"/>
      <c r="C81" s="19"/>
      <c r="D81" s="17">
        <f t="shared" ca="1" si="2"/>
        <v>0</v>
      </c>
    </row>
    <row r="82" spans="1:4" x14ac:dyDescent="0.4">
      <c r="A82" s="18"/>
      <c r="B82" s="18"/>
      <c r="C82" s="19"/>
      <c r="D82" s="17">
        <f t="shared" ca="1" si="2"/>
        <v>0</v>
      </c>
    </row>
    <row r="83" spans="1:4" x14ac:dyDescent="0.4">
      <c r="A83" s="18"/>
      <c r="B83" s="18"/>
      <c r="C83" s="19"/>
      <c r="D83" s="17">
        <f t="shared" ca="1" si="2"/>
        <v>0</v>
      </c>
    </row>
    <row r="84" spans="1:4" x14ac:dyDescent="0.4">
      <c r="A84" s="18"/>
      <c r="B84" s="18"/>
      <c r="C84" s="19"/>
      <c r="D84" s="17">
        <f t="shared" ca="1" si="2"/>
        <v>0</v>
      </c>
    </row>
    <row r="85" spans="1:4" x14ac:dyDescent="0.4">
      <c r="A85" s="18"/>
      <c r="B85" s="18"/>
      <c r="C85" s="19"/>
      <c r="D85" s="17">
        <f t="shared" ca="1" si="2"/>
        <v>0</v>
      </c>
    </row>
    <row r="86" spans="1:4" x14ac:dyDescent="0.4">
      <c r="A86" s="18"/>
      <c r="B86" s="18"/>
      <c r="C86" s="19"/>
      <c r="D86" s="17">
        <f t="shared" ca="1" si="2"/>
        <v>0</v>
      </c>
    </row>
    <row r="87" spans="1:4" x14ac:dyDescent="0.4">
      <c r="A87" s="18"/>
      <c r="B87" s="18"/>
      <c r="C87" s="19"/>
      <c r="D87" s="17">
        <f t="shared" ca="1" si="2"/>
        <v>0</v>
      </c>
    </row>
    <row r="88" spans="1:4" x14ac:dyDescent="0.4">
      <c r="A88" s="18"/>
      <c r="B88" s="18"/>
      <c r="C88" s="19"/>
      <c r="D88" s="17">
        <f t="shared" ca="1" si="2"/>
        <v>0</v>
      </c>
    </row>
    <row r="89" spans="1:4" x14ac:dyDescent="0.4">
      <c r="A89" s="18"/>
      <c r="B89" s="18"/>
      <c r="C89" s="19"/>
      <c r="D89" s="17">
        <f t="shared" ca="1" si="2"/>
        <v>0</v>
      </c>
    </row>
    <row r="90" spans="1:4" x14ac:dyDescent="0.4">
      <c r="A90" s="18"/>
      <c r="B90" s="18"/>
      <c r="C90" s="19"/>
      <c r="D90" s="17">
        <f t="shared" ca="1" si="2"/>
        <v>0</v>
      </c>
    </row>
    <row r="91" spans="1:4" x14ac:dyDescent="0.4">
      <c r="A91" s="18"/>
      <c r="B91" s="18"/>
      <c r="C91" s="19"/>
      <c r="D91" s="17">
        <f t="shared" ca="1" si="2"/>
        <v>0</v>
      </c>
    </row>
    <row r="92" spans="1:4" x14ac:dyDescent="0.4">
      <c r="A92" s="18"/>
      <c r="B92" s="18"/>
      <c r="C92" s="19"/>
      <c r="D92" s="17">
        <f t="shared" ca="1" si="2"/>
        <v>0</v>
      </c>
    </row>
    <row r="93" spans="1:4" x14ac:dyDescent="0.4">
      <c r="A93" s="18"/>
      <c r="B93" s="18"/>
      <c r="C93" s="19"/>
      <c r="D93" s="17">
        <f t="shared" ca="1" si="2"/>
        <v>0</v>
      </c>
    </row>
    <row r="94" spans="1:4" x14ac:dyDescent="0.4">
      <c r="A94" s="18"/>
      <c r="B94" s="18"/>
      <c r="C94" s="19"/>
      <c r="D94" s="17">
        <f t="shared" ca="1" si="2"/>
        <v>0</v>
      </c>
    </row>
    <row r="95" spans="1:4" x14ac:dyDescent="0.4">
      <c r="A95" s="18"/>
      <c r="B95" s="18"/>
      <c r="C95" s="19"/>
      <c r="D95" s="17">
        <f t="shared" ca="1" si="2"/>
        <v>0</v>
      </c>
    </row>
    <row r="96" spans="1:4" x14ac:dyDescent="0.4">
      <c r="A96" s="18"/>
      <c r="B96" s="18"/>
      <c r="C96" s="19"/>
      <c r="D96" s="17">
        <f t="shared" ca="1" si="2"/>
        <v>0</v>
      </c>
    </row>
    <row r="97" spans="1:4" x14ac:dyDescent="0.4">
      <c r="A97" s="18"/>
      <c r="B97" s="18"/>
      <c r="C97" s="19"/>
      <c r="D97" s="17">
        <f t="shared" ca="1" si="2"/>
        <v>0</v>
      </c>
    </row>
    <row r="98" spans="1:4" x14ac:dyDescent="0.4">
      <c r="A98" s="18"/>
      <c r="B98" s="18"/>
      <c r="C98" s="19"/>
      <c r="D98" s="17">
        <f t="shared" ca="1" si="2"/>
        <v>0</v>
      </c>
    </row>
    <row r="99" spans="1:4" x14ac:dyDescent="0.4">
      <c r="A99" s="18"/>
      <c r="B99" s="18"/>
      <c r="C99" s="19"/>
      <c r="D99" s="17">
        <f t="shared" ca="1" si="2"/>
        <v>0</v>
      </c>
    </row>
    <row r="100" spans="1:4" x14ac:dyDescent="0.4">
      <c r="A100" s="18"/>
      <c r="B100" s="18"/>
      <c r="C100" s="19"/>
      <c r="D100" s="17">
        <f t="shared" ca="1" si="2"/>
        <v>0</v>
      </c>
    </row>
    <row r="101" spans="1:4" x14ac:dyDescent="0.4">
      <c r="A101" s="18"/>
      <c r="B101" s="18"/>
      <c r="C101" s="19"/>
      <c r="D101" s="17">
        <f t="shared" ca="1" si="2"/>
        <v>0</v>
      </c>
    </row>
    <row r="102" spans="1:4" x14ac:dyDescent="0.4">
      <c r="A102" s="18"/>
      <c r="B102" s="18"/>
      <c r="C102" s="19"/>
      <c r="D102" s="17">
        <f t="shared" ca="1" si="2"/>
        <v>0</v>
      </c>
    </row>
    <row r="103" spans="1:4" x14ac:dyDescent="0.4">
      <c r="A103" s="18"/>
      <c r="B103" s="18"/>
      <c r="C103" s="19"/>
      <c r="D103" s="17">
        <f t="shared" ca="1" si="2"/>
        <v>0</v>
      </c>
    </row>
    <row r="104" spans="1:4" x14ac:dyDescent="0.4">
      <c r="A104" s="18"/>
      <c r="B104" s="18"/>
      <c r="C104" s="19"/>
      <c r="D104" s="17">
        <f t="shared" ca="1" si="2"/>
        <v>0</v>
      </c>
    </row>
    <row r="105" spans="1:4" x14ac:dyDescent="0.4">
      <c r="A105" s="18"/>
      <c r="B105" s="18"/>
      <c r="C105" s="19"/>
      <c r="D105" s="17">
        <f t="shared" ca="1" si="2"/>
        <v>0</v>
      </c>
    </row>
    <row r="106" spans="1:4" x14ac:dyDescent="0.4">
      <c r="A106" s="18"/>
      <c r="B106" s="18"/>
      <c r="C106" s="19"/>
      <c r="D106" s="17">
        <f t="shared" ca="1" si="2"/>
        <v>0</v>
      </c>
    </row>
    <row r="107" spans="1:4" x14ac:dyDescent="0.4">
      <c r="A107" s="18"/>
      <c r="B107" s="18"/>
      <c r="C107" s="19"/>
      <c r="D107" s="17">
        <f t="shared" ca="1" si="2"/>
        <v>0</v>
      </c>
    </row>
  </sheetData>
  <mergeCells count="4">
    <mergeCell ref="A1:B1"/>
    <mergeCell ref="C1:D1"/>
    <mergeCell ref="A2:B2"/>
    <mergeCell ref="C2:D2"/>
  </mergeCells>
  <pageMargins left="0.7" right="0.7" top="0.75" bottom="0.75" header="0.3" footer="0.3"/>
  <pageSetup orientation="portrait" verticalDpi="598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Clause 6.9</vt:lpstr>
      <vt:lpstr>Clause 6.15</vt:lpstr>
    </vt:vector>
  </TitlesOfParts>
  <Company>Cummins Inc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Arun P Janakiraman</dc:creator>
  <cp:lastModifiedBy>John Devereux</cp:lastModifiedBy>
  <dcterms:created xsi:type="dcterms:W3CDTF">2017-11-29T20:25:38Z</dcterms:created>
  <dcterms:modified xsi:type="dcterms:W3CDTF">2025-05-06T16:02:03Z</dcterms:modified>
</cp:coreProperties>
</file>