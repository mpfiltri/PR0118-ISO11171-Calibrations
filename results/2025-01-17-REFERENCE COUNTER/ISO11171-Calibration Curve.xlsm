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RENCE COUNTER\"/>
    </mc:Choice>
  </mc:AlternateContent>
  <xr:revisionPtr revIDLastSave="0" documentId="13_ncr:1_{2ABD92F3-1AE2-4729-8D7A-3C1BCDB3B204}" xr6:coauthVersionLast="47" xr6:coauthVersionMax="47" xr10:uidLastSave="{00000000-0000-0000-0000-000000000000}"/>
  <bookViews>
    <workbookView xWindow="694" yWindow="2417" windowWidth="23752" windowHeight="14803" tabRatio="500" activeTab="5" xr2:uid="{00000000-000D-0000-FFFF-FFFF00000000}"/>
  </bookViews>
  <sheets>
    <sheet name="AnnexE" sheetId="5" r:id="rId1"/>
    <sheet name="6 9" sheetId="4" r:id="rId2"/>
    <sheet name="2025-04-22-annexE" sheetId="6" r:id="rId3"/>
    <sheet name="DATA" sheetId="3" r:id="rId4"/>
    <sheet name="Clause 6.9" sheetId="1" r:id="rId5"/>
    <sheet name="Clause 6.15" sheetId="2" r:id="rId6"/>
  </sheets>
  <functionGroups builtInGroupCount="19"/>
  <definedNames>
    <definedName name="_xlnm._FilterDatabase" localSheetId="0" hidden="1">AnnexE!$A$6:$FT$23</definedName>
    <definedName name="ExternalData_1" localSheetId="2" hidden="1">'2025-04-22-annexE'!$A$1:$FT$19</definedName>
    <definedName name="ExternalData_1" localSheetId="1" hidden="1">'6 9'!$A$1:$FT$19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7" i="1" l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H78" i="1"/>
  <c r="H24" i="1"/>
  <c r="H25" i="1"/>
  <c r="H81" i="1"/>
  <c r="H36" i="1"/>
  <c r="H15" i="1"/>
  <c r="H53" i="1"/>
  <c r="H41" i="1"/>
  <c r="H13" i="1"/>
  <c r="H87" i="1"/>
  <c r="H98" i="1"/>
  <c r="H66" i="1"/>
  <c r="H62" i="1"/>
  <c r="H42" i="1"/>
  <c r="H29" i="1"/>
  <c r="H19" i="1"/>
  <c r="H37" i="1"/>
  <c r="H79" i="1"/>
  <c r="H38" i="1"/>
  <c r="H100" i="1"/>
  <c r="H61" i="1"/>
  <c r="H35" i="1"/>
  <c r="H12" i="1"/>
  <c r="H80" i="1"/>
  <c r="H56" i="1"/>
  <c r="H69" i="1"/>
  <c r="H28" i="1"/>
  <c r="H59" i="1"/>
  <c r="H20" i="1"/>
  <c r="H7" i="1"/>
  <c r="H33" i="1"/>
  <c r="H85" i="1"/>
  <c r="H17" i="1"/>
  <c r="H93" i="1"/>
  <c r="H16" i="1"/>
  <c r="H39" i="1"/>
  <c r="H23" i="1"/>
  <c r="H83" i="1"/>
  <c r="H30" i="1"/>
  <c r="H101" i="1"/>
  <c r="H43" i="1"/>
  <c r="H64" i="1"/>
  <c r="H49" i="1"/>
  <c r="H18" i="1"/>
  <c r="H103" i="1"/>
  <c r="H105" i="1"/>
  <c r="H5" i="1"/>
  <c r="H92" i="1"/>
  <c r="H31" i="1"/>
  <c r="H52" i="1"/>
  <c r="H60" i="1"/>
  <c r="H8" i="1"/>
  <c r="H89" i="1"/>
  <c r="H74" i="1"/>
  <c r="H106" i="1"/>
  <c r="H40" i="1"/>
  <c r="H34" i="1"/>
  <c r="H77" i="1"/>
  <c r="H54" i="1"/>
  <c r="H10" i="1"/>
  <c r="H71" i="1"/>
  <c r="H72" i="1"/>
  <c r="H44" i="1"/>
  <c r="H102" i="1"/>
  <c r="H82" i="1"/>
  <c r="H70" i="1"/>
  <c r="H58" i="1"/>
  <c r="H107" i="1"/>
  <c r="H46" i="1"/>
  <c r="H76" i="1"/>
  <c r="H9" i="1"/>
  <c r="H63" i="1"/>
  <c r="H96" i="1"/>
  <c r="H47" i="1"/>
  <c r="H99" i="1"/>
  <c r="H88" i="1"/>
  <c r="H32" i="1"/>
  <c r="H14" i="1"/>
  <c r="H26" i="1"/>
  <c r="H91" i="1"/>
  <c r="H97" i="1"/>
  <c r="H27" i="1"/>
  <c r="H51" i="1"/>
  <c r="H75" i="1"/>
  <c r="H95" i="1"/>
  <c r="H48" i="1"/>
  <c r="H21" i="1"/>
  <c r="H6" i="1"/>
  <c r="H65" i="1"/>
  <c r="H90" i="1"/>
  <c r="H50" i="1"/>
  <c r="H45" i="1"/>
  <c r="H67" i="1"/>
  <c r="H104" i="1"/>
  <c r="H86" i="1"/>
  <c r="H84" i="1"/>
  <c r="H57" i="1"/>
  <c r="H73" i="1"/>
  <c r="H68" i="1"/>
  <c r="H55" i="1"/>
  <c r="H11" i="1"/>
  <c r="H22" i="1"/>
  <c r="H94" i="1"/>
  <c r="D107" i="2"/>
  <c r="D99" i="2"/>
  <c r="D33" i="2"/>
  <c r="D74" i="2"/>
  <c r="D35" i="2"/>
  <c r="D37" i="2"/>
  <c r="D44" i="2"/>
  <c r="D87" i="2"/>
  <c r="D54" i="2"/>
  <c r="D58" i="2"/>
  <c r="D18" i="2"/>
  <c r="D64" i="2"/>
  <c r="D10" i="2"/>
  <c r="D6" i="2"/>
  <c r="D106" i="2"/>
  <c r="D15" i="2"/>
  <c r="D26" i="2"/>
  <c r="D96" i="2"/>
  <c r="D82" i="2"/>
  <c r="D68" i="2"/>
  <c r="D98" i="2"/>
  <c r="D45" i="2"/>
  <c r="D97" i="2"/>
  <c r="D91" i="2"/>
  <c r="D95" i="2"/>
  <c r="D85" i="2"/>
  <c r="D79" i="2"/>
  <c r="D7" i="2"/>
  <c r="D66" i="2"/>
  <c r="D40" i="2"/>
  <c r="D105" i="2"/>
  <c r="D11" i="2"/>
  <c r="D9" i="2"/>
  <c r="D32" i="2"/>
  <c r="D103" i="2"/>
  <c r="D70" i="2"/>
  <c r="D89" i="2"/>
  <c r="D14" i="2"/>
  <c r="D34" i="2"/>
  <c r="D60" i="2"/>
  <c r="D39" i="2"/>
  <c r="D86" i="2"/>
  <c r="D65" i="2"/>
  <c r="D90" i="2"/>
  <c r="D56" i="2"/>
  <c r="D72" i="2"/>
  <c r="D16" i="2"/>
  <c r="D52" i="2"/>
  <c r="D28" i="2"/>
  <c r="D69" i="2"/>
  <c r="D63" i="2"/>
  <c r="D83" i="2"/>
  <c r="D59" i="2"/>
  <c r="D73" i="2"/>
  <c r="D41" i="2"/>
  <c r="D78" i="2"/>
  <c r="D42" i="2"/>
  <c r="D77" i="2"/>
  <c r="D50" i="2"/>
  <c r="D21" i="2"/>
  <c r="D12" i="2"/>
  <c r="D24" i="2"/>
  <c r="D61" i="2"/>
  <c r="D101" i="2"/>
  <c r="D80" i="2"/>
  <c r="D43" i="2"/>
  <c r="D55" i="2"/>
  <c r="D29" i="2"/>
  <c r="D71" i="2"/>
  <c r="D38" i="2"/>
  <c r="D8" i="2"/>
  <c r="D19" i="2"/>
  <c r="D30" i="2"/>
  <c r="D48" i="2"/>
  <c r="D53" i="2"/>
  <c r="D25" i="2"/>
  <c r="D27" i="2"/>
  <c r="D104" i="2"/>
  <c r="D76" i="2"/>
  <c r="D84" i="2"/>
  <c r="D23" i="2"/>
  <c r="D93" i="2"/>
  <c r="D5" i="2"/>
  <c r="D20" i="2"/>
  <c r="D22" i="2"/>
  <c r="D100" i="2"/>
  <c r="D46" i="2"/>
  <c r="D102" i="2"/>
  <c r="D81" i="2"/>
  <c r="D31" i="2"/>
  <c r="D94" i="2"/>
  <c r="D57" i="2"/>
  <c r="D49" i="2"/>
  <c r="D75" i="2"/>
  <c r="D13" i="2"/>
  <c r="D51" i="2"/>
  <c r="D47" i="2"/>
  <c r="D67" i="2"/>
  <c r="D36" i="2"/>
  <c r="D88" i="2"/>
  <c r="D17" i="2"/>
  <c r="D92" i="2"/>
  <c r="D6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894967-EB75-4C7F-ACDB-CA3247E13C8A}" keepAlive="1" name="Query - 2025-04-22-annexE" description="Connection to the '2025-04-22-annexE' query in the workbook." type="5" refreshedVersion="8" background="1" saveData="1">
    <dbPr connection="Provider=Microsoft.Mashup.OleDb.1;Data Source=$Workbook$;Location=2025-04-22-annexE;Extended Properties=&quot;&quot;" command="SELECT * FROM [2025-04-22-annexE]"/>
  </connection>
  <connection id="2" xr16:uid="{51F290CF-E4B5-4FA5-B0DB-B8B41512C317}" keepAlive="1" name="Query - 6 9" description="Connection to the '6 9' query in the workbook." type="5" refreshedVersion="8" background="1" saveData="1">
    <dbPr connection="Provider=Microsoft.Mashup.OleDb.1;Data Source=$Workbook$;Location=&quot;6 9&quot;;Extended Properties=&quot;&quot;" command="SELECT * FROM [6 9]"/>
  </connection>
</connections>
</file>

<file path=xl/sharedStrings.xml><?xml version="1.0" encoding="utf-8"?>
<sst xmlns="http://schemas.openxmlformats.org/spreadsheetml/2006/main" count="1768" uniqueCount="199">
  <si>
    <t>Data from Table 3</t>
  </si>
  <si>
    <t>Data from Table 4</t>
  </si>
  <si>
    <r>
      <rPr>
        <sz val="11"/>
        <color rgb="FF000000"/>
        <rFont val="Calibri"/>
        <family val="2"/>
        <charset val="1"/>
      </rPr>
      <t xml:space="preserve">Enter all of the threshold  settings determined in 6.3 in column A </t>
    </r>
    <r>
      <rPr>
        <u/>
        <sz val="11"/>
        <color rgb="FF000000"/>
        <rFont val="Calibri"/>
        <family val="2"/>
        <charset val="1"/>
      </rPr>
      <t>in order of decreasing value of threshold  setting</t>
    </r>
    <r>
      <rPr>
        <sz val="11"/>
        <color rgb="FF000000"/>
        <rFont val="Calibri"/>
        <family val="2"/>
        <charset val="1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</si>
  <si>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</si>
  <si>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t>Threshold Voltage Setting</t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</si>
  <si>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First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</si>
  <si>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Second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</si>
  <si>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Third Sample</t>
    </r>
  </si>
  <si>
    <r>
      <rPr>
        <sz val="11"/>
        <color rgb="FF000000"/>
        <rFont val="Calibri"/>
        <family val="2"/>
        <charset val="1"/>
      </rPr>
      <t>Mean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</t>
    </r>
  </si>
  <si>
    <t xml:space="preserve"> Particle Size</t>
  </si>
  <si>
    <t>Particle Concentration</t>
  </si>
  <si>
    <t>Interpolated Threshold Voltage Setting</t>
  </si>
  <si>
    <t>mV</t>
  </si>
  <si>
    <t>particles per millilitre</t>
  </si>
  <si>
    <t xml:space="preserve">µm(c) </t>
  </si>
  <si>
    <t>Threshold Settings corresponding to Sizes of Interest</t>
  </si>
  <si>
    <r>
      <rPr>
        <sz val="11"/>
        <color rgb="FF000000"/>
        <rFont val="Calibri"/>
        <family val="2"/>
        <charset val="1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  <charset val="1"/>
      </rPr>
      <t>in order of increasing value of particle size</t>
    </r>
    <r>
      <rPr>
        <sz val="11"/>
        <color rgb="FF000000"/>
        <rFont val="Calibri"/>
        <family val="2"/>
        <charset val="1"/>
      </rPr>
      <t>.</t>
    </r>
  </si>
  <si>
    <r>
      <rPr>
        <sz val="11"/>
        <color rgb="FF000000"/>
        <rFont val="Calibri"/>
        <family val="2"/>
        <charset val="1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  <charset val="1"/>
      </rPr>
      <t>in order of increasing particle size</t>
    </r>
    <r>
      <rPr>
        <sz val="11"/>
        <color rgb="FF000000"/>
        <rFont val="Calibri"/>
        <family val="2"/>
        <charset val="1"/>
      </rPr>
      <t>. The corresponding interpolated threshold voltage settings are displayed in column D.</t>
    </r>
  </si>
  <si>
    <t>Particle Size</t>
  </si>
  <si>
    <t>Threshold Setting</t>
  </si>
  <si>
    <t>Column1</t>
  </si>
  <si>
    <t>Machine</t>
  </si>
  <si>
    <t>TestNumber</t>
  </si>
  <si>
    <t>Type</t>
  </si>
  <si>
    <t>DateTime</t>
  </si>
  <si>
    <t>TestRef</t>
  </si>
  <si>
    <t>ISO_Code</t>
  </si>
  <si>
    <t>NAS_Class</t>
  </si>
  <si>
    <t>AS4059</t>
  </si>
  <si>
    <t>RH</t>
  </si>
  <si>
    <t>Temperature</t>
  </si>
  <si>
    <t>ISO4</t>
  </si>
  <si>
    <t>ISO6</t>
  </si>
  <si>
    <t>ISO14</t>
  </si>
  <si>
    <t>Volume</t>
  </si>
  <si>
    <t>TotalCount4</t>
  </si>
  <si>
    <t>TotalCount6</t>
  </si>
  <si>
    <t>TotalCount14</t>
  </si>
  <si>
    <t>TotalCount21</t>
  </si>
  <si>
    <t>TotalCount25</t>
  </si>
  <si>
    <t>TotalCount38</t>
  </si>
  <si>
    <t>TotalCount50</t>
  </si>
  <si>
    <t>TotalCount68</t>
  </si>
  <si>
    <t>Stage1Count4</t>
  </si>
  <si>
    <t>Stage1Count6</t>
  </si>
  <si>
    <t>Stage1Count14</t>
  </si>
  <si>
    <t>Stage1Count21</t>
  </si>
  <si>
    <t>Stage1Count25</t>
  </si>
  <si>
    <t>Stage1Count38</t>
  </si>
  <si>
    <t>Stage1Count50</t>
  </si>
  <si>
    <t>Stage1Count68</t>
  </si>
  <si>
    <t>Stage2Count4</t>
  </si>
  <si>
    <t>Stage2Count6</t>
  </si>
  <si>
    <t>Stage2Count14</t>
  </si>
  <si>
    <t>Stage2Count21</t>
  </si>
  <si>
    <t>Stage2Count25</t>
  </si>
  <si>
    <t>Stage2Count38</t>
  </si>
  <si>
    <t>Stage2Count50</t>
  </si>
  <si>
    <t>Stage2Count68</t>
  </si>
  <si>
    <t>Stage3Count4</t>
  </si>
  <si>
    <t>Stage3Count6</t>
  </si>
  <si>
    <t>Stage3Count14</t>
  </si>
  <si>
    <t>Stage3Count21</t>
  </si>
  <si>
    <t>Stage3Count25</t>
  </si>
  <si>
    <t>Stage3Count38</t>
  </si>
  <si>
    <t>Stage3Count50</t>
  </si>
  <si>
    <t>Stage3Count68</t>
  </si>
  <si>
    <t>Customer</t>
  </si>
  <si>
    <t>Fluid</t>
  </si>
  <si>
    <t>TankVolume</t>
  </si>
  <si>
    <t>WorkingHours</t>
  </si>
  <si>
    <t>Viscosity</t>
  </si>
  <si>
    <t>Contamination</t>
  </si>
  <si>
    <t>SampleMethodID</t>
  </si>
  <si>
    <t>SampleDate</t>
  </si>
  <si>
    <t>AnalysisRequestedCounting</t>
  </si>
  <si>
    <t>AnalysisRequestedWater</t>
  </si>
  <si>
    <t>AnalysisRequestedFilterability</t>
  </si>
  <si>
    <t>AnalysisRequestedMembrane</t>
  </si>
  <si>
    <t>AnalysisRequestedPhotography</t>
  </si>
  <si>
    <t>AnalysisRequestedViscosity</t>
  </si>
  <si>
    <t>AnalysisRequestedTAN</t>
  </si>
  <si>
    <t>ResultWater</t>
  </si>
  <si>
    <t>ResultFilterability</t>
  </si>
  <si>
    <t>ResultViscosity</t>
  </si>
  <si>
    <t>ResultViscosityTemp</t>
  </si>
  <si>
    <t>ResultTAN</t>
  </si>
  <si>
    <t>MembraneSize</t>
  </si>
  <si>
    <t>MembraneVolume</t>
  </si>
  <si>
    <t>MembranePoreSize</t>
  </si>
  <si>
    <t>ContaminationLightMetal</t>
  </si>
  <si>
    <t>ContaminationDarkMetal</t>
  </si>
  <si>
    <t>ContaminationYellowMetal</t>
  </si>
  <si>
    <t>ContaminationSilica</t>
  </si>
  <si>
    <t>ContaminationRubberPlastic</t>
  </si>
  <si>
    <t>ContaminationFibre</t>
  </si>
  <si>
    <t>ContaminationOther</t>
  </si>
  <si>
    <t>FilterabilityVolume</t>
  </si>
  <si>
    <t>FilterabilityTime</t>
  </si>
  <si>
    <t>FilterabilityArea</t>
  </si>
  <si>
    <t>FilterabilityIndex</t>
  </si>
  <si>
    <t>CountingNotes</t>
  </si>
  <si>
    <t>CountingFailureID</t>
  </si>
  <si>
    <t>ReferenceID</t>
  </si>
  <si>
    <t>NASStage1Count5_15</t>
  </si>
  <si>
    <t>NASStage1Count15_25</t>
  </si>
  <si>
    <t>NASStage1Count25_50</t>
  </si>
  <si>
    <t>NASStage1Count50_100</t>
  </si>
  <si>
    <t>NASStage1Count100</t>
  </si>
  <si>
    <t>NASStage2Count5_15</t>
  </si>
  <si>
    <t>NASStage2Count15_25</t>
  </si>
  <si>
    <t>NASStage2Count25_50</t>
  </si>
  <si>
    <t>NASStage2Count50_100</t>
  </si>
  <si>
    <t>NASStage2Count100</t>
  </si>
  <si>
    <t>NASStage3Count5_15</t>
  </si>
  <si>
    <t>NASStage3Count15_25</t>
  </si>
  <si>
    <t>NASStage3Count25_50</t>
  </si>
  <si>
    <t>NASStage3Count50_100</t>
  </si>
  <si>
    <t>NASStage3Count100</t>
  </si>
  <si>
    <t>NASTotalCount5_15</t>
  </si>
  <si>
    <t>NASTotalCount15_25</t>
  </si>
  <si>
    <t>NASTotalCount25_50</t>
  </si>
  <si>
    <t>NASTotalCount50_100</t>
  </si>
  <si>
    <t>NASTotalCount100</t>
  </si>
  <si>
    <t>NAS_CLASS_5_15</t>
  </si>
  <si>
    <t>NAS_CLASS_15_25</t>
  </si>
  <si>
    <t>NAS_CLASS_25_50</t>
  </si>
  <si>
    <t>NAS_CLASS_50_100</t>
  </si>
  <si>
    <t>NAS_CLASS_100</t>
  </si>
  <si>
    <t>AS4059_A</t>
  </si>
  <si>
    <t>AS4059_B</t>
  </si>
  <si>
    <t>AS4059_C</t>
  </si>
  <si>
    <t>AS4059_D</t>
  </si>
  <si>
    <t>AS4059_E</t>
  </si>
  <si>
    <t>AS4059_F</t>
  </si>
  <si>
    <t>AS4059E1_CLASS_6_14</t>
  </si>
  <si>
    <t>AS4059E1_CLASS_14_21</t>
  </si>
  <si>
    <t>AS4059E1_CLASS_21_38</t>
  </si>
  <si>
    <t>AS4059E1_CLASS_38_70</t>
  </si>
  <si>
    <t>AS4059E1_CLASS_70</t>
  </si>
  <si>
    <t>AS4059E1_TotalCount6_14</t>
  </si>
  <si>
    <t>AS4059E1_TotalCount14_21</t>
  </si>
  <si>
    <t>AS4059E1_TotalCount21_38</t>
  </si>
  <si>
    <t>AS4059E1_TotalCount38_70</t>
  </si>
  <si>
    <t>AS4059E1_TotalCount70</t>
  </si>
  <si>
    <t>AS4059E1_Stage1Count6_14</t>
  </si>
  <si>
    <t>AS4059E1_Stage1Count14_21</t>
  </si>
  <si>
    <t>AS4059E1_Stage1Count21_38</t>
  </si>
  <si>
    <t>AS4059E1_Stage1Count38_70</t>
  </si>
  <si>
    <t>AS4059E1_Stage1Count70</t>
  </si>
  <si>
    <t>AS4059E1_Stage2Count6_14</t>
  </si>
  <si>
    <t>AS4059E1_Stage2Count14_21</t>
  </si>
  <si>
    <t>AS4059E1_Stage2Count21_38</t>
  </si>
  <si>
    <t>AS4059E1_Stage2Count38_70</t>
  </si>
  <si>
    <t>AS4059E1_Stage2Count70</t>
  </si>
  <si>
    <t>AS4059E1_Stage3Count6_14</t>
  </si>
  <si>
    <t>AS4059E1_Stage3Count14_21</t>
  </si>
  <si>
    <t>AS4059E1_Stage3Count21_38</t>
  </si>
  <si>
    <t>AS4059E1_Stage3Count38_70</t>
  </si>
  <si>
    <t>AS4059E1_Stage3Count70</t>
  </si>
  <si>
    <t>AS4059E1_CLASS1</t>
  </si>
  <si>
    <t>AS4059E1_CLASS2</t>
  </si>
  <si>
    <t>AS4059E1_CLASS3</t>
  </si>
  <si>
    <t>AS4059E1_CLASS</t>
  </si>
  <si>
    <t>portion</t>
  </si>
  <si>
    <t>scanned_volume_ml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</si>
  <si>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</si>
  <si>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</si>
  <si>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</si>
  <si>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</si>
  <si>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</si>
  <si>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</si>
  <si>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</si>
  <si>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</si>
  <si>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</si>
  <si>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</si>
  <si>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</si>
  <si>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</si>
  <si>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</si>
  <si>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</si>
  <si>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</si>
  <si>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</si>
  <si>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</si>
  <si>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</si>
  <si>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</si>
  <si>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</si>
  <si>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</si>
  <si>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</si>
  <si>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</si>
  <si>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</si>
  <si>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</si>
  <si>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</si>
  <si>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</si>
  <si>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</si>
  <si>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</si>
  <si>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</si>
  <si>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/>
  </si>
  <si>
    <t>Annex 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</si>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</sst>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vertAlign val="subscript"/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BDD7EE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BDD7EE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DEEBF7"/>
        <bgColor rgb="FFD9D9D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 applyProtection="1">
      <protection locked="0"/>
    </xf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Alignment="1">
      <alignment horizontal="center" wrapText="1"/>
    </xf>
    <xf numFmtId="164" fontId="0" fillId="3" borderId="1" xfId="0" applyNumberFormat="1" applyFill="1" applyBorder="1"/>
    <xf numFmtId="164" fontId="0" fillId="7" borderId="1" xfId="0" applyNumberFormat="1" applyFill="1" applyBorder="1"/>
    <xf numFmtId="1" fontId="0" fillId="6" borderId="1" xfId="0" applyNumberFormat="1" applyFill="1" applyBorder="1" applyProtection="1">
      <protection locked="0"/>
    </xf>
    <xf numFmtId="1" fontId="0" fillId="3" borderId="1" xfId="0" applyNumberFormat="1" applyFill="1" applyBorder="1"/>
    <xf numFmtId="0" fontId="0" fillId="7" borderId="1" xfId="0" applyFill="1" applyBorder="1"/>
    <xf numFmtId="22" fontId="0" fillId="0" borderId="0" xfId="0" applyNumberFormat="1"/>
    <xf numFmtId="0" fontId="3" fillId="8" borderId="4" xfId="0" applyFont="1" applyFill="1" applyBorder="1"/>
    <xf numFmtId="0" fontId="3" fillId="0" borderId="4" xfId="0" applyFont="1" applyBorder="1"/>
    <xf numFmtId="0" fontId="3" fillId="8" borderId="5" xfId="0" applyFont="1" applyFill="1" applyBorder="1"/>
    <xf numFmtId="0" fontId="3" fillId="0" borderId="5" xfId="0" applyFont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wrapText="1"/>
    </xf>
  </cellXfs>
  <cellStyles count="1">
    <cellStyle name="Normal" xfId="0" builtinId="0"/>
  </cellStyles>
  <dxfs count="1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5B9BD5"/>
      <rgbColor rgb="FF993366"/>
      <rgbColor rgb="FFFFFFCC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400" b="1" strike="noStrike" spc="-1">
                <a:solidFill>
                  <a:srgbClr val="000000"/>
                </a:solidFill>
                <a:latin typeface="Calibri"/>
              </a:rPr>
              <a:t>APC Calibration Curve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80" cap="rnd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4-4DFE-8168-9FC609107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3041"/>
        <c:axId val="32596663"/>
      </c:scatterChart>
      <c:valAx>
        <c:axId val="9860304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Particle Size, µm(c)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596663"/>
        <c:crosses val="autoZero"/>
        <c:crossBetween val="midCat"/>
      </c:valAx>
      <c:valAx>
        <c:axId val="32596663"/>
        <c:scaling>
          <c:logBase val="10"/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Threshold Voltage Setting, mV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8603041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34920</xdr:colOff>
      <xdr:row>4</xdr:row>
      <xdr:rowOff>66600</xdr:rowOff>
    </xdr:from>
    <xdr:to>
      <xdr:col>12</xdr:col>
      <xdr:colOff>603000</xdr:colOff>
      <xdr:row>24</xdr:row>
      <xdr:rowOff>145440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3ADFFA-CF24-4D0A-95E6-B3BCDCCFF860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F86C265-B198-4351-AFD6-9FF2ED61E692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289DB9-3F0E-465E-B02E-DDBEDC971255}" name="_6_9" displayName="_6_9" ref="A1:FT19" tableType="queryTable" totalsRowShown="0">
  <autoFilter ref="A1:FT19" xr:uid="{84289DB9-3F0E-465E-B02E-DDBEDC971255}"/>
  <tableColumns count="176">
    <tableColumn id="1" xr3:uid="{3D550158-98AB-4ED3-8E6A-722184DC7AD0}" uniqueName="1" name="Column1" queryTableFieldId="1" dataDxfId="183"/>
    <tableColumn id="2" xr3:uid="{ABBDD42F-07A5-489A-AE4B-F54EB48DFA7C}" uniqueName="2" name="Machine" queryTableFieldId="2"/>
    <tableColumn id="3" xr3:uid="{2CF39120-F125-4B39-955F-70FC3CCA80A2}" uniqueName="3" name="TestNumber" queryTableFieldId="3"/>
    <tableColumn id="4" xr3:uid="{DDF2AB66-B02A-4F56-B4B9-43B5A8D6D31F}" uniqueName="4" name="Type" queryTableFieldId="4"/>
    <tableColumn id="5" xr3:uid="{61BC8A02-4B17-43C5-B578-FC78FD1E5DBC}" uniqueName="5" name="DateTime" queryTableFieldId="5" dataDxfId="182"/>
    <tableColumn id="6" xr3:uid="{251FD693-A50F-4D3C-B6F8-23C7CF9E8440}" uniqueName="6" name="TestRef" queryTableFieldId="6" dataDxfId="181"/>
    <tableColumn id="7" xr3:uid="{0542FE6E-7E94-4212-B104-5846314794CE}" uniqueName="7" name="ISO_Code" queryTableFieldId="7" dataDxfId="180"/>
    <tableColumn id="8" xr3:uid="{1D1C09D1-0937-4FC8-8E97-854D54A8C28A}" uniqueName="8" name="NAS_Class" queryTableFieldId="8"/>
    <tableColumn id="9" xr3:uid="{5C182D1B-782D-4F78-95A7-69E9B7676CAA}" uniqueName="9" name="AS4059" queryTableFieldId="9" dataDxfId="179"/>
    <tableColumn id="10" xr3:uid="{2D568BFC-A446-49F7-887D-D4C10616DA9C}" uniqueName="10" name="RH" queryTableFieldId="10" dataDxfId="178"/>
    <tableColumn id="11" xr3:uid="{85C6C49B-85BF-42CF-9DC4-8A8DA1A435F0}" uniqueName="11" name="Temperature" queryTableFieldId="11" dataDxfId="177"/>
    <tableColumn id="12" xr3:uid="{803EC81F-1479-4664-9CCC-EC8029E38239}" uniqueName="12" name="ISO4" queryTableFieldId="12"/>
    <tableColumn id="13" xr3:uid="{DC419B41-27D3-4A2D-BB5D-B374A2DA39B4}" uniqueName="13" name="ISO6" queryTableFieldId="13"/>
    <tableColumn id="14" xr3:uid="{FFE6CE3D-E5E2-4080-B5B8-8C55F578F6A6}" uniqueName="14" name="ISO14" queryTableFieldId="14"/>
    <tableColumn id="15" xr3:uid="{375B60A7-AFFB-436A-BA6E-7F926AAB16B0}" uniqueName="15" name="Volume" queryTableFieldId="15" dataDxfId="176"/>
    <tableColumn id="16" xr3:uid="{2D2778B1-AA04-4C2B-9CCC-5505F3BE07B0}" uniqueName="16" name="TotalCount4" queryTableFieldId="16"/>
    <tableColumn id="17" xr3:uid="{5761CA2F-B252-44F5-A294-5FB166AD80E2}" uniqueName="17" name="TotalCount6" queryTableFieldId="17"/>
    <tableColumn id="18" xr3:uid="{7B36D361-05FF-45E4-8CFB-434A97451583}" uniqueName="18" name="TotalCount14" queryTableFieldId="18"/>
    <tableColumn id="19" xr3:uid="{3F4121B5-9746-411C-B674-54D7E4E9A98E}" uniqueName="19" name="TotalCount21" queryTableFieldId="19"/>
    <tableColumn id="20" xr3:uid="{2590CAEF-D1F5-49BA-AE43-23EED6BACE2C}" uniqueName="20" name="TotalCount25" queryTableFieldId="20"/>
    <tableColumn id="21" xr3:uid="{A627592C-A77D-4AD3-A2A9-85BFBD09D7F0}" uniqueName="21" name="TotalCount38" queryTableFieldId="21"/>
    <tableColumn id="22" xr3:uid="{F1BED17C-807C-4B76-966F-E6644F162EB2}" uniqueName="22" name="TotalCount50" queryTableFieldId="22"/>
    <tableColumn id="23" xr3:uid="{297871D0-819B-46C9-8431-0D28C2E64402}" uniqueName="23" name="TotalCount68" queryTableFieldId="23"/>
    <tableColumn id="24" xr3:uid="{E9540161-0308-4FD1-91A7-DBB288E0FF2A}" uniqueName="24" name="Stage1Count4" queryTableFieldId="24" dataDxfId="175"/>
    <tableColumn id="25" xr3:uid="{446BF1D3-2C31-4288-9DF6-AF280A9191BC}" uniqueName="25" name="Stage1Count6" queryTableFieldId="25" dataDxfId="174"/>
    <tableColumn id="26" xr3:uid="{55EC9EA9-8170-4597-A3B2-159927337FE3}" uniqueName="26" name="Stage1Count14" queryTableFieldId="26" dataDxfId="173"/>
    <tableColumn id="27" xr3:uid="{2549D926-1FD9-4CB4-A93F-3E5265144FF8}" uniqueName="27" name="Stage1Count21" queryTableFieldId="27" dataDxfId="172"/>
    <tableColumn id="28" xr3:uid="{A0AD4095-42C6-4FA2-9C6A-C75BBEF40829}" uniqueName="28" name="Stage1Count25" queryTableFieldId="28" dataDxfId="171"/>
    <tableColumn id="29" xr3:uid="{53DD55FE-AA4B-4F4D-B01C-485634E2C0F4}" uniqueName="29" name="Stage1Count38" queryTableFieldId="29" dataDxfId="170"/>
    <tableColumn id="30" xr3:uid="{C881F5FE-51A5-4B71-8FEF-8F353DB2714D}" uniqueName="30" name="Stage1Count50" queryTableFieldId="30" dataDxfId="169"/>
    <tableColumn id="31" xr3:uid="{0E4F576A-EB4A-48DF-B952-3EE11A1CEDDB}" uniqueName="31" name="Stage1Count68" queryTableFieldId="31" dataDxfId="168"/>
    <tableColumn id="32" xr3:uid="{C701C607-97AE-47C9-8F20-E665BC6C6CE6}" uniqueName="32" name="Stage2Count4" queryTableFieldId="32" dataDxfId="167"/>
    <tableColumn id="33" xr3:uid="{A6E8035E-D26E-43E1-94B5-0A9F1408F51C}" uniqueName="33" name="Stage2Count6" queryTableFieldId="33" dataDxfId="166"/>
    <tableColumn id="34" xr3:uid="{FCCA6EF8-8774-4A45-9C5D-570DB195C813}" uniqueName="34" name="Stage2Count14" queryTableFieldId="34" dataDxfId="165"/>
    <tableColumn id="35" xr3:uid="{0C508118-77AC-4889-BE5D-E32D6698A052}" uniqueName="35" name="Stage2Count21" queryTableFieldId="35" dataDxfId="164"/>
    <tableColumn id="36" xr3:uid="{B6BDD959-CFF5-4C52-B616-2E4F3E41A4D1}" uniqueName="36" name="Stage2Count25" queryTableFieldId="36" dataDxfId="163"/>
    <tableColumn id="37" xr3:uid="{5F289282-1F01-4346-9804-2DC2264C3C15}" uniqueName="37" name="Stage2Count38" queryTableFieldId="37" dataDxfId="162"/>
    <tableColumn id="38" xr3:uid="{B396D8C8-AEE0-4B1E-99B5-A3E6517A9B72}" uniqueName="38" name="Stage2Count50" queryTableFieldId="38" dataDxfId="161"/>
    <tableColumn id="39" xr3:uid="{CC6841E3-335E-4077-87F4-72602AC4DD33}" uniqueName="39" name="Stage2Count68" queryTableFieldId="39" dataDxfId="160"/>
    <tableColumn id="40" xr3:uid="{1404BC20-69C6-4BA1-B2BC-69C61CCE3A2A}" uniqueName="40" name="Stage3Count4" queryTableFieldId="40" dataDxfId="159"/>
    <tableColumn id="41" xr3:uid="{66E37BF8-A964-41DF-AF04-C52D29DC533C}" uniqueName="41" name="Stage3Count6" queryTableFieldId="41" dataDxfId="158"/>
    <tableColumn id="42" xr3:uid="{2F9BCA51-2217-4908-8361-A6ACC41A65AB}" uniqueName="42" name="Stage3Count14" queryTableFieldId="42" dataDxfId="157"/>
    <tableColumn id="43" xr3:uid="{8392CE31-59B2-4291-971E-941A0CB3F41C}" uniqueName="43" name="Stage3Count21" queryTableFieldId="43" dataDxfId="156"/>
    <tableColumn id="44" xr3:uid="{779A58C2-4FE8-4343-B370-56D605387334}" uniqueName="44" name="Stage3Count25" queryTableFieldId="44" dataDxfId="155"/>
    <tableColumn id="45" xr3:uid="{B3F56FF3-F9C4-47C2-B75B-37619FB05B59}" uniqueName="45" name="Stage3Count38" queryTableFieldId="45" dataDxfId="154"/>
    <tableColumn id="46" xr3:uid="{23CF7ECD-C592-4029-98EA-11195D95D107}" uniqueName="46" name="Stage3Count50" queryTableFieldId="46" dataDxfId="153"/>
    <tableColumn id="47" xr3:uid="{DA30238C-2F9D-4ADD-A7BB-28C99E5F8B75}" uniqueName="47" name="Stage3Count68" queryTableFieldId="47" dataDxfId="152"/>
    <tableColumn id="48" xr3:uid="{AE73E6D4-8A07-4D16-AB1C-867C4C0DC443}" uniqueName="48" name="Customer" queryTableFieldId="48" dataDxfId="151"/>
    <tableColumn id="49" xr3:uid="{1D02A85A-5848-4BE5-A1A0-9D86879C1FF9}" uniqueName="49" name="Fluid" queryTableFieldId="49" dataDxfId="150"/>
    <tableColumn id="50" xr3:uid="{96ADB19A-A0E3-4D24-AF1B-56D2800910ED}" uniqueName="50" name="TankVolume" queryTableFieldId="50" dataDxfId="149"/>
    <tableColumn id="51" xr3:uid="{2339927B-527D-4938-9F89-3DADA90505B6}" uniqueName="51" name="WorkingHours" queryTableFieldId="51" dataDxfId="148"/>
    <tableColumn id="52" xr3:uid="{035B37D8-904A-48B3-B0AB-975A2EACE6FA}" uniqueName="52" name="Viscosity" queryTableFieldId="52" dataDxfId="147"/>
    <tableColumn id="53" xr3:uid="{5B139CFA-BCD6-4E84-83AA-EB8DD952A865}" uniqueName="53" name="Contamination" queryTableFieldId="53" dataDxfId="146"/>
    <tableColumn id="54" xr3:uid="{78FD6B23-D9BE-4F75-BD5A-86A397522C49}" uniqueName="54" name="SampleMethodID" queryTableFieldId="54" dataDxfId="145"/>
    <tableColumn id="55" xr3:uid="{1C214998-CAAD-4974-8041-403625DCEC6A}" uniqueName="55" name="SampleDate" queryTableFieldId="55" dataDxfId="144"/>
    <tableColumn id="56" xr3:uid="{551E5E9A-4AC8-4612-BD67-266AACE0CDDE}" uniqueName="56" name="AnalysisRequestedCounting" queryTableFieldId="56"/>
    <tableColumn id="57" xr3:uid="{95783CFA-D1D0-4C1A-BD2D-924119D22EEF}" uniqueName="57" name="AnalysisRequestedWater" queryTableFieldId="57"/>
    <tableColumn id="58" xr3:uid="{7C62C22A-87D3-401E-805B-D9143E49469C}" uniqueName="58" name="AnalysisRequestedFilterability" queryTableFieldId="58"/>
    <tableColumn id="59" xr3:uid="{C9DD2C6C-2E33-4CC6-9272-0A43EFDC1860}" uniqueName="59" name="AnalysisRequestedMembrane" queryTableFieldId="59"/>
    <tableColumn id="60" xr3:uid="{B6123281-9DC7-4C53-88A3-67D92D0DB229}" uniqueName="60" name="AnalysisRequestedPhotography" queryTableFieldId="60"/>
    <tableColumn id="61" xr3:uid="{9163CC88-98F4-4BE2-BE54-41209375BD21}" uniqueName="61" name="AnalysisRequestedViscosity" queryTableFieldId="61"/>
    <tableColumn id="62" xr3:uid="{5677D7A1-8922-4A84-AD59-271E8DB33A99}" uniqueName="62" name="AnalysisRequestedTAN" queryTableFieldId="62"/>
    <tableColumn id="63" xr3:uid="{04E5E413-5555-4169-BE64-DECF913E9851}" uniqueName="63" name="ResultWater" queryTableFieldId="63" dataDxfId="143"/>
    <tableColumn id="64" xr3:uid="{80DE785E-067D-401B-848D-04E181E10A5B}" uniqueName="64" name="ResultFilterability" queryTableFieldId="64" dataDxfId="142"/>
    <tableColumn id="65" xr3:uid="{7F987415-50C6-44AA-A81A-190FAC1EBA20}" uniqueName="65" name="ResultViscosity" queryTableFieldId="65" dataDxfId="141"/>
    <tableColumn id="66" xr3:uid="{5EAB343C-4C8B-4DFB-BE98-AADD554DA836}" uniqueName="66" name="ResultViscosityTemp" queryTableFieldId="66" dataDxfId="140"/>
    <tableColumn id="67" xr3:uid="{B522770A-260F-456F-BE9B-3A62248136B4}" uniqueName="67" name="ResultTAN" queryTableFieldId="67" dataDxfId="139"/>
    <tableColumn id="68" xr3:uid="{88BF7E8C-D5C5-4D9A-8FF5-466A3F726D61}" uniqueName="68" name="MembraneSize" queryTableFieldId="68" dataDxfId="138"/>
    <tableColumn id="69" xr3:uid="{A76BB233-8D0C-4E4E-9DDA-EB561A90BBBA}" uniqueName="69" name="MembraneVolume" queryTableFieldId="69" dataDxfId="137"/>
    <tableColumn id="70" xr3:uid="{C5E2E978-D819-47FF-ADD2-CDC5FD143126}" uniqueName="70" name="MembranePoreSize" queryTableFieldId="70" dataDxfId="136"/>
    <tableColumn id="71" xr3:uid="{60D1FDF2-C6B3-431A-BD55-7771CDDE394F}" uniqueName="71" name="ContaminationLightMetal" queryTableFieldId="71" dataDxfId="135"/>
    <tableColumn id="72" xr3:uid="{00438C9F-39D8-4DF6-BCB6-9D341B423086}" uniqueName="72" name="ContaminationDarkMetal" queryTableFieldId="72" dataDxfId="134"/>
    <tableColumn id="73" xr3:uid="{DF1624A9-2468-4C43-ACB6-D74A6738B947}" uniqueName="73" name="ContaminationYellowMetal" queryTableFieldId="73" dataDxfId="133"/>
    <tableColumn id="74" xr3:uid="{0E393DDE-72CF-49F9-B405-3287DE075429}" uniqueName="74" name="ContaminationSilica" queryTableFieldId="74" dataDxfId="132"/>
    <tableColumn id="75" xr3:uid="{A24C3C52-5744-4979-83DD-5C7AE0822BFA}" uniqueName="75" name="ContaminationRubberPlastic" queryTableFieldId="75" dataDxfId="131"/>
    <tableColumn id="76" xr3:uid="{651695BE-23B3-487E-AF63-C444766E8EC8}" uniqueName="76" name="ContaminationFibre" queryTableFieldId="76" dataDxfId="130"/>
    <tableColumn id="77" xr3:uid="{B03FA5DB-25F3-489D-953C-DE6A885663B5}" uniqueName="77" name="ContaminationOther" queryTableFieldId="77" dataDxfId="129"/>
    <tableColumn id="78" xr3:uid="{4A000706-4BF5-495D-822F-D30FE59DC1F8}" uniqueName="78" name="FilterabilityVolume" queryTableFieldId="78" dataDxfId="128"/>
    <tableColumn id="79" xr3:uid="{35BCE125-4B8A-48F0-A8B0-C3B58C4BB546}" uniqueName="79" name="FilterabilityTime" queryTableFieldId="79" dataDxfId="127"/>
    <tableColumn id="80" xr3:uid="{FC332023-8FA3-4B4B-BD24-1F3EAD996F1E}" uniqueName="80" name="FilterabilityArea" queryTableFieldId="80" dataDxfId="126"/>
    <tableColumn id="81" xr3:uid="{3DBD99B7-CF5A-45F8-B9A4-13A1FFD9276D}" uniqueName="81" name="FilterabilityIndex" queryTableFieldId="81" dataDxfId="125"/>
    <tableColumn id="82" xr3:uid="{48E4862E-9CEC-4194-9833-A90F9EE1391A}" uniqueName="82" name="CountingNotes" queryTableFieldId="82" dataDxfId="124"/>
    <tableColumn id="83" xr3:uid="{CDF46F4A-131E-4609-A411-7A4B4FBFD23A}" uniqueName="83" name="CountingFailureID" queryTableFieldId="83" dataDxfId="123"/>
    <tableColumn id="84" xr3:uid="{C4F80AEF-26E8-44D1-BCCB-A7225EB95479}" uniqueName="84" name="ReferenceID" queryTableFieldId="84" dataDxfId="122"/>
    <tableColumn id="85" xr3:uid="{6761E03A-1645-43AE-9E67-82747FBFCD78}" uniqueName="85" name="NASStage1Count5_15" queryTableFieldId="85" dataDxfId="121"/>
    <tableColumn id="86" xr3:uid="{BAEE67EE-6D51-4811-9E94-55A7BD3F48CC}" uniqueName="86" name="NASStage1Count15_25" queryTableFieldId="86" dataDxfId="120"/>
    <tableColumn id="87" xr3:uid="{32D65073-B026-4CAC-BA5C-A48D9201C43A}" uniqueName="87" name="NASStage1Count25_50" queryTableFieldId="87" dataDxfId="119"/>
    <tableColumn id="88" xr3:uid="{ABA142E0-EAE3-4193-BFC1-0675E4EA5B63}" uniqueName="88" name="NASStage1Count50_100" queryTableFieldId="88" dataDxfId="118"/>
    <tableColumn id="89" xr3:uid="{81686AA9-BCD2-4446-BEA2-D1A9C6F3D06F}" uniqueName="89" name="NASStage1Count100" queryTableFieldId="89" dataDxfId="117"/>
    <tableColumn id="90" xr3:uid="{6D5FCF9C-234A-47DD-B9CE-14948916A052}" uniqueName="90" name="NASStage2Count5_15" queryTableFieldId="90" dataDxfId="116"/>
    <tableColumn id="91" xr3:uid="{6D3DEA85-1B00-4E93-8158-EB9BCC720FBE}" uniqueName="91" name="NASStage2Count15_25" queryTableFieldId="91" dataDxfId="115"/>
    <tableColumn id="92" xr3:uid="{EE592B17-0218-4972-8106-8AC4D7B6D56C}" uniqueName="92" name="NASStage2Count25_50" queryTableFieldId="92" dataDxfId="114"/>
    <tableColumn id="93" xr3:uid="{F55FE88E-3D10-4F4B-B9A3-79C53AC10AC7}" uniqueName="93" name="NASStage2Count50_100" queryTableFieldId="93" dataDxfId="113"/>
    <tableColumn id="94" xr3:uid="{56B738D7-DE9A-425E-8E91-8AA7DCCEEDA6}" uniqueName="94" name="NASStage2Count100" queryTableFieldId="94" dataDxfId="112"/>
    <tableColumn id="95" xr3:uid="{5F6F6391-C633-417D-8EFC-5109F7B059FD}" uniqueName="95" name="NASStage3Count5_15" queryTableFieldId="95" dataDxfId="111"/>
    <tableColumn id="96" xr3:uid="{BF4DA109-0247-4464-8E31-9AB178CC7D71}" uniqueName="96" name="NASStage3Count15_25" queryTableFieldId="96" dataDxfId="110"/>
    <tableColumn id="97" xr3:uid="{1081AA0B-83DA-4C74-B771-FA50551B2DC1}" uniqueName="97" name="NASStage3Count25_50" queryTableFieldId="97" dataDxfId="109"/>
    <tableColumn id="98" xr3:uid="{5A216EFA-0803-4055-888B-0B05BFA592B2}" uniqueName="98" name="NASStage3Count50_100" queryTableFieldId="98" dataDxfId="108"/>
    <tableColumn id="99" xr3:uid="{9CB9AE32-37CF-4E96-B491-9368893D547C}" uniqueName="99" name="NASStage3Count100" queryTableFieldId="99" dataDxfId="107"/>
    <tableColumn id="100" xr3:uid="{462E6819-07C9-4CD8-8711-68331EE83483}" uniqueName="100" name="NASTotalCount5_15" queryTableFieldId="100"/>
    <tableColumn id="101" xr3:uid="{8457096D-D498-40BF-A87A-3B2B870982AA}" uniqueName="101" name="NASTotalCount15_25" queryTableFieldId="101"/>
    <tableColumn id="102" xr3:uid="{B05BA81C-9768-406E-BB76-56DAF5088786}" uniqueName="102" name="NASTotalCount25_50" queryTableFieldId="102"/>
    <tableColumn id="103" xr3:uid="{09D6CD32-520C-4C82-B213-1EE43EA22519}" uniqueName="103" name="NASTotalCount50_100" queryTableFieldId="103"/>
    <tableColumn id="104" xr3:uid="{0512959A-F93A-45AB-A2B8-AF9A14620AAB}" uniqueName="104" name="NASTotalCount100" queryTableFieldId="104"/>
    <tableColumn id="105" xr3:uid="{1E76C474-01B0-446C-808A-55EB5C8EB461}" uniqueName="105" name="NAS_CLASS_5_15" queryTableFieldId="105"/>
    <tableColumn id="106" xr3:uid="{67D85FFA-7941-4EB9-A417-474FA475A96C}" uniqueName="106" name="NAS_CLASS_15_25" queryTableFieldId="106"/>
    <tableColumn id="107" xr3:uid="{5C6BE42B-BDFD-4D01-92C6-6F957522A7D4}" uniqueName="107" name="NAS_CLASS_25_50" queryTableFieldId="107"/>
    <tableColumn id="108" xr3:uid="{8E34DC35-FAE3-4F3D-88A0-C258B960CCD2}" uniqueName="108" name="NAS_CLASS_50_100" queryTableFieldId="108"/>
    <tableColumn id="109" xr3:uid="{C467D125-087A-4E3C-8FF9-4D1550F3A414}" uniqueName="109" name="NAS_CLASS_100" queryTableFieldId="109"/>
    <tableColumn id="110" xr3:uid="{77AF125F-8F92-4105-BC7C-F5B3582B4E1A}" uniqueName="110" name="AS4059_A" queryTableFieldId="110"/>
    <tableColumn id="111" xr3:uid="{C99A398D-EFFD-4A3C-81EC-3708FC2B418F}" uniqueName="111" name="AS4059_B" queryTableFieldId="111"/>
    <tableColumn id="112" xr3:uid="{28F0EE91-14D4-4A68-8732-8E64584B6267}" uniqueName="112" name="AS4059_C" queryTableFieldId="112"/>
    <tableColumn id="113" xr3:uid="{D7BB2510-AC75-49DD-8083-3D9713A9AFD8}" uniqueName="113" name="AS4059_D" queryTableFieldId="113"/>
    <tableColumn id="114" xr3:uid="{4F230053-7B79-4AC0-A120-47881B92C0E2}" uniqueName="114" name="AS4059_E" queryTableFieldId="114"/>
    <tableColumn id="115" xr3:uid="{A193D6F0-DFD8-4911-AAB1-FC48AD22E6B8}" uniqueName="115" name="AS4059_F" queryTableFieldId="115"/>
    <tableColumn id="116" xr3:uid="{F48EC465-A945-40F2-9344-6B7D35BB5D77}" uniqueName="116" name="AS4059E1_CLASS_6_14" queryTableFieldId="116"/>
    <tableColumn id="117" xr3:uid="{CEBE847A-26A3-448C-A5E5-2B4E5EA7E82C}" uniqueName="117" name="AS4059E1_CLASS_14_21" queryTableFieldId="117"/>
    <tableColumn id="118" xr3:uid="{713BA53F-0F73-4091-ACC6-CE60A07A847E}" uniqueName="118" name="AS4059E1_CLASS_21_38" queryTableFieldId="118"/>
    <tableColumn id="119" xr3:uid="{215E7233-982B-438E-BDEF-61ADFBF687E5}" uniqueName="119" name="AS4059E1_CLASS_38_70" queryTableFieldId="119"/>
    <tableColumn id="120" xr3:uid="{D55E1A9A-3961-428F-ACDC-A5A229B17A50}" uniqueName="120" name="AS4059E1_CLASS_70" queryTableFieldId="120"/>
    <tableColumn id="121" xr3:uid="{5E9E2269-A3FB-4641-8192-4EC24316943F}" uniqueName="121" name="AS4059E1_TotalCount6_14" queryTableFieldId="121"/>
    <tableColumn id="122" xr3:uid="{47F27307-B863-4518-A606-E11D9EE535F3}" uniqueName="122" name="AS4059E1_TotalCount14_21" queryTableFieldId="122"/>
    <tableColumn id="123" xr3:uid="{BB9AFF59-132A-4F6A-86B4-65FE9D8EF7D4}" uniqueName="123" name="AS4059E1_TotalCount21_38" queryTableFieldId="123"/>
    <tableColumn id="124" xr3:uid="{DEC5B5B7-BDED-4804-9353-2CC62A7ACA67}" uniqueName="124" name="AS4059E1_TotalCount38_70" queryTableFieldId="124"/>
    <tableColumn id="125" xr3:uid="{09912F51-5BC7-4C69-AAA9-5EDFC151CD06}" uniqueName="125" name="AS4059E1_TotalCount70" queryTableFieldId="125"/>
    <tableColumn id="126" xr3:uid="{F09DDCD0-7EAC-46CC-9560-72117E1E9AE8}" uniqueName="126" name="AS4059E1_Stage1Count6_14" queryTableFieldId="126" dataDxfId="106"/>
    <tableColumn id="127" xr3:uid="{191D9DBD-633C-4E5D-A1FF-ECEDEB545DC6}" uniqueName="127" name="AS4059E1_Stage1Count14_21" queryTableFieldId="127" dataDxfId="105"/>
    <tableColumn id="128" xr3:uid="{DD16E584-88C3-4576-975B-3828D9D29A3F}" uniqueName="128" name="AS4059E1_Stage1Count21_38" queryTableFieldId="128" dataDxfId="104"/>
    <tableColumn id="129" xr3:uid="{C8873DD4-56A8-4E86-8B40-2CC356263F70}" uniqueName="129" name="AS4059E1_Stage1Count38_70" queryTableFieldId="129" dataDxfId="103"/>
    <tableColumn id="130" xr3:uid="{FE852E18-A654-45FD-8A8F-60D67EEF2F25}" uniqueName="130" name="AS4059E1_Stage1Count70" queryTableFieldId="130" dataDxfId="102"/>
    <tableColumn id="131" xr3:uid="{83DBFAC1-53A1-4266-A339-AB1D573694C7}" uniqueName="131" name="AS4059E1_Stage2Count6_14" queryTableFieldId="131" dataDxfId="101"/>
    <tableColumn id="132" xr3:uid="{0CF4ACA7-62B8-49A3-B6DF-0D33495C549E}" uniqueName="132" name="AS4059E1_Stage2Count14_21" queryTableFieldId="132" dataDxfId="100"/>
    <tableColumn id="133" xr3:uid="{00971843-1A75-48FA-BF38-C023C3ADF380}" uniqueName="133" name="AS4059E1_Stage2Count21_38" queryTableFieldId="133" dataDxfId="99"/>
    <tableColumn id="134" xr3:uid="{06CD1953-CDCF-41F7-AFD8-B212F52C0E23}" uniqueName="134" name="AS4059E1_Stage2Count38_70" queryTableFieldId="134" dataDxfId="98"/>
    <tableColumn id="135" xr3:uid="{9D8B6706-C77C-463A-AD32-A560D73CCB18}" uniqueName="135" name="AS4059E1_Stage2Count70" queryTableFieldId="135" dataDxfId="97"/>
    <tableColumn id="136" xr3:uid="{DF9A774D-EC37-4C65-87DE-053D1D2895F5}" uniqueName="136" name="AS4059E1_Stage3Count6_14" queryTableFieldId="136" dataDxfId="96"/>
    <tableColumn id="137" xr3:uid="{C130D942-3097-410B-A949-234CE17C4B82}" uniqueName="137" name="AS4059E1_Stage3Count14_21" queryTableFieldId="137" dataDxfId="95"/>
    <tableColumn id="138" xr3:uid="{9306B10C-B2CC-4ECE-924C-DA51C9161225}" uniqueName="138" name="AS4059E1_Stage3Count21_38" queryTableFieldId="138" dataDxfId="94"/>
    <tableColumn id="139" xr3:uid="{E04C3657-7C77-4DA1-8AE7-EC1870619106}" uniqueName="139" name="AS4059E1_Stage3Count38_70" queryTableFieldId="139" dataDxfId="93"/>
    <tableColumn id="140" xr3:uid="{7C9745B0-AFBF-4FD9-85DA-9F53A06546A5}" uniqueName="140" name="AS4059E1_Stage3Count70" queryTableFieldId="140" dataDxfId="92"/>
    <tableColumn id="141" xr3:uid="{55D68ED6-3A1B-4EBA-A9E6-5CB9C5E5F33C}" uniqueName="141" name="AS4059E1_CLASS1" queryTableFieldId="141"/>
    <tableColumn id="142" xr3:uid="{CC0B5A82-D200-4E91-B057-2F7832667E38}" uniqueName="142" name="AS4059E1_CLASS2" queryTableFieldId="142"/>
    <tableColumn id="143" xr3:uid="{AC7B6563-6E2C-4F7B-A039-FEDF673747AA}" uniqueName="143" name="AS4059E1_CLASS3" queryTableFieldId="143"/>
    <tableColumn id="144" xr3:uid="{9F8BF66C-88A8-4A9E-AFAF-E3EF6A875C35}" uniqueName="144" name="AS4059E1_CLASS" queryTableFieldId="144"/>
    <tableColumn id="145" xr3:uid="{7BB63FE0-FA16-4D12-B38C-268480216787}" uniqueName="145" name="portion" queryTableFieldId="145"/>
    <tableColumn id="146" xr3:uid="{CF217D0C-96F7-405A-96B3-D553EE2AE710}" uniqueName="146" name="scanned_volume_ml" queryTableFieldId="146"/>
    <tableColumn id="147" xr3:uid="{C9B0585F-CA7C-4AD6-B9C4-8C023EADCA3A}" uniqueName="147" name="count_4" queryTableFieldId="147"/>
    <tableColumn id="148" xr3:uid="{6DFD0B39-DDAA-4F17-84E3-B1D08CBD8206}" uniqueName="148" name="count_5" queryTableFieldId="148"/>
    <tableColumn id="149" xr3:uid="{97881B86-F586-4954-AF02-F3E21BEE9F8C}" uniqueName="149" name="count_6" queryTableFieldId="149"/>
    <tableColumn id="150" xr3:uid="{08911051-F47B-4E6E-9E7C-1A28B650C154}" uniqueName="150" name="count_7" queryTableFieldId="150"/>
    <tableColumn id="151" xr3:uid="{E2701139-3A06-47A3-817B-60DDD877E97B}" uniqueName="151" name="count_8" queryTableFieldId="151"/>
    <tableColumn id="152" xr3:uid="{599E29F8-387E-4C2F-A204-57C9F5DB4158}" uniqueName="152" name="count_9" queryTableFieldId="152"/>
    <tableColumn id="153" xr3:uid="{DE9FBCC0-64A3-4427-B42E-C24C8463147A}" uniqueName="153" name="count_10" queryTableFieldId="153"/>
    <tableColumn id="154" xr3:uid="{58B3A847-D008-44DB-BDA7-FCB9F3F16792}" uniqueName="154" name="count_11" queryTableFieldId="154"/>
    <tableColumn id="155" xr3:uid="{8E3997A9-8F82-47A3-A4CE-871D5CBC660E}" uniqueName="155" name="count_12" queryTableFieldId="155"/>
    <tableColumn id="156" xr3:uid="{81369C80-9616-4998-9B3E-6FEF75810DC7}" uniqueName="156" name="count_13" queryTableFieldId="156"/>
    <tableColumn id="157" xr3:uid="{B30758C3-D6A7-4B1D-8777-711AB13F36DF}" uniqueName="157" name="count_14" queryTableFieldId="157"/>
    <tableColumn id="158" xr3:uid="{6E2FF2D4-C9CC-4265-862A-D0FD6AC44B53}" uniqueName="158" name="count_15" queryTableFieldId="158"/>
    <tableColumn id="159" xr3:uid="{A4017443-0779-4B9F-8C05-29494C67203B}" uniqueName="159" name="count_16" queryTableFieldId="159"/>
    <tableColumn id="160" xr3:uid="{17A2FC11-A502-4380-ADFA-2D44DD37CDF4}" uniqueName="160" name="count_17" queryTableFieldId="160"/>
    <tableColumn id="161" xr3:uid="{F529AE72-27D0-4D42-940B-72C204AB7B04}" uniqueName="161" name="count_18" queryTableFieldId="161"/>
    <tableColumn id="162" xr3:uid="{32543BAF-44DA-49F5-B0F2-3ED4ABE81650}" uniqueName="162" name="count_19" queryTableFieldId="162"/>
    <tableColumn id="163" xr3:uid="{A761A77C-6792-408B-A8BE-A0ECAA57EFD3}" uniqueName="163" name="count_20" queryTableFieldId="163"/>
    <tableColumn id="164" xr3:uid="{59139E68-37A9-46E8-94FB-0D44AE4768ED}" uniqueName="164" name="count_21" queryTableFieldId="164"/>
    <tableColumn id="165" xr3:uid="{792B31B8-32FF-47A8-AD83-F7485B15473C}" uniqueName="165" name="count_22" queryTableFieldId="165"/>
    <tableColumn id="166" xr3:uid="{DCE3F92B-7021-4CCA-933B-8F27C46658AD}" uniqueName="166" name="count_23" queryTableFieldId="166"/>
    <tableColumn id="167" xr3:uid="{D745A1F6-714E-4FA7-9909-B2BB17838A0B}" uniqueName="167" name="count_24" queryTableFieldId="167"/>
    <tableColumn id="168" xr3:uid="{25DF901C-C223-4156-984B-760BEE0FCE38}" uniqueName="168" name="count_25" queryTableFieldId="168"/>
    <tableColumn id="169" xr3:uid="{A0372739-1928-40EF-8496-EBF9462DA3B7}" uniqueName="169" name="count_26" queryTableFieldId="169"/>
    <tableColumn id="170" xr3:uid="{F8730C1B-CDE2-4100-B25B-6782D3F56EAA}" uniqueName="170" name="count_27" queryTableFieldId="170"/>
    <tableColumn id="171" xr3:uid="{A7D3BB83-2C93-4F0D-81D2-DBB7AEBB18FD}" uniqueName="171" name="count_28" queryTableFieldId="171"/>
    <tableColumn id="172" xr3:uid="{52ECF44C-B1CC-4497-8BEF-DB0679484676}" uniqueName="172" name="count_29" queryTableFieldId="172"/>
    <tableColumn id="173" xr3:uid="{2B8E0521-EFE1-414D-BAC9-245EA46EEAE2}" uniqueName="173" name="count_30" queryTableFieldId="173"/>
    <tableColumn id="174" xr3:uid="{0629120F-B510-47AB-86F4-3E779EB2CEE2}" uniqueName="174" name="count_38" queryTableFieldId="174"/>
    <tableColumn id="175" xr3:uid="{0D0302C9-DA42-47BE-BA5D-99463411A342}" uniqueName="175" name="count_50" queryTableFieldId="175"/>
    <tableColumn id="176" xr3:uid="{E879073E-5731-439E-981C-54A8D6672CA8}" uniqueName="176" name="count_70" queryTableFieldId="1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CFAD76-44C6-4E04-B718-47973820DDC4}" name="_2025_04_22_annexE" displayName="_2025_04_22_annexE" ref="A1:FT19" tableType="queryTable" totalsRowShown="0">
  <autoFilter ref="A1:FT19" xr:uid="{16CFAD76-44C6-4E04-B718-47973820DDC4}"/>
  <sortState xmlns:xlrd2="http://schemas.microsoft.com/office/spreadsheetml/2017/richdata2" ref="A2:FT19">
    <sortCondition ref="E1:E19"/>
  </sortState>
  <tableColumns count="176">
    <tableColumn id="1" xr3:uid="{B17000CC-67CC-4E57-B148-7191F46A0713}" uniqueName="1" name="Column1" queryTableFieldId="1" dataDxfId="91"/>
    <tableColumn id="2" xr3:uid="{FDB52058-7156-4ECC-955B-65960A2996C5}" uniqueName="2" name="Machine" queryTableFieldId="2"/>
    <tableColumn id="3" xr3:uid="{27DB0543-49A4-4474-A79E-AB2D622B61C9}" uniqueName="3" name="TestNumber" queryTableFieldId="3"/>
    <tableColumn id="4" xr3:uid="{70DEEE64-B372-4A57-8443-64E88885B46F}" uniqueName="4" name="Type" queryTableFieldId="4"/>
    <tableColumn id="5" xr3:uid="{66FF8FDF-ED70-4084-93D1-8BC586F85A74}" uniqueName="5" name="DateTime" queryTableFieldId="5" dataDxfId="90"/>
    <tableColumn id="6" xr3:uid="{61D174D3-9D39-49C2-ABD5-F7F2F9014442}" uniqueName="6" name="TestRef" queryTableFieldId="6" dataDxfId="89"/>
    <tableColumn id="7" xr3:uid="{A2026173-7866-471D-A776-89A261E9BA2A}" uniqueName="7" name="ISO_Code" queryTableFieldId="7" dataDxfId="88"/>
    <tableColumn id="8" xr3:uid="{35ABBF31-8D3B-4445-9663-0AF51E7A2C8C}" uniqueName="8" name="NAS_Class" queryTableFieldId="8"/>
    <tableColumn id="9" xr3:uid="{AA4A3B75-5165-4947-8331-64F9E7D14744}" uniqueName="9" name="AS4059" queryTableFieldId="9" dataDxfId="87"/>
    <tableColumn id="10" xr3:uid="{B4E9CFF3-D62E-43D1-92D2-8E5F01F08672}" uniqueName="10" name="RH" queryTableFieldId="10" dataDxfId="86"/>
    <tableColumn id="11" xr3:uid="{054F4B86-44AB-42F2-B713-89202CD39901}" uniqueName="11" name="Temperature" queryTableFieldId="11" dataDxfId="85"/>
    <tableColumn id="12" xr3:uid="{F9DE9507-CEC4-4488-8554-19D110A016E9}" uniqueName="12" name="ISO4" queryTableFieldId="12"/>
    <tableColumn id="13" xr3:uid="{5EC9AC81-CD80-4958-BB53-44A50B2C22C9}" uniqueName="13" name="ISO6" queryTableFieldId="13"/>
    <tableColumn id="14" xr3:uid="{B77B3C43-8B2A-4CB4-9AE7-72BFA066F2AF}" uniqueName="14" name="ISO14" queryTableFieldId="14"/>
    <tableColumn id="15" xr3:uid="{70B0DBB8-B051-4F55-9C2D-AFE71E2B395C}" uniqueName="15" name="Volume" queryTableFieldId="15" dataDxfId="84"/>
    <tableColumn id="16" xr3:uid="{D69D484E-C9A8-4438-BB19-02FD74CA6CEB}" uniqueName="16" name="TotalCount4" queryTableFieldId="16"/>
    <tableColumn id="17" xr3:uid="{5279040A-CE50-42AD-A874-5661A287CF32}" uniqueName="17" name="TotalCount6" queryTableFieldId="17"/>
    <tableColumn id="18" xr3:uid="{29E192C3-BDFD-4F36-BED6-F5C12BFC0F51}" uniqueName="18" name="TotalCount14" queryTableFieldId="18"/>
    <tableColumn id="19" xr3:uid="{72F256E5-857C-4969-95B8-8C321B2FA930}" uniqueName="19" name="TotalCount21" queryTableFieldId="19"/>
    <tableColumn id="20" xr3:uid="{46951E5C-9FA7-4213-8E98-0A969D75DC58}" uniqueName="20" name="TotalCount25" queryTableFieldId="20"/>
    <tableColumn id="21" xr3:uid="{D4891216-2C71-425D-80B1-BAEB07C3DB29}" uniqueName="21" name="TotalCount38" queryTableFieldId="21"/>
    <tableColumn id="22" xr3:uid="{4BBBF3D3-5BDA-44CF-B7E6-D7F78B97B037}" uniqueName="22" name="TotalCount50" queryTableFieldId="22"/>
    <tableColumn id="23" xr3:uid="{51C7F40F-7278-4EEF-B67B-70CBFC7BF0F4}" uniqueName="23" name="TotalCount68" queryTableFieldId="23"/>
    <tableColumn id="24" xr3:uid="{28A090CB-6B4F-4E01-9F17-6F8AE0CAE202}" uniqueName="24" name="Stage1Count4" queryTableFieldId="24" dataDxfId="83"/>
    <tableColumn id="25" xr3:uid="{C5BCEA2C-C437-47B5-8896-B78FE85FA92E}" uniqueName="25" name="Stage1Count6" queryTableFieldId="25" dataDxfId="82"/>
    <tableColumn id="26" xr3:uid="{CDED97FD-74F9-4883-BE4F-AAB639349649}" uniqueName="26" name="Stage1Count14" queryTableFieldId="26" dataDxfId="81"/>
    <tableColumn id="27" xr3:uid="{2241C42D-09C9-4C00-A975-C961C79C588F}" uniqueName="27" name="Stage1Count21" queryTableFieldId="27" dataDxfId="80"/>
    <tableColumn id="28" xr3:uid="{3C937D43-23D4-45E4-ABEA-4831EFF3BC63}" uniqueName="28" name="Stage1Count25" queryTableFieldId="28" dataDxfId="79"/>
    <tableColumn id="29" xr3:uid="{418251DD-FEF2-4E82-A06B-9076A23C4E60}" uniqueName="29" name="Stage1Count38" queryTableFieldId="29" dataDxfId="78"/>
    <tableColumn id="30" xr3:uid="{ADE6708D-26CB-4232-B34C-54C24110C505}" uniqueName="30" name="Stage1Count50" queryTableFieldId="30" dataDxfId="77"/>
    <tableColumn id="31" xr3:uid="{FAF84714-C2E8-4748-8856-0D96CD326B40}" uniqueName="31" name="Stage1Count68" queryTableFieldId="31" dataDxfId="76"/>
    <tableColumn id="32" xr3:uid="{42ADF373-88F4-4DAC-B606-E360C17BAFFC}" uniqueName="32" name="Stage2Count4" queryTableFieldId="32" dataDxfId="75"/>
    <tableColumn id="33" xr3:uid="{F8E5B14A-3E51-4A35-84C1-6AD4682FBCD0}" uniqueName="33" name="Stage2Count6" queryTableFieldId="33" dataDxfId="74"/>
    <tableColumn id="34" xr3:uid="{D68FFCD0-452F-4E32-9E3C-020F1CEB1B11}" uniqueName="34" name="Stage2Count14" queryTableFieldId="34" dataDxfId="73"/>
    <tableColumn id="35" xr3:uid="{F186C341-F46D-48FE-A36F-25DCED9BF522}" uniqueName="35" name="Stage2Count21" queryTableFieldId="35" dataDxfId="72"/>
    <tableColumn id="36" xr3:uid="{60BE30CB-4632-4501-A5C5-228EFAB00B27}" uniqueName="36" name="Stage2Count25" queryTableFieldId="36" dataDxfId="71"/>
    <tableColumn id="37" xr3:uid="{C08ECCD7-7E2C-410E-88FC-E65926FFA739}" uniqueName="37" name="Stage2Count38" queryTableFieldId="37" dataDxfId="70"/>
    <tableColumn id="38" xr3:uid="{E944473A-D6D9-4729-9110-26C43E5BCBE9}" uniqueName="38" name="Stage2Count50" queryTableFieldId="38" dataDxfId="69"/>
    <tableColumn id="39" xr3:uid="{DFE5EBDE-E7B8-44A2-867F-4723C0617435}" uniqueName="39" name="Stage2Count68" queryTableFieldId="39" dataDxfId="68"/>
    <tableColumn id="40" xr3:uid="{5A101DC2-4D6C-4C48-9435-81BF79700B09}" uniqueName="40" name="Stage3Count4" queryTableFieldId="40" dataDxfId="67"/>
    <tableColumn id="41" xr3:uid="{107434C0-2727-4852-97FE-01DA50AD886B}" uniqueName="41" name="Stage3Count6" queryTableFieldId="41" dataDxfId="66"/>
    <tableColumn id="42" xr3:uid="{F90E6BF5-5AB6-4627-9052-6FFCB2A5B5C2}" uniqueName="42" name="Stage3Count14" queryTableFieldId="42" dataDxfId="65"/>
    <tableColumn id="43" xr3:uid="{AB3FEE31-7285-44CC-942F-9513379DE9A0}" uniqueName="43" name="Stage3Count21" queryTableFieldId="43" dataDxfId="64"/>
    <tableColumn id="44" xr3:uid="{413D4388-2744-4AF6-A31F-5BC3EA47AD7E}" uniqueName="44" name="Stage3Count25" queryTableFieldId="44" dataDxfId="63"/>
    <tableColumn id="45" xr3:uid="{07253788-C697-49EA-B64C-563F0919687D}" uniqueName="45" name="Stage3Count38" queryTableFieldId="45" dataDxfId="62"/>
    <tableColumn id="46" xr3:uid="{F269EC3E-6381-452D-BAC5-3DC0368DDA7E}" uniqueName="46" name="Stage3Count50" queryTableFieldId="46" dataDxfId="61"/>
    <tableColumn id="47" xr3:uid="{6C4DAE81-EFAC-4453-909D-B5AF3A9610EF}" uniqueName="47" name="Stage3Count68" queryTableFieldId="47" dataDxfId="60"/>
    <tableColumn id="48" xr3:uid="{330F7F1B-5605-4A6D-A74E-0FE80E1A4C52}" uniqueName="48" name="Customer" queryTableFieldId="48" dataDxfId="59"/>
    <tableColumn id="49" xr3:uid="{1652BE9B-74BE-47A8-9602-953082624091}" uniqueName="49" name="Fluid" queryTableFieldId="49" dataDxfId="58"/>
    <tableColumn id="50" xr3:uid="{931DB82A-DB47-4EA1-9FA3-663ECB806901}" uniqueName="50" name="TankVolume" queryTableFieldId="50" dataDxfId="57"/>
    <tableColumn id="51" xr3:uid="{2A0C50B1-04F1-449D-8F5B-E58BE03600FA}" uniqueName="51" name="WorkingHours" queryTableFieldId="51" dataDxfId="56"/>
    <tableColumn id="52" xr3:uid="{164AA4B5-3533-42D6-89CF-C74930880980}" uniqueName="52" name="Viscosity" queryTableFieldId="52" dataDxfId="55"/>
    <tableColumn id="53" xr3:uid="{A304B448-4B7F-420F-886D-9E55BE001A8A}" uniqueName="53" name="Contamination" queryTableFieldId="53" dataDxfId="54"/>
    <tableColumn id="54" xr3:uid="{5541EB63-529B-4374-9936-E869CB699C4B}" uniqueName="54" name="SampleMethodID" queryTableFieldId="54" dataDxfId="53"/>
    <tableColumn id="55" xr3:uid="{63716025-79B5-47F6-8319-CADA1C33E6BF}" uniqueName="55" name="SampleDate" queryTableFieldId="55" dataDxfId="52"/>
    <tableColumn id="56" xr3:uid="{840AA359-27F7-4742-A5A6-AA8B8EB1E0B5}" uniqueName="56" name="AnalysisRequestedCounting" queryTableFieldId="56"/>
    <tableColumn id="57" xr3:uid="{EF3842E3-61C4-4582-B394-09894A1F9E40}" uniqueName="57" name="AnalysisRequestedWater" queryTableFieldId="57"/>
    <tableColumn id="58" xr3:uid="{81E0E30C-C7F6-4AF4-90DE-841F4C7421AD}" uniqueName="58" name="AnalysisRequestedFilterability" queryTableFieldId="58"/>
    <tableColumn id="59" xr3:uid="{B9E4DF68-BCE8-40C4-868C-DF403F852C67}" uniqueName="59" name="AnalysisRequestedMembrane" queryTableFieldId="59"/>
    <tableColumn id="60" xr3:uid="{45B247D2-4D46-480D-AB48-D525EC5D7E31}" uniqueName="60" name="AnalysisRequestedPhotography" queryTableFieldId="60"/>
    <tableColumn id="61" xr3:uid="{27B861DF-B14A-4809-B740-77C65F1F4CDC}" uniqueName="61" name="AnalysisRequestedViscosity" queryTableFieldId="61"/>
    <tableColumn id="62" xr3:uid="{1A575825-EA00-4F3C-90D6-EFDD305A3291}" uniqueName="62" name="AnalysisRequestedTAN" queryTableFieldId="62"/>
    <tableColumn id="63" xr3:uid="{1CF434F8-A0D4-4EA3-8572-F25AEB788414}" uniqueName="63" name="ResultWater" queryTableFieldId="63" dataDxfId="51"/>
    <tableColumn id="64" xr3:uid="{1609B952-3FFE-49F6-8AA9-5D1DC179C16D}" uniqueName="64" name="ResultFilterability" queryTableFieldId="64" dataDxfId="50"/>
    <tableColumn id="65" xr3:uid="{E410DBD0-2932-4297-940E-7028A12E4021}" uniqueName="65" name="ResultViscosity" queryTableFieldId="65" dataDxfId="49"/>
    <tableColumn id="66" xr3:uid="{D481053F-7825-4B1F-A94C-E48E89103554}" uniqueName="66" name="ResultViscosityTemp" queryTableFieldId="66" dataDxfId="48"/>
    <tableColumn id="67" xr3:uid="{B8A3B640-4BEA-4EF8-A3DF-A7E8B87BB197}" uniqueName="67" name="ResultTAN" queryTableFieldId="67" dataDxfId="47"/>
    <tableColumn id="68" xr3:uid="{9AF222D2-DFBB-4D80-9C59-B19F44FCC5F6}" uniqueName="68" name="MembraneSize" queryTableFieldId="68" dataDxfId="46"/>
    <tableColumn id="69" xr3:uid="{389FEBB3-BFC7-4321-A1C7-D05FA8765B03}" uniqueName="69" name="MembraneVolume" queryTableFieldId="69" dataDxfId="45"/>
    <tableColumn id="70" xr3:uid="{F48AE5C0-ADB5-4488-9F25-CEE32E82666D}" uniqueName="70" name="MembranePoreSize" queryTableFieldId="70" dataDxfId="44"/>
    <tableColumn id="71" xr3:uid="{7AFE7CE6-771E-413D-BA40-0E86988A6F6C}" uniqueName="71" name="ContaminationLightMetal" queryTableFieldId="71" dataDxfId="43"/>
    <tableColumn id="72" xr3:uid="{B0C3489B-F9C1-4694-8C89-C755F056681B}" uniqueName="72" name="ContaminationDarkMetal" queryTableFieldId="72" dataDxfId="42"/>
    <tableColumn id="73" xr3:uid="{EC1CD986-35EF-4FAF-A3A9-648FAA0745DB}" uniqueName="73" name="ContaminationYellowMetal" queryTableFieldId="73" dataDxfId="41"/>
    <tableColumn id="74" xr3:uid="{86F041CF-B554-45ED-A3AE-75FABCC75147}" uniqueName="74" name="ContaminationSilica" queryTableFieldId="74" dataDxfId="40"/>
    <tableColumn id="75" xr3:uid="{C39B75D8-7187-4F38-89C0-86B4B0F63F94}" uniqueName="75" name="ContaminationRubberPlastic" queryTableFieldId="75" dataDxfId="39"/>
    <tableColumn id="76" xr3:uid="{1D947CCE-EA62-40D0-88B0-B94CFACEFD53}" uniqueName="76" name="ContaminationFibre" queryTableFieldId="76" dataDxfId="38"/>
    <tableColumn id="77" xr3:uid="{353BB8C3-D344-410B-AC20-C76B3F44319C}" uniqueName="77" name="ContaminationOther" queryTableFieldId="77" dataDxfId="37"/>
    <tableColumn id="78" xr3:uid="{00024002-850A-4335-852A-F9641CEA0291}" uniqueName="78" name="FilterabilityVolume" queryTableFieldId="78" dataDxfId="36"/>
    <tableColumn id="79" xr3:uid="{F800B332-0903-4AB3-AEAC-DB8EB0311C71}" uniqueName="79" name="FilterabilityTime" queryTableFieldId="79" dataDxfId="35"/>
    <tableColumn id="80" xr3:uid="{CE6882B7-4FDF-4885-91F5-FCA75E10714D}" uniqueName="80" name="FilterabilityArea" queryTableFieldId="80" dataDxfId="34"/>
    <tableColumn id="81" xr3:uid="{990D3136-E767-4442-A33A-EE44528E756B}" uniqueName="81" name="FilterabilityIndex" queryTableFieldId="81" dataDxfId="33"/>
    <tableColumn id="82" xr3:uid="{87DA41CA-9D9D-44A0-A2B9-92BC0567A907}" uniqueName="82" name="CountingNotes" queryTableFieldId="82" dataDxfId="32"/>
    <tableColumn id="83" xr3:uid="{C7832F88-890F-4BFF-8F8E-67B48A4C3D7E}" uniqueName="83" name="CountingFailureID" queryTableFieldId="83" dataDxfId="31"/>
    <tableColumn id="84" xr3:uid="{23EC2749-DD63-49F8-B489-FD34453D0564}" uniqueName="84" name="ReferenceID" queryTableFieldId="84" dataDxfId="30"/>
    <tableColumn id="85" xr3:uid="{F67B8080-9B94-4C03-A395-16D6C022CDE1}" uniqueName="85" name="NASStage1Count5_15" queryTableFieldId="85" dataDxfId="29"/>
    <tableColumn id="86" xr3:uid="{66390633-F9E1-4974-87D4-4B8C7D9F2CDC}" uniqueName="86" name="NASStage1Count15_25" queryTableFieldId="86" dataDxfId="28"/>
    <tableColumn id="87" xr3:uid="{A9AF60E8-8AE5-4531-91FD-1B9884EA6321}" uniqueName="87" name="NASStage1Count25_50" queryTableFieldId="87" dataDxfId="27"/>
    <tableColumn id="88" xr3:uid="{9F2F0F14-D3C0-41D3-AA09-8FAE939B3818}" uniqueName="88" name="NASStage1Count50_100" queryTableFieldId="88" dataDxfId="26"/>
    <tableColumn id="89" xr3:uid="{262CCA53-5EE1-48DD-A192-3642B0512A70}" uniqueName="89" name="NASStage1Count100" queryTableFieldId="89" dataDxfId="25"/>
    <tableColumn id="90" xr3:uid="{41298970-361F-40DE-A1B4-796909E6BD64}" uniqueName="90" name="NASStage2Count5_15" queryTableFieldId="90" dataDxfId="24"/>
    <tableColumn id="91" xr3:uid="{38CC0AC1-9DC4-4856-8765-BA6FACEF49D5}" uniqueName="91" name="NASStage2Count15_25" queryTableFieldId="91" dataDxfId="23"/>
    <tableColumn id="92" xr3:uid="{2E70E2D4-0B14-4D30-9325-4225BC41AD0D}" uniqueName="92" name="NASStage2Count25_50" queryTableFieldId="92" dataDxfId="22"/>
    <tableColumn id="93" xr3:uid="{40534232-7DB6-4BBC-8092-DACBE16134C9}" uniqueName="93" name="NASStage2Count50_100" queryTableFieldId="93" dataDxfId="21"/>
    <tableColumn id="94" xr3:uid="{F0AAE900-F206-43A5-9F05-8D38233AA746}" uniqueName="94" name="NASStage2Count100" queryTableFieldId="94" dataDxfId="20"/>
    <tableColumn id="95" xr3:uid="{03145BF0-3F32-4050-BF7F-8BB3D8630167}" uniqueName="95" name="NASStage3Count5_15" queryTableFieldId="95" dataDxfId="19"/>
    <tableColumn id="96" xr3:uid="{18679598-D3C6-4AD4-B330-2D48BBB271BF}" uniqueName="96" name="NASStage3Count15_25" queryTableFieldId="96" dataDxfId="18"/>
    <tableColumn id="97" xr3:uid="{484E86EF-CB4C-496B-A8E1-E63309AE27F7}" uniqueName="97" name="NASStage3Count25_50" queryTableFieldId="97" dataDxfId="17"/>
    <tableColumn id="98" xr3:uid="{E9741883-A547-4422-BA1A-B33B0CD6B1CC}" uniqueName="98" name="NASStage3Count50_100" queryTableFieldId="98" dataDxfId="16"/>
    <tableColumn id="99" xr3:uid="{F42C9140-65B5-4262-8F6D-0E700B8EE9B8}" uniqueName="99" name="NASStage3Count100" queryTableFieldId="99" dataDxfId="15"/>
    <tableColumn id="100" xr3:uid="{D3E73F51-B22D-492E-A44D-3654960B0C25}" uniqueName="100" name="NASTotalCount5_15" queryTableFieldId="100"/>
    <tableColumn id="101" xr3:uid="{B808330D-490E-4B1E-9BBB-3FCCA6C7C68F}" uniqueName="101" name="NASTotalCount15_25" queryTableFieldId="101"/>
    <tableColumn id="102" xr3:uid="{DAA7D6F4-C847-4A23-B4D0-4944334C4CC1}" uniqueName="102" name="NASTotalCount25_50" queryTableFieldId="102"/>
    <tableColumn id="103" xr3:uid="{0F7D51DC-5C55-4E06-B5CC-C9B8B93DC6BB}" uniqueName="103" name="NASTotalCount50_100" queryTableFieldId="103"/>
    <tableColumn id="104" xr3:uid="{A0B6CD2D-5CDE-41E6-A8C8-780C67B38CC7}" uniqueName="104" name="NASTotalCount100" queryTableFieldId="104"/>
    <tableColumn id="105" xr3:uid="{992E706C-6CE3-4DF4-8565-1284367C138D}" uniqueName="105" name="NAS_CLASS_5_15" queryTableFieldId="105"/>
    <tableColumn id="106" xr3:uid="{85688595-0F24-4B83-B548-30F7209A8EF8}" uniqueName="106" name="NAS_CLASS_15_25" queryTableFieldId="106"/>
    <tableColumn id="107" xr3:uid="{E2F0AE4E-0ECF-4D06-8EDA-92C9C26C2629}" uniqueName="107" name="NAS_CLASS_25_50" queryTableFieldId="107"/>
    <tableColumn id="108" xr3:uid="{28C59A35-079C-431E-91E7-F234C89E3479}" uniqueName="108" name="NAS_CLASS_50_100" queryTableFieldId="108"/>
    <tableColumn id="109" xr3:uid="{B9F42CCA-2CB6-47BE-AE15-9FAB9985DD2A}" uniqueName="109" name="NAS_CLASS_100" queryTableFieldId="109"/>
    <tableColumn id="110" xr3:uid="{6A9D41B1-2B9B-447E-8A45-05B4FEA6FE27}" uniqueName="110" name="AS4059_A" queryTableFieldId="110"/>
    <tableColumn id="111" xr3:uid="{151BFA15-77DC-4CF4-B1AC-087F80802FF1}" uniqueName="111" name="AS4059_B" queryTableFieldId="111"/>
    <tableColumn id="112" xr3:uid="{B54A9D29-C022-4685-986B-DDE8ADD69417}" uniqueName="112" name="AS4059_C" queryTableFieldId="112"/>
    <tableColumn id="113" xr3:uid="{C17C2F2D-49E8-4CBD-B164-B48E8FC14238}" uniqueName="113" name="AS4059_D" queryTableFieldId="113"/>
    <tableColumn id="114" xr3:uid="{CBE4B840-9F7E-470D-B13D-3E28EF75BDCF}" uniqueName="114" name="AS4059_E" queryTableFieldId="114"/>
    <tableColumn id="115" xr3:uid="{2067BFCA-9313-40E2-A7A6-8F1E986F7C13}" uniqueName="115" name="AS4059_F" queryTableFieldId="115"/>
    <tableColumn id="116" xr3:uid="{B67968D0-A3C7-4BF6-9932-8D2073A32F38}" uniqueName="116" name="AS4059E1_CLASS_6_14" queryTableFieldId="116"/>
    <tableColumn id="117" xr3:uid="{15BCC9F3-B55A-49AC-A8C6-71635F2B675D}" uniqueName="117" name="AS4059E1_CLASS_14_21" queryTableFieldId="117"/>
    <tableColumn id="118" xr3:uid="{36CA5595-B70D-4A3D-AF2F-CB43A776C6F9}" uniqueName="118" name="AS4059E1_CLASS_21_38" queryTableFieldId="118"/>
    <tableColumn id="119" xr3:uid="{C200E060-3AD1-4BDD-8835-4932D6C15CB7}" uniqueName="119" name="AS4059E1_CLASS_38_70" queryTableFieldId="119"/>
    <tableColumn id="120" xr3:uid="{243F5D84-F766-4166-BF46-A02033A66D40}" uniqueName="120" name="AS4059E1_CLASS_70" queryTableFieldId="120"/>
    <tableColumn id="121" xr3:uid="{39883F18-45AC-4BA2-AACA-E435D92E83AD}" uniqueName="121" name="AS4059E1_TotalCount6_14" queryTableFieldId="121"/>
    <tableColumn id="122" xr3:uid="{E4C86D43-4CD6-447E-AE95-84293E0B471D}" uniqueName="122" name="AS4059E1_TotalCount14_21" queryTableFieldId="122"/>
    <tableColumn id="123" xr3:uid="{F4500472-5721-457E-90AF-53D051352355}" uniqueName="123" name="AS4059E1_TotalCount21_38" queryTableFieldId="123"/>
    <tableColumn id="124" xr3:uid="{E8BA479F-6F27-4815-95D0-730B3339C245}" uniqueName="124" name="AS4059E1_TotalCount38_70" queryTableFieldId="124"/>
    <tableColumn id="125" xr3:uid="{7FDFD6DA-0304-4F80-9B40-1E985DA426A4}" uniqueName="125" name="AS4059E1_TotalCount70" queryTableFieldId="125"/>
    <tableColumn id="126" xr3:uid="{68862D92-1838-4C82-A54B-F85F2DD6A18E}" uniqueName="126" name="AS4059E1_Stage1Count6_14" queryTableFieldId="126" dataDxfId="14"/>
    <tableColumn id="127" xr3:uid="{67050AE0-AF83-4560-A2B3-38CD70ADF027}" uniqueName="127" name="AS4059E1_Stage1Count14_21" queryTableFieldId="127" dataDxfId="13"/>
    <tableColumn id="128" xr3:uid="{7F8C133D-0B9D-44EC-803E-1EA3724214D6}" uniqueName="128" name="AS4059E1_Stage1Count21_38" queryTableFieldId="128" dataDxfId="12"/>
    <tableColumn id="129" xr3:uid="{E58C0A0E-859D-4F4F-B764-B275272521F7}" uniqueName="129" name="AS4059E1_Stage1Count38_70" queryTableFieldId="129" dataDxfId="11"/>
    <tableColumn id="130" xr3:uid="{9B194882-9519-48F8-9197-A49E60DF1F89}" uniqueName="130" name="AS4059E1_Stage1Count70" queryTableFieldId="130" dataDxfId="10"/>
    <tableColumn id="131" xr3:uid="{563ABC24-B52D-4004-AD4A-6726F9469E2B}" uniqueName="131" name="AS4059E1_Stage2Count6_14" queryTableFieldId="131" dataDxfId="9"/>
    <tableColumn id="132" xr3:uid="{852B08A9-8A0B-4D91-9215-B9DB34BFDF10}" uniqueName="132" name="AS4059E1_Stage2Count14_21" queryTableFieldId="132" dataDxfId="8"/>
    <tableColumn id="133" xr3:uid="{6BBCFA61-5215-4535-9102-15576AE82EFC}" uniqueName="133" name="AS4059E1_Stage2Count21_38" queryTableFieldId="133" dataDxfId="7"/>
    <tableColumn id="134" xr3:uid="{5D276D52-5188-4615-A7FF-DA1F77DA2E0C}" uniqueName="134" name="AS4059E1_Stage2Count38_70" queryTableFieldId="134" dataDxfId="6"/>
    <tableColumn id="135" xr3:uid="{64D0E523-5DE8-45C3-ABE6-DC168C67CAD3}" uniqueName="135" name="AS4059E1_Stage2Count70" queryTableFieldId="135" dataDxfId="5"/>
    <tableColumn id="136" xr3:uid="{99C4855A-08F3-4054-BB0D-FE176C6A1F00}" uniqueName="136" name="AS4059E1_Stage3Count6_14" queryTableFieldId="136" dataDxfId="4"/>
    <tableColumn id="137" xr3:uid="{0985C850-31D7-407B-AF24-C1EDAD4E5595}" uniqueName="137" name="AS4059E1_Stage3Count14_21" queryTableFieldId="137" dataDxfId="3"/>
    <tableColumn id="138" xr3:uid="{7665C245-1DCE-445C-A6EE-466FDC3EAAA2}" uniqueName="138" name="AS4059E1_Stage3Count21_38" queryTableFieldId="138" dataDxfId="2"/>
    <tableColumn id="139" xr3:uid="{FE5712D7-C6CE-4A87-B091-165B997A0B51}" uniqueName="139" name="AS4059E1_Stage3Count38_70" queryTableFieldId="139" dataDxfId="1"/>
    <tableColumn id="140" xr3:uid="{321D4970-D677-4506-9DFD-BE9576FA64E8}" uniqueName="140" name="AS4059E1_Stage3Count70" queryTableFieldId="140" dataDxfId="0"/>
    <tableColumn id="141" xr3:uid="{D9AA2B19-7EE7-47F4-89C8-DD4F10CBDD42}" uniqueName="141" name="AS4059E1_CLASS1" queryTableFieldId="141"/>
    <tableColumn id="142" xr3:uid="{0CDA2EC2-24FC-4F46-85FA-1A72F9E8576A}" uniqueName="142" name="AS4059E1_CLASS2" queryTableFieldId="142"/>
    <tableColumn id="143" xr3:uid="{B41FC47F-16A2-4B15-9F02-7959B74E01E9}" uniqueName="143" name="AS4059E1_CLASS3" queryTableFieldId="143"/>
    <tableColumn id="144" xr3:uid="{3FE2D44C-CA8F-43C9-A9F1-2A38C3198E81}" uniqueName="144" name="AS4059E1_CLASS" queryTableFieldId="144"/>
    <tableColumn id="145" xr3:uid="{3563553C-AEB8-405A-9F40-522471471CAC}" uniqueName="145" name="portion" queryTableFieldId="145"/>
    <tableColumn id="146" xr3:uid="{95E0BEB7-A366-4EC7-9535-05F790B616A6}" uniqueName="146" name="scanned_volume_ml" queryTableFieldId="146"/>
    <tableColumn id="147" xr3:uid="{F8ABB9ED-83DA-42E5-9EE8-4DE10ACBA4E2}" uniqueName="147" name="count_4" queryTableFieldId="147"/>
    <tableColumn id="148" xr3:uid="{8A026351-540D-4D9C-BF76-2552AB022113}" uniqueName="148" name="count_5" queryTableFieldId="148"/>
    <tableColumn id="149" xr3:uid="{85ADE068-CCBF-4B17-814E-04686285B09F}" uniqueName="149" name="count_6" queryTableFieldId="149"/>
    <tableColumn id="150" xr3:uid="{27C8677E-7B44-4659-BB8A-5B6268B1D643}" uniqueName="150" name="count_7" queryTableFieldId="150"/>
    <tableColumn id="151" xr3:uid="{7D7BFD19-F139-4CEC-A0B5-4F3EF9A4A551}" uniqueName="151" name="count_8" queryTableFieldId="151"/>
    <tableColumn id="152" xr3:uid="{53B1768F-8682-4553-B64A-9455BFC4ABE1}" uniqueName="152" name="count_9" queryTableFieldId="152"/>
    <tableColumn id="153" xr3:uid="{D8F179BB-E27A-4AB4-9628-B37A059AD8F0}" uniqueName="153" name="count_10" queryTableFieldId="153"/>
    <tableColumn id="154" xr3:uid="{E79606E9-6068-46BF-90A6-AA61D7C1DBCD}" uniqueName="154" name="count_11" queryTableFieldId="154"/>
    <tableColumn id="155" xr3:uid="{DF74F747-AF1A-4AC8-8B3B-06531241159A}" uniqueName="155" name="count_12" queryTableFieldId="155"/>
    <tableColumn id="156" xr3:uid="{98211B24-6552-4710-ADD4-67771633C7B7}" uniqueName="156" name="count_13" queryTableFieldId="156"/>
    <tableColumn id="157" xr3:uid="{BAC9BF65-F4DF-4E42-B673-B80F9486C8D4}" uniqueName="157" name="count_14" queryTableFieldId="157"/>
    <tableColumn id="158" xr3:uid="{812F6C07-8A7C-402A-A8AC-4EAA05466300}" uniqueName="158" name="count_15" queryTableFieldId="158"/>
    <tableColumn id="159" xr3:uid="{849667DD-CF4D-45B5-8318-1A7E796161CF}" uniqueName="159" name="count_16" queryTableFieldId="159"/>
    <tableColumn id="160" xr3:uid="{D370E6CA-6F13-4C4F-87DB-BC527CC6A144}" uniqueName="160" name="count_17" queryTableFieldId="160"/>
    <tableColumn id="161" xr3:uid="{E69A0594-CEA1-45BB-AB9D-8181AB55E88B}" uniqueName="161" name="count_18" queryTableFieldId="161"/>
    <tableColumn id="162" xr3:uid="{805B6A6A-C308-4F55-A79D-D93DF77A9208}" uniqueName="162" name="count_19" queryTableFieldId="162"/>
    <tableColumn id="163" xr3:uid="{6CBB36CA-7386-4131-A42C-C18B0B37493C}" uniqueName="163" name="count_20" queryTableFieldId="163"/>
    <tableColumn id="164" xr3:uid="{BC677C67-B17B-46A5-85C2-25C62936E06D}" uniqueName="164" name="count_21" queryTableFieldId="164"/>
    <tableColumn id="165" xr3:uid="{8B02B174-5048-42BA-90ED-AAFC4B7B1F28}" uniqueName="165" name="count_22" queryTableFieldId="165"/>
    <tableColumn id="166" xr3:uid="{2774B47E-09A6-476A-88C3-279C021657C3}" uniqueName="166" name="count_23" queryTableFieldId="166"/>
    <tableColumn id="167" xr3:uid="{3EA9C4C2-C1C5-492A-B423-E3596D22AF58}" uniqueName="167" name="count_24" queryTableFieldId="167"/>
    <tableColumn id="168" xr3:uid="{B11C8958-145E-460B-8E2B-20284A32434E}" uniqueName="168" name="count_25" queryTableFieldId="168"/>
    <tableColumn id="169" xr3:uid="{5D793071-A6A1-4306-85BE-29578C1229D7}" uniqueName="169" name="count_26" queryTableFieldId="169"/>
    <tableColumn id="170" xr3:uid="{11452B8D-65DA-4BBD-8224-FFED85BAD9F8}" uniqueName="170" name="count_27" queryTableFieldId="170"/>
    <tableColumn id="171" xr3:uid="{8F18B241-3F7B-410E-9E89-C60ED071BD22}" uniqueName="171" name="count_28" queryTableFieldId="171"/>
    <tableColumn id="172" xr3:uid="{A511C9E2-0A6D-4618-ACF8-BF7845E4D07C}" uniqueName="172" name="count_29" queryTableFieldId="172"/>
    <tableColumn id="173" xr3:uid="{95434801-21B1-418B-A076-262A4574CE96}" uniqueName="173" name="count_30" queryTableFieldId="173"/>
    <tableColumn id="174" xr3:uid="{01FB4B08-E34F-4847-8414-7D106ED96523}" uniqueName="174" name="count_38" queryTableFieldId="174"/>
    <tableColumn id="175" xr3:uid="{03F5ED51-564C-41C2-9F31-80CAB7288EF7}" uniqueName="175" name="count_50" queryTableFieldId="175"/>
    <tableColumn id="176" xr3:uid="{782DDF57-143A-457F-81C3-DB91FD6BCEAC}" uniqueName="176" name="count_70" queryTableFieldId="17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21700-B86F-455D-A1C3-D5D178D68AB0}">
  <sheetPr codeName="Sheet1"/>
  <dimension ref="A1:FT23"/>
  <sheetViews>
    <sheetView workbookViewId="0"/>
  </sheetViews>
  <sheetFormatPr defaultRowHeight="14.6" x14ac:dyDescent="0.4"/>
  <cols>
    <col min="2" max="2" width="20.3046875" bestFit="1" customWidth="1"/>
    <col min="3" max="8" width="9.84375" bestFit="1" customWidth="1"/>
    <col min="9" max="32" width="10.84375" bestFit="1" customWidth="1"/>
  </cols>
  <sheetData>
    <row r="1" spans="1:176" x14ac:dyDescent="0.4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F1" t="s">
        <v>169</v>
      </c>
      <c r="G1" t="s">
        <v>170</v>
      </c>
      <c r="H1" t="s">
        <v>171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177</v>
      </c>
      <c r="O1" t="s">
        <v>178</v>
      </c>
      <c r="P1" t="s">
        <v>179</v>
      </c>
      <c r="Q1" t="s">
        <v>180</v>
      </c>
      <c r="R1" t="s">
        <v>181</v>
      </c>
      <c r="S1" t="s">
        <v>182</v>
      </c>
      <c r="T1" t="s">
        <v>183</v>
      </c>
      <c r="U1" t="s">
        <v>184</v>
      </c>
      <c r="V1" t="s">
        <v>185</v>
      </c>
      <c r="W1" t="s">
        <v>186</v>
      </c>
      <c r="X1" t="s">
        <v>187</v>
      </c>
      <c r="Y1" t="s">
        <v>188</v>
      </c>
      <c r="Z1" t="s">
        <v>189</v>
      </c>
      <c r="AA1" t="s">
        <v>190</v>
      </c>
      <c r="AB1" t="s">
        <v>191</v>
      </c>
      <c r="AC1" t="s">
        <v>192</v>
      </c>
      <c r="AD1" t="s">
        <v>193</v>
      </c>
      <c r="AE1" t="s">
        <v>194</v>
      </c>
      <c r="AF1" t="s">
        <v>195</v>
      </c>
    </row>
    <row r="2" spans="1:176" x14ac:dyDescent="0.4">
      <c r="A2">
        <v>1</v>
      </c>
    </row>
    <row r="3" spans="1:176" x14ac:dyDescent="0.4">
      <c r="A3">
        <v>2</v>
      </c>
    </row>
    <row r="4" spans="1:176" x14ac:dyDescent="0.4">
      <c r="A4">
        <v>3</v>
      </c>
    </row>
    <row r="5" spans="1:176" x14ac:dyDescent="0.4">
      <c r="A5">
        <v>4</v>
      </c>
    </row>
    <row r="6" spans="1:176" x14ac:dyDescent="0.4">
      <c r="A6">
        <v>5</v>
      </c>
      <c r="AG6" s="20" t="s">
        <v>196</v>
      </c>
      <c r="AH6" s="20" t="s">
        <v>196</v>
      </c>
      <c r="AI6" s="20" t="s">
        <v>196</v>
      </c>
      <c r="AJ6" s="20" t="s">
        <v>196</v>
      </c>
      <c r="AK6" s="20" t="s">
        <v>196</v>
      </c>
      <c r="AL6" s="20" t="s">
        <v>196</v>
      </c>
      <c r="AM6" s="20" t="s">
        <v>196</v>
      </c>
      <c r="AN6" s="20" t="s">
        <v>196</v>
      </c>
      <c r="AO6" s="20" t="s">
        <v>196</v>
      </c>
      <c r="AP6" s="20" t="s">
        <v>196</v>
      </c>
      <c r="AQ6" s="20" t="s">
        <v>196</v>
      </c>
      <c r="AR6" s="20" t="s">
        <v>196</v>
      </c>
      <c r="AS6" s="20" t="s">
        <v>196</v>
      </c>
      <c r="AT6" s="20" t="s">
        <v>196</v>
      </c>
      <c r="AU6" s="20" t="s">
        <v>196</v>
      </c>
      <c r="AV6" s="20" t="s">
        <v>196</v>
      </c>
      <c r="AW6" s="20" t="s">
        <v>196</v>
      </c>
      <c r="AX6" s="20" t="s">
        <v>196</v>
      </c>
      <c r="AY6" s="20" t="s">
        <v>196</v>
      </c>
      <c r="AZ6" s="20" t="s">
        <v>196</v>
      </c>
      <c r="BA6" s="20" t="s">
        <v>196</v>
      </c>
      <c r="BB6" s="20" t="s">
        <v>196</v>
      </c>
      <c r="BC6" s="20" t="s">
        <v>196</v>
      </c>
      <c r="BD6" s="20">
        <v>0</v>
      </c>
      <c r="BE6" s="20">
        <v>0</v>
      </c>
      <c r="BF6" s="20">
        <v>0</v>
      </c>
      <c r="BG6" s="20">
        <v>0</v>
      </c>
      <c r="BH6" s="20">
        <v>0</v>
      </c>
      <c r="BI6" s="20">
        <v>0</v>
      </c>
      <c r="BJ6" s="20">
        <v>0</v>
      </c>
      <c r="BK6" s="20" t="s">
        <v>196</v>
      </c>
      <c r="BL6" s="20" t="s">
        <v>196</v>
      </c>
      <c r="BM6" s="20" t="s">
        <v>196</v>
      </c>
      <c r="BN6" s="20" t="s">
        <v>196</v>
      </c>
      <c r="BO6" s="20" t="s">
        <v>196</v>
      </c>
      <c r="BP6" s="20" t="s">
        <v>196</v>
      </c>
      <c r="BQ6" s="20" t="s">
        <v>196</v>
      </c>
      <c r="BR6" s="20" t="s">
        <v>196</v>
      </c>
      <c r="BS6" s="20" t="s">
        <v>196</v>
      </c>
      <c r="BT6" s="20" t="s">
        <v>196</v>
      </c>
      <c r="BU6" s="20" t="s">
        <v>196</v>
      </c>
      <c r="BV6" s="20" t="s">
        <v>196</v>
      </c>
      <c r="BW6" s="20" t="s">
        <v>196</v>
      </c>
      <c r="BX6" s="20" t="s">
        <v>196</v>
      </c>
      <c r="BY6" s="20" t="s">
        <v>196</v>
      </c>
      <c r="BZ6" s="20" t="s">
        <v>196</v>
      </c>
      <c r="CA6" s="20" t="s">
        <v>196</v>
      </c>
      <c r="CB6" s="20" t="s">
        <v>196</v>
      </c>
      <c r="CC6" s="20" t="s">
        <v>196</v>
      </c>
      <c r="CD6" s="20" t="s">
        <v>196</v>
      </c>
      <c r="CE6" s="20" t="s">
        <v>196</v>
      </c>
      <c r="CF6" s="20" t="s">
        <v>196</v>
      </c>
      <c r="CG6" s="20" t="s">
        <v>196</v>
      </c>
      <c r="CH6" s="20" t="s">
        <v>196</v>
      </c>
      <c r="CI6" s="20" t="s">
        <v>196</v>
      </c>
      <c r="CJ6" s="20" t="s">
        <v>196</v>
      </c>
      <c r="CK6" s="20" t="s">
        <v>196</v>
      </c>
      <c r="CL6" s="20" t="s">
        <v>196</v>
      </c>
      <c r="CM6" s="20" t="s">
        <v>196</v>
      </c>
      <c r="CN6" s="20" t="s">
        <v>196</v>
      </c>
      <c r="CO6" s="20" t="s">
        <v>196</v>
      </c>
      <c r="CP6" s="20" t="s">
        <v>196</v>
      </c>
      <c r="CQ6" s="20" t="s">
        <v>196</v>
      </c>
      <c r="CR6" s="20" t="s">
        <v>196</v>
      </c>
      <c r="CS6" s="20" t="s">
        <v>196</v>
      </c>
      <c r="CT6" s="20" t="s">
        <v>196</v>
      </c>
      <c r="CU6" s="20" t="s">
        <v>196</v>
      </c>
      <c r="CV6" s="20">
        <v>129071</v>
      </c>
      <c r="CW6" s="20">
        <v>1096</v>
      </c>
      <c r="CX6" s="20">
        <v>511</v>
      </c>
      <c r="CY6" s="20">
        <v>192</v>
      </c>
      <c r="CZ6" s="20">
        <v>12</v>
      </c>
      <c r="DA6" s="20">
        <v>10</v>
      </c>
      <c r="DB6" s="20">
        <v>5</v>
      </c>
      <c r="DC6" s="20">
        <v>7</v>
      </c>
      <c r="DD6" s="20">
        <v>8</v>
      </c>
      <c r="DE6" s="20">
        <v>6</v>
      </c>
      <c r="DF6" s="20">
        <v>10</v>
      </c>
      <c r="DG6" s="20">
        <v>9</v>
      </c>
      <c r="DH6" s="20">
        <v>6</v>
      </c>
      <c r="DI6" s="20">
        <v>7</v>
      </c>
      <c r="DJ6" s="20">
        <v>7</v>
      </c>
      <c r="DK6" s="20">
        <v>6</v>
      </c>
      <c r="DL6" s="20">
        <v>10</v>
      </c>
      <c r="DM6" s="20">
        <v>5</v>
      </c>
      <c r="DN6" s="20">
        <v>7</v>
      </c>
      <c r="DO6" s="20">
        <v>8</v>
      </c>
      <c r="DP6" s="20">
        <v>6</v>
      </c>
      <c r="DQ6" s="20">
        <v>129071</v>
      </c>
      <c r="DR6" s="20">
        <v>1096</v>
      </c>
      <c r="DS6" s="20">
        <v>511</v>
      </c>
      <c r="DT6" s="20">
        <v>192</v>
      </c>
      <c r="DU6" s="20">
        <v>12</v>
      </c>
      <c r="DV6" s="20" t="s">
        <v>196</v>
      </c>
      <c r="DW6" s="20" t="s">
        <v>196</v>
      </c>
      <c r="DX6" s="20" t="s">
        <v>196</v>
      </c>
      <c r="DY6" s="20" t="s">
        <v>196</v>
      </c>
      <c r="DZ6" s="20" t="s">
        <v>196</v>
      </c>
      <c r="EA6" s="20" t="s">
        <v>196</v>
      </c>
      <c r="EB6" s="20" t="s">
        <v>196</v>
      </c>
      <c r="EC6" s="20" t="s">
        <v>196</v>
      </c>
      <c r="ED6" s="20" t="s">
        <v>196</v>
      </c>
      <c r="EE6" s="20" t="s">
        <v>196</v>
      </c>
      <c r="EF6" s="20" t="s">
        <v>196</v>
      </c>
      <c r="EG6" s="20" t="s">
        <v>196</v>
      </c>
      <c r="EH6" s="20" t="s">
        <v>196</v>
      </c>
      <c r="EI6" s="20" t="s">
        <v>196</v>
      </c>
      <c r="EJ6" s="20" t="s">
        <v>196</v>
      </c>
      <c r="EK6" s="20">
        <v>10</v>
      </c>
      <c r="EL6" s="20">
        <v>10</v>
      </c>
      <c r="EM6" s="20">
        <v>10</v>
      </c>
      <c r="EN6" s="20">
        <v>10</v>
      </c>
      <c r="EO6" s="20">
        <v>1</v>
      </c>
      <c r="EP6" s="20">
        <v>10.072982</v>
      </c>
      <c r="EQ6" s="20">
        <v>48877</v>
      </c>
      <c r="ER6" s="20">
        <v>26018</v>
      </c>
      <c r="ES6" s="20">
        <v>12920</v>
      </c>
      <c r="ET6" s="20">
        <v>5796</v>
      </c>
      <c r="EU6" s="20">
        <v>2749</v>
      </c>
      <c r="EV6" s="20">
        <v>1386</v>
      </c>
      <c r="EW6" s="20">
        <v>738</v>
      </c>
      <c r="EX6" s="20">
        <v>458</v>
      </c>
      <c r="EY6" s="20">
        <v>301</v>
      </c>
      <c r="EZ6" s="20">
        <v>225</v>
      </c>
      <c r="FA6" s="20">
        <v>174</v>
      </c>
      <c r="FB6" s="20">
        <v>147</v>
      </c>
      <c r="FC6" s="20">
        <v>123</v>
      </c>
      <c r="FD6" s="20">
        <v>106</v>
      </c>
      <c r="FE6" s="20">
        <v>92</v>
      </c>
      <c r="FF6" s="20">
        <v>86</v>
      </c>
      <c r="FG6" s="20">
        <v>77</v>
      </c>
      <c r="FH6" s="20">
        <v>67</v>
      </c>
      <c r="FI6" s="20">
        <v>65</v>
      </c>
      <c r="FJ6" s="20">
        <v>57</v>
      </c>
      <c r="FK6" s="20">
        <v>52</v>
      </c>
      <c r="FL6" s="20">
        <v>48</v>
      </c>
      <c r="FM6" s="20">
        <v>43</v>
      </c>
      <c r="FN6" s="20">
        <v>37</v>
      </c>
      <c r="FO6" s="20">
        <v>34</v>
      </c>
      <c r="FP6" s="20">
        <v>30</v>
      </c>
      <c r="FQ6" s="20">
        <v>29</v>
      </c>
      <c r="FR6" s="20">
        <v>14</v>
      </c>
      <c r="FS6" s="20">
        <v>3</v>
      </c>
      <c r="FT6" s="22">
        <v>1</v>
      </c>
    </row>
    <row r="7" spans="1:176" x14ac:dyDescent="0.4">
      <c r="A7">
        <v>0</v>
      </c>
      <c r="AG7" s="21" t="s">
        <v>196</v>
      </c>
      <c r="AH7" s="21" t="s">
        <v>196</v>
      </c>
      <c r="AI7" s="21" t="s">
        <v>196</v>
      </c>
      <c r="AJ7" s="21" t="s">
        <v>196</v>
      </c>
      <c r="AK7" s="21" t="s">
        <v>196</v>
      </c>
      <c r="AL7" s="21" t="s">
        <v>196</v>
      </c>
      <c r="AM7" s="21" t="s">
        <v>196</v>
      </c>
      <c r="AN7" s="21" t="s">
        <v>196</v>
      </c>
      <c r="AO7" s="21" t="s">
        <v>196</v>
      </c>
      <c r="AP7" s="21" t="s">
        <v>196</v>
      </c>
      <c r="AQ7" s="21" t="s">
        <v>196</v>
      </c>
      <c r="AR7" s="21" t="s">
        <v>196</v>
      </c>
      <c r="AS7" s="21" t="s">
        <v>196</v>
      </c>
      <c r="AT7" s="21" t="s">
        <v>196</v>
      </c>
      <c r="AU7" s="21" t="s">
        <v>196</v>
      </c>
      <c r="AV7" s="21" t="s">
        <v>196</v>
      </c>
      <c r="AW7" s="21" t="s">
        <v>196</v>
      </c>
      <c r="AX7" s="21" t="s">
        <v>196</v>
      </c>
      <c r="AY7" s="21" t="s">
        <v>196</v>
      </c>
      <c r="AZ7" s="21" t="s">
        <v>196</v>
      </c>
      <c r="BA7" s="21" t="s">
        <v>196</v>
      </c>
      <c r="BB7" s="21" t="s">
        <v>196</v>
      </c>
      <c r="BC7" s="21" t="s">
        <v>196</v>
      </c>
      <c r="BD7" s="21">
        <v>0</v>
      </c>
      <c r="BE7" s="21">
        <v>0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  <c r="BK7" s="21" t="s">
        <v>196</v>
      </c>
      <c r="BL7" s="21" t="s">
        <v>196</v>
      </c>
      <c r="BM7" s="21" t="s">
        <v>196</v>
      </c>
      <c r="BN7" s="21" t="s">
        <v>196</v>
      </c>
      <c r="BO7" s="21" t="s">
        <v>196</v>
      </c>
      <c r="BP7" s="21" t="s">
        <v>196</v>
      </c>
      <c r="BQ7" s="21" t="s">
        <v>196</v>
      </c>
      <c r="BR7" s="21" t="s">
        <v>196</v>
      </c>
      <c r="BS7" s="21" t="s">
        <v>196</v>
      </c>
      <c r="BT7" s="21" t="s">
        <v>196</v>
      </c>
      <c r="BU7" s="21" t="s">
        <v>196</v>
      </c>
      <c r="BV7" s="21" t="s">
        <v>196</v>
      </c>
      <c r="BW7" s="21" t="s">
        <v>196</v>
      </c>
      <c r="BX7" s="21" t="s">
        <v>196</v>
      </c>
      <c r="BY7" s="21" t="s">
        <v>196</v>
      </c>
      <c r="BZ7" s="21" t="s">
        <v>196</v>
      </c>
      <c r="CA7" s="21" t="s">
        <v>196</v>
      </c>
      <c r="CB7" s="21" t="s">
        <v>196</v>
      </c>
      <c r="CC7" s="21" t="s">
        <v>196</v>
      </c>
      <c r="CD7" s="21" t="s">
        <v>196</v>
      </c>
      <c r="CE7" s="21" t="s">
        <v>196</v>
      </c>
      <c r="CF7" s="21" t="s">
        <v>196</v>
      </c>
      <c r="CG7" s="21" t="s">
        <v>196</v>
      </c>
      <c r="CH7" s="21" t="s">
        <v>196</v>
      </c>
      <c r="CI7" s="21" t="s">
        <v>196</v>
      </c>
      <c r="CJ7" s="21" t="s">
        <v>196</v>
      </c>
      <c r="CK7" s="21" t="s">
        <v>196</v>
      </c>
      <c r="CL7" s="21" t="s">
        <v>196</v>
      </c>
      <c r="CM7" s="21" t="s">
        <v>196</v>
      </c>
      <c r="CN7" s="21" t="s">
        <v>196</v>
      </c>
      <c r="CO7" s="21" t="s">
        <v>196</v>
      </c>
      <c r="CP7" s="21" t="s">
        <v>196</v>
      </c>
      <c r="CQ7" s="21" t="s">
        <v>196</v>
      </c>
      <c r="CR7" s="21" t="s">
        <v>196</v>
      </c>
      <c r="CS7" s="21" t="s">
        <v>196</v>
      </c>
      <c r="CT7" s="21" t="s">
        <v>196</v>
      </c>
      <c r="CU7" s="21" t="s">
        <v>196</v>
      </c>
      <c r="CV7" s="21">
        <v>118215</v>
      </c>
      <c r="CW7" s="21">
        <v>1053</v>
      </c>
      <c r="CX7" s="21">
        <v>398</v>
      </c>
      <c r="CY7" s="21">
        <v>132</v>
      </c>
      <c r="CZ7" s="21">
        <v>0</v>
      </c>
      <c r="DA7" s="21">
        <v>9</v>
      </c>
      <c r="DB7" s="21">
        <v>5</v>
      </c>
      <c r="DC7" s="21">
        <v>6</v>
      </c>
      <c r="DD7" s="21">
        <v>7</v>
      </c>
      <c r="DE7" s="21">
        <v>0</v>
      </c>
      <c r="DF7" s="21">
        <v>10</v>
      </c>
      <c r="DG7" s="21">
        <v>9</v>
      </c>
      <c r="DH7" s="21">
        <v>5</v>
      </c>
      <c r="DI7" s="21">
        <v>6</v>
      </c>
      <c r="DJ7" s="21">
        <v>7</v>
      </c>
      <c r="DK7" s="21">
        <v>0</v>
      </c>
      <c r="DL7" s="21">
        <v>9</v>
      </c>
      <c r="DM7" s="21">
        <v>5</v>
      </c>
      <c r="DN7" s="21">
        <v>6</v>
      </c>
      <c r="DO7" s="21">
        <v>7</v>
      </c>
      <c r="DP7" s="21">
        <v>0</v>
      </c>
      <c r="DQ7" s="21">
        <v>118215</v>
      </c>
      <c r="DR7" s="21">
        <v>1053</v>
      </c>
      <c r="DS7" s="21">
        <v>398</v>
      </c>
      <c r="DT7" s="21">
        <v>132</v>
      </c>
      <c r="DU7" s="21">
        <v>0</v>
      </c>
      <c r="DV7" s="21" t="s">
        <v>196</v>
      </c>
      <c r="DW7" s="21" t="s">
        <v>196</v>
      </c>
      <c r="DX7" s="21" t="s">
        <v>196</v>
      </c>
      <c r="DY7" s="21" t="s">
        <v>196</v>
      </c>
      <c r="DZ7" s="21" t="s">
        <v>196</v>
      </c>
      <c r="EA7" s="21" t="s">
        <v>196</v>
      </c>
      <c r="EB7" s="21" t="s">
        <v>196</v>
      </c>
      <c r="EC7" s="21" t="s">
        <v>196</v>
      </c>
      <c r="ED7" s="21" t="s">
        <v>196</v>
      </c>
      <c r="EE7" s="21" t="s">
        <v>196</v>
      </c>
      <c r="EF7" s="21" t="s">
        <v>196</v>
      </c>
      <c r="EG7" s="21" t="s">
        <v>196</v>
      </c>
      <c r="EH7" s="21" t="s">
        <v>196</v>
      </c>
      <c r="EI7" s="21" t="s">
        <v>196</v>
      </c>
      <c r="EJ7" s="21" t="s">
        <v>196</v>
      </c>
      <c r="EK7" s="21">
        <v>9</v>
      </c>
      <c r="EL7" s="21">
        <v>9</v>
      </c>
      <c r="EM7" s="21">
        <v>9</v>
      </c>
      <c r="EN7" s="21">
        <v>9</v>
      </c>
      <c r="EO7" s="21">
        <v>2</v>
      </c>
      <c r="EP7" s="21">
        <v>10.332576</v>
      </c>
      <c r="EQ7" s="21">
        <v>47462</v>
      </c>
      <c r="ER7" s="21">
        <v>24630</v>
      </c>
      <c r="ES7" s="21">
        <v>12131</v>
      </c>
      <c r="ET7" s="21">
        <v>5486</v>
      </c>
      <c r="EU7" s="21">
        <v>2522</v>
      </c>
      <c r="EV7" s="21">
        <v>1184</v>
      </c>
      <c r="EW7" s="21">
        <v>680</v>
      </c>
      <c r="EX7" s="21">
        <v>402</v>
      </c>
      <c r="EY7" s="21">
        <v>267</v>
      </c>
      <c r="EZ7" s="21">
        <v>197</v>
      </c>
      <c r="FA7" s="21">
        <v>156</v>
      </c>
      <c r="FB7" s="21">
        <v>119</v>
      </c>
      <c r="FC7" s="21">
        <v>101</v>
      </c>
      <c r="FD7" s="21">
        <v>84</v>
      </c>
      <c r="FE7" s="21">
        <v>74</v>
      </c>
      <c r="FF7" s="21">
        <v>65</v>
      </c>
      <c r="FG7" s="21">
        <v>55</v>
      </c>
      <c r="FH7" s="21">
        <v>51</v>
      </c>
      <c r="FI7" s="21">
        <v>48</v>
      </c>
      <c r="FJ7" s="21">
        <v>46</v>
      </c>
      <c r="FK7" s="21">
        <v>38</v>
      </c>
      <c r="FL7" s="21">
        <v>35</v>
      </c>
      <c r="FM7" s="21">
        <v>32</v>
      </c>
      <c r="FN7" s="21">
        <v>27</v>
      </c>
      <c r="FO7" s="21">
        <v>26</v>
      </c>
      <c r="FP7" s="21">
        <v>25</v>
      </c>
      <c r="FQ7" s="21">
        <v>19</v>
      </c>
      <c r="FR7" s="21">
        <v>9</v>
      </c>
      <c r="FS7" s="21">
        <v>3</v>
      </c>
      <c r="FT7" s="23">
        <v>0</v>
      </c>
    </row>
    <row r="8" spans="1:176" x14ac:dyDescent="0.4">
      <c r="A8">
        <v>1</v>
      </c>
      <c r="AG8" s="20" t="s">
        <v>196</v>
      </c>
      <c r="AH8" s="20" t="s">
        <v>196</v>
      </c>
      <c r="AI8" s="20" t="s">
        <v>196</v>
      </c>
      <c r="AJ8" s="20" t="s">
        <v>196</v>
      </c>
      <c r="AK8" s="20" t="s">
        <v>196</v>
      </c>
      <c r="AL8" s="20" t="s">
        <v>196</v>
      </c>
      <c r="AM8" s="20" t="s">
        <v>196</v>
      </c>
      <c r="AN8" s="20" t="s">
        <v>196</v>
      </c>
      <c r="AO8" s="20" t="s">
        <v>196</v>
      </c>
      <c r="AP8" s="20" t="s">
        <v>196</v>
      </c>
      <c r="AQ8" s="20" t="s">
        <v>196</v>
      </c>
      <c r="AR8" s="20" t="s">
        <v>196</v>
      </c>
      <c r="AS8" s="20" t="s">
        <v>196</v>
      </c>
      <c r="AT8" s="20" t="s">
        <v>196</v>
      </c>
      <c r="AU8" s="20" t="s">
        <v>196</v>
      </c>
      <c r="AV8" s="20" t="s">
        <v>196</v>
      </c>
      <c r="AW8" s="20" t="s">
        <v>196</v>
      </c>
      <c r="AX8" s="20" t="s">
        <v>196</v>
      </c>
      <c r="AY8" s="20" t="s">
        <v>196</v>
      </c>
      <c r="AZ8" s="20" t="s">
        <v>196</v>
      </c>
      <c r="BA8" s="20" t="s">
        <v>196</v>
      </c>
      <c r="BB8" s="20" t="s">
        <v>196</v>
      </c>
      <c r="BC8" s="20" t="s">
        <v>196</v>
      </c>
      <c r="BD8" s="20">
        <v>0</v>
      </c>
      <c r="BE8" s="20">
        <v>0</v>
      </c>
      <c r="BF8" s="20">
        <v>0</v>
      </c>
      <c r="BG8" s="20">
        <v>0</v>
      </c>
      <c r="BH8" s="20">
        <v>0</v>
      </c>
      <c r="BI8" s="20">
        <v>0</v>
      </c>
      <c r="BJ8" s="20">
        <v>0</v>
      </c>
      <c r="BK8" s="20" t="s">
        <v>196</v>
      </c>
      <c r="BL8" s="20" t="s">
        <v>196</v>
      </c>
      <c r="BM8" s="20" t="s">
        <v>196</v>
      </c>
      <c r="BN8" s="20" t="s">
        <v>196</v>
      </c>
      <c r="BO8" s="20" t="s">
        <v>196</v>
      </c>
      <c r="BP8" s="20" t="s">
        <v>196</v>
      </c>
      <c r="BQ8" s="20" t="s">
        <v>196</v>
      </c>
      <c r="BR8" s="20" t="s">
        <v>196</v>
      </c>
      <c r="BS8" s="20" t="s">
        <v>196</v>
      </c>
      <c r="BT8" s="20" t="s">
        <v>196</v>
      </c>
      <c r="BU8" s="20" t="s">
        <v>196</v>
      </c>
      <c r="BV8" s="20" t="s">
        <v>196</v>
      </c>
      <c r="BW8" s="20" t="s">
        <v>196</v>
      </c>
      <c r="BX8" s="20" t="s">
        <v>196</v>
      </c>
      <c r="BY8" s="20" t="s">
        <v>196</v>
      </c>
      <c r="BZ8" s="20" t="s">
        <v>196</v>
      </c>
      <c r="CA8" s="20" t="s">
        <v>196</v>
      </c>
      <c r="CB8" s="20" t="s">
        <v>196</v>
      </c>
      <c r="CC8" s="20" t="s">
        <v>196</v>
      </c>
      <c r="CD8" s="20" t="s">
        <v>196</v>
      </c>
      <c r="CE8" s="20" t="s">
        <v>196</v>
      </c>
      <c r="CF8" s="20" t="s">
        <v>196</v>
      </c>
      <c r="CG8" s="20" t="s">
        <v>196</v>
      </c>
      <c r="CH8" s="20" t="s">
        <v>196</v>
      </c>
      <c r="CI8" s="20" t="s">
        <v>196</v>
      </c>
      <c r="CJ8" s="20" t="s">
        <v>196</v>
      </c>
      <c r="CK8" s="20" t="s">
        <v>196</v>
      </c>
      <c r="CL8" s="20" t="s">
        <v>196</v>
      </c>
      <c r="CM8" s="20" t="s">
        <v>196</v>
      </c>
      <c r="CN8" s="20" t="s">
        <v>196</v>
      </c>
      <c r="CO8" s="20" t="s">
        <v>196</v>
      </c>
      <c r="CP8" s="20" t="s">
        <v>196</v>
      </c>
      <c r="CQ8" s="20" t="s">
        <v>196</v>
      </c>
      <c r="CR8" s="20" t="s">
        <v>196</v>
      </c>
      <c r="CS8" s="20" t="s">
        <v>196</v>
      </c>
      <c r="CT8" s="20" t="s">
        <v>196</v>
      </c>
      <c r="CU8" s="20" t="s">
        <v>196</v>
      </c>
      <c r="CV8" s="20">
        <v>116896</v>
      </c>
      <c r="CW8" s="20">
        <v>746</v>
      </c>
      <c r="CX8" s="20">
        <v>472</v>
      </c>
      <c r="CY8" s="20">
        <v>77</v>
      </c>
      <c r="CZ8" s="20">
        <v>0</v>
      </c>
      <c r="DA8" s="20">
        <v>9</v>
      </c>
      <c r="DB8" s="20">
        <v>5</v>
      </c>
      <c r="DC8" s="20">
        <v>6</v>
      </c>
      <c r="DD8" s="20">
        <v>6</v>
      </c>
      <c r="DE8" s="20">
        <v>0</v>
      </c>
      <c r="DF8" s="20">
        <v>10</v>
      </c>
      <c r="DG8" s="20">
        <v>9</v>
      </c>
      <c r="DH8" s="20">
        <v>5</v>
      </c>
      <c r="DI8" s="20">
        <v>6</v>
      </c>
      <c r="DJ8" s="20">
        <v>6</v>
      </c>
      <c r="DK8" s="20">
        <v>0</v>
      </c>
      <c r="DL8" s="20">
        <v>9</v>
      </c>
      <c r="DM8" s="20">
        <v>5</v>
      </c>
      <c r="DN8" s="20">
        <v>6</v>
      </c>
      <c r="DO8" s="20">
        <v>6</v>
      </c>
      <c r="DP8" s="20">
        <v>0</v>
      </c>
      <c r="DQ8" s="20">
        <v>116896</v>
      </c>
      <c r="DR8" s="20">
        <v>746</v>
      </c>
      <c r="DS8" s="20">
        <v>472</v>
      </c>
      <c r="DT8" s="20">
        <v>77</v>
      </c>
      <c r="DU8" s="20">
        <v>0</v>
      </c>
      <c r="DV8" s="20" t="s">
        <v>196</v>
      </c>
      <c r="DW8" s="20" t="s">
        <v>196</v>
      </c>
      <c r="DX8" s="20" t="s">
        <v>196</v>
      </c>
      <c r="DY8" s="20" t="s">
        <v>196</v>
      </c>
      <c r="DZ8" s="20" t="s">
        <v>196</v>
      </c>
      <c r="EA8" s="20" t="s">
        <v>196</v>
      </c>
      <c r="EB8" s="20" t="s">
        <v>196</v>
      </c>
      <c r="EC8" s="20" t="s">
        <v>196</v>
      </c>
      <c r="ED8" s="20" t="s">
        <v>196</v>
      </c>
      <c r="EE8" s="20" t="s">
        <v>196</v>
      </c>
      <c r="EF8" s="20" t="s">
        <v>196</v>
      </c>
      <c r="EG8" s="20" t="s">
        <v>196</v>
      </c>
      <c r="EH8" s="20" t="s">
        <v>196</v>
      </c>
      <c r="EI8" s="20" t="s">
        <v>196</v>
      </c>
      <c r="EJ8" s="20" t="s">
        <v>196</v>
      </c>
      <c r="EK8" s="20">
        <v>9</v>
      </c>
      <c r="EL8" s="20">
        <v>9</v>
      </c>
      <c r="EM8" s="20">
        <v>9</v>
      </c>
      <c r="EN8" s="20">
        <v>9</v>
      </c>
      <c r="EO8" s="20">
        <v>3</v>
      </c>
      <c r="EP8" s="20">
        <v>10.361693000000001</v>
      </c>
      <c r="EQ8" s="20">
        <v>46792</v>
      </c>
      <c r="ER8" s="20">
        <v>24456</v>
      </c>
      <c r="ES8" s="20">
        <v>12002</v>
      </c>
      <c r="ET8" s="20">
        <v>5401</v>
      </c>
      <c r="EU8" s="20">
        <v>2468</v>
      </c>
      <c r="EV8" s="20">
        <v>1178</v>
      </c>
      <c r="EW8" s="20">
        <v>620</v>
      </c>
      <c r="EX8" s="20">
        <v>356</v>
      </c>
      <c r="EY8" s="20">
        <v>228</v>
      </c>
      <c r="EZ8" s="20">
        <v>156</v>
      </c>
      <c r="FA8" s="20">
        <v>128</v>
      </c>
      <c r="FB8" s="20">
        <v>106</v>
      </c>
      <c r="FC8" s="20">
        <v>82</v>
      </c>
      <c r="FD8" s="20">
        <v>74</v>
      </c>
      <c r="FE8" s="20">
        <v>69</v>
      </c>
      <c r="FF8" s="20">
        <v>62</v>
      </c>
      <c r="FG8" s="20">
        <v>57</v>
      </c>
      <c r="FH8" s="20">
        <v>53</v>
      </c>
      <c r="FI8" s="20">
        <v>46</v>
      </c>
      <c r="FJ8" s="20">
        <v>43</v>
      </c>
      <c r="FK8" s="20">
        <v>38</v>
      </c>
      <c r="FL8" s="20">
        <v>35</v>
      </c>
      <c r="FM8" s="20">
        <v>32</v>
      </c>
      <c r="FN8" s="20">
        <v>27</v>
      </c>
      <c r="FO8" s="20">
        <v>22</v>
      </c>
      <c r="FP8" s="20">
        <v>15</v>
      </c>
      <c r="FQ8" s="20">
        <v>13</v>
      </c>
      <c r="FR8" s="20">
        <v>4</v>
      </c>
      <c r="FS8" s="20">
        <v>0</v>
      </c>
      <c r="FT8" s="22">
        <v>0</v>
      </c>
    </row>
    <row r="9" spans="1:176" x14ac:dyDescent="0.4">
      <c r="A9">
        <v>2</v>
      </c>
      <c r="AG9" s="21" t="s">
        <v>196</v>
      </c>
      <c r="AH9" s="21" t="s">
        <v>196</v>
      </c>
      <c r="AI9" s="21" t="s">
        <v>196</v>
      </c>
      <c r="AJ9" s="21" t="s">
        <v>196</v>
      </c>
      <c r="AK9" s="21" t="s">
        <v>196</v>
      </c>
      <c r="AL9" s="21" t="s">
        <v>196</v>
      </c>
      <c r="AM9" s="21" t="s">
        <v>196</v>
      </c>
      <c r="AN9" s="21" t="s">
        <v>196</v>
      </c>
      <c r="AO9" s="21" t="s">
        <v>196</v>
      </c>
      <c r="AP9" s="21" t="s">
        <v>196</v>
      </c>
      <c r="AQ9" s="21" t="s">
        <v>196</v>
      </c>
      <c r="AR9" s="21" t="s">
        <v>196</v>
      </c>
      <c r="AS9" s="21" t="s">
        <v>196</v>
      </c>
      <c r="AT9" s="21" t="s">
        <v>196</v>
      </c>
      <c r="AU9" s="21" t="s">
        <v>196</v>
      </c>
      <c r="AV9" s="21" t="s">
        <v>196</v>
      </c>
      <c r="AW9" s="21" t="s">
        <v>196</v>
      </c>
      <c r="AX9" s="21" t="s">
        <v>196</v>
      </c>
      <c r="AY9" s="21" t="s">
        <v>196</v>
      </c>
      <c r="AZ9" s="21" t="s">
        <v>196</v>
      </c>
      <c r="BA9" s="21" t="s">
        <v>196</v>
      </c>
      <c r="BB9" s="21" t="s">
        <v>196</v>
      </c>
      <c r="BC9" s="21" t="s">
        <v>196</v>
      </c>
      <c r="BD9" s="21">
        <v>0</v>
      </c>
      <c r="BE9" s="21">
        <v>0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  <c r="BK9" s="21" t="s">
        <v>196</v>
      </c>
      <c r="BL9" s="21" t="s">
        <v>196</v>
      </c>
      <c r="BM9" s="21" t="s">
        <v>196</v>
      </c>
      <c r="BN9" s="21" t="s">
        <v>196</v>
      </c>
      <c r="BO9" s="21" t="s">
        <v>196</v>
      </c>
      <c r="BP9" s="21" t="s">
        <v>196</v>
      </c>
      <c r="BQ9" s="21" t="s">
        <v>196</v>
      </c>
      <c r="BR9" s="21" t="s">
        <v>196</v>
      </c>
      <c r="BS9" s="21" t="s">
        <v>196</v>
      </c>
      <c r="BT9" s="21" t="s">
        <v>196</v>
      </c>
      <c r="BU9" s="21" t="s">
        <v>196</v>
      </c>
      <c r="BV9" s="21" t="s">
        <v>196</v>
      </c>
      <c r="BW9" s="21" t="s">
        <v>196</v>
      </c>
      <c r="BX9" s="21" t="s">
        <v>196</v>
      </c>
      <c r="BY9" s="21" t="s">
        <v>196</v>
      </c>
      <c r="BZ9" s="21" t="s">
        <v>196</v>
      </c>
      <c r="CA9" s="21" t="s">
        <v>196</v>
      </c>
      <c r="CB9" s="21" t="s">
        <v>196</v>
      </c>
      <c r="CC9" s="21" t="s">
        <v>196</v>
      </c>
      <c r="CD9" s="21" t="s">
        <v>196</v>
      </c>
      <c r="CE9" s="21" t="s">
        <v>196</v>
      </c>
      <c r="CF9" s="21" t="s">
        <v>196</v>
      </c>
      <c r="CG9" s="21" t="s">
        <v>196</v>
      </c>
      <c r="CH9" s="21" t="s">
        <v>196</v>
      </c>
      <c r="CI9" s="21" t="s">
        <v>196</v>
      </c>
      <c r="CJ9" s="21" t="s">
        <v>196</v>
      </c>
      <c r="CK9" s="21" t="s">
        <v>196</v>
      </c>
      <c r="CL9" s="21" t="s">
        <v>196</v>
      </c>
      <c r="CM9" s="21" t="s">
        <v>196</v>
      </c>
      <c r="CN9" s="21" t="s">
        <v>196</v>
      </c>
      <c r="CO9" s="21" t="s">
        <v>196</v>
      </c>
      <c r="CP9" s="21" t="s">
        <v>196</v>
      </c>
      <c r="CQ9" s="21" t="s">
        <v>196</v>
      </c>
      <c r="CR9" s="21" t="s">
        <v>196</v>
      </c>
      <c r="CS9" s="21" t="s">
        <v>196</v>
      </c>
      <c r="CT9" s="21" t="s">
        <v>196</v>
      </c>
      <c r="CU9" s="21" t="s">
        <v>196</v>
      </c>
      <c r="CV9" s="21">
        <v>114945</v>
      </c>
      <c r="CW9" s="21">
        <v>826</v>
      </c>
      <c r="CX9" s="21">
        <v>324</v>
      </c>
      <c r="CY9" s="21">
        <v>87</v>
      </c>
      <c r="CZ9" s="21">
        <v>12</v>
      </c>
      <c r="DA9" s="21">
        <v>9</v>
      </c>
      <c r="DB9" s="21">
        <v>5</v>
      </c>
      <c r="DC9" s="21">
        <v>6</v>
      </c>
      <c r="DD9" s="21">
        <v>6</v>
      </c>
      <c r="DE9" s="21">
        <v>6</v>
      </c>
      <c r="DF9" s="21">
        <v>10</v>
      </c>
      <c r="DG9" s="21">
        <v>9</v>
      </c>
      <c r="DH9" s="21">
        <v>5</v>
      </c>
      <c r="DI9" s="21">
        <v>6</v>
      </c>
      <c r="DJ9" s="21">
        <v>6</v>
      </c>
      <c r="DK9" s="21">
        <v>6</v>
      </c>
      <c r="DL9" s="21">
        <v>9</v>
      </c>
      <c r="DM9" s="21">
        <v>5</v>
      </c>
      <c r="DN9" s="21">
        <v>6</v>
      </c>
      <c r="DO9" s="21">
        <v>6</v>
      </c>
      <c r="DP9" s="21">
        <v>6</v>
      </c>
      <c r="DQ9" s="21">
        <v>114945</v>
      </c>
      <c r="DR9" s="21">
        <v>826</v>
      </c>
      <c r="DS9" s="21">
        <v>324</v>
      </c>
      <c r="DT9" s="21">
        <v>87</v>
      </c>
      <c r="DU9" s="21">
        <v>12</v>
      </c>
      <c r="DV9" s="21" t="s">
        <v>196</v>
      </c>
      <c r="DW9" s="21" t="s">
        <v>196</v>
      </c>
      <c r="DX9" s="21" t="s">
        <v>196</v>
      </c>
      <c r="DY9" s="21" t="s">
        <v>196</v>
      </c>
      <c r="DZ9" s="21" t="s">
        <v>196</v>
      </c>
      <c r="EA9" s="21" t="s">
        <v>196</v>
      </c>
      <c r="EB9" s="21" t="s">
        <v>196</v>
      </c>
      <c r="EC9" s="21" t="s">
        <v>196</v>
      </c>
      <c r="ED9" s="21" t="s">
        <v>196</v>
      </c>
      <c r="EE9" s="21" t="s">
        <v>196</v>
      </c>
      <c r="EF9" s="21" t="s">
        <v>196</v>
      </c>
      <c r="EG9" s="21" t="s">
        <v>196</v>
      </c>
      <c r="EH9" s="21" t="s">
        <v>196</v>
      </c>
      <c r="EI9" s="21" t="s">
        <v>196</v>
      </c>
      <c r="EJ9" s="21" t="s">
        <v>196</v>
      </c>
      <c r="EK9" s="21">
        <v>9</v>
      </c>
      <c r="EL9" s="21">
        <v>9</v>
      </c>
      <c r="EM9" s="21">
        <v>9</v>
      </c>
      <c r="EN9" s="21">
        <v>9</v>
      </c>
      <c r="EO9" s="21">
        <v>4</v>
      </c>
      <c r="EP9" s="21">
        <v>10.399913</v>
      </c>
      <c r="EQ9" s="21">
        <v>46453</v>
      </c>
      <c r="ER9" s="21">
        <v>24480</v>
      </c>
      <c r="ES9" s="21">
        <v>11842</v>
      </c>
      <c r="ET9" s="21">
        <v>5335</v>
      </c>
      <c r="EU9" s="21">
        <v>2441</v>
      </c>
      <c r="EV9" s="21">
        <v>1158</v>
      </c>
      <c r="EW9" s="21">
        <v>612</v>
      </c>
      <c r="EX9" s="21">
        <v>343</v>
      </c>
      <c r="EY9" s="21">
        <v>220</v>
      </c>
      <c r="EZ9" s="21">
        <v>155</v>
      </c>
      <c r="FA9" s="21">
        <v>124</v>
      </c>
      <c r="FB9" s="21">
        <v>106</v>
      </c>
      <c r="FC9" s="21">
        <v>92</v>
      </c>
      <c r="FD9" s="21">
        <v>78</v>
      </c>
      <c r="FE9" s="21">
        <v>66</v>
      </c>
      <c r="FF9" s="21">
        <v>57</v>
      </c>
      <c r="FG9" s="21">
        <v>47</v>
      </c>
      <c r="FH9" s="21">
        <v>41</v>
      </c>
      <c r="FI9" s="21">
        <v>38</v>
      </c>
      <c r="FJ9" s="21">
        <v>33</v>
      </c>
      <c r="FK9" s="21">
        <v>31</v>
      </c>
      <c r="FL9" s="21">
        <v>29</v>
      </c>
      <c r="FM9" s="21">
        <v>27</v>
      </c>
      <c r="FN9" s="21">
        <v>24</v>
      </c>
      <c r="FO9" s="21">
        <v>20</v>
      </c>
      <c r="FP9" s="21">
        <v>18</v>
      </c>
      <c r="FQ9" s="21">
        <v>17</v>
      </c>
      <c r="FR9" s="21">
        <v>9</v>
      </c>
      <c r="FS9" s="21">
        <v>5</v>
      </c>
      <c r="FT9" s="23">
        <v>1</v>
      </c>
    </row>
    <row r="10" spans="1:176" x14ac:dyDescent="0.4">
      <c r="A10">
        <v>3</v>
      </c>
      <c r="AG10" s="20" t="s">
        <v>196</v>
      </c>
      <c r="AH10" s="20" t="s">
        <v>196</v>
      </c>
      <c r="AI10" s="20" t="s">
        <v>196</v>
      </c>
      <c r="AJ10" s="20" t="s">
        <v>196</v>
      </c>
      <c r="AK10" s="20" t="s">
        <v>196</v>
      </c>
      <c r="AL10" s="20" t="s">
        <v>196</v>
      </c>
      <c r="AM10" s="20" t="s">
        <v>196</v>
      </c>
      <c r="AN10" s="20" t="s">
        <v>196</v>
      </c>
      <c r="AO10" s="20" t="s">
        <v>196</v>
      </c>
      <c r="AP10" s="20" t="s">
        <v>196</v>
      </c>
      <c r="AQ10" s="20" t="s">
        <v>196</v>
      </c>
      <c r="AR10" s="20" t="s">
        <v>196</v>
      </c>
      <c r="AS10" s="20" t="s">
        <v>196</v>
      </c>
      <c r="AT10" s="20" t="s">
        <v>196</v>
      </c>
      <c r="AU10" s="20" t="s">
        <v>196</v>
      </c>
      <c r="AV10" s="20" t="s">
        <v>196</v>
      </c>
      <c r="AW10" s="20" t="s">
        <v>196</v>
      </c>
      <c r="AX10" s="20" t="s">
        <v>196</v>
      </c>
      <c r="AY10" s="20" t="s">
        <v>196</v>
      </c>
      <c r="AZ10" s="20" t="s">
        <v>196</v>
      </c>
      <c r="BA10" s="20" t="s">
        <v>196</v>
      </c>
      <c r="BB10" s="20" t="s">
        <v>196</v>
      </c>
      <c r="BC10" s="20" t="s">
        <v>196</v>
      </c>
      <c r="BD10" s="20">
        <v>0</v>
      </c>
      <c r="BE10" s="20">
        <v>0</v>
      </c>
      <c r="BF10" s="20">
        <v>0</v>
      </c>
      <c r="BG10" s="20">
        <v>0</v>
      </c>
      <c r="BH10" s="20">
        <v>0</v>
      </c>
      <c r="BI10" s="20">
        <v>0</v>
      </c>
      <c r="BJ10" s="20">
        <v>0</v>
      </c>
      <c r="BK10" s="20" t="s">
        <v>196</v>
      </c>
      <c r="BL10" s="20" t="s">
        <v>196</v>
      </c>
      <c r="BM10" s="20" t="s">
        <v>196</v>
      </c>
      <c r="BN10" s="20" t="s">
        <v>196</v>
      </c>
      <c r="BO10" s="20" t="s">
        <v>196</v>
      </c>
      <c r="BP10" s="20" t="s">
        <v>196</v>
      </c>
      <c r="BQ10" s="20" t="s">
        <v>196</v>
      </c>
      <c r="BR10" s="20" t="s">
        <v>196</v>
      </c>
      <c r="BS10" s="20" t="s">
        <v>196</v>
      </c>
      <c r="BT10" s="20" t="s">
        <v>196</v>
      </c>
      <c r="BU10" s="20" t="s">
        <v>196</v>
      </c>
      <c r="BV10" s="20" t="s">
        <v>196</v>
      </c>
      <c r="BW10" s="20" t="s">
        <v>196</v>
      </c>
      <c r="BX10" s="20" t="s">
        <v>196</v>
      </c>
      <c r="BY10" s="20" t="s">
        <v>196</v>
      </c>
      <c r="BZ10" s="20" t="s">
        <v>196</v>
      </c>
      <c r="CA10" s="20" t="s">
        <v>196</v>
      </c>
      <c r="CB10" s="20" t="s">
        <v>196</v>
      </c>
      <c r="CC10" s="20" t="s">
        <v>196</v>
      </c>
      <c r="CD10" s="20" t="s">
        <v>196</v>
      </c>
      <c r="CE10" s="20" t="s">
        <v>196</v>
      </c>
      <c r="CF10" s="20" t="s">
        <v>196</v>
      </c>
      <c r="CG10" s="20" t="s">
        <v>196</v>
      </c>
      <c r="CH10" s="20" t="s">
        <v>196</v>
      </c>
      <c r="CI10" s="20" t="s">
        <v>196</v>
      </c>
      <c r="CJ10" s="20" t="s">
        <v>196</v>
      </c>
      <c r="CK10" s="20" t="s">
        <v>196</v>
      </c>
      <c r="CL10" s="20" t="s">
        <v>196</v>
      </c>
      <c r="CM10" s="20" t="s">
        <v>196</v>
      </c>
      <c r="CN10" s="20" t="s">
        <v>196</v>
      </c>
      <c r="CO10" s="20" t="s">
        <v>196</v>
      </c>
      <c r="CP10" s="20" t="s">
        <v>196</v>
      </c>
      <c r="CQ10" s="20" t="s">
        <v>196</v>
      </c>
      <c r="CR10" s="20" t="s">
        <v>196</v>
      </c>
      <c r="CS10" s="20" t="s">
        <v>196</v>
      </c>
      <c r="CT10" s="20" t="s">
        <v>196</v>
      </c>
      <c r="CU10" s="20" t="s">
        <v>196</v>
      </c>
      <c r="CV10" s="20">
        <v>114324</v>
      </c>
      <c r="CW10" s="20">
        <v>754</v>
      </c>
      <c r="CX10" s="20">
        <v>404</v>
      </c>
      <c r="CY10" s="20">
        <v>142</v>
      </c>
      <c r="CZ10" s="20">
        <v>12</v>
      </c>
      <c r="DA10" s="20">
        <v>9</v>
      </c>
      <c r="DB10" s="20">
        <v>5</v>
      </c>
      <c r="DC10" s="20">
        <v>6</v>
      </c>
      <c r="DD10" s="20">
        <v>7</v>
      </c>
      <c r="DE10" s="20">
        <v>6</v>
      </c>
      <c r="DF10" s="20">
        <v>10</v>
      </c>
      <c r="DG10" s="20">
        <v>9</v>
      </c>
      <c r="DH10" s="20">
        <v>5</v>
      </c>
      <c r="DI10" s="20">
        <v>6</v>
      </c>
      <c r="DJ10" s="20">
        <v>7</v>
      </c>
      <c r="DK10" s="20">
        <v>6</v>
      </c>
      <c r="DL10" s="20">
        <v>9</v>
      </c>
      <c r="DM10" s="20">
        <v>5</v>
      </c>
      <c r="DN10" s="20">
        <v>6</v>
      </c>
      <c r="DO10" s="20">
        <v>7</v>
      </c>
      <c r="DP10" s="20">
        <v>6</v>
      </c>
      <c r="DQ10" s="20">
        <v>114324</v>
      </c>
      <c r="DR10" s="20">
        <v>754</v>
      </c>
      <c r="DS10" s="20">
        <v>404</v>
      </c>
      <c r="DT10" s="20">
        <v>142</v>
      </c>
      <c r="DU10" s="20">
        <v>12</v>
      </c>
      <c r="DV10" s="20" t="s">
        <v>196</v>
      </c>
      <c r="DW10" s="20" t="s">
        <v>196</v>
      </c>
      <c r="DX10" s="20" t="s">
        <v>196</v>
      </c>
      <c r="DY10" s="20" t="s">
        <v>196</v>
      </c>
      <c r="DZ10" s="20" t="s">
        <v>196</v>
      </c>
      <c r="EA10" s="20" t="s">
        <v>196</v>
      </c>
      <c r="EB10" s="20" t="s">
        <v>196</v>
      </c>
      <c r="EC10" s="20" t="s">
        <v>196</v>
      </c>
      <c r="ED10" s="20" t="s">
        <v>196</v>
      </c>
      <c r="EE10" s="20" t="s">
        <v>196</v>
      </c>
      <c r="EF10" s="20" t="s">
        <v>196</v>
      </c>
      <c r="EG10" s="20" t="s">
        <v>196</v>
      </c>
      <c r="EH10" s="20" t="s">
        <v>196</v>
      </c>
      <c r="EI10" s="20" t="s">
        <v>196</v>
      </c>
      <c r="EJ10" s="20" t="s">
        <v>196</v>
      </c>
      <c r="EK10" s="20">
        <v>9</v>
      </c>
      <c r="EL10" s="20">
        <v>9</v>
      </c>
      <c r="EM10" s="20">
        <v>9</v>
      </c>
      <c r="EN10" s="20">
        <v>9</v>
      </c>
      <c r="EO10" s="20">
        <v>5</v>
      </c>
      <c r="EP10" s="20">
        <v>10.389237</v>
      </c>
      <c r="EQ10" s="20">
        <v>45658</v>
      </c>
      <c r="ER10" s="20">
        <v>24024</v>
      </c>
      <c r="ES10" s="20">
        <v>11773</v>
      </c>
      <c r="ET10" s="20">
        <v>5297</v>
      </c>
      <c r="EU10" s="20">
        <v>2398</v>
      </c>
      <c r="EV10" s="20">
        <v>1139</v>
      </c>
      <c r="EW10" s="20">
        <v>616</v>
      </c>
      <c r="EX10" s="20">
        <v>368</v>
      </c>
      <c r="EY10" s="20">
        <v>238</v>
      </c>
      <c r="EZ10" s="20">
        <v>164</v>
      </c>
      <c r="FA10" s="20">
        <v>130</v>
      </c>
      <c r="FB10" s="20">
        <v>113</v>
      </c>
      <c r="FC10" s="20">
        <v>100</v>
      </c>
      <c r="FD10" s="20">
        <v>86</v>
      </c>
      <c r="FE10" s="20">
        <v>76</v>
      </c>
      <c r="FF10" s="20">
        <v>66</v>
      </c>
      <c r="FG10" s="20">
        <v>60</v>
      </c>
      <c r="FH10" s="20">
        <v>54</v>
      </c>
      <c r="FI10" s="20">
        <v>51</v>
      </c>
      <c r="FJ10" s="20">
        <v>42</v>
      </c>
      <c r="FK10" s="20">
        <v>39</v>
      </c>
      <c r="FL10" s="20">
        <v>35</v>
      </c>
      <c r="FM10" s="20">
        <v>32</v>
      </c>
      <c r="FN10" s="20">
        <v>29</v>
      </c>
      <c r="FO10" s="20">
        <v>29</v>
      </c>
      <c r="FP10" s="20">
        <v>27</v>
      </c>
      <c r="FQ10" s="20">
        <v>24</v>
      </c>
      <c r="FR10" s="20">
        <v>12</v>
      </c>
      <c r="FS10" s="20">
        <v>6</v>
      </c>
      <c r="FT10" s="22">
        <v>1</v>
      </c>
    </row>
    <row r="11" spans="1:176" x14ac:dyDescent="0.4">
      <c r="A11">
        <v>4</v>
      </c>
      <c r="AG11" s="21" t="s">
        <v>196</v>
      </c>
      <c r="AH11" s="21" t="s">
        <v>196</v>
      </c>
      <c r="AI11" s="21" t="s">
        <v>196</v>
      </c>
      <c r="AJ11" s="21" t="s">
        <v>196</v>
      </c>
      <c r="AK11" s="21" t="s">
        <v>196</v>
      </c>
      <c r="AL11" s="21" t="s">
        <v>196</v>
      </c>
      <c r="AM11" s="21" t="s">
        <v>196</v>
      </c>
      <c r="AN11" s="21" t="s">
        <v>196</v>
      </c>
      <c r="AO11" s="21" t="s">
        <v>196</v>
      </c>
      <c r="AP11" s="21" t="s">
        <v>196</v>
      </c>
      <c r="AQ11" s="21" t="s">
        <v>196</v>
      </c>
      <c r="AR11" s="21" t="s">
        <v>196</v>
      </c>
      <c r="AS11" s="21" t="s">
        <v>196</v>
      </c>
      <c r="AT11" s="21" t="s">
        <v>196</v>
      </c>
      <c r="AU11" s="21" t="s">
        <v>196</v>
      </c>
      <c r="AV11" s="21" t="s">
        <v>196</v>
      </c>
      <c r="AW11" s="21" t="s">
        <v>196</v>
      </c>
      <c r="AX11" s="21" t="s">
        <v>196</v>
      </c>
      <c r="AY11" s="21" t="s">
        <v>196</v>
      </c>
      <c r="AZ11" s="21" t="s">
        <v>196</v>
      </c>
      <c r="BA11" s="21" t="s">
        <v>196</v>
      </c>
      <c r="BB11" s="21" t="s">
        <v>196</v>
      </c>
      <c r="BC11" s="21" t="s">
        <v>196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  <c r="BK11" s="21" t="s">
        <v>196</v>
      </c>
      <c r="BL11" s="21" t="s">
        <v>196</v>
      </c>
      <c r="BM11" s="21" t="s">
        <v>196</v>
      </c>
      <c r="BN11" s="21" t="s">
        <v>196</v>
      </c>
      <c r="BO11" s="21" t="s">
        <v>196</v>
      </c>
      <c r="BP11" s="21" t="s">
        <v>196</v>
      </c>
      <c r="BQ11" s="21" t="s">
        <v>196</v>
      </c>
      <c r="BR11" s="21" t="s">
        <v>196</v>
      </c>
      <c r="BS11" s="21" t="s">
        <v>196</v>
      </c>
      <c r="BT11" s="21" t="s">
        <v>196</v>
      </c>
      <c r="BU11" s="21" t="s">
        <v>196</v>
      </c>
      <c r="BV11" s="21" t="s">
        <v>196</v>
      </c>
      <c r="BW11" s="21" t="s">
        <v>196</v>
      </c>
      <c r="BX11" s="21" t="s">
        <v>196</v>
      </c>
      <c r="BY11" s="21" t="s">
        <v>196</v>
      </c>
      <c r="BZ11" s="21" t="s">
        <v>196</v>
      </c>
      <c r="CA11" s="21" t="s">
        <v>196</v>
      </c>
      <c r="CB11" s="21" t="s">
        <v>196</v>
      </c>
      <c r="CC11" s="21" t="s">
        <v>196</v>
      </c>
      <c r="CD11" s="21" t="s">
        <v>196</v>
      </c>
      <c r="CE11" s="21" t="s">
        <v>196</v>
      </c>
      <c r="CF11" s="21" t="s">
        <v>196</v>
      </c>
      <c r="CG11" s="21" t="s">
        <v>196</v>
      </c>
      <c r="CH11" s="21" t="s">
        <v>196</v>
      </c>
      <c r="CI11" s="21" t="s">
        <v>196</v>
      </c>
      <c r="CJ11" s="21" t="s">
        <v>196</v>
      </c>
      <c r="CK11" s="21" t="s">
        <v>196</v>
      </c>
      <c r="CL11" s="21" t="s">
        <v>196</v>
      </c>
      <c r="CM11" s="21" t="s">
        <v>196</v>
      </c>
      <c r="CN11" s="21" t="s">
        <v>196</v>
      </c>
      <c r="CO11" s="21" t="s">
        <v>196</v>
      </c>
      <c r="CP11" s="21" t="s">
        <v>196</v>
      </c>
      <c r="CQ11" s="21" t="s">
        <v>196</v>
      </c>
      <c r="CR11" s="21" t="s">
        <v>196</v>
      </c>
      <c r="CS11" s="21" t="s">
        <v>196</v>
      </c>
      <c r="CT11" s="21" t="s">
        <v>196</v>
      </c>
      <c r="CU11" s="21" t="s">
        <v>196</v>
      </c>
      <c r="CV11" s="21">
        <v>118627</v>
      </c>
      <c r="CW11" s="21">
        <v>894</v>
      </c>
      <c r="CX11" s="21">
        <v>421</v>
      </c>
      <c r="CY11" s="21">
        <v>126</v>
      </c>
      <c r="CZ11" s="21">
        <v>7</v>
      </c>
      <c r="DA11" s="21">
        <v>9</v>
      </c>
      <c r="DB11" s="21">
        <v>5</v>
      </c>
      <c r="DC11" s="21">
        <v>6</v>
      </c>
      <c r="DD11" s="21">
        <v>7</v>
      </c>
      <c r="DE11" s="21">
        <v>5</v>
      </c>
      <c r="DF11" s="21">
        <v>10</v>
      </c>
      <c r="DG11" s="21">
        <v>9</v>
      </c>
      <c r="DH11" s="21">
        <v>5</v>
      </c>
      <c r="DI11" s="21">
        <v>6</v>
      </c>
      <c r="DJ11" s="21">
        <v>7</v>
      </c>
      <c r="DK11" s="21">
        <v>5</v>
      </c>
      <c r="DL11" s="21">
        <v>9</v>
      </c>
      <c r="DM11" s="21">
        <v>5</v>
      </c>
      <c r="DN11" s="21">
        <v>6</v>
      </c>
      <c r="DO11" s="21">
        <v>7</v>
      </c>
      <c r="DP11" s="21">
        <v>5</v>
      </c>
      <c r="DQ11" s="21">
        <v>118627</v>
      </c>
      <c r="DR11" s="21">
        <v>894</v>
      </c>
      <c r="DS11" s="21">
        <v>421</v>
      </c>
      <c r="DT11" s="21">
        <v>126</v>
      </c>
      <c r="DU11" s="21">
        <v>7</v>
      </c>
      <c r="DV11" s="21" t="s">
        <v>196</v>
      </c>
      <c r="DW11" s="21" t="s">
        <v>196</v>
      </c>
      <c r="DX11" s="21" t="s">
        <v>196</v>
      </c>
      <c r="DY11" s="21" t="s">
        <v>196</v>
      </c>
      <c r="DZ11" s="21" t="s">
        <v>196</v>
      </c>
      <c r="EA11" s="21" t="s">
        <v>196</v>
      </c>
      <c r="EB11" s="21" t="s">
        <v>196</v>
      </c>
      <c r="EC11" s="21" t="s">
        <v>196</v>
      </c>
      <c r="ED11" s="21" t="s">
        <v>196</v>
      </c>
      <c r="EE11" s="21" t="s">
        <v>196</v>
      </c>
      <c r="EF11" s="21" t="s">
        <v>196</v>
      </c>
      <c r="EG11" s="21" t="s">
        <v>196</v>
      </c>
      <c r="EH11" s="21" t="s">
        <v>196</v>
      </c>
      <c r="EI11" s="21" t="s">
        <v>196</v>
      </c>
      <c r="EJ11" s="21" t="s">
        <v>196</v>
      </c>
      <c r="EK11" s="21">
        <v>9</v>
      </c>
      <c r="EL11" s="21">
        <v>9</v>
      </c>
      <c r="EM11" s="21">
        <v>9</v>
      </c>
      <c r="EN11" s="21">
        <v>9</v>
      </c>
      <c r="EO11" s="21">
        <v>0</v>
      </c>
      <c r="EP11" s="21">
        <v>51.556399999999996</v>
      </c>
      <c r="EQ11" s="21">
        <v>235241</v>
      </c>
      <c r="ER11" s="21">
        <v>123608</v>
      </c>
      <c r="ES11" s="21">
        <v>60668</v>
      </c>
      <c r="ET11" s="21">
        <v>27316</v>
      </c>
      <c r="EU11" s="21">
        <v>12578</v>
      </c>
      <c r="EV11" s="21">
        <v>6045</v>
      </c>
      <c r="EW11" s="21">
        <v>3266</v>
      </c>
      <c r="EX11" s="21">
        <v>1927</v>
      </c>
      <c r="EY11" s="21">
        <v>1253</v>
      </c>
      <c r="EZ11" s="21">
        <v>897</v>
      </c>
      <c r="FA11" s="21">
        <v>712</v>
      </c>
      <c r="FB11" s="21">
        <v>591</v>
      </c>
      <c r="FC11" s="21">
        <v>498</v>
      </c>
      <c r="FD11" s="21">
        <v>428</v>
      </c>
      <c r="FE11" s="21">
        <v>377</v>
      </c>
      <c r="FF11" s="21">
        <v>336</v>
      </c>
      <c r="FG11" s="21">
        <v>296</v>
      </c>
      <c r="FH11" s="21">
        <v>266</v>
      </c>
      <c r="FI11" s="21">
        <v>248</v>
      </c>
      <c r="FJ11" s="21">
        <v>221</v>
      </c>
      <c r="FK11" s="21">
        <v>198</v>
      </c>
      <c r="FL11" s="21">
        <v>182</v>
      </c>
      <c r="FM11" s="21">
        <v>166</v>
      </c>
      <c r="FN11" s="21">
        <v>144</v>
      </c>
      <c r="FO11" s="21">
        <v>131</v>
      </c>
      <c r="FP11" s="21">
        <v>115</v>
      </c>
      <c r="FQ11" s="21">
        <v>102</v>
      </c>
      <c r="FR11" s="21">
        <v>48</v>
      </c>
      <c r="FS11" s="21">
        <v>17</v>
      </c>
      <c r="FT11" s="23">
        <v>3</v>
      </c>
    </row>
    <row r="12" spans="1:176" x14ac:dyDescent="0.4">
      <c r="A12">
        <v>5</v>
      </c>
      <c r="AG12" s="20" t="s">
        <v>196</v>
      </c>
      <c r="AH12" s="20" t="s">
        <v>196</v>
      </c>
      <c r="AI12" s="20" t="s">
        <v>196</v>
      </c>
      <c r="AJ12" s="20" t="s">
        <v>196</v>
      </c>
      <c r="AK12" s="20" t="s">
        <v>196</v>
      </c>
      <c r="AL12" s="20" t="s">
        <v>196</v>
      </c>
      <c r="AM12" s="20" t="s">
        <v>196</v>
      </c>
      <c r="AN12" s="20" t="s">
        <v>196</v>
      </c>
      <c r="AO12" s="20" t="s">
        <v>196</v>
      </c>
      <c r="AP12" s="20" t="s">
        <v>196</v>
      </c>
      <c r="AQ12" s="20" t="s">
        <v>196</v>
      </c>
      <c r="AR12" s="20" t="s">
        <v>196</v>
      </c>
      <c r="AS12" s="20" t="s">
        <v>196</v>
      </c>
      <c r="AT12" s="20" t="s">
        <v>196</v>
      </c>
      <c r="AU12" s="20" t="s">
        <v>196</v>
      </c>
      <c r="AV12" s="20" t="s">
        <v>196</v>
      </c>
      <c r="AW12" s="20" t="s">
        <v>196</v>
      </c>
      <c r="AX12" s="20" t="s">
        <v>196</v>
      </c>
      <c r="AY12" s="20" t="s">
        <v>196</v>
      </c>
      <c r="AZ12" s="20" t="s">
        <v>196</v>
      </c>
      <c r="BA12" s="20" t="s">
        <v>196</v>
      </c>
      <c r="BB12" s="20" t="s">
        <v>196</v>
      </c>
      <c r="BC12" s="20" t="s">
        <v>196</v>
      </c>
      <c r="BD12" s="20">
        <v>0</v>
      </c>
      <c r="BE12" s="20">
        <v>0</v>
      </c>
      <c r="BF12" s="20">
        <v>0</v>
      </c>
      <c r="BG12" s="20">
        <v>0</v>
      </c>
      <c r="BH12" s="20">
        <v>0</v>
      </c>
      <c r="BI12" s="20">
        <v>0</v>
      </c>
      <c r="BJ12" s="20">
        <v>0</v>
      </c>
      <c r="BK12" s="20" t="s">
        <v>196</v>
      </c>
      <c r="BL12" s="20" t="s">
        <v>196</v>
      </c>
      <c r="BM12" s="20" t="s">
        <v>196</v>
      </c>
      <c r="BN12" s="20" t="s">
        <v>196</v>
      </c>
      <c r="BO12" s="20" t="s">
        <v>196</v>
      </c>
      <c r="BP12" s="20" t="s">
        <v>196</v>
      </c>
      <c r="BQ12" s="20" t="s">
        <v>196</v>
      </c>
      <c r="BR12" s="20" t="s">
        <v>196</v>
      </c>
      <c r="BS12" s="20" t="s">
        <v>196</v>
      </c>
      <c r="BT12" s="20" t="s">
        <v>196</v>
      </c>
      <c r="BU12" s="20" t="s">
        <v>196</v>
      </c>
      <c r="BV12" s="20" t="s">
        <v>196</v>
      </c>
      <c r="BW12" s="20" t="s">
        <v>196</v>
      </c>
      <c r="BX12" s="20" t="s">
        <v>196</v>
      </c>
      <c r="BY12" s="20" t="s">
        <v>196</v>
      </c>
      <c r="BZ12" s="20" t="s">
        <v>196</v>
      </c>
      <c r="CA12" s="20" t="s">
        <v>196</v>
      </c>
      <c r="CB12" s="20" t="s">
        <v>196</v>
      </c>
      <c r="CC12" s="20" t="s">
        <v>196</v>
      </c>
      <c r="CD12" s="20" t="s">
        <v>196</v>
      </c>
      <c r="CE12" s="20" t="s">
        <v>196</v>
      </c>
      <c r="CF12" s="20" t="s">
        <v>196</v>
      </c>
      <c r="CG12" s="20" t="s">
        <v>196</v>
      </c>
      <c r="CH12" s="20" t="s">
        <v>196</v>
      </c>
      <c r="CI12" s="20" t="s">
        <v>196</v>
      </c>
      <c r="CJ12" s="20" t="s">
        <v>196</v>
      </c>
      <c r="CK12" s="20" t="s">
        <v>196</v>
      </c>
      <c r="CL12" s="20" t="s">
        <v>196</v>
      </c>
      <c r="CM12" s="20" t="s">
        <v>196</v>
      </c>
      <c r="CN12" s="20" t="s">
        <v>196</v>
      </c>
      <c r="CO12" s="20" t="s">
        <v>196</v>
      </c>
      <c r="CP12" s="20" t="s">
        <v>196</v>
      </c>
      <c r="CQ12" s="20" t="s">
        <v>196</v>
      </c>
      <c r="CR12" s="20" t="s">
        <v>196</v>
      </c>
      <c r="CS12" s="20" t="s">
        <v>196</v>
      </c>
      <c r="CT12" s="20" t="s">
        <v>196</v>
      </c>
      <c r="CU12" s="20" t="s">
        <v>196</v>
      </c>
      <c r="CV12" s="20">
        <v>118261</v>
      </c>
      <c r="CW12" s="20">
        <v>921</v>
      </c>
      <c r="CX12" s="20">
        <v>526</v>
      </c>
      <c r="CY12" s="20">
        <v>147</v>
      </c>
      <c r="CZ12" s="20">
        <v>0</v>
      </c>
      <c r="DA12" s="20">
        <v>9</v>
      </c>
      <c r="DB12" s="20">
        <v>5</v>
      </c>
      <c r="DC12" s="20">
        <v>7</v>
      </c>
      <c r="DD12" s="20">
        <v>7</v>
      </c>
      <c r="DE12" s="20">
        <v>0</v>
      </c>
      <c r="DF12" s="20">
        <v>10</v>
      </c>
      <c r="DG12" s="20">
        <v>9</v>
      </c>
      <c r="DH12" s="20">
        <v>5</v>
      </c>
      <c r="DI12" s="20">
        <v>7</v>
      </c>
      <c r="DJ12" s="20">
        <v>7</v>
      </c>
      <c r="DK12" s="20">
        <v>0</v>
      </c>
      <c r="DL12" s="20">
        <v>9</v>
      </c>
      <c r="DM12" s="20">
        <v>5</v>
      </c>
      <c r="DN12" s="20">
        <v>7</v>
      </c>
      <c r="DO12" s="20">
        <v>7</v>
      </c>
      <c r="DP12" s="20">
        <v>0</v>
      </c>
      <c r="DQ12" s="20">
        <v>118261</v>
      </c>
      <c r="DR12" s="20">
        <v>921</v>
      </c>
      <c r="DS12" s="20">
        <v>526</v>
      </c>
      <c r="DT12" s="20">
        <v>147</v>
      </c>
      <c r="DU12" s="20">
        <v>0</v>
      </c>
      <c r="DV12" s="20" t="s">
        <v>196</v>
      </c>
      <c r="DW12" s="20" t="s">
        <v>196</v>
      </c>
      <c r="DX12" s="20" t="s">
        <v>196</v>
      </c>
      <c r="DY12" s="20" t="s">
        <v>196</v>
      </c>
      <c r="DZ12" s="20" t="s">
        <v>196</v>
      </c>
      <c r="EA12" s="20" t="s">
        <v>196</v>
      </c>
      <c r="EB12" s="20" t="s">
        <v>196</v>
      </c>
      <c r="EC12" s="20" t="s">
        <v>196</v>
      </c>
      <c r="ED12" s="20" t="s">
        <v>196</v>
      </c>
      <c r="EE12" s="20" t="s">
        <v>196</v>
      </c>
      <c r="EF12" s="20" t="s">
        <v>196</v>
      </c>
      <c r="EG12" s="20" t="s">
        <v>196</v>
      </c>
      <c r="EH12" s="20" t="s">
        <v>196</v>
      </c>
      <c r="EI12" s="20" t="s">
        <v>196</v>
      </c>
      <c r="EJ12" s="20" t="s">
        <v>196</v>
      </c>
      <c r="EK12" s="20">
        <v>9</v>
      </c>
      <c r="EL12" s="20">
        <v>9</v>
      </c>
      <c r="EM12" s="20">
        <v>9</v>
      </c>
      <c r="EN12" s="20">
        <v>9</v>
      </c>
      <c r="EO12" s="20">
        <v>1</v>
      </c>
      <c r="EP12" s="20">
        <v>10.061781</v>
      </c>
      <c r="EQ12" s="20">
        <v>46269</v>
      </c>
      <c r="ER12" s="20">
        <v>24196</v>
      </c>
      <c r="ES12" s="20">
        <v>11818</v>
      </c>
      <c r="ET12" s="20">
        <v>5317</v>
      </c>
      <c r="EU12" s="20">
        <v>2461</v>
      </c>
      <c r="EV12" s="20">
        <v>1232</v>
      </c>
      <c r="EW12" s="20">
        <v>657</v>
      </c>
      <c r="EX12" s="20">
        <v>407</v>
      </c>
      <c r="EY12" s="20">
        <v>275</v>
      </c>
      <c r="EZ12" s="20">
        <v>193</v>
      </c>
      <c r="FA12" s="20">
        <v>153</v>
      </c>
      <c r="FB12" s="20">
        <v>129</v>
      </c>
      <c r="FC12" s="20">
        <v>110</v>
      </c>
      <c r="FD12" s="20">
        <v>99</v>
      </c>
      <c r="FE12" s="20">
        <v>85</v>
      </c>
      <c r="FF12" s="20">
        <v>78</v>
      </c>
      <c r="FG12" s="20">
        <v>70</v>
      </c>
      <c r="FH12" s="20">
        <v>63</v>
      </c>
      <c r="FI12" s="20">
        <v>59</v>
      </c>
      <c r="FJ12" s="20">
        <v>53</v>
      </c>
      <c r="FK12" s="20">
        <v>46</v>
      </c>
      <c r="FL12" s="20">
        <v>44</v>
      </c>
      <c r="FM12" s="20">
        <v>41</v>
      </c>
      <c r="FN12" s="20">
        <v>36</v>
      </c>
      <c r="FO12" s="20">
        <v>32</v>
      </c>
      <c r="FP12" s="20">
        <v>29</v>
      </c>
      <c r="FQ12" s="20">
        <v>27</v>
      </c>
      <c r="FR12" s="20">
        <v>9</v>
      </c>
      <c r="FS12" s="20">
        <v>3</v>
      </c>
      <c r="FT12" s="22">
        <v>0</v>
      </c>
    </row>
    <row r="13" spans="1:176" x14ac:dyDescent="0.4">
      <c r="A13">
        <v>0</v>
      </c>
      <c r="AG13" s="21" t="s">
        <v>196</v>
      </c>
      <c r="AH13" s="21" t="s">
        <v>196</v>
      </c>
      <c r="AI13" s="21" t="s">
        <v>196</v>
      </c>
      <c r="AJ13" s="21" t="s">
        <v>196</v>
      </c>
      <c r="AK13" s="21" t="s">
        <v>196</v>
      </c>
      <c r="AL13" s="21" t="s">
        <v>196</v>
      </c>
      <c r="AM13" s="21" t="s">
        <v>196</v>
      </c>
      <c r="AN13" s="21" t="s">
        <v>196</v>
      </c>
      <c r="AO13" s="21" t="s">
        <v>196</v>
      </c>
      <c r="AP13" s="21" t="s">
        <v>196</v>
      </c>
      <c r="AQ13" s="21" t="s">
        <v>196</v>
      </c>
      <c r="AR13" s="21" t="s">
        <v>196</v>
      </c>
      <c r="AS13" s="21" t="s">
        <v>196</v>
      </c>
      <c r="AT13" s="21" t="s">
        <v>196</v>
      </c>
      <c r="AU13" s="21" t="s">
        <v>196</v>
      </c>
      <c r="AV13" s="21" t="s">
        <v>196</v>
      </c>
      <c r="AW13" s="21" t="s">
        <v>196</v>
      </c>
      <c r="AX13" s="21" t="s">
        <v>196</v>
      </c>
      <c r="AY13" s="21" t="s">
        <v>196</v>
      </c>
      <c r="AZ13" s="21" t="s">
        <v>196</v>
      </c>
      <c r="BA13" s="21" t="s">
        <v>196</v>
      </c>
      <c r="BB13" s="21" t="s">
        <v>196</v>
      </c>
      <c r="BC13" s="21" t="s">
        <v>196</v>
      </c>
      <c r="BD13" s="21">
        <v>0</v>
      </c>
      <c r="BE13" s="21">
        <v>0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  <c r="BK13" s="21" t="s">
        <v>196</v>
      </c>
      <c r="BL13" s="21" t="s">
        <v>196</v>
      </c>
      <c r="BM13" s="21" t="s">
        <v>196</v>
      </c>
      <c r="BN13" s="21" t="s">
        <v>196</v>
      </c>
      <c r="BO13" s="21" t="s">
        <v>196</v>
      </c>
      <c r="BP13" s="21" t="s">
        <v>196</v>
      </c>
      <c r="BQ13" s="21" t="s">
        <v>196</v>
      </c>
      <c r="BR13" s="21" t="s">
        <v>196</v>
      </c>
      <c r="BS13" s="21" t="s">
        <v>196</v>
      </c>
      <c r="BT13" s="21" t="s">
        <v>196</v>
      </c>
      <c r="BU13" s="21" t="s">
        <v>196</v>
      </c>
      <c r="BV13" s="21" t="s">
        <v>196</v>
      </c>
      <c r="BW13" s="21" t="s">
        <v>196</v>
      </c>
      <c r="BX13" s="21" t="s">
        <v>196</v>
      </c>
      <c r="BY13" s="21" t="s">
        <v>196</v>
      </c>
      <c r="BZ13" s="21" t="s">
        <v>196</v>
      </c>
      <c r="CA13" s="21" t="s">
        <v>196</v>
      </c>
      <c r="CB13" s="21" t="s">
        <v>196</v>
      </c>
      <c r="CC13" s="21" t="s">
        <v>196</v>
      </c>
      <c r="CD13" s="21" t="s">
        <v>196</v>
      </c>
      <c r="CE13" s="21" t="s">
        <v>196</v>
      </c>
      <c r="CF13" s="21" t="s">
        <v>196</v>
      </c>
      <c r="CG13" s="21" t="s">
        <v>196</v>
      </c>
      <c r="CH13" s="21" t="s">
        <v>196</v>
      </c>
      <c r="CI13" s="21" t="s">
        <v>196</v>
      </c>
      <c r="CJ13" s="21" t="s">
        <v>196</v>
      </c>
      <c r="CK13" s="21" t="s">
        <v>196</v>
      </c>
      <c r="CL13" s="21" t="s">
        <v>196</v>
      </c>
      <c r="CM13" s="21" t="s">
        <v>196</v>
      </c>
      <c r="CN13" s="21" t="s">
        <v>196</v>
      </c>
      <c r="CO13" s="21" t="s">
        <v>196</v>
      </c>
      <c r="CP13" s="21" t="s">
        <v>196</v>
      </c>
      <c r="CQ13" s="21" t="s">
        <v>196</v>
      </c>
      <c r="CR13" s="21" t="s">
        <v>196</v>
      </c>
      <c r="CS13" s="21" t="s">
        <v>196</v>
      </c>
      <c r="CT13" s="21" t="s">
        <v>196</v>
      </c>
      <c r="CU13" s="21" t="s">
        <v>196</v>
      </c>
      <c r="CV13" s="21">
        <v>117309</v>
      </c>
      <c r="CW13" s="21">
        <v>930</v>
      </c>
      <c r="CX13" s="21">
        <v>353</v>
      </c>
      <c r="CY13" s="21">
        <v>138</v>
      </c>
      <c r="CZ13" s="21">
        <v>50</v>
      </c>
      <c r="DA13" s="21">
        <v>9</v>
      </c>
      <c r="DB13" s="21">
        <v>5</v>
      </c>
      <c r="DC13" s="21">
        <v>6</v>
      </c>
      <c r="DD13" s="21">
        <v>7</v>
      </c>
      <c r="DE13" s="21">
        <v>8</v>
      </c>
      <c r="DF13" s="21">
        <v>10</v>
      </c>
      <c r="DG13" s="21">
        <v>9</v>
      </c>
      <c r="DH13" s="21">
        <v>5</v>
      </c>
      <c r="DI13" s="21">
        <v>6</v>
      </c>
      <c r="DJ13" s="21">
        <v>7</v>
      </c>
      <c r="DK13" s="21">
        <v>8</v>
      </c>
      <c r="DL13" s="21">
        <v>9</v>
      </c>
      <c r="DM13" s="21">
        <v>5</v>
      </c>
      <c r="DN13" s="21">
        <v>6</v>
      </c>
      <c r="DO13" s="21">
        <v>7</v>
      </c>
      <c r="DP13" s="21">
        <v>8</v>
      </c>
      <c r="DQ13" s="21">
        <v>117309</v>
      </c>
      <c r="DR13" s="21">
        <v>930</v>
      </c>
      <c r="DS13" s="21">
        <v>353</v>
      </c>
      <c r="DT13" s="21">
        <v>138</v>
      </c>
      <c r="DU13" s="21">
        <v>50</v>
      </c>
      <c r="DV13" s="21" t="s">
        <v>196</v>
      </c>
      <c r="DW13" s="21" t="s">
        <v>196</v>
      </c>
      <c r="DX13" s="21" t="s">
        <v>196</v>
      </c>
      <c r="DY13" s="21" t="s">
        <v>196</v>
      </c>
      <c r="DZ13" s="21" t="s">
        <v>196</v>
      </c>
      <c r="EA13" s="21" t="s">
        <v>196</v>
      </c>
      <c r="EB13" s="21" t="s">
        <v>196</v>
      </c>
      <c r="EC13" s="21" t="s">
        <v>196</v>
      </c>
      <c r="ED13" s="21" t="s">
        <v>196</v>
      </c>
      <c r="EE13" s="21" t="s">
        <v>196</v>
      </c>
      <c r="EF13" s="21" t="s">
        <v>196</v>
      </c>
      <c r="EG13" s="21" t="s">
        <v>196</v>
      </c>
      <c r="EH13" s="21" t="s">
        <v>196</v>
      </c>
      <c r="EI13" s="21" t="s">
        <v>196</v>
      </c>
      <c r="EJ13" s="21" t="s">
        <v>196</v>
      </c>
      <c r="EK13" s="21">
        <v>9</v>
      </c>
      <c r="EL13" s="21">
        <v>9</v>
      </c>
      <c r="EM13" s="21">
        <v>9</v>
      </c>
      <c r="EN13" s="21">
        <v>9</v>
      </c>
      <c r="EO13" s="21">
        <v>2</v>
      </c>
      <c r="EP13" s="21">
        <v>10.334838</v>
      </c>
      <c r="EQ13" s="21">
        <v>47275</v>
      </c>
      <c r="ER13" s="21">
        <v>24790</v>
      </c>
      <c r="ES13" s="21">
        <v>12030</v>
      </c>
      <c r="ET13" s="21">
        <v>5385</v>
      </c>
      <c r="EU13" s="21">
        <v>2456</v>
      </c>
      <c r="EV13" s="21">
        <v>1173</v>
      </c>
      <c r="EW13" s="21">
        <v>610</v>
      </c>
      <c r="EX13" s="21">
        <v>373</v>
      </c>
      <c r="EY13" s="21">
        <v>253</v>
      </c>
      <c r="EZ13" s="21">
        <v>179</v>
      </c>
      <c r="FA13" s="21">
        <v>145</v>
      </c>
      <c r="FB13" s="21">
        <v>117</v>
      </c>
      <c r="FC13" s="21">
        <v>96</v>
      </c>
      <c r="FD13" s="21">
        <v>80</v>
      </c>
      <c r="FE13" s="21">
        <v>67</v>
      </c>
      <c r="FF13" s="21">
        <v>64</v>
      </c>
      <c r="FG13" s="21">
        <v>57</v>
      </c>
      <c r="FH13" s="21">
        <v>52</v>
      </c>
      <c r="FI13" s="21">
        <v>46</v>
      </c>
      <c r="FJ13" s="21">
        <v>42</v>
      </c>
      <c r="FK13" s="21">
        <v>39</v>
      </c>
      <c r="FL13" s="21">
        <v>37</v>
      </c>
      <c r="FM13" s="21">
        <v>33</v>
      </c>
      <c r="FN13" s="21">
        <v>32</v>
      </c>
      <c r="FO13" s="21">
        <v>28</v>
      </c>
      <c r="FP13" s="21">
        <v>26</v>
      </c>
      <c r="FQ13" s="21">
        <v>21</v>
      </c>
      <c r="FR13" s="21">
        <v>15</v>
      </c>
      <c r="FS13" s="21">
        <v>7</v>
      </c>
      <c r="FT13" s="23">
        <v>4</v>
      </c>
    </row>
    <row r="14" spans="1:176" x14ac:dyDescent="0.4">
      <c r="A14">
        <v>1</v>
      </c>
      <c r="AG14" s="20" t="s">
        <v>196</v>
      </c>
      <c r="AH14" s="20" t="s">
        <v>196</v>
      </c>
      <c r="AI14" s="20" t="s">
        <v>196</v>
      </c>
      <c r="AJ14" s="20" t="s">
        <v>196</v>
      </c>
      <c r="AK14" s="20" t="s">
        <v>196</v>
      </c>
      <c r="AL14" s="20" t="s">
        <v>196</v>
      </c>
      <c r="AM14" s="20" t="s">
        <v>196</v>
      </c>
      <c r="AN14" s="20" t="s">
        <v>196</v>
      </c>
      <c r="AO14" s="20" t="s">
        <v>196</v>
      </c>
      <c r="AP14" s="20" t="s">
        <v>196</v>
      </c>
      <c r="AQ14" s="20" t="s">
        <v>196</v>
      </c>
      <c r="AR14" s="20" t="s">
        <v>196</v>
      </c>
      <c r="AS14" s="20" t="s">
        <v>196</v>
      </c>
      <c r="AT14" s="20" t="s">
        <v>196</v>
      </c>
      <c r="AU14" s="20" t="s">
        <v>196</v>
      </c>
      <c r="AV14" s="20" t="s">
        <v>196</v>
      </c>
      <c r="AW14" s="20" t="s">
        <v>196</v>
      </c>
      <c r="AX14" s="20" t="s">
        <v>196</v>
      </c>
      <c r="AY14" s="20" t="s">
        <v>196</v>
      </c>
      <c r="AZ14" s="20" t="s">
        <v>196</v>
      </c>
      <c r="BA14" s="20" t="s">
        <v>196</v>
      </c>
      <c r="BB14" s="20" t="s">
        <v>196</v>
      </c>
      <c r="BC14" s="20" t="s">
        <v>196</v>
      </c>
      <c r="BD14" s="20">
        <v>0</v>
      </c>
      <c r="BE14" s="20">
        <v>0</v>
      </c>
      <c r="BF14" s="20">
        <v>0</v>
      </c>
      <c r="BG14" s="20">
        <v>0</v>
      </c>
      <c r="BH14" s="20">
        <v>0</v>
      </c>
      <c r="BI14" s="20">
        <v>0</v>
      </c>
      <c r="BJ14" s="20">
        <v>0</v>
      </c>
      <c r="BK14" s="20" t="s">
        <v>196</v>
      </c>
      <c r="BL14" s="20" t="s">
        <v>196</v>
      </c>
      <c r="BM14" s="20" t="s">
        <v>196</v>
      </c>
      <c r="BN14" s="20" t="s">
        <v>196</v>
      </c>
      <c r="BO14" s="20" t="s">
        <v>196</v>
      </c>
      <c r="BP14" s="20" t="s">
        <v>196</v>
      </c>
      <c r="BQ14" s="20" t="s">
        <v>196</v>
      </c>
      <c r="BR14" s="20" t="s">
        <v>196</v>
      </c>
      <c r="BS14" s="20" t="s">
        <v>196</v>
      </c>
      <c r="BT14" s="20" t="s">
        <v>196</v>
      </c>
      <c r="BU14" s="20" t="s">
        <v>196</v>
      </c>
      <c r="BV14" s="20" t="s">
        <v>196</v>
      </c>
      <c r="BW14" s="20" t="s">
        <v>196</v>
      </c>
      <c r="BX14" s="20" t="s">
        <v>196</v>
      </c>
      <c r="BY14" s="20" t="s">
        <v>196</v>
      </c>
      <c r="BZ14" s="20" t="s">
        <v>196</v>
      </c>
      <c r="CA14" s="20" t="s">
        <v>196</v>
      </c>
      <c r="CB14" s="20" t="s">
        <v>196</v>
      </c>
      <c r="CC14" s="20" t="s">
        <v>196</v>
      </c>
      <c r="CD14" s="20" t="s">
        <v>196</v>
      </c>
      <c r="CE14" s="20" t="s">
        <v>196</v>
      </c>
      <c r="CF14" s="20" t="s">
        <v>196</v>
      </c>
      <c r="CG14" s="20" t="s">
        <v>196</v>
      </c>
      <c r="CH14" s="20" t="s">
        <v>196</v>
      </c>
      <c r="CI14" s="20" t="s">
        <v>196</v>
      </c>
      <c r="CJ14" s="20" t="s">
        <v>196</v>
      </c>
      <c r="CK14" s="20" t="s">
        <v>196</v>
      </c>
      <c r="CL14" s="20" t="s">
        <v>196</v>
      </c>
      <c r="CM14" s="20" t="s">
        <v>196</v>
      </c>
      <c r="CN14" s="20" t="s">
        <v>196</v>
      </c>
      <c r="CO14" s="20" t="s">
        <v>196</v>
      </c>
      <c r="CP14" s="20" t="s">
        <v>196</v>
      </c>
      <c r="CQ14" s="20" t="s">
        <v>196</v>
      </c>
      <c r="CR14" s="20" t="s">
        <v>196</v>
      </c>
      <c r="CS14" s="20" t="s">
        <v>196</v>
      </c>
      <c r="CT14" s="20" t="s">
        <v>196</v>
      </c>
      <c r="CU14" s="20" t="s">
        <v>196</v>
      </c>
      <c r="CV14" s="20">
        <v>115510</v>
      </c>
      <c r="CW14" s="20">
        <v>785</v>
      </c>
      <c r="CX14" s="20">
        <v>386</v>
      </c>
      <c r="CY14" s="20">
        <v>87</v>
      </c>
      <c r="CZ14" s="20">
        <v>12</v>
      </c>
      <c r="DA14" s="20">
        <v>9</v>
      </c>
      <c r="DB14" s="20">
        <v>5</v>
      </c>
      <c r="DC14" s="20">
        <v>6</v>
      </c>
      <c r="DD14" s="20">
        <v>6</v>
      </c>
      <c r="DE14" s="20">
        <v>6</v>
      </c>
      <c r="DF14" s="20">
        <v>10</v>
      </c>
      <c r="DG14" s="20">
        <v>9</v>
      </c>
      <c r="DH14" s="20">
        <v>5</v>
      </c>
      <c r="DI14" s="20">
        <v>6</v>
      </c>
      <c r="DJ14" s="20">
        <v>6</v>
      </c>
      <c r="DK14" s="20">
        <v>6</v>
      </c>
      <c r="DL14" s="20">
        <v>9</v>
      </c>
      <c r="DM14" s="20">
        <v>5</v>
      </c>
      <c r="DN14" s="20">
        <v>6</v>
      </c>
      <c r="DO14" s="20">
        <v>6</v>
      </c>
      <c r="DP14" s="20">
        <v>6</v>
      </c>
      <c r="DQ14" s="20">
        <v>115510</v>
      </c>
      <c r="DR14" s="20">
        <v>785</v>
      </c>
      <c r="DS14" s="20">
        <v>386</v>
      </c>
      <c r="DT14" s="20">
        <v>87</v>
      </c>
      <c r="DU14" s="20">
        <v>12</v>
      </c>
      <c r="DV14" s="20" t="s">
        <v>196</v>
      </c>
      <c r="DW14" s="20" t="s">
        <v>196</v>
      </c>
      <c r="DX14" s="20" t="s">
        <v>196</v>
      </c>
      <c r="DY14" s="20" t="s">
        <v>196</v>
      </c>
      <c r="DZ14" s="20" t="s">
        <v>196</v>
      </c>
      <c r="EA14" s="20" t="s">
        <v>196</v>
      </c>
      <c r="EB14" s="20" t="s">
        <v>196</v>
      </c>
      <c r="EC14" s="20" t="s">
        <v>196</v>
      </c>
      <c r="ED14" s="20" t="s">
        <v>196</v>
      </c>
      <c r="EE14" s="20" t="s">
        <v>196</v>
      </c>
      <c r="EF14" s="20" t="s">
        <v>196</v>
      </c>
      <c r="EG14" s="20" t="s">
        <v>196</v>
      </c>
      <c r="EH14" s="20" t="s">
        <v>196</v>
      </c>
      <c r="EI14" s="20" t="s">
        <v>196</v>
      </c>
      <c r="EJ14" s="20" t="s">
        <v>196</v>
      </c>
      <c r="EK14" s="20">
        <v>9</v>
      </c>
      <c r="EL14" s="20">
        <v>9</v>
      </c>
      <c r="EM14" s="20">
        <v>9</v>
      </c>
      <c r="EN14" s="20">
        <v>9</v>
      </c>
      <c r="EO14" s="20">
        <v>3</v>
      </c>
      <c r="EP14" s="20">
        <v>10.402061</v>
      </c>
      <c r="EQ14" s="20">
        <v>46841</v>
      </c>
      <c r="ER14" s="20">
        <v>24643</v>
      </c>
      <c r="ES14" s="20">
        <v>11905</v>
      </c>
      <c r="ET14" s="20">
        <v>5322</v>
      </c>
      <c r="EU14" s="20">
        <v>2394</v>
      </c>
      <c r="EV14" s="20">
        <v>1103</v>
      </c>
      <c r="EW14" s="20">
        <v>558</v>
      </c>
      <c r="EX14" s="20">
        <v>338</v>
      </c>
      <c r="EY14" s="20">
        <v>214</v>
      </c>
      <c r="EZ14" s="20">
        <v>159</v>
      </c>
      <c r="FA14" s="20">
        <v>126</v>
      </c>
      <c r="FB14" s="20">
        <v>101</v>
      </c>
      <c r="FC14" s="20">
        <v>88</v>
      </c>
      <c r="FD14" s="20">
        <v>76</v>
      </c>
      <c r="FE14" s="20">
        <v>67</v>
      </c>
      <c r="FF14" s="20">
        <v>60</v>
      </c>
      <c r="FG14" s="20">
        <v>56</v>
      </c>
      <c r="FH14" s="20">
        <v>47</v>
      </c>
      <c r="FI14" s="20">
        <v>45</v>
      </c>
      <c r="FJ14" s="20">
        <v>38</v>
      </c>
      <c r="FK14" s="20">
        <v>35</v>
      </c>
      <c r="FL14" s="20">
        <v>33</v>
      </c>
      <c r="FM14" s="20">
        <v>32</v>
      </c>
      <c r="FN14" s="20">
        <v>24</v>
      </c>
      <c r="FO14" s="20">
        <v>20</v>
      </c>
      <c r="FP14" s="20">
        <v>19</v>
      </c>
      <c r="FQ14" s="20">
        <v>17</v>
      </c>
      <c r="FR14" s="20">
        <v>7</v>
      </c>
      <c r="FS14" s="20">
        <v>3</v>
      </c>
      <c r="FT14" s="22">
        <v>1</v>
      </c>
    </row>
    <row r="15" spans="1:176" x14ac:dyDescent="0.4">
      <c r="A15">
        <v>2</v>
      </c>
      <c r="AG15" s="21" t="s">
        <v>196</v>
      </c>
      <c r="AH15" s="21" t="s">
        <v>196</v>
      </c>
      <c r="AI15" s="21" t="s">
        <v>196</v>
      </c>
      <c r="AJ15" s="21" t="s">
        <v>196</v>
      </c>
      <c r="AK15" s="21" t="s">
        <v>196</v>
      </c>
      <c r="AL15" s="21" t="s">
        <v>196</v>
      </c>
      <c r="AM15" s="21" t="s">
        <v>196</v>
      </c>
      <c r="AN15" s="21" t="s">
        <v>196</v>
      </c>
      <c r="AO15" s="21" t="s">
        <v>196</v>
      </c>
      <c r="AP15" s="21" t="s">
        <v>196</v>
      </c>
      <c r="AQ15" s="21" t="s">
        <v>196</v>
      </c>
      <c r="AR15" s="21" t="s">
        <v>196</v>
      </c>
      <c r="AS15" s="21" t="s">
        <v>196</v>
      </c>
      <c r="AT15" s="21" t="s">
        <v>196</v>
      </c>
      <c r="AU15" s="21" t="s">
        <v>196</v>
      </c>
      <c r="AV15" s="21" t="s">
        <v>196</v>
      </c>
      <c r="AW15" s="21" t="s">
        <v>196</v>
      </c>
      <c r="AX15" s="21" t="s">
        <v>196</v>
      </c>
      <c r="AY15" s="21" t="s">
        <v>196</v>
      </c>
      <c r="AZ15" s="21" t="s">
        <v>196</v>
      </c>
      <c r="BA15" s="21" t="s">
        <v>196</v>
      </c>
      <c r="BB15" s="21" t="s">
        <v>196</v>
      </c>
      <c r="BC15" s="21" t="s">
        <v>196</v>
      </c>
      <c r="BD15" s="21">
        <v>0</v>
      </c>
      <c r="BE15" s="21">
        <v>0</v>
      </c>
      <c r="BF15" s="21">
        <v>0</v>
      </c>
      <c r="BG15" s="21">
        <v>0</v>
      </c>
      <c r="BH15" s="21">
        <v>0</v>
      </c>
      <c r="BI15" s="21">
        <v>0</v>
      </c>
      <c r="BJ15" s="21">
        <v>0</v>
      </c>
      <c r="BK15" s="21" t="s">
        <v>196</v>
      </c>
      <c r="BL15" s="21" t="s">
        <v>196</v>
      </c>
      <c r="BM15" s="21" t="s">
        <v>196</v>
      </c>
      <c r="BN15" s="21" t="s">
        <v>196</v>
      </c>
      <c r="BO15" s="21" t="s">
        <v>196</v>
      </c>
      <c r="BP15" s="21" t="s">
        <v>196</v>
      </c>
      <c r="BQ15" s="21" t="s">
        <v>196</v>
      </c>
      <c r="BR15" s="21" t="s">
        <v>196</v>
      </c>
      <c r="BS15" s="21" t="s">
        <v>196</v>
      </c>
      <c r="BT15" s="21" t="s">
        <v>196</v>
      </c>
      <c r="BU15" s="21" t="s">
        <v>196</v>
      </c>
      <c r="BV15" s="21" t="s">
        <v>196</v>
      </c>
      <c r="BW15" s="21" t="s">
        <v>196</v>
      </c>
      <c r="BX15" s="21" t="s">
        <v>196</v>
      </c>
      <c r="BY15" s="21" t="s">
        <v>196</v>
      </c>
      <c r="BZ15" s="21" t="s">
        <v>196</v>
      </c>
      <c r="CA15" s="21" t="s">
        <v>196</v>
      </c>
      <c r="CB15" s="21" t="s">
        <v>196</v>
      </c>
      <c r="CC15" s="21" t="s">
        <v>196</v>
      </c>
      <c r="CD15" s="21" t="s">
        <v>196</v>
      </c>
      <c r="CE15" s="21" t="s">
        <v>196</v>
      </c>
      <c r="CF15" s="21" t="s">
        <v>196</v>
      </c>
      <c r="CG15" s="21" t="s">
        <v>196</v>
      </c>
      <c r="CH15" s="21" t="s">
        <v>196</v>
      </c>
      <c r="CI15" s="21" t="s">
        <v>196</v>
      </c>
      <c r="CJ15" s="21" t="s">
        <v>196</v>
      </c>
      <c r="CK15" s="21" t="s">
        <v>196</v>
      </c>
      <c r="CL15" s="21" t="s">
        <v>196</v>
      </c>
      <c r="CM15" s="21" t="s">
        <v>196</v>
      </c>
      <c r="CN15" s="21" t="s">
        <v>196</v>
      </c>
      <c r="CO15" s="21" t="s">
        <v>196</v>
      </c>
      <c r="CP15" s="21" t="s">
        <v>196</v>
      </c>
      <c r="CQ15" s="21" t="s">
        <v>196</v>
      </c>
      <c r="CR15" s="21" t="s">
        <v>196</v>
      </c>
      <c r="CS15" s="21" t="s">
        <v>196</v>
      </c>
      <c r="CT15" s="21" t="s">
        <v>196</v>
      </c>
      <c r="CU15" s="21" t="s">
        <v>196</v>
      </c>
      <c r="CV15" s="21">
        <v>113609</v>
      </c>
      <c r="CW15" s="21">
        <v>794</v>
      </c>
      <c r="CX15" s="21">
        <v>312</v>
      </c>
      <c r="CY15" s="21">
        <v>108</v>
      </c>
      <c r="CZ15" s="21">
        <v>12</v>
      </c>
      <c r="DA15" s="21">
        <v>9</v>
      </c>
      <c r="DB15" s="21">
        <v>5</v>
      </c>
      <c r="DC15" s="21">
        <v>6</v>
      </c>
      <c r="DD15" s="21">
        <v>7</v>
      </c>
      <c r="DE15" s="21">
        <v>6</v>
      </c>
      <c r="DF15" s="21">
        <v>10</v>
      </c>
      <c r="DG15" s="21">
        <v>9</v>
      </c>
      <c r="DH15" s="21">
        <v>5</v>
      </c>
      <c r="DI15" s="21">
        <v>6</v>
      </c>
      <c r="DJ15" s="21">
        <v>7</v>
      </c>
      <c r="DK15" s="21">
        <v>6</v>
      </c>
      <c r="DL15" s="21">
        <v>9</v>
      </c>
      <c r="DM15" s="21">
        <v>5</v>
      </c>
      <c r="DN15" s="21">
        <v>6</v>
      </c>
      <c r="DO15" s="21">
        <v>7</v>
      </c>
      <c r="DP15" s="21">
        <v>6</v>
      </c>
      <c r="DQ15" s="21">
        <v>113609</v>
      </c>
      <c r="DR15" s="21">
        <v>794</v>
      </c>
      <c r="DS15" s="21">
        <v>312</v>
      </c>
      <c r="DT15" s="21">
        <v>108</v>
      </c>
      <c r="DU15" s="21">
        <v>12</v>
      </c>
      <c r="DV15" s="21" t="s">
        <v>196</v>
      </c>
      <c r="DW15" s="21" t="s">
        <v>196</v>
      </c>
      <c r="DX15" s="21" t="s">
        <v>196</v>
      </c>
      <c r="DY15" s="21" t="s">
        <v>196</v>
      </c>
      <c r="DZ15" s="21" t="s">
        <v>196</v>
      </c>
      <c r="EA15" s="21" t="s">
        <v>196</v>
      </c>
      <c r="EB15" s="21" t="s">
        <v>196</v>
      </c>
      <c r="EC15" s="21" t="s">
        <v>196</v>
      </c>
      <c r="ED15" s="21" t="s">
        <v>196</v>
      </c>
      <c r="EE15" s="21" t="s">
        <v>196</v>
      </c>
      <c r="EF15" s="21" t="s">
        <v>196</v>
      </c>
      <c r="EG15" s="21" t="s">
        <v>196</v>
      </c>
      <c r="EH15" s="21" t="s">
        <v>196</v>
      </c>
      <c r="EI15" s="21" t="s">
        <v>196</v>
      </c>
      <c r="EJ15" s="21" t="s">
        <v>196</v>
      </c>
      <c r="EK15" s="21">
        <v>9</v>
      </c>
      <c r="EL15" s="21">
        <v>9</v>
      </c>
      <c r="EM15" s="21">
        <v>9</v>
      </c>
      <c r="EN15" s="21">
        <v>9</v>
      </c>
      <c r="EO15" s="21">
        <v>4</v>
      </c>
      <c r="EP15" s="21">
        <v>10.434303999999999</v>
      </c>
      <c r="EQ15" s="21">
        <v>45924</v>
      </c>
      <c r="ER15" s="21">
        <v>24236</v>
      </c>
      <c r="ES15" s="21">
        <v>11743</v>
      </c>
      <c r="ET15" s="21">
        <v>5160</v>
      </c>
      <c r="EU15" s="21">
        <v>2346</v>
      </c>
      <c r="EV15" s="21">
        <v>1118</v>
      </c>
      <c r="EW15" s="21">
        <v>588</v>
      </c>
      <c r="EX15" s="21">
        <v>350</v>
      </c>
      <c r="EY15" s="21">
        <v>224</v>
      </c>
      <c r="EZ15" s="21">
        <v>160</v>
      </c>
      <c r="FA15" s="21">
        <v>122</v>
      </c>
      <c r="FB15" s="21">
        <v>97</v>
      </c>
      <c r="FC15" s="21">
        <v>86</v>
      </c>
      <c r="FD15" s="21">
        <v>76</v>
      </c>
      <c r="FE15" s="21">
        <v>66</v>
      </c>
      <c r="FF15" s="21">
        <v>54</v>
      </c>
      <c r="FG15" s="21">
        <v>52</v>
      </c>
      <c r="FH15" s="21">
        <v>42</v>
      </c>
      <c r="FI15" s="21">
        <v>41</v>
      </c>
      <c r="FJ15" s="21">
        <v>35</v>
      </c>
      <c r="FK15" s="21">
        <v>33</v>
      </c>
      <c r="FL15" s="21">
        <v>31</v>
      </c>
      <c r="FM15" s="21">
        <v>29</v>
      </c>
      <c r="FN15" s="21">
        <v>26</v>
      </c>
      <c r="FO15" s="21">
        <v>24</v>
      </c>
      <c r="FP15" s="21">
        <v>20</v>
      </c>
      <c r="FQ15" s="21">
        <v>16</v>
      </c>
      <c r="FR15" s="21">
        <v>7</v>
      </c>
      <c r="FS15" s="21">
        <v>5</v>
      </c>
      <c r="FT15" s="23">
        <v>1</v>
      </c>
    </row>
    <row r="16" spans="1:176" x14ac:dyDescent="0.4">
      <c r="A16">
        <v>3</v>
      </c>
      <c r="AG16" s="20" t="s">
        <v>196</v>
      </c>
      <c r="AH16" s="20" t="s">
        <v>196</v>
      </c>
      <c r="AI16" s="20" t="s">
        <v>196</v>
      </c>
      <c r="AJ16" s="20" t="s">
        <v>196</v>
      </c>
      <c r="AK16" s="20" t="s">
        <v>196</v>
      </c>
      <c r="AL16" s="20" t="s">
        <v>196</v>
      </c>
      <c r="AM16" s="20" t="s">
        <v>196</v>
      </c>
      <c r="AN16" s="20" t="s">
        <v>196</v>
      </c>
      <c r="AO16" s="20" t="s">
        <v>196</v>
      </c>
      <c r="AP16" s="20" t="s">
        <v>196</v>
      </c>
      <c r="AQ16" s="20" t="s">
        <v>196</v>
      </c>
      <c r="AR16" s="20" t="s">
        <v>196</v>
      </c>
      <c r="AS16" s="20" t="s">
        <v>196</v>
      </c>
      <c r="AT16" s="20" t="s">
        <v>196</v>
      </c>
      <c r="AU16" s="20" t="s">
        <v>196</v>
      </c>
      <c r="AV16" s="20" t="s">
        <v>196</v>
      </c>
      <c r="AW16" s="20" t="s">
        <v>196</v>
      </c>
      <c r="AX16" s="20" t="s">
        <v>196</v>
      </c>
      <c r="AY16" s="20" t="s">
        <v>196</v>
      </c>
      <c r="AZ16" s="20" t="s">
        <v>196</v>
      </c>
      <c r="BA16" s="20" t="s">
        <v>196</v>
      </c>
      <c r="BB16" s="20" t="s">
        <v>196</v>
      </c>
      <c r="BC16" s="20" t="s">
        <v>196</v>
      </c>
      <c r="BD16" s="20">
        <v>0</v>
      </c>
      <c r="BE16" s="20">
        <v>0</v>
      </c>
      <c r="BF16" s="20">
        <v>0</v>
      </c>
      <c r="BG16" s="20">
        <v>0</v>
      </c>
      <c r="BH16" s="20">
        <v>0</v>
      </c>
      <c r="BI16" s="20">
        <v>0</v>
      </c>
      <c r="BJ16" s="20">
        <v>0</v>
      </c>
      <c r="BK16" s="20" t="s">
        <v>196</v>
      </c>
      <c r="BL16" s="20" t="s">
        <v>196</v>
      </c>
      <c r="BM16" s="20" t="s">
        <v>196</v>
      </c>
      <c r="BN16" s="20" t="s">
        <v>196</v>
      </c>
      <c r="BO16" s="20" t="s">
        <v>196</v>
      </c>
      <c r="BP16" s="20" t="s">
        <v>196</v>
      </c>
      <c r="BQ16" s="20" t="s">
        <v>196</v>
      </c>
      <c r="BR16" s="20" t="s">
        <v>196</v>
      </c>
      <c r="BS16" s="20" t="s">
        <v>196</v>
      </c>
      <c r="BT16" s="20" t="s">
        <v>196</v>
      </c>
      <c r="BU16" s="20" t="s">
        <v>196</v>
      </c>
      <c r="BV16" s="20" t="s">
        <v>196</v>
      </c>
      <c r="BW16" s="20" t="s">
        <v>196</v>
      </c>
      <c r="BX16" s="20" t="s">
        <v>196</v>
      </c>
      <c r="BY16" s="20" t="s">
        <v>196</v>
      </c>
      <c r="BZ16" s="20" t="s">
        <v>196</v>
      </c>
      <c r="CA16" s="20" t="s">
        <v>196</v>
      </c>
      <c r="CB16" s="20" t="s">
        <v>196</v>
      </c>
      <c r="CC16" s="20" t="s">
        <v>196</v>
      </c>
      <c r="CD16" s="20" t="s">
        <v>196</v>
      </c>
      <c r="CE16" s="20" t="s">
        <v>196</v>
      </c>
      <c r="CF16" s="20" t="s">
        <v>196</v>
      </c>
      <c r="CG16" s="20" t="s">
        <v>196</v>
      </c>
      <c r="CH16" s="20" t="s">
        <v>196</v>
      </c>
      <c r="CI16" s="20" t="s">
        <v>196</v>
      </c>
      <c r="CJ16" s="20" t="s">
        <v>196</v>
      </c>
      <c r="CK16" s="20" t="s">
        <v>196</v>
      </c>
      <c r="CL16" s="20" t="s">
        <v>196</v>
      </c>
      <c r="CM16" s="20" t="s">
        <v>196</v>
      </c>
      <c r="CN16" s="20" t="s">
        <v>196</v>
      </c>
      <c r="CO16" s="20" t="s">
        <v>196</v>
      </c>
      <c r="CP16" s="20" t="s">
        <v>196</v>
      </c>
      <c r="CQ16" s="20" t="s">
        <v>196</v>
      </c>
      <c r="CR16" s="20" t="s">
        <v>196</v>
      </c>
      <c r="CS16" s="20" t="s">
        <v>196</v>
      </c>
      <c r="CT16" s="20" t="s">
        <v>196</v>
      </c>
      <c r="CU16" s="20" t="s">
        <v>196</v>
      </c>
      <c r="CV16" s="20">
        <v>118950</v>
      </c>
      <c r="CW16" s="20">
        <v>754</v>
      </c>
      <c r="CX16" s="20">
        <v>380</v>
      </c>
      <c r="CY16" s="20">
        <v>88</v>
      </c>
      <c r="CZ16" s="20">
        <v>12</v>
      </c>
      <c r="DA16" s="20">
        <v>9</v>
      </c>
      <c r="DB16" s="20">
        <v>5</v>
      </c>
      <c r="DC16" s="20">
        <v>6</v>
      </c>
      <c r="DD16" s="20">
        <v>6</v>
      </c>
      <c r="DE16" s="20">
        <v>6</v>
      </c>
      <c r="DF16" s="20">
        <v>10</v>
      </c>
      <c r="DG16" s="20">
        <v>9</v>
      </c>
      <c r="DH16" s="20">
        <v>5</v>
      </c>
      <c r="DI16" s="20">
        <v>6</v>
      </c>
      <c r="DJ16" s="20">
        <v>6</v>
      </c>
      <c r="DK16" s="20">
        <v>6</v>
      </c>
      <c r="DL16" s="20">
        <v>9</v>
      </c>
      <c r="DM16" s="20">
        <v>5</v>
      </c>
      <c r="DN16" s="20">
        <v>6</v>
      </c>
      <c r="DO16" s="20">
        <v>6</v>
      </c>
      <c r="DP16" s="20">
        <v>6</v>
      </c>
      <c r="DQ16" s="20">
        <v>118950</v>
      </c>
      <c r="DR16" s="20">
        <v>754</v>
      </c>
      <c r="DS16" s="20">
        <v>380</v>
      </c>
      <c r="DT16" s="20">
        <v>88</v>
      </c>
      <c r="DU16" s="20">
        <v>12</v>
      </c>
      <c r="DV16" s="20" t="s">
        <v>196</v>
      </c>
      <c r="DW16" s="20" t="s">
        <v>196</v>
      </c>
      <c r="DX16" s="20" t="s">
        <v>196</v>
      </c>
      <c r="DY16" s="20" t="s">
        <v>196</v>
      </c>
      <c r="DZ16" s="20" t="s">
        <v>196</v>
      </c>
      <c r="EA16" s="20" t="s">
        <v>196</v>
      </c>
      <c r="EB16" s="20" t="s">
        <v>196</v>
      </c>
      <c r="EC16" s="20" t="s">
        <v>196</v>
      </c>
      <c r="ED16" s="20" t="s">
        <v>196</v>
      </c>
      <c r="EE16" s="20" t="s">
        <v>196</v>
      </c>
      <c r="EF16" s="20" t="s">
        <v>196</v>
      </c>
      <c r="EG16" s="20" t="s">
        <v>196</v>
      </c>
      <c r="EH16" s="20" t="s">
        <v>196</v>
      </c>
      <c r="EI16" s="20" t="s">
        <v>196</v>
      </c>
      <c r="EJ16" s="20" t="s">
        <v>196</v>
      </c>
      <c r="EK16" s="20">
        <v>9</v>
      </c>
      <c r="EL16" s="20">
        <v>9</v>
      </c>
      <c r="EM16" s="20">
        <v>9</v>
      </c>
      <c r="EN16" s="20">
        <v>9</v>
      </c>
      <c r="EO16" s="20">
        <v>5</v>
      </c>
      <c r="EP16" s="20">
        <v>10.284361000000001</v>
      </c>
      <c r="EQ16" s="20">
        <v>47459</v>
      </c>
      <c r="ER16" s="20">
        <v>24967</v>
      </c>
      <c r="ES16" s="20">
        <v>12113</v>
      </c>
      <c r="ET16" s="20">
        <v>5445</v>
      </c>
      <c r="EU16" s="20">
        <v>2398</v>
      </c>
      <c r="EV16" s="20">
        <v>1155</v>
      </c>
      <c r="EW16" s="20">
        <v>599</v>
      </c>
      <c r="EX16" s="20">
        <v>349</v>
      </c>
      <c r="EY16" s="20">
        <v>224</v>
      </c>
      <c r="EZ16" s="20">
        <v>158</v>
      </c>
      <c r="FA16" s="20">
        <v>121</v>
      </c>
      <c r="FB16" s="20">
        <v>98</v>
      </c>
      <c r="FC16" s="20">
        <v>87</v>
      </c>
      <c r="FD16" s="20">
        <v>79</v>
      </c>
      <c r="FE16" s="20">
        <v>66</v>
      </c>
      <c r="FF16" s="20">
        <v>56</v>
      </c>
      <c r="FG16" s="20">
        <v>51</v>
      </c>
      <c r="FH16" s="20">
        <v>46</v>
      </c>
      <c r="FI16" s="20">
        <v>42</v>
      </c>
      <c r="FJ16" s="20">
        <v>39</v>
      </c>
      <c r="FK16" s="20">
        <v>33</v>
      </c>
      <c r="FL16" s="20">
        <v>31</v>
      </c>
      <c r="FM16" s="20">
        <v>28</v>
      </c>
      <c r="FN16" s="20">
        <v>27</v>
      </c>
      <c r="FO16" s="20">
        <v>23</v>
      </c>
      <c r="FP16" s="20">
        <v>21</v>
      </c>
      <c r="FQ16" s="20">
        <v>19</v>
      </c>
      <c r="FR16" s="20">
        <v>7</v>
      </c>
      <c r="FS16" s="20">
        <v>4</v>
      </c>
      <c r="FT16" s="22">
        <v>1</v>
      </c>
    </row>
    <row r="17" spans="1:176" x14ac:dyDescent="0.4">
      <c r="A17">
        <v>4</v>
      </c>
      <c r="AG17" s="21" t="s">
        <v>196</v>
      </c>
      <c r="AH17" s="21" t="s">
        <v>196</v>
      </c>
      <c r="AI17" s="21" t="s">
        <v>196</v>
      </c>
      <c r="AJ17" s="21" t="s">
        <v>196</v>
      </c>
      <c r="AK17" s="21" t="s">
        <v>196</v>
      </c>
      <c r="AL17" s="21" t="s">
        <v>196</v>
      </c>
      <c r="AM17" s="21" t="s">
        <v>196</v>
      </c>
      <c r="AN17" s="21" t="s">
        <v>196</v>
      </c>
      <c r="AO17" s="21" t="s">
        <v>196</v>
      </c>
      <c r="AP17" s="21" t="s">
        <v>196</v>
      </c>
      <c r="AQ17" s="21" t="s">
        <v>196</v>
      </c>
      <c r="AR17" s="21" t="s">
        <v>196</v>
      </c>
      <c r="AS17" s="21" t="s">
        <v>196</v>
      </c>
      <c r="AT17" s="21" t="s">
        <v>196</v>
      </c>
      <c r="AU17" s="21" t="s">
        <v>196</v>
      </c>
      <c r="AV17" s="21" t="s">
        <v>196</v>
      </c>
      <c r="AW17" s="21" t="s">
        <v>196</v>
      </c>
      <c r="AX17" s="21" t="s">
        <v>196</v>
      </c>
      <c r="AY17" s="21" t="s">
        <v>196</v>
      </c>
      <c r="AZ17" s="21" t="s">
        <v>196</v>
      </c>
      <c r="BA17" s="21" t="s">
        <v>196</v>
      </c>
      <c r="BB17" s="21" t="s">
        <v>196</v>
      </c>
      <c r="BC17" s="21" t="s">
        <v>196</v>
      </c>
      <c r="BD17" s="21">
        <v>0</v>
      </c>
      <c r="BE17" s="21">
        <v>0</v>
      </c>
      <c r="BF17" s="21">
        <v>0</v>
      </c>
      <c r="BG17" s="21">
        <v>0</v>
      </c>
      <c r="BH17" s="21">
        <v>0</v>
      </c>
      <c r="BI17" s="21">
        <v>0</v>
      </c>
      <c r="BJ17" s="21">
        <v>0</v>
      </c>
      <c r="BK17" s="21" t="s">
        <v>196</v>
      </c>
      <c r="BL17" s="21" t="s">
        <v>196</v>
      </c>
      <c r="BM17" s="21" t="s">
        <v>196</v>
      </c>
      <c r="BN17" s="21" t="s">
        <v>196</v>
      </c>
      <c r="BO17" s="21" t="s">
        <v>196</v>
      </c>
      <c r="BP17" s="21" t="s">
        <v>196</v>
      </c>
      <c r="BQ17" s="21" t="s">
        <v>196</v>
      </c>
      <c r="BR17" s="21" t="s">
        <v>196</v>
      </c>
      <c r="BS17" s="21" t="s">
        <v>196</v>
      </c>
      <c r="BT17" s="21" t="s">
        <v>196</v>
      </c>
      <c r="BU17" s="21" t="s">
        <v>196</v>
      </c>
      <c r="BV17" s="21" t="s">
        <v>196</v>
      </c>
      <c r="BW17" s="21" t="s">
        <v>196</v>
      </c>
      <c r="BX17" s="21" t="s">
        <v>196</v>
      </c>
      <c r="BY17" s="21" t="s">
        <v>196</v>
      </c>
      <c r="BZ17" s="21" t="s">
        <v>196</v>
      </c>
      <c r="CA17" s="21" t="s">
        <v>196</v>
      </c>
      <c r="CB17" s="21" t="s">
        <v>196</v>
      </c>
      <c r="CC17" s="21" t="s">
        <v>196</v>
      </c>
      <c r="CD17" s="21" t="s">
        <v>196</v>
      </c>
      <c r="CE17" s="21" t="s">
        <v>196</v>
      </c>
      <c r="CF17" s="21" t="s">
        <v>196</v>
      </c>
      <c r="CG17" s="21" t="s">
        <v>196</v>
      </c>
      <c r="CH17" s="21" t="s">
        <v>196</v>
      </c>
      <c r="CI17" s="21" t="s">
        <v>196</v>
      </c>
      <c r="CJ17" s="21" t="s">
        <v>196</v>
      </c>
      <c r="CK17" s="21" t="s">
        <v>196</v>
      </c>
      <c r="CL17" s="21" t="s">
        <v>196</v>
      </c>
      <c r="CM17" s="21" t="s">
        <v>196</v>
      </c>
      <c r="CN17" s="21" t="s">
        <v>196</v>
      </c>
      <c r="CO17" s="21" t="s">
        <v>196</v>
      </c>
      <c r="CP17" s="21" t="s">
        <v>196</v>
      </c>
      <c r="CQ17" s="21" t="s">
        <v>196</v>
      </c>
      <c r="CR17" s="21" t="s">
        <v>196</v>
      </c>
      <c r="CS17" s="21" t="s">
        <v>196</v>
      </c>
      <c r="CT17" s="21" t="s">
        <v>196</v>
      </c>
      <c r="CU17" s="21" t="s">
        <v>196</v>
      </c>
      <c r="CV17" s="21">
        <v>116710</v>
      </c>
      <c r="CW17" s="21">
        <v>836</v>
      </c>
      <c r="CX17" s="21">
        <v>390</v>
      </c>
      <c r="CY17" s="21">
        <v>114</v>
      </c>
      <c r="CZ17" s="21">
        <v>17</v>
      </c>
      <c r="DA17" s="21">
        <v>9</v>
      </c>
      <c r="DB17" s="21">
        <v>5</v>
      </c>
      <c r="DC17" s="21">
        <v>6</v>
      </c>
      <c r="DD17" s="21">
        <v>7</v>
      </c>
      <c r="DE17" s="21">
        <v>7</v>
      </c>
      <c r="DF17" s="21">
        <v>10</v>
      </c>
      <c r="DG17" s="21">
        <v>9</v>
      </c>
      <c r="DH17" s="21">
        <v>5</v>
      </c>
      <c r="DI17" s="21">
        <v>6</v>
      </c>
      <c r="DJ17" s="21">
        <v>7</v>
      </c>
      <c r="DK17" s="21">
        <v>7</v>
      </c>
      <c r="DL17" s="21">
        <v>9</v>
      </c>
      <c r="DM17" s="21">
        <v>5</v>
      </c>
      <c r="DN17" s="21">
        <v>6</v>
      </c>
      <c r="DO17" s="21">
        <v>7</v>
      </c>
      <c r="DP17" s="21">
        <v>7</v>
      </c>
      <c r="DQ17" s="21">
        <v>116710</v>
      </c>
      <c r="DR17" s="21">
        <v>836</v>
      </c>
      <c r="DS17" s="21">
        <v>390</v>
      </c>
      <c r="DT17" s="21">
        <v>114</v>
      </c>
      <c r="DU17" s="21">
        <v>17</v>
      </c>
      <c r="DV17" s="21" t="s">
        <v>196</v>
      </c>
      <c r="DW17" s="21" t="s">
        <v>196</v>
      </c>
      <c r="DX17" s="21" t="s">
        <v>196</v>
      </c>
      <c r="DY17" s="21" t="s">
        <v>196</v>
      </c>
      <c r="DZ17" s="21" t="s">
        <v>196</v>
      </c>
      <c r="EA17" s="21" t="s">
        <v>196</v>
      </c>
      <c r="EB17" s="21" t="s">
        <v>196</v>
      </c>
      <c r="EC17" s="21" t="s">
        <v>196</v>
      </c>
      <c r="ED17" s="21" t="s">
        <v>196</v>
      </c>
      <c r="EE17" s="21" t="s">
        <v>196</v>
      </c>
      <c r="EF17" s="21" t="s">
        <v>196</v>
      </c>
      <c r="EG17" s="21" t="s">
        <v>196</v>
      </c>
      <c r="EH17" s="21" t="s">
        <v>196</v>
      </c>
      <c r="EI17" s="21" t="s">
        <v>196</v>
      </c>
      <c r="EJ17" s="21" t="s">
        <v>196</v>
      </c>
      <c r="EK17" s="21">
        <v>9</v>
      </c>
      <c r="EL17" s="21">
        <v>9</v>
      </c>
      <c r="EM17" s="21">
        <v>9</v>
      </c>
      <c r="EN17" s="21">
        <v>9</v>
      </c>
      <c r="EO17" s="21">
        <v>0</v>
      </c>
      <c r="EP17" s="21">
        <v>51.517341999999999</v>
      </c>
      <c r="EQ17" s="21">
        <v>233768</v>
      </c>
      <c r="ER17" s="21">
        <v>122833</v>
      </c>
      <c r="ES17" s="21">
        <v>59609</v>
      </c>
      <c r="ET17" s="21">
        <v>26629</v>
      </c>
      <c r="EU17" s="21">
        <v>12056</v>
      </c>
      <c r="EV17" s="21">
        <v>5782</v>
      </c>
      <c r="EW17" s="21">
        <v>3013</v>
      </c>
      <c r="EX17" s="21">
        <v>1818</v>
      </c>
      <c r="EY17" s="21">
        <v>1190</v>
      </c>
      <c r="EZ17" s="21">
        <v>850</v>
      </c>
      <c r="FA17" s="21">
        <v>667</v>
      </c>
      <c r="FB17" s="21">
        <v>542</v>
      </c>
      <c r="FC17" s="21">
        <v>467</v>
      </c>
      <c r="FD17" s="21">
        <v>410</v>
      </c>
      <c r="FE17" s="21">
        <v>351</v>
      </c>
      <c r="FF17" s="21">
        <v>312</v>
      </c>
      <c r="FG17" s="21">
        <v>286</v>
      </c>
      <c r="FH17" s="21">
        <v>250</v>
      </c>
      <c r="FI17" s="21">
        <v>233</v>
      </c>
      <c r="FJ17" s="21">
        <v>207</v>
      </c>
      <c r="FK17" s="21">
        <v>186</v>
      </c>
      <c r="FL17" s="21">
        <v>176</v>
      </c>
      <c r="FM17" s="21">
        <v>163</v>
      </c>
      <c r="FN17" s="21">
        <v>145</v>
      </c>
      <c r="FO17" s="21">
        <v>127</v>
      </c>
      <c r="FP17" s="21">
        <v>115</v>
      </c>
      <c r="FQ17" s="21">
        <v>100</v>
      </c>
      <c r="FR17" s="21">
        <v>45</v>
      </c>
      <c r="FS17" s="21">
        <v>22</v>
      </c>
      <c r="FT17" s="23">
        <v>7</v>
      </c>
    </row>
    <row r="18" spans="1:176" x14ac:dyDescent="0.4">
      <c r="A18">
        <v>5</v>
      </c>
      <c r="AG18" s="20" t="s">
        <v>196</v>
      </c>
      <c r="AH18" s="20" t="s">
        <v>196</v>
      </c>
      <c r="AI18" s="20" t="s">
        <v>196</v>
      </c>
      <c r="AJ18" s="20" t="s">
        <v>196</v>
      </c>
      <c r="AK18" s="20" t="s">
        <v>196</v>
      </c>
      <c r="AL18" s="20" t="s">
        <v>196</v>
      </c>
      <c r="AM18" s="20" t="s">
        <v>196</v>
      </c>
      <c r="AN18" s="20" t="s">
        <v>196</v>
      </c>
      <c r="AO18" s="20" t="s">
        <v>196</v>
      </c>
      <c r="AP18" s="20" t="s">
        <v>196</v>
      </c>
      <c r="AQ18" s="20" t="s">
        <v>196</v>
      </c>
      <c r="AR18" s="20" t="s">
        <v>196</v>
      </c>
      <c r="AS18" s="20" t="s">
        <v>196</v>
      </c>
      <c r="AT18" s="20" t="s">
        <v>196</v>
      </c>
      <c r="AU18" s="20" t="s">
        <v>196</v>
      </c>
      <c r="AV18" s="20" t="s">
        <v>196</v>
      </c>
      <c r="AW18" s="20" t="s">
        <v>196</v>
      </c>
      <c r="AX18" s="20" t="s">
        <v>196</v>
      </c>
      <c r="AY18" s="20" t="s">
        <v>196</v>
      </c>
      <c r="AZ18" s="20" t="s">
        <v>196</v>
      </c>
      <c r="BA18" s="20" t="s">
        <v>196</v>
      </c>
      <c r="BB18" s="20" t="s">
        <v>196</v>
      </c>
      <c r="BC18" s="20" t="s">
        <v>196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  <c r="BI18" s="20">
        <v>0</v>
      </c>
      <c r="BJ18" s="20">
        <v>0</v>
      </c>
      <c r="BK18" s="20" t="s">
        <v>196</v>
      </c>
      <c r="BL18" s="20" t="s">
        <v>196</v>
      </c>
      <c r="BM18" s="20" t="s">
        <v>196</v>
      </c>
      <c r="BN18" s="20" t="s">
        <v>196</v>
      </c>
      <c r="BO18" s="20" t="s">
        <v>196</v>
      </c>
      <c r="BP18" s="20" t="s">
        <v>196</v>
      </c>
      <c r="BQ18" s="20" t="s">
        <v>196</v>
      </c>
      <c r="BR18" s="20" t="s">
        <v>196</v>
      </c>
      <c r="BS18" s="20" t="s">
        <v>196</v>
      </c>
      <c r="BT18" s="20" t="s">
        <v>196</v>
      </c>
      <c r="BU18" s="20" t="s">
        <v>196</v>
      </c>
      <c r="BV18" s="20" t="s">
        <v>196</v>
      </c>
      <c r="BW18" s="20" t="s">
        <v>196</v>
      </c>
      <c r="BX18" s="20" t="s">
        <v>196</v>
      </c>
      <c r="BY18" s="20" t="s">
        <v>196</v>
      </c>
      <c r="BZ18" s="20" t="s">
        <v>196</v>
      </c>
      <c r="CA18" s="20" t="s">
        <v>196</v>
      </c>
      <c r="CB18" s="20" t="s">
        <v>196</v>
      </c>
      <c r="CC18" s="20" t="s">
        <v>196</v>
      </c>
      <c r="CD18" s="20" t="s">
        <v>196</v>
      </c>
      <c r="CE18" s="20" t="s">
        <v>196</v>
      </c>
      <c r="CF18" s="20" t="s">
        <v>196</v>
      </c>
      <c r="CG18" s="20" t="s">
        <v>196</v>
      </c>
      <c r="CH18" s="20" t="s">
        <v>196</v>
      </c>
      <c r="CI18" s="20" t="s">
        <v>196</v>
      </c>
      <c r="CJ18" s="20" t="s">
        <v>196</v>
      </c>
      <c r="CK18" s="20" t="s">
        <v>196</v>
      </c>
      <c r="CL18" s="20" t="s">
        <v>196</v>
      </c>
      <c r="CM18" s="20" t="s">
        <v>196</v>
      </c>
      <c r="CN18" s="20" t="s">
        <v>196</v>
      </c>
      <c r="CO18" s="20" t="s">
        <v>196</v>
      </c>
      <c r="CP18" s="20" t="s">
        <v>196</v>
      </c>
      <c r="CQ18" s="20" t="s">
        <v>196</v>
      </c>
      <c r="CR18" s="20" t="s">
        <v>196</v>
      </c>
      <c r="CS18" s="20" t="s">
        <v>196</v>
      </c>
      <c r="CT18" s="20" t="s">
        <v>196</v>
      </c>
      <c r="CU18" s="20" t="s">
        <v>196</v>
      </c>
      <c r="CV18" s="20">
        <v>119054</v>
      </c>
      <c r="CW18" s="20">
        <v>977</v>
      </c>
      <c r="CX18" s="20">
        <v>431</v>
      </c>
      <c r="CY18" s="20">
        <v>113</v>
      </c>
      <c r="CZ18" s="20">
        <v>0</v>
      </c>
      <c r="DA18" s="20">
        <v>9</v>
      </c>
      <c r="DB18" s="20">
        <v>5</v>
      </c>
      <c r="DC18" s="20">
        <v>6</v>
      </c>
      <c r="DD18" s="20">
        <v>7</v>
      </c>
      <c r="DE18" s="20">
        <v>0</v>
      </c>
      <c r="DF18" s="20">
        <v>10</v>
      </c>
      <c r="DG18" s="20">
        <v>9</v>
      </c>
      <c r="DH18" s="20">
        <v>5</v>
      </c>
      <c r="DI18" s="20">
        <v>6</v>
      </c>
      <c r="DJ18" s="20">
        <v>7</v>
      </c>
      <c r="DK18" s="20">
        <v>0</v>
      </c>
      <c r="DL18" s="20">
        <v>9</v>
      </c>
      <c r="DM18" s="20">
        <v>5</v>
      </c>
      <c r="DN18" s="20">
        <v>6</v>
      </c>
      <c r="DO18" s="20">
        <v>7</v>
      </c>
      <c r="DP18" s="20">
        <v>0</v>
      </c>
      <c r="DQ18" s="20">
        <v>119054</v>
      </c>
      <c r="DR18" s="20">
        <v>977</v>
      </c>
      <c r="DS18" s="20">
        <v>431</v>
      </c>
      <c r="DT18" s="20">
        <v>113</v>
      </c>
      <c r="DU18" s="20">
        <v>0</v>
      </c>
      <c r="DV18" s="20" t="s">
        <v>196</v>
      </c>
      <c r="DW18" s="20" t="s">
        <v>196</v>
      </c>
      <c r="DX18" s="20" t="s">
        <v>196</v>
      </c>
      <c r="DY18" s="20" t="s">
        <v>196</v>
      </c>
      <c r="DZ18" s="20" t="s">
        <v>196</v>
      </c>
      <c r="EA18" s="20" t="s">
        <v>196</v>
      </c>
      <c r="EB18" s="20" t="s">
        <v>196</v>
      </c>
      <c r="EC18" s="20" t="s">
        <v>196</v>
      </c>
      <c r="ED18" s="20" t="s">
        <v>196</v>
      </c>
      <c r="EE18" s="20" t="s">
        <v>196</v>
      </c>
      <c r="EF18" s="20" t="s">
        <v>196</v>
      </c>
      <c r="EG18" s="20" t="s">
        <v>196</v>
      </c>
      <c r="EH18" s="20" t="s">
        <v>196</v>
      </c>
      <c r="EI18" s="20" t="s">
        <v>196</v>
      </c>
      <c r="EJ18" s="20" t="s">
        <v>196</v>
      </c>
      <c r="EK18" s="20">
        <v>9</v>
      </c>
      <c r="EL18" s="20">
        <v>9</v>
      </c>
      <c r="EM18" s="20">
        <v>9</v>
      </c>
      <c r="EN18" s="20">
        <v>9</v>
      </c>
      <c r="EO18" s="20">
        <v>1</v>
      </c>
      <c r="EP18" s="20">
        <v>10.065814</v>
      </c>
      <c r="EQ18" s="20">
        <v>46292</v>
      </c>
      <c r="ER18" s="20">
        <v>24304</v>
      </c>
      <c r="ES18" s="20">
        <v>11894</v>
      </c>
      <c r="ET18" s="20">
        <v>5341</v>
      </c>
      <c r="EU18" s="20">
        <v>2413</v>
      </c>
      <c r="EV18" s="20">
        <v>1182</v>
      </c>
      <c r="EW18" s="20">
        <v>657</v>
      </c>
      <c r="EX18" s="20">
        <v>381</v>
      </c>
      <c r="EY18" s="20">
        <v>239</v>
      </c>
      <c r="EZ18" s="20">
        <v>185</v>
      </c>
      <c r="FA18" s="20">
        <v>146</v>
      </c>
      <c r="FB18" s="20">
        <v>126</v>
      </c>
      <c r="FC18" s="20">
        <v>104</v>
      </c>
      <c r="FD18" s="20">
        <v>89</v>
      </c>
      <c r="FE18" s="20">
        <v>72</v>
      </c>
      <c r="FF18" s="20">
        <v>61</v>
      </c>
      <c r="FG18" s="20">
        <v>54</v>
      </c>
      <c r="FH18" s="20">
        <v>51</v>
      </c>
      <c r="FI18" s="20">
        <v>45</v>
      </c>
      <c r="FJ18" s="20">
        <v>41</v>
      </c>
      <c r="FK18" s="20">
        <v>37</v>
      </c>
      <c r="FL18" s="20">
        <v>33</v>
      </c>
      <c r="FM18" s="20">
        <v>29</v>
      </c>
      <c r="FN18" s="20">
        <v>28</v>
      </c>
      <c r="FO18" s="20">
        <v>23</v>
      </c>
      <c r="FP18" s="20">
        <v>21</v>
      </c>
      <c r="FQ18" s="20">
        <v>18</v>
      </c>
      <c r="FR18" s="20">
        <v>9</v>
      </c>
      <c r="FS18" s="20">
        <v>4</v>
      </c>
      <c r="FT18" s="22">
        <v>0</v>
      </c>
    </row>
    <row r="19" spans="1:176" x14ac:dyDescent="0.4">
      <c r="A19">
        <v>0</v>
      </c>
      <c r="AG19" s="21" t="s">
        <v>196</v>
      </c>
      <c r="AH19" s="21" t="s">
        <v>196</v>
      </c>
      <c r="AI19" s="21" t="s">
        <v>196</v>
      </c>
      <c r="AJ19" s="21" t="s">
        <v>196</v>
      </c>
      <c r="AK19" s="21" t="s">
        <v>196</v>
      </c>
      <c r="AL19" s="21" t="s">
        <v>196</v>
      </c>
      <c r="AM19" s="21" t="s">
        <v>196</v>
      </c>
      <c r="AN19" s="21" t="s">
        <v>196</v>
      </c>
      <c r="AO19" s="21" t="s">
        <v>196</v>
      </c>
      <c r="AP19" s="21" t="s">
        <v>196</v>
      </c>
      <c r="AQ19" s="21" t="s">
        <v>196</v>
      </c>
      <c r="AR19" s="21" t="s">
        <v>196</v>
      </c>
      <c r="AS19" s="21" t="s">
        <v>196</v>
      </c>
      <c r="AT19" s="21" t="s">
        <v>196</v>
      </c>
      <c r="AU19" s="21" t="s">
        <v>196</v>
      </c>
      <c r="AV19" s="21" t="s">
        <v>196</v>
      </c>
      <c r="AW19" s="21" t="s">
        <v>196</v>
      </c>
      <c r="AX19" s="21" t="s">
        <v>196</v>
      </c>
      <c r="AY19" s="21" t="s">
        <v>196</v>
      </c>
      <c r="AZ19" s="21" t="s">
        <v>196</v>
      </c>
      <c r="BA19" s="21" t="s">
        <v>196</v>
      </c>
      <c r="BB19" s="21" t="s">
        <v>196</v>
      </c>
      <c r="BC19" s="21" t="s">
        <v>196</v>
      </c>
      <c r="BD19" s="21">
        <v>0</v>
      </c>
      <c r="BE19" s="21">
        <v>0</v>
      </c>
      <c r="BF19" s="21">
        <v>0</v>
      </c>
      <c r="BG19" s="21">
        <v>0</v>
      </c>
      <c r="BH19" s="21">
        <v>0</v>
      </c>
      <c r="BI19" s="21">
        <v>0</v>
      </c>
      <c r="BJ19" s="21">
        <v>0</v>
      </c>
      <c r="BK19" s="21" t="s">
        <v>196</v>
      </c>
      <c r="BL19" s="21" t="s">
        <v>196</v>
      </c>
      <c r="BM19" s="21" t="s">
        <v>196</v>
      </c>
      <c r="BN19" s="21" t="s">
        <v>196</v>
      </c>
      <c r="BO19" s="21" t="s">
        <v>196</v>
      </c>
      <c r="BP19" s="21" t="s">
        <v>196</v>
      </c>
      <c r="BQ19" s="21" t="s">
        <v>196</v>
      </c>
      <c r="BR19" s="21" t="s">
        <v>196</v>
      </c>
      <c r="BS19" s="21" t="s">
        <v>196</v>
      </c>
      <c r="BT19" s="21" t="s">
        <v>196</v>
      </c>
      <c r="BU19" s="21" t="s">
        <v>196</v>
      </c>
      <c r="BV19" s="21" t="s">
        <v>196</v>
      </c>
      <c r="BW19" s="21" t="s">
        <v>196</v>
      </c>
      <c r="BX19" s="21" t="s">
        <v>196</v>
      </c>
      <c r="BY19" s="21" t="s">
        <v>196</v>
      </c>
      <c r="BZ19" s="21" t="s">
        <v>196</v>
      </c>
      <c r="CA19" s="21" t="s">
        <v>196</v>
      </c>
      <c r="CB19" s="21" t="s">
        <v>196</v>
      </c>
      <c r="CC19" s="21" t="s">
        <v>196</v>
      </c>
      <c r="CD19" s="21" t="s">
        <v>196</v>
      </c>
      <c r="CE19" s="21" t="s">
        <v>196</v>
      </c>
      <c r="CF19" s="21" t="s">
        <v>196</v>
      </c>
      <c r="CG19" s="21" t="s">
        <v>196</v>
      </c>
      <c r="CH19" s="21" t="s">
        <v>196</v>
      </c>
      <c r="CI19" s="21" t="s">
        <v>196</v>
      </c>
      <c r="CJ19" s="21" t="s">
        <v>196</v>
      </c>
      <c r="CK19" s="21" t="s">
        <v>196</v>
      </c>
      <c r="CL19" s="21" t="s">
        <v>196</v>
      </c>
      <c r="CM19" s="21" t="s">
        <v>196</v>
      </c>
      <c r="CN19" s="21" t="s">
        <v>196</v>
      </c>
      <c r="CO19" s="21" t="s">
        <v>196</v>
      </c>
      <c r="CP19" s="21" t="s">
        <v>196</v>
      </c>
      <c r="CQ19" s="21" t="s">
        <v>196</v>
      </c>
      <c r="CR19" s="21" t="s">
        <v>196</v>
      </c>
      <c r="CS19" s="21" t="s">
        <v>196</v>
      </c>
      <c r="CT19" s="21" t="s">
        <v>196</v>
      </c>
      <c r="CU19" s="21" t="s">
        <v>196</v>
      </c>
      <c r="CV19" s="21">
        <v>114029</v>
      </c>
      <c r="CW19" s="21">
        <v>841</v>
      </c>
      <c r="CX19" s="21">
        <v>284</v>
      </c>
      <c r="CY19" s="21">
        <v>85</v>
      </c>
      <c r="CZ19" s="21">
        <v>25</v>
      </c>
      <c r="DA19" s="21">
        <v>9</v>
      </c>
      <c r="DB19" s="21">
        <v>5</v>
      </c>
      <c r="DC19" s="21">
        <v>6</v>
      </c>
      <c r="DD19" s="21">
        <v>6</v>
      </c>
      <c r="DE19" s="21">
        <v>7</v>
      </c>
      <c r="DF19" s="21">
        <v>10</v>
      </c>
      <c r="DG19" s="21">
        <v>9</v>
      </c>
      <c r="DH19" s="21">
        <v>5</v>
      </c>
      <c r="DI19" s="21">
        <v>6</v>
      </c>
      <c r="DJ19" s="21">
        <v>7</v>
      </c>
      <c r="DK19" s="21">
        <v>7</v>
      </c>
      <c r="DL19" s="21">
        <v>9</v>
      </c>
      <c r="DM19" s="21">
        <v>5</v>
      </c>
      <c r="DN19" s="21">
        <v>6</v>
      </c>
      <c r="DO19" s="21">
        <v>6</v>
      </c>
      <c r="DP19" s="21">
        <v>7</v>
      </c>
      <c r="DQ19" s="21">
        <v>114029</v>
      </c>
      <c r="DR19" s="21">
        <v>841</v>
      </c>
      <c r="DS19" s="21">
        <v>284</v>
      </c>
      <c r="DT19" s="21">
        <v>85</v>
      </c>
      <c r="DU19" s="21">
        <v>25</v>
      </c>
      <c r="DV19" s="21" t="s">
        <v>196</v>
      </c>
      <c r="DW19" s="21" t="s">
        <v>196</v>
      </c>
      <c r="DX19" s="21" t="s">
        <v>196</v>
      </c>
      <c r="DY19" s="21" t="s">
        <v>196</v>
      </c>
      <c r="DZ19" s="21" t="s">
        <v>196</v>
      </c>
      <c r="EA19" s="21" t="s">
        <v>196</v>
      </c>
      <c r="EB19" s="21" t="s">
        <v>196</v>
      </c>
      <c r="EC19" s="21" t="s">
        <v>196</v>
      </c>
      <c r="ED19" s="21" t="s">
        <v>196</v>
      </c>
      <c r="EE19" s="21" t="s">
        <v>196</v>
      </c>
      <c r="EF19" s="21" t="s">
        <v>196</v>
      </c>
      <c r="EG19" s="21" t="s">
        <v>196</v>
      </c>
      <c r="EH19" s="21" t="s">
        <v>196</v>
      </c>
      <c r="EI19" s="21" t="s">
        <v>196</v>
      </c>
      <c r="EJ19" s="21" t="s">
        <v>196</v>
      </c>
      <c r="EK19" s="21">
        <v>9</v>
      </c>
      <c r="EL19" s="21">
        <v>9</v>
      </c>
      <c r="EM19" s="21">
        <v>9</v>
      </c>
      <c r="EN19" s="21">
        <v>9</v>
      </c>
      <c r="EO19" s="21">
        <v>2</v>
      </c>
      <c r="EP19" s="21">
        <v>10.354676</v>
      </c>
      <c r="EQ19" s="21">
        <v>46654</v>
      </c>
      <c r="ER19" s="21">
        <v>24005</v>
      </c>
      <c r="ES19" s="21">
        <v>11697</v>
      </c>
      <c r="ET19" s="21">
        <v>5075</v>
      </c>
      <c r="EU19" s="21">
        <v>2264</v>
      </c>
      <c r="EV19" s="21">
        <v>1101</v>
      </c>
      <c r="EW19" s="21">
        <v>544</v>
      </c>
      <c r="EX19" s="21">
        <v>310</v>
      </c>
      <c r="EY19" s="21">
        <v>218</v>
      </c>
      <c r="EZ19" s="21">
        <v>156</v>
      </c>
      <c r="FA19" s="21">
        <v>122</v>
      </c>
      <c r="FB19" s="21">
        <v>101</v>
      </c>
      <c r="FC19" s="21">
        <v>84</v>
      </c>
      <c r="FD19" s="21">
        <v>69</v>
      </c>
      <c r="FE19" s="21">
        <v>60</v>
      </c>
      <c r="FF19" s="21">
        <v>48</v>
      </c>
      <c r="FG19" s="21">
        <v>44</v>
      </c>
      <c r="FH19" s="21">
        <v>38</v>
      </c>
      <c r="FI19" s="21">
        <v>37</v>
      </c>
      <c r="FJ19" s="21">
        <v>31</v>
      </c>
      <c r="FK19" s="21">
        <v>28</v>
      </c>
      <c r="FL19" s="21">
        <v>22</v>
      </c>
      <c r="FM19" s="21">
        <v>18</v>
      </c>
      <c r="FN19" s="21">
        <v>15</v>
      </c>
      <c r="FO19" s="21">
        <v>12</v>
      </c>
      <c r="FP19" s="21">
        <v>11</v>
      </c>
      <c r="FQ19" s="21">
        <v>11</v>
      </c>
      <c r="FR19" s="21">
        <v>9</v>
      </c>
      <c r="FS19" s="21">
        <v>3</v>
      </c>
      <c r="FT19" s="23">
        <v>2</v>
      </c>
    </row>
    <row r="20" spans="1:176" x14ac:dyDescent="0.4">
      <c r="AG20" s="20" t="s">
        <v>196</v>
      </c>
      <c r="AH20" s="20" t="s">
        <v>196</v>
      </c>
      <c r="AI20" s="20" t="s">
        <v>196</v>
      </c>
      <c r="AJ20" s="20" t="s">
        <v>196</v>
      </c>
      <c r="AK20" s="20" t="s">
        <v>196</v>
      </c>
      <c r="AL20" s="20" t="s">
        <v>196</v>
      </c>
      <c r="AM20" s="20" t="s">
        <v>196</v>
      </c>
      <c r="AN20" s="20" t="s">
        <v>196</v>
      </c>
      <c r="AO20" s="20" t="s">
        <v>196</v>
      </c>
      <c r="AP20" s="20" t="s">
        <v>196</v>
      </c>
      <c r="AQ20" s="20" t="s">
        <v>196</v>
      </c>
      <c r="AR20" s="20" t="s">
        <v>196</v>
      </c>
      <c r="AS20" s="20" t="s">
        <v>196</v>
      </c>
      <c r="AT20" s="20" t="s">
        <v>196</v>
      </c>
      <c r="AU20" s="20" t="s">
        <v>196</v>
      </c>
      <c r="AV20" s="20" t="s">
        <v>196</v>
      </c>
      <c r="AW20" s="20" t="s">
        <v>196</v>
      </c>
      <c r="AX20" s="20" t="s">
        <v>196</v>
      </c>
      <c r="AY20" s="20" t="s">
        <v>196</v>
      </c>
      <c r="AZ20" s="20" t="s">
        <v>196</v>
      </c>
      <c r="BA20" s="20" t="s">
        <v>196</v>
      </c>
      <c r="BB20" s="20" t="s">
        <v>196</v>
      </c>
      <c r="BC20" s="20" t="s">
        <v>196</v>
      </c>
      <c r="BD20" s="20">
        <v>0</v>
      </c>
      <c r="BE20" s="20">
        <v>0</v>
      </c>
      <c r="BF20" s="20">
        <v>0</v>
      </c>
      <c r="BG20" s="20">
        <v>0</v>
      </c>
      <c r="BH20" s="20">
        <v>0</v>
      </c>
      <c r="BI20" s="20">
        <v>0</v>
      </c>
      <c r="BJ20" s="20">
        <v>0</v>
      </c>
      <c r="BK20" s="20" t="s">
        <v>196</v>
      </c>
      <c r="BL20" s="20" t="s">
        <v>196</v>
      </c>
      <c r="BM20" s="20" t="s">
        <v>196</v>
      </c>
      <c r="BN20" s="20" t="s">
        <v>196</v>
      </c>
      <c r="BO20" s="20" t="s">
        <v>196</v>
      </c>
      <c r="BP20" s="20" t="s">
        <v>196</v>
      </c>
      <c r="BQ20" s="20" t="s">
        <v>196</v>
      </c>
      <c r="BR20" s="20" t="s">
        <v>196</v>
      </c>
      <c r="BS20" s="20" t="s">
        <v>196</v>
      </c>
      <c r="BT20" s="20" t="s">
        <v>196</v>
      </c>
      <c r="BU20" s="20" t="s">
        <v>196</v>
      </c>
      <c r="BV20" s="20" t="s">
        <v>196</v>
      </c>
      <c r="BW20" s="20" t="s">
        <v>196</v>
      </c>
      <c r="BX20" s="20" t="s">
        <v>196</v>
      </c>
      <c r="BY20" s="20" t="s">
        <v>196</v>
      </c>
      <c r="BZ20" s="20" t="s">
        <v>196</v>
      </c>
      <c r="CA20" s="20" t="s">
        <v>196</v>
      </c>
      <c r="CB20" s="20" t="s">
        <v>196</v>
      </c>
      <c r="CC20" s="20" t="s">
        <v>196</v>
      </c>
      <c r="CD20" s="20" t="s">
        <v>196</v>
      </c>
      <c r="CE20" s="20" t="s">
        <v>196</v>
      </c>
      <c r="CF20" s="20" t="s">
        <v>196</v>
      </c>
      <c r="CG20" s="20" t="s">
        <v>196</v>
      </c>
      <c r="CH20" s="20" t="s">
        <v>196</v>
      </c>
      <c r="CI20" s="20" t="s">
        <v>196</v>
      </c>
      <c r="CJ20" s="20" t="s">
        <v>196</v>
      </c>
      <c r="CK20" s="20" t="s">
        <v>196</v>
      </c>
      <c r="CL20" s="20" t="s">
        <v>196</v>
      </c>
      <c r="CM20" s="20" t="s">
        <v>196</v>
      </c>
      <c r="CN20" s="20" t="s">
        <v>196</v>
      </c>
      <c r="CO20" s="20" t="s">
        <v>196</v>
      </c>
      <c r="CP20" s="20" t="s">
        <v>196</v>
      </c>
      <c r="CQ20" s="20" t="s">
        <v>196</v>
      </c>
      <c r="CR20" s="20" t="s">
        <v>196</v>
      </c>
      <c r="CS20" s="20" t="s">
        <v>196</v>
      </c>
      <c r="CT20" s="20" t="s">
        <v>196</v>
      </c>
      <c r="CU20" s="20" t="s">
        <v>196</v>
      </c>
      <c r="CV20" s="20">
        <v>112688</v>
      </c>
      <c r="CW20" s="20">
        <v>631</v>
      </c>
      <c r="CX20" s="20">
        <v>310</v>
      </c>
      <c r="CY20" s="20">
        <v>44</v>
      </c>
      <c r="CZ20" s="20">
        <v>0</v>
      </c>
      <c r="DA20" s="20">
        <v>9</v>
      </c>
      <c r="DB20" s="20">
        <v>4</v>
      </c>
      <c r="DC20" s="20">
        <v>6</v>
      </c>
      <c r="DD20" s="20">
        <v>5</v>
      </c>
      <c r="DE20" s="20">
        <v>0</v>
      </c>
      <c r="DF20" s="20">
        <v>10</v>
      </c>
      <c r="DG20" s="20">
        <v>9</v>
      </c>
      <c r="DH20" s="20">
        <v>5</v>
      </c>
      <c r="DI20" s="20">
        <v>6</v>
      </c>
      <c r="DJ20" s="20">
        <v>5</v>
      </c>
      <c r="DK20" s="20">
        <v>0</v>
      </c>
      <c r="DL20" s="20">
        <v>9</v>
      </c>
      <c r="DM20" s="20">
        <v>4</v>
      </c>
      <c r="DN20" s="20">
        <v>6</v>
      </c>
      <c r="DO20" s="20">
        <v>5</v>
      </c>
      <c r="DP20" s="20">
        <v>0</v>
      </c>
      <c r="DQ20" s="20">
        <v>112688</v>
      </c>
      <c r="DR20" s="20">
        <v>631</v>
      </c>
      <c r="DS20" s="20">
        <v>310</v>
      </c>
      <c r="DT20" s="20">
        <v>44</v>
      </c>
      <c r="DU20" s="20">
        <v>0</v>
      </c>
      <c r="DV20" s="20" t="s">
        <v>196</v>
      </c>
      <c r="DW20" s="20" t="s">
        <v>196</v>
      </c>
      <c r="DX20" s="20" t="s">
        <v>196</v>
      </c>
      <c r="DY20" s="20" t="s">
        <v>196</v>
      </c>
      <c r="DZ20" s="20" t="s">
        <v>196</v>
      </c>
      <c r="EA20" s="20" t="s">
        <v>196</v>
      </c>
      <c r="EB20" s="20" t="s">
        <v>196</v>
      </c>
      <c r="EC20" s="20" t="s">
        <v>196</v>
      </c>
      <c r="ED20" s="20" t="s">
        <v>196</v>
      </c>
      <c r="EE20" s="20" t="s">
        <v>196</v>
      </c>
      <c r="EF20" s="20" t="s">
        <v>196</v>
      </c>
      <c r="EG20" s="20" t="s">
        <v>196</v>
      </c>
      <c r="EH20" s="20" t="s">
        <v>196</v>
      </c>
      <c r="EI20" s="20" t="s">
        <v>196</v>
      </c>
      <c r="EJ20" s="20" t="s">
        <v>196</v>
      </c>
      <c r="EK20" s="20">
        <v>9</v>
      </c>
      <c r="EL20" s="20">
        <v>9</v>
      </c>
      <c r="EM20" s="20">
        <v>9</v>
      </c>
      <c r="EN20" s="20">
        <v>9</v>
      </c>
      <c r="EO20" s="20">
        <v>3</v>
      </c>
      <c r="EP20" s="20">
        <v>10.326184</v>
      </c>
      <c r="EQ20" s="20">
        <v>45548</v>
      </c>
      <c r="ER20" s="20">
        <v>23678</v>
      </c>
      <c r="ES20" s="20">
        <v>11503</v>
      </c>
      <c r="ET20" s="20">
        <v>5041</v>
      </c>
      <c r="EU20" s="20">
        <v>2209</v>
      </c>
      <c r="EV20" s="20">
        <v>988</v>
      </c>
      <c r="EW20" s="20">
        <v>488</v>
      </c>
      <c r="EX20" s="20">
        <v>266</v>
      </c>
      <c r="EY20" s="20">
        <v>163</v>
      </c>
      <c r="EZ20" s="20">
        <v>119</v>
      </c>
      <c r="FA20" s="20">
        <v>97</v>
      </c>
      <c r="FB20" s="20">
        <v>81</v>
      </c>
      <c r="FC20" s="20">
        <v>69</v>
      </c>
      <c r="FD20" s="20">
        <v>62</v>
      </c>
      <c r="FE20" s="20">
        <v>54</v>
      </c>
      <c r="FF20" s="20">
        <v>45</v>
      </c>
      <c r="FG20" s="20">
        <v>38</v>
      </c>
      <c r="FH20" s="20">
        <v>34</v>
      </c>
      <c r="FI20" s="20">
        <v>29</v>
      </c>
      <c r="FJ20" s="20">
        <v>27</v>
      </c>
      <c r="FK20" s="20">
        <v>22</v>
      </c>
      <c r="FL20" s="20">
        <v>18</v>
      </c>
      <c r="FM20" s="20">
        <v>16</v>
      </c>
      <c r="FN20" s="20">
        <v>15</v>
      </c>
      <c r="FO20" s="20">
        <v>11</v>
      </c>
      <c r="FP20" s="20">
        <v>11</v>
      </c>
      <c r="FQ20" s="20">
        <v>11</v>
      </c>
      <c r="FR20" s="20">
        <v>4</v>
      </c>
      <c r="FS20" s="20">
        <v>1</v>
      </c>
      <c r="FT20" s="22">
        <v>0</v>
      </c>
    </row>
    <row r="21" spans="1:176" x14ac:dyDescent="0.4">
      <c r="AG21" s="21" t="s">
        <v>196</v>
      </c>
      <c r="AH21" s="21" t="s">
        <v>196</v>
      </c>
      <c r="AI21" s="21" t="s">
        <v>196</v>
      </c>
      <c r="AJ21" s="21" t="s">
        <v>196</v>
      </c>
      <c r="AK21" s="21" t="s">
        <v>196</v>
      </c>
      <c r="AL21" s="21" t="s">
        <v>196</v>
      </c>
      <c r="AM21" s="21" t="s">
        <v>196</v>
      </c>
      <c r="AN21" s="21" t="s">
        <v>196</v>
      </c>
      <c r="AO21" s="21" t="s">
        <v>196</v>
      </c>
      <c r="AP21" s="21" t="s">
        <v>196</v>
      </c>
      <c r="AQ21" s="21" t="s">
        <v>196</v>
      </c>
      <c r="AR21" s="21" t="s">
        <v>196</v>
      </c>
      <c r="AS21" s="21" t="s">
        <v>196</v>
      </c>
      <c r="AT21" s="21" t="s">
        <v>196</v>
      </c>
      <c r="AU21" s="21" t="s">
        <v>196</v>
      </c>
      <c r="AV21" s="21" t="s">
        <v>196</v>
      </c>
      <c r="AW21" s="21" t="s">
        <v>196</v>
      </c>
      <c r="AX21" s="21" t="s">
        <v>196</v>
      </c>
      <c r="AY21" s="21" t="s">
        <v>196</v>
      </c>
      <c r="AZ21" s="21" t="s">
        <v>196</v>
      </c>
      <c r="BA21" s="21" t="s">
        <v>196</v>
      </c>
      <c r="BB21" s="21" t="s">
        <v>196</v>
      </c>
      <c r="BC21" s="21" t="s">
        <v>196</v>
      </c>
      <c r="BD21" s="21">
        <v>0</v>
      </c>
      <c r="BE21" s="21">
        <v>0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  <c r="BK21" s="21" t="s">
        <v>196</v>
      </c>
      <c r="BL21" s="21" t="s">
        <v>196</v>
      </c>
      <c r="BM21" s="21" t="s">
        <v>196</v>
      </c>
      <c r="BN21" s="21" t="s">
        <v>196</v>
      </c>
      <c r="BO21" s="21" t="s">
        <v>196</v>
      </c>
      <c r="BP21" s="21" t="s">
        <v>196</v>
      </c>
      <c r="BQ21" s="21" t="s">
        <v>196</v>
      </c>
      <c r="BR21" s="21" t="s">
        <v>196</v>
      </c>
      <c r="BS21" s="21" t="s">
        <v>196</v>
      </c>
      <c r="BT21" s="21" t="s">
        <v>196</v>
      </c>
      <c r="BU21" s="21" t="s">
        <v>196</v>
      </c>
      <c r="BV21" s="21" t="s">
        <v>196</v>
      </c>
      <c r="BW21" s="21" t="s">
        <v>196</v>
      </c>
      <c r="BX21" s="21" t="s">
        <v>196</v>
      </c>
      <c r="BY21" s="21" t="s">
        <v>196</v>
      </c>
      <c r="BZ21" s="21" t="s">
        <v>196</v>
      </c>
      <c r="CA21" s="21" t="s">
        <v>196</v>
      </c>
      <c r="CB21" s="21" t="s">
        <v>196</v>
      </c>
      <c r="CC21" s="21" t="s">
        <v>196</v>
      </c>
      <c r="CD21" s="21" t="s">
        <v>196</v>
      </c>
      <c r="CE21" s="21" t="s">
        <v>196</v>
      </c>
      <c r="CF21" s="21" t="s">
        <v>196</v>
      </c>
      <c r="CG21" s="21" t="s">
        <v>196</v>
      </c>
      <c r="CH21" s="21" t="s">
        <v>196</v>
      </c>
      <c r="CI21" s="21" t="s">
        <v>196</v>
      </c>
      <c r="CJ21" s="21" t="s">
        <v>196</v>
      </c>
      <c r="CK21" s="21" t="s">
        <v>196</v>
      </c>
      <c r="CL21" s="21" t="s">
        <v>196</v>
      </c>
      <c r="CM21" s="21" t="s">
        <v>196</v>
      </c>
      <c r="CN21" s="21" t="s">
        <v>196</v>
      </c>
      <c r="CO21" s="21" t="s">
        <v>196</v>
      </c>
      <c r="CP21" s="21" t="s">
        <v>196</v>
      </c>
      <c r="CQ21" s="21" t="s">
        <v>196</v>
      </c>
      <c r="CR21" s="21" t="s">
        <v>196</v>
      </c>
      <c r="CS21" s="21" t="s">
        <v>196</v>
      </c>
      <c r="CT21" s="21" t="s">
        <v>196</v>
      </c>
      <c r="CU21" s="21" t="s">
        <v>196</v>
      </c>
      <c r="CV21" s="21">
        <v>115193</v>
      </c>
      <c r="CW21" s="21">
        <v>599</v>
      </c>
      <c r="CX21" s="21">
        <v>217</v>
      </c>
      <c r="CY21" s="21">
        <v>67</v>
      </c>
      <c r="CZ21" s="21">
        <v>0</v>
      </c>
      <c r="DA21" s="21">
        <v>9</v>
      </c>
      <c r="DB21" s="21">
        <v>4</v>
      </c>
      <c r="DC21" s="21">
        <v>5</v>
      </c>
      <c r="DD21" s="21">
        <v>6</v>
      </c>
      <c r="DE21" s="21">
        <v>0</v>
      </c>
      <c r="DF21" s="21">
        <v>10</v>
      </c>
      <c r="DG21" s="21">
        <v>9</v>
      </c>
      <c r="DH21" s="21">
        <v>5</v>
      </c>
      <c r="DI21" s="21">
        <v>5</v>
      </c>
      <c r="DJ21" s="21">
        <v>6</v>
      </c>
      <c r="DK21" s="21">
        <v>0</v>
      </c>
      <c r="DL21" s="21">
        <v>9</v>
      </c>
      <c r="DM21" s="21">
        <v>4</v>
      </c>
      <c r="DN21" s="21">
        <v>5</v>
      </c>
      <c r="DO21" s="21">
        <v>6</v>
      </c>
      <c r="DP21" s="21">
        <v>0</v>
      </c>
      <c r="DQ21" s="21">
        <v>115193</v>
      </c>
      <c r="DR21" s="21">
        <v>599</v>
      </c>
      <c r="DS21" s="21">
        <v>217</v>
      </c>
      <c r="DT21" s="21">
        <v>67</v>
      </c>
      <c r="DU21" s="21">
        <v>0</v>
      </c>
      <c r="DV21" s="21" t="s">
        <v>196</v>
      </c>
      <c r="DW21" s="21" t="s">
        <v>196</v>
      </c>
      <c r="DX21" s="21" t="s">
        <v>196</v>
      </c>
      <c r="DY21" s="21" t="s">
        <v>196</v>
      </c>
      <c r="DZ21" s="21" t="s">
        <v>196</v>
      </c>
      <c r="EA21" s="21" t="s">
        <v>196</v>
      </c>
      <c r="EB21" s="21" t="s">
        <v>196</v>
      </c>
      <c r="EC21" s="21" t="s">
        <v>196</v>
      </c>
      <c r="ED21" s="21" t="s">
        <v>196</v>
      </c>
      <c r="EE21" s="21" t="s">
        <v>196</v>
      </c>
      <c r="EF21" s="21" t="s">
        <v>196</v>
      </c>
      <c r="EG21" s="21" t="s">
        <v>196</v>
      </c>
      <c r="EH21" s="21" t="s">
        <v>196</v>
      </c>
      <c r="EI21" s="21" t="s">
        <v>196</v>
      </c>
      <c r="EJ21" s="21" t="s">
        <v>196</v>
      </c>
      <c r="EK21" s="21">
        <v>9</v>
      </c>
      <c r="EL21" s="21">
        <v>9</v>
      </c>
      <c r="EM21" s="21">
        <v>9</v>
      </c>
      <c r="EN21" s="21">
        <v>9</v>
      </c>
      <c r="EO21" s="21">
        <v>4</v>
      </c>
      <c r="EP21" s="21">
        <v>10.212225999999999</v>
      </c>
      <c r="EQ21" s="21">
        <v>45605</v>
      </c>
      <c r="ER21" s="21">
        <v>23913</v>
      </c>
      <c r="ES21" s="21">
        <v>11617</v>
      </c>
      <c r="ET21" s="21">
        <v>5057</v>
      </c>
      <c r="EU21" s="21">
        <v>2292</v>
      </c>
      <c r="EV21" s="21">
        <v>1040</v>
      </c>
      <c r="EW21" s="21">
        <v>522</v>
      </c>
      <c r="EX21" s="21">
        <v>275</v>
      </c>
      <c r="EY21" s="21">
        <v>174</v>
      </c>
      <c r="EZ21" s="21">
        <v>121</v>
      </c>
      <c r="FA21" s="21">
        <v>86</v>
      </c>
      <c r="FB21" s="21">
        <v>68</v>
      </c>
      <c r="FC21" s="21">
        <v>58</v>
      </c>
      <c r="FD21" s="21">
        <v>50</v>
      </c>
      <c r="FE21" s="21">
        <v>39</v>
      </c>
      <c r="FF21" s="21">
        <v>33</v>
      </c>
      <c r="FG21" s="21">
        <v>29</v>
      </c>
      <c r="FH21" s="21">
        <v>27</v>
      </c>
      <c r="FI21" s="21">
        <v>27</v>
      </c>
      <c r="FJ21" s="21">
        <v>24</v>
      </c>
      <c r="FK21" s="21">
        <v>22</v>
      </c>
      <c r="FL21" s="21">
        <v>22</v>
      </c>
      <c r="FM21" s="21">
        <v>21</v>
      </c>
      <c r="FN21" s="21">
        <v>18</v>
      </c>
      <c r="FO21" s="21">
        <v>16</v>
      </c>
      <c r="FP21" s="21">
        <v>14</v>
      </c>
      <c r="FQ21" s="21">
        <v>11</v>
      </c>
      <c r="FR21" s="21">
        <v>3</v>
      </c>
      <c r="FS21" s="21">
        <v>0</v>
      </c>
      <c r="FT21" s="23">
        <v>0</v>
      </c>
    </row>
    <row r="22" spans="1:176" x14ac:dyDescent="0.4">
      <c r="AG22" s="20" t="s">
        <v>196</v>
      </c>
      <c r="AH22" s="20" t="s">
        <v>196</v>
      </c>
      <c r="AI22" s="20" t="s">
        <v>196</v>
      </c>
      <c r="AJ22" s="20" t="s">
        <v>196</v>
      </c>
      <c r="AK22" s="20" t="s">
        <v>196</v>
      </c>
      <c r="AL22" s="20" t="s">
        <v>196</v>
      </c>
      <c r="AM22" s="20" t="s">
        <v>196</v>
      </c>
      <c r="AN22" s="20" t="s">
        <v>196</v>
      </c>
      <c r="AO22" s="20" t="s">
        <v>196</v>
      </c>
      <c r="AP22" s="20" t="s">
        <v>196</v>
      </c>
      <c r="AQ22" s="20" t="s">
        <v>196</v>
      </c>
      <c r="AR22" s="20" t="s">
        <v>196</v>
      </c>
      <c r="AS22" s="20" t="s">
        <v>196</v>
      </c>
      <c r="AT22" s="20" t="s">
        <v>196</v>
      </c>
      <c r="AU22" s="20" t="s">
        <v>196</v>
      </c>
      <c r="AV22" s="20" t="s">
        <v>196</v>
      </c>
      <c r="AW22" s="20" t="s">
        <v>196</v>
      </c>
      <c r="AX22" s="20" t="s">
        <v>196</v>
      </c>
      <c r="AY22" s="20" t="s">
        <v>196</v>
      </c>
      <c r="AZ22" s="20" t="s">
        <v>196</v>
      </c>
      <c r="BA22" s="20" t="s">
        <v>196</v>
      </c>
      <c r="BB22" s="20" t="s">
        <v>196</v>
      </c>
      <c r="BC22" s="20" t="s">
        <v>196</v>
      </c>
      <c r="BD22" s="20">
        <v>0</v>
      </c>
      <c r="BE22" s="20">
        <v>0</v>
      </c>
      <c r="BF22" s="20">
        <v>0</v>
      </c>
      <c r="BG22" s="20">
        <v>0</v>
      </c>
      <c r="BH22" s="20">
        <v>0</v>
      </c>
      <c r="BI22" s="20">
        <v>0</v>
      </c>
      <c r="BJ22" s="20">
        <v>0</v>
      </c>
      <c r="BK22" s="20" t="s">
        <v>196</v>
      </c>
      <c r="BL22" s="20" t="s">
        <v>196</v>
      </c>
      <c r="BM22" s="20" t="s">
        <v>196</v>
      </c>
      <c r="BN22" s="20" t="s">
        <v>196</v>
      </c>
      <c r="BO22" s="20" t="s">
        <v>196</v>
      </c>
      <c r="BP22" s="20" t="s">
        <v>196</v>
      </c>
      <c r="BQ22" s="20" t="s">
        <v>196</v>
      </c>
      <c r="BR22" s="20" t="s">
        <v>196</v>
      </c>
      <c r="BS22" s="20" t="s">
        <v>196</v>
      </c>
      <c r="BT22" s="20" t="s">
        <v>196</v>
      </c>
      <c r="BU22" s="20" t="s">
        <v>196</v>
      </c>
      <c r="BV22" s="20" t="s">
        <v>196</v>
      </c>
      <c r="BW22" s="20" t="s">
        <v>196</v>
      </c>
      <c r="BX22" s="20" t="s">
        <v>196</v>
      </c>
      <c r="BY22" s="20" t="s">
        <v>196</v>
      </c>
      <c r="BZ22" s="20" t="s">
        <v>196</v>
      </c>
      <c r="CA22" s="20" t="s">
        <v>196</v>
      </c>
      <c r="CB22" s="20" t="s">
        <v>196</v>
      </c>
      <c r="CC22" s="20" t="s">
        <v>196</v>
      </c>
      <c r="CD22" s="20" t="s">
        <v>196</v>
      </c>
      <c r="CE22" s="20" t="s">
        <v>196</v>
      </c>
      <c r="CF22" s="20" t="s">
        <v>196</v>
      </c>
      <c r="CG22" s="20" t="s">
        <v>196</v>
      </c>
      <c r="CH22" s="20" t="s">
        <v>196</v>
      </c>
      <c r="CI22" s="20" t="s">
        <v>196</v>
      </c>
      <c r="CJ22" s="20" t="s">
        <v>196</v>
      </c>
      <c r="CK22" s="20" t="s">
        <v>196</v>
      </c>
      <c r="CL22" s="20" t="s">
        <v>196</v>
      </c>
      <c r="CM22" s="20" t="s">
        <v>196</v>
      </c>
      <c r="CN22" s="20" t="s">
        <v>196</v>
      </c>
      <c r="CO22" s="20" t="s">
        <v>196</v>
      </c>
      <c r="CP22" s="20" t="s">
        <v>196</v>
      </c>
      <c r="CQ22" s="20" t="s">
        <v>196</v>
      </c>
      <c r="CR22" s="20" t="s">
        <v>196</v>
      </c>
      <c r="CS22" s="20" t="s">
        <v>196</v>
      </c>
      <c r="CT22" s="20" t="s">
        <v>196</v>
      </c>
      <c r="CU22" s="20" t="s">
        <v>196</v>
      </c>
      <c r="CV22" s="20">
        <v>115009</v>
      </c>
      <c r="CW22" s="20">
        <v>722</v>
      </c>
      <c r="CX22" s="20">
        <v>190</v>
      </c>
      <c r="CY22" s="20">
        <v>0</v>
      </c>
      <c r="CZ22" s="20">
        <v>24</v>
      </c>
      <c r="DA22" s="20">
        <v>9</v>
      </c>
      <c r="DB22" s="20">
        <v>5</v>
      </c>
      <c r="DC22" s="20">
        <v>5</v>
      </c>
      <c r="DD22" s="20">
        <v>0</v>
      </c>
      <c r="DE22" s="20">
        <v>7</v>
      </c>
      <c r="DF22" s="20">
        <v>10</v>
      </c>
      <c r="DG22" s="20">
        <v>9</v>
      </c>
      <c r="DH22" s="20">
        <v>5</v>
      </c>
      <c r="DI22" s="20">
        <v>5</v>
      </c>
      <c r="DJ22" s="20">
        <v>4</v>
      </c>
      <c r="DK22" s="20">
        <v>7</v>
      </c>
      <c r="DL22" s="20">
        <v>9</v>
      </c>
      <c r="DM22" s="20">
        <v>5</v>
      </c>
      <c r="DN22" s="20">
        <v>5</v>
      </c>
      <c r="DO22" s="20">
        <v>0</v>
      </c>
      <c r="DP22" s="20">
        <v>7</v>
      </c>
      <c r="DQ22" s="20">
        <v>115009</v>
      </c>
      <c r="DR22" s="20">
        <v>722</v>
      </c>
      <c r="DS22" s="20">
        <v>190</v>
      </c>
      <c r="DT22" s="20">
        <v>0</v>
      </c>
      <c r="DU22" s="20">
        <v>24</v>
      </c>
      <c r="DV22" s="20" t="s">
        <v>196</v>
      </c>
      <c r="DW22" s="20" t="s">
        <v>196</v>
      </c>
      <c r="DX22" s="20" t="s">
        <v>196</v>
      </c>
      <c r="DY22" s="20" t="s">
        <v>196</v>
      </c>
      <c r="DZ22" s="20" t="s">
        <v>196</v>
      </c>
      <c r="EA22" s="20" t="s">
        <v>196</v>
      </c>
      <c r="EB22" s="20" t="s">
        <v>196</v>
      </c>
      <c r="EC22" s="20" t="s">
        <v>196</v>
      </c>
      <c r="ED22" s="20" t="s">
        <v>196</v>
      </c>
      <c r="EE22" s="20" t="s">
        <v>196</v>
      </c>
      <c r="EF22" s="20" t="s">
        <v>196</v>
      </c>
      <c r="EG22" s="20" t="s">
        <v>196</v>
      </c>
      <c r="EH22" s="20" t="s">
        <v>196</v>
      </c>
      <c r="EI22" s="20" t="s">
        <v>196</v>
      </c>
      <c r="EJ22" s="20" t="s">
        <v>196</v>
      </c>
      <c r="EK22" s="20">
        <v>9</v>
      </c>
      <c r="EL22" s="20">
        <v>9</v>
      </c>
      <c r="EM22" s="20">
        <v>9</v>
      </c>
      <c r="EN22" s="20">
        <v>9</v>
      </c>
      <c r="EO22" s="20">
        <v>5</v>
      </c>
      <c r="EP22" s="20">
        <v>10.534121000000001</v>
      </c>
      <c r="EQ22" s="20">
        <v>46993</v>
      </c>
      <c r="ER22" s="20">
        <v>24611</v>
      </c>
      <c r="ES22" s="20">
        <v>11970</v>
      </c>
      <c r="ET22" s="20">
        <v>5277</v>
      </c>
      <c r="EU22" s="20">
        <v>2371</v>
      </c>
      <c r="EV22" s="20">
        <v>1116</v>
      </c>
      <c r="EW22" s="20">
        <v>534</v>
      </c>
      <c r="EX22" s="20">
        <v>283</v>
      </c>
      <c r="EY22" s="20">
        <v>189</v>
      </c>
      <c r="EZ22" s="20">
        <v>123</v>
      </c>
      <c r="FA22" s="20">
        <v>94</v>
      </c>
      <c r="FB22" s="20">
        <v>66</v>
      </c>
      <c r="FC22" s="20">
        <v>51</v>
      </c>
      <c r="FD22" s="20">
        <v>47</v>
      </c>
      <c r="FE22" s="20">
        <v>37</v>
      </c>
      <c r="FF22" s="20">
        <v>28</v>
      </c>
      <c r="FG22" s="20">
        <v>25</v>
      </c>
      <c r="FH22" s="20">
        <v>21</v>
      </c>
      <c r="FI22" s="20">
        <v>19</v>
      </c>
      <c r="FJ22" s="20">
        <v>18</v>
      </c>
      <c r="FK22" s="20">
        <v>15</v>
      </c>
      <c r="FL22" s="20">
        <v>12</v>
      </c>
      <c r="FM22" s="20">
        <v>12</v>
      </c>
      <c r="FN22" s="20">
        <v>11</v>
      </c>
      <c r="FO22" s="20">
        <v>9</v>
      </c>
      <c r="FP22" s="20">
        <v>8</v>
      </c>
      <c r="FQ22" s="20">
        <v>7</v>
      </c>
      <c r="FR22" s="20">
        <v>2</v>
      </c>
      <c r="FS22" s="20">
        <v>2</v>
      </c>
      <c r="FT22" s="22">
        <v>2</v>
      </c>
    </row>
    <row r="23" spans="1:176" x14ac:dyDescent="0.4">
      <c r="AG23" s="21" t="s">
        <v>196</v>
      </c>
      <c r="AH23" s="21" t="s">
        <v>196</v>
      </c>
      <c r="AI23" s="21" t="s">
        <v>196</v>
      </c>
      <c r="AJ23" s="21" t="s">
        <v>196</v>
      </c>
      <c r="AK23" s="21" t="s">
        <v>196</v>
      </c>
      <c r="AL23" s="21" t="s">
        <v>196</v>
      </c>
      <c r="AM23" s="21" t="s">
        <v>196</v>
      </c>
      <c r="AN23" s="21" t="s">
        <v>196</v>
      </c>
      <c r="AO23" s="21" t="s">
        <v>196</v>
      </c>
      <c r="AP23" s="21" t="s">
        <v>196</v>
      </c>
      <c r="AQ23" s="21" t="s">
        <v>196</v>
      </c>
      <c r="AR23" s="21" t="s">
        <v>196</v>
      </c>
      <c r="AS23" s="21" t="s">
        <v>196</v>
      </c>
      <c r="AT23" s="21" t="s">
        <v>196</v>
      </c>
      <c r="AU23" s="21" t="s">
        <v>196</v>
      </c>
      <c r="AV23" s="21" t="s">
        <v>196</v>
      </c>
      <c r="AW23" s="21" t="s">
        <v>196</v>
      </c>
      <c r="AX23" s="21" t="s">
        <v>196</v>
      </c>
      <c r="AY23" s="21" t="s">
        <v>196</v>
      </c>
      <c r="AZ23" s="21" t="s">
        <v>196</v>
      </c>
      <c r="BA23" s="21" t="s">
        <v>196</v>
      </c>
      <c r="BB23" s="21" t="s">
        <v>196</v>
      </c>
      <c r="BC23" s="21" t="s">
        <v>196</v>
      </c>
      <c r="BD23" s="21">
        <v>0</v>
      </c>
      <c r="BE23" s="21">
        <v>0</v>
      </c>
      <c r="BF23" s="21">
        <v>0</v>
      </c>
      <c r="BG23" s="21">
        <v>0</v>
      </c>
      <c r="BH23" s="21">
        <v>0</v>
      </c>
      <c r="BI23" s="21">
        <v>0</v>
      </c>
      <c r="BJ23" s="21">
        <v>0</v>
      </c>
      <c r="BK23" s="21" t="s">
        <v>196</v>
      </c>
      <c r="BL23" s="21" t="s">
        <v>196</v>
      </c>
      <c r="BM23" s="21" t="s">
        <v>196</v>
      </c>
      <c r="BN23" s="21" t="s">
        <v>196</v>
      </c>
      <c r="BO23" s="21" t="s">
        <v>196</v>
      </c>
      <c r="BP23" s="21" t="s">
        <v>196</v>
      </c>
      <c r="BQ23" s="21" t="s">
        <v>196</v>
      </c>
      <c r="BR23" s="21" t="s">
        <v>196</v>
      </c>
      <c r="BS23" s="21" t="s">
        <v>196</v>
      </c>
      <c r="BT23" s="21" t="s">
        <v>196</v>
      </c>
      <c r="BU23" s="21" t="s">
        <v>196</v>
      </c>
      <c r="BV23" s="21" t="s">
        <v>196</v>
      </c>
      <c r="BW23" s="21" t="s">
        <v>196</v>
      </c>
      <c r="BX23" s="21" t="s">
        <v>196</v>
      </c>
      <c r="BY23" s="21" t="s">
        <v>196</v>
      </c>
      <c r="BZ23" s="21" t="s">
        <v>196</v>
      </c>
      <c r="CA23" s="21" t="s">
        <v>196</v>
      </c>
      <c r="CB23" s="21" t="s">
        <v>196</v>
      </c>
      <c r="CC23" s="21" t="s">
        <v>196</v>
      </c>
      <c r="CD23" s="21" t="s">
        <v>196</v>
      </c>
      <c r="CE23" s="21" t="s">
        <v>196</v>
      </c>
      <c r="CF23" s="21" t="s">
        <v>196</v>
      </c>
      <c r="CG23" s="21" t="s">
        <v>196</v>
      </c>
      <c r="CH23" s="21" t="s">
        <v>196</v>
      </c>
      <c r="CI23" s="21" t="s">
        <v>196</v>
      </c>
      <c r="CJ23" s="21" t="s">
        <v>196</v>
      </c>
      <c r="CK23" s="21" t="s">
        <v>196</v>
      </c>
      <c r="CL23" s="21" t="s">
        <v>196</v>
      </c>
      <c r="CM23" s="21" t="s">
        <v>196</v>
      </c>
      <c r="CN23" s="21" t="s">
        <v>196</v>
      </c>
      <c r="CO23" s="21" t="s">
        <v>196</v>
      </c>
      <c r="CP23" s="21" t="s">
        <v>196</v>
      </c>
      <c r="CQ23" s="21" t="s">
        <v>196</v>
      </c>
      <c r="CR23" s="21" t="s">
        <v>196</v>
      </c>
      <c r="CS23" s="21" t="s">
        <v>196</v>
      </c>
      <c r="CT23" s="21" t="s">
        <v>196</v>
      </c>
      <c r="CU23" s="21" t="s">
        <v>196</v>
      </c>
      <c r="CV23" s="21">
        <v>115173</v>
      </c>
      <c r="CW23" s="21">
        <v>753</v>
      </c>
      <c r="CX23" s="21">
        <v>286</v>
      </c>
      <c r="CY23" s="21">
        <v>61</v>
      </c>
      <c r="CZ23" s="21">
        <v>10</v>
      </c>
      <c r="DA23" s="21">
        <v>9</v>
      </c>
      <c r="DB23" s="21">
        <v>5</v>
      </c>
      <c r="DC23" s="21">
        <v>6</v>
      </c>
      <c r="DD23" s="21">
        <v>6</v>
      </c>
      <c r="DE23" s="21">
        <v>6</v>
      </c>
      <c r="DF23" s="21">
        <v>10</v>
      </c>
      <c r="DG23" s="21">
        <v>9</v>
      </c>
      <c r="DH23" s="21">
        <v>5</v>
      </c>
      <c r="DI23" s="21">
        <v>6</v>
      </c>
      <c r="DJ23" s="21">
        <v>6</v>
      </c>
      <c r="DK23" s="21">
        <v>6</v>
      </c>
      <c r="DL23" s="21">
        <v>9</v>
      </c>
      <c r="DM23" s="21">
        <v>5</v>
      </c>
      <c r="DN23" s="21">
        <v>6</v>
      </c>
      <c r="DO23" s="21">
        <v>6</v>
      </c>
      <c r="DP23" s="21">
        <v>6</v>
      </c>
      <c r="DQ23" s="21">
        <v>115173</v>
      </c>
      <c r="DR23" s="21">
        <v>753</v>
      </c>
      <c r="DS23" s="21">
        <v>286</v>
      </c>
      <c r="DT23" s="21">
        <v>61</v>
      </c>
      <c r="DU23" s="21">
        <v>10</v>
      </c>
      <c r="DV23" s="21" t="s">
        <v>196</v>
      </c>
      <c r="DW23" s="21" t="s">
        <v>196</v>
      </c>
      <c r="DX23" s="21" t="s">
        <v>196</v>
      </c>
      <c r="DY23" s="21" t="s">
        <v>196</v>
      </c>
      <c r="DZ23" s="21" t="s">
        <v>196</v>
      </c>
      <c r="EA23" s="21" t="s">
        <v>196</v>
      </c>
      <c r="EB23" s="21" t="s">
        <v>196</v>
      </c>
      <c r="EC23" s="21" t="s">
        <v>196</v>
      </c>
      <c r="ED23" s="21" t="s">
        <v>196</v>
      </c>
      <c r="EE23" s="21" t="s">
        <v>196</v>
      </c>
      <c r="EF23" s="21" t="s">
        <v>196</v>
      </c>
      <c r="EG23" s="21" t="s">
        <v>196</v>
      </c>
      <c r="EH23" s="21" t="s">
        <v>196</v>
      </c>
      <c r="EI23" s="21" t="s">
        <v>196</v>
      </c>
      <c r="EJ23" s="21" t="s">
        <v>196</v>
      </c>
      <c r="EK23" s="21">
        <v>9</v>
      </c>
      <c r="EL23" s="21">
        <v>9</v>
      </c>
      <c r="EM23" s="21">
        <v>9</v>
      </c>
      <c r="EN23" s="21">
        <v>9</v>
      </c>
      <c r="EO23" s="21">
        <v>0</v>
      </c>
      <c r="EP23" s="21">
        <v>51.493018999999997</v>
      </c>
      <c r="EQ23" s="21">
        <v>231093</v>
      </c>
      <c r="ER23" s="21">
        <v>120510</v>
      </c>
      <c r="ES23" s="21">
        <v>58680</v>
      </c>
      <c r="ET23" s="21">
        <v>25791</v>
      </c>
      <c r="EU23" s="21">
        <v>11549</v>
      </c>
      <c r="EV23" s="21">
        <v>5427</v>
      </c>
      <c r="EW23" s="21">
        <v>2744</v>
      </c>
      <c r="EX23" s="21">
        <v>1516</v>
      </c>
      <c r="EY23" s="21">
        <v>983</v>
      </c>
      <c r="EZ23" s="21">
        <v>705</v>
      </c>
      <c r="FA23" s="21">
        <v>545</v>
      </c>
      <c r="FB23" s="21">
        <v>443</v>
      </c>
      <c r="FC23" s="21">
        <v>366</v>
      </c>
      <c r="FD23" s="21">
        <v>317</v>
      </c>
      <c r="FE23" s="21">
        <v>262</v>
      </c>
      <c r="FF23" s="21">
        <v>215</v>
      </c>
      <c r="FG23" s="21">
        <v>191</v>
      </c>
      <c r="FH23" s="21">
        <v>171</v>
      </c>
      <c r="FI23" s="21">
        <v>157</v>
      </c>
      <c r="FJ23" s="21">
        <v>141</v>
      </c>
      <c r="FK23" s="21">
        <v>124</v>
      </c>
      <c r="FL23" s="21">
        <v>107</v>
      </c>
      <c r="FM23" s="21">
        <v>96</v>
      </c>
      <c r="FN23" s="21">
        <v>87</v>
      </c>
      <c r="FO23" s="21">
        <v>71</v>
      </c>
      <c r="FP23" s="21">
        <v>65</v>
      </c>
      <c r="FQ23" s="21">
        <v>58</v>
      </c>
      <c r="FR23" s="21">
        <v>27</v>
      </c>
      <c r="FS23" s="21">
        <v>10</v>
      </c>
      <c r="FT23" s="23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451C-F428-4275-830E-9B759A21F546}">
  <sheetPr codeName="Sheet2"/>
  <dimension ref="A1:FT19"/>
  <sheetViews>
    <sheetView topLeftCell="EM1" workbookViewId="0">
      <selection activeCell="EM1" sqref="A1:XFD1"/>
    </sheetView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17.84375" bestFit="1" customWidth="1"/>
    <col min="7" max="7" width="11.15234375" bestFit="1" customWidth="1"/>
    <col min="8" max="8" width="11.61328125" bestFit="1" customWidth="1"/>
    <col min="9" max="9" width="21.382812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E2" s="19"/>
    </row>
    <row r="3" spans="1:176" x14ac:dyDescent="0.4">
      <c r="E3" s="19"/>
    </row>
    <row r="4" spans="1:176" x14ac:dyDescent="0.4">
      <c r="E4" s="19"/>
    </row>
    <row r="5" spans="1:176" x14ac:dyDescent="0.4">
      <c r="E5" s="19"/>
    </row>
    <row r="6" spans="1:176" x14ac:dyDescent="0.4">
      <c r="E6" s="19"/>
    </row>
    <row r="7" spans="1:176" x14ac:dyDescent="0.4">
      <c r="E7" s="19"/>
    </row>
    <row r="8" spans="1:176" x14ac:dyDescent="0.4">
      <c r="E8" s="19"/>
    </row>
    <row r="9" spans="1:176" x14ac:dyDescent="0.4">
      <c r="E9" s="19"/>
    </row>
    <row r="10" spans="1:176" x14ac:dyDescent="0.4">
      <c r="E10" s="19"/>
    </row>
    <row r="11" spans="1:176" x14ac:dyDescent="0.4">
      <c r="E11" s="19"/>
    </row>
    <row r="12" spans="1:176" x14ac:dyDescent="0.4">
      <c r="E12" s="19"/>
    </row>
    <row r="13" spans="1:176" x14ac:dyDescent="0.4">
      <c r="E13" s="19"/>
    </row>
    <row r="14" spans="1:176" x14ac:dyDescent="0.4">
      <c r="E14" s="19"/>
    </row>
    <row r="15" spans="1:176" x14ac:dyDescent="0.4">
      <c r="E15" s="19"/>
    </row>
    <row r="16" spans="1:176" x14ac:dyDescent="0.4">
      <c r="E16" s="19"/>
    </row>
    <row r="17" spans="5:5" x14ac:dyDescent="0.4">
      <c r="E17" s="19"/>
    </row>
    <row r="18" spans="5:5" x14ac:dyDescent="0.4">
      <c r="E18" s="19"/>
    </row>
    <row r="19" spans="5:5" x14ac:dyDescent="0.4">
      <c r="E19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D3510-5485-4A99-B4B8-E2AD10DF33AA}">
  <sheetPr codeName="Sheet5"/>
  <dimension ref="A1:FT19"/>
  <sheetViews>
    <sheetView workbookViewId="0"/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20.3828125" bestFit="1" customWidth="1"/>
    <col min="7" max="7" width="11.15234375" bestFit="1" customWidth="1"/>
    <col min="8" max="8" width="11.61328125" bestFit="1" customWidth="1"/>
    <col min="9" max="9" width="18.304687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E2" s="19"/>
    </row>
    <row r="3" spans="1:176" x14ac:dyDescent="0.4">
      <c r="E3" s="19"/>
    </row>
    <row r="4" spans="1:176" x14ac:dyDescent="0.4">
      <c r="E4" s="19"/>
    </row>
    <row r="5" spans="1:176" x14ac:dyDescent="0.4">
      <c r="E5" s="19"/>
    </row>
    <row r="6" spans="1:176" x14ac:dyDescent="0.4">
      <c r="E6" s="19"/>
    </row>
    <row r="7" spans="1:176" x14ac:dyDescent="0.4">
      <c r="E7" s="19"/>
    </row>
    <row r="8" spans="1:176" x14ac:dyDescent="0.4">
      <c r="E8" s="19"/>
    </row>
    <row r="9" spans="1:176" x14ac:dyDescent="0.4">
      <c r="E9" s="19"/>
    </row>
    <row r="10" spans="1:176" x14ac:dyDescent="0.4">
      <c r="E10" s="19"/>
    </row>
    <row r="11" spans="1:176" x14ac:dyDescent="0.4">
      <c r="E11" s="19"/>
    </row>
    <row r="12" spans="1:176" x14ac:dyDescent="0.4">
      <c r="E12" s="19"/>
    </row>
    <row r="13" spans="1:176" x14ac:dyDescent="0.4">
      <c r="E13" s="19"/>
    </row>
    <row r="14" spans="1:176" x14ac:dyDescent="0.4">
      <c r="E14" s="19"/>
    </row>
    <row r="15" spans="1:176" x14ac:dyDescent="0.4">
      <c r="E15" s="19"/>
    </row>
    <row r="16" spans="1:176" x14ac:dyDescent="0.4">
      <c r="E16" s="19"/>
    </row>
    <row r="17" spans="5:5" x14ac:dyDescent="0.4">
      <c r="E17" s="19"/>
    </row>
    <row r="18" spans="5:5" x14ac:dyDescent="0.4">
      <c r="E18" s="19"/>
    </row>
    <row r="19" spans="5:5" x14ac:dyDescent="0.4">
      <c r="E1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6396E-27A2-4D50-B5E2-E531A1A04421}">
  <sheetPr codeName="Sheet6"/>
  <dimension ref="A1"/>
  <sheetViews>
    <sheetView workbookViewId="0">
      <selection activeCell="E12" sqref="E12"/>
    </sheetView>
  </sheetViews>
  <sheetFormatPr defaultRowHeight="14.6" x14ac:dyDescent="0.4"/>
  <sheetData>
    <row r="1" spans="1:1" x14ac:dyDescent="0.4">
      <c r="A1" t="s">
        <v>197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H107"/>
  <sheetViews>
    <sheetView zoomScaleNormal="100" workbookViewId="0">
      <pane ySplit="4" topLeftCell="A5" activePane="bottomLeft" state="frozen"/>
      <selection pane="bottomLeft" activeCell="C15" sqref="C15"/>
    </sheetView>
  </sheetViews>
  <sheetFormatPr defaultColWidth="8.921875" defaultRowHeight="14.6" x14ac:dyDescent="0.4"/>
  <cols>
    <col min="1" max="8" width="20.53515625" style="2" customWidth="1"/>
    <col min="9" max="10" width="14.53515625" style="2" customWidth="1"/>
    <col min="11" max="16384" width="8.921875" style="2"/>
  </cols>
  <sheetData>
    <row r="1" spans="1:8" x14ac:dyDescent="0.4">
      <c r="A1" s="24" t="s">
        <v>0</v>
      </c>
      <c r="B1" s="24"/>
      <c r="C1" s="24"/>
      <c r="D1" s="24"/>
      <c r="E1" s="24"/>
      <c r="F1" s="24" t="s">
        <v>1</v>
      </c>
      <c r="G1" s="24"/>
      <c r="H1" s="24"/>
    </row>
    <row r="2" spans="1:8" ht="59.25" customHeight="1" x14ac:dyDescent="0.4">
      <c r="A2" s="25" t="s">
        <v>2</v>
      </c>
      <c r="B2" s="25"/>
      <c r="C2" s="25"/>
      <c r="D2" s="25"/>
      <c r="E2" s="25"/>
      <c r="F2" s="25" t="s">
        <v>3</v>
      </c>
      <c r="G2" s="25"/>
      <c r="H2" s="25"/>
    </row>
    <row r="3" spans="1:8" ht="29.15" x14ac:dyDescent="0.4">
      <c r="A3" s="3" t="s">
        <v>4</v>
      </c>
      <c r="B3" s="4" t="s">
        <v>5</v>
      </c>
      <c r="C3" s="4" t="s">
        <v>6</v>
      </c>
      <c r="D3" s="4" t="s">
        <v>7</v>
      </c>
      <c r="E3" s="4" t="s">
        <v>8</v>
      </c>
      <c r="F3" s="5" t="s">
        <v>9</v>
      </c>
      <c r="G3" s="3" t="s">
        <v>10</v>
      </c>
      <c r="H3" s="3" t="s">
        <v>11</v>
      </c>
    </row>
    <row r="4" spans="1:8" x14ac:dyDescent="0.4">
      <c r="A4" s="3" t="s">
        <v>12</v>
      </c>
      <c r="B4" s="3" t="s">
        <v>13</v>
      </c>
      <c r="C4" s="3" t="s">
        <v>13</v>
      </c>
      <c r="D4" s="3" t="s">
        <v>13</v>
      </c>
      <c r="E4" s="3" t="s">
        <v>13</v>
      </c>
      <c r="F4" s="1" t="s">
        <v>14</v>
      </c>
      <c r="G4" s="3" t="s">
        <v>13</v>
      </c>
      <c r="H4" s="3" t="s">
        <v>12</v>
      </c>
    </row>
    <row r="5" spans="1:8" x14ac:dyDescent="0.4">
      <c r="A5" s="6">
        <v>1200</v>
      </c>
      <c r="B5" s="7">
        <v>800</v>
      </c>
      <c r="C5" s="7">
        <v>800</v>
      </c>
      <c r="D5" s="7">
        <v>800</v>
      </c>
      <c r="E5" s="8">
        <f t="shared" ref="E5:E36" si="0">AVERAGE(B5:D5)</f>
        <v>800</v>
      </c>
      <c r="F5" s="9">
        <v>6</v>
      </c>
      <c r="G5" s="9">
        <v>800</v>
      </c>
      <c r="H5" s="10">
        <f>CUBICSPLINE(G5,$E$5:$E$107,$A$5:$A$107)</f>
        <v>1200</v>
      </c>
    </row>
    <row r="6" spans="1:8" x14ac:dyDescent="0.4">
      <c r="A6" s="6">
        <v>1100</v>
      </c>
      <c r="B6" s="7">
        <v>900</v>
      </c>
      <c r="C6" s="7">
        <v>900</v>
      </c>
      <c r="D6" s="7">
        <v>900</v>
      </c>
      <c r="E6" s="8">
        <f t="shared" si="0"/>
        <v>900</v>
      </c>
      <c r="F6" s="9">
        <v>5</v>
      </c>
      <c r="G6" s="9">
        <v>900</v>
      </c>
      <c r="H6" s="10">
        <f t="shared" ref="H6:H36" si="1">CUBICSPLINE(G6,$E$5:$E$107,$A$5:$A$107)</f>
        <v>1100</v>
      </c>
    </row>
    <row r="7" spans="1:8" x14ac:dyDescent="0.4">
      <c r="A7" s="6">
        <v>1000</v>
      </c>
      <c r="B7" s="7">
        <v>1000</v>
      </c>
      <c r="C7" s="7">
        <v>1000</v>
      </c>
      <c r="D7" s="7">
        <v>1000</v>
      </c>
      <c r="E7" s="8">
        <f t="shared" si="0"/>
        <v>1000</v>
      </c>
      <c r="F7" s="9">
        <v>4</v>
      </c>
      <c r="G7" s="9">
        <v>1000</v>
      </c>
      <c r="H7" s="10">
        <f t="shared" si="1"/>
        <v>1000</v>
      </c>
    </row>
    <row r="8" spans="1:8" x14ac:dyDescent="0.4">
      <c r="A8" s="6">
        <v>900</v>
      </c>
      <c r="B8" s="7">
        <v>1100</v>
      </c>
      <c r="C8" s="7"/>
      <c r="D8" s="7"/>
      <c r="E8" s="8">
        <f t="shared" si="0"/>
        <v>1100</v>
      </c>
      <c r="F8" s="9">
        <v>3</v>
      </c>
      <c r="G8" s="9">
        <v>1200</v>
      </c>
      <c r="H8" s="10">
        <f t="shared" si="1"/>
        <v>840.47619047619048</v>
      </c>
    </row>
    <row r="9" spans="1:8" x14ac:dyDescent="0.4">
      <c r="A9" s="6">
        <v>800</v>
      </c>
      <c r="B9" s="7">
        <v>1300</v>
      </c>
      <c r="C9" s="7"/>
      <c r="D9" s="7"/>
      <c r="E9" s="8">
        <f t="shared" si="0"/>
        <v>1300</v>
      </c>
      <c r="F9" s="9"/>
      <c r="G9" s="9"/>
      <c r="H9" s="10">
        <f t="shared" si="1"/>
        <v>0</v>
      </c>
    </row>
    <row r="10" spans="1:8" x14ac:dyDescent="0.4">
      <c r="A10" s="6">
        <v>700</v>
      </c>
      <c r="B10" s="7">
        <v>1800</v>
      </c>
      <c r="C10" s="7"/>
      <c r="D10" s="7"/>
      <c r="E10" s="8">
        <f t="shared" si="0"/>
        <v>1800</v>
      </c>
      <c r="F10" s="9"/>
      <c r="G10" s="9"/>
      <c r="H10" s="10">
        <f t="shared" si="1"/>
        <v>0</v>
      </c>
    </row>
    <row r="11" spans="1:8" x14ac:dyDescent="0.4">
      <c r="A11" s="6">
        <v>600</v>
      </c>
      <c r="B11" s="7">
        <v>1900</v>
      </c>
      <c r="C11" s="7"/>
      <c r="D11" s="7"/>
      <c r="E11" s="8">
        <f t="shared" si="0"/>
        <v>1900</v>
      </c>
      <c r="F11" s="9"/>
      <c r="G11" s="9"/>
      <c r="H11" s="10">
        <f t="shared" si="1"/>
        <v>0</v>
      </c>
    </row>
    <row r="12" spans="1:8" x14ac:dyDescent="0.4">
      <c r="A12" s="6"/>
      <c r="B12" s="7"/>
      <c r="C12" s="7"/>
      <c r="D12" s="7"/>
      <c r="E12" s="8" t="e">
        <f t="shared" si="0"/>
        <v>#DIV/0!</v>
      </c>
      <c r="F12" s="9"/>
      <c r="G12" s="9"/>
      <c r="H12" s="10">
        <f t="shared" si="1"/>
        <v>0</v>
      </c>
    </row>
    <row r="13" spans="1:8" x14ac:dyDescent="0.4">
      <c r="A13" s="6"/>
      <c r="B13" s="7"/>
      <c r="C13" s="7"/>
      <c r="D13" s="7"/>
      <c r="E13" s="8" t="e">
        <f t="shared" si="0"/>
        <v>#DIV/0!</v>
      </c>
      <c r="F13" s="9"/>
      <c r="G13" s="9"/>
      <c r="H13" s="10">
        <f t="shared" si="1"/>
        <v>0</v>
      </c>
    </row>
    <row r="14" spans="1:8" x14ac:dyDescent="0.4">
      <c r="A14" s="6"/>
      <c r="B14" s="7"/>
      <c r="C14" s="7"/>
      <c r="D14" s="7"/>
      <c r="E14" s="8" t="e">
        <f t="shared" si="0"/>
        <v>#DIV/0!</v>
      </c>
      <c r="F14" s="9"/>
      <c r="G14" s="9"/>
      <c r="H14" s="10">
        <f t="shared" si="1"/>
        <v>0</v>
      </c>
    </row>
    <row r="15" spans="1:8" x14ac:dyDescent="0.4">
      <c r="A15" s="6"/>
      <c r="B15" s="7"/>
      <c r="C15" s="7"/>
      <c r="D15" s="7"/>
      <c r="E15" s="8" t="e">
        <f t="shared" si="0"/>
        <v>#DIV/0!</v>
      </c>
      <c r="F15" s="9"/>
      <c r="G15" s="9"/>
      <c r="H15" s="10">
        <f t="shared" si="1"/>
        <v>0</v>
      </c>
    </row>
    <row r="16" spans="1:8" x14ac:dyDescent="0.4">
      <c r="A16" s="6"/>
      <c r="B16" s="7"/>
      <c r="C16" s="7"/>
      <c r="D16" s="7"/>
      <c r="E16" s="8" t="e">
        <f t="shared" si="0"/>
        <v>#DIV/0!</v>
      </c>
      <c r="F16" s="9"/>
      <c r="G16" s="9"/>
      <c r="H16" s="10">
        <f t="shared" si="1"/>
        <v>0</v>
      </c>
    </row>
    <row r="17" spans="1:8" x14ac:dyDescent="0.4">
      <c r="A17" s="6"/>
      <c r="B17" s="7"/>
      <c r="C17" s="7"/>
      <c r="D17" s="7"/>
      <c r="E17" s="8" t="e">
        <f t="shared" si="0"/>
        <v>#DIV/0!</v>
      </c>
      <c r="F17" s="9"/>
      <c r="G17" s="9"/>
      <c r="H17" s="10">
        <f t="shared" si="1"/>
        <v>0</v>
      </c>
    </row>
    <row r="18" spans="1:8" x14ac:dyDescent="0.4">
      <c r="A18" s="6"/>
      <c r="B18" s="7"/>
      <c r="C18" s="7"/>
      <c r="D18" s="7"/>
      <c r="E18" s="8" t="e">
        <f t="shared" si="0"/>
        <v>#DIV/0!</v>
      </c>
      <c r="F18" s="9"/>
      <c r="G18" s="9"/>
      <c r="H18" s="10">
        <f t="shared" si="1"/>
        <v>0</v>
      </c>
    </row>
    <row r="19" spans="1:8" x14ac:dyDescent="0.4">
      <c r="A19" s="6"/>
      <c r="B19" s="7"/>
      <c r="C19" s="7"/>
      <c r="D19" s="7"/>
      <c r="E19" s="8" t="e">
        <f t="shared" si="0"/>
        <v>#DIV/0!</v>
      </c>
      <c r="F19" s="9"/>
      <c r="G19" s="9"/>
      <c r="H19" s="10">
        <f t="shared" si="1"/>
        <v>0</v>
      </c>
    </row>
    <row r="20" spans="1:8" x14ac:dyDescent="0.4">
      <c r="A20" s="6"/>
      <c r="B20" s="7"/>
      <c r="C20" s="7"/>
      <c r="D20" s="7"/>
      <c r="E20" s="8" t="e">
        <f t="shared" si="0"/>
        <v>#DIV/0!</v>
      </c>
      <c r="F20" s="9"/>
      <c r="G20" s="9"/>
      <c r="H20" s="10">
        <f t="shared" si="1"/>
        <v>0</v>
      </c>
    </row>
    <row r="21" spans="1:8" x14ac:dyDescent="0.4">
      <c r="A21" s="6"/>
      <c r="B21" s="7"/>
      <c r="C21" s="7"/>
      <c r="D21" s="7"/>
      <c r="E21" s="8" t="e">
        <f t="shared" si="0"/>
        <v>#DIV/0!</v>
      </c>
      <c r="F21" s="9"/>
      <c r="G21" s="9"/>
      <c r="H21" s="10">
        <f t="shared" si="1"/>
        <v>0</v>
      </c>
    </row>
    <row r="22" spans="1:8" x14ac:dyDescent="0.4">
      <c r="A22" s="6"/>
      <c r="B22" s="7"/>
      <c r="C22" s="7"/>
      <c r="D22" s="7"/>
      <c r="E22" s="8" t="e">
        <f t="shared" si="0"/>
        <v>#DIV/0!</v>
      </c>
      <c r="F22" s="9"/>
      <c r="G22" s="9"/>
      <c r="H22" s="10">
        <f t="shared" si="1"/>
        <v>0</v>
      </c>
    </row>
    <row r="23" spans="1:8" x14ac:dyDescent="0.4">
      <c r="A23" s="6"/>
      <c r="B23" s="7"/>
      <c r="C23" s="7"/>
      <c r="D23" s="7"/>
      <c r="E23" s="8" t="e">
        <f t="shared" si="0"/>
        <v>#DIV/0!</v>
      </c>
      <c r="F23" s="9"/>
      <c r="G23" s="9"/>
      <c r="H23" s="10">
        <f t="shared" si="1"/>
        <v>0</v>
      </c>
    </row>
    <row r="24" spans="1:8" x14ac:dyDescent="0.4">
      <c r="A24" s="6"/>
      <c r="B24" s="7"/>
      <c r="C24" s="7"/>
      <c r="D24" s="7"/>
      <c r="E24" s="8" t="e">
        <f t="shared" si="0"/>
        <v>#DIV/0!</v>
      </c>
      <c r="F24" s="9"/>
      <c r="G24" s="9"/>
      <c r="H24" s="10">
        <f t="shared" si="1"/>
        <v>0</v>
      </c>
    </row>
    <row r="25" spans="1:8" x14ac:dyDescent="0.4">
      <c r="A25" s="6"/>
      <c r="B25" s="7"/>
      <c r="C25" s="7"/>
      <c r="D25" s="7"/>
      <c r="E25" s="8" t="e">
        <f t="shared" si="0"/>
        <v>#DIV/0!</v>
      </c>
      <c r="F25" s="9"/>
      <c r="G25" s="9"/>
      <c r="H25" s="10">
        <f t="shared" si="1"/>
        <v>0</v>
      </c>
    </row>
    <row r="26" spans="1:8" x14ac:dyDescent="0.4">
      <c r="A26" s="6"/>
      <c r="B26" s="7"/>
      <c r="C26" s="7"/>
      <c r="D26" s="7"/>
      <c r="E26" s="8" t="e">
        <f t="shared" si="0"/>
        <v>#DIV/0!</v>
      </c>
      <c r="F26" s="9"/>
      <c r="G26" s="9"/>
      <c r="H26" s="10">
        <f t="shared" si="1"/>
        <v>0</v>
      </c>
    </row>
    <row r="27" spans="1:8" x14ac:dyDescent="0.4">
      <c r="A27" s="6"/>
      <c r="B27" s="7"/>
      <c r="C27" s="7"/>
      <c r="D27" s="7"/>
      <c r="E27" s="8" t="e">
        <f t="shared" si="0"/>
        <v>#DIV/0!</v>
      </c>
      <c r="F27" s="9"/>
      <c r="G27" s="9"/>
      <c r="H27" s="10">
        <f t="shared" si="1"/>
        <v>0</v>
      </c>
    </row>
    <row r="28" spans="1:8" x14ac:dyDescent="0.4">
      <c r="A28" s="6"/>
      <c r="B28" s="7"/>
      <c r="C28" s="7"/>
      <c r="D28" s="7"/>
      <c r="E28" s="8" t="e">
        <f t="shared" si="0"/>
        <v>#DIV/0!</v>
      </c>
      <c r="F28" s="9"/>
      <c r="G28" s="9"/>
      <c r="H28" s="10">
        <f t="shared" si="1"/>
        <v>0</v>
      </c>
    </row>
    <row r="29" spans="1:8" x14ac:dyDescent="0.4">
      <c r="A29" s="6"/>
      <c r="B29" s="7"/>
      <c r="C29" s="7"/>
      <c r="D29" s="7"/>
      <c r="E29" s="8" t="e">
        <f t="shared" si="0"/>
        <v>#DIV/0!</v>
      </c>
      <c r="F29" s="9"/>
      <c r="G29" s="9"/>
      <c r="H29" s="10">
        <f t="shared" si="1"/>
        <v>0</v>
      </c>
    </row>
    <row r="30" spans="1:8" x14ac:dyDescent="0.4">
      <c r="A30" s="6"/>
      <c r="B30" s="7"/>
      <c r="C30" s="7"/>
      <c r="D30" s="7"/>
      <c r="E30" s="8" t="e">
        <f t="shared" si="0"/>
        <v>#DIV/0!</v>
      </c>
      <c r="F30" s="9"/>
      <c r="G30" s="9"/>
      <c r="H30" s="10">
        <f t="shared" si="1"/>
        <v>0</v>
      </c>
    </row>
    <row r="31" spans="1:8" x14ac:dyDescent="0.4">
      <c r="A31" s="6"/>
      <c r="B31" s="7"/>
      <c r="C31" s="7"/>
      <c r="D31" s="7"/>
      <c r="E31" s="8" t="e">
        <f t="shared" si="0"/>
        <v>#DIV/0!</v>
      </c>
      <c r="F31" s="9"/>
      <c r="G31" s="9"/>
      <c r="H31" s="10">
        <f t="shared" si="1"/>
        <v>0</v>
      </c>
    </row>
    <row r="32" spans="1:8" x14ac:dyDescent="0.4">
      <c r="A32" s="6"/>
      <c r="B32" s="7"/>
      <c r="C32" s="7"/>
      <c r="D32" s="7"/>
      <c r="E32" s="8" t="e">
        <f t="shared" si="0"/>
        <v>#DIV/0!</v>
      </c>
      <c r="F32" s="9"/>
      <c r="G32" s="9"/>
      <c r="H32" s="10">
        <f t="shared" si="1"/>
        <v>0</v>
      </c>
    </row>
    <row r="33" spans="1:8" x14ac:dyDescent="0.4">
      <c r="A33" s="6"/>
      <c r="B33" s="7"/>
      <c r="C33" s="7"/>
      <c r="D33" s="7"/>
      <c r="E33" s="8" t="e">
        <f t="shared" si="0"/>
        <v>#DIV/0!</v>
      </c>
      <c r="F33" s="9"/>
      <c r="G33" s="9"/>
      <c r="H33" s="10">
        <f t="shared" si="1"/>
        <v>0</v>
      </c>
    </row>
    <row r="34" spans="1:8" x14ac:dyDescent="0.4">
      <c r="A34" s="6"/>
      <c r="B34" s="7"/>
      <c r="C34" s="7"/>
      <c r="D34" s="7"/>
      <c r="E34" s="8" t="e">
        <f t="shared" si="0"/>
        <v>#DIV/0!</v>
      </c>
      <c r="F34" s="9"/>
      <c r="G34" s="9"/>
      <c r="H34" s="10">
        <f t="shared" si="1"/>
        <v>0</v>
      </c>
    </row>
    <row r="35" spans="1:8" x14ac:dyDescent="0.4">
      <c r="A35" s="6"/>
      <c r="B35" s="7"/>
      <c r="C35" s="7"/>
      <c r="D35" s="7"/>
      <c r="E35" s="8" t="e">
        <f t="shared" si="0"/>
        <v>#DIV/0!</v>
      </c>
      <c r="F35" s="9"/>
      <c r="G35" s="9"/>
      <c r="H35" s="10">
        <f t="shared" si="1"/>
        <v>0</v>
      </c>
    </row>
    <row r="36" spans="1:8" x14ac:dyDescent="0.4">
      <c r="A36" s="6"/>
      <c r="B36" s="7"/>
      <c r="C36" s="7"/>
      <c r="D36" s="7"/>
      <c r="E36" s="8" t="e">
        <f t="shared" si="0"/>
        <v>#DIV/0!</v>
      </c>
      <c r="F36" s="9"/>
      <c r="G36" s="9"/>
      <c r="H36" s="10">
        <f t="shared" si="1"/>
        <v>0</v>
      </c>
    </row>
    <row r="37" spans="1:8" x14ac:dyDescent="0.4">
      <c r="A37" s="6"/>
      <c r="B37" s="7"/>
      <c r="C37" s="7"/>
      <c r="D37" s="7"/>
      <c r="E37" s="8" t="e">
        <f t="shared" ref="E37:E68" si="2">AVERAGE(B37:D37)</f>
        <v>#DIV/0!</v>
      </c>
      <c r="F37" s="9"/>
      <c r="G37" s="9"/>
      <c r="H37" s="10">
        <f t="shared" ref="H37:H68" si="3">CUBICSPLINE(G37,$E$5:$E$107,$A$5:$A$107)</f>
        <v>0</v>
      </c>
    </row>
    <row r="38" spans="1:8" x14ac:dyDescent="0.4">
      <c r="A38" s="6"/>
      <c r="B38" s="7"/>
      <c r="C38" s="7"/>
      <c r="D38" s="7"/>
      <c r="E38" s="8" t="e">
        <f t="shared" si="2"/>
        <v>#DIV/0!</v>
      </c>
      <c r="F38" s="9"/>
      <c r="G38" s="9"/>
      <c r="H38" s="10">
        <f t="shared" si="3"/>
        <v>0</v>
      </c>
    </row>
    <row r="39" spans="1:8" x14ac:dyDescent="0.4">
      <c r="A39" s="6"/>
      <c r="B39" s="7"/>
      <c r="C39" s="7"/>
      <c r="D39" s="7"/>
      <c r="E39" s="8" t="e">
        <f t="shared" si="2"/>
        <v>#DIV/0!</v>
      </c>
      <c r="F39" s="9"/>
      <c r="G39" s="9"/>
      <c r="H39" s="10">
        <f t="shared" si="3"/>
        <v>0</v>
      </c>
    </row>
    <row r="40" spans="1:8" x14ac:dyDescent="0.4">
      <c r="A40" s="6"/>
      <c r="B40" s="7"/>
      <c r="C40" s="7"/>
      <c r="D40" s="7"/>
      <c r="E40" s="8" t="e">
        <f t="shared" si="2"/>
        <v>#DIV/0!</v>
      </c>
      <c r="F40" s="9"/>
      <c r="G40" s="9"/>
      <c r="H40" s="10">
        <f t="shared" si="3"/>
        <v>0</v>
      </c>
    </row>
    <row r="41" spans="1:8" x14ac:dyDescent="0.4">
      <c r="A41" s="6"/>
      <c r="B41" s="7"/>
      <c r="C41" s="7"/>
      <c r="D41" s="7"/>
      <c r="E41" s="8" t="e">
        <f t="shared" si="2"/>
        <v>#DIV/0!</v>
      </c>
      <c r="F41" s="9"/>
      <c r="G41" s="9"/>
      <c r="H41" s="10">
        <f t="shared" si="3"/>
        <v>0</v>
      </c>
    </row>
    <row r="42" spans="1:8" x14ac:dyDescent="0.4">
      <c r="A42" s="6"/>
      <c r="B42" s="7"/>
      <c r="C42" s="7"/>
      <c r="D42" s="7"/>
      <c r="E42" s="8" t="e">
        <f t="shared" si="2"/>
        <v>#DIV/0!</v>
      </c>
      <c r="F42" s="9"/>
      <c r="G42" s="9"/>
      <c r="H42" s="10">
        <f t="shared" si="3"/>
        <v>0</v>
      </c>
    </row>
    <row r="43" spans="1:8" x14ac:dyDescent="0.4">
      <c r="A43" s="6"/>
      <c r="B43" s="7"/>
      <c r="C43" s="7"/>
      <c r="D43" s="7"/>
      <c r="E43" s="8" t="e">
        <f t="shared" si="2"/>
        <v>#DIV/0!</v>
      </c>
      <c r="F43" s="9"/>
      <c r="G43" s="9"/>
      <c r="H43" s="10">
        <f t="shared" si="3"/>
        <v>0</v>
      </c>
    </row>
    <row r="44" spans="1:8" x14ac:dyDescent="0.4">
      <c r="A44" s="6"/>
      <c r="B44" s="7"/>
      <c r="C44" s="7"/>
      <c r="D44" s="7"/>
      <c r="E44" s="8" t="e">
        <f t="shared" si="2"/>
        <v>#DIV/0!</v>
      </c>
      <c r="F44" s="9"/>
      <c r="G44" s="9"/>
      <c r="H44" s="10">
        <f t="shared" si="3"/>
        <v>0</v>
      </c>
    </row>
    <row r="45" spans="1:8" x14ac:dyDescent="0.4">
      <c r="A45" s="6"/>
      <c r="B45" s="7"/>
      <c r="C45" s="7"/>
      <c r="D45" s="7"/>
      <c r="E45" s="8" t="e">
        <f t="shared" si="2"/>
        <v>#DIV/0!</v>
      </c>
      <c r="F45" s="9"/>
      <c r="G45" s="9"/>
      <c r="H45" s="10">
        <f t="shared" si="3"/>
        <v>0</v>
      </c>
    </row>
    <row r="46" spans="1:8" x14ac:dyDescent="0.4">
      <c r="A46" s="6"/>
      <c r="B46" s="7"/>
      <c r="C46" s="7"/>
      <c r="D46" s="7"/>
      <c r="E46" s="8" t="e">
        <f t="shared" si="2"/>
        <v>#DIV/0!</v>
      </c>
      <c r="F46" s="9"/>
      <c r="G46" s="9"/>
      <c r="H46" s="10">
        <f t="shared" si="3"/>
        <v>0</v>
      </c>
    </row>
    <row r="47" spans="1:8" x14ac:dyDescent="0.4">
      <c r="A47" s="6"/>
      <c r="B47" s="7"/>
      <c r="C47" s="7"/>
      <c r="D47" s="7"/>
      <c r="E47" s="8" t="e">
        <f t="shared" si="2"/>
        <v>#DIV/0!</v>
      </c>
      <c r="F47" s="9"/>
      <c r="G47" s="9"/>
      <c r="H47" s="10">
        <f t="shared" si="3"/>
        <v>0</v>
      </c>
    </row>
    <row r="48" spans="1:8" x14ac:dyDescent="0.4">
      <c r="A48" s="6"/>
      <c r="B48" s="7"/>
      <c r="C48" s="7"/>
      <c r="D48" s="7"/>
      <c r="E48" s="8" t="e">
        <f t="shared" si="2"/>
        <v>#DIV/0!</v>
      </c>
      <c r="F48" s="9"/>
      <c r="G48" s="9"/>
      <c r="H48" s="10">
        <f t="shared" si="3"/>
        <v>0</v>
      </c>
    </row>
    <row r="49" spans="1:8" x14ac:dyDescent="0.4">
      <c r="A49" s="6"/>
      <c r="B49" s="7"/>
      <c r="C49" s="7"/>
      <c r="D49" s="7"/>
      <c r="E49" s="8" t="e">
        <f t="shared" si="2"/>
        <v>#DIV/0!</v>
      </c>
      <c r="F49" s="9"/>
      <c r="G49" s="9"/>
      <c r="H49" s="10">
        <f t="shared" si="3"/>
        <v>0</v>
      </c>
    </row>
    <row r="50" spans="1:8" x14ac:dyDescent="0.4">
      <c r="A50" s="6"/>
      <c r="B50" s="7"/>
      <c r="C50" s="7"/>
      <c r="D50" s="7"/>
      <c r="E50" s="8" t="e">
        <f t="shared" si="2"/>
        <v>#DIV/0!</v>
      </c>
      <c r="F50" s="9"/>
      <c r="G50" s="9"/>
      <c r="H50" s="10">
        <f t="shared" si="3"/>
        <v>0</v>
      </c>
    </row>
    <row r="51" spans="1:8" x14ac:dyDescent="0.4">
      <c r="A51" s="6"/>
      <c r="B51" s="7"/>
      <c r="C51" s="7"/>
      <c r="D51" s="7"/>
      <c r="E51" s="8" t="e">
        <f t="shared" si="2"/>
        <v>#DIV/0!</v>
      </c>
      <c r="F51" s="9"/>
      <c r="G51" s="9"/>
      <c r="H51" s="10">
        <f t="shared" si="3"/>
        <v>0</v>
      </c>
    </row>
    <row r="52" spans="1:8" x14ac:dyDescent="0.4">
      <c r="A52" s="6"/>
      <c r="B52" s="7"/>
      <c r="C52" s="7"/>
      <c r="D52" s="7"/>
      <c r="E52" s="8" t="e">
        <f t="shared" si="2"/>
        <v>#DIV/0!</v>
      </c>
      <c r="F52" s="9"/>
      <c r="G52" s="9"/>
      <c r="H52" s="10">
        <f t="shared" si="3"/>
        <v>0</v>
      </c>
    </row>
    <row r="53" spans="1:8" x14ac:dyDescent="0.4">
      <c r="A53" s="6"/>
      <c r="B53" s="7"/>
      <c r="C53" s="7"/>
      <c r="D53" s="7"/>
      <c r="E53" s="8" t="e">
        <f t="shared" si="2"/>
        <v>#DIV/0!</v>
      </c>
      <c r="F53" s="9"/>
      <c r="G53" s="9"/>
      <c r="H53" s="10">
        <f t="shared" si="3"/>
        <v>0</v>
      </c>
    </row>
    <row r="54" spans="1:8" x14ac:dyDescent="0.4">
      <c r="A54" s="6"/>
      <c r="B54" s="7"/>
      <c r="C54" s="7"/>
      <c r="D54" s="7"/>
      <c r="E54" s="8" t="e">
        <f t="shared" si="2"/>
        <v>#DIV/0!</v>
      </c>
      <c r="F54" s="9"/>
      <c r="G54" s="9"/>
      <c r="H54" s="10">
        <f t="shared" si="3"/>
        <v>0</v>
      </c>
    </row>
    <row r="55" spans="1:8" x14ac:dyDescent="0.4">
      <c r="A55" s="6"/>
      <c r="B55" s="7"/>
      <c r="C55" s="7"/>
      <c r="D55" s="7"/>
      <c r="E55" s="8" t="e">
        <f t="shared" si="2"/>
        <v>#DIV/0!</v>
      </c>
      <c r="F55" s="9"/>
      <c r="G55" s="9"/>
      <c r="H55" s="10">
        <f t="shared" si="3"/>
        <v>0</v>
      </c>
    </row>
    <row r="56" spans="1:8" x14ac:dyDescent="0.4">
      <c r="A56" s="6"/>
      <c r="B56" s="7"/>
      <c r="C56" s="7"/>
      <c r="D56" s="7"/>
      <c r="E56" s="8" t="e">
        <f t="shared" si="2"/>
        <v>#DIV/0!</v>
      </c>
      <c r="F56" s="9"/>
      <c r="G56" s="9"/>
      <c r="H56" s="10">
        <f t="shared" si="3"/>
        <v>0</v>
      </c>
    </row>
    <row r="57" spans="1:8" x14ac:dyDescent="0.4">
      <c r="A57" s="6"/>
      <c r="B57" s="7"/>
      <c r="C57" s="7"/>
      <c r="D57" s="7"/>
      <c r="E57" s="8" t="e">
        <f t="shared" si="2"/>
        <v>#DIV/0!</v>
      </c>
      <c r="F57" s="9"/>
      <c r="G57" s="9"/>
      <c r="H57" s="10">
        <f t="shared" si="3"/>
        <v>0</v>
      </c>
    </row>
    <row r="58" spans="1:8" x14ac:dyDescent="0.4">
      <c r="A58" s="6"/>
      <c r="B58" s="7"/>
      <c r="C58" s="7"/>
      <c r="D58" s="7"/>
      <c r="E58" s="8" t="e">
        <f t="shared" si="2"/>
        <v>#DIV/0!</v>
      </c>
      <c r="F58" s="9"/>
      <c r="G58" s="9"/>
      <c r="H58" s="10">
        <f t="shared" si="3"/>
        <v>0</v>
      </c>
    </row>
    <row r="59" spans="1:8" x14ac:dyDescent="0.4">
      <c r="A59" s="6"/>
      <c r="B59" s="7"/>
      <c r="C59" s="7"/>
      <c r="D59" s="7"/>
      <c r="E59" s="8" t="e">
        <f t="shared" si="2"/>
        <v>#DIV/0!</v>
      </c>
      <c r="F59" s="9"/>
      <c r="G59" s="9"/>
      <c r="H59" s="10">
        <f t="shared" si="3"/>
        <v>0</v>
      </c>
    </row>
    <row r="60" spans="1:8" x14ac:dyDescent="0.4">
      <c r="A60" s="6"/>
      <c r="B60" s="7"/>
      <c r="C60" s="7"/>
      <c r="D60" s="7"/>
      <c r="E60" s="8" t="e">
        <f t="shared" si="2"/>
        <v>#DIV/0!</v>
      </c>
      <c r="F60" s="9"/>
      <c r="G60" s="9"/>
      <c r="H60" s="10">
        <f t="shared" si="3"/>
        <v>0</v>
      </c>
    </row>
    <row r="61" spans="1:8" x14ac:dyDescent="0.4">
      <c r="A61" s="6"/>
      <c r="B61" s="7"/>
      <c r="C61" s="7"/>
      <c r="D61" s="7"/>
      <c r="E61" s="8" t="e">
        <f t="shared" si="2"/>
        <v>#DIV/0!</v>
      </c>
      <c r="F61" s="9"/>
      <c r="G61" s="9"/>
      <c r="H61" s="10">
        <f t="shared" si="3"/>
        <v>0</v>
      </c>
    </row>
    <row r="62" spans="1:8" x14ac:dyDescent="0.4">
      <c r="A62" s="6"/>
      <c r="B62" s="7"/>
      <c r="C62" s="7"/>
      <c r="D62" s="7"/>
      <c r="E62" s="8" t="e">
        <f t="shared" si="2"/>
        <v>#DIV/0!</v>
      </c>
      <c r="F62" s="9"/>
      <c r="G62" s="9"/>
      <c r="H62" s="10">
        <f t="shared" si="3"/>
        <v>0</v>
      </c>
    </row>
    <row r="63" spans="1:8" x14ac:dyDescent="0.4">
      <c r="A63" s="6"/>
      <c r="B63" s="7"/>
      <c r="C63" s="7"/>
      <c r="D63" s="7"/>
      <c r="E63" s="8" t="e">
        <f t="shared" si="2"/>
        <v>#DIV/0!</v>
      </c>
      <c r="F63" s="9"/>
      <c r="G63" s="9"/>
      <c r="H63" s="10">
        <f t="shared" si="3"/>
        <v>0</v>
      </c>
    </row>
    <row r="64" spans="1:8" x14ac:dyDescent="0.4">
      <c r="A64" s="6"/>
      <c r="B64" s="7"/>
      <c r="C64" s="7"/>
      <c r="D64" s="7"/>
      <c r="E64" s="8" t="e">
        <f t="shared" si="2"/>
        <v>#DIV/0!</v>
      </c>
      <c r="F64" s="9"/>
      <c r="G64" s="9"/>
      <c r="H64" s="10">
        <f t="shared" si="3"/>
        <v>0</v>
      </c>
    </row>
    <row r="65" spans="1:8" x14ac:dyDescent="0.4">
      <c r="A65" s="6"/>
      <c r="B65" s="7"/>
      <c r="C65" s="7"/>
      <c r="D65" s="7"/>
      <c r="E65" s="8" t="e">
        <f t="shared" si="2"/>
        <v>#DIV/0!</v>
      </c>
      <c r="F65" s="9"/>
      <c r="G65" s="9"/>
      <c r="H65" s="10">
        <f t="shared" si="3"/>
        <v>0</v>
      </c>
    </row>
    <row r="66" spans="1:8" x14ac:dyDescent="0.4">
      <c r="A66" s="6"/>
      <c r="B66" s="7"/>
      <c r="C66" s="7"/>
      <c r="D66" s="7"/>
      <c r="E66" s="8" t="e">
        <f t="shared" si="2"/>
        <v>#DIV/0!</v>
      </c>
      <c r="F66" s="9"/>
      <c r="G66" s="9"/>
      <c r="H66" s="10">
        <f t="shared" si="3"/>
        <v>0</v>
      </c>
    </row>
    <row r="67" spans="1:8" x14ac:dyDescent="0.4">
      <c r="A67" s="6"/>
      <c r="B67" s="7"/>
      <c r="C67" s="7"/>
      <c r="D67" s="7"/>
      <c r="E67" s="8" t="e">
        <f t="shared" si="2"/>
        <v>#DIV/0!</v>
      </c>
      <c r="F67" s="9"/>
      <c r="G67" s="9"/>
      <c r="H67" s="10">
        <f t="shared" si="3"/>
        <v>0</v>
      </c>
    </row>
    <row r="68" spans="1:8" x14ac:dyDescent="0.4">
      <c r="A68" s="6"/>
      <c r="B68" s="7"/>
      <c r="C68" s="7"/>
      <c r="D68" s="7"/>
      <c r="E68" s="8" t="e">
        <f t="shared" si="2"/>
        <v>#DIV/0!</v>
      </c>
      <c r="F68" s="9"/>
      <c r="G68" s="9"/>
      <c r="H68" s="10">
        <f t="shared" si="3"/>
        <v>0</v>
      </c>
    </row>
    <row r="69" spans="1:8" x14ac:dyDescent="0.4">
      <c r="A69" s="6"/>
      <c r="B69" s="7"/>
      <c r="C69" s="7"/>
      <c r="D69" s="7"/>
      <c r="E69" s="8" t="e">
        <f t="shared" ref="E69:E100" si="4">AVERAGE(B69:D69)</f>
        <v>#DIV/0!</v>
      </c>
      <c r="F69" s="9"/>
      <c r="G69" s="9"/>
      <c r="H69" s="10">
        <f t="shared" ref="H69:H100" si="5">CUBICSPLINE(G69,$E$5:$E$107,$A$5:$A$107)</f>
        <v>0</v>
      </c>
    </row>
    <row r="70" spans="1:8" x14ac:dyDescent="0.4">
      <c r="A70" s="6"/>
      <c r="B70" s="7"/>
      <c r="C70" s="7"/>
      <c r="D70" s="7"/>
      <c r="E70" s="8" t="e">
        <f t="shared" si="4"/>
        <v>#DIV/0!</v>
      </c>
      <c r="F70" s="9"/>
      <c r="G70" s="9"/>
      <c r="H70" s="10">
        <f t="shared" si="5"/>
        <v>0</v>
      </c>
    </row>
    <row r="71" spans="1:8" x14ac:dyDescent="0.4">
      <c r="A71" s="6"/>
      <c r="B71" s="7"/>
      <c r="C71" s="7"/>
      <c r="D71" s="7"/>
      <c r="E71" s="8" t="e">
        <f t="shared" si="4"/>
        <v>#DIV/0!</v>
      </c>
      <c r="F71" s="9"/>
      <c r="G71" s="9"/>
      <c r="H71" s="10">
        <f t="shared" si="5"/>
        <v>0</v>
      </c>
    </row>
    <row r="72" spans="1:8" x14ac:dyDescent="0.4">
      <c r="A72" s="6"/>
      <c r="B72" s="7"/>
      <c r="C72" s="7"/>
      <c r="D72" s="7"/>
      <c r="E72" s="8" t="e">
        <f t="shared" si="4"/>
        <v>#DIV/0!</v>
      </c>
      <c r="F72" s="9"/>
      <c r="G72" s="9"/>
      <c r="H72" s="10">
        <f t="shared" si="5"/>
        <v>0</v>
      </c>
    </row>
    <row r="73" spans="1:8" x14ac:dyDescent="0.4">
      <c r="A73" s="6"/>
      <c r="B73" s="7"/>
      <c r="C73" s="7"/>
      <c r="D73" s="7"/>
      <c r="E73" s="8" t="e">
        <f t="shared" si="4"/>
        <v>#DIV/0!</v>
      </c>
      <c r="F73" s="9"/>
      <c r="G73" s="9"/>
      <c r="H73" s="10">
        <f t="shared" si="5"/>
        <v>0</v>
      </c>
    </row>
    <row r="74" spans="1:8" x14ac:dyDescent="0.4">
      <c r="A74" s="6"/>
      <c r="B74" s="7"/>
      <c r="C74" s="7"/>
      <c r="D74" s="7"/>
      <c r="E74" s="8" t="e">
        <f t="shared" si="4"/>
        <v>#DIV/0!</v>
      </c>
      <c r="F74" s="9"/>
      <c r="G74" s="9"/>
      <c r="H74" s="10">
        <f t="shared" si="5"/>
        <v>0</v>
      </c>
    </row>
    <row r="75" spans="1:8" x14ac:dyDescent="0.4">
      <c r="A75" s="6"/>
      <c r="B75" s="7"/>
      <c r="C75" s="7"/>
      <c r="D75" s="7"/>
      <c r="E75" s="8" t="e">
        <f t="shared" si="4"/>
        <v>#DIV/0!</v>
      </c>
      <c r="F75" s="9"/>
      <c r="G75" s="9"/>
      <c r="H75" s="10">
        <f t="shared" si="5"/>
        <v>0</v>
      </c>
    </row>
    <row r="76" spans="1:8" x14ac:dyDescent="0.4">
      <c r="A76" s="6"/>
      <c r="B76" s="7"/>
      <c r="C76" s="7"/>
      <c r="D76" s="7"/>
      <c r="E76" s="8" t="e">
        <f t="shared" si="4"/>
        <v>#DIV/0!</v>
      </c>
      <c r="F76" s="9"/>
      <c r="G76" s="9"/>
      <c r="H76" s="10">
        <f t="shared" si="5"/>
        <v>0</v>
      </c>
    </row>
    <row r="77" spans="1:8" x14ac:dyDescent="0.4">
      <c r="A77" s="6"/>
      <c r="B77" s="7"/>
      <c r="C77" s="7"/>
      <c r="D77" s="7"/>
      <c r="E77" s="8" t="e">
        <f t="shared" si="4"/>
        <v>#DIV/0!</v>
      </c>
      <c r="F77" s="9"/>
      <c r="G77" s="9"/>
      <c r="H77" s="10">
        <f t="shared" si="5"/>
        <v>0</v>
      </c>
    </row>
    <row r="78" spans="1:8" x14ac:dyDescent="0.4">
      <c r="A78" s="6"/>
      <c r="B78" s="7"/>
      <c r="C78" s="7"/>
      <c r="D78" s="7"/>
      <c r="E78" s="8" t="e">
        <f t="shared" si="4"/>
        <v>#DIV/0!</v>
      </c>
      <c r="F78" s="9"/>
      <c r="G78" s="9"/>
      <c r="H78" s="10">
        <f t="shared" si="5"/>
        <v>0</v>
      </c>
    </row>
    <row r="79" spans="1:8" x14ac:dyDescent="0.4">
      <c r="A79" s="6"/>
      <c r="B79" s="7"/>
      <c r="C79" s="7"/>
      <c r="D79" s="7"/>
      <c r="E79" s="8" t="e">
        <f t="shared" si="4"/>
        <v>#DIV/0!</v>
      </c>
      <c r="F79" s="9"/>
      <c r="G79" s="9"/>
      <c r="H79" s="10">
        <f t="shared" si="5"/>
        <v>0</v>
      </c>
    </row>
    <row r="80" spans="1:8" x14ac:dyDescent="0.4">
      <c r="A80" s="6"/>
      <c r="B80" s="7"/>
      <c r="C80" s="7"/>
      <c r="D80" s="7"/>
      <c r="E80" s="8" t="e">
        <f t="shared" si="4"/>
        <v>#DIV/0!</v>
      </c>
      <c r="F80" s="9"/>
      <c r="G80" s="9"/>
      <c r="H80" s="10">
        <f t="shared" si="5"/>
        <v>0</v>
      </c>
    </row>
    <row r="81" spans="1:8" x14ac:dyDescent="0.4">
      <c r="A81" s="6"/>
      <c r="B81" s="7"/>
      <c r="C81" s="7"/>
      <c r="D81" s="7"/>
      <c r="E81" s="8" t="e">
        <f t="shared" si="4"/>
        <v>#DIV/0!</v>
      </c>
      <c r="F81" s="9"/>
      <c r="G81" s="9"/>
      <c r="H81" s="10">
        <f t="shared" si="5"/>
        <v>0</v>
      </c>
    </row>
    <row r="82" spans="1:8" x14ac:dyDescent="0.4">
      <c r="A82" s="6"/>
      <c r="B82" s="7"/>
      <c r="C82" s="7"/>
      <c r="D82" s="7"/>
      <c r="E82" s="8" t="e">
        <f t="shared" si="4"/>
        <v>#DIV/0!</v>
      </c>
      <c r="F82" s="9"/>
      <c r="G82" s="9"/>
      <c r="H82" s="10">
        <f t="shared" si="5"/>
        <v>0</v>
      </c>
    </row>
    <row r="83" spans="1:8" x14ac:dyDescent="0.4">
      <c r="A83" s="6"/>
      <c r="B83" s="7"/>
      <c r="C83" s="7"/>
      <c r="D83" s="7"/>
      <c r="E83" s="8" t="e">
        <f t="shared" si="4"/>
        <v>#DIV/0!</v>
      </c>
      <c r="F83" s="9"/>
      <c r="G83" s="9"/>
      <c r="H83" s="10">
        <f t="shared" si="5"/>
        <v>0</v>
      </c>
    </row>
    <row r="84" spans="1:8" x14ac:dyDescent="0.4">
      <c r="A84" s="6"/>
      <c r="B84" s="7"/>
      <c r="C84" s="7"/>
      <c r="D84" s="7"/>
      <c r="E84" s="8" t="e">
        <f t="shared" si="4"/>
        <v>#DIV/0!</v>
      </c>
      <c r="F84" s="9"/>
      <c r="G84" s="9"/>
      <c r="H84" s="10">
        <f t="shared" si="5"/>
        <v>0</v>
      </c>
    </row>
    <row r="85" spans="1:8" x14ac:dyDescent="0.4">
      <c r="A85" s="6"/>
      <c r="B85" s="7"/>
      <c r="C85" s="7"/>
      <c r="D85" s="7"/>
      <c r="E85" s="8" t="e">
        <f t="shared" si="4"/>
        <v>#DIV/0!</v>
      </c>
      <c r="F85" s="9"/>
      <c r="G85" s="9"/>
      <c r="H85" s="10">
        <f t="shared" si="5"/>
        <v>0</v>
      </c>
    </row>
    <row r="86" spans="1:8" x14ac:dyDescent="0.4">
      <c r="A86" s="6"/>
      <c r="B86" s="7"/>
      <c r="C86" s="7"/>
      <c r="D86" s="7"/>
      <c r="E86" s="8" t="e">
        <f t="shared" si="4"/>
        <v>#DIV/0!</v>
      </c>
      <c r="F86" s="9"/>
      <c r="G86" s="9"/>
      <c r="H86" s="10">
        <f t="shared" si="5"/>
        <v>0</v>
      </c>
    </row>
    <row r="87" spans="1:8" x14ac:dyDescent="0.4">
      <c r="A87" s="6"/>
      <c r="B87" s="7"/>
      <c r="C87" s="7"/>
      <c r="D87" s="7"/>
      <c r="E87" s="8" t="e">
        <f t="shared" si="4"/>
        <v>#DIV/0!</v>
      </c>
      <c r="F87" s="9"/>
      <c r="G87" s="9"/>
      <c r="H87" s="10">
        <f t="shared" si="5"/>
        <v>0</v>
      </c>
    </row>
    <row r="88" spans="1:8" x14ac:dyDescent="0.4">
      <c r="A88" s="6"/>
      <c r="B88" s="7"/>
      <c r="C88" s="7"/>
      <c r="D88" s="7"/>
      <c r="E88" s="8" t="e">
        <f t="shared" si="4"/>
        <v>#DIV/0!</v>
      </c>
      <c r="F88" s="9"/>
      <c r="G88" s="9"/>
      <c r="H88" s="10">
        <f t="shared" si="5"/>
        <v>0</v>
      </c>
    </row>
    <row r="89" spans="1:8" x14ac:dyDescent="0.4">
      <c r="A89" s="6"/>
      <c r="B89" s="7"/>
      <c r="C89" s="7"/>
      <c r="D89" s="7"/>
      <c r="E89" s="8" t="e">
        <f t="shared" si="4"/>
        <v>#DIV/0!</v>
      </c>
      <c r="F89" s="9"/>
      <c r="G89" s="9"/>
      <c r="H89" s="10">
        <f t="shared" si="5"/>
        <v>0</v>
      </c>
    </row>
    <row r="90" spans="1:8" x14ac:dyDescent="0.4">
      <c r="A90" s="6"/>
      <c r="B90" s="7"/>
      <c r="C90" s="7"/>
      <c r="D90" s="7"/>
      <c r="E90" s="8" t="e">
        <f t="shared" si="4"/>
        <v>#DIV/0!</v>
      </c>
      <c r="F90" s="9"/>
      <c r="G90" s="9"/>
      <c r="H90" s="10">
        <f t="shared" si="5"/>
        <v>0</v>
      </c>
    </row>
    <row r="91" spans="1:8" x14ac:dyDescent="0.4">
      <c r="A91" s="6"/>
      <c r="B91" s="7"/>
      <c r="C91" s="7"/>
      <c r="D91" s="7"/>
      <c r="E91" s="8" t="e">
        <f t="shared" si="4"/>
        <v>#DIV/0!</v>
      </c>
      <c r="F91" s="9"/>
      <c r="G91" s="9"/>
      <c r="H91" s="10">
        <f t="shared" si="5"/>
        <v>0</v>
      </c>
    </row>
    <row r="92" spans="1:8" x14ac:dyDescent="0.4">
      <c r="A92" s="6"/>
      <c r="B92" s="7"/>
      <c r="C92" s="7"/>
      <c r="D92" s="7"/>
      <c r="E92" s="8" t="e">
        <f t="shared" si="4"/>
        <v>#DIV/0!</v>
      </c>
      <c r="F92" s="9"/>
      <c r="G92" s="9"/>
      <c r="H92" s="10">
        <f t="shared" si="5"/>
        <v>0</v>
      </c>
    </row>
    <row r="93" spans="1:8" x14ac:dyDescent="0.4">
      <c r="A93" s="6"/>
      <c r="B93" s="7"/>
      <c r="C93" s="7"/>
      <c r="D93" s="7"/>
      <c r="E93" s="8" t="e">
        <f t="shared" si="4"/>
        <v>#DIV/0!</v>
      </c>
      <c r="F93" s="9"/>
      <c r="G93" s="9"/>
      <c r="H93" s="10">
        <f t="shared" si="5"/>
        <v>0</v>
      </c>
    </row>
    <row r="94" spans="1:8" x14ac:dyDescent="0.4">
      <c r="A94" s="6"/>
      <c r="B94" s="7"/>
      <c r="C94" s="7"/>
      <c r="D94" s="7"/>
      <c r="E94" s="8" t="e">
        <f t="shared" si="4"/>
        <v>#DIV/0!</v>
      </c>
      <c r="F94" s="9"/>
      <c r="G94" s="9"/>
      <c r="H94" s="10">
        <f t="shared" si="5"/>
        <v>0</v>
      </c>
    </row>
    <row r="95" spans="1:8" x14ac:dyDescent="0.4">
      <c r="A95" s="6"/>
      <c r="B95" s="7"/>
      <c r="C95" s="7"/>
      <c r="D95" s="7"/>
      <c r="E95" s="8" t="e">
        <f t="shared" si="4"/>
        <v>#DIV/0!</v>
      </c>
      <c r="F95" s="9"/>
      <c r="G95" s="9"/>
      <c r="H95" s="10">
        <f t="shared" si="5"/>
        <v>0</v>
      </c>
    </row>
    <row r="96" spans="1:8" x14ac:dyDescent="0.4">
      <c r="A96" s="6"/>
      <c r="B96" s="7"/>
      <c r="C96" s="7"/>
      <c r="D96" s="7"/>
      <c r="E96" s="8" t="e">
        <f t="shared" si="4"/>
        <v>#DIV/0!</v>
      </c>
      <c r="F96" s="9"/>
      <c r="G96" s="9"/>
      <c r="H96" s="10">
        <f t="shared" si="5"/>
        <v>0</v>
      </c>
    </row>
    <row r="97" spans="1:8" x14ac:dyDescent="0.4">
      <c r="A97" s="6"/>
      <c r="B97" s="7"/>
      <c r="C97" s="7"/>
      <c r="D97" s="7"/>
      <c r="E97" s="8" t="e">
        <f t="shared" si="4"/>
        <v>#DIV/0!</v>
      </c>
      <c r="F97" s="9"/>
      <c r="G97" s="9"/>
      <c r="H97" s="10">
        <f t="shared" si="5"/>
        <v>0</v>
      </c>
    </row>
    <row r="98" spans="1:8" x14ac:dyDescent="0.4">
      <c r="A98" s="6"/>
      <c r="B98" s="7"/>
      <c r="C98" s="7"/>
      <c r="D98" s="7"/>
      <c r="E98" s="8" t="e">
        <f t="shared" si="4"/>
        <v>#DIV/0!</v>
      </c>
      <c r="F98" s="9"/>
      <c r="G98" s="9"/>
      <c r="H98" s="10">
        <f t="shared" si="5"/>
        <v>0</v>
      </c>
    </row>
    <row r="99" spans="1:8" x14ac:dyDescent="0.4">
      <c r="A99" s="6"/>
      <c r="B99" s="7"/>
      <c r="C99" s="7"/>
      <c r="D99" s="7"/>
      <c r="E99" s="8" t="e">
        <f t="shared" si="4"/>
        <v>#DIV/0!</v>
      </c>
      <c r="F99" s="9"/>
      <c r="G99" s="9"/>
      <c r="H99" s="10">
        <f t="shared" si="5"/>
        <v>0</v>
      </c>
    </row>
    <row r="100" spans="1:8" x14ac:dyDescent="0.4">
      <c r="A100" s="6"/>
      <c r="B100" s="7"/>
      <c r="C100" s="7"/>
      <c r="D100" s="7"/>
      <c r="E100" s="8" t="e">
        <f t="shared" si="4"/>
        <v>#DIV/0!</v>
      </c>
      <c r="F100" s="9"/>
      <c r="G100" s="9"/>
      <c r="H100" s="10">
        <f t="shared" si="5"/>
        <v>0</v>
      </c>
    </row>
    <row r="101" spans="1:8" x14ac:dyDescent="0.4">
      <c r="A101" s="6"/>
      <c r="B101" s="7"/>
      <c r="C101" s="7"/>
      <c r="D101" s="7"/>
      <c r="E101" s="8" t="e">
        <f t="shared" ref="E101:E107" si="6">AVERAGE(B101:D101)</f>
        <v>#DIV/0!</v>
      </c>
      <c r="F101" s="9"/>
      <c r="G101" s="9"/>
      <c r="H101" s="10">
        <f t="shared" ref="H101:H107" si="7">CUBICSPLINE(G101,$E$5:$E$107,$A$5:$A$107)</f>
        <v>0</v>
      </c>
    </row>
    <row r="102" spans="1:8" x14ac:dyDescent="0.4">
      <c r="A102" s="6"/>
      <c r="B102" s="7"/>
      <c r="C102" s="7"/>
      <c r="D102" s="7"/>
      <c r="E102" s="8" t="e">
        <f t="shared" si="6"/>
        <v>#DIV/0!</v>
      </c>
      <c r="F102" s="9"/>
      <c r="G102" s="9"/>
      <c r="H102" s="10">
        <f t="shared" si="7"/>
        <v>0</v>
      </c>
    </row>
    <row r="103" spans="1:8" x14ac:dyDescent="0.4">
      <c r="A103" s="6"/>
      <c r="B103" s="7"/>
      <c r="C103" s="7"/>
      <c r="D103" s="7"/>
      <c r="E103" s="8" t="e">
        <f t="shared" si="6"/>
        <v>#DIV/0!</v>
      </c>
      <c r="F103" s="9"/>
      <c r="G103" s="9"/>
      <c r="H103" s="10">
        <f t="shared" si="7"/>
        <v>0</v>
      </c>
    </row>
    <row r="104" spans="1:8" x14ac:dyDescent="0.4">
      <c r="A104" s="6"/>
      <c r="B104" s="7"/>
      <c r="C104" s="7"/>
      <c r="D104" s="7"/>
      <c r="E104" s="8" t="e">
        <f t="shared" si="6"/>
        <v>#DIV/0!</v>
      </c>
      <c r="F104" s="9"/>
      <c r="G104" s="9"/>
      <c r="H104" s="10">
        <f t="shared" si="7"/>
        <v>0</v>
      </c>
    </row>
    <row r="105" spans="1:8" x14ac:dyDescent="0.4">
      <c r="A105" s="6"/>
      <c r="B105" s="7"/>
      <c r="C105" s="7"/>
      <c r="D105" s="7"/>
      <c r="E105" s="8" t="e">
        <f t="shared" si="6"/>
        <v>#DIV/0!</v>
      </c>
      <c r="F105" s="9"/>
      <c r="G105" s="9"/>
      <c r="H105" s="10">
        <f t="shared" si="7"/>
        <v>0</v>
      </c>
    </row>
    <row r="106" spans="1:8" x14ac:dyDescent="0.4">
      <c r="A106" s="6"/>
      <c r="B106" s="7"/>
      <c r="C106" s="7"/>
      <c r="D106" s="7"/>
      <c r="E106" s="8" t="e">
        <f t="shared" si="6"/>
        <v>#DIV/0!</v>
      </c>
      <c r="F106" s="9"/>
      <c r="G106" s="9"/>
      <c r="H106" s="10">
        <f t="shared" si="7"/>
        <v>0</v>
      </c>
    </row>
    <row r="107" spans="1:8" x14ac:dyDescent="0.4">
      <c r="A107" s="6"/>
      <c r="B107" s="7"/>
      <c r="C107" s="7"/>
      <c r="D107" s="7"/>
      <c r="E107" s="8" t="e">
        <f t="shared" si="6"/>
        <v>#DIV/0!</v>
      </c>
      <c r="F107" s="9"/>
      <c r="G107" s="9"/>
      <c r="H107" s="10">
        <f t="shared" si="7"/>
        <v>0</v>
      </c>
    </row>
  </sheetData>
  <mergeCells count="4">
    <mergeCell ref="A1:E1"/>
    <mergeCell ref="F1:H1"/>
    <mergeCell ref="A2:E2"/>
    <mergeCell ref="F2:H2"/>
  </mergeCells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F107"/>
  <sheetViews>
    <sheetView tabSelected="1" zoomScaleNormal="100" workbookViewId="0">
      <pane ySplit="4" topLeftCell="A5" activePane="bottomLeft" state="frozen"/>
      <selection pane="bottomLeft" activeCell="J2" sqref="J2"/>
    </sheetView>
  </sheetViews>
  <sheetFormatPr defaultColWidth="8.921875" defaultRowHeight="14.6" x14ac:dyDescent="0.4"/>
  <cols>
    <col min="1" max="1" width="20.53515625" style="11" customWidth="1"/>
    <col min="2" max="2" width="20.53515625" style="2" customWidth="1"/>
    <col min="3" max="3" width="26.23046875" style="2" customWidth="1"/>
    <col min="4" max="4" width="24.61328125" style="12" customWidth="1"/>
    <col min="5" max="6" width="14.53515625" style="2" customWidth="1"/>
    <col min="7" max="16384" width="8.921875" style="2"/>
  </cols>
  <sheetData>
    <row r="1" spans="1:5" x14ac:dyDescent="0.4">
      <c r="A1" s="24" t="s">
        <v>1</v>
      </c>
      <c r="B1" s="24"/>
      <c r="C1" s="24" t="s">
        <v>15</v>
      </c>
      <c r="D1" s="24"/>
    </row>
    <row r="2" spans="1:5" ht="57" customHeight="1" x14ac:dyDescent="0.4">
      <c r="A2" s="26" t="s">
        <v>16</v>
      </c>
      <c r="B2" s="26"/>
      <c r="C2" s="26" t="s">
        <v>17</v>
      </c>
      <c r="D2" s="26"/>
    </row>
    <row r="3" spans="1:5" ht="29.15" x14ac:dyDescent="0.4">
      <c r="A3" s="5" t="s">
        <v>18</v>
      </c>
      <c r="B3" s="4" t="s">
        <v>19</v>
      </c>
      <c r="C3" s="5" t="s">
        <v>9</v>
      </c>
      <c r="D3" s="3" t="s">
        <v>11</v>
      </c>
      <c r="E3" s="13"/>
    </row>
    <row r="4" spans="1:5" x14ac:dyDescent="0.4">
      <c r="A4" s="1" t="s">
        <v>14</v>
      </c>
      <c r="B4" s="3" t="s">
        <v>12</v>
      </c>
      <c r="C4" s="1" t="s">
        <v>14</v>
      </c>
      <c r="D4" s="3" t="s">
        <v>12</v>
      </c>
      <c r="E4" s="13"/>
    </row>
    <row r="5" spans="1:5" x14ac:dyDescent="0.4">
      <c r="A5" s="14">
        <v>4</v>
      </c>
      <c r="B5" s="14">
        <v>245</v>
      </c>
      <c r="C5" s="15">
        <v>4</v>
      </c>
      <c r="D5" s="16" t="e">
        <f t="shared" ref="D5:D36" si="0">CUBICSPLINE(C5,$A$5:$A$107,$B$5:$B$107)</f>
        <v>#VALUE!</v>
      </c>
    </row>
    <row r="6" spans="1:5" x14ac:dyDescent="0.4">
      <c r="A6" s="14">
        <v>6</v>
      </c>
      <c r="B6" s="14">
        <v>522</v>
      </c>
      <c r="C6" s="15">
        <v>5</v>
      </c>
      <c r="D6" s="16" t="e">
        <f t="shared" si="0"/>
        <v>#VALUE!</v>
      </c>
    </row>
    <row r="7" spans="1:5" x14ac:dyDescent="0.4">
      <c r="A7" s="14">
        <v>14</v>
      </c>
      <c r="B7" s="14">
        <v>2751</v>
      </c>
      <c r="C7" s="15">
        <v>6</v>
      </c>
      <c r="D7" s="16" t="e">
        <f t="shared" si="0"/>
        <v>#VALUE!</v>
      </c>
    </row>
    <row r="8" spans="1:5" x14ac:dyDescent="0.4">
      <c r="A8" s="14">
        <v>21</v>
      </c>
      <c r="B8" s="14">
        <v>6310</v>
      </c>
      <c r="C8" s="15">
        <v>7</v>
      </c>
      <c r="D8" s="16" t="e">
        <f t="shared" si="0"/>
        <v>#VALUE!</v>
      </c>
    </row>
    <row r="9" spans="1:5" x14ac:dyDescent="0.4">
      <c r="A9" s="14">
        <v>25</v>
      </c>
      <c r="B9" s="14">
        <v>9143</v>
      </c>
      <c r="C9" s="15">
        <v>8</v>
      </c>
      <c r="D9" s="16" t="e">
        <f t="shared" si="0"/>
        <v>#VALUE!</v>
      </c>
    </row>
    <row r="10" spans="1:5" x14ac:dyDescent="0.4">
      <c r="A10" s="14">
        <v>38</v>
      </c>
      <c r="B10" s="14" t="s">
        <v>198</v>
      </c>
      <c r="C10" s="15">
        <v>9</v>
      </c>
      <c r="D10" s="16" t="e">
        <f t="shared" si="0"/>
        <v>#VALUE!</v>
      </c>
    </row>
    <row r="11" spans="1:5" x14ac:dyDescent="0.4">
      <c r="A11" s="14">
        <v>50</v>
      </c>
      <c r="B11" s="17">
        <v>33289</v>
      </c>
      <c r="C11" s="15">
        <v>10</v>
      </c>
      <c r="D11" s="16" t="e">
        <f t="shared" si="0"/>
        <v>#VALUE!</v>
      </c>
    </row>
    <row r="12" spans="1:5" x14ac:dyDescent="0.4">
      <c r="A12" s="14">
        <v>70</v>
      </c>
      <c r="B12" s="17">
        <v>55210</v>
      </c>
      <c r="C12" s="15">
        <v>11</v>
      </c>
      <c r="D12" s="16" t="e">
        <f t="shared" si="0"/>
        <v>#VALUE!</v>
      </c>
    </row>
    <row r="13" spans="1:5" x14ac:dyDescent="0.4">
      <c r="A13" s="14"/>
      <c r="B13" s="17"/>
      <c r="C13" s="15">
        <v>12</v>
      </c>
      <c r="D13" s="16" t="e">
        <f t="shared" si="0"/>
        <v>#VALUE!</v>
      </c>
    </row>
    <row r="14" spans="1:5" x14ac:dyDescent="0.4">
      <c r="A14" s="14"/>
      <c r="B14" s="17"/>
      <c r="C14" s="15">
        <v>13</v>
      </c>
      <c r="D14" s="16" t="e">
        <f t="shared" si="0"/>
        <v>#VALUE!</v>
      </c>
    </row>
    <row r="15" spans="1:5" x14ac:dyDescent="0.4">
      <c r="A15" s="14"/>
      <c r="B15" s="17"/>
      <c r="C15" s="15">
        <v>14</v>
      </c>
      <c r="D15" s="16" t="e">
        <f t="shared" si="0"/>
        <v>#VALUE!</v>
      </c>
    </row>
    <row r="16" spans="1:5" x14ac:dyDescent="0.4">
      <c r="A16" s="14"/>
      <c r="B16" s="17"/>
      <c r="C16" s="15">
        <v>16</v>
      </c>
      <c r="D16" s="16" t="e">
        <f t="shared" si="0"/>
        <v>#VALUE!</v>
      </c>
    </row>
    <row r="17" spans="1:4" x14ac:dyDescent="0.4">
      <c r="A17" s="14"/>
      <c r="B17" s="17"/>
      <c r="C17" s="15">
        <v>15</v>
      </c>
      <c r="D17" s="16" t="e">
        <f t="shared" si="0"/>
        <v>#VALUE!</v>
      </c>
    </row>
    <row r="18" spans="1:4" x14ac:dyDescent="0.4">
      <c r="A18" s="14"/>
      <c r="B18" s="17"/>
      <c r="C18" s="15">
        <v>16</v>
      </c>
      <c r="D18" s="16" t="e">
        <f t="shared" si="0"/>
        <v>#VALUE!</v>
      </c>
    </row>
    <row r="19" spans="1:4" x14ac:dyDescent="0.4">
      <c r="A19" s="14"/>
      <c r="B19" s="17"/>
      <c r="C19" s="15">
        <v>17</v>
      </c>
      <c r="D19" s="16" t="e">
        <f t="shared" si="0"/>
        <v>#VALUE!</v>
      </c>
    </row>
    <row r="20" spans="1:4" x14ac:dyDescent="0.4">
      <c r="A20" s="14"/>
      <c r="B20" s="17"/>
      <c r="C20" s="15">
        <v>18</v>
      </c>
      <c r="D20" s="16" t="e">
        <f t="shared" si="0"/>
        <v>#VALUE!</v>
      </c>
    </row>
    <row r="21" spans="1:4" x14ac:dyDescent="0.4">
      <c r="A21" s="14"/>
      <c r="B21" s="17"/>
      <c r="C21" s="15">
        <v>19</v>
      </c>
      <c r="D21" s="16" t="e">
        <f t="shared" si="0"/>
        <v>#VALUE!</v>
      </c>
    </row>
    <row r="22" spans="1:4" x14ac:dyDescent="0.4">
      <c r="A22" s="14"/>
      <c r="B22" s="17"/>
      <c r="C22" s="15">
        <v>20</v>
      </c>
      <c r="D22" s="16" t="e">
        <f t="shared" si="0"/>
        <v>#VALUE!</v>
      </c>
    </row>
    <row r="23" spans="1:4" x14ac:dyDescent="0.4">
      <c r="A23" s="6"/>
      <c r="B23" s="6"/>
      <c r="C23" s="15">
        <v>21</v>
      </c>
      <c r="D23" s="16" t="e">
        <f t="shared" si="0"/>
        <v>#VALUE!</v>
      </c>
    </row>
    <row r="24" spans="1:4" x14ac:dyDescent="0.4">
      <c r="A24" s="6"/>
      <c r="B24" s="6"/>
      <c r="C24" s="15">
        <v>22</v>
      </c>
      <c r="D24" s="16" t="e">
        <f t="shared" si="0"/>
        <v>#VALUE!</v>
      </c>
    </row>
    <row r="25" spans="1:4" x14ac:dyDescent="0.4">
      <c r="A25" s="6"/>
      <c r="B25" s="6"/>
      <c r="C25" s="15">
        <v>23</v>
      </c>
      <c r="D25" s="16" t="e">
        <f t="shared" si="0"/>
        <v>#VALUE!</v>
      </c>
    </row>
    <row r="26" spans="1:4" x14ac:dyDescent="0.4">
      <c r="A26" s="6"/>
      <c r="B26" s="6"/>
      <c r="C26" s="15">
        <v>24</v>
      </c>
      <c r="D26" s="16" t="e">
        <f t="shared" si="0"/>
        <v>#VALUE!</v>
      </c>
    </row>
    <row r="27" spans="1:4" x14ac:dyDescent="0.4">
      <c r="A27" s="6"/>
      <c r="B27" s="6"/>
      <c r="C27" s="15">
        <v>25</v>
      </c>
      <c r="D27" s="16" t="e">
        <f t="shared" si="0"/>
        <v>#VALUE!</v>
      </c>
    </row>
    <row r="28" spans="1:4" x14ac:dyDescent="0.4">
      <c r="A28" s="6"/>
      <c r="B28" s="6"/>
      <c r="C28" s="15">
        <v>26</v>
      </c>
      <c r="D28" s="16" t="e">
        <f t="shared" si="0"/>
        <v>#VALUE!</v>
      </c>
    </row>
    <row r="29" spans="1:4" x14ac:dyDescent="0.4">
      <c r="A29" s="6"/>
      <c r="B29" s="6"/>
      <c r="C29" s="15">
        <v>27</v>
      </c>
      <c r="D29" s="16" t="e">
        <f t="shared" si="0"/>
        <v>#VALUE!</v>
      </c>
    </row>
    <row r="30" spans="1:4" x14ac:dyDescent="0.4">
      <c r="A30" s="6"/>
      <c r="B30" s="6"/>
      <c r="C30" s="15">
        <v>28</v>
      </c>
      <c r="D30" s="16" t="e">
        <f t="shared" si="0"/>
        <v>#VALUE!</v>
      </c>
    </row>
    <row r="31" spans="1:4" x14ac:dyDescent="0.4">
      <c r="A31" s="6"/>
      <c r="B31" s="6"/>
      <c r="C31" s="15">
        <v>29</v>
      </c>
      <c r="D31" s="16" t="e">
        <f t="shared" si="0"/>
        <v>#VALUE!</v>
      </c>
    </row>
    <row r="32" spans="1:4" x14ac:dyDescent="0.4">
      <c r="A32" s="6"/>
      <c r="B32" s="6"/>
      <c r="C32" s="15">
        <v>30</v>
      </c>
      <c r="D32" s="16" t="e">
        <f t="shared" si="0"/>
        <v>#VALUE!</v>
      </c>
    </row>
    <row r="33" spans="1:4" x14ac:dyDescent="0.4">
      <c r="A33" s="6"/>
      <c r="B33" s="6"/>
      <c r="C33" s="15">
        <v>38</v>
      </c>
      <c r="D33" s="16" t="e">
        <f t="shared" si="0"/>
        <v>#VALUE!</v>
      </c>
    </row>
    <row r="34" spans="1:4" x14ac:dyDescent="0.4">
      <c r="A34" s="6"/>
      <c r="B34" s="6"/>
      <c r="C34" s="15">
        <v>50</v>
      </c>
      <c r="D34" s="16" t="e">
        <f t="shared" si="0"/>
        <v>#VALUE!</v>
      </c>
    </row>
    <row r="35" spans="1:4" x14ac:dyDescent="0.4">
      <c r="A35" s="6"/>
      <c r="B35" s="6"/>
      <c r="C35" s="15">
        <v>70</v>
      </c>
      <c r="D35" s="16" t="e">
        <f t="shared" si="0"/>
        <v>#VALUE!</v>
      </c>
    </row>
    <row r="36" spans="1:4" x14ac:dyDescent="0.4">
      <c r="A36" s="6"/>
      <c r="B36" s="6"/>
      <c r="C36" s="15"/>
      <c r="D36" s="16" t="e">
        <f t="shared" si="0"/>
        <v>#VALUE!</v>
      </c>
    </row>
    <row r="37" spans="1:4" x14ac:dyDescent="0.4">
      <c r="A37" s="6"/>
      <c r="B37" s="6"/>
      <c r="C37" s="15"/>
      <c r="D37" s="16" t="e">
        <f t="shared" ref="D37:D68" si="1">CUBICSPLINE(C37,$A$5:$A$107,$B$5:$B$107)</f>
        <v>#VALUE!</v>
      </c>
    </row>
    <row r="38" spans="1:4" x14ac:dyDescent="0.4">
      <c r="A38" s="6"/>
      <c r="B38" s="6"/>
      <c r="C38" s="15"/>
      <c r="D38" s="16" t="e">
        <f t="shared" si="1"/>
        <v>#VALUE!</v>
      </c>
    </row>
    <row r="39" spans="1:4" x14ac:dyDescent="0.4">
      <c r="A39" s="6"/>
      <c r="B39" s="6"/>
      <c r="C39" s="15"/>
      <c r="D39" s="16" t="e">
        <f t="shared" si="1"/>
        <v>#VALUE!</v>
      </c>
    </row>
    <row r="40" spans="1:4" x14ac:dyDescent="0.4">
      <c r="A40" s="6"/>
      <c r="B40" s="6"/>
      <c r="C40" s="15"/>
      <c r="D40" s="16" t="e">
        <f t="shared" si="1"/>
        <v>#VALUE!</v>
      </c>
    </row>
    <row r="41" spans="1:4" x14ac:dyDescent="0.4">
      <c r="A41" s="6"/>
      <c r="B41" s="6"/>
      <c r="C41" s="15"/>
      <c r="D41" s="16" t="e">
        <f t="shared" si="1"/>
        <v>#VALUE!</v>
      </c>
    </row>
    <row r="42" spans="1:4" x14ac:dyDescent="0.4">
      <c r="A42" s="6"/>
      <c r="B42" s="6"/>
      <c r="C42" s="15"/>
      <c r="D42" s="16" t="e">
        <f t="shared" si="1"/>
        <v>#VALUE!</v>
      </c>
    </row>
    <row r="43" spans="1:4" x14ac:dyDescent="0.4">
      <c r="A43" s="6"/>
      <c r="B43" s="6"/>
      <c r="C43" s="15"/>
      <c r="D43" s="16" t="e">
        <f t="shared" si="1"/>
        <v>#VALUE!</v>
      </c>
    </row>
    <row r="44" spans="1:4" x14ac:dyDescent="0.4">
      <c r="A44" s="6"/>
      <c r="B44" s="6"/>
      <c r="C44" s="15"/>
      <c r="D44" s="16" t="e">
        <f t="shared" si="1"/>
        <v>#VALUE!</v>
      </c>
    </row>
    <row r="45" spans="1:4" x14ac:dyDescent="0.4">
      <c r="A45" s="6"/>
      <c r="B45" s="6"/>
      <c r="C45" s="15"/>
      <c r="D45" s="16" t="e">
        <f t="shared" si="1"/>
        <v>#VALUE!</v>
      </c>
    </row>
    <row r="46" spans="1:4" x14ac:dyDescent="0.4">
      <c r="A46" s="6"/>
      <c r="B46" s="6"/>
      <c r="C46" s="15"/>
      <c r="D46" s="16" t="e">
        <f t="shared" si="1"/>
        <v>#VALUE!</v>
      </c>
    </row>
    <row r="47" spans="1:4" x14ac:dyDescent="0.4">
      <c r="A47" s="6"/>
      <c r="B47" s="6"/>
      <c r="C47" s="15"/>
      <c r="D47" s="16" t="e">
        <f t="shared" si="1"/>
        <v>#VALUE!</v>
      </c>
    </row>
    <row r="48" spans="1:4" x14ac:dyDescent="0.4">
      <c r="A48" s="6"/>
      <c r="B48" s="6"/>
      <c r="C48" s="15"/>
      <c r="D48" s="16" t="e">
        <f t="shared" si="1"/>
        <v>#VALUE!</v>
      </c>
    </row>
    <row r="49" spans="1:6" x14ac:dyDescent="0.4">
      <c r="A49" s="6"/>
      <c r="B49" s="6"/>
      <c r="C49" s="15"/>
      <c r="D49" s="16" t="e">
        <f t="shared" si="1"/>
        <v>#VALUE!</v>
      </c>
    </row>
    <row r="50" spans="1:6" x14ac:dyDescent="0.4">
      <c r="A50" s="6"/>
      <c r="B50" s="6"/>
      <c r="C50" s="15"/>
      <c r="D50" s="16" t="e">
        <f t="shared" si="1"/>
        <v>#VALUE!</v>
      </c>
    </row>
    <row r="51" spans="1:6" x14ac:dyDescent="0.4">
      <c r="A51" s="6"/>
      <c r="B51" s="6"/>
      <c r="C51" s="15"/>
      <c r="D51" s="16" t="e">
        <f t="shared" si="1"/>
        <v>#VALUE!</v>
      </c>
    </row>
    <row r="52" spans="1:6" x14ac:dyDescent="0.4">
      <c r="A52" s="6"/>
      <c r="B52" s="6"/>
      <c r="C52" s="18"/>
      <c r="D52" s="16" t="e">
        <f t="shared" si="1"/>
        <v>#VALUE!</v>
      </c>
    </row>
    <row r="53" spans="1:6" x14ac:dyDescent="0.4">
      <c r="A53" s="6"/>
      <c r="B53" s="6"/>
      <c r="C53" s="18"/>
      <c r="D53" s="16" t="e">
        <f t="shared" si="1"/>
        <v>#VALUE!</v>
      </c>
    </row>
    <row r="54" spans="1:6" x14ac:dyDescent="0.4">
      <c r="A54" s="6"/>
      <c r="B54" s="6"/>
      <c r="C54" s="18"/>
      <c r="D54" s="16" t="e">
        <f t="shared" si="1"/>
        <v>#VALUE!</v>
      </c>
      <c r="F54" s="2">
        <v>966</v>
      </c>
    </row>
    <row r="55" spans="1:6" x14ac:dyDescent="0.4">
      <c r="A55" s="6"/>
      <c r="B55" s="6"/>
      <c r="C55" s="18"/>
      <c r="D55" s="16" t="e">
        <f t="shared" si="1"/>
        <v>#VALUE!</v>
      </c>
    </row>
    <row r="56" spans="1:6" x14ac:dyDescent="0.4">
      <c r="A56" s="6"/>
      <c r="B56" s="6"/>
      <c r="C56" s="18"/>
      <c r="D56" s="16" t="e">
        <f t="shared" si="1"/>
        <v>#VALUE!</v>
      </c>
    </row>
    <row r="57" spans="1:6" x14ac:dyDescent="0.4">
      <c r="A57" s="6"/>
      <c r="B57" s="6"/>
      <c r="C57" s="18"/>
      <c r="D57" s="16" t="e">
        <f t="shared" si="1"/>
        <v>#VALUE!</v>
      </c>
    </row>
    <row r="58" spans="1:6" x14ac:dyDescent="0.4">
      <c r="A58" s="6"/>
      <c r="B58" s="6"/>
      <c r="C58" s="18"/>
      <c r="D58" s="16" t="e">
        <f t="shared" si="1"/>
        <v>#VALUE!</v>
      </c>
    </row>
    <row r="59" spans="1:6" x14ac:dyDescent="0.4">
      <c r="A59" s="6"/>
      <c r="B59" s="6"/>
      <c r="C59" s="18"/>
      <c r="D59" s="16" t="e">
        <f t="shared" si="1"/>
        <v>#VALUE!</v>
      </c>
    </row>
    <row r="60" spans="1:6" x14ac:dyDescent="0.4">
      <c r="A60" s="6"/>
      <c r="B60" s="6"/>
      <c r="C60" s="18"/>
      <c r="D60" s="16" t="e">
        <f t="shared" si="1"/>
        <v>#VALUE!</v>
      </c>
    </row>
    <row r="61" spans="1:6" x14ac:dyDescent="0.4">
      <c r="A61" s="6"/>
      <c r="B61" s="6"/>
      <c r="C61" s="18"/>
      <c r="D61" s="16" t="e">
        <f t="shared" si="1"/>
        <v>#VALUE!</v>
      </c>
    </row>
    <row r="62" spans="1:6" x14ac:dyDescent="0.4">
      <c r="A62" s="6"/>
      <c r="B62" s="6"/>
      <c r="C62" s="18"/>
      <c r="D62" s="16" t="e">
        <f t="shared" si="1"/>
        <v>#VALUE!</v>
      </c>
    </row>
    <row r="63" spans="1:6" x14ac:dyDescent="0.4">
      <c r="A63" s="6"/>
      <c r="B63" s="6"/>
      <c r="C63" s="18"/>
      <c r="D63" s="16" t="e">
        <f t="shared" si="1"/>
        <v>#VALUE!</v>
      </c>
    </row>
    <row r="64" spans="1:6" x14ac:dyDescent="0.4">
      <c r="A64" s="6"/>
      <c r="B64" s="6"/>
      <c r="C64" s="18"/>
      <c r="D64" s="16" t="e">
        <f t="shared" si="1"/>
        <v>#VALUE!</v>
      </c>
    </row>
    <row r="65" spans="1:4" x14ac:dyDescent="0.4">
      <c r="A65" s="6"/>
      <c r="B65" s="6"/>
      <c r="C65" s="18"/>
      <c r="D65" s="16" t="e">
        <f t="shared" si="1"/>
        <v>#VALUE!</v>
      </c>
    </row>
    <row r="66" spans="1:4" x14ac:dyDescent="0.4">
      <c r="A66" s="6"/>
      <c r="B66" s="6"/>
      <c r="C66" s="18"/>
      <c r="D66" s="16" t="e">
        <f t="shared" si="1"/>
        <v>#VALUE!</v>
      </c>
    </row>
    <row r="67" spans="1:4" x14ac:dyDescent="0.4">
      <c r="A67" s="6"/>
      <c r="B67" s="6"/>
      <c r="C67" s="18"/>
      <c r="D67" s="16" t="e">
        <f t="shared" si="1"/>
        <v>#VALUE!</v>
      </c>
    </row>
    <row r="68" spans="1:4" x14ac:dyDescent="0.4">
      <c r="A68" s="6"/>
      <c r="B68" s="6"/>
      <c r="C68" s="18"/>
      <c r="D68" s="16" t="e">
        <f t="shared" si="1"/>
        <v>#VALUE!</v>
      </c>
    </row>
    <row r="69" spans="1:4" x14ac:dyDescent="0.4">
      <c r="A69" s="6"/>
      <c r="B69" s="6"/>
      <c r="C69" s="18"/>
      <c r="D69" s="16" t="e">
        <f t="shared" ref="D69:D100" si="2">CUBICSPLINE(C69,$A$5:$A$107,$B$5:$B$107)</f>
        <v>#VALUE!</v>
      </c>
    </row>
    <row r="70" spans="1:4" x14ac:dyDescent="0.4">
      <c r="A70" s="6"/>
      <c r="B70" s="6"/>
      <c r="C70" s="18"/>
      <c r="D70" s="16" t="e">
        <f t="shared" si="2"/>
        <v>#VALUE!</v>
      </c>
    </row>
    <row r="71" spans="1:4" x14ac:dyDescent="0.4">
      <c r="A71" s="6"/>
      <c r="B71" s="6"/>
      <c r="C71" s="18"/>
      <c r="D71" s="16" t="e">
        <f t="shared" si="2"/>
        <v>#VALUE!</v>
      </c>
    </row>
    <row r="72" spans="1:4" x14ac:dyDescent="0.4">
      <c r="A72" s="6"/>
      <c r="B72" s="6"/>
      <c r="C72" s="18"/>
      <c r="D72" s="16" t="e">
        <f t="shared" si="2"/>
        <v>#VALUE!</v>
      </c>
    </row>
    <row r="73" spans="1:4" x14ac:dyDescent="0.4">
      <c r="A73" s="6"/>
      <c r="B73" s="6"/>
      <c r="C73" s="18"/>
      <c r="D73" s="16" t="e">
        <f t="shared" si="2"/>
        <v>#VALUE!</v>
      </c>
    </row>
    <row r="74" spans="1:4" x14ac:dyDescent="0.4">
      <c r="A74" s="6"/>
      <c r="B74" s="6"/>
      <c r="C74" s="18"/>
      <c r="D74" s="16" t="e">
        <f t="shared" si="2"/>
        <v>#VALUE!</v>
      </c>
    </row>
    <row r="75" spans="1:4" x14ac:dyDescent="0.4">
      <c r="A75" s="6"/>
      <c r="B75" s="6"/>
      <c r="C75" s="18"/>
      <c r="D75" s="16" t="e">
        <f t="shared" si="2"/>
        <v>#VALUE!</v>
      </c>
    </row>
    <row r="76" spans="1:4" x14ac:dyDescent="0.4">
      <c r="A76" s="6"/>
      <c r="B76" s="6"/>
      <c r="C76" s="18"/>
      <c r="D76" s="16" t="e">
        <f t="shared" si="2"/>
        <v>#VALUE!</v>
      </c>
    </row>
    <row r="77" spans="1:4" x14ac:dyDescent="0.4">
      <c r="A77" s="6"/>
      <c r="B77" s="6"/>
      <c r="C77" s="18"/>
      <c r="D77" s="16" t="e">
        <f t="shared" si="2"/>
        <v>#VALUE!</v>
      </c>
    </row>
    <row r="78" spans="1:4" x14ac:dyDescent="0.4">
      <c r="A78" s="6"/>
      <c r="B78" s="6"/>
      <c r="C78" s="18"/>
      <c r="D78" s="16" t="e">
        <f t="shared" si="2"/>
        <v>#VALUE!</v>
      </c>
    </row>
    <row r="79" spans="1:4" x14ac:dyDescent="0.4">
      <c r="A79" s="6"/>
      <c r="B79" s="6"/>
      <c r="C79" s="18"/>
      <c r="D79" s="16" t="e">
        <f t="shared" si="2"/>
        <v>#VALUE!</v>
      </c>
    </row>
    <row r="80" spans="1:4" x14ac:dyDescent="0.4">
      <c r="A80" s="6"/>
      <c r="B80" s="6"/>
      <c r="C80" s="18"/>
      <c r="D80" s="16" t="e">
        <f t="shared" si="2"/>
        <v>#VALUE!</v>
      </c>
    </row>
    <row r="81" spans="1:4" x14ac:dyDescent="0.4">
      <c r="A81" s="6"/>
      <c r="B81" s="6"/>
      <c r="C81" s="18"/>
      <c r="D81" s="16" t="e">
        <f t="shared" si="2"/>
        <v>#VALUE!</v>
      </c>
    </row>
    <row r="82" spans="1:4" x14ac:dyDescent="0.4">
      <c r="A82" s="6"/>
      <c r="B82" s="6"/>
      <c r="C82" s="18"/>
      <c r="D82" s="16" t="e">
        <f t="shared" si="2"/>
        <v>#VALUE!</v>
      </c>
    </row>
    <row r="83" spans="1:4" x14ac:dyDescent="0.4">
      <c r="A83" s="6"/>
      <c r="B83" s="6"/>
      <c r="C83" s="18"/>
      <c r="D83" s="16" t="e">
        <f t="shared" si="2"/>
        <v>#VALUE!</v>
      </c>
    </row>
    <row r="84" spans="1:4" x14ac:dyDescent="0.4">
      <c r="A84" s="6"/>
      <c r="B84" s="6"/>
      <c r="C84" s="18"/>
      <c r="D84" s="16" t="e">
        <f t="shared" si="2"/>
        <v>#VALUE!</v>
      </c>
    </row>
    <row r="85" spans="1:4" x14ac:dyDescent="0.4">
      <c r="A85" s="6"/>
      <c r="B85" s="6"/>
      <c r="C85" s="18"/>
      <c r="D85" s="16" t="e">
        <f t="shared" si="2"/>
        <v>#VALUE!</v>
      </c>
    </row>
    <row r="86" spans="1:4" x14ac:dyDescent="0.4">
      <c r="A86" s="6"/>
      <c r="B86" s="6"/>
      <c r="C86" s="18"/>
      <c r="D86" s="16" t="e">
        <f t="shared" si="2"/>
        <v>#VALUE!</v>
      </c>
    </row>
    <row r="87" spans="1:4" x14ac:dyDescent="0.4">
      <c r="A87" s="6"/>
      <c r="B87" s="6"/>
      <c r="C87" s="18"/>
      <c r="D87" s="16" t="e">
        <f t="shared" si="2"/>
        <v>#VALUE!</v>
      </c>
    </row>
    <row r="88" spans="1:4" x14ac:dyDescent="0.4">
      <c r="A88" s="6"/>
      <c r="B88" s="6"/>
      <c r="C88" s="18"/>
      <c r="D88" s="16" t="e">
        <f t="shared" si="2"/>
        <v>#VALUE!</v>
      </c>
    </row>
    <row r="89" spans="1:4" x14ac:dyDescent="0.4">
      <c r="A89" s="6"/>
      <c r="B89" s="6"/>
      <c r="C89" s="18"/>
      <c r="D89" s="16" t="e">
        <f t="shared" si="2"/>
        <v>#VALUE!</v>
      </c>
    </row>
    <row r="90" spans="1:4" x14ac:dyDescent="0.4">
      <c r="A90" s="6"/>
      <c r="B90" s="6"/>
      <c r="C90" s="18"/>
      <c r="D90" s="16" t="e">
        <f t="shared" si="2"/>
        <v>#VALUE!</v>
      </c>
    </row>
    <row r="91" spans="1:4" x14ac:dyDescent="0.4">
      <c r="A91" s="6"/>
      <c r="B91" s="6"/>
      <c r="C91" s="18"/>
      <c r="D91" s="16" t="e">
        <f t="shared" si="2"/>
        <v>#VALUE!</v>
      </c>
    </row>
    <row r="92" spans="1:4" x14ac:dyDescent="0.4">
      <c r="A92" s="6"/>
      <c r="B92" s="6"/>
      <c r="C92" s="18"/>
      <c r="D92" s="16" t="e">
        <f t="shared" si="2"/>
        <v>#VALUE!</v>
      </c>
    </row>
    <row r="93" spans="1:4" x14ac:dyDescent="0.4">
      <c r="A93" s="6"/>
      <c r="B93" s="6"/>
      <c r="C93" s="18"/>
      <c r="D93" s="16" t="e">
        <f t="shared" si="2"/>
        <v>#VALUE!</v>
      </c>
    </row>
    <row r="94" spans="1:4" x14ac:dyDescent="0.4">
      <c r="A94" s="6"/>
      <c r="B94" s="6"/>
      <c r="C94" s="18"/>
      <c r="D94" s="16" t="e">
        <f t="shared" si="2"/>
        <v>#VALUE!</v>
      </c>
    </row>
    <row r="95" spans="1:4" x14ac:dyDescent="0.4">
      <c r="A95" s="6"/>
      <c r="B95" s="6"/>
      <c r="C95" s="18"/>
      <c r="D95" s="16" t="e">
        <f t="shared" si="2"/>
        <v>#VALUE!</v>
      </c>
    </row>
    <row r="96" spans="1:4" x14ac:dyDescent="0.4">
      <c r="A96" s="6"/>
      <c r="B96" s="6"/>
      <c r="C96" s="18"/>
      <c r="D96" s="16" t="e">
        <f t="shared" si="2"/>
        <v>#VALUE!</v>
      </c>
    </row>
    <row r="97" spans="1:4" x14ac:dyDescent="0.4">
      <c r="A97" s="6"/>
      <c r="B97" s="6"/>
      <c r="C97" s="18"/>
      <c r="D97" s="16" t="e">
        <f t="shared" si="2"/>
        <v>#VALUE!</v>
      </c>
    </row>
    <row r="98" spans="1:4" x14ac:dyDescent="0.4">
      <c r="A98" s="6"/>
      <c r="B98" s="6"/>
      <c r="C98" s="18"/>
      <c r="D98" s="16" t="e">
        <f t="shared" si="2"/>
        <v>#VALUE!</v>
      </c>
    </row>
    <row r="99" spans="1:4" x14ac:dyDescent="0.4">
      <c r="A99" s="6"/>
      <c r="B99" s="6"/>
      <c r="C99" s="18"/>
      <c r="D99" s="16" t="e">
        <f t="shared" si="2"/>
        <v>#VALUE!</v>
      </c>
    </row>
    <row r="100" spans="1:4" x14ac:dyDescent="0.4">
      <c r="A100" s="6"/>
      <c r="B100" s="6"/>
      <c r="C100" s="18"/>
      <c r="D100" s="16" t="e">
        <f t="shared" si="2"/>
        <v>#VALUE!</v>
      </c>
    </row>
    <row r="101" spans="1:4" x14ac:dyDescent="0.4">
      <c r="A101" s="6"/>
      <c r="B101" s="6"/>
      <c r="C101" s="18"/>
      <c r="D101" s="16" t="e">
        <f t="shared" ref="D101:D107" si="3">CUBICSPLINE(C101,$A$5:$A$107,$B$5:$B$107)</f>
        <v>#VALUE!</v>
      </c>
    </row>
    <row r="102" spans="1:4" x14ac:dyDescent="0.4">
      <c r="A102" s="6"/>
      <c r="B102" s="6"/>
      <c r="C102" s="18"/>
      <c r="D102" s="16" t="e">
        <f t="shared" si="3"/>
        <v>#VALUE!</v>
      </c>
    </row>
    <row r="103" spans="1:4" x14ac:dyDescent="0.4">
      <c r="A103" s="6"/>
      <c r="B103" s="6"/>
      <c r="C103" s="18"/>
      <c r="D103" s="16" t="e">
        <f t="shared" si="3"/>
        <v>#VALUE!</v>
      </c>
    </row>
    <row r="104" spans="1:4" x14ac:dyDescent="0.4">
      <c r="A104" s="6"/>
      <c r="B104" s="6"/>
      <c r="C104" s="18"/>
      <c r="D104" s="16" t="e">
        <f t="shared" si="3"/>
        <v>#VALUE!</v>
      </c>
    </row>
    <row r="105" spans="1:4" x14ac:dyDescent="0.4">
      <c r="A105" s="6"/>
      <c r="B105" s="6"/>
      <c r="C105" s="18"/>
      <c r="D105" s="16" t="e">
        <f t="shared" si="3"/>
        <v>#VALUE!</v>
      </c>
    </row>
    <row r="106" spans="1:4" x14ac:dyDescent="0.4">
      <c r="A106" s="6"/>
      <c r="B106" s="6"/>
      <c r="C106" s="18"/>
      <c r="D106" s="16" t="e">
        <f t="shared" si="3"/>
        <v>#VALUE!</v>
      </c>
    </row>
    <row r="107" spans="1:4" x14ac:dyDescent="0.4">
      <c r="A107" s="6"/>
      <c r="B107" s="6"/>
      <c r="C107" s="18"/>
      <c r="D107" s="16" t="e">
        <f t="shared" si="3"/>
        <v>#VALUE!</v>
      </c>
    </row>
  </sheetData>
  <mergeCells count="4">
    <mergeCell ref="A1:B1"/>
    <mergeCell ref="C1:D1"/>
    <mergeCell ref="A2:B2"/>
    <mergeCell ref="C2:D2"/>
  </mergeCells>
  <pageMargins left="0.7" right="0.7" top="0.75" bottom="0.75" header="0.511811023622047" footer="0.511811023622047"/>
  <pageSetup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D92BD-605A-41D6-98C5-B58C3DE88F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AnnexE</vt:lpstr>
      <vt:lpstr>6 9</vt:lpstr>
      <vt:lpstr>2025-04-22-annexE</vt:lpstr>
      <vt:lpstr>DATA</vt:lpstr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Arun P Janakiraman</dc:creator>
  <dc:description/>
  <cp:lastModifiedBy>John Devereux</cp:lastModifiedBy>
  <cp:revision>2</cp:revision>
  <dcterms:created xsi:type="dcterms:W3CDTF">2017-11-29T20:25:38Z</dcterms:created>
  <dcterms:modified xsi:type="dcterms:W3CDTF">2025-05-06T07:42:53Z</dcterms:modified>
  <dc:language>en-GB</dc:language>
</cp:coreProperties>
</file>