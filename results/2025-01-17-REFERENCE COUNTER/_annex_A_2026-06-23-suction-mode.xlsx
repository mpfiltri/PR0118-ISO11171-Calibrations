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p\projects\PR0118 - ISO 11171 Calibrations\results\2025-01-17-REFERENCE COUNTER\"/>
    </mc:Choice>
  </mc:AlternateContent>
  <xr:revisionPtr revIDLastSave="0" documentId="13_ncr:1_{01C53330-3AC1-4141-B454-C5B8A13EC2E8}" xr6:coauthVersionLast="47" xr6:coauthVersionMax="47" xr10:uidLastSave="{00000000-0000-0000-0000-000000000000}"/>
  <bookViews>
    <workbookView xWindow="0" yWindow="225" windowWidth="28995" windowHeight="17745" xr2:uid="{953665B5-C50E-440F-B37B-B0E68037AD87}"/>
  </bookViews>
  <sheets>
    <sheet name="Annex A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36" i="1" l="1"/>
  <c r="V138" i="1" s="1"/>
  <c r="U136" i="1"/>
  <c r="U138" i="1" s="1"/>
  <c r="T136" i="1"/>
  <c r="T138" i="1" s="1"/>
  <c r="S136" i="1"/>
  <c r="S138" i="1" s="1"/>
  <c r="R136" i="1"/>
  <c r="R138" i="1" s="1"/>
  <c r="Q136" i="1"/>
  <c r="Q138" i="1" s="1"/>
  <c r="P136" i="1"/>
  <c r="P138" i="1" s="1"/>
  <c r="O136" i="1"/>
  <c r="O138" i="1" s="1"/>
  <c r="N136" i="1"/>
  <c r="N138" i="1" s="1"/>
  <c r="M136" i="1"/>
  <c r="M138" i="1" s="1"/>
  <c r="P126" i="1"/>
  <c r="R127" i="1"/>
  <c r="R129" i="1" s="1"/>
  <c r="Q127" i="1"/>
  <c r="Q129" i="1" s="1"/>
  <c r="P127" i="1"/>
  <c r="P129" i="1" s="1"/>
  <c r="O127" i="1"/>
  <c r="O129" i="1" s="1"/>
  <c r="N127" i="1"/>
  <c r="N129" i="1" s="1"/>
  <c r="M127" i="1"/>
  <c r="M129" i="1" s="1"/>
  <c r="X84" i="1"/>
  <c r="V82" i="1"/>
  <c r="V84" i="1" s="1"/>
  <c r="T82" i="1"/>
  <c r="T84" i="1" s="1"/>
  <c r="S82" i="1"/>
  <c r="S84" i="1" s="1"/>
  <c r="R82" i="1"/>
  <c r="R84" i="1" s="1"/>
  <c r="Q82" i="1"/>
  <c r="Q84" i="1" s="1"/>
  <c r="P82" i="1"/>
  <c r="P84" i="1" s="1"/>
  <c r="O82" i="1"/>
  <c r="O84" i="1" s="1"/>
  <c r="N82" i="1"/>
  <c r="N84" i="1" s="1"/>
  <c r="M82" i="1"/>
  <c r="M84" i="1" s="1"/>
  <c r="U82" i="1"/>
  <c r="U84" i="1" s="1"/>
  <c r="V58" i="1"/>
  <c r="V60" i="1" s="1"/>
  <c r="U57" i="1"/>
  <c r="U58" i="1" s="1"/>
  <c r="U60" i="1" s="1"/>
  <c r="S57" i="1"/>
  <c r="S58" i="1" s="1"/>
  <c r="S60" i="1" s="1"/>
  <c r="R57" i="1"/>
  <c r="R58" i="1" s="1"/>
  <c r="R60" i="1" s="1"/>
  <c r="N58" i="1"/>
  <c r="N60" i="1" s="1"/>
  <c r="T58" i="1"/>
  <c r="T60" i="1" s="1"/>
  <c r="Q58" i="1"/>
  <c r="Q60" i="1" s="1"/>
  <c r="P58" i="1"/>
  <c r="P60" i="1" s="1"/>
  <c r="O58" i="1"/>
  <c r="O60" i="1" s="1"/>
  <c r="M58" i="1"/>
  <c r="M60" i="1" s="1"/>
  <c r="X37" i="1"/>
  <c r="X38" i="1" s="1"/>
  <c r="X40" i="1" s="1"/>
  <c r="U37" i="1"/>
  <c r="Z38" i="1"/>
  <c r="Z40" i="1" s="1"/>
  <c r="Y38" i="1"/>
  <c r="Y40" i="1" s="1"/>
  <c r="W38" i="1"/>
  <c r="W40" i="1" s="1"/>
  <c r="S40" i="1"/>
  <c r="P38" i="1"/>
  <c r="P40" i="1" s="1"/>
  <c r="V38" i="1"/>
  <c r="V40" i="1" s="1"/>
  <c r="U38" i="1"/>
  <c r="U40" i="1" s="1"/>
  <c r="T38" i="1"/>
  <c r="T40" i="1" s="1"/>
  <c r="S38" i="1"/>
  <c r="R38" i="1"/>
  <c r="R40" i="1" s="1"/>
  <c r="Q38" i="1"/>
  <c r="Q40" i="1" s="1"/>
  <c r="O38" i="1"/>
  <c r="O40" i="1" s="1"/>
  <c r="N38" i="1"/>
  <c r="N40" i="1" s="1"/>
  <c r="M38" i="1"/>
  <c r="M40" i="1" s="1"/>
  <c r="H85" i="1"/>
  <c r="H86" i="1" s="1"/>
  <c r="H88" i="1" s="1"/>
  <c r="H83" i="1"/>
  <c r="H74" i="1"/>
  <c r="H75" i="1" s="1"/>
  <c r="H77" i="1" s="1"/>
  <c r="H72" i="1"/>
  <c r="H63" i="1"/>
  <c r="H64" i="1" s="1"/>
  <c r="H65" i="1" s="1"/>
  <c r="H61" i="1"/>
  <c r="H52" i="1"/>
  <c r="H53" i="1" s="1"/>
  <c r="H50" i="1"/>
  <c r="H41" i="1"/>
  <c r="H42" i="1" s="1"/>
  <c r="H44" i="1" s="1"/>
  <c r="H39" i="1"/>
  <c r="H30" i="1"/>
  <c r="H31" i="1" s="1"/>
  <c r="D8" i="1"/>
  <c r="D7" i="1"/>
  <c r="H28" i="1"/>
  <c r="C31" i="1"/>
  <c r="C30" i="1"/>
  <c r="D24" i="1" s="1"/>
  <c r="M29" i="1"/>
  <c r="M31" i="1" s="1"/>
  <c r="R23" i="1"/>
  <c r="R17" i="1"/>
  <c r="R15" i="1"/>
  <c r="D15" i="1"/>
  <c r="D19" i="1" s="1"/>
  <c r="D20" i="1" s="1"/>
  <c r="D21" i="1" s="1"/>
  <c r="R8" i="1"/>
  <c r="R7" i="1"/>
  <c r="W5" i="1"/>
  <c r="X138" i="1" l="1"/>
  <c r="W138" i="1"/>
  <c r="X129" i="1"/>
  <c r="W129" i="1"/>
  <c r="W60" i="1"/>
  <c r="H55" i="1"/>
  <c r="W84" i="1"/>
  <c r="H66" i="1"/>
  <c r="C38" i="1"/>
  <c r="D38" i="1" s="1"/>
  <c r="H33" i="1"/>
  <c r="D25" i="1"/>
  <c r="D27" i="1"/>
  <c r="D28" i="1"/>
  <c r="D26" i="1"/>
</calcChain>
</file>

<file path=xl/sharedStrings.xml><?xml version="1.0" encoding="utf-8"?>
<sst xmlns="http://schemas.openxmlformats.org/spreadsheetml/2006/main" count="199" uniqueCount="88">
  <si>
    <t>Annex A Preliminary Check</t>
  </si>
  <si>
    <t>Analysis using Bottle Samples and 25% coincidence RM8632a</t>
  </si>
  <si>
    <t>Concentrate Dilution Calculator</t>
  </si>
  <si>
    <t>Concentrate Manufacturing Calculator</t>
  </si>
  <si>
    <t>Can perform Annex C at same time using 5x bottles</t>
  </si>
  <si>
    <t>Volumetric Sampling Accuracy</t>
  </si>
  <si>
    <t>Volume Actually Measured</t>
  </si>
  <si>
    <t>Concentrate</t>
  </si>
  <si>
    <t>mg/l</t>
  </si>
  <si>
    <t>Target Final Fluid Volume ml</t>
  </si>
  <si>
    <t>Final fluid volume</t>
  </si>
  <si>
    <t>ml</t>
  </si>
  <si>
    <t>Target Concentration mg/l</t>
  </si>
  <si>
    <t>APC Model</t>
  </si>
  <si>
    <t>Prepare 5 bottles of 10um PSL spheres of concentration 2000/ml</t>
  </si>
  <si>
    <t>Target concentration</t>
  </si>
  <si>
    <t>mg required</t>
  </si>
  <si>
    <t>APC S/N</t>
  </si>
  <si>
    <t>Obtain counts using 10ml flush + 5x10ml portions</t>
  </si>
  <si>
    <t>Sensor Model</t>
  </si>
  <si>
    <t>Import all portion data into following sheet (A - B1)</t>
  </si>
  <si>
    <t>Concentrate to add</t>
  </si>
  <si>
    <t>Sensor S/N</t>
  </si>
  <si>
    <t>Adjust A - B1 to A-B5 sheets deleting outliers as per 6.6</t>
  </si>
  <si>
    <t>Diluent to add</t>
  </si>
  <si>
    <t>Date</t>
  </si>
  <si>
    <t>Enter expected concentration in cell below i.e. 2000</t>
  </si>
  <si>
    <t>Operator</t>
  </si>
  <si>
    <t>JMD</t>
  </si>
  <si>
    <t>Can also export histogram data for one bottle and perform Annex D</t>
  </si>
  <si>
    <t>Threshold Noise</t>
  </si>
  <si>
    <t>Alt Concentrate Dilution Calculator</t>
  </si>
  <si>
    <t>Photocurrent</t>
  </si>
  <si>
    <t>Concentrate mg/l</t>
  </si>
  <si>
    <t>4um(c) Coincidence Limit /ml</t>
  </si>
  <si>
    <t>Diluent volume ml</t>
  </si>
  <si>
    <t>A.1 RM8632 4um count/mg/l</t>
  </si>
  <si>
    <t>Target concentration mg/l</t>
  </si>
  <si>
    <t>RM8632x mg/l at 25% coincidence limit</t>
  </si>
  <si>
    <t>Added</t>
  </si>
  <si>
    <t>Final Concentration</t>
  </si>
  <si>
    <t>Wanted fluid volume ml</t>
  </si>
  <si>
    <t>Target quantity of dust in dilution</t>
  </si>
  <si>
    <t>Concentrate to add ml</t>
  </si>
  <si>
    <t>Clean fluid to add</t>
  </si>
  <si>
    <t>Threshold factor</t>
  </si>
  <si>
    <t>/ml</t>
  </si>
  <si>
    <t>Deviation</t>
  </si>
  <si>
    <t>Particle Counter</t>
  </si>
  <si>
    <t>Portion 1</t>
  </si>
  <si>
    <t>Portion 2</t>
  </si>
  <si>
    <t>Portion 3</t>
  </si>
  <si>
    <t>Portion 4</t>
  </si>
  <si>
    <t>AVERAGE 10um count/ml</t>
  </si>
  <si>
    <t>Portion 5</t>
  </si>
  <si>
    <t>Expected 10um count/ml</t>
  </si>
  <si>
    <t>Capture Fraction</t>
  </si>
  <si>
    <t>Mean</t>
  </si>
  <si>
    <t>Sample StdDev</t>
  </si>
  <si>
    <t>Flush</t>
  </si>
  <si>
    <t>Set "Beam Flow Correction"</t>
  </si>
  <si>
    <t>Sample</t>
  </si>
  <si>
    <t>Total Fluid Programmed</t>
  </si>
  <si>
    <t>Final Measured Weight</t>
  </si>
  <si>
    <t>g</t>
  </si>
  <si>
    <t>Fluid Weight Taken</t>
  </si>
  <si>
    <t>ml taken</t>
  </si>
  <si>
    <r>
      <rPr>
        <sz val="10"/>
        <rFont val="Calibri"/>
        <family val="2"/>
      </rPr>
      <t>CV</t>
    </r>
    <r>
      <rPr>
        <vertAlign val="subscript"/>
        <sz val="10"/>
        <rFont val="Calibri"/>
        <family val="2"/>
      </rPr>
      <t>VOL</t>
    </r>
  </si>
  <si>
    <t>Error</t>
  </si>
  <si>
    <t>REF CTR</t>
  </si>
  <si>
    <t>11171-000001</t>
  </si>
  <si>
    <t>100ml weight</t>
  </si>
  <si>
    <t>Density</t>
  </si>
  <si>
    <t>Volume</t>
  </si>
  <si>
    <t>Error ml</t>
  </si>
  <si>
    <t>Programmed</t>
  </si>
  <si>
    <t>Weight delta</t>
  </si>
  <si>
    <t>BRAKING</t>
  </si>
  <si>
    <t>MODE</t>
  </si>
  <si>
    <t>COAST</t>
  </si>
  <si>
    <t>STDDEV</t>
  </si>
  <si>
    <t>Suction mode repeatability - 0ml flush, 10ml sample volume repeated tests</t>
  </si>
  <si>
    <t>Programmed ml</t>
  </si>
  <si>
    <t>g/100ml</t>
  </si>
  <si>
    <t>Volume ml</t>
  </si>
  <si>
    <t>Weight delta g</t>
  </si>
  <si>
    <t>Average</t>
  </si>
  <si>
    <t>Applied further 0.46ml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</si>
</sst>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"/>
    <numFmt numFmtId="166" formatCode="0.000"/>
  </numFmts>
  <fonts count="15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24"/>
      <color rgb="FFC9211E"/>
      <name val="Arial Black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i/>
      <sz val="10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color rgb="FF006600"/>
      <name val="Arial"/>
      <family val="2"/>
    </font>
    <font>
      <b/>
      <sz val="10"/>
      <color rgb="FF006600"/>
      <name val="Arial"/>
      <family val="2"/>
    </font>
    <font>
      <vertAlign val="subscript"/>
      <sz val="10"/>
      <name val="Calibri"/>
      <family val="2"/>
    </font>
    <font>
      <sz val="10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CCFFCC"/>
        <bgColor rgb="FFCCF4C6"/>
      </patternFill>
    </fill>
    <fill>
      <patternFill patternType="solid">
        <fgColor rgb="FFCCF4C6"/>
        <bgColor rgb="FFCCFFCC"/>
      </patternFill>
    </fill>
  </fills>
  <borders count="2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1" fillId="4" borderId="0" applyBorder="0" applyAlignment="0" applyProtection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68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6" fillId="0" borderId="0" xfId="0" applyFont="1"/>
    <xf numFmtId="0" fontId="7" fillId="0" borderId="0" xfId="0" applyFont="1"/>
    <xf numFmtId="0" fontId="0" fillId="0" borderId="5" xfId="0" applyBorder="1"/>
    <xf numFmtId="0" fontId="1" fillId="3" borderId="0" xfId="3" applyBorder="1" applyAlignment="1">
      <alignment horizontal="right"/>
    </xf>
    <xf numFmtId="0" fontId="0" fillId="0" borderId="6" xfId="0" applyBorder="1"/>
    <xf numFmtId="0" fontId="4" fillId="0" borderId="0" xfId="0" applyFont="1" applyAlignment="1">
      <alignment horizontal="right"/>
    </xf>
    <xf numFmtId="2" fontId="1" fillId="3" borderId="0" xfId="3" applyNumberFormat="1" applyBorder="1" applyAlignment="1">
      <alignment horizontal="right"/>
    </xf>
    <xf numFmtId="2" fontId="2" fillId="2" borderId="1" xfId="2" applyNumberFormat="1" applyAlignment="1">
      <alignment horizontal="right"/>
    </xf>
    <xf numFmtId="164" fontId="2" fillId="2" borderId="1" xfId="2" applyNumberFormat="1" applyAlignment="1">
      <alignment horizontal="right"/>
    </xf>
    <xf numFmtId="165" fontId="7" fillId="0" borderId="0" xfId="0" applyNumberFormat="1" applyFont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5" fontId="4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2" fontId="0" fillId="0" borderId="1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10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2" fontId="4" fillId="0" borderId="0" xfId="0" applyNumberFormat="1" applyFont="1" applyAlignment="1">
      <alignment horizontal="right"/>
    </xf>
    <xf numFmtId="0" fontId="7" fillId="0" borderId="11" xfId="0" applyFont="1" applyBorder="1"/>
    <xf numFmtId="10" fontId="4" fillId="0" borderId="0" xfId="0" applyNumberFormat="1" applyFont="1"/>
    <xf numFmtId="0" fontId="7" fillId="0" borderId="12" xfId="0" applyFont="1" applyBorder="1"/>
    <xf numFmtId="0" fontId="8" fillId="0" borderId="0" xfId="0" applyFont="1"/>
    <xf numFmtId="0" fontId="9" fillId="0" borderId="0" xfId="0" applyFont="1"/>
    <xf numFmtId="1" fontId="9" fillId="0" borderId="0" xfId="0" applyNumberFormat="1" applyFont="1"/>
    <xf numFmtId="0" fontId="7" fillId="0" borderId="13" xfId="0" applyFont="1" applyBorder="1"/>
    <xf numFmtId="0" fontId="10" fillId="0" borderId="0" xfId="0" applyFont="1"/>
    <xf numFmtId="0" fontId="11" fillId="4" borderId="0" xfId="1"/>
    <xf numFmtId="166" fontId="12" fillId="4" borderId="0" xfId="1" applyNumberFormat="1" applyFont="1"/>
    <xf numFmtId="1" fontId="4" fillId="0" borderId="0" xfId="0" applyNumberFormat="1" applyFont="1"/>
    <xf numFmtId="1" fontId="11" fillId="4" borderId="0" xfId="1" applyNumberFormat="1"/>
    <xf numFmtId="0" fontId="7" fillId="0" borderId="10" xfId="0" applyFont="1" applyBorder="1"/>
    <xf numFmtId="2" fontId="4" fillId="5" borderId="10" xfId="0" applyNumberFormat="1" applyFont="1" applyFill="1" applyBorder="1" applyAlignment="1">
      <alignment horizontal="right"/>
    </xf>
    <xf numFmtId="0" fontId="0" fillId="0" borderId="0" xfId="0" applyProtection="1">
      <protection locked="0"/>
    </xf>
    <xf numFmtId="165" fontId="0" fillId="0" borderId="0" xfId="0" applyNumberFormat="1"/>
    <xf numFmtId="165" fontId="4" fillId="0" borderId="0" xfId="0" applyNumberFormat="1" applyFont="1"/>
    <xf numFmtId="0" fontId="4" fillId="0" borderId="14" xfId="0" applyFont="1" applyBorder="1"/>
    <xf numFmtId="0" fontId="0" fillId="0" borderId="15" xfId="0" applyBorder="1"/>
    <xf numFmtId="2" fontId="4" fillId="0" borderId="15" xfId="0" applyNumberFormat="1" applyFont="1" applyBorder="1" applyAlignment="1">
      <alignment horizontal="right"/>
    </xf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10" fontId="4" fillId="5" borderId="21" xfId="0" applyNumberFormat="1" applyFont="1" applyFill="1" applyBorder="1" applyAlignment="1">
      <alignment horizontal="right"/>
    </xf>
    <xf numFmtId="0" fontId="4" fillId="0" borderId="22" xfId="0" applyFont="1" applyBorder="1"/>
    <xf numFmtId="0" fontId="14" fillId="0" borderId="0" xfId="0" applyFont="1" applyAlignment="1">
      <alignment horizontal="right"/>
    </xf>
    <xf numFmtId="2" fontId="4" fillId="0" borderId="22" xfId="0" applyNumberFormat="1" applyFont="1" applyBorder="1"/>
    <xf numFmtId="164" fontId="0" fillId="0" borderId="0" xfId="0" applyNumberFormat="1"/>
    <xf numFmtId="2" fontId="0" fillId="0" borderId="0" xfId="0" applyNumberFormat="1"/>
    <xf numFmtId="2" fontId="2" fillId="2" borderId="1" xfId="2" applyNumberFormat="1"/>
    <xf numFmtId="0" fontId="6" fillId="0" borderId="0" xfId="0" applyFont="1" applyAlignment="1">
      <alignment horizontal="left"/>
    </xf>
    <xf numFmtId="164" fontId="1" fillId="3" borderId="0" xfId="3" applyNumberFormat="1" applyAlignment="1">
      <alignment horizontal="right"/>
    </xf>
    <xf numFmtId="2" fontId="1" fillId="3" borderId="0" xfId="3" applyNumberFormat="1"/>
    <xf numFmtId="0" fontId="1" fillId="3" borderId="0" xfId="3"/>
    <xf numFmtId="0" fontId="3" fillId="0" borderId="0" xfId="0" applyFont="1" applyAlignment="1">
      <alignment horizontal="left" vertical="center"/>
    </xf>
  </cellXfs>
  <cellStyles count="4">
    <cellStyle name="20% - Accent2" xfId="3" builtinId="34"/>
    <cellStyle name="Calculation" xfId="2" builtinId="22"/>
    <cellStyle name="Good" xfId="1" builtinId="26"/>
    <cellStyle name="Normal" xfId="0" builtinId="0"/>
  </cellStyles>
  <dxfs count="4"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  <dxf>
      <font>
        <b val="0"/>
        <i val="0"/>
        <sz val="10"/>
        <color rgb="FFCC0000"/>
      </font>
      <fill>
        <patternFill>
          <bgColor rgb="FFFFCCCC"/>
        </patternFill>
      </fill>
    </dxf>
    <dxf>
      <font>
        <b val="0"/>
        <i val="0"/>
        <sz val="10"/>
        <color rgb="FF006600"/>
      </font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10ml</a:t>
            </a:r>
            <a:r>
              <a:rPr lang="en-GB" baseline="0"/>
              <a:t> Set Samples &amp; volume taken</a:t>
            </a:r>
          </a:p>
        </c:rich>
      </c:tx>
      <c:layout>
        <c:manualLayout>
          <c:xMode val="edge"/>
          <c:yMode val="edge"/>
          <c:x val="0.22505555555555556"/>
          <c:y val="4.939768290526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'Annex A'!$K$58</c:f>
              <c:strCache>
                <c:ptCount val="1"/>
                <c:pt idx="0">
                  <c:v>Volume ml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'Annex A'!$M$58:$V$58</c:f>
              <c:numCache>
                <c:formatCode>0.00</c:formatCode>
                <c:ptCount val="10"/>
                <c:pt idx="0">
                  <c:v>8.0595964335992498</c:v>
                </c:pt>
                <c:pt idx="1">
                  <c:v>8.036133270764898</c:v>
                </c:pt>
                <c:pt idx="2">
                  <c:v>7.9657437822618498</c:v>
                </c:pt>
                <c:pt idx="3">
                  <c:v>7.9305490380103247</c:v>
                </c:pt>
                <c:pt idx="4">
                  <c:v>7.9188174565931497</c:v>
                </c:pt>
                <c:pt idx="5">
                  <c:v>7.9657437822618489</c:v>
                </c:pt>
                <c:pt idx="6">
                  <c:v>7.8718911309244506</c:v>
                </c:pt>
                <c:pt idx="7">
                  <c:v>7.9070858751759747</c:v>
                </c:pt>
                <c:pt idx="8">
                  <c:v>7.9070858751759747</c:v>
                </c:pt>
                <c:pt idx="9">
                  <c:v>7.8601595495072747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D-4482-A880-045C2878F176}"/>
            </c:ext>
          </c:extLst>
        </c:ser>
        <c:ser>
          <c:idx val="1"/>
          <c:order val="1"/>
          <c:tx>
            <c:strRef>
              <c:f>'Annex A'!$K$59</c:f>
              <c:strCache>
                <c:ptCount val="1"/>
                <c:pt idx="0">
                  <c:v>Programmed ml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'Annex A'!$M$59:$V$59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D-4482-A880-045C2878F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052352"/>
        <c:axId val="1328065312"/>
      </c:lineChart>
      <c:catAx>
        <c:axId val="132805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65312"/>
        <c:crosses val="autoZero"/>
        <c:auto val="1"/>
        <c:lblAlgn val="ctr"/>
        <c:lblOffset val="100"/>
        <c:noMultiLvlLbl val="0"/>
      </c:catAx>
      <c:valAx>
        <c:axId val="132806531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Samples 10ml - 100ml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'Annex A'!$K$82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'Annex A'!$L$82:$V$82</c:f>
              <c:numCache>
                <c:formatCode>0.00</c:formatCode>
                <c:ptCount val="11"/>
                <c:pt idx="1">
                  <c:v>7.913165266106442</c:v>
                </c:pt>
                <c:pt idx="2">
                  <c:v>17.880485527544348</c:v>
                </c:pt>
                <c:pt idx="3">
                  <c:v>27.87114845938375</c:v>
                </c:pt>
                <c:pt idx="4">
                  <c:v>37.955182072829132</c:v>
                </c:pt>
                <c:pt idx="5">
                  <c:v>48.004201680672267</c:v>
                </c:pt>
                <c:pt idx="6">
                  <c:v>57.738095238095234</c:v>
                </c:pt>
                <c:pt idx="7">
                  <c:v>67.962184873949568</c:v>
                </c:pt>
                <c:pt idx="8">
                  <c:v>77.941176470588232</c:v>
                </c:pt>
                <c:pt idx="9">
                  <c:v>87.791783380018657</c:v>
                </c:pt>
                <c:pt idx="10">
                  <c:v>97.747432306255831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E-4AD5-8278-044882024F26}"/>
            </c:ext>
          </c:extLst>
        </c:ser>
        <c:ser>
          <c:idx val="1"/>
          <c:order val="1"/>
          <c:tx>
            <c:strRef>
              <c:f>'Annex A'!$K$83</c:f>
              <c:strCache>
                <c:ptCount val="1"/>
                <c:pt idx="0">
                  <c:v>Programmed ml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'Annex A'!$L$83:$V$83</c:f>
              <c:numCache>
                <c:formatCode>General</c:formatCode>
                <c:ptCount val="11"/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E-4AD5-8278-044882024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074976"/>
        <c:axId val="1931084576"/>
      </c:lineChart>
      <c:catAx>
        <c:axId val="1931074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84576"/>
        <c:crosses val="autoZero"/>
        <c:auto val="1"/>
        <c:lblAlgn val="ctr"/>
        <c:lblOffset val="100"/>
        <c:noMultiLvlLbl val="0"/>
      </c:catAx>
      <c:valAx>
        <c:axId val="19310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7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Measured</a:t>
            </a:r>
            <a:r>
              <a:rPr lang="en-GB" baseline="0"/>
              <a:t> Volumetric Accuracy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'Annex A'!$K$138</c:f>
              <c:strCache>
                <c:ptCount val="1"/>
                <c:pt idx="0">
                  <c:v>Error ml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'Annex A'!$M$137:$V$137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'Annex A'!$M$138:$V$138</c:f>
              <c:numCache>
                <c:formatCode>0.00</c:formatCode>
                <c:ptCount val="10"/>
                <c:pt idx="0">
                  <c:v>-7.9365079365079083E-2</c:v>
                </c:pt>
                <c:pt idx="1">
                  <c:v>-7.0028011204499307E-3</c:v>
                </c:pt>
                <c:pt idx="2">
                  <c:v>-6.3025210084038719E-2</c:v>
                </c:pt>
                <c:pt idx="3">
                  <c:v>-1.4005602240899861E-2</c:v>
                </c:pt>
                <c:pt idx="4">
                  <c:v>-5.8356676003739949E-2</c:v>
                </c:pt>
                <c:pt idx="5">
                  <c:v>-3.267973856209494E-2</c:v>
                </c:pt>
                <c:pt idx="6">
                  <c:v>-7.7030812324935027E-2</c:v>
                </c:pt>
                <c:pt idx="7">
                  <c:v>-8.6367880485539672E-2</c:v>
                </c:pt>
                <c:pt idx="8">
                  <c:v>-0.13071895424837976</c:v>
                </c:pt>
                <c:pt idx="9">
                  <c:v>-0.10504201680672054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1-40F0-AAEA-F440EF58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1082656"/>
        <c:axId val="1931093696"/>
      </c:barChart>
      <c:scatterChart>
        <c:scatterStyle val="smoothMarker"/>
        <c:varyColors val="0"/>
        <c:ser>
          <c:idx val="0"/>
          <c:order val="0"/>
          <c:tx>
            <c:strRef>
              <c:f>'Annex A'!$K$136</c:f>
              <c:strCache>
                <c:ptCount val="1"/>
                <c:pt idx="0">
                  <c:v>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'Annex A'!$M$137:$V$137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'Annex A'!$M$136:$V$136</c:f>
              <c:numCache>
                <c:formatCode>0.00</c:formatCode>
                <c:ptCount val="10"/>
                <c:pt idx="0">
                  <c:v>9.9206349206349209</c:v>
                </c:pt>
                <c:pt idx="1">
                  <c:v>19.99299719887955</c:v>
                </c:pt>
                <c:pt idx="2">
                  <c:v>29.936974789915961</c:v>
                </c:pt>
                <c:pt idx="3">
                  <c:v>39.9859943977591</c:v>
                </c:pt>
                <c:pt idx="4">
                  <c:v>49.94164332399626</c:v>
                </c:pt>
                <c:pt idx="5">
                  <c:v>59.967320261437905</c:v>
                </c:pt>
                <c:pt idx="6">
                  <c:v>69.922969187675065</c:v>
                </c:pt>
                <c:pt idx="7">
                  <c:v>79.91363211951446</c:v>
                </c:pt>
                <c:pt idx="8">
                  <c:v>89.86928104575162</c:v>
                </c:pt>
                <c:pt idx="9">
                  <c:v>99.894957983193279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71-40F0-AAEA-F440EF58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1099456"/>
        <c:axId val="1931088416"/>
      </c:scatterChart>
      <c:valAx>
        <c:axId val="193109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Programmed</a:t>
                </a:r>
                <a:r>
                  <a:rPr lang="en-GB" baseline="0"/>
                  <a:t> 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88416"/>
        <c:crosses val="autoZero"/>
        <c:crossBetween val="midCat"/>
      </c:valAx>
      <c:valAx>
        <c:axId val="193108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Measured 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99456"/>
        <c:crosses val="autoZero"/>
        <c:crossBetween val="midCat"/>
      </c:valAx>
      <c:valAx>
        <c:axId val="1931093696"/>
        <c:scaling>
          <c:orientation val="minMax"/>
          <c:max val="1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Deviation</a:t>
                </a:r>
                <a:r>
                  <a:rPr lang="en-GB" baseline="0"/>
                  <a:t> ml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082656"/>
        <c:crosses val="max"/>
        <c:crossBetween val="between"/>
      </c:valAx>
      <c:catAx>
        <c:axId val="1931082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1093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160920</xdr:rowOff>
    </xdr:from>
    <xdr:to>
      <xdr:col>4</xdr:col>
      <xdr:colOff>57537</xdr:colOff>
      <xdr:row>35</xdr:row>
      <xdr:rowOff>109800</xdr:rowOff>
    </xdr:to>
    <xdr:pic>
      <xdr:nvPicPr>
        <xdr:cNvPr id="2" name="Image 3">
          <a:extLst>
            <a:ext uri="{FF2B5EF4-FFF2-40B4-BE49-F238E27FC236}">
              <a16:creationId xmlns:a16="http://schemas.microsoft.com/office/drawing/2014/main" id="{05B09E82-2707-475B-9B68-42BBB624319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09763" y="5747333"/>
          <a:ext cx="1609432" cy="61563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4320</xdr:colOff>
      <xdr:row>3</xdr:row>
      <xdr:rowOff>127080</xdr:rowOff>
    </xdr:from>
    <xdr:to>
      <xdr:col>10</xdr:col>
      <xdr:colOff>251805</xdr:colOff>
      <xdr:row>18</xdr:row>
      <xdr:rowOff>149679</xdr:rowOff>
    </xdr:to>
    <xdr:sp macro="" textlink="">
      <xdr:nvSpPr>
        <xdr:cNvPr id="3" name="Text Frame 3">
          <a:extLst>
            <a:ext uri="{FF2B5EF4-FFF2-40B4-BE49-F238E27FC236}">
              <a16:creationId xmlns:a16="http://schemas.microsoft.com/office/drawing/2014/main" id="{CBE9C03D-381D-4770-B39A-5CA9CD52348D}"/>
            </a:ext>
          </a:extLst>
        </xdr:cNvPr>
        <xdr:cNvSpPr txBox="1"/>
      </xdr:nvSpPr>
      <xdr:spPr>
        <a:xfrm>
          <a:off x="4766820" y="991134"/>
          <a:ext cx="4363646" cy="2601152"/>
        </a:xfrm>
        <a:prstGeom prst="rect">
          <a:avLst/>
        </a:prstGeom>
        <a:noFill/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Tare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empty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Use measureing cylinder to add 100ml of fluid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full bottle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Ensure particle counter lines and internal systems filled with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fluid from previousl cycling / flushing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perform bottle sample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observe waste hose outlet ensure not dripping during sample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weigh bottle after test</a:t>
          </a:r>
        </a:p>
        <a:p>
          <a:r>
            <a:rPr lang="en-GB" sz="1200" b="0" strike="noStrike" spc="-1"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- check Error &lt; 3%</a:t>
          </a:r>
        </a:p>
        <a:p>
          <a:endParaRPr lang="en-GB" sz="1200" b="0" strike="noStrike" spc="-1" baseline="0">
            <a:latin typeface="Times New Roman"/>
          </a:endParaRPr>
        </a:p>
      </xdr:txBody>
    </xdr:sp>
    <xdr:clientData/>
  </xdr:twoCellAnchor>
  <xdr:twoCellAnchor>
    <xdr:from>
      <xdr:col>11</xdr:col>
      <xdr:colOff>565897</xdr:colOff>
      <xdr:row>41</xdr:row>
      <xdr:rowOff>39221</xdr:rowOff>
    </xdr:from>
    <xdr:to>
      <xdr:col>19</xdr:col>
      <xdr:colOff>56029</xdr:colOff>
      <xdr:row>50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0582E32-0563-C24D-FAF6-787106D5327E}"/>
            </a:ext>
          </a:extLst>
        </xdr:cNvPr>
        <xdr:cNvSpPr txBox="1"/>
      </xdr:nvSpPr>
      <xdr:spPr>
        <a:xfrm>
          <a:off x="10270191" y="7356662"/>
          <a:ext cx="6079191" cy="14735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Measure</a:t>
          </a:r>
          <a:r>
            <a:rPr lang="en-GB" sz="1100" baseline="0"/>
            <a:t> weight decrease for various small set sample volumes to identify offset.</a:t>
          </a:r>
        </a:p>
        <a:p>
          <a:endParaRPr lang="en-GB" sz="1100" baseline="0"/>
        </a:p>
        <a:p>
          <a:r>
            <a:rPr lang="en-GB" sz="1100" baseline="0"/>
            <a:t>20ml/min = 0.333ml/s. 0.3s deadtime = 0.100ml.</a:t>
          </a:r>
        </a:p>
        <a:p>
          <a:r>
            <a:rPr lang="en-GB" sz="1100" baseline="0"/>
            <a:t>Pump wind-up will likely contribute more. 1 rev ~ </a:t>
          </a:r>
        </a:p>
        <a:p>
          <a:endParaRPr lang="en-GB" sz="1100"/>
        </a:p>
      </xdr:txBody>
    </xdr:sp>
    <xdr:clientData/>
  </xdr:twoCellAnchor>
  <xdr:twoCellAnchor>
    <xdr:from>
      <xdr:col>11</xdr:col>
      <xdr:colOff>792817</xdr:colOff>
      <xdr:row>60</xdr:row>
      <xdr:rowOff>132790</xdr:rowOff>
    </xdr:from>
    <xdr:to>
      <xdr:col>17</xdr:col>
      <xdr:colOff>423023</xdr:colOff>
      <xdr:row>77</xdr:row>
      <xdr:rowOff>52106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E7582F2-471A-DB7E-42B7-60AF101C0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725069</xdr:colOff>
      <xdr:row>84</xdr:row>
      <xdr:rowOff>91530</xdr:rowOff>
    </xdr:from>
    <xdr:to>
      <xdr:col>21</xdr:col>
      <xdr:colOff>761998</xdr:colOff>
      <xdr:row>120</xdr:row>
      <xdr:rowOff>24958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7E6AF9-9530-1CE0-4028-DDAAF119D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686359</xdr:colOff>
      <xdr:row>141</xdr:row>
      <xdr:rowOff>20729</xdr:rowOff>
    </xdr:from>
    <xdr:to>
      <xdr:col>17</xdr:col>
      <xdr:colOff>316565</xdr:colOff>
      <xdr:row>158</xdr:row>
      <xdr:rowOff>1680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8FB6575-70B5-53A0-F334-D639E087A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74CC-0343-4F47-9FB7-E69C7E4F9095}">
  <sheetPr codeName="Sheet2"/>
  <dimension ref="A1:Z138"/>
  <sheetViews>
    <sheetView tabSelected="1" topLeftCell="D71" zoomScale="85" zoomScaleNormal="85" workbookViewId="0">
      <selection activeCell="Q163" sqref="Q163"/>
    </sheetView>
  </sheetViews>
  <sheetFormatPr defaultColWidth="11.53125" defaultRowHeight="12.75" x14ac:dyDescent="0.35"/>
  <cols>
    <col min="2" max="2" width="15.19921875" customWidth="1"/>
    <col min="5" max="5" width="16.86328125" customWidth="1"/>
  </cols>
  <sheetData>
    <row r="1" spans="1:23" ht="36.75" thickBot="1" x14ac:dyDescent="0.45">
      <c r="A1" s="67" t="s">
        <v>0</v>
      </c>
      <c r="B1" s="67"/>
      <c r="C1" s="67"/>
      <c r="D1" s="67"/>
      <c r="E1" s="67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3" ht="15.75" x14ac:dyDescent="0.5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3" t="s">
        <v>2</v>
      </c>
      <c r="Q2" s="4"/>
      <c r="R2" s="4"/>
      <c r="S2" s="5"/>
      <c r="U2" s="6" t="s">
        <v>3</v>
      </c>
    </row>
    <row r="3" spans="1:23" ht="15.75" x14ac:dyDescent="0.5">
      <c r="A3" t="s">
        <v>4</v>
      </c>
      <c r="B3" s="1"/>
      <c r="C3" s="1"/>
      <c r="D3" s="1"/>
      <c r="E3" s="1"/>
      <c r="F3" s="2" t="s">
        <v>5</v>
      </c>
      <c r="G3" s="2"/>
      <c r="H3" s="1"/>
      <c r="I3" s="1"/>
      <c r="J3" s="1"/>
      <c r="K3" s="7" t="s">
        <v>6</v>
      </c>
      <c r="L3" s="2"/>
      <c r="M3" s="1"/>
      <c r="N3" s="1"/>
      <c r="O3" s="1"/>
      <c r="P3" s="8" t="s">
        <v>7</v>
      </c>
      <c r="Q3" s="1"/>
      <c r="R3" s="9">
        <v>100</v>
      </c>
      <c r="S3" s="10" t="s">
        <v>8</v>
      </c>
      <c r="U3" t="s">
        <v>9</v>
      </c>
      <c r="W3" s="6">
        <v>250</v>
      </c>
    </row>
    <row r="4" spans="1:23" ht="13.9" x14ac:dyDescent="0.4">
      <c r="A4" s="1"/>
      <c r="B4" s="1"/>
      <c r="C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 t="s">
        <v>10</v>
      </c>
      <c r="R4" s="9">
        <v>100</v>
      </c>
      <c r="S4" s="10" t="s">
        <v>11</v>
      </c>
      <c r="U4" t="s">
        <v>12</v>
      </c>
      <c r="W4" s="6">
        <v>1000</v>
      </c>
    </row>
    <row r="5" spans="1:23" ht="13.9" x14ac:dyDescent="0.4">
      <c r="A5" s="1" t="s">
        <v>13</v>
      </c>
      <c r="B5" s="1"/>
      <c r="C5" s="1"/>
      <c r="D5" s="11" t="s">
        <v>69</v>
      </c>
      <c r="E5" s="1"/>
      <c r="G5" s="1"/>
      <c r="H5" s="1"/>
      <c r="I5" s="1"/>
      <c r="K5" s="1" t="s">
        <v>14</v>
      </c>
      <c r="L5" s="1"/>
      <c r="M5" s="1"/>
      <c r="N5" s="1"/>
      <c r="O5" s="1"/>
      <c r="P5" s="8" t="s">
        <v>15</v>
      </c>
      <c r="R5" s="12">
        <v>1</v>
      </c>
      <c r="S5" s="10" t="s">
        <v>8</v>
      </c>
      <c r="U5" t="s">
        <v>16</v>
      </c>
      <c r="W5" s="6">
        <f>W4*W3/1000</f>
        <v>250</v>
      </c>
    </row>
    <row r="6" spans="1:23" ht="13.15" x14ac:dyDescent="0.4">
      <c r="A6" s="1" t="s">
        <v>17</v>
      </c>
      <c r="B6" s="1"/>
      <c r="C6" s="1"/>
      <c r="D6" s="11" t="s">
        <v>70</v>
      </c>
      <c r="E6" s="1"/>
      <c r="F6" s="1"/>
      <c r="G6" s="1"/>
      <c r="H6" s="1"/>
      <c r="I6" s="1"/>
      <c r="K6" s="1" t="s">
        <v>18</v>
      </c>
      <c r="L6" s="1"/>
      <c r="M6" s="1"/>
      <c r="N6" s="1"/>
      <c r="O6" s="1"/>
      <c r="P6" s="8"/>
      <c r="S6" s="10"/>
    </row>
    <row r="7" spans="1:23" ht="13.9" x14ac:dyDescent="0.4">
      <c r="A7" s="1" t="s">
        <v>19</v>
      </c>
      <c r="B7" s="1"/>
      <c r="C7" s="1"/>
      <c r="D7" s="11" t="str">
        <f>D5</f>
        <v>REF CTR</v>
      </c>
      <c r="E7" s="1"/>
      <c r="F7" s="1"/>
      <c r="G7" s="1"/>
      <c r="H7" s="1"/>
      <c r="I7" s="1"/>
      <c r="K7" s="1" t="s">
        <v>20</v>
      </c>
      <c r="L7" s="1"/>
      <c r="M7" s="1"/>
      <c r="N7" s="1"/>
      <c r="O7" s="1"/>
      <c r="P7" s="8" t="s">
        <v>21</v>
      </c>
      <c r="R7" s="13">
        <f>R5/R3*R4</f>
        <v>1</v>
      </c>
      <c r="S7" s="10" t="s">
        <v>11</v>
      </c>
    </row>
    <row r="8" spans="1:23" ht="13.9" x14ac:dyDescent="0.4">
      <c r="A8" s="1" t="s">
        <v>22</v>
      </c>
      <c r="B8" s="1"/>
      <c r="C8" s="1"/>
      <c r="D8" s="11" t="str">
        <f>D6</f>
        <v>11171-000001</v>
      </c>
      <c r="E8" s="1"/>
      <c r="F8" s="1"/>
      <c r="G8" s="1"/>
      <c r="H8" s="1"/>
      <c r="I8" s="1"/>
      <c r="K8" s="1" t="s">
        <v>23</v>
      </c>
      <c r="L8" s="1"/>
      <c r="M8" s="1"/>
      <c r="N8" s="1"/>
      <c r="O8" s="1"/>
      <c r="P8" s="8" t="s">
        <v>24</v>
      </c>
      <c r="R8" s="14">
        <f>R4*(1-R5/R3)</f>
        <v>99</v>
      </c>
      <c r="S8" s="10" t="s">
        <v>11</v>
      </c>
    </row>
    <row r="9" spans="1:23" ht="13.5" thickBot="1" x14ac:dyDescent="0.45">
      <c r="A9" s="1" t="s">
        <v>25</v>
      </c>
      <c r="B9" s="1"/>
      <c r="C9" s="1"/>
      <c r="D9" s="15">
        <v>46196</v>
      </c>
      <c r="E9" s="1"/>
      <c r="F9" s="1"/>
      <c r="G9" s="1"/>
      <c r="H9" s="1"/>
      <c r="I9" s="1"/>
      <c r="K9" s="1" t="s">
        <v>26</v>
      </c>
      <c r="L9" s="1"/>
      <c r="M9" s="1"/>
      <c r="N9" s="1"/>
      <c r="O9" s="1"/>
      <c r="P9" s="16"/>
      <c r="Q9" s="17"/>
      <c r="R9" s="17"/>
      <c r="S9" s="18"/>
    </row>
    <row r="10" spans="1:23" ht="13.15" x14ac:dyDescent="0.4">
      <c r="A10" s="1" t="s">
        <v>27</v>
      </c>
      <c r="B10" s="1"/>
      <c r="C10" s="1"/>
      <c r="D10" s="19" t="s">
        <v>28</v>
      </c>
      <c r="E10" s="1"/>
      <c r="F10" s="1"/>
      <c r="G10" s="1"/>
      <c r="H10" s="1"/>
      <c r="I10" s="1"/>
      <c r="K10" s="1" t="s">
        <v>29</v>
      </c>
      <c r="L10" s="1"/>
      <c r="M10" s="1"/>
      <c r="N10" s="1"/>
      <c r="O10" s="1"/>
    </row>
    <row r="11" spans="1:23" ht="13.15" x14ac:dyDescent="0.4">
      <c r="A11" s="1" t="s">
        <v>30</v>
      </c>
      <c r="B11" s="1"/>
      <c r="C11" s="1"/>
      <c r="D11" s="20"/>
      <c r="E11" s="1"/>
      <c r="F11" s="1"/>
      <c r="G11" s="1"/>
      <c r="H11" s="1"/>
      <c r="I11" s="1"/>
      <c r="K11" s="1"/>
      <c r="L11" s="1"/>
      <c r="M11" s="1"/>
      <c r="N11" s="1"/>
      <c r="O11" s="1"/>
      <c r="P11" s="6" t="s">
        <v>31</v>
      </c>
    </row>
    <row r="12" spans="1:23" ht="13.15" x14ac:dyDescent="0.4">
      <c r="A12" s="1" t="s">
        <v>32</v>
      </c>
      <c r="B12" s="1"/>
      <c r="C12" s="1"/>
      <c r="D12" s="58">
        <v>10443</v>
      </c>
      <c r="E12" s="1"/>
      <c r="F12" s="1"/>
      <c r="G12" s="1"/>
      <c r="H12" s="1"/>
      <c r="I12" s="1"/>
      <c r="K12" s="1"/>
      <c r="L12" s="1"/>
      <c r="M12" s="1"/>
      <c r="N12" s="1"/>
      <c r="O12" s="1"/>
      <c r="P12" t="s">
        <v>33</v>
      </c>
      <c r="Q12" s="1"/>
      <c r="R12" s="21">
        <v>100</v>
      </c>
    </row>
    <row r="13" spans="1:23" ht="13.15" x14ac:dyDescent="0.4">
      <c r="A13" s="1" t="s">
        <v>34</v>
      </c>
      <c r="B13" s="1"/>
      <c r="C13" s="1"/>
      <c r="D13" s="11">
        <v>30000</v>
      </c>
      <c r="E13" s="1"/>
      <c r="F13" s="1"/>
      <c r="G13" s="1"/>
      <c r="H13" s="1"/>
      <c r="I13" s="1"/>
      <c r="K13" s="1"/>
      <c r="L13" s="1"/>
      <c r="M13" s="1"/>
      <c r="N13" s="1"/>
      <c r="O13" s="1"/>
      <c r="P13" t="s">
        <v>35</v>
      </c>
      <c r="R13" s="21">
        <v>500</v>
      </c>
    </row>
    <row r="14" spans="1:23" ht="13.15" x14ac:dyDescent="0.4">
      <c r="A14" s="1" t="s">
        <v>36</v>
      </c>
      <c r="B14" s="1"/>
      <c r="C14" s="1"/>
      <c r="D14" s="11">
        <v>6300</v>
      </c>
      <c r="E14" s="1"/>
      <c r="F14" s="1"/>
      <c r="G14" s="1"/>
      <c r="H14" s="1"/>
      <c r="I14" s="1"/>
      <c r="K14" s="1"/>
      <c r="L14" s="1"/>
      <c r="M14" s="1"/>
      <c r="N14" s="1"/>
      <c r="O14" s="1"/>
      <c r="P14" t="s">
        <v>37</v>
      </c>
      <c r="R14" s="22">
        <v>6.5</v>
      </c>
    </row>
    <row r="15" spans="1:23" ht="13.15" x14ac:dyDescent="0.4">
      <c r="A15" s="7" t="s">
        <v>38</v>
      </c>
      <c r="B15" s="1"/>
      <c r="C15" s="1"/>
      <c r="D15" s="23">
        <f>D13/D14*0.25</f>
        <v>1.1904761904761905</v>
      </c>
      <c r="E15" s="1"/>
      <c r="F15" s="1"/>
      <c r="G15" s="1"/>
      <c r="H15" s="1"/>
      <c r="I15" s="1"/>
      <c r="K15" s="1"/>
      <c r="L15" s="1"/>
      <c r="M15" s="1"/>
      <c r="N15" s="1"/>
      <c r="O15" s="1"/>
      <c r="P15" t="s">
        <v>21</v>
      </c>
      <c r="R15">
        <f>R14*R13/R12</f>
        <v>32.5</v>
      </c>
    </row>
    <row r="16" spans="1:23" ht="13.15" x14ac:dyDescent="0.4">
      <c r="D16" s="24"/>
      <c r="E16" s="1"/>
      <c r="F16" s="1"/>
      <c r="G16" s="1"/>
      <c r="H16" s="1"/>
      <c r="I16" s="1"/>
      <c r="K16" s="1"/>
      <c r="L16" s="1"/>
      <c r="M16" s="1"/>
      <c r="N16" s="1"/>
      <c r="O16" s="1"/>
      <c r="P16" t="s">
        <v>39</v>
      </c>
      <c r="R16" s="6">
        <v>3.27</v>
      </c>
    </row>
    <row r="17" spans="1:18" ht="13.15" x14ac:dyDescent="0.4">
      <c r="A17" t="s">
        <v>33</v>
      </c>
      <c r="B17" s="1"/>
      <c r="C17" s="1"/>
      <c r="D17" s="21">
        <v>100</v>
      </c>
      <c r="E17" s="1"/>
      <c r="F17" s="1"/>
      <c r="G17" s="1"/>
      <c r="H17" s="1"/>
      <c r="I17" s="1"/>
      <c r="K17" s="1"/>
      <c r="L17" s="1"/>
      <c r="M17" s="1"/>
      <c r="N17" s="1"/>
      <c r="O17" s="1"/>
      <c r="P17" t="s">
        <v>40</v>
      </c>
      <c r="R17" s="25">
        <f>R16*R12/(R13+R16)</f>
        <v>0.64975063087408347</v>
      </c>
    </row>
    <row r="18" spans="1:18" ht="13.15" x14ac:dyDescent="0.4">
      <c r="A18" t="s">
        <v>41</v>
      </c>
      <c r="D18" s="21">
        <v>100</v>
      </c>
      <c r="E18" s="1"/>
      <c r="I18" s="1"/>
      <c r="K18" s="1"/>
      <c r="L18" s="1"/>
      <c r="M18" s="1"/>
      <c r="N18" s="1"/>
      <c r="O18" s="1"/>
    </row>
    <row r="19" spans="1:18" ht="13.15" x14ac:dyDescent="0.4">
      <c r="A19" t="s">
        <v>42</v>
      </c>
      <c r="D19" s="26">
        <f>D18*D15/1000</f>
        <v>0.11904761904761905</v>
      </c>
      <c r="E19" s="1"/>
      <c r="I19" s="1"/>
      <c r="K19" s="1"/>
      <c r="L19" s="1"/>
      <c r="M19" s="1"/>
      <c r="N19" s="19"/>
      <c r="O19" s="1"/>
    </row>
    <row r="20" spans="1:18" ht="13.15" x14ac:dyDescent="0.4">
      <c r="A20" t="s">
        <v>43</v>
      </c>
      <c r="D20" s="27">
        <f>D19/D17*1000</f>
        <v>1.1904761904761907</v>
      </c>
      <c r="E20" s="1"/>
      <c r="I20" s="1"/>
      <c r="K20" s="1"/>
      <c r="L20" s="1"/>
      <c r="M20" s="1"/>
      <c r="N20" s="11"/>
      <c r="O20" s="1"/>
    </row>
    <row r="21" spans="1:18" ht="13.15" x14ac:dyDescent="0.4">
      <c r="A21" t="s">
        <v>44</v>
      </c>
      <c r="D21" s="28">
        <f>D18-D20</f>
        <v>98.80952380952381</v>
      </c>
      <c r="E21" s="1"/>
      <c r="F21" s="1" t="s">
        <v>25</v>
      </c>
      <c r="G21" s="1"/>
      <c r="H21" s="15">
        <v>46196</v>
      </c>
      <c r="K21" s="1"/>
      <c r="L21" s="1"/>
      <c r="M21" s="1"/>
      <c r="N21" s="11"/>
      <c r="O21" s="1"/>
      <c r="P21" t="s">
        <v>45</v>
      </c>
      <c r="R21">
        <v>4.458348</v>
      </c>
    </row>
    <row r="22" spans="1:18" ht="13.15" x14ac:dyDescent="0.4">
      <c r="A22" s="1"/>
      <c r="B22" s="1"/>
      <c r="E22" s="1"/>
      <c r="F22" s="1" t="s">
        <v>27</v>
      </c>
      <c r="G22" s="1"/>
      <c r="H22" s="11" t="s">
        <v>28</v>
      </c>
      <c r="K22" s="1"/>
      <c r="L22" s="1"/>
      <c r="M22" s="1"/>
      <c r="N22" s="29"/>
      <c r="O22" s="1"/>
      <c r="R22">
        <v>160</v>
      </c>
    </row>
    <row r="23" spans="1:18" ht="13.15" x14ac:dyDescent="0.4">
      <c r="A23" s="1"/>
      <c r="B23" s="1"/>
      <c r="C23" s="11" t="s">
        <v>46</v>
      </c>
      <c r="D23" s="11" t="s">
        <v>47</v>
      </c>
      <c r="E23" s="1"/>
      <c r="F23" s="1" t="s">
        <v>48</v>
      </c>
      <c r="G23" s="1"/>
      <c r="H23" s="11" t="s">
        <v>70</v>
      </c>
      <c r="I23" s="1"/>
      <c r="K23" s="1" t="s">
        <v>25</v>
      </c>
      <c r="L23" s="1"/>
      <c r="M23" s="15"/>
      <c r="N23" s="11"/>
      <c r="O23" s="1"/>
      <c r="R23">
        <f>R22*R21</f>
        <v>713.33568000000002</v>
      </c>
    </row>
    <row r="24" spans="1:18" ht="13.15" x14ac:dyDescent="0.4">
      <c r="A24" s="1"/>
      <c r="B24" s="1" t="s">
        <v>49</v>
      </c>
      <c r="C24" s="30">
        <v>8793.1</v>
      </c>
      <c r="D24" s="31">
        <f>(C24-$C$30)/$C$30</f>
        <v>8.1818536209518501E-3</v>
      </c>
      <c r="E24" s="1"/>
      <c r="F24" s="1"/>
      <c r="G24" s="1"/>
      <c r="H24" s="11"/>
      <c r="I24" s="1"/>
      <c r="K24" s="1" t="s">
        <v>27</v>
      </c>
      <c r="L24" s="1"/>
      <c r="M24" s="11" t="s">
        <v>28</v>
      </c>
      <c r="N24" s="11"/>
      <c r="O24" s="1"/>
    </row>
    <row r="25" spans="1:18" ht="13.15" x14ac:dyDescent="0.4">
      <c r="A25" s="1"/>
      <c r="B25" s="1" t="s">
        <v>50</v>
      </c>
      <c r="C25" s="32">
        <v>8667.1</v>
      </c>
      <c r="D25" s="31">
        <f>(C25-$C$30)/$C$30</f>
        <v>-6.2648049586435071E-3</v>
      </c>
      <c r="E25" s="1"/>
      <c r="F25" s="47" t="s">
        <v>71</v>
      </c>
      <c r="G25" s="48"/>
      <c r="H25" s="49">
        <v>85.4</v>
      </c>
      <c r="I25" s="50"/>
      <c r="K25" s="1" t="s">
        <v>48</v>
      </c>
      <c r="L25" s="1"/>
      <c r="M25" s="11"/>
      <c r="N25" s="11"/>
      <c r="O25" s="1"/>
    </row>
    <row r="26" spans="1:18" ht="13.9" customHeight="1" x14ac:dyDescent="0.4">
      <c r="A26" s="1"/>
      <c r="B26" s="1" t="s">
        <v>51</v>
      </c>
      <c r="C26" s="32">
        <v>8677.9</v>
      </c>
      <c r="D26" s="31">
        <f>(C26-$C$30)/$C$30</f>
        <v>-5.0265199375354166E-3</v>
      </c>
      <c r="E26" s="1"/>
      <c r="F26" s="51" t="s">
        <v>59</v>
      </c>
      <c r="G26" s="1"/>
      <c r="H26" s="11">
        <v>20</v>
      </c>
      <c r="I26" s="52" t="s">
        <v>11</v>
      </c>
    </row>
    <row r="27" spans="1:18" ht="13.15" x14ac:dyDescent="0.4">
      <c r="A27" s="1"/>
      <c r="B27" s="1" t="s">
        <v>52</v>
      </c>
      <c r="C27" s="32">
        <v>8736.7999999999993</v>
      </c>
      <c r="D27" s="31">
        <f>(C27-$C$30)/$C$30</f>
        <v>1.7267196683230057E-3</v>
      </c>
      <c r="E27" s="1"/>
      <c r="F27" s="51" t="s">
        <v>61</v>
      </c>
      <c r="G27" s="1"/>
      <c r="H27" s="11">
        <v>50</v>
      </c>
      <c r="I27" s="52" t="s">
        <v>11</v>
      </c>
      <c r="K27" s="33" t="s">
        <v>53</v>
      </c>
      <c r="L27" s="34"/>
      <c r="M27" s="35"/>
    </row>
    <row r="28" spans="1:18" ht="13.15" x14ac:dyDescent="0.4">
      <c r="A28" s="1"/>
      <c r="B28" s="1" t="s">
        <v>54</v>
      </c>
      <c r="C28" s="36">
        <v>8733.7999999999993</v>
      </c>
      <c r="D28" s="31">
        <f>(C28-$C$30)/$C$30</f>
        <v>1.3827516069040687E-3</v>
      </c>
      <c r="E28" s="1"/>
      <c r="F28" s="51" t="s">
        <v>62</v>
      </c>
      <c r="G28" s="1"/>
      <c r="H28" s="11">
        <f>H26+H27</f>
        <v>70</v>
      </c>
      <c r="I28" s="52" t="s">
        <v>11</v>
      </c>
      <c r="K28" s="33" t="s">
        <v>55</v>
      </c>
      <c r="L28" s="34"/>
      <c r="M28" s="37">
        <v>2000</v>
      </c>
    </row>
    <row r="29" spans="1:18" ht="13.15" x14ac:dyDescent="0.4">
      <c r="A29" s="1"/>
      <c r="B29" s="1"/>
      <c r="C29" s="1"/>
      <c r="D29" s="1"/>
      <c r="E29" s="1"/>
      <c r="F29" s="51" t="s">
        <v>63</v>
      </c>
      <c r="G29" s="1"/>
      <c r="H29" s="29">
        <v>25.88</v>
      </c>
      <c r="I29" s="52" t="s">
        <v>64</v>
      </c>
      <c r="K29" s="38" t="s">
        <v>56</v>
      </c>
      <c r="L29" s="38"/>
      <c r="M29" s="39">
        <f>M27/M28</f>
        <v>0</v>
      </c>
    </row>
    <row r="30" spans="1:18" ht="13.15" x14ac:dyDescent="0.4">
      <c r="A30" s="1"/>
      <c r="B30" s="1" t="s">
        <v>57</v>
      </c>
      <c r="C30" s="40">
        <f>AVERAGE(C24:C28)</f>
        <v>8721.74</v>
      </c>
      <c r="D30" s="1"/>
      <c r="E30" s="1"/>
      <c r="F30" s="51" t="s">
        <v>65</v>
      </c>
      <c r="G30" s="1"/>
      <c r="H30" s="29">
        <f>H25-H29</f>
        <v>59.52000000000001</v>
      </c>
      <c r="I30" s="52"/>
    </row>
    <row r="31" spans="1:18" ht="13.15" x14ac:dyDescent="0.4">
      <c r="A31" s="1"/>
      <c r="B31" s="1" t="s">
        <v>58</v>
      </c>
      <c r="C31" s="40">
        <f>STDEVP(C24:C28)</f>
        <v>45.545520087051386</v>
      </c>
      <c r="D31" s="1"/>
      <c r="E31" s="1"/>
      <c r="F31" s="53" t="s">
        <v>66</v>
      </c>
      <c r="G31" s="42"/>
      <c r="H31" s="43">
        <f>H30/(H25/100)</f>
        <v>69.695550351288063</v>
      </c>
      <c r="I31" s="52"/>
      <c r="K31" t="s">
        <v>60</v>
      </c>
      <c r="M31" s="41">
        <f>(M29-1)*1000</f>
        <v>-1000</v>
      </c>
    </row>
    <row r="32" spans="1:18" ht="13.15" x14ac:dyDescent="0.4">
      <c r="A32" s="1"/>
      <c r="B32" s="1"/>
      <c r="C32" s="40"/>
      <c r="D32" s="1"/>
      <c r="E32" s="1"/>
      <c r="F32" s="51"/>
      <c r="G32" s="1"/>
      <c r="H32" s="11"/>
      <c r="I32" s="52"/>
    </row>
    <row r="33" spans="1:26" ht="13.15" x14ac:dyDescent="0.4">
      <c r="A33" s="1"/>
      <c r="B33" s="1"/>
      <c r="C33" s="1"/>
      <c r="D33" s="1"/>
      <c r="E33" s="1"/>
      <c r="F33" s="54" t="s">
        <v>68</v>
      </c>
      <c r="G33" s="55"/>
      <c r="H33" s="56">
        <f>H31/H28-1</f>
        <v>-4.3492806958848051E-3</v>
      </c>
      <c r="I33" s="57"/>
    </row>
    <row r="34" spans="1:26" ht="13.15" x14ac:dyDescent="0.4">
      <c r="A34" s="1"/>
      <c r="B34" s="1"/>
      <c r="C34" s="31"/>
      <c r="D34" s="1"/>
      <c r="E34" s="1"/>
      <c r="M34" t="s">
        <v>79</v>
      </c>
      <c r="T34" t="s">
        <v>77</v>
      </c>
    </row>
    <row r="35" spans="1:26" ht="13.15" x14ac:dyDescent="0.4">
      <c r="A35" s="1"/>
      <c r="B35" s="1"/>
      <c r="C35" s="1"/>
      <c r="D35" s="1"/>
      <c r="M35" t="s">
        <v>78</v>
      </c>
      <c r="T35" t="s">
        <v>78</v>
      </c>
    </row>
    <row r="36" spans="1:26" ht="13.15" x14ac:dyDescent="0.4">
      <c r="A36" s="1"/>
      <c r="B36" s="1"/>
      <c r="C36" s="1"/>
      <c r="D36" s="1"/>
      <c r="F36" s="47" t="s">
        <v>71</v>
      </c>
      <c r="G36" s="48"/>
      <c r="H36" s="49">
        <v>85.11</v>
      </c>
      <c r="I36" s="50"/>
      <c r="K36" s="24" t="s">
        <v>72</v>
      </c>
      <c r="L36" s="24" t="s">
        <v>61</v>
      </c>
      <c r="M36" s="24">
        <v>1</v>
      </c>
      <c r="N36">
        <v>2</v>
      </c>
      <c r="O36">
        <v>3</v>
      </c>
      <c r="P36" s="24">
        <v>4</v>
      </c>
      <c r="Q36" s="24">
        <v>5</v>
      </c>
      <c r="R36" s="24">
        <v>6</v>
      </c>
      <c r="S36" s="24">
        <v>7</v>
      </c>
      <c r="T36" s="24">
        <v>8</v>
      </c>
      <c r="U36" s="24">
        <v>9</v>
      </c>
      <c r="V36" s="24">
        <v>10</v>
      </c>
      <c r="W36" s="24">
        <v>11</v>
      </c>
    </row>
    <row r="37" spans="1:26" ht="13.15" x14ac:dyDescent="0.4">
      <c r="A37" s="1"/>
      <c r="B37" s="1"/>
      <c r="C37" s="1"/>
      <c r="D37" s="1"/>
      <c r="F37" s="51" t="s">
        <v>59</v>
      </c>
      <c r="G37" s="1"/>
      <c r="H37" s="11">
        <v>20</v>
      </c>
      <c r="I37" s="52" t="s">
        <v>11</v>
      </c>
      <c r="K37" s="24">
        <v>85.35</v>
      </c>
      <c r="L37" s="24" t="s">
        <v>76</v>
      </c>
      <c r="M37" s="28">
        <v>7.14</v>
      </c>
      <c r="N37">
        <v>7.08</v>
      </c>
      <c r="O37">
        <v>7.08</v>
      </c>
      <c r="P37">
        <v>18.53</v>
      </c>
      <c r="Q37">
        <v>8.67</v>
      </c>
      <c r="R37">
        <v>8.68</v>
      </c>
      <c r="S37">
        <v>17.329999999999998</v>
      </c>
      <c r="T37">
        <v>7</v>
      </c>
      <c r="U37">
        <f>13.84-7</f>
        <v>6.84</v>
      </c>
      <c r="V37">
        <v>6.79</v>
      </c>
      <c r="W37">
        <v>6.76</v>
      </c>
      <c r="X37">
        <f>13.58-W37</f>
        <v>6.82</v>
      </c>
    </row>
    <row r="38" spans="1:26" ht="15.4" x14ac:dyDescent="0.55000000000000004">
      <c r="A38" s="1"/>
      <c r="B38" s="1" t="s">
        <v>67</v>
      </c>
      <c r="C38" s="31">
        <f>C31/C30</f>
        <v>5.2220680835534409E-3</v>
      </c>
      <c r="D38" s="1" t="str">
        <f>IF(C38&lt;0.03,"&lt;3% = PASS","&gt;3% = FAIL")</f>
        <v>&lt;3% = PASS</v>
      </c>
      <c r="F38" s="51" t="s">
        <v>61</v>
      </c>
      <c r="G38" s="1"/>
      <c r="H38" s="11">
        <v>50</v>
      </c>
      <c r="I38" s="52" t="s">
        <v>11</v>
      </c>
      <c r="J38" s="44"/>
      <c r="L38" s="24" t="s">
        <v>73</v>
      </c>
      <c r="M38" s="28">
        <f t="shared" ref="M38:Z38" si="0">M37/$K37*100</f>
        <v>8.3655536028119517</v>
      </c>
      <c r="N38" s="60">
        <f t="shared" si="0"/>
        <v>8.2952548330404223</v>
      </c>
      <c r="O38" s="60">
        <f t="shared" si="0"/>
        <v>8.2952548330404223</v>
      </c>
      <c r="P38" s="60">
        <f t="shared" si="0"/>
        <v>21.710603397773877</v>
      </c>
      <c r="Q38" s="60">
        <f t="shared" si="0"/>
        <v>10.15817223198594</v>
      </c>
      <c r="R38" s="60">
        <f t="shared" si="0"/>
        <v>10.16988869361453</v>
      </c>
      <c r="S38" s="60">
        <f t="shared" si="0"/>
        <v>20.304628002343293</v>
      </c>
      <c r="T38" s="60">
        <f t="shared" si="0"/>
        <v>8.2015231400117177</v>
      </c>
      <c r="U38" s="60">
        <f t="shared" si="0"/>
        <v>8.0140597539543066</v>
      </c>
      <c r="V38" s="60">
        <f t="shared" si="0"/>
        <v>7.9554774458113648</v>
      </c>
      <c r="W38" s="60">
        <f t="shared" si="0"/>
        <v>7.920328060925601</v>
      </c>
      <c r="X38" s="60">
        <f t="shared" si="0"/>
        <v>7.9906268306971295</v>
      </c>
      <c r="Y38" s="60">
        <f t="shared" si="0"/>
        <v>0</v>
      </c>
      <c r="Z38" s="60">
        <f t="shared" si="0"/>
        <v>0</v>
      </c>
    </row>
    <row r="39" spans="1:26" ht="13.15" x14ac:dyDescent="0.4">
      <c r="A39" s="1"/>
      <c r="B39" s="1"/>
      <c r="C39" s="1"/>
      <c r="D39" s="1"/>
      <c r="F39" s="51" t="s">
        <v>62</v>
      </c>
      <c r="G39" s="1"/>
      <c r="H39" s="11">
        <f>H37+H38</f>
        <v>70</v>
      </c>
      <c r="I39" s="52" t="s">
        <v>11</v>
      </c>
      <c r="J39" s="44"/>
      <c r="L39" t="s">
        <v>75</v>
      </c>
      <c r="M39">
        <v>10</v>
      </c>
      <c r="N39">
        <v>10</v>
      </c>
      <c r="O39">
        <v>10</v>
      </c>
      <c r="P39">
        <v>20</v>
      </c>
      <c r="Q39">
        <v>10</v>
      </c>
      <c r="R39">
        <v>10</v>
      </c>
      <c r="S39">
        <v>20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  <c r="Z39">
        <v>10</v>
      </c>
    </row>
    <row r="40" spans="1:26" ht="13.15" x14ac:dyDescent="0.4">
      <c r="A40" s="6"/>
      <c r="F40" s="51" t="s">
        <v>63</v>
      </c>
      <c r="G40" s="1"/>
      <c r="H40" s="29">
        <v>26.33</v>
      </c>
      <c r="I40" s="52" t="s">
        <v>64</v>
      </c>
      <c r="J40" s="44"/>
      <c r="L40" s="24" t="s">
        <v>74</v>
      </c>
      <c r="M40" s="28">
        <f>M38-10</f>
        <v>-1.6344463971880483</v>
      </c>
      <c r="N40" s="60">
        <f>N38-10</f>
        <v>-1.7047451669595777</v>
      </c>
      <c r="O40" s="60">
        <f>O38-10</f>
        <v>-1.7047451669595777</v>
      </c>
      <c r="P40" s="60">
        <f>P38-P39</f>
        <v>1.7106033977738768</v>
      </c>
      <c r="Q40" s="60">
        <f>Q38-10</f>
        <v>0.15817223198594021</v>
      </c>
      <c r="R40" s="60">
        <f>R38-10</f>
        <v>0.16988869361452963</v>
      </c>
      <c r="S40" s="60">
        <f t="shared" ref="S40:Z40" si="1">S38-S39</f>
        <v>0.30462800234329279</v>
      </c>
      <c r="T40" s="60">
        <f t="shared" si="1"/>
        <v>-1.7984768599882823</v>
      </c>
      <c r="U40" s="60">
        <f t="shared" si="1"/>
        <v>-1.9859402460456934</v>
      </c>
      <c r="V40" s="60">
        <f t="shared" si="1"/>
        <v>-2.0445225541886352</v>
      </c>
      <c r="W40" s="60">
        <f t="shared" si="1"/>
        <v>-2.079671939074399</v>
      </c>
      <c r="X40" s="60">
        <f t="shared" si="1"/>
        <v>-2.0093731693028705</v>
      </c>
      <c r="Y40" s="60">
        <f t="shared" si="1"/>
        <v>-10</v>
      </c>
      <c r="Z40" s="60">
        <f t="shared" si="1"/>
        <v>-10</v>
      </c>
    </row>
    <row r="41" spans="1:26" ht="13.15" x14ac:dyDescent="0.4">
      <c r="B41" s="45"/>
      <c r="E41" s="1"/>
      <c r="F41" s="51" t="s">
        <v>65</v>
      </c>
      <c r="G41" s="1"/>
      <c r="H41" s="29">
        <f>H36-H40</f>
        <v>58.78</v>
      </c>
      <c r="I41" s="52"/>
      <c r="J41" s="44"/>
    </row>
    <row r="42" spans="1:26" ht="13.15" x14ac:dyDescent="0.4">
      <c r="E42" s="1"/>
      <c r="F42" s="53" t="s">
        <v>66</v>
      </c>
      <c r="G42" s="42"/>
      <c r="H42" s="43">
        <f>H41/(H36/100)</f>
        <v>69.063564798496074</v>
      </c>
      <c r="I42" s="52"/>
      <c r="J42" s="44"/>
    </row>
    <row r="43" spans="1:26" ht="13.15" x14ac:dyDescent="0.4">
      <c r="E43" s="1"/>
      <c r="F43" s="51"/>
      <c r="G43" s="1"/>
      <c r="H43" s="11"/>
      <c r="I43" s="52"/>
      <c r="J43" s="44"/>
    </row>
    <row r="44" spans="1:26" ht="13.15" x14ac:dyDescent="0.4">
      <c r="C44" s="6"/>
      <c r="E44" s="46"/>
      <c r="F44" s="54" t="s">
        <v>68</v>
      </c>
      <c r="G44" s="55"/>
      <c r="H44" s="56">
        <f>H42/H39-1</f>
        <v>-1.3377645735770383E-2</v>
      </c>
      <c r="I44" s="57"/>
      <c r="J44" s="44"/>
    </row>
    <row r="45" spans="1:26" ht="13.15" x14ac:dyDescent="0.4">
      <c r="E45" s="1"/>
      <c r="F45" s="1"/>
      <c r="G45" s="1"/>
      <c r="H45" s="11"/>
      <c r="I45" s="1"/>
    </row>
    <row r="46" spans="1:26" ht="13.15" x14ac:dyDescent="0.4">
      <c r="E46" s="1"/>
      <c r="F46" s="1"/>
      <c r="G46" s="1"/>
      <c r="H46" s="11"/>
      <c r="I46" s="31"/>
    </row>
    <row r="47" spans="1:26" ht="13.15" x14ac:dyDescent="0.4">
      <c r="E47" s="1"/>
      <c r="F47" s="47" t="s">
        <v>71</v>
      </c>
      <c r="G47" s="48"/>
      <c r="H47" s="49">
        <v>86.24</v>
      </c>
      <c r="I47" s="50"/>
    </row>
    <row r="48" spans="1:26" ht="13.15" x14ac:dyDescent="0.4">
      <c r="A48" s="1"/>
      <c r="B48" s="1"/>
      <c r="C48" s="1"/>
      <c r="D48" s="1"/>
      <c r="E48" s="1"/>
      <c r="F48" s="51" t="s">
        <v>59</v>
      </c>
      <c r="G48" s="1"/>
      <c r="H48" s="11">
        <v>20</v>
      </c>
      <c r="I48" s="52" t="s">
        <v>11</v>
      </c>
    </row>
    <row r="49" spans="1:26" ht="13.15" x14ac:dyDescent="0.4">
      <c r="A49" s="1"/>
      <c r="B49" s="1"/>
      <c r="C49" s="1"/>
      <c r="D49" s="1"/>
      <c r="E49" s="1"/>
      <c r="F49" s="51" t="s">
        <v>61</v>
      </c>
      <c r="G49" s="1"/>
      <c r="H49" s="11">
        <v>50</v>
      </c>
      <c r="I49" s="52" t="s">
        <v>11</v>
      </c>
    </row>
    <row r="50" spans="1:26" ht="13.15" x14ac:dyDescent="0.4">
      <c r="A50" s="1"/>
      <c r="B50" s="1"/>
      <c r="C50" s="1"/>
      <c r="D50" s="1"/>
      <c r="E50" s="1"/>
      <c r="F50" s="51" t="s">
        <v>62</v>
      </c>
      <c r="G50" s="1"/>
      <c r="H50" s="11">
        <f>H48+H49</f>
        <v>70</v>
      </c>
      <c r="I50" s="52" t="s">
        <v>11</v>
      </c>
    </row>
    <row r="51" spans="1:26" ht="13.15" x14ac:dyDescent="0.4">
      <c r="F51" s="51" t="s">
        <v>63</v>
      </c>
      <c r="G51" s="1"/>
      <c r="H51" s="29">
        <v>27.6</v>
      </c>
      <c r="I51" s="52" t="s">
        <v>64</v>
      </c>
    </row>
    <row r="52" spans="1:26" ht="13.15" x14ac:dyDescent="0.4">
      <c r="F52" s="51" t="s">
        <v>65</v>
      </c>
      <c r="G52" s="1"/>
      <c r="H52" s="29">
        <f>H47-H51</f>
        <v>58.639999999999993</v>
      </c>
      <c r="I52" s="52"/>
    </row>
    <row r="53" spans="1:26" ht="13.15" x14ac:dyDescent="0.4">
      <c r="F53" s="53" t="s">
        <v>66</v>
      </c>
      <c r="G53" s="42"/>
      <c r="H53" s="43">
        <f>H52/(H47/100)</f>
        <v>67.996289424860848</v>
      </c>
      <c r="I53" s="52"/>
      <c r="M53" t="s">
        <v>77</v>
      </c>
    </row>
    <row r="54" spans="1:26" ht="13.15" x14ac:dyDescent="0.4">
      <c r="F54" s="51"/>
      <c r="G54" s="1"/>
      <c r="H54" s="11"/>
      <c r="I54" s="52"/>
      <c r="M54" t="s">
        <v>78</v>
      </c>
      <c r="N54" t="s">
        <v>81</v>
      </c>
    </row>
    <row r="55" spans="1:26" ht="13.15" x14ac:dyDescent="0.4">
      <c r="F55" s="54" t="s">
        <v>68</v>
      </c>
      <c r="G55" s="55"/>
      <c r="H55" s="56">
        <f>H53/H50-1</f>
        <v>-2.8624436787702212E-2</v>
      </c>
      <c r="I55" s="57"/>
      <c r="K55" s="63" t="s">
        <v>72</v>
      </c>
      <c r="M55" s="21">
        <v>85.24</v>
      </c>
    </row>
    <row r="56" spans="1:26" ht="13.15" x14ac:dyDescent="0.4">
      <c r="F56" s="1"/>
      <c r="G56" s="1"/>
      <c r="H56" s="29"/>
      <c r="K56" s="63" t="s">
        <v>61</v>
      </c>
      <c r="M56" s="21">
        <v>1</v>
      </c>
      <c r="N56" s="6">
        <v>2</v>
      </c>
      <c r="O56" s="6">
        <v>3</v>
      </c>
      <c r="P56" s="21">
        <v>4</v>
      </c>
      <c r="Q56" s="21">
        <v>5</v>
      </c>
      <c r="R56" s="21">
        <v>6</v>
      </c>
      <c r="S56" s="21">
        <v>7</v>
      </c>
      <c r="T56" s="21">
        <v>8</v>
      </c>
      <c r="U56" s="21">
        <v>9</v>
      </c>
      <c r="V56" s="21">
        <v>10</v>
      </c>
      <c r="W56" s="24"/>
    </row>
    <row r="57" spans="1:26" ht="13.15" x14ac:dyDescent="0.4">
      <c r="K57" s="63" t="s">
        <v>85</v>
      </c>
      <c r="M57" s="28">
        <v>6.87</v>
      </c>
      <c r="N57" s="61">
        <v>6.85</v>
      </c>
      <c r="O57">
        <v>6.79</v>
      </c>
      <c r="P57">
        <v>6.76</v>
      </c>
      <c r="Q57">
        <v>6.75</v>
      </c>
      <c r="R57">
        <f>13.54-6.75</f>
        <v>6.7899999999999991</v>
      </c>
      <c r="S57">
        <f>20.25-13.54</f>
        <v>6.7100000000000009</v>
      </c>
      <c r="T57">
        <v>6.74</v>
      </c>
      <c r="U57">
        <f>13.48-6.74</f>
        <v>6.74</v>
      </c>
      <c r="V57">
        <v>6.7</v>
      </c>
      <c r="Y57" s="60"/>
      <c r="Z57" s="60"/>
    </row>
    <row r="58" spans="1:26" ht="13.9" x14ac:dyDescent="0.4">
      <c r="F58" s="47" t="s">
        <v>71</v>
      </c>
      <c r="G58" s="48"/>
      <c r="H58" s="49">
        <v>85.35</v>
      </c>
      <c r="I58" s="50"/>
      <c r="K58" s="63" t="s">
        <v>84</v>
      </c>
      <c r="M58" s="13">
        <f t="shared" ref="M58:V58" si="2">M57/$M55*100</f>
        <v>8.0595964335992498</v>
      </c>
      <c r="N58" s="62">
        <f t="shared" si="2"/>
        <v>8.036133270764898</v>
      </c>
      <c r="O58" s="62">
        <f t="shared" si="2"/>
        <v>7.9657437822618498</v>
      </c>
      <c r="P58" s="62">
        <f t="shared" si="2"/>
        <v>7.9305490380103247</v>
      </c>
      <c r="Q58" s="62">
        <f t="shared" si="2"/>
        <v>7.9188174565931497</v>
      </c>
      <c r="R58" s="62">
        <f t="shared" si="2"/>
        <v>7.9657437822618489</v>
      </c>
      <c r="S58" s="62">
        <f t="shared" si="2"/>
        <v>7.8718911309244506</v>
      </c>
      <c r="T58" s="62">
        <f t="shared" si="2"/>
        <v>7.9070858751759747</v>
      </c>
      <c r="U58" s="62">
        <f t="shared" si="2"/>
        <v>7.9070858751759747</v>
      </c>
      <c r="V58" s="62">
        <f t="shared" si="2"/>
        <v>7.8601595495072747</v>
      </c>
      <c r="W58" s="61"/>
      <c r="X58" s="61"/>
    </row>
    <row r="59" spans="1:26" ht="13.15" x14ac:dyDescent="0.4">
      <c r="F59" s="51" t="s">
        <v>59</v>
      </c>
      <c r="G59" s="1"/>
      <c r="H59" s="11">
        <v>0</v>
      </c>
      <c r="I59" s="52" t="s">
        <v>11</v>
      </c>
      <c r="K59" s="63" t="s">
        <v>82</v>
      </c>
      <c r="M59">
        <v>10</v>
      </c>
      <c r="N59">
        <v>10</v>
      </c>
      <c r="O59">
        <v>10</v>
      </c>
      <c r="P59">
        <v>10</v>
      </c>
      <c r="Q59">
        <v>10</v>
      </c>
      <c r="R59">
        <v>10</v>
      </c>
      <c r="S59">
        <v>10</v>
      </c>
      <c r="T59">
        <v>10</v>
      </c>
      <c r="U59">
        <v>10</v>
      </c>
      <c r="V59">
        <v>10</v>
      </c>
      <c r="W59" s="24" t="s">
        <v>80</v>
      </c>
      <c r="Y59" s="60"/>
      <c r="Z59" s="60"/>
    </row>
    <row r="60" spans="1:26" ht="13.9" x14ac:dyDescent="0.4">
      <c r="F60" s="51" t="s">
        <v>61</v>
      </c>
      <c r="G60" s="1"/>
      <c r="H60" s="11">
        <v>10</v>
      </c>
      <c r="I60" s="52" t="s">
        <v>11</v>
      </c>
      <c r="K60" s="63" t="s">
        <v>74</v>
      </c>
      <c r="M60" s="13">
        <f>M58-10</f>
        <v>-1.9404035664007502</v>
      </c>
      <c r="N60" s="62">
        <f>N58-10</f>
        <v>-1.963866729235102</v>
      </c>
      <c r="O60" s="62">
        <f>O58-10</f>
        <v>-2.0342562177381502</v>
      </c>
      <c r="P60" s="62">
        <f>P58-P59</f>
        <v>-2.0694509619896753</v>
      </c>
      <c r="Q60" s="62">
        <f>Q58-10</f>
        <v>-2.0811825434068503</v>
      </c>
      <c r="R60" s="62">
        <f>R58-10</f>
        <v>-2.0342562177381511</v>
      </c>
      <c r="S60" s="62">
        <f t="shared" ref="S60:V60" si="3">S58-S59</f>
        <v>-2.1281088690755494</v>
      </c>
      <c r="T60" s="62">
        <f t="shared" si="3"/>
        <v>-2.0929141248240253</v>
      </c>
      <c r="U60" s="62">
        <f t="shared" si="3"/>
        <v>-2.0929141248240253</v>
      </c>
      <c r="V60" s="62">
        <f t="shared" si="3"/>
        <v>-2.1398404504927253</v>
      </c>
      <c r="W60" s="62">
        <f>STDEV(M60:V60)</f>
        <v>6.5435634798534967E-2</v>
      </c>
      <c r="X60" s="61" t="s">
        <v>11</v>
      </c>
    </row>
    <row r="61" spans="1:26" ht="13.15" x14ac:dyDescent="0.4">
      <c r="F61" s="51" t="s">
        <v>62</v>
      </c>
      <c r="G61" s="1"/>
      <c r="H61" s="11">
        <f>H59+H60</f>
        <v>10</v>
      </c>
      <c r="I61" s="52" t="s">
        <v>11</v>
      </c>
    </row>
    <row r="62" spans="1:26" ht="13.15" x14ac:dyDescent="0.4">
      <c r="F62" s="51" t="s">
        <v>63</v>
      </c>
      <c r="G62" s="1"/>
      <c r="H62" s="29">
        <v>78.209999999999994</v>
      </c>
      <c r="I62" s="52" t="s">
        <v>64</v>
      </c>
    </row>
    <row r="63" spans="1:26" ht="13.15" x14ac:dyDescent="0.4">
      <c r="F63" s="51" t="s">
        <v>65</v>
      </c>
      <c r="G63" s="1"/>
      <c r="H63" s="29">
        <f>H58-H62</f>
        <v>7.1400000000000006</v>
      </c>
      <c r="I63" s="52"/>
    </row>
    <row r="64" spans="1:26" ht="13.15" x14ac:dyDescent="0.4">
      <c r="F64" s="53" t="s">
        <v>66</v>
      </c>
      <c r="G64" s="42"/>
      <c r="H64" s="43">
        <f>H63/(H58/100)</f>
        <v>8.3655536028119517</v>
      </c>
      <c r="I64" s="52"/>
    </row>
    <row r="65" spans="6:23" ht="13.15" x14ac:dyDescent="0.4">
      <c r="F65" s="51" t="s">
        <v>68</v>
      </c>
      <c r="G65" s="1"/>
      <c r="H65" s="29">
        <f>H64-H61</f>
        <v>-1.6344463971880483</v>
      </c>
      <c r="I65" s="52" t="s">
        <v>11</v>
      </c>
    </row>
    <row r="66" spans="6:23" ht="13.15" x14ac:dyDescent="0.4">
      <c r="F66" s="54" t="s">
        <v>68</v>
      </c>
      <c r="G66" s="55"/>
      <c r="H66" s="56">
        <f>H64/H61-1</f>
        <v>-0.16344463971880485</v>
      </c>
      <c r="I66" s="59"/>
    </row>
    <row r="69" spans="6:23" ht="13.15" x14ac:dyDescent="0.4">
      <c r="F69" s="47" t="s">
        <v>71</v>
      </c>
      <c r="G69" s="48"/>
      <c r="H69" s="49">
        <v>85.35</v>
      </c>
      <c r="I69" s="50"/>
    </row>
    <row r="70" spans="6:23" ht="13.15" x14ac:dyDescent="0.4">
      <c r="F70" s="51" t="s">
        <v>59</v>
      </c>
      <c r="G70" s="1"/>
      <c r="H70" s="11">
        <v>20</v>
      </c>
      <c r="I70" s="52" t="s">
        <v>11</v>
      </c>
    </row>
    <row r="71" spans="6:23" ht="13.15" x14ac:dyDescent="0.4">
      <c r="F71" s="51" t="s">
        <v>61</v>
      </c>
      <c r="G71" s="1"/>
      <c r="H71" s="11">
        <v>50</v>
      </c>
      <c r="I71" s="52" t="s">
        <v>11</v>
      </c>
    </row>
    <row r="72" spans="6:23" ht="13.15" x14ac:dyDescent="0.4">
      <c r="F72" s="51" t="s">
        <v>62</v>
      </c>
      <c r="G72" s="1"/>
      <c r="H72" s="11">
        <f>H70+H71</f>
        <v>70</v>
      </c>
      <c r="I72" s="52" t="s">
        <v>11</v>
      </c>
    </row>
    <row r="73" spans="6:23" ht="13.15" x14ac:dyDescent="0.4">
      <c r="F73" s="51" t="s">
        <v>63</v>
      </c>
      <c r="G73" s="1"/>
      <c r="H73" s="29">
        <v>26.33</v>
      </c>
      <c r="I73" s="52" t="s">
        <v>64</v>
      </c>
    </row>
    <row r="74" spans="6:23" ht="13.15" x14ac:dyDescent="0.4">
      <c r="F74" s="51" t="s">
        <v>65</v>
      </c>
      <c r="G74" s="1"/>
      <c r="H74" s="29">
        <f>H69-H73</f>
        <v>59.019999999999996</v>
      </c>
      <c r="I74" s="52"/>
    </row>
    <row r="75" spans="6:23" ht="13.15" x14ac:dyDescent="0.4">
      <c r="F75" s="53" t="s">
        <v>66</v>
      </c>
      <c r="G75" s="42"/>
      <c r="H75" s="43">
        <f>H74/(H69/100)</f>
        <v>69.150556531927364</v>
      </c>
      <c r="I75" s="52"/>
    </row>
    <row r="76" spans="6:23" ht="13.15" x14ac:dyDescent="0.4">
      <c r="F76" s="51"/>
      <c r="G76" s="1"/>
      <c r="H76" s="11"/>
      <c r="I76" s="52"/>
    </row>
    <row r="77" spans="6:23" ht="13.15" x14ac:dyDescent="0.4">
      <c r="F77" s="54" t="s">
        <v>68</v>
      </c>
      <c r="G77" s="55"/>
      <c r="H77" s="56">
        <f>H75/H72-1</f>
        <v>-1.2134906686751989E-2</v>
      </c>
      <c r="I77" s="57"/>
    </row>
    <row r="78" spans="6:23" ht="13.15" x14ac:dyDescent="0.4">
      <c r="F78" s="1"/>
      <c r="G78" s="1"/>
      <c r="H78" s="11"/>
      <c r="I78" s="1"/>
    </row>
    <row r="79" spans="6:23" ht="13.15" x14ac:dyDescent="0.4">
      <c r="F79" s="1"/>
      <c r="G79" s="1"/>
      <c r="H79" s="11"/>
      <c r="I79" s="31"/>
      <c r="K79" s="63" t="s">
        <v>72</v>
      </c>
      <c r="L79" t="s">
        <v>83</v>
      </c>
      <c r="M79" s="24">
        <v>85.68</v>
      </c>
    </row>
    <row r="80" spans="6:23" ht="13.15" x14ac:dyDescent="0.4">
      <c r="F80" s="47" t="s">
        <v>71</v>
      </c>
      <c r="G80" s="48"/>
      <c r="H80" s="49"/>
      <c r="I80" s="50"/>
      <c r="K80" s="63" t="s">
        <v>61</v>
      </c>
      <c r="M80" s="21">
        <v>1</v>
      </c>
      <c r="N80" s="6">
        <v>2</v>
      </c>
      <c r="O80" s="6">
        <v>3</v>
      </c>
      <c r="P80" s="21">
        <v>4</v>
      </c>
      <c r="Q80" s="21">
        <v>5</v>
      </c>
      <c r="R80" s="21">
        <v>6</v>
      </c>
      <c r="S80" s="21">
        <v>7</v>
      </c>
      <c r="T80" s="21">
        <v>8</v>
      </c>
      <c r="U80" s="21">
        <v>9</v>
      </c>
      <c r="V80" s="21">
        <v>10</v>
      </c>
      <c r="W80" s="24"/>
    </row>
    <row r="81" spans="6:24" ht="13.9" x14ac:dyDescent="0.4">
      <c r="F81" s="51" t="s">
        <v>59</v>
      </c>
      <c r="G81" s="1"/>
      <c r="H81" s="11">
        <v>20</v>
      </c>
      <c r="I81" s="52" t="s">
        <v>11</v>
      </c>
      <c r="K81" s="63" t="s">
        <v>76</v>
      </c>
      <c r="M81" s="64">
        <v>6.78</v>
      </c>
      <c r="N81" s="65">
        <v>15.32</v>
      </c>
      <c r="O81" s="66">
        <v>23.88</v>
      </c>
      <c r="P81" s="66">
        <v>32.520000000000003</v>
      </c>
      <c r="Q81" s="66">
        <v>41.13</v>
      </c>
      <c r="R81" s="66">
        <v>49.47</v>
      </c>
      <c r="S81" s="66">
        <v>58.23</v>
      </c>
      <c r="T81" s="66">
        <v>66.78</v>
      </c>
      <c r="U81" s="66">
        <v>75.22</v>
      </c>
      <c r="V81" s="66">
        <v>83.75</v>
      </c>
    </row>
    <row r="82" spans="6:24" ht="13.9" x14ac:dyDescent="0.4">
      <c r="F82" s="51" t="s">
        <v>61</v>
      </c>
      <c r="G82" s="1"/>
      <c r="H82" s="11">
        <v>50</v>
      </c>
      <c r="I82" s="52" t="s">
        <v>11</v>
      </c>
      <c r="K82" s="63" t="s">
        <v>73</v>
      </c>
      <c r="M82" s="13">
        <f t="shared" ref="M82:V82" si="4">M81/$M79*100</f>
        <v>7.913165266106442</v>
      </c>
      <c r="N82" s="62">
        <f t="shared" si="4"/>
        <v>17.880485527544348</v>
      </c>
      <c r="O82" s="62">
        <f t="shared" si="4"/>
        <v>27.87114845938375</v>
      </c>
      <c r="P82" s="62">
        <f t="shared" si="4"/>
        <v>37.955182072829132</v>
      </c>
      <c r="Q82" s="62">
        <f t="shared" si="4"/>
        <v>48.004201680672267</v>
      </c>
      <c r="R82" s="62">
        <f t="shared" si="4"/>
        <v>57.738095238095234</v>
      </c>
      <c r="S82" s="62">
        <f t="shared" si="4"/>
        <v>67.962184873949568</v>
      </c>
      <c r="T82" s="62">
        <f t="shared" si="4"/>
        <v>77.941176470588232</v>
      </c>
      <c r="U82" s="62">
        <f t="shared" si="4"/>
        <v>87.791783380018657</v>
      </c>
      <c r="V82" s="62">
        <f t="shared" si="4"/>
        <v>97.747432306255831</v>
      </c>
      <c r="W82" s="61"/>
    </row>
    <row r="83" spans="6:24" ht="13.9" x14ac:dyDescent="0.4">
      <c r="F83" s="51" t="s">
        <v>62</v>
      </c>
      <c r="G83" s="1"/>
      <c r="H83" s="11">
        <f>H81+H82</f>
        <v>70</v>
      </c>
      <c r="I83" s="52" t="s">
        <v>11</v>
      </c>
      <c r="K83" s="63" t="s">
        <v>82</v>
      </c>
      <c r="M83" s="66">
        <v>10</v>
      </c>
      <c r="N83" s="66">
        <v>20</v>
      </c>
      <c r="O83" s="66">
        <v>30</v>
      </c>
      <c r="P83" s="66">
        <v>40</v>
      </c>
      <c r="Q83" s="66">
        <v>50</v>
      </c>
      <c r="R83" s="66">
        <v>60</v>
      </c>
      <c r="S83" s="66">
        <v>70</v>
      </c>
      <c r="T83" s="66">
        <v>80</v>
      </c>
      <c r="U83" s="66">
        <v>90</v>
      </c>
      <c r="V83" s="66">
        <v>100</v>
      </c>
      <c r="W83" s="24" t="s">
        <v>80</v>
      </c>
      <c r="X83" t="s">
        <v>86</v>
      </c>
    </row>
    <row r="84" spans="6:24" ht="13.9" x14ac:dyDescent="0.4">
      <c r="F84" s="51" t="s">
        <v>63</v>
      </c>
      <c r="G84" s="1"/>
      <c r="H84" s="29">
        <v>27.6</v>
      </c>
      <c r="I84" s="52" t="s">
        <v>64</v>
      </c>
      <c r="K84" s="63" t="s">
        <v>74</v>
      </c>
      <c r="M84" s="62">
        <f t="shared" ref="M84" si="5">M82-M83</f>
        <v>-2.086834733893558</v>
      </c>
      <c r="N84" s="62">
        <f>N82-N83</f>
        <v>-2.1195144724556521</v>
      </c>
      <c r="O84" s="62">
        <f t="shared" ref="O84:V84" si="6">O82-O83</f>
        <v>-2.1288515406162496</v>
      </c>
      <c r="P84" s="62">
        <f t="shared" si="6"/>
        <v>-2.0448179271708682</v>
      </c>
      <c r="Q84" s="62">
        <f t="shared" si="6"/>
        <v>-1.9957983193277329</v>
      </c>
      <c r="R84" s="62">
        <f t="shared" si="6"/>
        <v>-2.2619047619047663</v>
      </c>
      <c r="S84" s="62">
        <f t="shared" si="6"/>
        <v>-2.0378151260504325</v>
      </c>
      <c r="T84" s="62">
        <f t="shared" si="6"/>
        <v>-2.058823529411768</v>
      </c>
      <c r="U84" s="62">
        <f t="shared" si="6"/>
        <v>-2.2082166199813429</v>
      </c>
      <c r="V84" s="62">
        <f t="shared" si="6"/>
        <v>-2.2525676937441688</v>
      </c>
      <c r="W84" s="62">
        <f>STDEV(M84:V84)</f>
        <v>9.3240909921851828E-2</v>
      </c>
      <c r="X84" s="62">
        <f>AVERAGE(M84:V84)</f>
        <v>-2.1195144724556538</v>
      </c>
    </row>
    <row r="85" spans="6:24" ht="13.15" x14ac:dyDescent="0.4">
      <c r="F85" s="51" t="s">
        <v>65</v>
      </c>
      <c r="G85" s="1"/>
      <c r="H85" s="29">
        <f>H80-H84</f>
        <v>-27.6</v>
      </c>
      <c r="I85" s="52"/>
    </row>
    <row r="86" spans="6:24" ht="13.15" x14ac:dyDescent="0.4">
      <c r="F86" s="53" t="s">
        <v>66</v>
      </c>
      <c r="G86" s="42"/>
      <c r="H86" s="43" t="e">
        <f>H85/(H80/100)</f>
        <v>#DIV/0!</v>
      </c>
      <c r="I86" s="52"/>
    </row>
    <row r="87" spans="6:24" ht="13.15" x14ac:dyDescent="0.4">
      <c r="F87" s="51"/>
      <c r="G87" s="1"/>
      <c r="H87" s="11"/>
      <c r="I87" s="52"/>
    </row>
    <row r="88" spans="6:24" ht="13.15" x14ac:dyDescent="0.4">
      <c r="F88" s="54" t="s">
        <v>68</v>
      </c>
      <c r="G88" s="55"/>
      <c r="H88" s="56" t="e">
        <f>H86/H83-1</f>
        <v>#DIV/0!</v>
      </c>
      <c r="I88" s="57"/>
    </row>
    <row r="124" spans="11:24" ht="13.15" x14ac:dyDescent="0.4">
      <c r="K124" s="63" t="s">
        <v>72</v>
      </c>
      <c r="L124" t="s">
        <v>83</v>
      </c>
      <c r="M124" s="24">
        <v>85.68</v>
      </c>
    </row>
    <row r="125" spans="11:24" ht="13.15" x14ac:dyDescent="0.4">
      <c r="K125" s="63" t="s">
        <v>61</v>
      </c>
      <c r="M125" s="21">
        <v>1</v>
      </c>
      <c r="N125" s="6">
        <v>2</v>
      </c>
      <c r="O125" s="6">
        <v>3</v>
      </c>
      <c r="P125" s="21">
        <v>4</v>
      </c>
      <c r="Q125" s="21">
        <v>5</v>
      </c>
      <c r="R125" s="21">
        <v>6</v>
      </c>
      <c r="S125" s="21">
        <v>7</v>
      </c>
      <c r="T125" s="21">
        <v>8</v>
      </c>
      <c r="U125" s="21">
        <v>9</v>
      </c>
      <c r="V125" s="21">
        <v>10</v>
      </c>
      <c r="W125" s="24"/>
    </row>
    <row r="126" spans="11:24" ht="13.9" x14ac:dyDescent="0.4">
      <c r="K126" s="63" t="s">
        <v>76</v>
      </c>
      <c r="M126" s="64">
        <v>8.24</v>
      </c>
      <c r="N126" s="65">
        <v>8.15</v>
      </c>
      <c r="O126" s="66">
        <v>8.2100000000000009</v>
      </c>
      <c r="P126" s="66">
        <f>16.38-8.21</f>
        <v>8.1699999999999982</v>
      </c>
      <c r="Q126" s="66">
        <v>8.16</v>
      </c>
      <c r="R126" s="66">
        <v>8.11</v>
      </c>
      <c r="S126" s="66"/>
      <c r="T126" s="66"/>
      <c r="U126" s="66"/>
      <c r="V126" s="66"/>
    </row>
    <row r="127" spans="11:24" ht="13.9" x14ac:dyDescent="0.4">
      <c r="K127" s="63" t="s">
        <v>73</v>
      </c>
      <c r="M127" s="13">
        <f t="shared" ref="M127:R127" si="7">M126/$M124*100</f>
        <v>9.6171802054154991</v>
      </c>
      <c r="N127" s="62">
        <f t="shared" si="7"/>
        <v>9.5121381886087768</v>
      </c>
      <c r="O127" s="62">
        <f t="shared" si="7"/>
        <v>9.5821661998132601</v>
      </c>
      <c r="P127" s="62">
        <f t="shared" si="7"/>
        <v>9.5354808590102671</v>
      </c>
      <c r="Q127" s="62">
        <f t="shared" si="7"/>
        <v>9.5238095238095237</v>
      </c>
      <c r="R127" s="62">
        <f t="shared" si="7"/>
        <v>9.4654528478057873</v>
      </c>
      <c r="S127" s="62"/>
      <c r="T127" s="62"/>
      <c r="U127" s="62"/>
      <c r="V127" s="62"/>
      <c r="W127" s="61"/>
    </row>
    <row r="128" spans="11:24" ht="13.9" x14ac:dyDescent="0.4">
      <c r="K128" s="63" t="s">
        <v>82</v>
      </c>
      <c r="M128" s="66">
        <v>10</v>
      </c>
      <c r="N128" s="66">
        <v>10</v>
      </c>
      <c r="O128" s="66">
        <v>10</v>
      </c>
      <c r="P128" s="66">
        <v>10</v>
      </c>
      <c r="Q128" s="66">
        <v>10</v>
      </c>
      <c r="R128" s="66">
        <v>10</v>
      </c>
      <c r="S128" s="66"/>
      <c r="T128" s="66"/>
      <c r="U128" s="66"/>
      <c r="V128" s="66"/>
      <c r="W128" s="24" t="s">
        <v>80</v>
      </c>
      <c r="X128" t="s">
        <v>86</v>
      </c>
    </row>
    <row r="129" spans="11:24" ht="13.9" x14ac:dyDescent="0.4">
      <c r="K129" s="63" t="s">
        <v>74</v>
      </c>
      <c r="M129" s="62">
        <f t="shared" ref="M129" si="8">M127-M128</f>
        <v>-0.38281979458450088</v>
      </c>
      <c r="N129" s="62">
        <f>N127-N128</f>
        <v>-0.4878618113912232</v>
      </c>
      <c r="O129" s="62">
        <f t="shared" ref="O129" si="9">O127-O128</f>
        <v>-0.41783380018673988</v>
      </c>
      <c r="P129" s="62">
        <f t="shared" ref="P129" si="10">P127-P128</f>
        <v>-0.4645191409897329</v>
      </c>
      <c r="Q129" s="62">
        <f t="shared" ref="Q129" si="11">Q127-Q128</f>
        <v>-0.47619047619047628</v>
      </c>
      <c r="R129" s="62">
        <f t="shared" ref="R129" si="12">R127-R128</f>
        <v>-0.53454715219421267</v>
      </c>
      <c r="S129" s="62"/>
      <c r="T129" s="62"/>
      <c r="U129" s="62"/>
      <c r="V129" s="62"/>
      <c r="W129" s="62">
        <f>STDEV(M129:V129)</f>
        <v>5.3569606218670039E-2</v>
      </c>
      <c r="X129" s="62">
        <f>AVERAGE(M129:V129)</f>
        <v>-0.4606286959228143</v>
      </c>
    </row>
    <row r="131" spans="11:24" x14ac:dyDescent="0.35">
      <c r="M131" t="s">
        <v>87</v>
      </c>
    </row>
    <row r="133" spans="11:24" ht="13.15" x14ac:dyDescent="0.4">
      <c r="K133" s="63" t="s">
        <v>72</v>
      </c>
      <c r="L133" t="s">
        <v>83</v>
      </c>
      <c r="M133" s="24">
        <v>85.68</v>
      </c>
    </row>
    <row r="134" spans="11:24" ht="13.15" x14ac:dyDescent="0.4">
      <c r="K134" s="63" t="s">
        <v>61</v>
      </c>
      <c r="M134" s="21">
        <v>1</v>
      </c>
      <c r="N134" s="6">
        <v>2</v>
      </c>
      <c r="O134" s="6">
        <v>3</v>
      </c>
      <c r="P134" s="21">
        <v>4</v>
      </c>
      <c r="Q134" s="21">
        <v>5</v>
      </c>
      <c r="R134" s="21">
        <v>6</v>
      </c>
      <c r="S134" s="21">
        <v>7</v>
      </c>
      <c r="T134" s="21">
        <v>8</v>
      </c>
      <c r="U134" s="21">
        <v>9</v>
      </c>
      <c r="V134" s="21">
        <v>10</v>
      </c>
      <c r="W134" s="24"/>
    </row>
    <row r="135" spans="11:24" ht="13.9" x14ac:dyDescent="0.4">
      <c r="K135" s="63" t="s">
        <v>76</v>
      </c>
      <c r="M135" s="64">
        <v>8.5</v>
      </c>
      <c r="N135" s="65">
        <v>17.13</v>
      </c>
      <c r="O135" s="66">
        <v>25.65</v>
      </c>
      <c r="P135" s="66">
        <v>34.26</v>
      </c>
      <c r="Q135" s="66">
        <v>42.79</v>
      </c>
      <c r="R135" s="66">
        <v>51.38</v>
      </c>
      <c r="S135" s="66">
        <v>59.91</v>
      </c>
      <c r="T135" s="66">
        <v>68.47</v>
      </c>
      <c r="U135" s="66">
        <v>77</v>
      </c>
      <c r="V135" s="66">
        <v>85.59</v>
      </c>
    </row>
    <row r="136" spans="11:24" ht="13.9" x14ac:dyDescent="0.4">
      <c r="K136" s="63" t="s">
        <v>73</v>
      </c>
      <c r="M136" s="13">
        <f t="shared" ref="M136:V136" si="13">M135/$M133*100</f>
        <v>9.9206349206349209</v>
      </c>
      <c r="N136" s="62">
        <f t="shared" si="13"/>
        <v>19.99299719887955</v>
      </c>
      <c r="O136" s="62">
        <f t="shared" si="13"/>
        <v>29.936974789915961</v>
      </c>
      <c r="P136" s="62">
        <f t="shared" si="13"/>
        <v>39.9859943977591</v>
      </c>
      <c r="Q136" s="62">
        <f t="shared" si="13"/>
        <v>49.94164332399626</v>
      </c>
      <c r="R136" s="62">
        <f t="shared" si="13"/>
        <v>59.967320261437905</v>
      </c>
      <c r="S136" s="62">
        <f t="shared" si="13"/>
        <v>69.922969187675065</v>
      </c>
      <c r="T136" s="62">
        <f t="shared" si="13"/>
        <v>79.91363211951446</v>
      </c>
      <c r="U136" s="62">
        <f t="shared" si="13"/>
        <v>89.86928104575162</v>
      </c>
      <c r="V136" s="62">
        <f t="shared" si="13"/>
        <v>99.894957983193279</v>
      </c>
      <c r="W136" s="61"/>
    </row>
    <row r="137" spans="11:24" ht="13.9" x14ac:dyDescent="0.4">
      <c r="K137" s="63" t="s">
        <v>82</v>
      </c>
      <c r="M137" s="66">
        <v>10</v>
      </c>
      <c r="N137" s="66">
        <v>20</v>
      </c>
      <c r="O137" s="66">
        <v>30</v>
      </c>
      <c r="P137" s="66">
        <v>40</v>
      </c>
      <c r="Q137" s="66">
        <v>50</v>
      </c>
      <c r="R137" s="66">
        <v>60</v>
      </c>
      <c r="S137" s="66">
        <v>70</v>
      </c>
      <c r="T137" s="66">
        <v>80</v>
      </c>
      <c r="U137" s="66">
        <v>90</v>
      </c>
      <c r="V137" s="66">
        <v>100</v>
      </c>
      <c r="W137" s="24" t="s">
        <v>80</v>
      </c>
      <c r="X137" t="s">
        <v>86</v>
      </c>
    </row>
    <row r="138" spans="11:24" ht="13.9" x14ac:dyDescent="0.4">
      <c r="K138" s="63" t="s">
        <v>74</v>
      </c>
      <c r="M138" s="62">
        <f t="shared" ref="M138" si="14">M136-M137</f>
        <v>-7.9365079365079083E-2</v>
      </c>
      <c r="N138" s="62">
        <f>N136-N137</f>
        <v>-7.0028011204499307E-3</v>
      </c>
      <c r="O138" s="62">
        <f t="shared" ref="O138" si="15">O136-O137</f>
        <v>-6.3025210084038719E-2</v>
      </c>
      <c r="P138" s="62">
        <f t="shared" ref="P138" si="16">P136-P137</f>
        <v>-1.4005602240899861E-2</v>
      </c>
      <c r="Q138" s="62">
        <f t="shared" ref="Q138" si="17">Q136-Q137</f>
        <v>-5.8356676003739949E-2</v>
      </c>
      <c r="R138" s="62">
        <f t="shared" ref="R138" si="18">R136-R137</f>
        <v>-3.267973856209494E-2</v>
      </c>
      <c r="S138" s="62">
        <f t="shared" ref="S138" si="19">S136-S137</f>
        <v>-7.7030812324935027E-2</v>
      </c>
      <c r="T138" s="62">
        <f t="shared" ref="T138" si="20">T136-T137</f>
        <v>-8.6367880485539672E-2</v>
      </c>
      <c r="U138" s="62">
        <f t="shared" ref="U138" si="21">U136-U137</f>
        <v>-0.13071895424837976</v>
      </c>
      <c r="V138" s="62">
        <f t="shared" ref="V138" si="22">V136-V137</f>
        <v>-0.10504201680672054</v>
      </c>
      <c r="W138" s="62">
        <f>STDEV(M138:V138)</f>
        <v>3.9137181263491784E-2</v>
      </c>
      <c r="X138" s="62">
        <f>AVERAGE(M138:V138)</f>
        <v>-6.5359477124187743E-2</v>
      </c>
    </row>
  </sheetData>
  <mergeCells count="1">
    <mergeCell ref="A1:E1"/>
  </mergeCells>
  <conditionalFormatting sqref="C38">
    <cfRule type="cellIs" dxfId="3" priority="3" operator="lessThan">
      <formula>0.03</formula>
    </cfRule>
    <cfRule type="cellIs" dxfId="2" priority="4" operator="greaterThanOrEqual">
      <formula>0.03</formula>
    </cfRule>
  </conditionalFormatting>
  <conditionalFormatting sqref="D38">
    <cfRule type="cellIs" dxfId="1" priority="1" operator="equal">
      <formula>"&lt;3% = PASS"</formula>
    </cfRule>
    <cfRule type="cellIs" dxfId="0" priority="2" operator="notEqual">
      <formula>"&lt;3% = PASS"</formula>
    </cfRule>
  </conditionalFormatting>
  <pageMargins left="0.78749999999999998" right="0.78749999999999998" top="1.0249999999999999" bottom="0.78749999999999998" header="0.78749999999999998" footer="0.511811023622047"/>
  <pageSetup paperSize="9" scale="110" orientation="landscape" horizontalDpi="300" verticalDpi="300" r:id="rId1"/>
  <headerFooter>
    <oddHeader>&amp;CISO11171:2020 Summary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Devereux</dc:creator>
  <cp:lastModifiedBy>John Devereux</cp:lastModifiedBy>
  <dcterms:created xsi:type="dcterms:W3CDTF">2026-06-08T14:50:18Z</dcterms:created>
  <dcterms:modified xsi:type="dcterms:W3CDTF">2026-06-26T13:39:08Z</dcterms:modified>
</cp:coreProperties>
</file>